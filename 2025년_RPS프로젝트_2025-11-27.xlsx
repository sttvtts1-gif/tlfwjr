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N:\## 보고서, 회의록\2025년\02. 주간보고_업무지원\"/>
    </mc:Choice>
  </mc:AlternateContent>
  <xr:revisionPtr revIDLastSave="0" documentId="13_ncr:1_{8276E4C1-8289-44AF-8E25-CA23B30F479F}" xr6:coauthVersionLast="47" xr6:coauthVersionMax="47" xr10:uidLastSave="{00000000-0000-0000-0000-000000000000}"/>
  <bookViews>
    <workbookView xWindow="-120" yWindow="-120" windowWidth="29040" windowHeight="15840" tabRatio="708" xr2:uid="{00000000-000D-0000-FFFF-FFFF00000000}"/>
  </bookViews>
  <sheets>
    <sheet name="지역" sheetId="81" r:id="rId1"/>
    <sheet name="상태분류" sheetId="80" r:id="rId2"/>
    <sheet name="개인" sheetId="76" r:id="rId3"/>
    <sheet name="차트" sheetId="78" r:id="rId4"/>
    <sheet name="정리base" sheetId="53" r:id="rId5"/>
    <sheet name="발전사업(A)" sheetId="41" r:id="rId6"/>
    <sheet name="PPA 사업(C)" sheetId="66" r:id="rId7"/>
    <sheet name="자가소비(B)" sheetId="65" r:id="rId8"/>
    <sheet name="리스사업(D)" sheetId="67" r:id="rId9"/>
    <sheet name="임대사업(E)" sheetId="68" r:id="rId10"/>
    <sheet name="환경부사업(F)" sheetId="69" r:id="rId11"/>
    <sheet name="프로젝트(G)" sheetId="70" r:id="rId12"/>
    <sheet name="협력사 EPC(H)" sheetId="71" r:id="rId13"/>
    <sheet name="협력사 하도(I)" sheetId="73" r:id="rId14"/>
    <sheet name="기타(Z)" sheetId="72" r:id="rId15"/>
  </sheets>
  <definedNames>
    <definedName name="_xlnm._FilterDatabase" localSheetId="6" hidden="1">'PPA 사업(C)'!$B$2:$V$42</definedName>
    <definedName name="_xlnm._FilterDatabase" localSheetId="14" hidden="1">'기타(Z)'!$B$2:$V$42</definedName>
    <definedName name="_xlnm._FilterDatabase" localSheetId="8" hidden="1">'리스사업(D)'!$B$2:$V$42</definedName>
    <definedName name="_xlnm._FilterDatabase" localSheetId="5" hidden="1">'발전사업(A)'!$B$2:$AV$301</definedName>
    <definedName name="_xlnm._FilterDatabase" localSheetId="9" hidden="1">'임대사업(E)'!$B$2:$AV$2</definedName>
    <definedName name="_xlnm._FilterDatabase" localSheetId="7" hidden="1">'자가소비(B)'!$B$2:$AV$302</definedName>
    <definedName name="_xlnm._FilterDatabase" localSheetId="11" hidden="1">'프로젝트(G)'!$B$2:$V$42</definedName>
    <definedName name="_xlnm._FilterDatabase" localSheetId="12" hidden="1">'협력사 EPC(H)'!$B$2:$V$42</definedName>
    <definedName name="_xlnm._FilterDatabase" localSheetId="13" hidden="1">'협력사 하도(I)'!$B$2:$V$42</definedName>
    <definedName name="_xlnm._FilterDatabase" localSheetId="10" hidden="1">'환경부사업(F)'!$B$2:$V$42</definedName>
    <definedName name="_xlnm.Print_Area" localSheetId="3">차트!$CW$2:$DC$95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81" l="1"/>
  <c r="H10" i="81"/>
  <c r="H9" i="81"/>
  <c r="H8" i="81"/>
  <c r="H7" i="81"/>
  <c r="H6" i="81"/>
  <c r="H5" i="81"/>
  <c r="H4" i="81"/>
  <c r="F11" i="81"/>
  <c r="F10" i="81"/>
  <c r="F9" i="81"/>
  <c r="F8" i="81"/>
  <c r="F7" i="81"/>
  <c r="F6" i="81"/>
  <c r="F5" i="81"/>
  <c r="F4" i="81"/>
  <c r="D5" i="81"/>
  <c r="D6" i="81"/>
  <c r="D7" i="81"/>
  <c r="D8" i="81"/>
  <c r="D9" i="81"/>
  <c r="D10" i="81"/>
  <c r="D11" i="81"/>
  <c r="D4" i="81"/>
  <c r="G5" i="81"/>
  <c r="G6" i="81"/>
  <c r="G7" i="81"/>
  <c r="G8" i="81"/>
  <c r="G9" i="81"/>
  <c r="G10" i="81"/>
  <c r="G11" i="81"/>
  <c r="E5" i="81"/>
  <c r="E6" i="81"/>
  <c r="E7" i="81"/>
  <c r="E8" i="81"/>
  <c r="E9" i="81"/>
  <c r="E10" i="81"/>
  <c r="E11" i="81"/>
  <c r="G4" i="81"/>
  <c r="E4" i="81"/>
  <c r="C5" i="81"/>
  <c r="C6" i="81"/>
  <c r="C7" i="81"/>
  <c r="C8" i="81"/>
  <c r="C9" i="81"/>
  <c r="C10" i="81"/>
  <c r="C11" i="81"/>
  <c r="C4" i="81"/>
  <c r="H47" i="81"/>
  <c r="G47" i="81"/>
  <c r="F47" i="81"/>
  <c r="E47" i="81"/>
  <c r="D47" i="81"/>
  <c r="C47" i="81"/>
  <c r="H46" i="81"/>
  <c r="G46" i="81"/>
  <c r="F46" i="81"/>
  <c r="E46" i="81"/>
  <c r="D46" i="81"/>
  <c r="C46" i="81"/>
  <c r="H45" i="81"/>
  <c r="G45" i="81"/>
  <c r="F45" i="81"/>
  <c r="E45" i="81"/>
  <c r="D45" i="81"/>
  <c r="C45" i="81"/>
  <c r="H44" i="81"/>
  <c r="G44" i="81"/>
  <c r="F44" i="81"/>
  <c r="E44" i="81"/>
  <c r="D44" i="81"/>
  <c r="C44" i="81"/>
  <c r="H43" i="81"/>
  <c r="G43" i="81"/>
  <c r="F43" i="81"/>
  <c r="E43" i="81"/>
  <c r="D43" i="81"/>
  <c r="C43" i="81"/>
  <c r="H42" i="81"/>
  <c r="G42" i="81"/>
  <c r="F42" i="81"/>
  <c r="E42" i="81"/>
  <c r="D42" i="81"/>
  <c r="C42" i="81"/>
  <c r="H41" i="81"/>
  <c r="G41" i="81"/>
  <c r="F41" i="81"/>
  <c r="E41" i="81"/>
  <c r="D41" i="81"/>
  <c r="C41" i="81"/>
  <c r="H40" i="81"/>
  <c r="G40" i="81"/>
  <c r="F40" i="81"/>
  <c r="E40" i="81"/>
  <c r="D40" i="81"/>
  <c r="C40" i="81"/>
  <c r="L251" i="41"/>
  <c r="K251" i="41"/>
  <c r="K12" i="65"/>
  <c r="L12" i="65"/>
  <c r="Q5" i="53"/>
  <c r="AJ21" i="81"/>
  <c r="AJ20" i="81"/>
  <c r="AJ19" i="81"/>
  <c r="AJ18" i="81"/>
  <c r="AJ17" i="81"/>
  <c r="AJ16" i="81"/>
  <c r="AJ15" i="81"/>
  <c r="AJ14" i="81"/>
  <c r="AJ13" i="81"/>
  <c r="AH21" i="81"/>
  <c r="AH20" i="81"/>
  <c r="AH19" i="81"/>
  <c r="AH18" i="81"/>
  <c r="AH17" i="81"/>
  <c r="AH16" i="81"/>
  <c r="AH15" i="81"/>
  <c r="AH14" i="81"/>
  <c r="AH13" i="81"/>
  <c r="AF21" i="81"/>
  <c r="AF20" i="81"/>
  <c r="AF19" i="81"/>
  <c r="AF18" i="81"/>
  <c r="AF17" i="81"/>
  <c r="AF16" i="81"/>
  <c r="AF15" i="81"/>
  <c r="AF14" i="81"/>
  <c r="AF13" i="81"/>
  <c r="AD21" i="81"/>
  <c r="AD20" i="81"/>
  <c r="AD19" i="81"/>
  <c r="AD18" i="81"/>
  <c r="AD17" i="81"/>
  <c r="AD16" i="81"/>
  <c r="AD15" i="81"/>
  <c r="AD14" i="81"/>
  <c r="AD13" i="81"/>
  <c r="AB21" i="81"/>
  <c r="AB20" i="81"/>
  <c r="AB19" i="81"/>
  <c r="AB18" i="81"/>
  <c r="AB17" i="81"/>
  <c r="AB16" i="81"/>
  <c r="AB15" i="81"/>
  <c r="AB14" i="81"/>
  <c r="AB13" i="81"/>
  <c r="Z21" i="81"/>
  <c r="Z20" i="81"/>
  <c r="Z19" i="81"/>
  <c r="Z18" i="81"/>
  <c r="Z17" i="81"/>
  <c r="Z16" i="81"/>
  <c r="Z15" i="81"/>
  <c r="Z14" i="81"/>
  <c r="Z13" i="81"/>
  <c r="X21" i="81"/>
  <c r="X20" i="81"/>
  <c r="X19" i="81"/>
  <c r="X18" i="81"/>
  <c r="X17" i="81"/>
  <c r="X16" i="81"/>
  <c r="X15" i="81"/>
  <c r="X14" i="81"/>
  <c r="X13" i="81"/>
  <c r="V21" i="81"/>
  <c r="V20" i="81"/>
  <c r="V19" i="81"/>
  <c r="V18" i="81"/>
  <c r="V17" i="81"/>
  <c r="V16" i="81"/>
  <c r="V15" i="81"/>
  <c r="V14" i="81"/>
  <c r="V13" i="81"/>
  <c r="T21" i="81"/>
  <c r="T20" i="81"/>
  <c r="T19" i="81"/>
  <c r="T18" i="81"/>
  <c r="T17" i="81"/>
  <c r="T16" i="81"/>
  <c r="T15" i="81"/>
  <c r="T14" i="81"/>
  <c r="T13" i="81"/>
  <c r="R21" i="81"/>
  <c r="R20" i="81"/>
  <c r="R19" i="81"/>
  <c r="R18" i="81"/>
  <c r="R17" i="81"/>
  <c r="R16" i="81"/>
  <c r="R15" i="81"/>
  <c r="R14" i="81"/>
  <c r="R13" i="81"/>
  <c r="P21" i="81"/>
  <c r="P20" i="81"/>
  <c r="P19" i="81"/>
  <c r="P18" i="81"/>
  <c r="P17" i="81"/>
  <c r="P16" i="81"/>
  <c r="P15" i="81"/>
  <c r="P14" i="81"/>
  <c r="P13" i="81"/>
  <c r="N14" i="81"/>
  <c r="N15" i="81"/>
  <c r="N16" i="81"/>
  <c r="N17" i="81"/>
  <c r="N18" i="81"/>
  <c r="N19" i="81"/>
  <c r="N20" i="81"/>
  <c r="N21" i="81"/>
  <c r="N13" i="81"/>
  <c r="AJ10" i="81"/>
  <c r="AJ9" i="81"/>
  <c r="AJ8" i="81"/>
  <c r="AJ7" i="81"/>
  <c r="AJ6" i="81"/>
  <c r="AJ5" i="81"/>
  <c r="AJ4" i="81"/>
  <c r="AJ3" i="81"/>
  <c r="AH10" i="81"/>
  <c r="AH9" i="81"/>
  <c r="AH8" i="81"/>
  <c r="AH7" i="81"/>
  <c r="AH6" i="81"/>
  <c r="AH5" i="81"/>
  <c r="AH4" i="81"/>
  <c r="AH3" i="81"/>
  <c r="AF10" i="81"/>
  <c r="AF9" i="81"/>
  <c r="AF8" i="81"/>
  <c r="AF7" i="81"/>
  <c r="AF6" i="81"/>
  <c r="AF5" i="81"/>
  <c r="AF4" i="81"/>
  <c r="AF3" i="81"/>
  <c r="AD10" i="81"/>
  <c r="AD9" i="81"/>
  <c r="AD8" i="81"/>
  <c r="AD7" i="81"/>
  <c r="AD6" i="81"/>
  <c r="AD5" i="81"/>
  <c r="AD4" i="81"/>
  <c r="AD3" i="81"/>
  <c r="AB10" i="81"/>
  <c r="AB9" i="81"/>
  <c r="AB8" i="81"/>
  <c r="AB7" i="81"/>
  <c r="AB6" i="81"/>
  <c r="AB5" i="81"/>
  <c r="AB4" i="81"/>
  <c r="AB3" i="81"/>
  <c r="Z10" i="81"/>
  <c r="Z9" i="81"/>
  <c r="Z8" i="81"/>
  <c r="Z7" i="81"/>
  <c r="Z6" i="81"/>
  <c r="Z5" i="81"/>
  <c r="Z4" i="81"/>
  <c r="Z3" i="81"/>
  <c r="V10" i="81"/>
  <c r="V9" i="81"/>
  <c r="V8" i="81"/>
  <c r="V7" i="81"/>
  <c r="V6" i="81"/>
  <c r="V5" i="81"/>
  <c r="V4" i="81"/>
  <c r="V3" i="81"/>
  <c r="T10" i="81"/>
  <c r="T9" i="81"/>
  <c r="T8" i="81"/>
  <c r="T7" i="81"/>
  <c r="T6" i="81"/>
  <c r="T5" i="81"/>
  <c r="T4" i="81"/>
  <c r="T3" i="81"/>
  <c r="R10" i="81"/>
  <c r="R9" i="81"/>
  <c r="R8" i="81"/>
  <c r="R7" i="81"/>
  <c r="R6" i="81"/>
  <c r="R5" i="81"/>
  <c r="R4" i="81"/>
  <c r="R3" i="81"/>
  <c r="P10" i="81"/>
  <c r="P9" i="81"/>
  <c r="P8" i="81"/>
  <c r="P7" i="81"/>
  <c r="P6" i="81"/>
  <c r="P5" i="81"/>
  <c r="P4" i="81"/>
  <c r="P3" i="81"/>
  <c r="N4" i="81"/>
  <c r="N5" i="81"/>
  <c r="N6" i="81"/>
  <c r="N7" i="81"/>
  <c r="N8" i="81"/>
  <c r="N9" i="81"/>
  <c r="N10" i="81"/>
  <c r="N3" i="81"/>
  <c r="AI21" i="81"/>
  <c r="AI20" i="81"/>
  <c r="AI19" i="81"/>
  <c r="AI18" i="81"/>
  <c r="AI17" i="81"/>
  <c r="AI16" i="81"/>
  <c r="AI15" i="81"/>
  <c r="AI14" i="81"/>
  <c r="AI13" i="81"/>
  <c r="AG21" i="81"/>
  <c r="AG20" i="81"/>
  <c r="AG19" i="81"/>
  <c r="AG18" i="81"/>
  <c r="AG17" i="81"/>
  <c r="AG16" i="81"/>
  <c r="AG15" i="81"/>
  <c r="AG14" i="81"/>
  <c r="AG13" i="81"/>
  <c r="AE21" i="81"/>
  <c r="AE20" i="81"/>
  <c r="AE19" i="81"/>
  <c r="AE18" i="81"/>
  <c r="AE17" i="81"/>
  <c r="AE16" i="81"/>
  <c r="AE15" i="81"/>
  <c r="AE14" i="81"/>
  <c r="AE13" i="81"/>
  <c r="AC21" i="81"/>
  <c r="AC20" i="81"/>
  <c r="AC19" i="81"/>
  <c r="AC18" i="81"/>
  <c r="AC17" i="81"/>
  <c r="AC16" i="81"/>
  <c r="AC15" i="81"/>
  <c r="AC14" i="81"/>
  <c r="AC13" i="81"/>
  <c r="AA21" i="81"/>
  <c r="AA20" i="81"/>
  <c r="AA19" i="81"/>
  <c r="AA18" i="81"/>
  <c r="AA17" i="81"/>
  <c r="AA16" i="81"/>
  <c r="AA15" i="81"/>
  <c r="AA14" i="81"/>
  <c r="AA13" i="81"/>
  <c r="Y21" i="81"/>
  <c r="Y20" i="81"/>
  <c r="Y19" i="81"/>
  <c r="Y18" i="81"/>
  <c r="Y17" i="81"/>
  <c r="Y16" i="81"/>
  <c r="Y15" i="81"/>
  <c r="Y14" i="81"/>
  <c r="Y13" i="81"/>
  <c r="W21" i="81"/>
  <c r="W20" i="81"/>
  <c r="W19" i="81"/>
  <c r="W18" i="81"/>
  <c r="W17" i="81"/>
  <c r="W16" i="81"/>
  <c r="W15" i="81"/>
  <c r="W14" i="81"/>
  <c r="W13" i="81"/>
  <c r="U21" i="81"/>
  <c r="U20" i="81"/>
  <c r="U19" i="81"/>
  <c r="U18" i="81"/>
  <c r="U17" i="81"/>
  <c r="U16" i="81"/>
  <c r="U15" i="81"/>
  <c r="U14" i="81"/>
  <c r="U13" i="81"/>
  <c r="S21" i="81"/>
  <c r="S20" i="81"/>
  <c r="S19" i="81"/>
  <c r="S18" i="81"/>
  <c r="S17" i="81"/>
  <c r="S16" i="81"/>
  <c r="S15" i="81"/>
  <c r="S14" i="81"/>
  <c r="S13" i="81"/>
  <c r="Q21" i="81"/>
  <c r="Q20" i="81"/>
  <c r="Q19" i="81"/>
  <c r="Q18" i="81"/>
  <c r="Q17" i="81"/>
  <c r="Q16" i="81"/>
  <c r="Q15" i="81"/>
  <c r="Q14" i="81"/>
  <c r="Q13" i="81"/>
  <c r="O21" i="81"/>
  <c r="O20" i="81"/>
  <c r="O19" i="81"/>
  <c r="O18" i="81"/>
  <c r="O17" i="81"/>
  <c r="O16" i="81"/>
  <c r="O15" i="81"/>
  <c r="O14" i="81"/>
  <c r="O13" i="81"/>
  <c r="M14" i="81"/>
  <c r="M15" i="81"/>
  <c r="M16" i="81"/>
  <c r="M17" i="81"/>
  <c r="M18" i="81"/>
  <c r="M19" i="81"/>
  <c r="M20" i="81"/>
  <c r="M21" i="81"/>
  <c r="M13" i="81"/>
  <c r="AI10" i="81"/>
  <c r="AI9" i="81"/>
  <c r="AI8" i="81"/>
  <c r="AI7" i="81"/>
  <c r="AI6" i="81"/>
  <c r="AI5" i="81"/>
  <c r="AI4" i="81"/>
  <c r="AI3" i="81"/>
  <c r="AG10" i="81"/>
  <c r="AG9" i="81"/>
  <c r="AG8" i="81"/>
  <c r="AG7" i="81"/>
  <c r="AG6" i="81"/>
  <c r="AG5" i="81"/>
  <c r="AG4" i="81"/>
  <c r="AG3" i="81"/>
  <c r="AE10" i="81"/>
  <c r="AE9" i="81"/>
  <c r="AE8" i="81"/>
  <c r="AE7" i="81"/>
  <c r="AE6" i="81"/>
  <c r="AE5" i="81"/>
  <c r="AE4" i="81"/>
  <c r="AE3" i="81"/>
  <c r="AC10" i="81"/>
  <c r="AC9" i="81"/>
  <c r="AC8" i="81"/>
  <c r="AC7" i="81"/>
  <c r="AC6" i="81"/>
  <c r="AC5" i="81"/>
  <c r="AC4" i="81"/>
  <c r="AC3" i="81"/>
  <c r="AA10" i="81"/>
  <c r="AA9" i="81"/>
  <c r="AA8" i="81"/>
  <c r="AA7" i="81"/>
  <c r="AA6" i="81"/>
  <c r="AA5" i="81"/>
  <c r="AA4" i="81"/>
  <c r="AA3" i="81"/>
  <c r="Y10" i="81"/>
  <c r="Y9" i="81"/>
  <c r="Y8" i="81"/>
  <c r="Y7" i="81"/>
  <c r="Y6" i="81"/>
  <c r="Y5" i="81"/>
  <c r="Y4" i="81"/>
  <c r="Y3" i="81"/>
  <c r="W10" i="81"/>
  <c r="W9" i="81"/>
  <c r="W8" i="81"/>
  <c r="W7" i="81"/>
  <c r="W6" i="81"/>
  <c r="W5" i="81"/>
  <c r="W4" i="81"/>
  <c r="W3" i="81"/>
  <c r="U10" i="81"/>
  <c r="U9" i="81"/>
  <c r="U8" i="81"/>
  <c r="U7" i="81"/>
  <c r="U6" i="81"/>
  <c r="U5" i="81"/>
  <c r="U4" i="81"/>
  <c r="U3" i="81"/>
  <c r="S10" i="81"/>
  <c r="S9" i="81"/>
  <c r="S8" i="81"/>
  <c r="S7" i="81"/>
  <c r="S6" i="81"/>
  <c r="S5" i="81"/>
  <c r="S4" i="81"/>
  <c r="S3" i="81"/>
  <c r="Q10" i="81"/>
  <c r="Q9" i="81"/>
  <c r="Q8" i="81"/>
  <c r="Q7" i="81"/>
  <c r="Q6" i="81"/>
  <c r="Q5" i="81"/>
  <c r="Q4" i="81"/>
  <c r="Q3" i="81"/>
  <c r="O10" i="81"/>
  <c r="O9" i="81"/>
  <c r="O8" i="81"/>
  <c r="O7" i="81"/>
  <c r="O6" i="81"/>
  <c r="O5" i="81"/>
  <c r="O4" i="81"/>
  <c r="O3" i="81"/>
  <c r="M4" i="81"/>
  <c r="M5" i="81"/>
  <c r="M6" i="81"/>
  <c r="M7" i="81"/>
  <c r="M8" i="81"/>
  <c r="M9" i="81"/>
  <c r="M10" i="81"/>
  <c r="M3" i="81"/>
  <c r="C48" i="81" l="1"/>
  <c r="H48" i="81"/>
  <c r="D48" i="81"/>
  <c r="E48" i="81"/>
  <c r="F48" i="81"/>
  <c r="G48" i="81"/>
  <c r="M22" i="81"/>
  <c r="M11" i="81"/>
  <c r="AH22" i="81" l="1"/>
  <c r="X4" i="81"/>
  <c r="X5" i="81"/>
  <c r="X6" i="81"/>
  <c r="X7" i="81"/>
  <c r="X8" i="81"/>
  <c r="X9" i="81"/>
  <c r="X10" i="81"/>
  <c r="AJ11" i="81"/>
  <c r="P11" i="81"/>
  <c r="R11" i="81"/>
  <c r="T11" i="81"/>
  <c r="V11" i="81"/>
  <c r="X3" i="81"/>
  <c r="Z11" i="81"/>
  <c r="AB11" i="81"/>
  <c r="AD11" i="81"/>
  <c r="AF11" i="81"/>
  <c r="AH11" i="81"/>
  <c r="K14" i="81"/>
  <c r="AE22" i="81"/>
  <c r="K9" i="81"/>
  <c r="K8" i="81"/>
  <c r="L243" i="41"/>
  <c r="K243" i="41"/>
  <c r="L242" i="41"/>
  <c r="K242" i="41"/>
  <c r="L241" i="41"/>
  <c r="K241" i="41"/>
  <c r="L308" i="41"/>
  <c r="L309" i="41"/>
  <c r="L310" i="41"/>
  <c r="L311" i="41"/>
  <c r="L312" i="41"/>
  <c r="L313" i="41"/>
  <c r="L314" i="41"/>
  <c r="L315" i="41"/>
  <c r="L316" i="41"/>
  <c r="L317" i="41"/>
  <c r="L318" i="41"/>
  <c r="K308" i="41"/>
  <c r="K309" i="41"/>
  <c r="K310" i="41"/>
  <c r="K311" i="41"/>
  <c r="K312" i="41"/>
  <c r="K313" i="41"/>
  <c r="K314" i="41"/>
  <c r="K315" i="41"/>
  <c r="K316" i="41"/>
  <c r="K317" i="41"/>
  <c r="K318" i="41"/>
  <c r="J8" i="69"/>
  <c r="L7" i="69"/>
  <c r="J7" i="69"/>
  <c r="L182" i="41"/>
  <c r="K182" i="41"/>
  <c r="K141" i="41"/>
  <c r="L141" i="41"/>
  <c r="K140" i="41"/>
  <c r="L140" i="41"/>
  <c r="K135" i="41"/>
  <c r="L135" i="41"/>
  <c r="K136" i="41"/>
  <c r="L136" i="41"/>
  <c r="K137" i="41"/>
  <c r="L137" i="41"/>
  <c r="K138" i="41"/>
  <c r="L138" i="41"/>
  <c r="K139" i="41"/>
  <c r="L139" i="41"/>
  <c r="L133" i="41"/>
  <c r="K133" i="41"/>
  <c r="X11" i="81" l="1"/>
  <c r="L15" i="81"/>
  <c r="AJ22" i="81"/>
  <c r="K7" i="81"/>
  <c r="AA22" i="81"/>
  <c r="U22" i="81"/>
  <c r="K19" i="81"/>
  <c r="AA11" i="81"/>
  <c r="K20" i="81"/>
  <c r="Y11" i="81"/>
  <c r="L16" i="81"/>
  <c r="AC22" i="81"/>
  <c r="K15" i="81"/>
  <c r="AI11" i="81"/>
  <c r="L17" i="81"/>
  <c r="AF22" i="81"/>
  <c r="U11" i="81"/>
  <c r="L18" i="81"/>
  <c r="AD22" i="81"/>
  <c r="S11" i="81"/>
  <c r="L19" i="81"/>
  <c r="AB22" i="81"/>
  <c r="S22" i="81"/>
  <c r="K21" i="81"/>
  <c r="W11" i="81"/>
  <c r="L10" i="81"/>
  <c r="L9" i="81"/>
  <c r="L8" i="81"/>
  <c r="L7" i="81"/>
  <c r="L6" i="81"/>
  <c r="L5" i="81"/>
  <c r="L4" i="81"/>
  <c r="Z22" i="81"/>
  <c r="K16" i="81"/>
  <c r="AG11" i="81"/>
  <c r="Q22" i="81"/>
  <c r="AI22" i="81"/>
  <c r="Q11" i="81"/>
  <c r="K10" i="81"/>
  <c r="AG22" i="81"/>
  <c r="X22" i="81"/>
  <c r="V22" i="81"/>
  <c r="T22" i="81"/>
  <c r="L20" i="81"/>
  <c r="R22" i="81"/>
  <c r="L21" i="81"/>
  <c r="P22" i="81"/>
  <c r="L3" i="81"/>
  <c r="K4" i="81"/>
  <c r="K6" i="81"/>
  <c r="Y22" i="81"/>
  <c r="K17" i="81"/>
  <c r="AE11" i="81"/>
  <c r="K5" i="81"/>
  <c r="W22" i="81"/>
  <c r="K18" i="81"/>
  <c r="AC11" i="81"/>
  <c r="L14" i="81"/>
  <c r="N11" i="81"/>
  <c r="O22" i="81"/>
  <c r="K13" i="81"/>
  <c r="K3" i="81"/>
  <c r="O11" i="81"/>
  <c r="N22" i="81"/>
  <c r="L13" i="81"/>
  <c r="V4" i="53"/>
  <c r="H155" i="81"/>
  <c r="G155" i="81"/>
  <c r="F155" i="81"/>
  <c r="E155" i="81"/>
  <c r="D155" i="81"/>
  <c r="C155" i="81"/>
  <c r="H154" i="81"/>
  <c r="G154" i="81"/>
  <c r="F154" i="81"/>
  <c r="E154" i="81"/>
  <c r="D154" i="81"/>
  <c r="C154" i="81"/>
  <c r="H153" i="81"/>
  <c r="G153" i="81"/>
  <c r="F153" i="81"/>
  <c r="E153" i="81"/>
  <c r="D153" i="81"/>
  <c r="C153" i="81"/>
  <c r="H152" i="81"/>
  <c r="G152" i="81"/>
  <c r="F152" i="81"/>
  <c r="E152" i="81"/>
  <c r="D152" i="81"/>
  <c r="C152" i="81"/>
  <c r="H151" i="81"/>
  <c r="G151" i="81"/>
  <c r="F151" i="81"/>
  <c r="E151" i="81"/>
  <c r="D151" i="81"/>
  <c r="C151" i="81"/>
  <c r="H150" i="81"/>
  <c r="G150" i="81"/>
  <c r="F150" i="81"/>
  <c r="E150" i="81"/>
  <c r="D150" i="81"/>
  <c r="C150" i="81"/>
  <c r="H149" i="81"/>
  <c r="G149" i="81"/>
  <c r="F149" i="81"/>
  <c r="E149" i="81"/>
  <c r="D149" i="81"/>
  <c r="C149" i="81"/>
  <c r="H148" i="81"/>
  <c r="G148" i="81"/>
  <c r="F148" i="81"/>
  <c r="E148" i="81"/>
  <c r="D148" i="81"/>
  <c r="C148" i="81"/>
  <c r="H143" i="81"/>
  <c r="G143" i="81"/>
  <c r="F143" i="81"/>
  <c r="E143" i="81"/>
  <c r="D143" i="81"/>
  <c r="C143" i="81"/>
  <c r="H142" i="81"/>
  <c r="G142" i="81"/>
  <c r="F142" i="81"/>
  <c r="E142" i="81"/>
  <c r="D142" i="81"/>
  <c r="C142" i="81"/>
  <c r="H141" i="81"/>
  <c r="G141" i="81"/>
  <c r="F141" i="81"/>
  <c r="E141" i="81"/>
  <c r="D141" i="81"/>
  <c r="C141" i="81"/>
  <c r="H140" i="81"/>
  <c r="G140" i="81"/>
  <c r="F140" i="81"/>
  <c r="E140" i="81"/>
  <c r="D140" i="81"/>
  <c r="C140" i="81"/>
  <c r="H139" i="81"/>
  <c r="G139" i="81"/>
  <c r="F139" i="81"/>
  <c r="E139" i="81"/>
  <c r="D139" i="81"/>
  <c r="C139" i="81"/>
  <c r="H138" i="81"/>
  <c r="G138" i="81"/>
  <c r="F138" i="81"/>
  <c r="E138" i="81"/>
  <c r="D138" i="81"/>
  <c r="C138" i="81"/>
  <c r="H137" i="81"/>
  <c r="G137" i="81"/>
  <c r="F137" i="81"/>
  <c r="E137" i="81"/>
  <c r="D137" i="81"/>
  <c r="C137" i="81"/>
  <c r="H136" i="81"/>
  <c r="G136" i="81"/>
  <c r="F136" i="81"/>
  <c r="E136" i="81"/>
  <c r="D136" i="81"/>
  <c r="C136" i="81"/>
  <c r="H131" i="81"/>
  <c r="G131" i="81"/>
  <c r="F131" i="81"/>
  <c r="E131" i="81"/>
  <c r="D131" i="81"/>
  <c r="C131" i="81"/>
  <c r="H130" i="81"/>
  <c r="G130" i="81"/>
  <c r="F130" i="81"/>
  <c r="E130" i="81"/>
  <c r="D130" i="81"/>
  <c r="C130" i="81"/>
  <c r="H129" i="81"/>
  <c r="G129" i="81"/>
  <c r="F129" i="81"/>
  <c r="E129" i="81"/>
  <c r="D129" i="81"/>
  <c r="C129" i="81"/>
  <c r="H128" i="81"/>
  <c r="G128" i="81"/>
  <c r="F128" i="81"/>
  <c r="E128" i="81"/>
  <c r="D128" i="81"/>
  <c r="C128" i="81"/>
  <c r="H127" i="81"/>
  <c r="G127" i="81"/>
  <c r="F127" i="81"/>
  <c r="E127" i="81"/>
  <c r="D127" i="81"/>
  <c r="C127" i="81"/>
  <c r="H126" i="81"/>
  <c r="G126" i="81"/>
  <c r="F126" i="81"/>
  <c r="E126" i="81"/>
  <c r="D126" i="81"/>
  <c r="C126" i="81"/>
  <c r="H125" i="81"/>
  <c r="G125" i="81"/>
  <c r="F125" i="81"/>
  <c r="E125" i="81"/>
  <c r="D125" i="81"/>
  <c r="C125" i="81"/>
  <c r="H124" i="81"/>
  <c r="G124" i="81"/>
  <c r="F124" i="81"/>
  <c r="E124" i="81"/>
  <c r="D124" i="81"/>
  <c r="C124" i="81"/>
  <c r="H119" i="81"/>
  <c r="G119" i="81"/>
  <c r="F119" i="81"/>
  <c r="E119" i="81"/>
  <c r="D119" i="81"/>
  <c r="C119" i="81"/>
  <c r="H118" i="81"/>
  <c r="G118" i="81"/>
  <c r="F118" i="81"/>
  <c r="E118" i="81"/>
  <c r="D118" i="81"/>
  <c r="C118" i="81"/>
  <c r="H117" i="81"/>
  <c r="G117" i="81"/>
  <c r="F117" i="81"/>
  <c r="E117" i="81"/>
  <c r="D117" i="81"/>
  <c r="C117" i="81"/>
  <c r="H116" i="81"/>
  <c r="G116" i="81"/>
  <c r="F116" i="81"/>
  <c r="E116" i="81"/>
  <c r="D116" i="81"/>
  <c r="C116" i="81"/>
  <c r="H115" i="81"/>
  <c r="G115" i="81"/>
  <c r="F115" i="81"/>
  <c r="E115" i="81"/>
  <c r="D115" i="81"/>
  <c r="C115" i="81"/>
  <c r="H114" i="81"/>
  <c r="G114" i="81"/>
  <c r="F114" i="81"/>
  <c r="E114" i="81"/>
  <c r="D114" i="81"/>
  <c r="C114" i="81"/>
  <c r="H113" i="81"/>
  <c r="G113" i="81"/>
  <c r="F113" i="81"/>
  <c r="E113" i="81"/>
  <c r="D113" i="81"/>
  <c r="C113" i="81"/>
  <c r="H112" i="81"/>
  <c r="G112" i="81"/>
  <c r="F112" i="81"/>
  <c r="E112" i="81"/>
  <c r="D112" i="81"/>
  <c r="C112" i="81"/>
  <c r="H107" i="81"/>
  <c r="G107" i="81"/>
  <c r="F107" i="81"/>
  <c r="E107" i="81"/>
  <c r="D107" i="81"/>
  <c r="C107" i="81"/>
  <c r="H106" i="81"/>
  <c r="G106" i="81"/>
  <c r="F106" i="81"/>
  <c r="E106" i="81"/>
  <c r="D106" i="81"/>
  <c r="C106" i="81"/>
  <c r="H105" i="81"/>
  <c r="G105" i="81"/>
  <c r="F105" i="81"/>
  <c r="E105" i="81"/>
  <c r="D105" i="81"/>
  <c r="C105" i="81"/>
  <c r="H104" i="81"/>
  <c r="G104" i="81"/>
  <c r="F104" i="81"/>
  <c r="E104" i="81"/>
  <c r="D104" i="81"/>
  <c r="C104" i="81"/>
  <c r="H103" i="81"/>
  <c r="G103" i="81"/>
  <c r="F103" i="81"/>
  <c r="E103" i="81"/>
  <c r="D103" i="81"/>
  <c r="C103" i="81"/>
  <c r="H102" i="81"/>
  <c r="G102" i="81"/>
  <c r="F102" i="81"/>
  <c r="E102" i="81"/>
  <c r="D102" i="81"/>
  <c r="C102" i="81"/>
  <c r="H101" i="81"/>
  <c r="G101" i="81"/>
  <c r="F101" i="81"/>
  <c r="E101" i="81"/>
  <c r="D101" i="81"/>
  <c r="C101" i="81"/>
  <c r="H100" i="81"/>
  <c r="G100" i="81"/>
  <c r="F100" i="81"/>
  <c r="E100" i="81"/>
  <c r="D100" i="81"/>
  <c r="C100" i="81"/>
  <c r="H95" i="81"/>
  <c r="G95" i="81"/>
  <c r="F95" i="81"/>
  <c r="E95" i="81"/>
  <c r="D95" i="81"/>
  <c r="C95" i="81"/>
  <c r="H94" i="81"/>
  <c r="G94" i="81"/>
  <c r="F94" i="81"/>
  <c r="E94" i="81"/>
  <c r="D94" i="81"/>
  <c r="C94" i="81"/>
  <c r="H93" i="81"/>
  <c r="G93" i="81"/>
  <c r="F93" i="81"/>
  <c r="E93" i="81"/>
  <c r="D93" i="81"/>
  <c r="C93" i="81"/>
  <c r="H92" i="81"/>
  <c r="G92" i="81"/>
  <c r="F92" i="81"/>
  <c r="E92" i="81"/>
  <c r="D92" i="81"/>
  <c r="C92" i="81"/>
  <c r="H91" i="81"/>
  <c r="G91" i="81"/>
  <c r="F91" i="81"/>
  <c r="E91" i="81"/>
  <c r="D91" i="81"/>
  <c r="C91" i="81"/>
  <c r="H90" i="81"/>
  <c r="G90" i="81"/>
  <c r="F90" i="81"/>
  <c r="E90" i="81"/>
  <c r="D90" i="81"/>
  <c r="C90" i="81"/>
  <c r="H89" i="81"/>
  <c r="G89" i="81"/>
  <c r="F89" i="81"/>
  <c r="E89" i="81"/>
  <c r="D89" i="81"/>
  <c r="C89" i="81"/>
  <c r="H88" i="81"/>
  <c r="G88" i="81"/>
  <c r="F88" i="81"/>
  <c r="E88" i="81"/>
  <c r="D88" i="81"/>
  <c r="C88" i="81"/>
  <c r="H83" i="81"/>
  <c r="G83" i="81"/>
  <c r="F83" i="81"/>
  <c r="E83" i="81"/>
  <c r="D83" i="81"/>
  <c r="C83" i="81"/>
  <c r="H82" i="81"/>
  <c r="G82" i="81"/>
  <c r="F82" i="81"/>
  <c r="E82" i="81"/>
  <c r="D82" i="81"/>
  <c r="C82" i="81"/>
  <c r="H81" i="81"/>
  <c r="G81" i="81"/>
  <c r="F81" i="81"/>
  <c r="E81" i="81"/>
  <c r="D81" i="81"/>
  <c r="C81" i="81"/>
  <c r="H80" i="81"/>
  <c r="G80" i="81"/>
  <c r="F80" i="81"/>
  <c r="E80" i="81"/>
  <c r="D80" i="81"/>
  <c r="C80" i="81"/>
  <c r="H79" i="81"/>
  <c r="G79" i="81"/>
  <c r="F79" i="81"/>
  <c r="E79" i="81"/>
  <c r="D79" i="81"/>
  <c r="C79" i="81"/>
  <c r="H78" i="81"/>
  <c r="G78" i="81"/>
  <c r="F78" i="81"/>
  <c r="E78" i="81"/>
  <c r="D78" i="81"/>
  <c r="C78" i="81"/>
  <c r="H77" i="81"/>
  <c r="G77" i="81"/>
  <c r="F77" i="81"/>
  <c r="E77" i="81"/>
  <c r="D77" i="81"/>
  <c r="C77" i="81"/>
  <c r="H76" i="81"/>
  <c r="G76" i="81"/>
  <c r="F76" i="81"/>
  <c r="E76" i="81"/>
  <c r="D76" i="81"/>
  <c r="C76" i="81"/>
  <c r="H71" i="81"/>
  <c r="G71" i="81"/>
  <c r="F71" i="81"/>
  <c r="E71" i="81"/>
  <c r="D71" i="81"/>
  <c r="C71" i="81"/>
  <c r="H70" i="81"/>
  <c r="G70" i="81"/>
  <c r="F70" i="81"/>
  <c r="E70" i="81"/>
  <c r="D70" i="81"/>
  <c r="C70" i="81"/>
  <c r="H69" i="81"/>
  <c r="G69" i="81"/>
  <c r="F69" i="81"/>
  <c r="E69" i="81"/>
  <c r="D69" i="81"/>
  <c r="C69" i="81"/>
  <c r="H68" i="81"/>
  <c r="G68" i="81"/>
  <c r="F68" i="81"/>
  <c r="E68" i="81"/>
  <c r="D68" i="81"/>
  <c r="C68" i="81"/>
  <c r="H67" i="81"/>
  <c r="G67" i="81"/>
  <c r="F67" i="81"/>
  <c r="E67" i="81"/>
  <c r="D67" i="81"/>
  <c r="C67" i="81"/>
  <c r="H66" i="81"/>
  <c r="G66" i="81"/>
  <c r="F66" i="81"/>
  <c r="E66" i="81"/>
  <c r="D66" i="81"/>
  <c r="C66" i="81"/>
  <c r="H65" i="81"/>
  <c r="G65" i="81"/>
  <c r="F65" i="81"/>
  <c r="E65" i="81"/>
  <c r="D65" i="81"/>
  <c r="C65" i="81"/>
  <c r="H64" i="81"/>
  <c r="G64" i="81"/>
  <c r="F64" i="81"/>
  <c r="E64" i="81"/>
  <c r="D64" i="81"/>
  <c r="C64" i="81"/>
  <c r="H59" i="81"/>
  <c r="G59" i="81"/>
  <c r="F59" i="81"/>
  <c r="E59" i="81"/>
  <c r="D59" i="81"/>
  <c r="C59" i="81"/>
  <c r="H58" i="81"/>
  <c r="G58" i="81"/>
  <c r="F58" i="81"/>
  <c r="E58" i="81"/>
  <c r="D58" i="81"/>
  <c r="C58" i="81"/>
  <c r="H57" i="81"/>
  <c r="G57" i="81"/>
  <c r="F57" i="81"/>
  <c r="E57" i="81"/>
  <c r="D57" i="81"/>
  <c r="C57" i="81"/>
  <c r="H56" i="81"/>
  <c r="G56" i="81"/>
  <c r="F56" i="81"/>
  <c r="E56" i="81"/>
  <c r="D56" i="81"/>
  <c r="C56" i="81"/>
  <c r="H55" i="81"/>
  <c r="G55" i="81"/>
  <c r="F55" i="81"/>
  <c r="E55" i="81"/>
  <c r="D55" i="81"/>
  <c r="C55" i="81"/>
  <c r="H54" i="81"/>
  <c r="G54" i="81"/>
  <c r="F54" i="81"/>
  <c r="E54" i="81"/>
  <c r="D54" i="81"/>
  <c r="C54" i="81"/>
  <c r="H53" i="81"/>
  <c r="G53" i="81"/>
  <c r="F53" i="81"/>
  <c r="E53" i="81"/>
  <c r="D53" i="81"/>
  <c r="C53" i="81"/>
  <c r="H52" i="81"/>
  <c r="G52" i="81"/>
  <c r="F52" i="81"/>
  <c r="E52" i="81"/>
  <c r="D52" i="81"/>
  <c r="C52" i="81"/>
  <c r="H35" i="81"/>
  <c r="G35" i="81"/>
  <c r="F35" i="81"/>
  <c r="E35" i="81"/>
  <c r="D35" i="81"/>
  <c r="C35" i="81"/>
  <c r="H34" i="81"/>
  <c r="G34" i="81"/>
  <c r="F34" i="81"/>
  <c r="E34" i="81"/>
  <c r="D34" i="81"/>
  <c r="C34" i="81"/>
  <c r="H33" i="81"/>
  <c r="G33" i="81"/>
  <c r="F33" i="81"/>
  <c r="E33" i="81"/>
  <c r="D33" i="81"/>
  <c r="C33" i="81"/>
  <c r="H32" i="81"/>
  <c r="G32" i="81"/>
  <c r="F32" i="81"/>
  <c r="E32" i="81"/>
  <c r="D32" i="81"/>
  <c r="C32" i="81"/>
  <c r="H31" i="81"/>
  <c r="G31" i="81"/>
  <c r="F31" i="81"/>
  <c r="E31" i="81"/>
  <c r="D31" i="81"/>
  <c r="C31" i="81"/>
  <c r="H30" i="81"/>
  <c r="G30" i="81"/>
  <c r="F30" i="81"/>
  <c r="E30" i="81"/>
  <c r="D30" i="81"/>
  <c r="C30" i="81"/>
  <c r="H29" i="81"/>
  <c r="G29" i="81"/>
  <c r="F29" i="81"/>
  <c r="E29" i="81"/>
  <c r="D29" i="81"/>
  <c r="C29" i="81"/>
  <c r="H28" i="81"/>
  <c r="G28" i="81"/>
  <c r="F28" i="81"/>
  <c r="E28" i="81"/>
  <c r="D28" i="81"/>
  <c r="C28" i="81"/>
  <c r="H19" i="81"/>
  <c r="H18" i="81"/>
  <c r="H20" i="81"/>
  <c r="H17" i="81"/>
  <c r="H21" i="81"/>
  <c r="H22" i="81"/>
  <c r="H16" i="81"/>
  <c r="H23" i="81"/>
  <c r="G19" i="81"/>
  <c r="G20" i="81"/>
  <c r="G18" i="81"/>
  <c r="G21" i="81"/>
  <c r="G17" i="81"/>
  <c r="G22" i="81"/>
  <c r="G16" i="81"/>
  <c r="G23" i="81"/>
  <c r="F18" i="81"/>
  <c r="F19" i="81"/>
  <c r="F17" i="81"/>
  <c r="F20" i="81"/>
  <c r="F16" i="81"/>
  <c r="F21" i="81"/>
  <c r="F22" i="81"/>
  <c r="F23" i="81"/>
  <c r="E21" i="81"/>
  <c r="E22" i="81"/>
  <c r="E20" i="81"/>
  <c r="E19" i="81"/>
  <c r="E18" i="81"/>
  <c r="E23" i="81"/>
  <c r="E17" i="81"/>
  <c r="E16" i="81"/>
  <c r="D22" i="81"/>
  <c r="D19" i="81"/>
  <c r="D20" i="81"/>
  <c r="D18" i="81"/>
  <c r="D21" i="81"/>
  <c r="D17" i="81"/>
  <c r="D23" i="81"/>
  <c r="C21" i="81"/>
  <c r="C22" i="81"/>
  <c r="C20" i="81"/>
  <c r="C23" i="81"/>
  <c r="C19" i="81"/>
  <c r="C18" i="81"/>
  <c r="C17" i="81"/>
  <c r="D16" i="81"/>
  <c r="C16" i="81"/>
  <c r="K11" i="81" l="1"/>
  <c r="L11" i="81"/>
  <c r="L22" i="81"/>
  <c r="K22" i="81"/>
  <c r="W6" i="53"/>
  <c r="W7" i="53"/>
  <c r="W5" i="53"/>
  <c r="D96" i="81"/>
  <c r="D144" i="81"/>
  <c r="F96" i="81"/>
  <c r="F120" i="81"/>
  <c r="F144" i="81"/>
  <c r="F132" i="81"/>
  <c r="H144" i="81"/>
  <c r="D108" i="81"/>
  <c r="F36" i="81"/>
  <c r="F60" i="81"/>
  <c r="H156" i="81"/>
  <c r="G96" i="81"/>
  <c r="G108" i="81"/>
  <c r="G120" i="81"/>
  <c r="G132" i="81"/>
  <c r="G144" i="81"/>
  <c r="D156" i="81"/>
  <c r="H132" i="81"/>
  <c r="C108" i="81"/>
  <c r="E108" i="81"/>
  <c r="C120" i="81"/>
  <c r="C132" i="81"/>
  <c r="C144" i="81"/>
  <c r="H108" i="81"/>
  <c r="H120" i="81"/>
  <c r="E156" i="81"/>
  <c r="F156" i="81"/>
  <c r="G156" i="81"/>
  <c r="E36" i="81"/>
  <c r="E60" i="81"/>
  <c r="E84" i="81"/>
  <c r="E96" i="81"/>
  <c r="F108" i="81"/>
  <c r="E120" i="81"/>
  <c r="E132" i="81"/>
  <c r="E144" i="81"/>
  <c r="C84" i="81"/>
  <c r="C96" i="81"/>
  <c r="C36" i="81"/>
  <c r="C60" i="81"/>
  <c r="C156" i="81"/>
  <c r="G36" i="81"/>
  <c r="G60" i="81"/>
  <c r="H96" i="81"/>
  <c r="H36" i="81"/>
  <c r="H60" i="81"/>
  <c r="D120" i="81"/>
  <c r="D132" i="81"/>
  <c r="D36" i="81"/>
  <c r="D60" i="81"/>
  <c r="D84" i="81"/>
  <c r="F84" i="81"/>
  <c r="G84" i="81"/>
  <c r="H84" i="81"/>
  <c r="H72" i="81"/>
  <c r="C72" i="81"/>
  <c r="D72" i="81"/>
  <c r="E72" i="81"/>
  <c r="F72" i="81"/>
  <c r="G72" i="81"/>
  <c r="H24" i="81"/>
  <c r="G24" i="81"/>
  <c r="F24" i="81"/>
  <c r="E24" i="81"/>
  <c r="D24" i="81"/>
  <c r="C24" i="81"/>
  <c r="L106" i="41"/>
  <c r="K106" i="41"/>
  <c r="G11" i="80"/>
  <c r="J11" i="80"/>
  <c r="L24" i="81" l="1"/>
  <c r="K24" i="81"/>
  <c r="M5" i="53"/>
  <c r="N5" i="53"/>
  <c r="O5" i="53"/>
  <c r="P5" i="53"/>
  <c r="O7" i="53"/>
  <c r="N7" i="53"/>
  <c r="P7" i="53"/>
  <c r="M7" i="53"/>
  <c r="M6" i="53"/>
  <c r="O6" i="53"/>
  <c r="P6" i="53"/>
  <c r="N6" i="53"/>
  <c r="H12" i="81"/>
  <c r="F12" i="81"/>
  <c r="D12" i="81"/>
  <c r="C12" i="81"/>
  <c r="E12" i="81"/>
  <c r="G12" i="81"/>
  <c r="K101" i="41"/>
  <c r="L96" i="41"/>
  <c r="K96" i="41"/>
  <c r="L95" i="41"/>
  <c r="K95" i="41"/>
  <c r="L94" i="41"/>
  <c r="K94" i="41"/>
  <c r="L93" i="41"/>
  <c r="K93" i="41"/>
  <c r="K7" i="65"/>
  <c r="L7" i="65"/>
  <c r="L92" i="41"/>
  <c r="K92" i="41"/>
  <c r="K90" i="41"/>
  <c r="L90" i="41"/>
  <c r="J3" i="71"/>
  <c r="L3" i="71" s="1"/>
  <c r="L13" i="68"/>
  <c r="K13" i="68"/>
  <c r="L87" i="41"/>
  <c r="K87" i="41"/>
  <c r="L80" i="41"/>
  <c r="K80" i="41"/>
  <c r="L65" i="41"/>
  <c r="K65" i="41"/>
  <c r="L54" i="41"/>
  <c r="K54" i="41"/>
  <c r="K46" i="41"/>
  <c r="L46" i="41"/>
  <c r="K34" i="41"/>
  <c r="F4" i="53"/>
  <c r="G4" i="53"/>
  <c r="H4" i="53"/>
  <c r="I4" i="53"/>
  <c r="J4" i="53"/>
  <c r="K4" i="53"/>
  <c r="E4" i="53"/>
  <c r="K26" i="41"/>
  <c r="Q7" i="53" l="1"/>
  <c r="Q6" i="53"/>
  <c r="L23" i="41"/>
  <c r="K23" i="41"/>
  <c r="F38" i="80"/>
  <c r="F20" i="80"/>
  <c r="AU26" i="65" l="1"/>
  <c r="AU32" i="72"/>
  <c r="AU31" i="72"/>
  <c r="AU30" i="72"/>
  <c r="AU29" i="72"/>
  <c r="AU28" i="72"/>
  <c r="AU27" i="72"/>
  <c r="AU26" i="72"/>
  <c r="AU25" i="72"/>
  <c r="AU32" i="73"/>
  <c r="AU31" i="73"/>
  <c r="AU30" i="73"/>
  <c r="AU29" i="73"/>
  <c r="AU28" i="73"/>
  <c r="AU27" i="73"/>
  <c r="AU26" i="73"/>
  <c r="AU25" i="73"/>
  <c r="AU32" i="71"/>
  <c r="AU31" i="71"/>
  <c r="AU30" i="71"/>
  <c r="AU29" i="71"/>
  <c r="AU28" i="71"/>
  <c r="AU27" i="71"/>
  <c r="AU26" i="71"/>
  <c r="AU25" i="71"/>
  <c r="AU32" i="70"/>
  <c r="AU31" i="70"/>
  <c r="AU30" i="70"/>
  <c r="AU29" i="70"/>
  <c r="AU28" i="70"/>
  <c r="AU27" i="70"/>
  <c r="AU26" i="70"/>
  <c r="AU25" i="70"/>
  <c r="AU32" i="69"/>
  <c r="AU31" i="69"/>
  <c r="AU30" i="69"/>
  <c r="AU29" i="69"/>
  <c r="AU28" i="69"/>
  <c r="AU27" i="69"/>
  <c r="AU26" i="69"/>
  <c r="AU25" i="69"/>
  <c r="AU32" i="68"/>
  <c r="AU31" i="68"/>
  <c r="AU30" i="68"/>
  <c r="AU29" i="68"/>
  <c r="AU28" i="68"/>
  <c r="AU27" i="68"/>
  <c r="AU26" i="68"/>
  <c r="AU25" i="68"/>
  <c r="AU32" i="67"/>
  <c r="AU31" i="67"/>
  <c r="AU30" i="67"/>
  <c r="AU29" i="67"/>
  <c r="AU28" i="67"/>
  <c r="AU27" i="67"/>
  <c r="AU26" i="67"/>
  <c r="AU25" i="67"/>
  <c r="AU32" i="66"/>
  <c r="AU31" i="66"/>
  <c r="AU30" i="66"/>
  <c r="AU29" i="66"/>
  <c r="AU28" i="66"/>
  <c r="AU27" i="66"/>
  <c r="AU26" i="66"/>
  <c r="AU25" i="66"/>
  <c r="AU32" i="65"/>
  <c r="AU31" i="65"/>
  <c r="AU30" i="65"/>
  <c r="AU29" i="65"/>
  <c r="AU28" i="65"/>
  <c r="AU27" i="65"/>
  <c r="AU25" i="65"/>
  <c r="AU33" i="67" l="1"/>
  <c r="AV33" i="67" s="1"/>
  <c r="AU33" i="71"/>
  <c r="AV33" i="71" s="1"/>
  <c r="AU33" i="66"/>
  <c r="AV30" i="66" s="1"/>
  <c r="AU33" i="69"/>
  <c r="AV33" i="69" s="1"/>
  <c r="AU33" i="65"/>
  <c r="AV33" i="65" s="1"/>
  <c r="AU33" i="72"/>
  <c r="AV33" i="72" s="1"/>
  <c r="AU33" i="73"/>
  <c r="AV33" i="73" s="1"/>
  <c r="AU33" i="70"/>
  <c r="AV33" i="70" s="1"/>
  <c r="AU33" i="68"/>
  <c r="AV33" i="68" s="1"/>
  <c r="AV28" i="67"/>
  <c r="AV27" i="66"/>
  <c r="AU25" i="41"/>
  <c r="AU38" i="41" s="1"/>
  <c r="AU26" i="41"/>
  <c r="AU39" i="41" s="1"/>
  <c r="AU27" i="41"/>
  <c r="AU40" i="41" s="1"/>
  <c r="AU28" i="41"/>
  <c r="AU41" i="41" s="1"/>
  <c r="AU29" i="41"/>
  <c r="AU42" i="41" s="1"/>
  <c r="AU30" i="41"/>
  <c r="AU43" i="41" s="1"/>
  <c r="AU31" i="41"/>
  <c r="AU44" i="41" s="1"/>
  <c r="AU32" i="41"/>
  <c r="AU45" i="41" s="1"/>
  <c r="L16" i="41"/>
  <c r="K16" i="41"/>
  <c r="K9" i="41"/>
  <c r="L9" i="41"/>
  <c r="K3" i="66"/>
  <c r="L3" i="66"/>
  <c r="K4" i="66"/>
  <c r="L4" i="66"/>
  <c r="AV31" i="66" l="1"/>
  <c r="AV29" i="66"/>
  <c r="AV32" i="71"/>
  <c r="AV28" i="71"/>
  <c r="AV26" i="71"/>
  <c r="AV31" i="71"/>
  <c r="AV29" i="71"/>
  <c r="AV25" i="71"/>
  <c r="AV25" i="66"/>
  <c r="AV30" i="71"/>
  <c r="AV28" i="66"/>
  <c r="AV26" i="66"/>
  <c r="AV27" i="71"/>
  <c r="AV33" i="66"/>
  <c r="AV25" i="69"/>
  <c r="AV31" i="69"/>
  <c r="AV26" i="67"/>
  <c r="AV27" i="67"/>
  <c r="AV26" i="65"/>
  <c r="AV27" i="65"/>
  <c r="AV31" i="67"/>
  <c r="AV30" i="67"/>
  <c r="AV29" i="67"/>
  <c r="AV25" i="67"/>
  <c r="AV32" i="67"/>
  <c r="AV25" i="65"/>
  <c r="AV32" i="65"/>
  <c r="AV31" i="65"/>
  <c r="AV30" i="65"/>
  <c r="AV29" i="65"/>
  <c r="AV28" i="65"/>
  <c r="AV32" i="69"/>
  <c r="AV26" i="69"/>
  <c r="AV29" i="69"/>
  <c r="AV30" i="69"/>
  <c r="AV27" i="69"/>
  <c r="AV28" i="69"/>
  <c r="AV32" i="66"/>
  <c r="AV29" i="72"/>
  <c r="AV28" i="72"/>
  <c r="AV26" i="72"/>
  <c r="AV32" i="72"/>
  <c r="AV31" i="72"/>
  <c r="AV25" i="72"/>
  <c r="AV30" i="72"/>
  <c r="AV27" i="72"/>
  <c r="AV26" i="73"/>
  <c r="AV32" i="73"/>
  <c r="AV31" i="73"/>
  <c r="AV30" i="73"/>
  <c r="AV29" i="73"/>
  <c r="AV25" i="73"/>
  <c r="AV28" i="73"/>
  <c r="AV27" i="73"/>
  <c r="AV29" i="70"/>
  <c r="AV32" i="70"/>
  <c r="AV26" i="70"/>
  <c r="AV31" i="70"/>
  <c r="AV27" i="70"/>
  <c r="AV30" i="70"/>
  <c r="AV28" i="70"/>
  <c r="AV25" i="70"/>
  <c r="AV32" i="68"/>
  <c r="AV30" i="68"/>
  <c r="AV27" i="68"/>
  <c r="AV25" i="68"/>
  <c r="AV31" i="68"/>
  <c r="AV28" i="68"/>
  <c r="AV29" i="68"/>
  <c r="AV26" i="68"/>
  <c r="AU46" i="41"/>
  <c r="AV46" i="41" s="1"/>
  <c r="DC24" i="78"/>
  <c r="CY110" i="78" s="1"/>
  <c r="DB24" i="78"/>
  <c r="CY109" i="78" s="1"/>
  <c r="DA24" i="78"/>
  <c r="CY108" i="78" s="1"/>
  <c r="CZ24" i="78"/>
  <c r="CY107" i="78" s="1"/>
  <c r="CX24" i="78"/>
  <c r="CY105" i="78" s="1"/>
  <c r="DC18" i="78"/>
  <c r="CY104" i="78" s="1"/>
  <c r="DB18" i="78"/>
  <c r="CY103" i="78" s="1"/>
  <c r="DA18" i="78"/>
  <c r="CY102" i="78" s="1"/>
  <c r="CZ18" i="78"/>
  <c r="CY101" i="78" s="1"/>
  <c r="CY18" i="78"/>
  <c r="CY100" i="78" s="1"/>
  <c r="CX18" i="78"/>
  <c r="CY99" i="78" s="1"/>
  <c r="CT24" i="78"/>
  <c r="CP110" i="78" s="1"/>
  <c r="CS24" i="78"/>
  <c r="CP109" i="78" s="1"/>
  <c r="CR24" i="78"/>
  <c r="CP108" i="78" s="1"/>
  <c r="CQ24" i="78"/>
  <c r="CP107" i="78" s="1"/>
  <c r="CO24" i="78"/>
  <c r="CP105" i="78" s="1"/>
  <c r="CT18" i="78"/>
  <c r="CP104" i="78" s="1"/>
  <c r="CS18" i="78"/>
  <c r="CP103" i="78" s="1"/>
  <c r="CR18" i="78"/>
  <c r="CP102" i="78" s="1"/>
  <c r="CQ18" i="78"/>
  <c r="CP101" i="78" s="1"/>
  <c r="CP18" i="78"/>
  <c r="CP100" i="78" s="1"/>
  <c r="CO18" i="78"/>
  <c r="CP99" i="78" s="1"/>
  <c r="CK24" i="78"/>
  <c r="CG110" i="78" s="1"/>
  <c r="CJ24" i="78"/>
  <c r="CG109" i="78" s="1"/>
  <c r="CI24" i="78"/>
  <c r="CG108" i="78" s="1"/>
  <c r="CH24" i="78"/>
  <c r="CG107" i="78" s="1"/>
  <c r="CF24" i="78"/>
  <c r="CG105" i="78" s="1"/>
  <c r="CK18" i="78"/>
  <c r="CG104" i="78" s="1"/>
  <c r="CJ18" i="78"/>
  <c r="CG103" i="78" s="1"/>
  <c r="CI18" i="78"/>
  <c r="CG102" i="78" s="1"/>
  <c r="CH18" i="78"/>
  <c r="CG101" i="78" s="1"/>
  <c r="CG18" i="78"/>
  <c r="CG100" i="78" s="1"/>
  <c r="CF18" i="78"/>
  <c r="CG99" i="78" s="1"/>
  <c r="CB24" i="78"/>
  <c r="BX110" i="78" s="1"/>
  <c r="CA24" i="78"/>
  <c r="BX109" i="78" s="1"/>
  <c r="BZ24" i="78"/>
  <c r="BX108" i="78" s="1"/>
  <c r="BY24" i="78"/>
  <c r="BX107" i="78" s="1"/>
  <c r="BW24" i="78"/>
  <c r="BX105" i="78" s="1"/>
  <c r="CB18" i="78"/>
  <c r="BX104" i="78" s="1"/>
  <c r="CA18" i="78"/>
  <c r="BX103" i="78" s="1"/>
  <c r="BZ18" i="78"/>
  <c r="BX102" i="78" s="1"/>
  <c r="BY18" i="78"/>
  <c r="BX101" i="78" s="1"/>
  <c r="BX18" i="78"/>
  <c r="BX100" i="78" s="1"/>
  <c r="BW18" i="78"/>
  <c r="BX99" i="78" s="1"/>
  <c r="BS24" i="78"/>
  <c r="BO110" i="78" s="1"/>
  <c r="BR24" i="78"/>
  <c r="BO109" i="78" s="1"/>
  <c r="BQ24" i="78"/>
  <c r="BO108" i="78" s="1"/>
  <c r="BP24" i="78"/>
  <c r="BO107" i="78" s="1"/>
  <c r="BN24" i="78"/>
  <c r="BO105" i="78" s="1"/>
  <c r="BS18" i="78"/>
  <c r="BO104" i="78" s="1"/>
  <c r="BR18" i="78"/>
  <c r="BO103" i="78" s="1"/>
  <c r="BQ18" i="78"/>
  <c r="BO102" i="78" s="1"/>
  <c r="BP18" i="78"/>
  <c r="BO101" i="78" s="1"/>
  <c r="BO18" i="78"/>
  <c r="BO100" i="78" s="1"/>
  <c r="BN18" i="78"/>
  <c r="BO99" i="78" s="1"/>
  <c r="BJ24" i="78"/>
  <c r="BF110" i="78" s="1"/>
  <c r="BI24" i="78"/>
  <c r="BF109" i="78" s="1"/>
  <c r="BH24" i="78"/>
  <c r="BF108" i="78" s="1"/>
  <c r="BG24" i="78"/>
  <c r="BF107" i="78" s="1"/>
  <c r="BE24" i="78"/>
  <c r="BF105" i="78" s="1"/>
  <c r="BJ18" i="78"/>
  <c r="BF104" i="78" s="1"/>
  <c r="BI18" i="78"/>
  <c r="BF103" i="78" s="1"/>
  <c r="BH18" i="78"/>
  <c r="BF102" i="78" s="1"/>
  <c r="BG18" i="78"/>
  <c r="BF101" i="78" s="1"/>
  <c r="BF18" i="78"/>
  <c r="BF100" i="78" s="1"/>
  <c r="BE18" i="78"/>
  <c r="BF99" i="78" s="1"/>
  <c r="BA24" i="78"/>
  <c r="AW110" i="78" s="1"/>
  <c r="AZ24" i="78"/>
  <c r="AW109" i="78" s="1"/>
  <c r="AY24" i="78"/>
  <c r="AW108" i="78" s="1"/>
  <c r="AX24" i="78"/>
  <c r="AW107" i="78" s="1"/>
  <c r="AV24" i="78"/>
  <c r="AW105" i="78" s="1"/>
  <c r="BA18" i="78"/>
  <c r="AW104" i="78" s="1"/>
  <c r="AZ18" i="78"/>
  <c r="AW103" i="78" s="1"/>
  <c r="AY18" i="78"/>
  <c r="AW102" i="78" s="1"/>
  <c r="AX18" i="78"/>
  <c r="AW101" i="78" s="1"/>
  <c r="AW18" i="78"/>
  <c r="AW100" i="78" s="1"/>
  <c r="AV18" i="78"/>
  <c r="AW99" i="78" s="1"/>
  <c r="AR24" i="78"/>
  <c r="AN110" i="78" s="1"/>
  <c r="AQ24" i="78"/>
  <c r="AN109" i="78" s="1"/>
  <c r="AP24" i="78"/>
  <c r="AN108" i="78" s="1"/>
  <c r="AO24" i="78"/>
  <c r="AN107" i="78" s="1"/>
  <c r="AM24" i="78"/>
  <c r="AN105" i="78" s="1"/>
  <c r="AR18" i="78"/>
  <c r="AN104" i="78" s="1"/>
  <c r="AQ18" i="78"/>
  <c r="AN103" i="78" s="1"/>
  <c r="AP18" i="78"/>
  <c r="AN102" i="78" s="1"/>
  <c r="AO18" i="78"/>
  <c r="AN101" i="78" s="1"/>
  <c r="AN18" i="78"/>
  <c r="AN100" i="78" s="1"/>
  <c r="AM18" i="78"/>
  <c r="AN99" i="78" s="1"/>
  <c r="AI24" i="78"/>
  <c r="AE110" i="78" s="1"/>
  <c r="AH24" i="78"/>
  <c r="AE109" i="78" s="1"/>
  <c r="AG24" i="78"/>
  <c r="AE108" i="78" s="1"/>
  <c r="AF24" i="78"/>
  <c r="AE107" i="78" s="1"/>
  <c r="AD24" i="78"/>
  <c r="AE105" i="78" s="1"/>
  <c r="AI18" i="78"/>
  <c r="AE104" i="78" s="1"/>
  <c r="AH18" i="78"/>
  <c r="AE103" i="78" s="1"/>
  <c r="AG18" i="78"/>
  <c r="AE102" i="78" s="1"/>
  <c r="AF18" i="78"/>
  <c r="AE101" i="78" s="1"/>
  <c r="AE18" i="78"/>
  <c r="AE100" i="78" s="1"/>
  <c r="AD18" i="78"/>
  <c r="AE99" i="78" s="1"/>
  <c r="Z24" i="78"/>
  <c r="V110" i="78" s="1"/>
  <c r="Y24" i="78"/>
  <c r="V109" i="78" s="1"/>
  <c r="X24" i="78"/>
  <c r="V108" i="78" s="1"/>
  <c r="W24" i="78"/>
  <c r="V107" i="78" s="1"/>
  <c r="U24" i="78"/>
  <c r="V105" i="78" s="1"/>
  <c r="Z18" i="78"/>
  <c r="V104" i="78" s="1"/>
  <c r="Y18" i="78"/>
  <c r="V103" i="78" s="1"/>
  <c r="X18" i="78"/>
  <c r="V102" i="78" s="1"/>
  <c r="W18" i="78"/>
  <c r="V101" i="78" s="1"/>
  <c r="V18" i="78"/>
  <c r="V100" i="78" s="1"/>
  <c r="U18" i="78"/>
  <c r="V99" i="78" s="1"/>
  <c r="Q24" i="78"/>
  <c r="M110" i="78" s="1"/>
  <c r="P24" i="78"/>
  <c r="M109" i="78" s="1"/>
  <c r="O24" i="78"/>
  <c r="M108" i="78" s="1"/>
  <c r="N24" i="78"/>
  <c r="M107" i="78" s="1"/>
  <c r="L24" i="78"/>
  <c r="M105" i="78" s="1"/>
  <c r="Q18" i="78"/>
  <c r="M104" i="78" s="1"/>
  <c r="P18" i="78"/>
  <c r="M103" i="78" s="1"/>
  <c r="O18" i="78"/>
  <c r="M102" i="78" s="1"/>
  <c r="N18" i="78"/>
  <c r="M101" i="78" s="1"/>
  <c r="M18" i="78"/>
  <c r="M100" i="78" s="1"/>
  <c r="L18" i="78"/>
  <c r="M99" i="78" s="1"/>
  <c r="AV39" i="41" l="1"/>
  <c r="AV38" i="41"/>
  <c r="AV40" i="41"/>
  <c r="AV41" i="41"/>
  <c r="AV42" i="41"/>
  <c r="AV43" i="41"/>
  <c r="AV44" i="41"/>
  <c r="AV45" i="41"/>
  <c r="H24" i="78"/>
  <c r="D110" i="78" s="1"/>
  <c r="G24" i="78"/>
  <c r="D109" i="78" s="1"/>
  <c r="F24" i="78"/>
  <c r="D108" i="78" s="1"/>
  <c r="E24" i="78"/>
  <c r="D107" i="78" s="1"/>
  <c r="C24" i="78"/>
  <c r="D105" i="78" s="1"/>
  <c r="H18" i="78"/>
  <c r="D104" i="78" s="1"/>
  <c r="G18" i="78"/>
  <c r="D103" i="78" s="1"/>
  <c r="F18" i="78"/>
  <c r="D102" i="78" s="1"/>
  <c r="E18" i="78"/>
  <c r="D101" i="78" s="1"/>
  <c r="D18" i="78"/>
  <c r="D100" i="78" s="1"/>
  <c r="C18" i="78"/>
  <c r="D99" i="78" s="1"/>
  <c r="F103" i="53" l="1"/>
  <c r="G103" i="53"/>
  <c r="H103" i="53"/>
  <c r="I103" i="53"/>
  <c r="J103" i="53"/>
  <c r="K103" i="53"/>
  <c r="L103" i="53"/>
  <c r="M103" i="53"/>
  <c r="N103" i="53"/>
  <c r="O103" i="53"/>
  <c r="P103" i="53"/>
  <c r="E103" i="53"/>
  <c r="Q101" i="53"/>
  <c r="Q103" i="53" s="1"/>
  <c r="AU4" i="41" l="1"/>
  <c r="AU4" i="65"/>
  <c r="AU4" i="67"/>
  <c r="AU4" i="68"/>
  <c r="AU4" i="69"/>
  <c r="AU4" i="70"/>
  <c r="AU4" i="71"/>
  <c r="AU4" i="73"/>
  <c r="AU4" i="72"/>
  <c r="AU4" i="66"/>
  <c r="AU5" i="65"/>
  <c r="AV5" i="65"/>
  <c r="AU6" i="65"/>
  <c r="AV6" i="65"/>
  <c r="AU7" i="65"/>
  <c r="AV7" i="65"/>
  <c r="AU8" i="65"/>
  <c r="AV8" i="65"/>
  <c r="AU9" i="65"/>
  <c r="AV9" i="65"/>
  <c r="AU10" i="65"/>
  <c r="AV10" i="65"/>
  <c r="AU11" i="65"/>
  <c r="AV11" i="65"/>
  <c r="AU12" i="65"/>
  <c r="AV12" i="65"/>
  <c r="AU13" i="65"/>
  <c r="AV13" i="65"/>
  <c r="AU14" i="65"/>
  <c r="AV14" i="65"/>
  <c r="AU15" i="65"/>
  <c r="AV15" i="65"/>
  <c r="AU5" i="66"/>
  <c r="AV5" i="66"/>
  <c r="AU6" i="66"/>
  <c r="AV6" i="66"/>
  <c r="AU7" i="66"/>
  <c r="AV7" i="66"/>
  <c r="AU8" i="66"/>
  <c r="AV8" i="66"/>
  <c r="AU9" i="66"/>
  <c r="AV9" i="66"/>
  <c r="AU10" i="66"/>
  <c r="AV10" i="66"/>
  <c r="AU11" i="66"/>
  <c r="AV11" i="66"/>
  <c r="AU12" i="66"/>
  <c r="AV12" i="66"/>
  <c r="AU13" i="66"/>
  <c r="AV13" i="66"/>
  <c r="AU14" i="66"/>
  <c r="AV14" i="66"/>
  <c r="AU15" i="66"/>
  <c r="AV15" i="66"/>
  <c r="AU5" i="67"/>
  <c r="AV5" i="67"/>
  <c r="AU6" i="67"/>
  <c r="AV6" i="67"/>
  <c r="AU7" i="67"/>
  <c r="AV7" i="67"/>
  <c r="AU8" i="67"/>
  <c r="AV8" i="67"/>
  <c r="AU9" i="67"/>
  <c r="AV9" i="67"/>
  <c r="AU10" i="67"/>
  <c r="AV10" i="67"/>
  <c r="AU11" i="67"/>
  <c r="AV11" i="67"/>
  <c r="AU12" i="67"/>
  <c r="AV12" i="67"/>
  <c r="AU13" i="67"/>
  <c r="AV13" i="67"/>
  <c r="AU14" i="67"/>
  <c r="AV14" i="67"/>
  <c r="AU15" i="67"/>
  <c r="AV15" i="67"/>
  <c r="AU5" i="68"/>
  <c r="AV5" i="68"/>
  <c r="AU6" i="68"/>
  <c r="AV6" i="68"/>
  <c r="AU7" i="68"/>
  <c r="AV7" i="68"/>
  <c r="AU8" i="68"/>
  <c r="AV8" i="68"/>
  <c r="AU9" i="68"/>
  <c r="AV9" i="68"/>
  <c r="AU10" i="68"/>
  <c r="AV10" i="68"/>
  <c r="AU11" i="68"/>
  <c r="AV11" i="68"/>
  <c r="AU12" i="68"/>
  <c r="AV12" i="68"/>
  <c r="AU13" i="68"/>
  <c r="AV13" i="68"/>
  <c r="AU14" i="68"/>
  <c r="AV14" i="68"/>
  <c r="AU15" i="68"/>
  <c r="AV15" i="68"/>
  <c r="AU5" i="69"/>
  <c r="AV5" i="69"/>
  <c r="AU6" i="69"/>
  <c r="AV6" i="69"/>
  <c r="AU7" i="69"/>
  <c r="AV7" i="69"/>
  <c r="AU8" i="69"/>
  <c r="AV8" i="69"/>
  <c r="AU9" i="69"/>
  <c r="AV9" i="69"/>
  <c r="AU10" i="69"/>
  <c r="AV10" i="69"/>
  <c r="AU11" i="69"/>
  <c r="AV11" i="69"/>
  <c r="AU12" i="69"/>
  <c r="AV12" i="69"/>
  <c r="AU13" i="69"/>
  <c r="AV13" i="69"/>
  <c r="AU14" i="69"/>
  <c r="AV14" i="69"/>
  <c r="AU15" i="69"/>
  <c r="AV15" i="69"/>
  <c r="AU5" i="70"/>
  <c r="AV5" i="70"/>
  <c r="AU6" i="70"/>
  <c r="AV6" i="70"/>
  <c r="AU7" i="70"/>
  <c r="AV7" i="70"/>
  <c r="AU8" i="70"/>
  <c r="AV8" i="70"/>
  <c r="AU9" i="70"/>
  <c r="AV9" i="70"/>
  <c r="AU10" i="70"/>
  <c r="AV10" i="70"/>
  <c r="AU11" i="70"/>
  <c r="AV11" i="70"/>
  <c r="AU12" i="70"/>
  <c r="AV12" i="70"/>
  <c r="AU13" i="70"/>
  <c r="AV13" i="70"/>
  <c r="AU14" i="70"/>
  <c r="AV14" i="70"/>
  <c r="AU15" i="70"/>
  <c r="AV15" i="70"/>
  <c r="AU5" i="71"/>
  <c r="AV5" i="71"/>
  <c r="AU6" i="71"/>
  <c r="AV6" i="71"/>
  <c r="AU7" i="71"/>
  <c r="AV7" i="71"/>
  <c r="AU8" i="71"/>
  <c r="AV8" i="71"/>
  <c r="AU9" i="71"/>
  <c r="AV9" i="71"/>
  <c r="AU10" i="71"/>
  <c r="AV10" i="71"/>
  <c r="AU11" i="71"/>
  <c r="AV11" i="71"/>
  <c r="AU12" i="71"/>
  <c r="AV12" i="71"/>
  <c r="AU13" i="71"/>
  <c r="AV13" i="71"/>
  <c r="AU14" i="71"/>
  <c r="AV14" i="71"/>
  <c r="AU15" i="71"/>
  <c r="AV15" i="71"/>
  <c r="AU5" i="73"/>
  <c r="AV5" i="73"/>
  <c r="AU6" i="73"/>
  <c r="AV6" i="73"/>
  <c r="AU7" i="73"/>
  <c r="AV7" i="73"/>
  <c r="AU8" i="73"/>
  <c r="AV8" i="73"/>
  <c r="AU9" i="73"/>
  <c r="AV9" i="73"/>
  <c r="AU10" i="73"/>
  <c r="AV10" i="73"/>
  <c r="AU11" i="73"/>
  <c r="AV11" i="73"/>
  <c r="AU12" i="73"/>
  <c r="AV12" i="73"/>
  <c r="AU13" i="73"/>
  <c r="AV13" i="73"/>
  <c r="AU14" i="73"/>
  <c r="AV14" i="73"/>
  <c r="AU15" i="73"/>
  <c r="AV15" i="73"/>
  <c r="AU5" i="72"/>
  <c r="AV5" i="72"/>
  <c r="AU6" i="72"/>
  <c r="AV6" i="72"/>
  <c r="AU7" i="72"/>
  <c r="AV7" i="72"/>
  <c r="AU8" i="72"/>
  <c r="AV8" i="72"/>
  <c r="AU9" i="72"/>
  <c r="AV9" i="72"/>
  <c r="AU10" i="72"/>
  <c r="AV10" i="72"/>
  <c r="AU11" i="72"/>
  <c r="AV11" i="72"/>
  <c r="AU12" i="72"/>
  <c r="AV12" i="72"/>
  <c r="AU13" i="72"/>
  <c r="AV13" i="72"/>
  <c r="AU14" i="72"/>
  <c r="AV14" i="72"/>
  <c r="AU15" i="72"/>
  <c r="AV15" i="72"/>
  <c r="AU5" i="41"/>
  <c r="AV5" i="41"/>
  <c r="AU6" i="41"/>
  <c r="AV6" i="41"/>
  <c r="AU7" i="41"/>
  <c r="AV7" i="41"/>
  <c r="AU8" i="41"/>
  <c r="AV8" i="41"/>
  <c r="AU9" i="41"/>
  <c r="AV9" i="41"/>
  <c r="AU10" i="41"/>
  <c r="AV10" i="41"/>
  <c r="AU11" i="41"/>
  <c r="AV11" i="41"/>
  <c r="AU12" i="41"/>
  <c r="AV12" i="41"/>
  <c r="AU13" i="41"/>
  <c r="AV13" i="41"/>
  <c r="AU14" i="41"/>
  <c r="AV14" i="41"/>
  <c r="AU15" i="41"/>
  <c r="AV15" i="41"/>
  <c r="AV4" i="65"/>
  <c r="AV4" i="66"/>
  <c r="AV4" i="67"/>
  <c r="AV4" i="68"/>
  <c r="AV4" i="69"/>
  <c r="AV4" i="70"/>
  <c r="AV4" i="71"/>
  <c r="AV4" i="73"/>
  <c r="AV4" i="72"/>
  <c r="AV4" i="41"/>
  <c r="AV16" i="73" l="1"/>
  <c r="AV16" i="70"/>
  <c r="AV16" i="67"/>
  <c r="AV16" i="69"/>
  <c r="W26" i="53"/>
  <c r="V22" i="53"/>
  <c r="AV16" i="71"/>
  <c r="AV16" i="65"/>
  <c r="V27" i="53"/>
  <c r="AV16" i="68"/>
  <c r="W27" i="53"/>
  <c r="AV16" i="66"/>
  <c r="W25" i="53"/>
  <c r="V23" i="53"/>
  <c r="V26" i="53"/>
  <c r="V24" i="53"/>
  <c r="W32" i="53"/>
  <c r="V32" i="53"/>
  <c r="W31" i="53"/>
  <c r="V30" i="53"/>
  <c r="W29" i="53"/>
  <c r="W23" i="53"/>
  <c r="V29" i="53"/>
  <c r="W28" i="53"/>
  <c r="W22" i="53"/>
  <c r="V28" i="53"/>
  <c r="V25" i="53"/>
  <c r="V31" i="53"/>
  <c r="AV16" i="72"/>
  <c r="W30" i="53"/>
  <c r="W24" i="53"/>
  <c r="AU16" i="66"/>
  <c r="AU16" i="72"/>
  <c r="AU17" i="72" s="1"/>
  <c r="AU16" i="73"/>
  <c r="AV17" i="73" s="1"/>
  <c r="AU16" i="71"/>
  <c r="AU17" i="71" s="1"/>
  <c r="AU16" i="70"/>
  <c r="AU16" i="69"/>
  <c r="AU16" i="68"/>
  <c r="AU16" i="67"/>
  <c r="AU16" i="65"/>
  <c r="AV16" i="41"/>
  <c r="AU16" i="41"/>
  <c r="V21" i="53"/>
  <c r="W21" i="53"/>
  <c r="AV17" i="65" l="1"/>
  <c r="AV17" i="67"/>
  <c r="AV17" i="70"/>
  <c r="AV17" i="69"/>
  <c r="AU17" i="66"/>
  <c r="AU17" i="70"/>
  <c r="W33" i="53"/>
  <c r="AU17" i="68"/>
  <c r="AU17" i="73"/>
  <c r="AV17" i="72"/>
  <c r="AV17" i="66"/>
  <c r="AV17" i="71"/>
  <c r="AV17" i="68"/>
  <c r="AU17" i="69"/>
  <c r="AU17" i="67"/>
  <c r="V33" i="53"/>
  <c r="AU17" i="65"/>
  <c r="AV17" i="41"/>
  <c r="AU17" i="41"/>
  <c r="K6" i="41"/>
  <c r="L6" i="41"/>
  <c r="K3" i="65"/>
  <c r="L3" i="65"/>
  <c r="AQ12" i="65" s="1"/>
  <c r="AE4" i="65"/>
  <c r="AF4" i="65"/>
  <c r="AG4" i="65"/>
  <c r="AH4" i="65"/>
  <c r="AJ4" i="65"/>
  <c r="AK4" i="65"/>
  <c r="AL4" i="65"/>
  <c r="AM4" i="65"/>
  <c r="AO4" i="65"/>
  <c r="AP4" i="65"/>
  <c r="AQ4" i="65"/>
  <c r="AR4" i="65"/>
  <c r="AE5" i="65"/>
  <c r="AF5" i="65"/>
  <c r="AG5" i="65"/>
  <c r="AH5" i="65"/>
  <c r="AJ5" i="65"/>
  <c r="AK5" i="65"/>
  <c r="AL5" i="65"/>
  <c r="AM5" i="65"/>
  <c r="AO5" i="65"/>
  <c r="AP5" i="65"/>
  <c r="AQ5" i="65"/>
  <c r="AR5" i="65"/>
  <c r="AE6" i="65"/>
  <c r="AF6" i="65"/>
  <c r="AG6" i="65"/>
  <c r="AH6" i="65"/>
  <c r="AJ6" i="65"/>
  <c r="AK6" i="65"/>
  <c r="AL6" i="65"/>
  <c r="AM6" i="65"/>
  <c r="AO6" i="65"/>
  <c r="AP6" i="65"/>
  <c r="AQ6" i="65"/>
  <c r="AR6" i="65"/>
  <c r="AE7" i="65"/>
  <c r="AF7" i="65"/>
  <c r="AG7" i="65"/>
  <c r="AH7" i="65"/>
  <c r="AJ7" i="65"/>
  <c r="AK7" i="65"/>
  <c r="AL7" i="65"/>
  <c r="AM7" i="65"/>
  <c r="AO7" i="65"/>
  <c r="AP7" i="65"/>
  <c r="AQ7" i="65"/>
  <c r="AR7" i="65"/>
  <c r="AE9" i="65"/>
  <c r="AF9" i="65"/>
  <c r="AG9" i="65"/>
  <c r="AH9" i="65"/>
  <c r="AJ9" i="65"/>
  <c r="AK9" i="65"/>
  <c r="AL9" i="65"/>
  <c r="AM9" i="65"/>
  <c r="AO9" i="65"/>
  <c r="AP9" i="65"/>
  <c r="AQ9" i="65"/>
  <c r="AR9" i="65"/>
  <c r="AE10" i="65"/>
  <c r="AF10" i="65"/>
  <c r="AG10" i="65"/>
  <c r="AH10" i="65"/>
  <c r="AJ10" i="65"/>
  <c r="AK10" i="65"/>
  <c r="AL10" i="65"/>
  <c r="AM10" i="65"/>
  <c r="AO10" i="65"/>
  <c r="AP10" i="65"/>
  <c r="AQ10" i="65"/>
  <c r="AR10" i="65"/>
  <c r="AE11" i="65"/>
  <c r="AF11" i="65"/>
  <c r="AG11" i="65"/>
  <c r="AH11" i="65"/>
  <c r="AJ11" i="65"/>
  <c r="AK11" i="65"/>
  <c r="AL11" i="65"/>
  <c r="AM11" i="65"/>
  <c r="AO11" i="65"/>
  <c r="AP11" i="65"/>
  <c r="AQ11" i="65"/>
  <c r="AR11" i="65"/>
  <c r="AE12" i="65"/>
  <c r="AF12" i="65"/>
  <c r="AG12" i="65"/>
  <c r="AH12" i="65"/>
  <c r="AJ12" i="65"/>
  <c r="AK12" i="65"/>
  <c r="AL12" i="65"/>
  <c r="AM12" i="65"/>
  <c r="AO12" i="65"/>
  <c r="AP12" i="65"/>
  <c r="AR12" i="65"/>
  <c r="AE13" i="65"/>
  <c r="AF13" i="65"/>
  <c r="AG13" i="65"/>
  <c r="AH13" i="65"/>
  <c r="AJ13" i="65"/>
  <c r="AK13" i="65"/>
  <c r="AL13" i="65"/>
  <c r="AM13" i="65"/>
  <c r="AO13" i="65"/>
  <c r="AP13" i="65"/>
  <c r="AQ13" i="65"/>
  <c r="AR13" i="65"/>
  <c r="AE15" i="65"/>
  <c r="AF15" i="65"/>
  <c r="AG15" i="65"/>
  <c r="AH15" i="65"/>
  <c r="AJ15" i="65"/>
  <c r="AK15" i="65"/>
  <c r="AL15" i="65"/>
  <c r="AM15" i="65"/>
  <c r="AO15" i="65"/>
  <c r="AP15" i="65"/>
  <c r="AQ15" i="65"/>
  <c r="AR15" i="65"/>
  <c r="AE16" i="65"/>
  <c r="AF16" i="65"/>
  <c r="AG16" i="65"/>
  <c r="AH16" i="65"/>
  <c r="AJ16" i="65"/>
  <c r="AK16" i="65"/>
  <c r="AL16" i="65"/>
  <c r="AM16" i="65"/>
  <c r="AO16" i="65"/>
  <c r="AP16" i="65"/>
  <c r="AQ16" i="65"/>
  <c r="AR16" i="65"/>
  <c r="AE17" i="65"/>
  <c r="AF17" i="65"/>
  <c r="AG17" i="65"/>
  <c r="AH17" i="65"/>
  <c r="AJ17" i="65"/>
  <c r="AK17" i="65"/>
  <c r="AL17" i="65"/>
  <c r="AM17" i="65"/>
  <c r="AO17" i="65"/>
  <c r="AP17" i="65"/>
  <c r="AQ17" i="65"/>
  <c r="AR17" i="65"/>
  <c r="AE18" i="65"/>
  <c r="AF18" i="65"/>
  <c r="AG18" i="65"/>
  <c r="AH18" i="65"/>
  <c r="AJ18" i="65"/>
  <c r="AK18" i="65"/>
  <c r="AL18" i="65"/>
  <c r="AM18" i="65"/>
  <c r="AO18" i="65"/>
  <c r="AP18" i="65"/>
  <c r="AQ18" i="65"/>
  <c r="AR18" i="65"/>
  <c r="AE19" i="65"/>
  <c r="AF19" i="65"/>
  <c r="AG19" i="65"/>
  <c r="AH19" i="65"/>
  <c r="AJ19" i="65"/>
  <c r="AK19" i="65"/>
  <c r="AL19" i="65"/>
  <c r="AM19" i="65"/>
  <c r="AO19" i="65"/>
  <c r="AP19" i="65"/>
  <c r="AQ19" i="65"/>
  <c r="AR19" i="65"/>
  <c r="AE21" i="65"/>
  <c r="AF21" i="65"/>
  <c r="AG21" i="65"/>
  <c r="AH21" i="65"/>
  <c r="AJ21" i="65"/>
  <c r="AK21" i="65"/>
  <c r="AL21" i="65"/>
  <c r="AM21" i="65"/>
  <c r="AO21" i="65"/>
  <c r="AP21" i="65"/>
  <c r="AQ21" i="65"/>
  <c r="AR21" i="65"/>
  <c r="AE22" i="65"/>
  <c r="AF22" i="65"/>
  <c r="AG22" i="65"/>
  <c r="AH22" i="65"/>
  <c r="AJ22" i="65"/>
  <c r="AK22" i="65"/>
  <c r="AL22" i="65"/>
  <c r="AM22" i="65"/>
  <c r="AO22" i="65"/>
  <c r="AP22" i="65"/>
  <c r="AQ22" i="65"/>
  <c r="AR22" i="65"/>
  <c r="AE23" i="65"/>
  <c r="AF23" i="65"/>
  <c r="AG23" i="65"/>
  <c r="AH23" i="65"/>
  <c r="AJ23" i="65"/>
  <c r="AK23" i="65"/>
  <c r="AL23" i="65"/>
  <c r="AM23" i="65"/>
  <c r="AO23" i="65"/>
  <c r="AP23" i="65"/>
  <c r="AQ23" i="65"/>
  <c r="AR23" i="65"/>
  <c r="AE24" i="65"/>
  <c r="AF24" i="65"/>
  <c r="AG24" i="65"/>
  <c r="AH24" i="65"/>
  <c r="AJ24" i="65"/>
  <c r="AK24" i="65"/>
  <c r="AL24" i="65"/>
  <c r="AM24" i="65"/>
  <c r="AO24" i="65"/>
  <c r="AP24" i="65"/>
  <c r="AQ24" i="65"/>
  <c r="AR24" i="65"/>
  <c r="AE25" i="65"/>
  <c r="AF25" i="65"/>
  <c r="AG25" i="65"/>
  <c r="AH25" i="65"/>
  <c r="AJ25" i="65"/>
  <c r="AK25" i="65"/>
  <c r="AL25" i="65"/>
  <c r="AM25" i="65"/>
  <c r="AO25" i="65"/>
  <c r="AP25" i="65"/>
  <c r="AQ25" i="65"/>
  <c r="AR25" i="65"/>
  <c r="AE27" i="65"/>
  <c r="AF27" i="65"/>
  <c r="AG27" i="65"/>
  <c r="AH27" i="65"/>
  <c r="AJ27" i="65"/>
  <c r="AK27" i="65"/>
  <c r="AL27" i="65"/>
  <c r="AM27" i="65"/>
  <c r="AO27" i="65"/>
  <c r="AP27" i="65"/>
  <c r="AQ27" i="65"/>
  <c r="AR27" i="65"/>
  <c r="AE28" i="65"/>
  <c r="AF28" i="65"/>
  <c r="AG28" i="65"/>
  <c r="AH28" i="65"/>
  <c r="AJ28" i="65"/>
  <c r="AK28" i="65"/>
  <c r="AL28" i="65"/>
  <c r="AM28" i="65"/>
  <c r="AO28" i="65"/>
  <c r="AP28" i="65"/>
  <c r="AR28" i="65"/>
  <c r="AE29" i="65"/>
  <c r="AF29" i="65"/>
  <c r="AG29" i="65"/>
  <c r="AH29" i="65"/>
  <c r="AJ29" i="65"/>
  <c r="AK29" i="65"/>
  <c r="AL29" i="65"/>
  <c r="AM29" i="65"/>
  <c r="AO29" i="65"/>
  <c r="AP29" i="65"/>
  <c r="AQ29" i="65"/>
  <c r="AR29" i="65"/>
  <c r="AE30" i="65"/>
  <c r="AF30" i="65"/>
  <c r="AG30" i="65"/>
  <c r="AH30" i="65"/>
  <c r="AJ30" i="65"/>
  <c r="AK30" i="65"/>
  <c r="AL30" i="65"/>
  <c r="AM30" i="65"/>
  <c r="AO30" i="65"/>
  <c r="AP30" i="65"/>
  <c r="AR30" i="65"/>
  <c r="AE31" i="65"/>
  <c r="AF31" i="65"/>
  <c r="AG31" i="65"/>
  <c r="AH31" i="65"/>
  <c r="AJ31" i="65"/>
  <c r="AK31" i="65"/>
  <c r="AL31" i="65"/>
  <c r="AM31" i="65"/>
  <c r="AO31" i="65"/>
  <c r="AP31" i="65"/>
  <c r="AQ31" i="65"/>
  <c r="AR31" i="65"/>
  <c r="AE33" i="65"/>
  <c r="AF33" i="65"/>
  <c r="AG33" i="65"/>
  <c r="AH33" i="65"/>
  <c r="AJ33" i="65"/>
  <c r="AK33" i="65"/>
  <c r="AL33" i="65"/>
  <c r="AM33" i="65"/>
  <c r="AO33" i="65"/>
  <c r="AP33" i="65"/>
  <c r="AQ33" i="65"/>
  <c r="AR33" i="65"/>
  <c r="AE34" i="65"/>
  <c r="AF34" i="65"/>
  <c r="AG34" i="65"/>
  <c r="AH34" i="65"/>
  <c r="AJ34" i="65"/>
  <c r="AK34" i="65"/>
  <c r="AL34" i="65"/>
  <c r="AM34" i="65"/>
  <c r="AO34" i="65"/>
  <c r="AP34" i="65"/>
  <c r="AQ34" i="65"/>
  <c r="AR34" i="65"/>
  <c r="AE35" i="65"/>
  <c r="AF35" i="65"/>
  <c r="AG35" i="65"/>
  <c r="AH35" i="65"/>
  <c r="AJ35" i="65"/>
  <c r="AK35" i="65"/>
  <c r="AL35" i="65"/>
  <c r="AM35" i="65"/>
  <c r="AO35" i="65"/>
  <c r="AP35" i="65"/>
  <c r="AR35" i="65"/>
  <c r="AE36" i="65"/>
  <c r="AF36" i="65"/>
  <c r="AG36" i="65"/>
  <c r="AH36" i="65"/>
  <c r="AJ36" i="65"/>
  <c r="AK36" i="65"/>
  <c r="AL36" i="65"/>
  <c r="AM36" i="65"/>
  <c r="AO36" i="65"/>
  <c r="AP36" i="65"/>
  <c r="AQ36" i="65"/>
  <c r="AR36" i="65"/>
  <c r="AE37" i="65"/>
  <c r="AF37" i="65"/>
  <c r="AG37" i="65"/>
  <c r="AH37" i="65"/>
  <c r="AJ37" i="65"/>
  <c r="AK37" i="65"/>
  <c r="AL37" i="65"/>
  <c r="AM37" i="65"/>
  <c r="AO37" i="65"/>
  <c r="AP37" i="65"/>
  <c r="AQ37" i="65"/>
  <c r="AR37" i="65"/>
  <c r="AE39" i="65"/>
  <c r="AF39" i="65"/>
  <c r="AG39" i="65"/>
  <c r="AH39" i="65"/>
  <c r="AJ39" i="65"/>
  <c r="AK39" i="65"/>
  <c r="AL39" i="65"/>
  <c r="AM39" i="65"/>
  <c r="AO39" i="65"/>
  <c r="AP39" i="65"/>
  <c r="AQ39" i="65"/>
  <c r="AR39" i="65"/>
  <c r="AE40" i="65"/>
  <c r="AF40" i="65"/>
  <c r="AG40" i="65"/>
  <c r="AH40" i="65"/>
  <c r="AJ40" i="65"/>
  <c r="AK40" i="65"/>
  <c r="AL40" i="65"/>
  <c r="AM40" i="65"/>
  <c r="AO40" i="65"/>
  <c r="AP40" i="65"/>
  <c r="AQ40" i="65"/>
  <c r="AR40" i="65"/>
  <c r="AE41" i="65"/>
  <c r="AF41" i="65"/>
  <c r="AG41" i="65"/>
  <c r="AH41" i="65"/>
  <c r="AJ41" i="65"/>
  <c r="AK41" i="65"/>
  <c r="AL41" i="65"/>
  <c r="AM41" i="65"/>
  <c r="AO41" i="65"/>
  <c r="AP41" i="65"/>
  <c r="AQ41" i="65"/>
  <c r="AR41" i="65"/>
  <c r="AE42" i="65"/>
  <c r="AF42" i="65"/>
  <c r="AG42" i="65"/>
  <c r="AH42" i="65"/>
  <c r="AJ42" i="65"/>
  <c r="AK42" i="65"/>
  <c r="AL42" i="65"/>
  <c r="AM42" i="65"/>
  <c r="AO42" i="65"/>
  <c r="AP42" i="65"/>
  <c r="AQ42" i="65"/>
  <c r="AR42" i="65"/>
  <c r="AE43" i="65"/>
  <c r="AF43" i="65"/>
  <c r="AG43" i="65"/>
  <c r="AH43" i="65"/>
  <c r="AJ43" i="65"/>
  <c r="AK43" i="65"/>
  <c r="AL43" i="65"/>
  <c r="AM43" i="65"/>
  <c r="AO43" i="65"/>
  <c r="AP43" i="65"/>
  <c r="AQ43" i="65"/>
  <c r="AR43" i="65"/>
  <c r="AE45" i="65"/>
  <c r="AF45" i="65"/>
  <c r="AG45" i="65"/>
  <c r="AH45" i="65"/>
  <c r="AJ45" i="65"/>
  <c r="AK45" i="65"/>
  <c r="AL45" i="65"/>
  <c r="AM45" i="65"/>
  <c r="AO45" i="65"/>
  <c r="AP45" i="65"/>
  <c r="AQ45" i="65"/>
  <c r="AR45" i="65"/>
  <c r="AE46" i="65"/>
  <c r="AF46" i="65"/>
  <c r="AG46" i="65"/>
  <c r="AH46" i="65"/>
  <c r="AJ46" i="65"/>
  <c r="AK46" i="65"/>
  <c r="AL46" i="65"/>
  <c r="AM46" i="65"/>
  <c r="AO46" i="65"/>
  <c r="AP46" i="65"/>
  <c r="AQ46" i="65"/>
  <c r="AR46" i="65"/>
  <c r="AE47" i="65"/>
  <c r="AF47" i="65"/>
  <c r="AG47" i="65"/>
  <c r="AH47" i="65"/>
  <c r="AJ47" i="65"/>
  <c r="AK47" i="65"/>
  <c r="AL47" i="65"/>
  <c r="AM47" i="65"/>
  <c r="AO47" i="65"/>
  <c r="AP47" i="65"/>
  <c r="AQ47" i="65"/>
  <c r="AR47" i="65"/>
  <c r="AE48" i="65"/>
  <c r="AF48" i="65"/>
  <c r="AG48" i="65"/>
  <c r="AH48" i="65"/>
  <c r="AJ48" i="65"/>
  <c r="AK48" i="65"/>
  <c r="AL48" i="65"/>
  <c r="AM48" i="65"/>
  <c r="AO48" i="65"/>
  <c r="AP48" i="65"/>
  <c r="AQ48" i="65"/>
  <c r="AR48" i="65"/>
  <c r="AE49" i="65"/>
  <c r="AF49" i="65"/>
  <c r="AG49" i="65"/>
  <c r="AH49" i="65"/>
  <c r="AJ49" i="65"/>
  <c r="AK49" i="65"/>
  <c r="AL49" i="65"/>
  <c r="AM49" i="65"/>
  <c r="AO49" i="65"/>
  <c r="AP49" i="65"/>
  <c r="AQ49" i="65"/>
  <c r="AR49" i="65"/>
  <c r="AE51" i="65"/>
  <c r="AF51" i="65"/>
  <c r="AG51" i="65"/>
  <c r="AH51" i="65"/>
  <c r="AJ51" i="65"/>
  <c r="AK51" i="65"/>
  <c r="AL51" i="65"/>
  <c r="AM51" i="65"/>
  <c r="AO51" i="65"/>
  <c r="AP51" i="65"/>
  <c r="AQ51" i="65"/>
  <c r="AR51" i="65"/>
  <c r="AE52" i="65"/>
  <c r="AF52" i="65"/>
  <c r="AG52" i="65"/>
  <c r="AH52" i="65"/>
  <c r="AJ52" i="65"/>
  <c r="AK52" i="65"/>
  <c r="AL52" i="65"/>
  <c r="AM52" i="65"/>
  <c r="AO52" i="65"/>
  <c r="AQ52" i="65"/>
  <c r="AR52" i="65"/>
  <c r="AE53" i="65"/>
  <c r="AF53" i="65"/>
  <c r="AG53" i="65"/>
  <c r="AH53" i="65"/>
  <c r="AJ53" i="65"/>
  <c r="AK53" i="65"/>
  <c r="AL53" i="65"/>
  <c r="AM53" i="65"/>
  <c r="AO53" i="65"/>
  <c r="AP53" i="65"/>
  <c r="AR53" i="65"/>
  <c r="AE54" i="65"/>
  <c r="AF54" i="65"/>
  <c r="AG54" i="65"/>
  <c r="AH54" i="65"/>
  <c r="AJ54" i="65"/>
  <c r="AK54" i="65"/>
  <c r="AL54" i="65"/>
  <c r="AM54" i="65"/>
  <c r="AO54" i="65"/>
  <c r="AP54" i="65"/>
  <c r="AQ54" i="65"/>
  <c r="AR54" i="65"/>
  <c r="AE55" i="65"/>
  <c r="AF55" i="65"/>
  <c r="AG55" i="65"/>
  <c r="AH55" i="65"/>
  <c r="AJ55" i="65"/>
  <c r="AK55" i="65"/>
  <c r="AL55" i="65"/>
  <c r="AM55" i="65"/>
  <c r="AO55" i="65"/>
  <c r="AP55" i="65"/>
  <c r="AQ55" i="65"/>
  <c r="AR55" i="65"/>
  <c r="AE57" i="65"/>
  <c r="AF57" i="65"/>
  <c r="AG57" i="65"/>
  <c r="AH57" i="65"/>
  <c r="AJ57" i="65"/>
  <c r="AK57" i="65"/>
  <c r="AL57" i="65"/>
  <c r="AM57" i="65"/>
  <c r="AO57" i="65"/>
  <c r="AP57" i="65"/>
  <c r="AQ57" i="65"/>
  <c r="AR57" i="65"/>
  <c r="AE58" i="65"/>
  <c r="AF58" i="65"/>
  <c r="AG58" i="65"/>
  <c r="AH58" i="65"/>
  <c r="AJ58" i="65"/>
  <c r="AK58" i="65"/>
  <c r="AL58" i="65"/>
  <c r="AM58" i="65"/>
  <c r="AO58" i="65"/>
  <c r="AP58" i="65"/>
  <c r="AQ58" i="65"/>
  <c r="AR58" i="65"/>
  <c r="AE59" i="65"/>
  <c r="AF59" i="65"/>
  <c r="AG59" i="65"/>
  <c r="AH59" i="65"/>
  <c r="AJ59" i="65"/>
  <c r="AK59" i="65"/>
  <c r="AL59" i="65"/>
  <c r="AM59" i="65"/>
  <c r="AO59" i="65"/>
  <c r="AP59" i="65"/>
  <c r="AQ59" i="65"/>
  <c r="AR59" i="65"/>
  <c r="AE60" i="65"/>
  <c r="AF60" i="65"/>
  <c r="AG60" i="65"/>
  <c r="AH60" i="65"/>
  <c r="AJ60" i="65"/>
  <c r="AK60" i="65"/>
  <c r="AL60" i="65"/>
  <c r="AM60" i="65"/>
  <c r="AO60" i="65"/>
  <c r="AP60" i="65"/>
  <c r="AQ60" i="65"/>
  <c r="AR60" i="65"/>
  <c r="AE61" i="65"/>
  <c r="AF61" i="65"/>
  <c r="AG61" i="65"/>
  <c r="AH61" i="65"/>
  <c r="AJ61" i="65"/>
  <c r="AK61" i="65"/>
  <c r="AL61" i="65"/>
  <c r="AM61" i="65"/>
  <c r="AO61" i="65"/>
  <c r="AP61" i="65"/>
  <c r="AQ61" i="65"/>
  <c r="AR61" i="65"/>
  <c r="AE63" i="65"/>
  <c r="AF63" i="65"/>
  <c r="AG63" i="65"/>
  <c r="AH63" i="65"/>
  <c r="AJ63" i="65"/>
  <c r="AK63" i="65"/>
  <c r="AL63" i="65"/>
  <c r="AM63" i="65"/>
  <c r="AO63" i="65"/>
  <c r="AP63" i="65"/>
  <c r="AQ63" i="65"/>
  <c r="AR63" i="65"/>
  <c r="AE64" i="65"/>
  <c r="AF64" i="65"/>
  <c r="AG64" i="65"/>
  <c r="AH64" i="65"/>
  <c r="AJ64" i="65"/>
  <c r="AK64" i="65"/>
  <c r="AL64" i="65"/>
  <c r="AM64" i="65"/>
  <c r="AO64" i="65"/>
  <c r="AP64" i="65"/>
  <c r="AQ64" i="65"/>
  <c r="AR64" i="65"/>
  <c r="AE65" i="65"/>
  <c r="AF65" i="65"/>
  <c r="AG65" i="65"/>
  <c r="AH65" i="65"/>
  <c r="AJ65" i="65"/>
  <c r="AK65" i="65"/>
  <c r="AL65" i="65"/>
  <c r="AM65" i="65"/>
  <c r="AQ65" i="65"/>
  <c r="AR65" i="65"/>
  <c r="AE66" i="65"/>
  <c r="AF66" i="65"/>
  <c r="AG66" i="65"/>
  <c r="AH66" i="65"/>
  <c r="AJ66" i="65"/>
  <c r="AK66" i="65"/>
  <c r="AL66" i="65"/>
  <c r="AM66" i="65"/>
  <c r="AO66" i="65"/>
  <c r="AP66" i="65"/>
  <c r="AQ66" i="65"/>
  <c r="AR66" i="65"/>
  <c r="AE67" i="65"/>
  <c r="AF67" i="65"/>
  <c r="AG67" i="65"/>
  <c r="AH67" i="65"/>
  <c r="AJ67" i="65"/>
  <c r="AK67" i="65"/>
  <c r="AL67" i="65"/>
  <c r="AM67" i="65"/>
  <c r="AO67" i="65"/>
  <c r="AP67" i="65"/>
  <c r="AQ67" i="65"/>
  <c r="AR67" i="65"/>
  <c r="AE69" i="65"/>
  <c r="AF69" i="65"/>
  <c r="AG69" i="65"/>
  <c r="AH69" i="65"/>
  <c r="AJ69" i="65"/>
  <c r="AK69" i="65"/>
  <c r="AL69" i="65"/>
  <c r="AM69" i="65"/>
  <c r="AO69" i="65"/>
  <c r="AP69" i="65"/>
  <c r="AQ69" i="65"/>
  <c r="AR69" i="65"/>
  <c r="AE70" i="65"/>
  <c r="AF70" i="65"/>
  <c r="AG70" i="65"/>
  <c r="AH70" i="65"/>
  <c r="AJ70" i="65"/>
  <c r="AK70" i="65"/>
  <c r="AL70" i="65"/>
  <c r="AM70" i="65"/>
  <c r="AO70" i="65"/>
  <c r="AP70" i="65"/>
  <c r="AQ70" i="65"/>
  <c r="AR70" i="65"/>
  <c r="AE71" i="65"/>
  <c r="AF71" i="65"/>
  <c r="AG71" i="65"/>
  <c r="AH71" i="65"/>
  <c r="AJ71" i="65"/>
  <c r="AK71" i="65"/>
  <c r="AL71" i="65"/>
  <c r="AM71" i="65"/>
  <c r="AO71" i="65"/>
  <c r="AP71" i="65"/>
  <c r="AQ71" i="65"/>
  <c r="AR71" i="65"/>
  <c r="AE72" i="65"/>
  <c r="AF72" i="65"/>
  <c r="AG72" i="65"/>
  <c r="AH72" i="65"/>
  <c r="AJ72" i="65"/>
  <c r="AK72" i="65"/>
  <c r="AL72" i="65"/>
  <c r="AM72" i="65"/>
  <c r="AO72" i="65"/>
  <c r="AP72" i="65"/>
  <c r="AQ72" i="65"/>
  <c r="AR72" i="65"/>
  <c r="AE73" i="65"/>
  <c r="AF73" i="65"/>
  <c r="AG73" i="65"/>
  <c r="AH73" i="65"/>
  <c r="AJ73" i="65"/>
  <c r="AK73" i="65"/>
  <c r="AL73" i="65"/>
  <c r="AM73" i="65"/>
  <c r="AO73" i="65"/>
  <c r="AP73" i="65"/>
  <c r="AQ73" i="65"/>
  <c r="AR73" i="65"/>
  <c r="AE4" i="66"/>
  <c r="AF4" i="66"/>
  <c r="AG4" i="66"/>
  <c r="AH4" i="66"/>
  <c r="AJ4" i="66"/>
  <c r="AK4" i="66"/>
  <c r="AL4" i="66"/>
  <c r="AM4" i="66"/>
  <c r="AO4" i="66"/>
  <c r="AP4" i="66"/>
  <c r="AQ4" i="66"/>
  <c r="AR4" i="66"/>
  <c r="AE5" i="66"/>
  <c r="AF5" i="66"/>
  <c r="AG5" i="66"/>
  <c r="AH5" i="66"/>
  <c r="AJ5" i="66"/>
  <c r="AK5" i="66"/>
  <c r="AL5" i="66"/>
  <c r="AM5" i="66"/>
  <c r="AO5" i="66"/>
  <c r="AP5" i="66"/>
  <c r="AQ5" i="66"/>
  <c r="AR5" i="66"/>
  <c r="AE6" i="66"/>
  <c r="AF6" i="66"/>
  <c r="AG6" i="66"/>
  <c r="AH6" i="66"/>
  <c r="AJ6" i="66"/>
  <c r="AK6" i="66"/>
  <c r="AL6" i="66"/>
  <c r="AM6" i="66"/>
  <c r="AO6" i="66"/>
  <c r="AP6" i="66"/>
  <c r="AQ6" i="66"/>
  <c r="AR6" i="66"/>
  <c r="AE7" i="66"/>
  <c r="AF7" i="66"/>
  <c r="AG7" i="66"/>
  <c r="AH7" i="66"/>
  <c r="AJ7" i="66"/>
  <c r="AK7" i="66"/>
  <c r="AL7" i="66"/>
  <c r="AM7" i="66"/>
  <c r="AO7" i="66"/>
  <c r="AP7" i="66"/>
  <c r="AQ7" i="66"/>
  <c r="AR7" i="66"/>
  <c r="AE9" i="66"/>
  <c r="AF9" i="66"/>
  <c r="AG9" i="66"/>
  <c r="AH9" i="66"/>
  <c r="AJ9" i="66"/>
  <c r="AK9" i="66"/>
  <c r="AL9" i="66"/>
  <c r="AM9" i="66"/>
  <c r="AO9" i="66"/>
  <c r="AP9" i="66"/>
  <c r="AQ9" i="66"/>
  <c r="AR9" i="66"/>
  <c r="AE10" i="66"/>
  <c r="AF10" i="66"/>
  <c r="AG10" i="66"/>
  <c r="AH10" i="66"/>
  <c r="AJ10" i="66"/>
  <c r="AK10" i="66"/>
  <c r="AL10" i="66"/>
  <c r="AM10" i="66"/>
  <c r="AO10" i="66"/>
  <c r="AP10" i="66"/>
  <c r="AQ10" i="66"/>
  <c r="AR10" i="66"/>
  <c r="AE11" i="66"/>
  <c r="AF11" i="66"/>
  <c r="AG11" i="66"/>
  <c r="AH11" i="66"/>
  <c r="AJ11" i="66"/>
  <c r="AK11" i="66"/>
  <c r="AL11" i="66"/>
  <c r="AM11" i="66"/>
  <c r="AO11" i="66"/>
  <c r="AP11" i="66"/>
  <c r="AQ11" i="66"/>
  <c r="AR11" i="66"/>
  <c r="AE12" i="66"/>
  <c r="AF12" i="66"/>
  <c r="AG12" i="66"/>
  <c r="AH12" i="66"/>
  <c r="AJ12" i="66"/>
  <c r="AK12" i="66"/>
  <c r="AL12" i="66"/>
  <c r="AM12" i="66"/>
  <c r="AO12" i="66"/>
  <c r="AP12" i="66"/>
  <c r="AQ12" i="66"/>
  <c r="AR12" i="66"/>
  <c r="AE13" i="66"/>
  <c r="AF13" i="66"/>
  <c r="AG13" i="66"/>
  <c r="AH13" i="66"/>
  <c r="AJ13" i="66"/>
  <c r="AK13" i="66"/>
  <c r="AL13" i="66"/>
  <c r="AM13" i="66"/>
  <c r="AO13" i="66"/>
  <c r="AP13" i="66"/>
  <c r="AQ13" i="66"/>
  <c r="AR13" i="66"/>
  <c r="AE15" i="66"/>
  <c r="AF15" i="66"/>
  <c r="AG15" i="66"/>
  <c r="AH15" i="66"/>
  <c r="AJ15" i="66"/>
  <c r="AK15" i="66"/>
  <c r="AL15" i="66"/>
  <c r="AM15" i="66"/>
  <c r="AO15" i="66"/>
  <c r="AP15" i="66"/>
  <c r="AQ15" i="66"/>
  <c r="AR15" i="66"/>
  <c r="AE16" i="66"/>
  <c r="AF16" i="66"/>
  <c r="AG16" i="66"/>
  <c r="AH16" i="66"/>
  <c r="AJ16" i="66"/>
  <c r="AK16" i="66"/>
  <c r="AL16" i="66"/>
  <c r="AM16" i="66"/>
  <c r="AO16" i="66"/>
  <c r="AP16" i="66"/>
  <c r="AQ16" i="66"/>
  <c r="AR16" i="66"/>
  <c r="AE17" i="66"/>
  <c r="AF17" i="66"/>
  <c r="AG17" i="66"/>
  <c r="AH17" i="66"/>
  <c r="AJ17" i="66"/>
  <c r="AK17" i="66"/>
  <c r="AL17" i="66"/>
  <c r="AM17" i="66"/>
  <c r="AO17" i="66"/>
  <c r="AP17" i="66"/>
  <c r="AQ17" i="66"/>
  <c r="AR17" i="66"/>
  <c r="AE18" i="66"/>
  <c r="AF18" i="66"/>
  <c r="AG18" i="66"/>
  <c r="AH18" i="66"/>
  <c r="AJ18" i="66"/>
  <c r="AK18" i="66"/>
  <c r="AL18" i="66"/>
  <c r="AM18" i="66"/>
  <c r="AO18" i="66"/>
  <c r="AP18" i="66"/>
  <c r="AQ18" i="66"/>
  <c r="AR18" i="66"/>
  <c r="AE19" i="66"/>
  <c r="AF19" i="66"/>
  <c r="AG19" i="66"/>
  <c r="AH19" i="66"/>
  <c r="AJ19" i="66"/>
  <c r="AK19" i="66"/>
  <c r="AL19" i="66"/>
  <c r="AM19" i="66"/>
  <c r="AO19" i="66"/>
  <c r="AP19" i="66"/>
  <c r="AQ19" i="66"/>
  <c r="AR19" i="66"/>
  <c r="AE21" i="66"/>
  <c r="AF21" i="66"/>
  <c r="AG21" i="66"/>
  <c r="AH21" i="66"/>
  <c r="AJ21" i="66"/>
  <c r="AK21" i="66"/>
  <c r="AL21" i="66"/>
  <c r="AM21" i="66"/>
  <c r="AO21" i="66"/>
  <c r="AP21" i="66"/>
  <c r="AQ21" i="66"/>
  <c r="AR21" i="66"/>
  <c r="AE22" i="66"/>
  <c r="AF22" i="66"/>
  <c r="AG22" i="66"/>
  <c r="AH22" i="66"/>
  <c r="AJ22" i="66"/>
  <c r="AK22" i="66"/>
  <c r="AL22" i="66"/>
  <c r="AM22" i="66"/>
  <c r="AO22" i="66"/>
  <c r="AP22" i="66"/>
  <c r="AQ22" i="66"/>
  <c r="AR22" i="66"/>
  <c r="AE23" i="66"/>
  <c r="AF23" i="66"/>
  <c r="AG23" i="66"/>
  <c r="AH23" i="66"/>
  <c r="AJ23" i="66"/>
  <c r="AK23" i="66"/>
  <c r="AL23" i="66"/>
  <c r="AM23" i="66"/>
  <c r="AO23" i="66"/>
  <c r="AP23" i="66"/>
  <c r="AQ23" i="66"/>
  <c r="AR23" i="66"/>
  <c r="AE24" i="66"/>
  <c r="AF24" i="66"/>
  <c r="AG24" i="66"/>
  <c r="AH24" i="66"/>
  <c r="AJ24" i="66"/>
  <c r="AK24" i="66"/>
  <c r="AL24" i="66"/>
  <c r="AM24" i="66"/>
  <c r="AO24" i="66"/>
  <c r="AP24" i="66"/>
  <c r="AQ24" i="66"/>
  <c r="AR24" i="66"/>
  <c r="AE25" i="66"/>
  <c r="AF25" i="66"/>
  <c r="AG25" i="66"/>
  <c r="AH25" i="66"/>
  <c r="AJ25" i="66"/>
  <c r="AK25" i="66"/>
  <c r="AL25" i="66"/>
  <c r="AM25" i="66"/>
  <c r="AO25" i="66"/>
  <c r="AP25" i="66"/>
  <c r="AQ25" i="66"/>
  <c r="AR25" i="66"/>
  <c r="AE27" i="66"/>
  <c r="AF27" i="66"/>
  <c r="AG27" i="66"/>
  <c r="AH27" i="66"/>
  <c r="AJ27" i="66"/>
  <c r="AK27" i="66"/>
  <c r="AL27" i="66"/>
  <c r="AM27" i="66"/>
  <c r="AO27" i="66"/>
  <c r="AP27" i="66"/>
  <c r="AQ27" i="66"/>
  <c r="AR27" i="66"/>
  <c r="AE28" i="66"/>
  <c r="AF28" i="66"/>
  <c r="AG28" i="66"/>
  <c r="AH28" i="66"/>
  <c r="AJ28" i="66"/>
  <c r="AK28" i="66"/>
  <c r="AL28" i="66"/>
  <c r="AM28" i="66"/>
  <c r="AO28" i="66"/>
  <c r="AP28" i="66"/>
  <c r="AQ28" i="66"/>
  <c r="AR28" i="66"/>
  <c r="AE29" i="66"/>
  <c r="AF29" i="66"/>
  <c r="AG29" i="66"/>
  <c r="AH29" i="66"/>
  <c r="AJ29" i="66"/>
  <c r="AK29" i="66"/>
  <c r="AL29" i="66"/>
  <c r="AM29" i="66"/>
  <c r="AO29" i="66"/>
  <c r="AP29" i="66"/>
  <c r="AQ29" i="66"/>
  <c r="AR29" i="66"/>
  <c r="AE30" i="66"/>
  <c r="AF30" i="66"/>
  <c r="AG30" i="66"/>
  <c r="AH30" i="66"/>
  <c r="AJ30" i="66"/>
  <c r="AK30" i="66"/>
  <c r="AL30" i="66"/>
  <c r="AM30" i="66"/>
  <c r="AO30" i="66"/>
  <c r="AP30" i="66"/>
  <c r="AQ30" i="66"/>
  <c r="AR30" i="66"/>
  <c r="AE31" i="66"/>
  <c r="AF31" i="66"/>
  <c r="AG31" i="66"/>
  <c r="AH31" i="66"/>
  <c r="AJ31" i="66"/>
  <c r="AK31" i="66"/>
  <c r="AL31" i="66"/>
  <c r="AM31" i="66"/>
  <c r="AO31" i="66"/>
  <c r="AP31" i="66"/>
  <c r="AQ31" i="66"/>
  <c r="AR31" i="66"/>
  <c r="AE33" i="66"/>
  <c r="AF33" i="66"/>
  <c r="AG33" i="66"/>
  <c r="AH33" i="66"/>
  <c r="AJ33" i="66"/>
  <c r="AK33" i="66"/>
  <c r="AL33" i="66"/>
  <c r="AM33" i="66"/>
  <c r="AO33" i="66"/>
  <c r="AP33" i="66"/>
  <c r="AQ33" i="66"/>
  <c r="AR33" i="66"/>
  <c r="AE34" i="66"/>
  <c r="AF34" i="66"/>
  <c r="AG34" i="66"/>
  <c r="AH34" i="66"/>
  <c r="AJ34" i="66"/>
  <c r="AK34" i="66"/>
  <c r="AL34" i="66"/>
  <c r="AM34" i="66"/>
  <c r="AO34" i="66"/>
  <c r="AP34" i="66"/>
  <c r="AQ34" i="66"/>
  <c r="AR34" i="66"/>
  <c r="AE35" i="66"/>
  <c r="AF35" i="66"/>
  <c r="AG35" i="66"/>
  <c r="AH35" i="66"/>
  <c r="AJ35" i="66"/>
  <c r="AK35" i="66"/>
  <c r="AL35" i="66"/>
  <c r="AM35" i="66"/>
  <c r="AO35" i="66"/>
  <c r="AP35" i="66"/>
  <c r="AQ35" i="66"/>
  <c r="AR35" i="66"/>
  <c r="AE36" i="66"/>
  <c r="AF36" i="66"/>
  <c r="AG36" i="66"/>
  <c r="AH36" i="66"/>
  <c r="AJ36" i="66"/>
  <c r="AK36" i="66"/>
  <c r="AL36" i="66"/>
  <c r="AM36" i="66"/>
  <c r="AO36" i="66"/>
  <c r="AP36" i="66"/>
  <c r="AQ36" i="66"/>
  <c r="AR36" i="66"/>
  <c r="AE37" i="66"/>
  <c r="AF37" i="66"/>
  <c r="AG37" i="66"/>
  <c r="AH37" i="66"/>
  <c r="AJ37" i="66"/>
  <c r="AK37" i="66"/>
  <c r="AL37" i="66"/>
  <c r="AM37" i="66"/>
  <c r="AO37" i="66"/>
  <c r="AP37" i="66"/>
  <c r="AQ37" i="66"/>
  <c r="AR37" i="66"/>
  <c r="AE39" i="66"/>
  <c r="AF39" i="66"/>
  <c r="AG39" i="66"/>
  <c r="AH39" i="66"/>
  <c r="AJ39" i="66"/>
  <c r="AK39" i="66"/>
  <c r="AL39" i="66"/>
  <c r="AM39" i="66"/>
  <c r="AO39" i="66"/>
  <c r="AP39" i="66"/>
  <c r="AQ39" i="66"/>
  <c r="AR39" i="66"/>
  <c r="AE40" i="66"/>
  <c r="AF40" i="66"/>
  <c r="AG40" i="66"/>
  <c r="AH40" i="66"/>
  <c r="AJ40" i="66"/>
  <c r="AK40" i="66"/>
  <c r="AL40" i="66"/>
  <c r="AM40" i="66"/>
  <c r="AO40" i="66"/>
  <c r="AP40" i="66"/>
  <c r="AQ40" i="66"/>
  <c r="AR40" i="66"/>
  <c r="AE41" i="66"/>
  <c r="AF41" i="66"/>
  <c r="AG41" i="66"/>
  <c r="AH41" i="66"/>
  <c r="AJ41" i="66"/>
  <c r="AK41" i="66"/>
  <c r="AL41" i="66"/>
  <c r="AM41" i="66"/>
  <c r="AO41" i="66"/>
  <c r="AP41" i="66"/>
  <c r="AQ41" i="66"/>
  <c r="AR41" i="66"/>
  <c r="AE42" i="66"/>
  <c r="AF42" i="66"/>
  <c r="AG42" i="66"/>
  <c r="AH42" i="66"/>
  <c r="AJ42" i="66"/>
  <c r="AK42" i="66"/>
  <c r="AL42" i="66"/>
  <c r="AM42" i="66"/>
  <c r="AO42" i="66"/>
  <c r="AP42" i="66"/>
  <c r="AQ42" i="66"/>
  <c r="AR42" i="66"/>
  <c r="AE43" i="66"/>
  <c r="AF43" i="66"/>
  <c r="AG43" i="66"/>
  <c r="AH43" i="66"/>
  <c r="AJ43" i="66"/>
  <c r="AK43" i="66"/>
  <c r="AL43" i="66"/>
  <c r="AM43" i="66"/>
  <c r="AO43" i="66"/>
  <c r="AP43" i="66"/>
  <c r="AQ43" i="66"/>
  <c r="AR43" i="66"/>
  <c r="AE45" i="66"/>
  <c r="AF45" i="66"/>
  <c r="AG45" i="66"/>
  <c r="AH45" i="66"/>
  <c r="AJ45" i="66"/>
  <c r="AK45" i="66"/>
  <c r="AL45" i="66"/>
  <c r="AM45" i="66"/>
  <c r="AO45" i="66"/>
  <c r="AP45" i="66"/>
  <c r="AQ45" i="66"/>
  <c r="AR45" i="66"/>
  <c r="AE46" i="66"/>
  <c r="AF46" i="66"/>
  <c r="AG46" i="66"/>
  <c r="AH46" i="66"/>
  <c r="AJ46" i="66"/>
  <c r="AK46" i="66"/>
  <c r="AL46" i="66"/>
  <c r="AM46" i="66"/>
  <c r="AO46" i="66"/>
  <c r="AP46" i="66"/>
  <c r="AQ46" i="66"/>
  <c r="AR46" i="66"/>
  <c r="AE47" i="66"/>
  <c r="AF47" i="66"/>
  <c r="AG47" i="66"/>
  <c r="AH47" i="66"/>
  <c r="AJ47" i="66"/>
  <c r="AK47" i="66"/>
  <c r="AL47" i="66"/>
  <c r="AM47" i="66"/>
  <c r="AO47" i="66"/>
  <c r="AP47" i="66"/>
  <c r="AQ47" i="66"/>
  <c r="AR47" i="66"/>
  <c r="AE48" i="66"/>
  <c r="AF48" i="66"/>
  <c r="AG48" i="66"/>
  <c r="AH48" i="66"/>
  <c r="AJ48" i="66"/>
  <c r="AK48" i="66"/>
  <c r="AL48" i="66"/>
  <c r="AM48" i="66"/>
  <c r="AO48" i="66"/>
  <c r="AP48" i="66"/>
  <c r="AQ48" i="66"/>
  <c r="AR48" i="66"/>
  <c r="AE49" i="66"/>
  <c r="AF49" i="66"/>
  <c r="AG49" i="66"/>
  <c r="AH49" i="66"/>
  <c r="AJ49" i="66"/>
  <c r="AK49" i="66"/>
  <c r="AL49" i="66"/>
  <c r="AM49" i="66"/>
  <c r="AO49" i="66"/>
  <c r="AP49" i="66"/>
  <c r="AQ49" i="66"/>
  <c r="AR49" i="66"/>
  <c r="AE51" i="66"/>
  <c r="AF51" i="66"/>
  <c r="AG51" i="66"/>
  <c r="AH51" i="66"/>
  <c r="AJ51" i="66"/>
  <c r="AK51" i="66"/>
  <c r="AL51" i="66"/>
  <c r="AM51" i="66"/>
  <c r="AO51" i="66"/>
  <c r="AP51" i="66"/>
  <c r="AQ51" i="66"/>
  <c r="AR51" i="66"/>
  <c r="AE52" i="66"/>
  <c r="AF52" i="66"/>
  <c r="AG52" i="66"/>
  <c r="AH52" i="66"/>
  <c r="AJ52" i="66"/>
  <c r="AK52" i="66"/>
  <c r="AL52" i="66"/>
  <c r="AM52" i="66"/>
  <c r="AO52" i="66"/>
  <c r="AP52" i="66"/>
  <c r="AQ52" i="66"/>
  <c r="AR52" i="66"/>
  <c r="AE53" i="66"/>
  <c r="AF53" i="66"/>
  <c r="AG53" i="66"/>
  <c r="AH53" i="66"/>
  <c r="AJ53" i="66"/>
  <c r="AK53" i="66"/>
  <c r="AL53" i="66"/>
  <c r="AM53" i="66"/>
  <c r="AO53" i="66"/>
  <c r="AP53" i="66"/>
  <c r="AQ53" i="66"/>
  <c r="AR53" i="66"/>
  <c r="AE54" i="66"/>
  <c r="AF54" i="66"/>
  <c r="AG54" i="66"/>
  <c r="AH54" i="66"/>
  <c r="AJ54" i="66"/>
  <c r="AK54" i="66"/>
  <c r="AL54" i="66"/>
  <c r="AM54" i="66"/>
  <c r="AO54" i="66"/>
  <c r="AP54" i="66"/>
  <c r="AQ54" i="66"/>
  <c r="AR54" i="66"/>
  <c r="AE55" i="66"/>
  <c r="AF55" i="66"/>
  <c r="AG55" i="66"/>
  <c r="AH55" i="66"/>
  <c r="AJ55" i="66"/>
  <c r="AK55" i="66"/>
  <c r="AL55" i="66"/>
  <c r="AM55" i="66"/>
  <c r="AO55" i="66"/>
  <c r="AP55" i="66"/>
  <c r="AQ55" i="66"/>
  <c r="AR55" i="66"/>
  <c r="AE57" i="66"/>
  <c r="AF57" i="66"/>
  <c r="AG57" i="66"/>
  <c r="AH57" i="66"/>
  <c r="AJ57" i="66"/>
  <c r="AK57" i="66"/>
  <c r="AL57" i="66"/>
  <c r="AM57" i="66"/>
  <c r="AO57" i="66"/>
  <c r="AP57" i="66"/>
  <c r="AQ57" i="66"/>
  <c r="AR57" i="66"/>
  <c r="AE58" i="66"/>
  <c r="AF58" i="66"/>
  <c r="AG58" i="66"/>
  <c r="AH58" i="66"/>
  <c r="AJ58" i="66"/>
  <c r="AK58" i="66"/>
  <c r="AL58" i="66"/>
  <c r="AM58" i="66"/>
  <c r="AO58" i="66"/>
  <c r="AP58" i="66"/>
  <c r="AQ58" i="66"/>
  <c r="AR58" i="66"/>
  <c r="AE59" i="66"/>
  <c r="AF59" i="66"/>
  <c r="AG59" i="66"/>
  <c r="AH59" i="66"/>
  <c r="AJ59" i="66"/>
  <c r="AK59" i="66"/>
  <c r="AL59" i="66"/>
  <c r="AM59" i="66"/>
  <c r="AO59" i="66"/>
  <c r="AP59" i="66"/>
  <c r="AQ59" i="66"/>
  <c r="AR59" i="66"/>
  <c r="AE60" i="66"/>
  <c r="AF60" i="66"/>
  <c r="AG60" i="66"/>
  <c r="AH60" i="66"/>
  <c r="AJ60" i="66"/>
  <c r="AK60" i="66"/>
  <c r="AL60" i="66"/>
  <c r="AM60" i="66"/>
  <c r="AO60" i="66"/>
  <c r="AP60" i="66"/>
  <c r="AQ60" i="66"/>
  <c r="AR60" i="66"/>
  <c r="AE61" i="66"/>
  <c r="AF61" i="66"/>
  <c r="AG61" i="66"/>
  <c r="AH61" i="66"/>
  <c r="AJ61" i="66"/>
  <c r="AK61" i="66"/>
  <c r="AL61" i="66"/>
  <c r="AM61" i="66"/>
  <c r="AO61" i="66"/>
  <c r="AP61" i="66"/>
  <c r="AQ61" i="66"/>
  <c r="AR61" i="66"/>
  <c r="AE63" i="66"/>
  <c r="AF63" i="66"/>
  <c r="AG63" i="66"/>
  <c r="AH63" i="66"/>
  <c r="AJ63" i="66"/>
  <c r="AK63" i="66"/>
  <c r="AL63" i="66"/>
  <c r="AM63" i="66"/>
  <c r="AO63" i="66"/>
  <c r="AP63" i="66"/>
  <c r="AQ63" i="66"/>
  <c r="AR63" i="66"/>
  <c r="AE64" i="66"/>
  <c r="AF64" i="66"/>
  <c r="AG64" i="66"/>
  <c r="AH64" i="66"/>
  <c r="AJ64" i="66"/>
  <c r="AK64" i="66"/>
  <c r="AL64" i="66"/>
  <c r="AM64" i="66"/>
  <c r="AO64" i="66"/>
  <c r="AP64" i="66"/>
  <c r="AQ64" i="66"/>
  <c r="AR64" i="66"/>
  <c r="AE65" i="66"/>
  <c r="AF65" i="66"/>
  <c r="AG65" i="66"/>
  <c r="AH65" i="66"/>
  <c r="AJ65" i="66"/>
  <c r="AK65" i="66"/>
  <c r="AL65" i="66"/>
  <c r="AM65" i="66"/>
  <c r="AO65" i="66"/>
  <c r="AP65" i="66"/>
  <c r="AQ65" i="66"/>
  <c r="AR65" i="66"/>
  <c r="AE66" i="66"/>
  <c r="AF66" i="66"/>
  <c r="AG66" i="66"/>
  <c r="AH66" i="66"/>
  <c r="AJ66" i="66"/>
  <c r="AK66" i="66"/>
  <c r="AL66" i="66"/>
  <c r="AM66" i="66"/>
  <c r="AO66" i="66"/>
  <c r="AP66" i="66"/>
  <c r="AQ66" i="66"/>
  <c r="AR66" i="66"/>
  <c r="AE67" i="66"/>
  <c r="AF67" i="66"/>
  <c r="AG67" i="66"/>
  <c r="AH67" i="66"/>
  <c r="AJ67" i="66"/>
  <c r="AK67" i="66"/>
  <c r="AL67" i="66"/>
  <c r="AM67" i="66"/>
  <c r="AO67" i="66"/>
  <c r="AP67" i="66"/>
  <c r="AQ67" i="66"/>
  <c r="AR67" i="66"/>
  <c r="AE69" i="66"/>
  <c r="AF69" i="66"/>
  <c r="AG69" i="66"/>
  <c r="AH69" i="66"/>
  <c r="AJ69" i="66"/>
  <c r="AK69" i="66"/>
  <c r="AL69" i="66"/>
  <c r="AM69" i="66"/>
  <c r="AO69" i="66"/>
  <c r="AP69" i="66"/>
  <c r="AQ69" i="66"/>
  <c r="AR69" i="66"/>
  <c r="AE70" i="66"/>
  <c r="AF70" i="66"/>
  <c r="AG70" i="66"/>
  <c r="AH70" i="66"/>
  <c r="AJ70" i="66"/>
  <c r="AK70" i="66"/>
  <c r="AL70" i="66"/>
  <c r="AM70" i="66"/>
  <c r="AO70" i="66"/>
  <c r="AP70" i="66"/>
  <c r="AQ70" i="66"/>
  <c r="AR70" i="66"/>
  <c r="AE71" i="66"/>
  <c r="AF71" i="66"/>
  <c r="AG71" i="66"/>
  <c r="AH71" i="66"/>
  <c r="AJ71" i="66"/>
  <c r="AK71" i="66"/>
  <c r="AL71" i="66"/>
  <c r="AM71" i="66"/>
  <c r="AO71" i="66"/>
  <c r="AP71" i="66"/>
  <c r="AQ71" i="66"/>
  <c r="AR71" i="66"/>
  <c r="AE72" i="66"/>
  <c r="AF72" i="66"/>
  <c r="AG72" i="66"/>
  <c r="AH72" i="66"/>
  <c r="AJ72" i="66"/>
  <c r="AK72" i="66"/>
  <c r="AL72" i="66"/>
  <c r="AM72" i="66"/>
  <c r="AO72" i="66"/>
  <c r="AP72" i="66"/>
  <c r="AR72" i="66"/>
  <c r="AE73" i="66"/>
  <c r="AF73" i="66"/>
  <c r="AG73" i="66"/>
  <c r="AH73" i="66"/>
  <c r="AJ73" i="66"/>
  <c r="AK73" i="66"/>
  <c r="AL73" i="66"/>
  <c r="AM73" i="66"/>
  <c r="AO73" i="66"/>
  <c r="AP73" i="66"/>
  <c r="AQ73" i="66"/>
  <c r="AR73" i="66"/>
  <c r="AE4" i="67"/>
  <c r="AF4" i="67"/>
  <c r="AG4" i="67"/>
  <c r="AH4" i="67"/>
  <c r="AJ4" i="67"/>
  <c r="AK4" i="67"/>
  <c r="AL4" i="67"/>
  <c r="AM4" i="67"/>
  <c r="AO4" i="67"/>
  <c r="AP4" i="67"/>
  <c r="AQ4" i="67"/>
  <c r="AR4" i="67"/>
  <c r="AE5" i="67"/>
  <c r="AF5" i="67"/>
  <c r="AG5" i="67"/>
  <c r="AH5" i="67"/>
  <c r="AJ5" i="67"/>
  <c r="AK5" i="67"/>
  <c r="AL5" i="67"/>
  <c r="AM5" i="67"/>
  <c r="AO5" i="67"/>
  <c r="AP5" i="67"/>
  <c r="AQ5" i="67"/>
  <c r="AR5" i="67"/>
  <c r="AE6" i="67"/>
  <c r="AF6" i="67"/>
  <c r="AG6" i="67"/>
  <c r="AH6" i="67"/>
  <c r="AJ6" i="67"/>
  <c r="AK6" i="67"/>
  <c r="AL6" i="67"/>
  <c r="AM6" i="67"/>
  <c r="AO6" i="67"/>
  <c r="AP6" i="67"/>
  <c r="AQ6" i="67"/>
  <c r="AR6" i="67"/>
  <c r="AE7" i="67"/>
  <c r="AF7" i="67"/>
  <c r="AG7" i="67"/>
  <c r="AH7" i="67"/>
  <c r="AJ7" i="67"/>
  <c r="AK7" i="67"/>
  <c r="AL7" i="67"/>
  <c r="AM7" i="67"/>
  <c r="AO7" i="67"/>
  <c r="AP7" i="67"/>
  <c r="AQ7" i="67"/>
  <c r="AR7" i="67"/>
  <c r="AE9" i="67"/>
  <c r="AF9" i="67"/>
  <c r="AG9" i="67"/>
  <c r="AH9" i="67"/>
  <c r="AJ9" i="67"/>
  <c r="AK9" i="67"/>
  <c r="AL9" i="67"/>
  <c r="AM9" i="67"/>
  <c r="AO9" i="67"/>
  <c r="AP9" i="67"/>
  <c r="AQ9" i="67"/>
  <c r="AR9" i="67"/>
  <c r="AE10" i="67"/>
  <c r="AF10" i="67"/>
  <c r="AG10" i="67"/>
  <c r="AH10" i="67"/>
  <c r="AJ10" i="67"/>
  <c r="AK10" i="67"/>
  <c r="AL10" i="67"/>
  <c r="AM10" i="67"/>
  <c r="AO10" i="67"/>
  <c r="AP10" i="67"/>
  <c r="AQ10" i="67"/>
  <c r="AR10" i="67"/>
  <c r="AE11" i="67"/>
  <c r="AF11" i="67"/>
  <c r="AG11" i="67"/>
  <c r="AH11" i="67"/>
  <c r="AJ11" i="67"/>
  <c r="AK11" i="67"/>
  <c r="AL11" i="67"/>
  <c r="AM11" i="67"/>
  <c r="AO11" i="67"/>
  <c r="AP11" i="67"/>
  <c r="AQ11" i="67"/>
  <c r="AR11" i="67"/>
  <c r="AE12" i="67"/>
  <c r="AF12" i="67"/>
  <c r="AG12" i="67"/>
  <c r="AH12" i="67"/>
  <c r="AJ12" i="67"/>
  <c r="AK12" i="67"/>
  <c r="AL12" i="67"/>
  <c r="AM12" i="67"/>
  <c r="AO12" i="67"/>
  <c r="AP12" i="67"/>
  <c r="AQ12" i="67"/>
  <c r="AR12" i="67"/>
  <c r="AE13" i="67"/>
  <c r="AF13" i="67"/>
  <c r="AG13" i="67"/>
  <c r="AH13" i="67"/>
  <c r="AJ13" i="67"/>
  <c r="AK13" i="67"/>
  <c r="AL13" i="67"/>
  <c r="AM13" i="67"/>
  <c r="AO13" i="67"/>
  <c r="AP13" i="67"/>
  <c r="AQ13" i="67"/>
  <c r="AR13" i="67"/>
  <c r="AE15" i="67"/>
  <c r="AF15" i="67"/>
  <c r="AG15" i="67"/>
  <c r="AH15" i="67"/>
  <c r="AJ15" i="67"/>
  <c r="AK15" i="67"/>
  <c r="AL15" i="67"/>
  <c r="AM15" i="67"/>
  <c r="AO15" i="67"/>
  <c r="AP15" i="67"/>
  <c r="AQ15" i="67"/>
  <c r="AR15" i="67"/>
  <c r="AE16" i="67"/>
  <c r="AF16" i="67"/>
  <c r="AG16" i="67"/>
  <c r="AH16" i="67"/>
  <c r="AJ16" i="67"/>
  <c r="AK16" i="67"/>
  <c r="AL16" i="67"/>
  <c r="AM16" i="67"/>
  <c r="AO16" i="67"/>
  <c r="AP16" i="67"/>
  <c r="AQ16" i="67"/>
  <c r="AR16" i="67"/>
  <c r="AE17" i="67"/>
  <c r="AF17" i="67"/>
  <c r="AG17" i="67"/>
  <c r="AH17" i="67"/>
  <c r="AJ17" i="67"/>
  <c r="AK17" i="67"/>
  <c r="AL17" i="67"/>
  <c r="AM17" i="67"/>
  <c r="AO17" i="67"/>
  <c r="AP17" i="67"/>
  <c r="AQ17" i="67"/>
  <c r="AR17" i="67"/>
  <c r="AE18" i="67"/>
  <c r="AF18" i="67"/>
  <c r="AG18" i="67"/>
  <c r="AH18" i="67"/>
  <c r="AJ18" i="67"/>
  <c r="AK18" i="67"/>
  <c r="AL18" i="67"/>
  <c r="AM18" i="67"/>
  <c r="AO18" i="67"/>
  <c r="AP18" i="67"/>
  <c r="AQ18" i="67"/>
  <c r="AR18" i="67"/>
  <c r="AE19" i="67"/>
  <c r="AF19" i="67"/>
  <c r="AG19" i="67"/>
  <c r="AH19" i="67"/>
  <c r="AJ19" i="67"/>
  <c r="AK19" i="67"/>
  <c r="AL19" i="67"/>
  <c r="AM19" i="67"/>
  <c r="AO19" i="67"/>
  <c r="AP19" i="67"/>
  <c r="AQ19" i="67"/>
  <c r="AR19" i="67"/>
  <c r="AE21" i="67"/>
  <c r="AF21" i="67"/>
  <c r="AG21" i="67"/>
  <c r="AH21" i="67"/>
  <c r="AJ21" i="67"/>
  <c r="AK21" i="67"/>
  <c r="AL21" i="67"/>
  <c r="AM21" i="67"/>
  <c r="AO21" i="67"/>
  <c r="AP21" i="67"/>
  <c r="AQ21" i="67"/>
  <c r="AR21" i="67"/>
  <c r="AE22" i="67"/>
  <c r="AF22" i="67"/>
  <c r="AG22" i="67"/>
  <c r="AH22" i="67"/>
  <c r="AJ22" i="67"/>
  <c r="AK22" i="67"/>
  <c r="AL22" i="67"/>
  <c r="AM22" i="67"/>
  <c r="AO22" i="67"/>
  <c r="AP22" i="67"/>
  <c r="AQ22" i="67"/>
  <c r="AR22" i="67"/>
  <c r="AE23" i="67"/>
  <c r="AF23" i="67"/>
  <c r="AG23" i="67"/>
  <c r="AH23" i="67"/>
  <c r="AJ23" i="67"/>
  <c r="AK23" i="67"/>
  <c r="AL23" i="67"/>
  <c r="AM23" i="67"/>
  <c r="AO23" i="67"/>
  <c r="AP23" i="67"/>
  <c r="AQ23" i="67"/>
  <c r="AR23" i="67"/>
  <c r="AE24" i="67"/>
  <c r="AF24" i="67"/>
  <c r="AG24" i="67"/>
  <c r="AH24" i="67"/>
  <c r="AJ24" i="67"/>
  <c r="AK24" i="67"/>
  <c r="AL24" i="67"/>
  <c r="AM24" i="67"/>
  <c r="AO24" i="67"/>
  <c r="AP24" i="67"/>
  <c r="AQ24" i="67"/>
  <c r="AR24" i="67"/>
  <c r="AE25" i="67"/>
  <c r="AF25" i="67"/>
  <c r="AG25" i="67"/>
  <c r="AH25" i="67"/>
  <c r="AJ25" i="67"/>
  <c r="AK25" i="67"/>
  <c r="AL25" i="67"/>
  <c r="AM25" i="67"/>
  <c r="AO25" i="67"/>
  <c r="AP25" i="67"/>
  <c r="AQ25" i="67"/>
  <c r="AR25" i="67"/>
  <c r="AE27" i="67"/>
  <c r="AF27" i="67"/>
  <c r="AG27" i="67"/>
  <c r="AH27" i="67"/>
  <c r="AJ27" i="67"/>
  <c r="AK27" i="67"/>
  <c r="AL27" i="67"/>
  <c r="AM27" i="67"/>
  <c r="AO27" i="67"/>
  <c r="AP27" i="67"/>
  <c r="AQ27" i="67"/>
  <c r="AR27" i="67"/>
  <c r="AE28" i="67"/>
  <c r="AF28" i="67"/>
  <c r="AG28" i="67"/>
  <c r="AH28" i="67"/>
  <c r="AJ28" i="67"/>
  <c r="AK28" i="67"/>
  <c r="AL28" i="67"/>
  <c r="AM28" i="67"/>
  <c r="AO28" i="67"/>
  <c r="AP28" i="67"/>
  <c r="AQ28" i="67"/>
  <c r="AR28" i="67"/>
  <c r="AE29" i="67"/>
  <c r="AF29" i="67"/>
  <c r="AG29" i="67"/>
  <c r="AH29" i="67"/>
  <c r="AJ29" i="67"/>
  <c r="AK29" i="67"/>
  <c r="AL29" i="67"/>
  <c r="AM29" i="67"/>
  <c r="AO29" i="67"/>
  <c r="AP29" i="67"/>
  <c r="AQ29" i="67"/>
  <c r="AR29" i="67"/>
  <c r="AE30" i="67"/>
  <c r="AF30" i="67"/>
  <c r="AG30" i="67"/>
  <c r="AH30" i="67"/>
  <c r="AJ30" i="67"/>
  <c r="AK30" i="67"/>
  <c r="AL30" i="67"/>
  <c r="AM30" i="67"/>
  <c r="AO30" i="67"/>
  <c r="AP30" i="67"/>
  <c r="AQ30" i="67"/>
  <c r="AR30" i="67"/>
  <c r="AE31" i="67"/>
  <c r="AF31" i="67"/>
  <c r="AG31" i="67"/>
  <c r="AH31" i="67"/>
  <c r="AJ31" i="67"/>
  <c r="AK31" i="67"/>
  <c r="AL31" i="67"/>
  <c r="AM31" i="67"/>
  <c r="AO31" i="67"/>
  <c r="AP31" i="67"/>
  <c r="AQ31" i="67"/>
  <c r="AR31" i="67"/>
  <c r="AE33" i="67"/>
  <c r="AF33" i="67"/>
  <c r="AG33" i="67"/>
  <c r="AH33" i="67"/>
  <c r="AJ33" i="67"/>
  <c r="AK33" i="67"/>
  <c r="AL33" i="67"/>
  <c r="AM33" i="67"/>
  <c r="AO33" i="67"/>
  <c r="AP33" i="67"/>
  <c r="AQ33" i="67"/>
  <c r="AR33" i="67"/>
  <c r="AE34" i="67"/>
  <c r="AF34" i="67"/>
  <c r="AG34" i="67"/>
  <c r="AH34" i="67"/>
  <c r="AJ34" i="67"/>
  <c r="AK34" i="67"/>
  <c r="AL34" i="67"/>
  <c r="AM34" i="67"/>
  <c r="AO34" i="67"/>
  <c r="AP34" i="67"/>
  <c r="AQ34" i="67"/>
  <c r="AR34" i="67"/>
  <c r="AE35" i="67"/>
  <c r="AF35" i="67"/>
  <c r="AG35" i="67"/>
  <c r="AH35" i="67"/>
  <c r="AJ35" i="67"/>
  <c r="AK35" i="67"/>
  <c r="AL35" i="67"/>
  <c r="AM35" i="67"/>
  <c r="AO35" i="67"/>
  <c r="AP35" i="67"/>
  <c r="AQ35" i="67"/>
  <c r="AR35" i="67"/>
  <c r="AE36" i="67"/>
  <c r="AF36" i="67"/>
  <c r="AG36" i="67"/>
  <c r="AH36" i="67"/>
  <c r="AJ36" i="67"/>
  <c r="AK36" i="67"/>
  <c r="AL36" i="67"/>
  <c r="AM36" i="67"/>
  <c r="AO36" i="67"/>
  <c r="AP36" i="67"/>
  <c r="AQ36" i="67"/>
  <c r="AR36" i="67"/>
  <c r="AE37" i="67"/>
  <c r="AF37" i="67"/>
  <c r="AG37" i="67"/>
  <c r="AH37" i="67"/>
  <c r="AJ37" i="67"/>
  <c r="AK37" i="67"/>
  <c r="AL37" i="67"/>
  <c r="AM37" i="67"/>
  <c r="AO37" i="67"/>
  <c r="AP37" i="67"/>
  <c r="AQ37" i="67"/>
  <c r="AR37" i="67"/>
  <c r="AE39" i="67"/>
  <c r="AF39" i="67"/>
  <c r="AG39" i="67"/>
  <c r="AH39" i="67"/>
  <c r="AJ39" i="67"/>
  <c r="AK39" i="67"/>
  <c r="AL39" i="67"/>
  <c r="AM39" i="67"/>
  <c r="AO39" i="67"/>
  <c r="AP39" i="67"/>
  <c r="AQ39" i="67"/>
  <c r="AR39" i="67"/>
  <c r="AE40" i="67"/>
  <c r="AF40" i="67"/>
  <c r="AG40" i="67"/>
  <c r="AH40" i="67"/>
  <c r="AJ40" i="67"/>
  <c r="AK40" i="67"/>
  <c r="AL40" i="67"/>
  <c r="AM40" i="67"/>
  <c r="AO40" i="67"/>
  <c r="AP40" i="67"/>
  <c r="AQ40" i="67"/>
  <c r="AR40" i="67"/>
  <c r="AE41" i="67"/>
  <c r="AF41" i="67"/>
  <c r="AG41" i="67"/>
  <c r="AH41" i="67"/>
  <c r="AJ41" i="67"/>
  <c r="AK41" i="67"/>
  <c r="AL41" i="67"/>
  <c r="AM41" i="67"/>
  <c r="AO41" i="67"/>
  <c r="AP41" i="67"/>
  <c r="AQ41" i="67"/>
  <c r="AR41" i="67"/>
  <c r="AE42" i="67"/>
  <c r="AF42" i="67"/>
  <c r="AG42" i="67"/>
  <c r="AH42" i="67"/>
  <c r="AJ42" i="67"/>
  <c r="AK42" i="67"/>
  <c r="AL42" i="67"/>
  <c r="AM42" i="67"/>
  <c r="AO42" i="67"/>
  <c r="AP42" i="67"/>
  <c r="AQ42" i="67"/>
  <c r="AR42" i="67"/>
  <c r="AE43" i="67"/>
  <c r="AF43" i="67"/>
  <c r="AG43" i="67"/>
  <c r="AH43" i="67"/>
  <c r="AJ43" i="67"/>
  <c r="AK43" i="67"/>
  <c r="AL43" i="67"/>
  <c r="AM43" i="67"/>
  <c r="AO43" i="67"/>
  <c r="AP43" i="67"/>
  <c r="AQ43" i="67"/>
  <c r="AR43" i="67"/>
  <c r="AE45" i="67"/>
  <c r="AF45" i="67"/>
  <c r="AG45" i="67"/>
  <c r="AH45" i="67"/>
  <c r="AJ45" i="67"/>
  <c r="AK45" i="67"/>
  <c r="AL45" i="67"/>
  <c r="AM45" i="67"/>
  <c r="AO45" i="67"/>
  <c r="AP45" i="67"/>
  <c r="AQ45" i="67"/>
  <c r="AR45" i="67"/>
  <c r="AE46" i="67"/>
  <c r="AF46" i="67"/>
  <c r="AG46" i="67"/>
  <c r="AH46" i="67"/>
  <c r="AJ46" i="67"/>
  <c r="AK46" i="67"/>
  <c r="AL46" i="67"/>
  <c r="AM46" i="67"/>
  <c r="AO46" i="67"/>
  <c r="AP46" i="67"/>
  <c r="AQ46" i="67"/>
  <c r="AR46" i="67"/>
  <c r="AE47" i="67"/>
  <c r="AF47" i="67"/>
  <c r="AG47" i="67"/>
  <c r="AH47" i="67"/>
  <c r="AJ47" i="67"/>
  <c r="AK47" i="67"/>
  <c r="AL47" i="67"/>
  <c r="AM47" i="67"/>
  <c r="AO47" i="67"/>
  <c r="AP47" i="67"/>
  <c r="AQ47" i="67"/>
  <c r="AR47" i="67"/>
  <c r="AE48" i="67"/>
  <c r="AF48" i="67"/>
  <c r="AG48" i="67"/>
  <c r="AH48" i="67"/>
  <c r="AJ48" i="67"/>
  <c r="AK48" i="67"/>
  <c r="AL48" i="67"/>
  <c r="AM48" i="67"/>
  <c r="AO48" i="67"/>
  <c r="AP48" i="67"/>
  <c r="AQ48" i="67"/>
  <c r="AR48" i="67"/>
  <c r="AE49" i="67"/>
  <c r="AF49" i="67"/>
  <c r="AG49" i="67"/>
  <c r="AH49" i="67"/>
  <c r="AJ49" i="67"/>
  <c r="AK49" i="67"/>
  <c r="AL49" i="67"/>
  <c r="AM49" i="67"/>
  <c r="AO49" i="67"/>
  <c r="AP49" i="67"/>
  <c r="AQ49" i="67"/>
  <c r="AR49" i="67"/>
  <c r="AE51" i="67"/>
  <c r="AF51" i="67"/>
  <c r="AG51" i="67"/>
  <c r="AH51" i="67"/>
  <c r="AJ51" i="67"/>
  <c r="AK51" i="67"/>
  <c r="AL51" i="67"/>
  <c r="AM51" i="67"/>
  <c r="AO51" i="67"/>
  <c r="AP51" i="67"/>
  <c r="AQ51" i="67"/>
  <c r="AR51" i="67"/>
  <c r="AE52" i="67"/>
  <c r="AF52" i="67"/>
  <c r="AG52" i="67"/>
  <c r="AH52" i="67"/>
  <c r="AJ52" i="67"/>
  <c r="AK52" i="67"/>
  <c r="AL52" i="67"/>
  <c r="AM52" i="67"/>
  <c r="AO52" i="67"/>
  <c r="AP52" i="67"/>
  <c r="AQ52" i="67"/>
  <c r="AR52" i="67"/>
  <c r="AE53" i="67"/>
  <c r="AF53" i="67"/>
  <c r="AG53" i="67"/>
  <c r="AH53" i="67"/>
  <c r="AJ53" i="67"/>
  <c r="AK53" i="67"/>
  <c r="AL53" i="67"/>
  <c r="AM53" i="67"/>
  <c r="AO53" i="67"/>
  <c r="AP53" i="67"/>
  <c r="AQ53" i="67"/>
  <c r="AR53" i="67"/>
  <c r="AE54" i="67"/>
  <c r="AF54" i="67"/>
  <c r="AG54" i="67"/>
  <c r="AH54" i="67"/>
  <c r="AJ54" i="67"/>
  <c r="AK54" i="67"/>
  <c r="AL54" i="67"/>
  <c r="AM54" i="67"/>
  <c r="AO54" i="67"/>
  <c r="AP54" i="67"/>
  <c r="AQ54" i="67"/>
  <c r="AR54" i="67"/>
  <c r="AE55" i="67"/>
  <c r="AF55" i="67"/>
  <c r="AG55" i="67"/>
  <c r="AH55" i="67"/>
  <c r="AJ55" i="67"/>
  <c r="AK55" i="67"/>
  <c r="AL55" i="67"/>
  <c r="AM55" i="67"/>
  <c r="AO55" i="67"/>
  <c r="AP55" i="67"/>
  <c r="AQ55" i="67"/>
  <c r="AR55" i="67"/>
  <c r="AE57" i="67"/>
  <c r="AF57" i="67"/>
  <c r="AG57" i="67"/>
  <c r="AH57" i="67"/>
  <c r="AJ57" i="67"/>
  <c r="AK57" i="67"/>
  <c r="AL57" i="67"/>
  <c r="AM57" i="67"/>
  <c r="AO57" i="67"/>
  <c r="AP57" i="67"/>
  <c r="AQ57" i="67"/>
  <c r="AR57" i="67"/>
  <c r="AE58" i="67"/>
  <c r="AF58" i="67"/>
  <c r="AG58" i="67"/>
  <c r="AH58" i="67"/>
  <c r="AJ58" i="67"/>
  <c r="AK58" i="67"/>
  <c r="AL58" i="67"/>
  <c r="AM58" i="67"/>
  <c r="AO58" i="67"/>
  <c r="AP58" i="67"/>
  <c r="AQ58" i="67"/>
  <c r="AR58" i="67"/>
  <c r="AE59" i="67"/>
  <c r="AF59" i="67"/>
  <c r="AG59" i="67"/>
  <c r="AH59" i="67"/>
  <c r="AJ59" i="67"/>
  <c r="AK59" i="67"/>
  <c r="AL59" i="67"/>
  <c r="AM59" i="67"/>
  <c r="AO59" i="67"/>
  <c r="AP59" i="67"/>
  <c r="AQ59" i="67"/>
  <c r="AR59" i="67"/>
  <c r="AE60" i="67"/>
  <c r="AF60" i="67"/>
  <c r="AG60" i="67"/>
  <c r="AH60" i="67"/>
  <c r="AJ60" i="67"/>
  <c r="AK60" i="67"/>
  <c r="AL60" i="67"/>
  <c r="AM60" i="67"/>
  <c r="AO60" i="67"/>
  <c r="AP60" i="67"/>
  <c r="AQ60" i="67"/>
  <c r="AR60" i="67"/>
  <c r="AE61" i="67"/>
  <c r="AF61" i="67"/>
  <c r="AG61" i="67"/>
  <c r="AH61" i="67"/>
  <c r="AJ61" i="67"/>
  <c r="AK61" i="67"/>
  <c r="AL61" i="67"/>
  <c r="AM61" i="67"/>
  <c r="AO61" i="67"/>
  <c r="AP61" i="67"/>
  <c r="AQ61" i="67"/>
  <c r="AR61" i="67"/>
  <c r="AE63" i="67"/>
  <c r="AF63" i="67"/>
  <c r="AG63" i="67"/>
  <c r="AH63" i="67"/>
  <c r="AJ63" i="67"/>
  <c r="AK63" i="67"/>
  <c r="AL63" i="67"/>
  <c r="AM63" i="67"/>
  <c r="AO63" i="67"/>
  <c r="AP63" i="67"/>
  <c r="AQ63" i="67"/>
  <c r="AR63" i="67"/>
  <c r="AE64" i="67"/>
  <c r="AF64" i="67"/>
  <c r="AG64" i="67"/>
  <c r="AH64" i="67"/>
  <c r="AJ64" i="67"/>
  <c r="AK64" i="67"/>
  <c r="AL64" i="67"/>
  <c r="AM64" i="67"/>
  <c r="AO64" i="67"/>
  <c r="AP64" i="67"/>
  <c r="AQ64" i="67"/>
  <c r="AR64" i="67"/>
  <c r="AE65" i="67"/>
  <c r="AF65" i="67"/>
  <c r="AG65" i="67"/>
  <c r="AH65" i="67"/>
  <c r="AJ65" i="67"/>
  <c r="AK65" i="67"/>
  <c r="AL65" i="67"/>
  <c r="AM65" i="67"/>
  <c r="AO65" i="67"/>
  <c r="AP65" i="67"/>
  <c r="AQ65" i="67"/>
  <c r="AR65" i="67"/>
  <c r="AE66" i="67"/>
  <c r="AF66" i="67"/>
  <c r="AG66" i="67"/>
  <c r="AH66" i="67"/>
  <c r="AJ66" i="67"/>
  <c r="AK66" i="67"/>
  <c r="AL66" i="67"/>
  <c r="AM66" i="67"/>
  <c r="AO66" i="67"/>
  <c r="AP66" i="67"/>
  <c r="AQ66" i="67"/>
  <c r="AR66" i="67"/>
  <c r="AE67" i="67"/>
  <c r="AF67" i="67"/>
  <c r="AG67" i="67"/>
  <c r="AH67" i="67"/>
  <c r="AJ67" i="67"/>
  <c r="AK67" i="67"/>
  <c r="AL67" i="67"/>
  <c r="AM67" i="67"/>
  <c r="AO67" i="67"/>
  <c r="AP67" i="67"/>
  <c r="AQ67" i="67"/>
  <c r="AR67" i="67"/>
  <c r="AE69" i="67"/>
  <c r="AF69" i="67"/>
  <c r="AG69" i="67"/>
  <c r="AH69" i="67"/>
  <c r="AJ69" i="67"/>
  <c r="AK69" i="67"/>
  <c r="AL69" i="67"/>
  <c r="AM69" i="67"/>
  <c r="AO69" i="67"/>
  <c r="AP69" i="67"/>
  <c r="AQ69" i="67"/>
  <c r="AR69" i="67"/>
  <c r="AE70" i="67"/>
  <c r="AF70" i="67"/>
  <c r="AG70" i="67"/>
  <c r="AH70" i="67"/>
  <c r="AJ70" i="67"/>
  <c r="AK70" i="67"/>
  <c r="AL70" i="67"/>
  <c r="AM70" i="67"/>
  <c r="AO70" i="67"/>
  <c r="AP70" i="67"/>
  <c r="AQ70" i="67"/>
  <c r="AR70" i="67"/>
  <c r="AE71" i="67"/>
  <c r="AF71" i="67"/>
  <c r="AG71" i="67"/>
  <c r="AH71" i="67"/>
  <c r="AJ71" i="67"/>
  <c r="AK71" i="67"/>
  <c r="AL71" i="67"/>
  <c r="AM71" i="67"/>
  <c r="AO71" i="67"/>
  <c r="AP71" i="67"/>
  <c r="AQ71" i="67"/>
  <c r="AR71" i="67"/>
  <c r="AE72" i="67"/>
  <c r="AF72" i="67"/>
  <c r="AG72" i="67"/>
  <c r="AH72" i="67"/>
  <c r="AJ72" i="67"/>
  <c r="AK72" i="67"/>
  <c r="AL72" i="67"/>
  <c r="AM72" i="67"/>
  <c r="AO72" i="67"/>
  <c r="AP72" i="67"/>
  <c r="AQ72" i="67"/>
  <c r="AR72" i="67"/>
  <c r="AE73" i="67"/>
  <c r="AF73" i="67"/>
  <c r="AG73" i="67"/>
  <c r="AH73" i="67"/>
  <c r="AJ73" i="67"/>
  <c r="AK73" i="67"/>
  <c r="AL73" i="67"/>
  <c r="AM73" i="67"/>
  <c r="AO73" i="67"/>
  <c r="AP73" i="67"/>
  <c r="AQ73" i="67"/>
  <c r="AR73" i="67"/>
  <c r="AE4" i="68"/>
  <c r="AF4" i="68"/>
  <c r="AG4" i="68"/>
  <c r="AH4" i="68"/>
  <c r="AJ4" i="68"/>
  <c r="AK4" i="68"/>
  <c r="AL4" i="68"/>
  <c r="AM4" i="68"/>
  <c r="AO4" i="68"/>
  <c r="AP4" i="68"/>
  <c r="AQ4" i="68"/>
  <c r="AR4" i="68"/>
  <c r="AE5" i="68"/>
  <c r="AF5" i="68"/>
  <c r="AG5" i="68"/>
  <c r="AH5" i="68"/>
  <c r="AJ5" i="68"/>
  <c r="AK5" i="68"/>
  <c r="AL5" i="68"/>
  <c r="AM5" i="68"/>
  <c r="AO5" i="68"/>
  <c r="AP5" i="68"/>
  <c r="AQ5" i="68"/>
  <c r="AR5" i="68"/>
  <c r="AE6" i="68"/>
  <c r="AF6" i="68"/>
  <c r="AG6" i="68"/>
  <c r="AH6" i="68"/>
  <c r="AJ6" i="68"/>
  <c r="AK6" i="68"/>
  <c r="AL6" i="68"/>
  <c r="AM6" i="68"/>
  <c r="AO6" i="68"/>
  <c r="AP6" i="68"/>
  <c r="AQ6" i="68"/>
  <c r="AR6" i="68"/>
  <c r="AE7" i="68"/>
  <c r="AF7" i="68"/>
  <c r="AG7" i="68"/>
  <c r="AH7" i="68"/>
  <c r="AJ7" i="68"/>
  <c r="AK7" i="68"/>
  <c r="AL7" i="68"/>
  <c r="AM7" i="68"/>
  <c r="AO7" i="68"/>
  <c r="AP7" i="68"/>
  <c r="AQ7" i="68"/>
  <c r="AR7" i="68"/>
  <c r="AE9" i="68"/>
  <c r="AF9" i="68"/>
  <c r="AG9" i="68"/>
  <c r="AH9" i="68"/>
  <c r="AJ9" i="68"/>
  <c r="AK9" i="68"/>
  <c r="AL9" i="68"/>
  <c r="AM9" i="68"/>
  <c r="AO9" i="68"/>
  <c r="AP9" i="68"/>
  <c r="AQ9" i="68"/>
  <c r="AR9" i="68"/>
  <c r="AE10" i="68"/>
  <c r="AF10" i="68"/>
  <c r="AG10" i="68"/>
  <c r="AH10" i="68"/>
  <c r="AJ10" i="68"/>
  <c r="AK10" i="68"/>
  <c r="AL10" i="68"/>
  <c r="AM10" i="68"/>
  <c r="AO10" i="68"/>
  <c r="AP10" i="68"/>
  <c r="AQ10" i="68"/>
  <c r="AR10" i="68"/>
  <c r="AE11" i="68"/>
  <c r="AF11" i="68"/>
  <c r="AG11" i="68"/>
  <c r="AH11" i="68"/>
  <c r="AJ11" i="68"/>
  <c r="AK11" i="68"/>
  <c r="AL11" i="68"/>
  <c r="AM11" i="68"/>
  <c r="AO11" i="68"/>
  <c r="AP11" i="68"/>
  <c r="AQ11" i="68"/>
  <c r="AR11" i="68"/>
  <c r="AE12" i="68"/>
  <c r="AF12" i="68"/>
  <c r="AG12" i="68"/>
  <c r="AH12" i="68"/>
  <c r="AJ12" i="68"/>
  <c r="AK12" i="68"/>
  <c r="AL12" i="68"/>
  <c r="AM12" i="68"/>
  <c r="AO12" i="68"/>
  <c r="AP12" i="68"/>
  <c r="AQ12" i="68"/>
  <c r="AR12" i="68"/>
  <c r="AE13" i="68"/>
  <c r="AF13" i="68"/>
  <c r="AG13" i="68"/>
  <c r="AH13" i="68"/>
  <c r="AJ13" i="68"/>
  <c r="AK13" i="68"/>
  <c r="AL13" i="68"/>
  <c r="AM13" i="68"/>
  <c r="AO13" i="68"/>
  <c r="AP13" i="68"/>
  <c r="AQ13" i="68"/>
  <c r="AR13" i="68"/>
  <c r="AE15" i="68"/>
  <c r="AF15" i="68"/>
  <c r="AG15" i="68"/>
  <c r="AH15" i="68"/>
  <c r="AJ15" i="68"/>
  <c r="AK15" i="68"/>
  <c r="AL15" i="68"/>
  <c r="AM15" i="68"/>
  <c r="AP15" i="68"/>
  <c r="AQ15" i="68"/>
  <c r="AR15" i="68"/>
  <c r="AE16" i="68"/>
  <c r="AF16" i="68"/>
  <c r="AG16" i="68"/>
  <c r="AH16" i="68"/>
  <c r="AJ16" i="68"/>
  <c r="AK16" i="68"/>
  <c r="AL16" i="68"/>
  <c r="AM16" i="68"/>
  <c r="AO16" i="68"/>
  <c r="AP16" i="68"/>
  <c r="AQ16" i="68"/>
  <c r="AR16" i="68"/>
  <c r="AE17" i="68"/>
  <c r="AF17" i="68"/>
  <c r="AG17" i="68"/>
  <c r="AH17" i="68"/>
  <c r="AJ17" i="68"/>
  <c r="AK17" i="68"/>
  <c r="AL17" i="68"/>
  <c r="AM17" i="68"/>
  <c r="AO17" i="68"/>
  <c r="AP17" i="68"/>
  <c r="AQ17" i="68"/>
  <c r="AR17" i="68"/>
  <c r="AE18" i="68"/>
  <c r="AF18" i="68"/>
  <c r="AG18" i="68"/>
  <c r="AH18" i="68"/>
  <c r="AJ18" i="68"/>
  <c r="AK18" i="68"/>
  <c r="AL18" i="68"/>
  <c r="AM18" i="68"/>
  <c r="AO18" i="68"/>
  <c r="AP18" i="68"/>
  <c r="AQ18" i="68"/>
  <c r="AR18" i="68"/>
  <c r="AE19" i="68"/>
  <c r="AF19" i="68"/>
  <c r="AG19" i="68"/>
  <c r="AH19" i="68"/>
  <c r="AJ19" i="68"/>
  <c r="AK19" i="68"/>
  <c r="AL19" i="68"/>
  <c r="AM19" i="68"/>
  <c r="AO19" i="68"/>
  <c r="AP19" i="68"/>
  <c r="AQ19" i="68"/>
  <c r="AR19" i="68"/>
  <c r="AE21" i="68"/>
  <c r="AF21" i="68"/>
  <c r="AG21" i="68"/>
  <c r="AH21" i="68"/>
  <c r="AJ21" i="68"/>
  <c r="AK21" i="68"/>
  <c r="AL21" i="68"/>
  <c r="AM21" i="68"/>
  <c r="AO21" i="68"/>
  <c r="AP21" i="68"/>
  <c r="AQ21" i="68"/>
  <c r="AR21" i="68"/>
  <c r="AE22" i="68"/>
  <c r="AF22" i="68"/>
  <c r="AG22" i="68"/>
  <c r="AH22" i="68"/>
  <c r="AJ22" i="68"/>
  <c r="AK22" i="68"/>
  <c r="AL22" i="68"/>
  <c r="AM22" i="68"/>
  <c r="AO22" i="68"/>
  <c r="AP22" i="68"/>
  <c r="AQ22" i="68"/>
  <c r="AR22" i="68"/>
  <c r="AE23" i="68"/>
  <c r="AF23" i="68"/>
  <c r="AG23" i="68"/>
  <c r="AH23" i="68"/>
  <c r="AJ23" i="68"/>
  <c r="AK23" i="68"/>
  <c r="AL23" i="68"/>
  <c r="AM23" i="68"/>
  <c r="AO23" i="68"/>
  <c r="AQ23" i="68"/>
  <c r="AR23" i="68"/>
  <c r="AE24" i="68"/>
  <c r="AF24" i="68"/>
  <c r="AG24" i="68"/>
  <c r="AH24" i="68"/>
  <c r="AJ24" i="68"/>
  <c r="AK24" i="68"/>
  <c r="AL24" i="68"/>
  <c r="AM24" i="68"/>
  <c r="AP24" i="68"/>
  <c r="AQ24" i="68"/>
  <c r="AR24" i="68"/>
  <c r="AE25" i="68"/>
  <c r="AF25" i="68"/>
  <c r="AG25" i="68"/>
  <c r="AH25" i="68"/>
  <c r="AJ25" i="68"/>
  <c r="AK25" i="68"/>
  <c r="AL25" i="68"/>
  <c r="AM25" i="68"/>
  <c r="AO25" i="68"/>
  <c r="AP25" i="68"/>
  <c r="AQ25" i="68"/>
  <c r="AR25" i="68"/>
  <c r="AE27" i="68"/>
  <c r="AF27" i="68"/>
  <c r="AG27" i="68"/>
  <c r="AH27" i="68"/>
  <c r="AJ27" i="68"/>
  <c r="AK27" i="68"/>
  <c r="AL27" i="68"/>
  <c r="AM27" i="68"/>
  <c r="AO27" i="68"/>
  <c r="AP27" i="68"/>
  <c r="AQ27" i="68"/>
  <c r="AR27" i="68"/>
  <c r="AE28" i="68"/>
  <c r="AF28" i="68"/>
  <c r="AG28" i="68"/>
  <c r="AH28" i="68"/>
  <c r="AJ28" i="68"/>
  <c r="AK28" i="68"/>
  <c r="AL28" i="68"/>
  <c r="AM28" i="68"/>
  <c r="AO28" i="68"/>
  <c r="AQ28" i="68"/>
  <c r="AR28" i="68"/>
  <c r="AE29" i="68"/>
  <c r="AF29" i="68"/>
  <c r="AG29" i="68"/>
  <c r="AH29" i="68"/>
  <c r="AJ29" i="68"/>
  <c r="AK29" i="68"/>
  <c r="AL29" i="68"/>
  <c r="AM29" i="68"/>
  <c r="AO29" i="68"/>
  <c r="AP29" i="68"/>
  <c r="AQ29" i="68"/>
  <c r="AR29" i="68"/>
  <c r="AE30" i="68"/>
  <c r="AF30" i="68"/>
  <c r="AG30" i="68"/>
  <c r="AH30" i="68"/>
  <c r="AJ30" i="68"/>
  <c r="AK30" i="68"/>
  <c r="AL30" i="68"/>
  <c r="AM30" i="68"/>
  <c r="AQ30" i="68"/>
  <c r="AR30" i="68"/>
  <c r="AE31" i="68"/>
  <c r="AF31" i="68"/>
  <c r="AG31" i="68"/>
  <c r="AH31" i="68"/>
  <c r="AJ31" i="68"/>
  <c r="AK31" i="68"/>
  <c r="AL31" i="68"/>
  <c r="AM31" i="68"/>
  <c r="AO31" i="68"/>
  <c r="AP31" i="68"/>
  <c r="AQ31" i="68"/>
  <c r="AR31" i="68"/>
  <c r="AE33" i="68"/>
  <c r="AF33" i="68"/>
  <c r="AG33" i="68"/>
  <c r="AH33" i="68"/>
  <c r="AJ33" i="68"/>
  <c r="AK33" i="68"/>
  <c r="AL33" i="68"/>
  <c r="AM33" i="68"/>
  <c r="AO33" i="68"/>
  <c r="AP33" i="68"/>
  <c r="AQ33" i="68"/>
  <c r="AR33" i="68"/>
  <c r="AE34" i="68"/>
  <c r="AF34" i="68"/>
  <c r="AG34" i="68"/>
  <c r="AH34" i="68"/>
  <c r="AJ34" i="68"/>
  <c r="AK34" i="68"/>
  <c r="AL34" i="68"/>
  <c r="AM34" i="68"/>
  <c r="AO34" i="68"/>
  <c r="AP34" i="68"/>
  <c r="AQ34" i="68"/>
  <c r="AR34" i="68"/>
  <c r="AE35" i="68"/>
  <c r="AF35" i="68"/>
  <c r="AG35" i="68"/>
  <c r="AH35" i="68"/>
  <c r="AJ35" i="68"/>
  <c r="AK35" i="68"/>
  <c r="AL35" i="68"/>
  <c r="AM35" i="68"/>
  <c r="AP35" i="68"/>
  <c r="AQ35" i="68"/>
  <c r="AR35" i="68"/>
  <c r="AE36" i="68"/>
  <c r="AF36" i="68"/>
  <c r="AG36" i="68"/>
  <c r="AH36" i="68"/>
  <c r="AJ36" i="68"/>
  <c r="AK36" i="68"/>
  <c r="AL36" i="68"/>
  <c r="AM36" i="68"/>
  <c r="AQ36" i="68"/>
  <c r="AR36" i="68"/>
  <c r="AE37" i="68"/>
  <c r="AF37" i="68"/>
  <c r="AG37" i="68"/>
  <c r="AH37" i="68"/>
  <c r="AJ37" i="68"/>
  <c r="AK37" i="68"/>
  <c r="AL37" i="68"/>
  <c r="AM37" i="68"/>
  <c r="AO37" i="68"/>
  <c r="AP37" i="68"/>
  <c r="AQ37" i="68"/>
  <c r="AR37" i="68"/>
  <c r="AE39" i="68"/>
  <c r="AF39" i="68"/>
  <c r="AG39" i="68"/>
  <c r="AH39" i="68"/>
  <c r="AJ39" i="68"/>
  <c r="AK39" i="68"/>
  <c r="AL39" i="68"/>
  <c r="AM39" i="68"/>
  <c r="AQ39" i="68"/>
  <c r="AR39" i="68"/>
  <c r="AE40" i="68"/>
  <c r="AF40" i="68"/>
  <c r="AG40" i="68"/>
  <c r="AH40" i="68"/>
  <c r="AJ40" i="68"/>
  <c r="AK40" i="68"/>
  <c r="AL40" i="68"/>
  <c r="AM40" i="68"/>
  <c r="AQ40" i="68"/>
  <c r="AR40" i="68"/>
  <c r="AE41" i="68"/>
  <c r="AF41" i="68"/>
  <c r="AG41" i="68"/>
  <c r="AH41" i="68"/>
  <c r="AJ41" i="68"/>
  <c r="AK41" i="68"/>
  <c r="AL41" i="68"/>
  <c r="AM41" i="68"/>
  <c r="AQ41" i="68"/>
  <c r="AR41" i="68"/>
  <c r="AE42" i="68"/>
  <c r="AF42" i="68"/>
  <c r="AG42" i="68"/>
  <c r="AH42" i="68"/>
  <c r="AJ42" i="68"/>
  <c r="AK42" i="68"/>
  <c r="AL42" i="68"/>
  <c r="AM42" i="68"/>
  <c r="AO42" i="68"/>
  <c r="AP42" i="68"/>
  <c r="AQ42" i="68"/>
  <c r="AR42" i="68"/>
  <c r="AE43" i="68"/>
  <c r="AF43" i="68"/>
  <c r="AG43" i="68"/>
  <c r="AH43" i="68"/>
  <c r="AJ43" i="68"/>
  <c r="AK43" i="68"/>
  <c r="AL43" i="68"/>
  <c r="AM43" i="68"/>
  <c r="AO43" i="68"/>
  <c r="AP43" i="68"/>
  <c r="AQ43" i="68"/>
  <c r="AR43" i="68"/>
  <c r="AE45" i="68"/>
  <c r="AF45" i="68"/>
  <c r="AG45" i="68"/>
  <c r="AH45" i="68"/>
  <c r="AJ45" i="68"/>
  <c r="AK45" i="68"/>
  <c r="AL45" i="68"/>
  <c r="AM45" i="68"/>
  <c r="AP45" i="68"/>
  <c r="AQ45" i="68"/>
  <c r="AR45" i="68"/>
  <c r="AE46" i="68"/>
  <c r="AF46" i="68"/>
  <c r="AG46" i="68"/>
  <c r="AH46" i="68"/>
  <c r="AJ46" i="68"/>
  <c r="AK46" i="68"/>
  <c r="AL46" i="68"/>
  <c r="AM46" i="68"/>
  <c r="AO46" i="68"/>
  <c r="AP46" i="68"/>
  <c r="AQ46" i="68"/>
  <c r="AR46" i="68"/>
  <c r="AE47" i="68"/>
  <c r="AF47" i="68"/>
  <c r="AG47" i="68"/>
  <c r="AH47" i="68"/>
  <c r="AJ47" i="68"/>
  <c r="AK47" i="68"/>
  <c r="AL47" i="68"/>
  <c r="AM47" i="68"/>
  <c r="AO47" i="68"/>
  <c r="AP47" i="68"/>
  <c r="AQ47" i="68"/>
  <c r="AR47" i="68"/>
  <c r="AE48" i="68"/>
  <c r="AF48" i="68"/>
  <c r="AG48" i="68"/>
  <c r="AH48" i="68"/>
  <c r="AJ48" i="68"/>
  <c r="AK48" i="68"/>
  <c r="AL48" i="68"/>
  <c r="AM48" i="68"/>
  <c r="AO48" i="68"/>
  <c r="AP48" i="68"/>
  <c r="AQ48" i="68"/>
  <c r="AR48" i="68"/>
  <c r="AE49" i="68"/>
  <c r="AF49" i="68"/>
  <c r="AG49" i="68"/>
  <c r="AH49" i="68"/>
  <c r="AJ49" i="68"/>
  <c r="AK49" i="68"/>
  <c r="AL49" i="68"/>
  <c r="AM49" i="68"/>
  <c r="AO49" i="68"/>
  <c r="AP49" i="68"/>
  <c r="AQ49" i="68"/>
  <c r="AR49" i="68"/>
  <c r="AE51" i="68"/>
  <c r="AF51" i="68"/>
  <c r="AG51" i="68"/>
  <c r="AH51" i="68"/>
  <c r="AJ51" i="68"/>
  <c r="AK51" i="68"/>
  <c r="AL51" i="68"/>
  <c r="AM51" i="68"/>
  <c r="AO51" i="68"/>
  <c r="AP51" i="68"/>
  <c r="AQ51" i="68"/>
  <c r="AR51" i="68"/>
  <c r="AE52" i="68"/>
  <c r="AF52" i="68"/>
  <c r="AG52" i="68"/>
  <c r="AH52" i="68"/>
  <c r="AJ52" i="68"/>
  <c r="AK52" i="68"/>
  <c r="AL52" i="68"/>
  <c r="AM52" i="68"/>
  <c r="AO52" i="68"/>
  <c r="AP52" i="68"/>
  <c r="AQ52" i="68"/>
  <c r="AR52" i="68"/>
  <c r="AE53" i="68"/>
  <c r="AF53" i="68"/>
  <c r="AG53" i="68"/>
  <c r="AH53" i="68"/>
  <c r="AJ53" i="68"/>
  <c r="AK53" i="68"/>
  <c r="AL53" i="68"/>
  <c r="AM53" i="68"/>
  <c r="AO53" i="68"/>
  <c r="AP53" i="68"/>
  <c r="AQ53" i="68"/>
  <c r="AR53" i="68"/>
  <c r="AE54" i="68"/>
  <c r="AF54" i="68"/>
  <c r="AG54" i="68"/>
  <c r="AH54" i="68"/>
  <c r="AJ54" i="68"/>
  <c r="AK54" i="68"/>
  <c r="AL54" i="68"/>
  <c r="AM54" i="68"/>
  <c r="AO54" i="68"/>
  <c r="AQ54" i="68"/>
  <c r="AR54" i="68"/>
  <c r="AE55" i="68"/>
  <c r="AF55" i="68"/>
  <c r="AG55" i="68"/>
  <c r="AH55" i="68"/>
  <c r="AJ55" i="68"/>
  <c r="AK55" i="68"/>
  <c r="AL55" i="68"/>
  <c r="AM55" i="68"/>
  <c r="AO55" i="68"/>
  <c r="AP55" i="68"/>
  <c r="AQ55" i="68"/>
  <c r="AR55" i="68"/>
  <c r="AE57" i="68"/>
  <c r="AF57" i="68"/>
  <c r="AG57" i="68"/>
  <c r="AH57" i="68"/>
  <c r="AJ57" i="68"/>
  <c r="AK57" i="68"/>
  <c r="AL57" i="68"/>
  <c r="AM57" i="68"/>
  <c r="AO57" i="68"/>
  <c r="AQ57" i="68"/>
  <c r="AR57" i="68"/>
  <c r="AE58" i="68"/>
  <c r="AF58" i="68"/>
  <c r="AG58" i="68"/>
  <c r="AH58" i="68"/>
  <c r="AJ58" i="68"/>
  <c r="AK58" i="68"/>
  <c r="AL58" i="68"/>
  <c r="AM58" i="68"/>
  <c r="AO58" i="68"/>
  <c r="AP58" i="68"/>
  <c r="AQ58" i="68"/>
  <c r="AR58" i="68"/>
  <c r="AE59" i="68"/>
  <c r="AF59" i="68"/>
  <c r="AG59" i="68"/>
  <c r="AH59" i="68"/>
  <c r="AJ59" i="68"/>
  <c r="AK59" i="68"/>
  <c r="AL59" i="68"/>
  <c r="AM59" i="68"/>
  <c r="AP59" i="68"/>
  <c r="AQ59" i="68"/>
  <c r="AR59" i="68"/>
  <c r="AE60" i="68"/>
  <c r="AF60" i="68"/>
  <c r="AG60" i="68"/>
  <c r="AH60" i="68"/>
  <c r="AJ60" i="68"/>
  <c r="AK60" i="68"/>
  <c r="AL60" i="68"/>
  <c r="AM60" i="68"/>
  <c r="AO60" i="68"/>
  <c r="AP60" i="68"/>
  <c r="AQ60" i="68"/>
  <c r="AR60" i="68"/>
  <c r="AE61" i="68"/>
  <c r="AF61" i="68"/>
  <c r="AG61" i="68"/>
  <c r="AH61" i="68"/>
  <c r="AJ61" i="68"/>
  <c r="AK61" i="68"/>
  <c r="AL61" i="68"/>
  <c r="AM61" i="68"/>
  <c r="AO61" i="68"/>
  <c r="AP61" i="68"/>
  <c r="AQ61" i="68"/>
  <c r="AR61" i="68"/>
  <c r="AE63" i="68"/>
  <c r="AF63" i="68"/>
  <c r="AG63" i="68"/>
  <c r="AH63" i="68"/>
  <c r="AJ63" i="68"/>
  <c r="AK63" i="68"/>
  <c r="AL63" i="68"/>
  <c r="AM63" i="68"/>
  <c r="AO63" i="68"/>
  <c r="AP63" i="68"/>
  <c r="AQ63" i="68"/>
  <c r="AR63" i="68"/>
  <c r="AE64" i="68"/>
  <c r="AF64" i="68"/>
  <c r="AG64" i="68"/>
  <c r="AH64" i="68"/>
  <c r="AJ64" i="68"/>
  <c r="AK64" i="68"/>
  <c r="AL64" i="68"/>
  <c r="AM64" i="68"/>
  <c r="AO64" i="68"/>
  <c r="AP64" i="68"/>
  <c r="AQ64" i="68"/>
  <c r="AR64" i="68"/>
  <c r="AE65" i="68"/>
  <c r="AF65" i="68"/>
  <c r="AG65" i="68"/>
  <c r="AH65" i="68"/>
  <c r="AJ65" i="68"/>
  <c r="AK65" i="68"/>
  <c r="AL65" i="68"/>
  <c r="AM65" i="68"/>
  <c r="AO65" i="68"/>
  <c r="AP65" i="68"/>
  <c r="AQ65" i="68"/>
  <c r="AR65" i="68"/>
  <c r="AE66" i="68"/>
  <c r="AF66" i="68"/>
  <c r="AG66" i="68"/>
  <c r="AH66" i="68"/>
  <c r="AJ66" i="68"/>
  <c r="AK66" i="68"/>
  <c r="AL66" i="68"/>
  <c r="AM66" i="68"/>
  <c r="AO66" i="68"/>
  <c r="AP66" i="68"/>
  <c r="AQ66" i="68"/>
  <c r="AR66" i="68"/>
  <c r="AE67" i="68"/>
  <c r="AF67" i="68"/>
  <c r="AG67" i="68"/>
  <c r="AH67" i="68"/>
  <c r="AJ67" i="68"/>
  <c r="AK67" i="68"/>
  <c r="AL67" i="68"/>
  <c r="AM67" i="68"/>
  <c r="AO67" i="68"/>
  <c r="AP67" i="68"/>
  <c r="AQ67" i="68"/>
  <c r="AR67" i="68"/>
  <c r="AE69" i="68"/>
  <c r="AF69" i="68"/>
  <c r="AG69" i="68"/>
  <c r="AH69" i="68"/>
  <c r="AJ69" i="68"/>
  <c r="AK69" i="68"/>
  <c r="AL69" i="68"/>
  <c r="AM69" i="68"/>
  <c r="AO69" i="68"/>
  <c r="AP69" i="68"/>
  <c r="AQ69" i="68"/>
  <c r="AR69" i="68"/>
  <c r="AE70" i="68"/>
  <c r="AF70" i="68"/>
  <c r="AG70" i="68"/>
  <c r="AH70" i="68"/>
  <c r="AJ70" i="68"/>
  <c r="AK70" i="68"/>
  <c r="AL70" i="68"/>
  <c r="AM70" i="68"/>
  <c r="AO70" i="68"/>
  <c r="AP70" i="68"/>
  <c r="AQ70" i="68"/>
  <c r="AR70" i="68"/>
  <c r="AE71" i="68"/>
  <c r="AF71" i="68"/>
  <c r="AG71" i="68"/>
  <c r="AH71" i="68"/>
  <c r="AJ71" i="68"/>
  <c r="AK71" i="68"/>
  <c r="AL71" i="68"/>
  <c r="AM71" i="68"/>
  <c r="AO71" i="68"/>
  <c r="AQ71" i="68"/>
  <c r="AR71" i="68"/>
  <c r="AE72" i="68"/>
  <c r="AF72" i="68"/>
  <c r="AG72" i="68"/>
  <c r="AH72" i="68"/>
  <c r="AJ72" i="68"/>
  <c r="AK72" i="68"/>
  <c r="AL72" i="68"/>
  <c r="AM72" i="68"/>
  <c r="AO72" i="68"/>
  <c r="AP72" i="68"/>
  <c r="AQ72" i="68"/>
  <c r="AR72" i="68"/>
  <c r="AE73" i="68"/>
  <c r="AF73" i="68"/>
  <c r="AG73" i="68"/>
  <c r="AH73" i="68"/>
  <c r="AJ73" i="68"/>
  <c r="AK73" i="68"/>
  <c r="AL73" i="68"/>
  <c r="AM73" i="68"/>
  <c r="AO73" i="68"/>
  <c r="AP73" i="68"/>
  <c r="AQ73" i="68"/>
  <c r="AR73" i="68"/>
  <c r="AE4" i="69"/>
  <c r="AF4" i="69"/>
  <c r="AG4" i="69"/>
  <c r="AH4" i="69"/>
  <c r="AJ4" i="69"/>
  <c r="AK4" i="69"/>
  <c r="AL4" i="69"/>
  <c r="AM4" i="69"/>
  <c r="AO4" i="69"/>
  <c r="AP4" i="69"/>
  <c r="AQ4" i="69"/>
  <c r="AR4" i="69"/>
  <c r="AE5" i="69"/>
  <c r="AF5" i="69"/>
  <c r="AG5" i="69"/>
  <c r="AH5" i="69"/>
  <c r="AJ5" i="69"/>
  <c r="AK5" i="69"/>
  <c r="AL5" i="69"/>
  <c r="AM5" i="69"/>
  <c r="AO5" i="69"/>
  <c r="AP5" i="69"/>
  <c r="AQ5" i="69"/>
  <c r="AR5" i="69"/>
  <c r="AE6" i="69"/>
  <c r="AF6" i="69"/>
  <c r="AG6" i="69"/>
  <c r="AH6" i="69"/>
  <c r="AJ6" i="69"/>
  <c r="AK6" i="69"/>
  <c r="AL6" i="69"/>
  <c r="AM6" i="69"/>
  <c r="AO6" i="69"/>
  <c r="AP6" i="69"/>
  <c r="AQ6" i="69"/>
  <c r="AR6" i="69"/>
  <c r="AE7" i="69"/>
  <c r="AF7" i="69"/>
  <c r="AG7" i="69"/>
  <c r="AH7" i="69"/>
  <c r="AJ7" i="69"/>
  <c r="AK7" i="69"/>
  <c r="AL7" i="69"/>
  <c r="AM7" i="69"/>
  <c r="AO7" i="69"/>
  <c r="AP7" i="69"/>
  <c r="AQ7" i="69"/>
  <c r="AR7" i="69"/>
  <c r="AE9" i="69"/>
  <c r="AF9" i="69"/>
  <c r="AG9" i="69"/>
  <c r="AH9" i="69"/>
  <c r="AJ9" i="69"/>
  <c r="AK9" i="69"/>
  <c r="AL9" i="69"/>
  <c r="AM9" i="69"/>
  <c r="AO9" i="69"/>
  <c r="AP9" i="69"/>
  <c r="AQ9" i="69"/>
  <c r="AR9" i="69"/>
  <c r="AE10" i="69"/>
  <c r="AF10" i="69"/>
  <c r="AG10" i="69"/>
  <c r="AH10" i="69"/>
  <c r="AJ10" i="69"/>
  <c r="AK10" i="69"/>
  <c r="AL10" i="69"/>
  <c r="AM10" i="69"/>
  <c r="AO10" i="69"/>
  <c r="AP10" i="69"/>
  <c r="AQ10" i="69"/>
  <c r="AR10" i="69"/>
  <c r="AE11" i="69"/>
  <c r="AF11" i="69"/>
  <c r="AG11" i="69"/>
  <c r="AH11" i="69"/>
  <c r="AJ11" i="69"/>
  <c r="AK11" i="69"/>
  <c r="AL11" i="69"/>
  <c r="AM11" i="69"/>
  <c r="AO11" i="69"/>
  <c r="AP11" i="69"/>
  <c r="AQ11" i="69"/>
  <c r="AR11" i="69"/>
  <c r="AE12" i="69"/>
  <c r="AF12" i="69"/>
  <c r="AG12" i="69"/>
  <c r="AH12" i="69"/>
  <c r="AJ12" i="69"/>
  <c r="AK12" i="69"/>
  <c r="AL12" i="69"/>
  <c r="AM12" i="69"/>
  <c r="AO12" i="69"/>
  <c r="AP12" i="69"/>
  <c r="AQ12" i="69"/>
  <c r="AR12" i="69"/>
  <c r="AE13" i="69"/>
  <c r="AF13" i="69"/>
  <c r="AG13" i="69"/>
  <c r="AH13" i="69"/>
  <c r="AJ13" i="69"/>
  <c r="AK13" i="69"/>
  <c r="AL13" i="69"/>
  <c r="AM13" i="69"/>
  <c r="AO13" i="69"/>
  <c r="AP13" i="69"/>
  <c r="AQ13" i="69"/>
  <c r="AR13" i="69"/>
  <c r="AE15" i="69"/>
  <c r="AF15" i="69"/>
  <c r="AG15" i="69"/>
  <c r="AH15" i="69"/>
  <c r="AJ15" i="69"/>
  <c r="AK15" i="69"/>
  <c r="AL15" i="69"/>
  <c r="AM15" i="69"/>
  <c r="AO15" i="69"/>
  <c r="AP15" i="69"/>
  <c r="AQ15" i="69"/>
  <c r="AR15" i="69"/>
  <c r="AE16" i="69"/>
  <c r="AF16" i="69"/>
  <c r="AG16" i="69"/>
  <c r="AH16" i="69"/>
  <c r="AJ16" i="69"/>
  <c r="AK16" i="69"/>
  <c r="AL16" i="69"/>
  <c r="AM16" i="69"/>
  <c r="AO16" i="69"/>
  <c r="AP16" i="69"/>
  <c r="AQ16" i="69"/>
  <c r="AR16" i="69"/>
  <c r="AE17" i="69"/>
  <c r="AF17" i="69"/>
  <c r="AG17" i="69"/>
  <c r="AH17" i="69"/>
  <c r="AJ17" i="69"/>
  <c r="AK17" i="69"/>
  <c r="AL17" i="69"/>
  <c r="AM17" i="69"/>
  <c r="AO17" i="69"/>
  <c r="AP17" i="69"/>
  <c r="AQ17" i="69"/>
  <c r="AR17" i="69"/>
  <c r="AE18" i="69"/>
  <c r="AF18" i="69"/>
  <c r="AG18" i="69"/>
  <c r="AH18" i="69"/>
  <c r="AJ18" i="69"/>
  <c r="AK18" i="69"/>
  <c r="AL18" i="69"/>
  <c r="AM18" i="69"/>
  <c r="AO18" i="69"/>
  <c r="AP18" i="69"/>
  <c r="AQ18" i="69"/>
  <c r="AR18" i="69"/>
  <c r="AE19" i="69"/>
  <c r="AF19" i="69"/>
  <c r="AG19" i="69"/>
  <c r="AH19" i="69"/>
  <c r="AJ19" i="69"/>
  <c r="AK19" i="69"/>
  <c r="AL19" i="69"/>
  <c r="AM19" i="69"/>
  <c r="AO19" i="69"/>
  <c r="AP19" i="69"/>
  <c r="AQ19" i="69"/>
  <c r="AR19" i="69"/>
  <c r="AE21" i="69"/>
  <c r="AF21" i="69"/>
  <c r="AG21" i="69"/>
  <c r="AH21" i="69"/>
  <c r="AJ21" i="69"/>
  <c r="AK21" i="69"/>
  <c r="AL21" i="69"/>
  <c r="AM21" i="69"/>
  <c r="AO21" i="69"/>
  <c r="AP21" i="69"/>
  <c r="AQ21" i="69"/>
  <c r="AR21" i="69"/>
  <c r="AE22" i="69"/>
  <c r="AF22" i="69"/>
  <c r="AG22" i="69"/>
  <c r="AH22" i="69"/>
  <c r="AJ22" i="69"/>
  <c r="AK22" i="69"/>
  <c r="AL22" i="69"/>
  <c r="AM22" i="69"/>
  <c r="AO22" i="69"/>
  <c r="AP22" i="69"/>
  <c r="AQ22" i="69"/>
  <c r="AR22" i="69"/>
  <c r="AE23" i="69"/>
  <c r="AF23" i="69"/>
  <c r="AG23" i="69"/>
  <c r="AH23" i="69"/>
  <c r="AJ23" i="69"/>
  <c r="AK23" i="69"/>
  <c r="AL23" i="69"/>
  <c r="AM23" i="69"/>
  <c r="AO23" i="69"/>
  <c r="AP23" i="69"/>
  <c r="AQ23" i="69"/>
  <c r="AR23" i="69"/>
  <c r="AE24" i="69"/>
  <c r="AF24" i="69"/>
  <c r="AG24" i="69"/>
  <c r="AH24" i="69"/>
  <c r="AJ24" i="69"/>
  <c r="AK24" i="69"/>
  <c r="AL24" i="69"/>
  <c r="AM24" i="69"/>
  <c r="AO24" i="69"/>
  <c r="AP24" i="69"/>
  <c r="AQ24" i="69"/>
  <c r="AR24" i="69"/>
  <c r="AE25" i="69"/>
  <c r="AF25" i="69"/>
  <c r="AG25" i="69"/>
  <c r="AH25" i="69"/>
  <c r="AJ25" i="69"/>
  <c r="AK25" i="69"/>
  <c r="AL25" i="69"/>
  <c r="AM25" i="69"/>
  <c r="AO25" i="69"/>
  <c r="AP25" i="69"/>
  <c r="AQ25" i="69"/>
  <c r="AR25" i="69"/>
  <c r="AE27" i="69"/>
  <c r="AF27" i="69"/>
  <c r="AG27" i="69"/>
  <c r="AH27" i="69"/>
  <c r="AJ27" i="69"/>
  <c r="AK27" i="69"/>
  <c r="AL27" i="69"/>
  <c r="AM27" i="69"/>
  <c r="AO27" i="69"/>
  <c r="AP27" i="69"/>
  <c r="AQ27" i="69"/>
  <c r="AR27" i="69"/>
  <c r="AE28" i="69"/>
  <c r="AF28" i="69"/>
  <c r="AG28" i="69"/>
  <c r="AH28" i="69"/>
  <c r="AJ28" i="69"/>
  <c r="AK28" i="69"/>
  <c r="AL28" i="69"/>
  <c r="AM28" i="69"/>
  <c r="AO28" i="69"/>
  <c r="AP28" i="69"/>
  <c r="AQ28" i="69"/>
  <c r="AR28" i="69"/>
  <c r="AE29" i="69"/>
  <c r="AF29" i="69"/>
  <c r="AG29" i="69"/>
  <c r="AH29" i="69"/>
  <c r="AJ29" i="69"/>
  <c r="AK29" i="69"/>
  <c r="AL29" i="69"/>
  <c r="AM29" i="69"/>
  <c r="AO29" i="69"/>
  <c r="AP29" i="69"/>
  <c r="AQ29" i="69"/>
  <c r="AR29" i="69"/>
  <c r="AE30" i="69"/>
  <c r="AF30" i="69"/>
  <c r="AG30" i="69"/>
  <c r="AH30" i="69"/>
  <c r="AJ30" i="69"/>
  <c r="AK30" i="69"/>
  <c r="AL30" i="69"/>
  <c r="AM30" i="69"/>
  <c r="AO30" i="69"/>
  <c r="AP30" i="69"/>
  <c r="AQ30" i="69"/>
  <c r="AR30" i="69"/>
  <c r="AE31" i="69"/>
  <c r="AF31" i="69"/>
  <c r="AG31" i="69"/>
  <c r="AH31" i="69"/>
  <c r="AJ31" i="69"/>
  <c r="AK31" i="69"/>
  <c r="AL31" i="69"/>
  <c r="AM31" i="69"/>
  <c r="AO31" i="69"/>
  <c r="AP31" i="69"/>
  <c r="AQ31" i="69"/>
  <c r="AR31" i="69"/>
  <c r="AE33" i="69"/>
  <c r="AF33" i="69"/>
  <c r="AG33" i="69"/>
  <c r="AH33" i="69"/>
  <c r="AJ33" i="69"/>
  <c r="AK33" i="69"/>
  <c r="AL33" i="69"/>
  <c r="AM33" i="69"/>
  <c r="AO33" i="69"/>
  <c r="AP33" i="69"/>
  <c r="AQ33" i="69"/>
  <c r="AR33" i="69"/>
  <c r="AE34" i="69"/>
  <c r="AF34" i="69"/>
  <c r="AG34" i="69"/>
  <c r="AH34" i="69"/>
  <c r="AJ34" i="69"/>
  <c r="AK34" i="69"/>
  <c r="AL34" i="69"/>
  <c r="AM34" i="69"/>
  <c r="AO34" i="69"/>
  <c r="AP34" i="69"/>
  <c r="AQ34" i="69"/>
  <c r="AR34" i="69"/>
  <c r="AE35" i="69"/>
  <c r="AF35" i="69"/>
  <c r="AG35" i="69"/>
  <c r="AH35" i="69"/>
  <c r="AJ35" i="69"/>
  <c r="AK35" i="69"/>
  <c r="AL35" i="69"/>
  <c r="AM35" i="69"/>
  <c r="AO35" i="69"/>
  <c r="AP35" i="69"/>
  <c r="AQ35" i="69"/>
  <c r="AR35" i="69"/>
  <c r="AE36" i="69"/>
  <c r="AF36" i="69"/>
  <c r="AG36" i="69"/>
  <c r="AH36" i="69"/>
  <c r="AJ36" i="69"/>
  <c r="AK36" i="69"/>
  <c r="AL36" i="69"/>
  <c r="AM36" i="69"/>
  <c r="AO36" i="69"/>
  <c r="AP36" i="69"/>
  <c r="AQ36" i="69"/>
  <c r="AR36" i="69"/>
  <c r="AE37" i="69"/>
  <c r="AF37" i="69"/>
  <c r="AG37" i="69"/>
  <c r="AH37" i="69"/>
  <c r="AJ37" i="69"/>
  <c r="AK37" i="69"/>
  <c r="AL37" i="69"/>
  <c r="AM37" i="69"/>
  <c r="AO37" i="69"/>
  <c r="AP37" i="69"/>
  <c r="AQ37" i="69"/>
  <c r="AR37" i="69"/>
  <c r="AE39" i="69"/>
  <c r="AF39" i="69"/>
  <c r="AG39" i="69"/>
  <c r="AH39" i="69"/>
  <c r="AJ39" i="69"/>
  <c r="AK39" i="69"/>
  <c r="AL39" i="69"/>
  <c r="AM39" i="69"/>
  <c r="AO39" i="69"/>
  <c r="AP39" i="69"/>
  <c r="AQ39" i="69"/>
  <c r="AR39" i="69"/>
  <c r="AE40" i="69"/>
  <c r="AF40" i="69"/>
  <c r="AG40" i="69"/>
  <c r="AH40" i="69"/>
  <c r="AJ40" i="69"/>
  <c r="AK40" i="69"/>
  <c r="AL40" i="69"/>
  <c r="AM40" i="69"/>
  <c r="AO40" i="69"/>
  <c r="AP40" i="69"/>
  <c r="AQ40" i="69"/>
  <c r="AR40" i="69"/>
  <c r="AE41" i="69"/>
  <c r="AF41" i="69"/>
  <c r="AG41" i="69"/>
  <c r="AH41" i="69"/>
  <c r="AJ41" i="69"/>
  <c r="AK41" i="69"/>
  <c r="AL41" i="69"/>
  <c r="AM41" i="69"/>
  <c r="AO41" i="69"/>
  <c r="AP41" i="69"/>
  <c r="AQ41" i="69"/>
  <c r="AR41" i="69"/>
  <c r="AE42" i="69"/>
  <c r="AF42" i="69"/>
  <c r="AG42" i="69"/>
  <c r="AH42" i="69"/>
  <c r="AJ42" i="69"/>
  <c r="AK42" i="69"/>
  <c r="AL42" i="69"/>
  <c r="AM42" i="69"/>
  <c r="AO42" i="69"/>
  <c r="AP42" i="69"/>
  <c r="AQ42" i="69"/>
  <c r="AR42" i="69"/>
  <c r="AE43" i="69"/>
  <c r="AF43" i="69"/>
  <c r="AG43" i="69"/>
  <c r="AH43" i="69"/>
  <c r="AJ43" i="69"/>
  <c r="AK43" i="69"/>
  <c r="AL43" i="69"/>
  <c r="AM43" i="69"/>
  <c r="AO43" i="69"/>
  <c r="AP43" i="69"/>
  <c r="AQ43" i="69"/>
  <c r="AR43" i="69"/>
  <c r="AE45" i="69"/>
  <c r="AF45" i="69"/>
  <c r="AG45" i="69"/>
  <c r="AH45" i="69"/>
  <c r="AJ45" i="69"/>
  <c r="AK45" i="69"/>
  <c r="AL45" i="69"/>
  <c r="AM45" i="69"/>
  <c r="AO45" i="69"/>
  <c r="AP45" i="69"/>
  <c r="AQ45" i="69"/>
  <c r="AR45" i="69"/>
  <c r="AE46" i="69"/>
  <c r="AF46" i="69"/>
  <c r="AG46" i="69"/>
  <c r="AH46" i="69"/>
  <c r="AJ46" i="69"/>
  <c r="AK46" i="69"/>
  <c r="AL46" i="69"/>
  <c r="AM46" i="69"/>
  <c r="AO46" i="69"/>
  <c r="AP46" i="69"/>
  <c r="AQ46" i="69"/>
  <c r="AR46" i="69"/>
  <c r="AE47" i="69"/>
  <c r="AF47" i="69"/>
  <c r="AG47" i="69"/>
  <c r="AH47" i="69"/>
  <c r="AJ47" i="69"/>
  <c r="AK47" i="69"/>
  <c r="AL47" i="69"/>
  <c r="AM47" i="69"/>
  <c r="AO47" i="69"/>
  <c r="AP47" i="69"/>
  <c r="AQ47" i="69"/>
  <c r="AR47" i="69"/>
  <c r="AE48" i="69"/>
  <c r="AF48" i="69"/>
  <c r="AG48" i="69"/>
  <c r="AH48" i="69"/>
  <c r="AJ48" i="69"/>
  <c r="AK48" i="69"/>
  <c r="AL48" i="69"/>
  <c r="AM48" i="69"/>
  <c r="AO48" i="69"/>
  <c r="AP48" i="69"/>
  <c r="AR48" i="69"/>
  <c r="AE49" i="69"/>
  <c r="AF49" i="69"/>
  <c r="AG49" i="69"/>
  <c r="AH49" i="69"/>
  <c r="AJ49" i="69"/>
  <c r="AK49" i="69"/>
  <c r="AL49" i="69"/>
  <c r="AM49" i="69"/>
  <c r="AO49" i="69"/>
  <c r="AP49" i="69"/>
  <c r="AQ49" i="69"/>
  <c r="AR49" i="69"/>
  <c r="AE51" i="69"/>
  <c r="AF51" i="69"/>
  <c r="AG51" i="69"/>
  <c r="AH51" i="69"/>
  <c r="AJ51" i="69"/>
  <c r="AK51" i="69"/>
  <c r="AL51" i="69"/>
  <c r="AM51" i="69"/>
  <c r="AO51" i="69"/>
  <c r="AP51" i="69"/>
  <c r="AQ51" i="69"/>
  <c r="AR51" i="69"/>
  <c r="AE52" i="69"/>
  <c r="AF52" i="69"/>
  <c r="AG52" i="69"/>
  <c r="AH52" i="69"/>
  <c r="AJ52" i="69"/>
  <c r="AK52" i="69"/>
  <c r="AL52" i="69"/>
  <c r="AM52" i="69"/>
  <c r="AO52" i="69"/>
  <c r="AP52" i="69"/>
  <c r="AQ52" i="69"/>
  <c r="AR52" i="69"/>
  <c r="AE53" i="69"/>
  <c r="AF53" i="69"/>
  <c r="AG53" i="69"/>
  <c r="AH53" i="69"/>
  <c r="AJ53" i="69"/>
  <c r="AK53" i="69"/>
  <c r="AL53" i="69"/>
  <c r="AM53" i="69"/>
  <c r="AO53" i="69"/>
  <c r="AP53" i="69"/>
  <c r="AQ53" i="69"/>
  <c r="AR53" i="69"/>
  <c r="AE54" i="69"/>
  <c r="AF54" i="69"/>
  <c r="AG54" i="69"/>
  <c r="AH54" i="69"/>
  <c r="AJ54" i="69"/>
  <c r="AK54" i="69"/>
  <c r="AL54" i="69"/>
  <c r="AM54" i="69"/>
  <c r="AO54" i="69"/>
  <c r="AP54" i="69"/>
  <c r="AQ54" i="69"/>
  <c r="AR54" i="69"/>
  <c r="AE55" i="69"/>
  <c r="AF55" i="69"/>
  <c r="AG55" i="69"/>
  <c r="AH55" i="69"/>
  <c r="AJ55" i="69"/>
  <c r="AK55" i="69"/>
  <c r="AL55" i="69"/>
  <c r="AM55" i="69"/>
  <c r="AO55" i="69"/>
  <c r="AP55" i="69"/>
  <c r="AQ55" i="69"/>
  <c r="AR55" i="69"/>
  <c r="AE57" i="69"/>
  <c r="AF57" i="69"/>
  <c r="AG57" i="69"/>
  <c r="AH57" i="69"/>
  <c r="AJ57" i="69"/>
  <c r="AK57" i="69"/>
  <c r="AL57" i="69"/>
  <c r="AM57" i="69"/>
  <c r="AO57" i="69"/>
  <c r="AP57" i="69"/>
  <c r="AQ57" i="69"/>
  <c r="AR57" i="69"/>
  <c r="AE58" i="69"/>
  <c r="AF58" i="69"/>
  <c r="AG58" i="69"/>
  <c r="AH58" i="69"/>
  <c r="AJ58" i="69"/>
  <c r="AK58" i="69"/>
  <c r="AL58" i="69"/>
  <c r="AM58" i="69"/>
  <c r="AO58" i="69"/>
  <c r="AP58" i="69"/>
  <c r="AQ58" i="69"/>
  <c r="AR58" i="69"/>
  <c r="AE59" i="69"/>
  <c r="AF59" i="69"/>
  <c r="AG59" i="69"/>
  <c r="AH59" i="69"/>
  <c r="AJ59" i="69"/>
  <c r="AK59" i="69"/>
  <c r="AL59" i="69"/>
  <c r="AM59" i="69"/>
  <c r="AO59" i="69"/>
  <c r="AP59" i="69"/>
  <c r="AR59" i="69"/>
  <c r="AE60" i="69"/>
  <c r="AF60" i="69"/>
  <c r="AG60" i="69"/>
  <c r="AH60" i="69"/>
  <c r="AJ60" i="69"/>
  <c r="AK60" i="69"/>
  <c r="AL60" i="69"/>
  <c r="AM60" i="69"/>
  <c r="AO60" i="69"/>
  <c r="AP60" i="69"/>
  <c r="AR60" i="69"/>
  <c r="AE61" i="69"/>
  <c r="AF61" i="69"/>
  <c r="AG61" i="69"/>
  <c r="AH61" i="69"/>
  <c r="AJ61" i="69"/>
  <c r="AK61" i="69"/>
  <c r="AL61" i="69"/>
  <c r="AM61" i="69"/>
  <c r="AO61" i="69"/>
  <c r="AP61" i="69"/>
  <c r="AQ61" i="69"/>
  <c r="AR61" i="69"/>
  <c r="AE63" i="69"/>
  <c r="AF63" i="69"/>
  <c r="AG63" i="69"/>
  <c r="AH63" i="69"/>
  <c r="AJ63" i="69"/>
  <c r="AK63" i="69"/>
  <c r="AL63" i="69"/>
  <c r="AM63" i="69"/>
  <c r="AO63" i="69"/>
  <c r="AP63" i="69"/>
  <c r="AR63" i="69"/>
  <c r="AE64" i="69"/>
  <c r="AF64" i="69"/>
  <c r="AG64" i="69"/>
  <c r="AH64" i="69"/>
  <c r="AJ64" i="69"/>
  <c r="AK64" i="69"/>
  <c r="AL64" i="69"/>
  <c r="AM64" i="69"/>
  <c r="AO64" i="69"/>
  <c r="AP64" i="69"/>
  <c r="AQ64" i="69"/>
  <c r="AR64" i="69"/>
  <c r="AE65" i="69"/>
  <c r="AF65" i="69"/>
  <c r="AG65" i="69"/>
  <c r="AH65" i="69"/>
  <c r="AJ65" i="69"/>
  <c r="AK65" i="69"/>
  <c r="AL65" i="69"/>
  <c r="AM65" i="69"/>
  <c r="AO65" i="69"/>
  <c r="AP65" i="69"/>
  <c r="AQ65" i="69"/>
  <c r="AR65" i="69"/>
  <c r="AE66" i="69"/>
  <c r="AF66" i="69"/>
  <c r="AG66" i="69"/>
  <c r="AH66" i="69"/>
  <c r="AJ66" i="69"/>
  <c r="AK66" i="69"/>
  <c r="AL66" i="69"/>
  <c r="AM66" i="69"/>
  <c r="AO66" i="69"/>
  <c r="AP66" i="69"/>
  <c r="AQ66" i="69"/>
  <c r="AR66" i="69"/>
  <c r="AE67" i="69"/>
  <c r="AF67" i="69"/>
  <c r="AG67" i="69"/>
  <c r="AH67" i="69"/>
  <c r="AJ67" i="69"/>
  <c r="AK67" i="69"/>
  <c r="AL67" i="69"/>
  <c r="AM67" i="69"/>
  <c r="AO67" i="69"/>
  <c r="AP67" i="69"/>
  <c r="AQ67" i="69"/>
  <c r="AR67" i="69"/>
  <c r="AE69" i="69"/>
  <c r="AF69" i="69"/>
  <c r="AG69" i="69"/>
  <c r="AH69" i="69"/>
  <c r="AJ69" i="69"/>
  <c r="AK69" i="69"/>
  <c r="AL69" i="69"/>
  <c r="AM69" i="69"/>
  <c r="AO69" i="69"/>
  <c r="AP69" i="69"/>
  <c r="AQ69" i="69"/>
  <c r="AR69" i="69"/>
  <c r="AE70" i="69"/>
  <c r="AF70" i="69"/>
  <c r="AG70" i="69"/>
  <c r="AH70" i="69"/>
  <c r="AJ70" i="69"/>
  <c r="AK70" i="69"/>
  <c r="AL70" i="69"/>
  <c r="AM70" i="69"/>
  <c r="AO70" i="69"/>
  <c r="AP70" i="69"/>
  <c r="AQ70" i="69"/>
  <c r="AR70" i="69"/>
  <c r="AE71" i="69"/>
  <c r="AF71" i="69"/>
  <c r="AG71" i="69"/>
  <c r="AH71" i="69"/>
  <c r="AJ71" i="69"/>
  <c r="AK71" i="69"/>
  <c r="AL71" i="69"/>
  <c r="AM71" i="69"/>
  <c r="AO71" i="69"/>
  <c r="AP71" i="69"/>
  <c r="AQ71" i="69"/>
  <c r="AR71" i="69"/>
  <c r="AE72" i="69"/>
  <c r="AF72" i="69"/>
  <c r="AG72" i="69"/>
  <c r="AH72" i="69"/>
  <c r="AJ72" i="69"/>
  <c r="AK72" i="69"/>
  <c r="AL72" i="69"/>
  <c r="AM72" i="69"/>
  <c r="AO72" i="69"/>
  <c r="AP72" i="69"/>
  <c r="AR72" i="69"/>
  <c r="AE73" i="69"/>
  <c r="AF73" i="69"/>
  <c r="AG73" i="69"/>
  <c r="AH73" i="69"/>
  <c r="AJ73" i="69"/>
  <c r="AK73" i="69"/>
  <c r="AL73" i="69"/>
  <c r="AM73" i="69"/>
  <c r="AO73" i="69"/>
  <c r="AP73" i="69"/>
  <c r="AQ73" i="69"/>
  <c r="AR73" i="69"/>
  <c r="AE4" i="70"/>
  <c r="AF4" i="70"/>
  <c r="AG4" i="70"/>
  <c r="AH4" i="70"/>
  <c r="AJ4" i="70"/>
  <c r="AK4" i="70"/>
  <c r="AL4" i="70"/>
  <c r="AM4" i="70"/>
  <c r="AO4" i="70"/>
  <c r="AP4" i="70"/>
  <c r="AQ4" i="70"/>
  <c r="AR4" i="70"/>
  <c r="AE5" i="70"/>
  <c r="AF5" i="70"/>
  <c r="AG5" i="70"/>
  <c r="AH5" i="70"/>
  <c r="AJ5" i="70"/>
  <c r="AK5" i="70"/>
  <c r="AL5" i="70"/>
  <c r="AM5" i="70"/>
  <c r="AO5" i="70"/>
  <c r="AP5" i="70"/>
  <c r="AQ5" i="70"/>
  <c r="AR5" i="70"/>
  <c r="AE6" i="70"/>
  <c r="AF6" i="70"/>
  <c r="AG6" i="70"/>
  <c r="AH6" i="70"/>
  <c r="AJ6" i="70"/>
  <c r="AK6" i="70"/>
  <c r="AL6" i="70"/>
  <c r="AM6" i="70"/>
  <c r="AO6" i="70"/>
  <c r="AP6" i="70"/>
  <c r="AQ6" i="70"/>
  <c r="AR6" i="70"/>
  <c r="AE7" i="70"/>
  <c r="AF7" i="70"/>
  <c r="AG7" i="70"/>
  <c r="AH7" i="70"/>
  <c r="AJ7" i="70"/>
  <c r="AK7" i="70"/>
  <c r="AL7" i="70"/>
  <c r="AM7" i="70"/>
  <c r="AO7" i="70"/>
  <c r="AP7" i="70"/>
  <c r="AQ7" i="70"/>
  <c r="AR7" i="70"/>
  <c r="AE9" i="70"/>
  <c r="AF9" i="70"/>
  <c r="AG9" i="70"/>
  <c r="AH9" i="70"/>
  <c r="AJ9" i="70"/>
  <c r="AK9" i="70"/>
  <c r="AL9" i="70"/>
  <c r="AM9" i="70"/>
  <c r="AO9" i="70"/>
  <c r="AP9" i="70"/>
  <c r="AQ9" i="70"/>
  <c r="AR9" i="70"/>
  <c r="AE10" i="70"/>
  <c r="AF10" i="70"/>
  <c r="AG10" i="70"/>
  <c r="AH10" i="70"/>
  <c r="AJ10" i="70"/>
  <c r="AK10" i="70"/>
  <c r="AL10" i="70"/>
  <c r="AM10" i="70"/>
  <c r="AO10" i="70"/>
  <c r="AP10" i="70"/>
  <c r="AQ10" i="70"/>
  <c r="AR10" i="70"/>
  <c r="AE11" i="70"/>
  <c r="AF11" i="70"/>
  <c r="AG11" i="70"/>
  <c r="AH11" i="70"/>
  <c r="AJ11" i="70"/>
  <c r="AK11" i="70"/>
  <c r="AL11" i="70"/>
  <c r="AM11" i="70"/>
  <c r="AO11" i="70"/>
  <c r="AP11" i="70"/>
  <c r="AQ11" i="70"/>
  <c r="AR11" i="70"/>
  <c r="AE12" i="70"/>
  <c r="AF12" i="70"/>
  <c r="AG12" i="70"/>
  <c r="AH12" i="70"/>
  <c r="AJ12" i="70"/>
  <c r="AK12" i="70"/>
  <c r="AL12" i="70"/>
  <c r="AM12" i="70"/>
  <c r="AO12" i="70"/>
  <c r="AP12" i="70"/>
  <c r="AQ12" i="70"/>
  <c r="AR12" i="70"/>
  <c r="AE13" i="70"/>
  <c r="AF13" i="70"/>
  <c r="AG13" i="70"/>
  <c r="AH13" i="70"/>
  <c r="AJ13" i="70"/>
  <c r="AK13" i="70"/>
  <c r="AL13" i="70"/>
  <c r="AM13" i="70"/>
  <c r="AO13" i="70"/>
  <c r="AP13" i="70"/>
  <c r="AQ13" i="70"/>
  <c r="AR13" i="70"/>
  <c r="AE15" i="70"/>
  <c r="AF15" i="70"/>
  <c r="AG15" i="70"/>
  <c r="AH15" i="70"/>
  <c r="AJ15" i="70"/>
  <c r="AK15" i="70"/>
  <c r="AL15" i="70"/>
  <c r="AM15" i="70"/>
  <c r="AO15" i="70"/>
  <c r="AP15" i="70"/>
  <c r="AQ15" i="70"/>
  <c r="AR15" i="70"/>
  <c r="AE16" i="70"/>
  <c r="AF16" i="70"/>
  <c r="AG16" i="70"/>
  <c r="AH16" i="70"/>
  <c r="AJ16" i="70"/>
  <c r="AK16" i="70"/>
  <c r="AL16" i="70"/>
  <c r="AM16" i="70"/>
  <c r="AO16" i="70"/>
  <c r="AP16" i="70"/>
  <c r="AQ16" i="70"/>
  <c r="AR16" i="70"/>
  <c r="AE17" i="70"/>
  <c r="AF17" i="70"/>
  <c r="AG17" i="70"/>
  <c r="AH17" i="70"/>
  <c r="AJ17" i="70"/>
  <c r="AK17" i="70"/>
  <c r="AL17" i="70"/>
  <c r="AM17" i="70"/>
  <c r="AO17" i="70"/>
  <c r="AP17" i="70"/>
  <c r="AQ17" i="70"/>
  <c r="AR17" i="70"/>
  <c r="AE18" i="70"/>
  <c r="AF18" i="70"/>
  <c r="AG18" i="70"/>
  <c r="AH18" i="70"/>
  <c r="AJ18" i="70"/>
  <c r="AK18" i="70"/>
  <c r="AL18" i="70"/>
  <c r="AM18" i="70"/>
  <c r="AO18" i="70"/>
  <c r="AP18" i="70"/>
  <c r="AQ18" i="70"/>
  <c r="AR18" i="70"/>
  <c r="AE19" i="70"/>
  <c r="AF19" i="70"/>
  <c r="AG19" i="70"/>
  <c r="AH19" i="70"/>
  <c r="AJ19" i="70"/>
  <c r="AK19" i="70"/>
  <c r="AL19" i="70"/>
  <c r="AM19" i="70"/>
  <c r="AO19" i="70"/>
  <c r="AP19" i="70"/>
  <c r="AQ19" i="70"/>
  <c r="AR19" i="70"/>
  <c r="AE21" i="70"/>
  <c r="AF21" i="70"/>
  <c r="AG21" i="70"/>
  <c r="AH21" i="70"/>
  <c r="AJ21" i="70"/>
  <c r="AK21" i="70"/>
  <c r="AL21" i="70"/>
  <c r="AM21" i="70"/>
  <c r="AO21" i="70"/>
  <c r="AP21" i="70"/>
  <c r="AQ21" i="70"/>
  <c r="AR21" i="70"/>
  <c r="AE22" i="70"/>
  <c r="AF22" i="70"/>
  <c r="AG22" i="70"/>
  <c r="AH22" i="70"/>
  <c r="AJ22" i="70"/>
  <c r="AK22" i="70"/>
  <c r="AL22" i="70"/>
  <c r="AM22" i="70"/>
  <c r="AO22" i="70"/>
  <c r="AP22" i="70"/>
  <c r="AQ22" i="70"/>
  <c r="AR22" i="70"/>
  <c r="AE23" i="70"/>
  <c r="AF23" i="70"/>
  <c r="AG23" i="70"/>
  <c r="AH23" i="70"/>
  <c r="AJ23" i="70"/>
  <c r="AK23" i="70"/>
  <c r="AL23" i="70"/>
  <c r="AM23" i="70"/>
  <c r="AO23" i="70"/>
  <c r="AP23" i="70"/>
  <c r="AQ23" i="70"/>
  <c r="AR23" i="70"/>
  <c r="AE24" i="70"/>
  <c r="AF24" i="70"/>
  <c r="AG24" i="70"/>
  <c r="AH24" i="70"/>
  <c r="AJ24" i="70"/>
  <c r="AK24" i="70"/>
  <c r="AL24" i="70"/>
  <c r="AM24" i="70"/>
  <c r="AO24" i="70"/>
  <c r="AP24" i="70"/>
  <c r="AQ24" i="70"/>
  <c r="AR24" i="70"/>
  <c r="AE25" i="70"/>
  <c r="AF25" i="70"/>
  <c r="AG25" i="70"/>
  <c r="AH25" i="70"/>
  <c r="AJ25" i="70"/>
  <c r="AK25" i="70"/>
  <c r="AL25" i="70"/>
  <c r="AM25" i="70"/>
  <c r="AO25" i="70"/>
  <c r="AP25" i="70"/>
  <c r="AQ25" i="70"/>
  <c r="AR25" i="70"/>
  <c r="AE27" i="70"/>
  <c r="AF27" i="70"/>
  <c r="AG27" i="70"/>
  <c r="AH27" i="70"/>
  <c r="AJ27" i="70"/>
  <c r="AK27" i="70"/>
  <c r="AL27" i="70"/>
  <c r="AM27" i="70"/>
  <c r="AO27" i="70"/>
  <c r="AP27" i="70"/>
  <c r="AQ27" i="70"/>
  <c r="AR27" i="70"/>
  <c r="AE28" i="70"/>
  <c r="AF28" i="70"/>
  <c r="AG28" i="70"/>
  <c r="AH28" i="70"/>
  <c r="AJ28" i="70"/>
  <c r="AK28" i="70"/>
  <c r="AL28" i="70"/>
  <c r="AM28" i="70"/>
  <c r="AO28" i="70"/>
  <c r="AP28" i="70"/>
  <c r="AQ28" i="70"/>
  <c r="AR28" i="70"/>
  <c r="AE29" i="70"/>
  <c r="AF29" i="70"/>
  <c r="AG29" i="70"/>
  <c r="AH29" i="70"/>
  <c r="AJ29" i="70"/>
  <c r="AK29" i="70"/>
  <c r="AL29" i="70"/>
  <c r="AM29" i="70"/>
  <c r="AO29" i="70"/>
  <c r="AP29" i="70"/>
  <c r="AQ29" i="70"/>
  <c r="AR29" i="70"/>
  <c r="AE30" i="70"/>
  <c r="AF30" i="70"/>
  <c r="AG30" i="70"/>
  <c r="AH30" i="70"/>
  <c r="AJ30" i="70"/>
  <c r="AK30" i="70"/>
  <c r="AL30" i="70"/>
  <c r="AM30" i="70"/>
  <c r="AO30" i="70"/>
  <c r="AP30" i="70"/>
  <c r="AQ30" i="70"/>
  <c r="AR30" i="70"/>
  <c r="AE31" i="70"/>
  <c r="AF31" i="70"/>
  <c r="AG31" i="70"/>
  <c r="AH31" i="70"/>
  <c r="AJ31" i="70"/>
  <c r="AK31" i="70"/>
  <c r="AL31" i="70"/>
  <c r="AM31" i="70"/>
  <c r="AO31" i="70"/>
  <c r="AP31" i="70"/>
  <c r="AQ31" i="70"/>
  <c r="AR31" i="70"/>
  <c r="AE33" i="70"/>
  <c r="AF33" i="70"/>
  <c r="AG33" i="70"/>
  <c r="AH33" i="70"/>
  <c r="AJ33" i="70"/>
  <c r="AK33" i="70"/>
  <c r="AL33" i="70"/>
  <c r="AM33" i="70"/>
  <c r="AO33" i="70"/>
  <c r="AP33" i="70"/>
  <c r="AQ33" i="70"/>
  <c r="AR33" i="70"/>
  <c r="AE34" i="70"/>
  <c r="AF34" i="70"/>
  <c r="AG34" i="70"/>
  <c r="AH34" i="70"/>
  <c r="AJ34" i="70"/>
  <c r="AK34" i="70"/>
  <c r="AL34" i="70"/>
  <c r="AM34" i="70"/>
  <c r="AO34" i="70"/>
  <c r="AP34" i="70"/>
  <c r="AQ34" i="70"/>
  <c r="AR34" i="70"/>
  <c r="AE35" i="70"/>
  <c r="AF35" i="70"/>
  <c r="AG35" i="70"/>
  <c r="AH35" i="70"/>
  <c r="AJ35" i="70"/>
  <c r="AK35" i="70"/>
  <c r="AL35" i="70"/>
  <c r="AM35" i="70"/>
  <c r="AO35" i="70"/>
  <c r="AP35" i="70"/>
  <c r="AQ35" i="70"/>
  <c r="AR35" i="70"/>
  <c r="AE36" i="70"/>
  <c r="AF36" i="70"/>
  <c r="AG36" i="70"/>
  <c r="AH36" i="70"/>
  <c r="AJ36" i="70"/>
  <c r="AK36" i="70"/>
  <c r="AL36" i="70"/>
  <c r="AM36" i="70"/>
  <c r="AO36" i="70"/>
  <c r="AP36" i="70"/>
  <c r="AQ36" i="70"/>
  <c r="AR36" i="70"/>
  <c r="AE37" i="70"/>
  <c r="AF37" i="70"/>
  <c r="AG37" i="70"/>
  <c r="AH37" i="70"/>
  <c r="AJ37" i="70"/>
  <c r="AK37" i="70"/>
  <c r="AL37" i="70"/>
  <c r="AM37" i="70"/>
  <c r="AO37" i="70"/>
  <c r="AP37" i="70"/>
  <c r="AQ37" i="70"/>
  <c r="AR37" i="70"/>
  <c r="AE39" i="70"/>
  <c r="AF39" i="70"/>
  <c r="AG39" i="70"/>
  <c r="AH39" i="70"/>
  <c r="AJ39" i="70"/>
  <c r="AK39" i="70"/>
  <c r="AL39" i="70"/>
  <c r="AM39" i="70"/>
  <c r="AO39" i="70"/>
  <c r="AP39" i="70"/>
  <c r="AQ39" i="70"/>
  <c r="AR39" i="70"/>
  <c r="AE40" i="70"/>
  <c r="AF40" i="70"/>
  <c r="AG40" i="70"/>
  <c r="AH40" i="70"/>
  <c r="AJ40" i="70"/>
  <c r="AK40" i="70"/>
  <c r="AL40" i="70"/>
  <c r="AM40" i="70"/>
  <c r="AO40" i="70"/>
  <c r="AP40" i="70"/>
  <c r="AQ40" i="70"/>
  <c r="AR40" i="70"/>
  <c r="AE41" i="70"/>
  <c r="AF41" i="70"/>
  <c r="AG41" i="70"/>
  <c r="AH41" i="70"/>
  <c r="AJ41" i="70"/>
  <c r="AK41" i="70"/>
  <c r="AL41" i="70"/>
  <c r="AM41" i="70"/>
  <c r="AO41" i="70"/>
  <c r="AP41" i="70"/>
  <c r="AQ41" i="70"/>
  <c r="AR41" i="70"/>
  <c r="AE42" i="70"/>
  <c r="AF42" i="70"/>
  <c r="AG42" i="70"/>
  <c r="AH42" i="70"/>
  <c r="AJ42" i="70"/>
  <c r="AK42" i="70"/>
  <c r="AL42" i="70"/>
  <c r="AM42" i="70"/>
  <c r="AO42" i="70"/>
  <c r="AP42" i="70"/>
  <c r="AQ42" i="70"/>
  <c r="AR42" i="70"/>
  <c r="AE43" i="70"/>
  <c r="AF43" i="70"/>
  <c r="AG43" i="70"/>
  <c r="AH43" i="70"/>
  <c r="AJ43" i="70"/>
  <c r="AK43" i="70"/>
  <c r="AL43" i="70"/>
  <c r="AM43" i="70"/>
  <c r="AO43" i="70"/>
  <c r="AP43" i="70"/>
  <c r="AQ43" i="70"/>
  <c r="AR43" i="70"/>
  <c r="AE45" i="70"/>
  <c r="AF45" i="70"/>
  <c r="AG45" i="70"/>
  <c r="AH45" i="70"/>
  <c r="AJ45" i="70"/>
  <c r="AK45" i="70"/>
  <c r="AL45" i="70"/>
  <c r="AM45" i="70"/>
  <c r="AO45" i="70"/>
  <c r="AP45" i="70"/>
  <c r="AQ45" i="70"/>
  <c r="AR45" i="70"/>
  <c r="AE46" i="70"/>
  <c r="AF46" i="70"/>
  <c r="AG46" i="70"/>
  <c r="AH46" i="70"/>
  <c r="AJ46" i="70"/>
  <c r="AK46" i="70"/>
  <c r="AL46" i="70"/>
  <c r="AM46" i="70"/>
  <c r="AO46" i="70"/>
  <c r="AP46" i="70"/>
  <c r="AQ46" i="70"/>
  <c r="AR46" i="70"/>
  <c r="AE47" i="70"/>
  <c r="AF47" i="70"/>
  <c r="AG47" i="70"/>
  <c r="AH47" i="70"/>
  <c r="AJ47" i="70"/>
  <c r="AK47" i="70"/>
  <c r="AL47" i="70"/>
  <c r="AM47" i="70"/>
  <c r="AO47" i="70"/>
  <c r="AP47" i="70"/>
  <c r="AQ47" i="70"/>
  <c r="AR47" i="70"/>
  <c r="AE48" i="70"/>
  <c r="AF48" i="70"/>
  <c r="AG48" i="70"/>
  <c r="AH48" i="70"/>
  <c r="AJ48" i="70"/>
  <c r="AK48" i="70"/>
  <c r="AL48" i="70"/>
  <c r="AM48" i="70"/>
  <c r="AO48" i="70"/>
  <c r="AP48" i="70"/>
  <c r="AQ48" i="70"/>
  <c r="AR48" i="70"/>
  <c r="AE49" i="70"/>
  <c r="AF49" i="70"/>
  <c r="AG49" i="70"/>
  <c r="AH49" i="70"/>
  <c r="AJ49" i="70"/>
  <c r="AK49" i="70"/>
  <c r="AL49" i="70"/>
  <c r="AM49" i="70"/>
  <c r="AO49" i="70"/>
  <c r="AP49" i="70"/>
  <c r="AQ49" i="70"/>
  <c r="AR49" i="70"/>
  <c r="AE51" i="70"/>
  <c r="AF51" i="70"/>
  <c r="AG51" i="70"/>
  <c r="AH51" i="70"/>
  <c r="AJ51" i="70"/>
  <c r="AK51" i="70"/>
  <c r="AL51" i="70"/>
  <c r="AM51" i="70"/>
  <c r="AO51" i="70"/>
  <c r="AP51" i="70"/>
  <c r="AQ51" i="70"/>
  <c r="AR51" i="70"/>
  <c r="AE52" i="70"/>
  <c r="AF52" i="70"/>
  <c r="AG52" i="70"/>
  <c r="AH52" i="70"/>
  <c r="AJ52" i="70"/>
  <c r="AK52" i="70"/>
  <c r="AL52" i="70"/>
  <c r="AM52" i="70"/>
  <c r="AO52" i="70"/>
  <c r="AP52" i="70"/>
  <c r="AQ52" i="70"/>
  <c r="AR52" i="70"/>
  <c r="AE53" i="70"/>
  <c r="AF53" i="70"/>
  <c r="AG53" i="70"/>
  <c r="AH53" i="70"/>
  <c r="AJ53" i="70"/>
  <c r="AK53" i="70"/>
  <c r="AL53" i="70"/>
  <c r="AM53" i="70"/>
  <c r="AO53" i="70"/>
  <c r="AP53" i="70"/>
  <c r="AQ53" i="70"/>
  <c r="AR53" i="70"/>
  <c r="AE54" i="70"/>
  <c r="AF54" i="70"/>
  <c r="AG54" i="70"/>
  <c r="AH54" i="70"/>
  <c r="AJ54" i="70"/>
  <c r="AK54" i="70"/>
  <c r="AL54" i="70"/>
  <c r="AM54" i="70"/>
  <c r="AO54" i="70"/>
  <c r="AP54" i="70"/>
  <c r="AQ54" i="70"/>
  <c r="AR54" i="70"/>
  <c r="AE55" i="70"/>
  <c r="AF55" i="70"/>
  <c r="AG55" i="70"/>
  <c r="AH55" i="70"/>
  <c r="AJ55" i="70"/>
  <c r="AK55" i="70"/>
  <c r="AL55" i="70"/>
  <c r="AM55" i="70"/>
  <c r="AO55" i="70"/>
  <c r="AP55" i="70"/>
  <c r="AQ55" i="70"/>
  <c r="AR55" i="70"/>
  <c r="AE57" i="70"/>
  <c r="AF57" i="70"/>
  <c r="AG57" i="70"/>
  <c r="AH57" i="70"/>
  <c r="AJ57" i="70"/>
  <c r="AK57" i="70"/>
  <c r="AL57" i="70"/>
  <c r="AM57" i="70"/>
  <c r="AO57" i="70"/>
  <c r="AP57" i="70"/>
  <c r="AQ57" i="70"/>
  <c r="AR57" i="70"/>
  <c r="AE58" i="70"/>
  <c r="AF58" i="70"/>
  <c r="AG58" i="70"/>
  <c r="AH58" i="70"/>
  <c r="AJ58" i="70"/>
  <c r="AK58" i="70"/>
  <c r="AL58" i="70"/>
  <c r="AM58" i="70"/>
  <c r="AO58" i="70"/>
  <c r="AP58" i="70"/>
  <c r="AQ58" i="70"/>
  <c r="AR58" i="70"/>
  <c r="AE59" i="70"/>
  <c r="AF59" i="70"/>
  <c r="AG59" i="70"/>
  <c r="AH59" i="70"/>
  <c r="AJ59" i="70"/>
  <c r="AK59" i="70"/>
  <c r="AL59" i="70"/>
  <c r="AM59" i="70"/>
  <c r="AO59" i="70"/>
  <c r="AP59" i="70"/>
  <c r="AQ59" i="70"/>
  <c r="AR59" i="70"/>
  <c r="AE60" i="70"/>
  <c r="AF60" i="70"/>
  <c r="AG60" i="70"/>
  <c r="AH60" i="70"/>
  <c r="AJ60" i="70"/>
  <c r="AK60" i="70"/>
  <c r="AL60" i="70"/>
  <c r="AM60" i="70"/>
  <c r="AO60" i="70"/>
  <c r="AP60" i="70"/>
  <c r="AQ60" i="70"/>
  <c r="AR60" i="70"/>
  <c r="AE61" i="70"/>
  <c r="AF61" i="70"/>
  <c r="AG61" i="70"/>
  <c r="AH61" i="70"/>
  <c r="AJ61" i="70"/>
  <c r="AK61" i="70"/>
  <c r="AL61" i="70"/>
  <c r="AM61" i="70"/>
  <c r="AO61" i="70"/>
  <c r="AP61" i="70"/>
  <c r="AQ61" i="70"/>
  <c r="AR61" i="70"/>
  <c r="AE63" i="70"/>
  <c r="AF63" i="70"/>
  <c r="AG63" i="70"/>
  <c r="AH63" i="70"/>
  <c r="AJ63" i="70"/>
  <c r="AK63" i="70"/>
  <c r="AL63" i="70"/>
  <c r="AM63" i="70"/>
  <c r="AO63" i="70"/>
  <c r="AP63" i="70"/>
  <c r="AQ63" i="70"/>
  <c r="AR63" i="70"/>
  <c r="AE64" i="70"/>
  <c r="AF64" i="70"/>
  <c r="AG64" i="70"/>
  <c r="AH64" i="70"/>
  <c r="AJ64" i="70"/>
  <c r="AK64" i="70"/>
  <c r="AL64" i="70"/>
  <c r="AM64" i="70"/>
  <c r="AO64" i="70"/>
  <c r="AP64" i="70"/>
  <c r="AQ64" i="70"/>
  <c r="AR64" i="70"/>
  <c r="AE65" i="70"/>
  <c r="AF65" i="70"/>
  <c r="AG65" i="70"/>
  <c r="AH65" i="70"/>
  <c r="AJ65" i="70"/>
  <c r="AK65" i="70"/>
  <c r="AL65" i="70"/>
  <c r="AM65" i="70"/>
  <c r="AO65" i="70"/>
  <c r="AP65" i="70"/>
  <c r="AQ65" i="70"/>
  <c r="AR65" i="70"/>
  <c r="AE66" i="70"/>
  <c r="AF66" i="70"/>
  <c r="AG66" i="70"/>
  <c r="AH66" i="70"/>
  <c r="AJ66" i="70"/>
  <c r="AK66" i="70"/>
  <c r="AL66" i="70"/>
  <c r="AM66" i="70"/>
  <c r="AO66" i="70"/>
  <c r="AP66" i="70"/>
  <c r="AQ66" i="70"/>
  <c r="AR66" i="70"/>
  <c r="AE67" i="70"/>
  <c r="AF67" i="70"/>
  <c r="AG67" i="70"/>
  <c r="AH67" i="70"/>
  <c r="AJ67" i="70"/>
  <c r="AK67" i="70"/>
  <c r="AL67" i="70"/>
  <c r="AM67" i="70"/>
  <c r="AO67" i="70"/>
  <c r="AP67" i="70"/>
  <c r="AQ67" i="70"/>
  <c r="AR67" i="70"/>
  <c r="AE69" i="70"/>
  <c r="AF69" i="70"/>
  <c r="AG69" i="70"/>
  <c r="AH69" i="70"/>
  <c r="AJ69" i="70"/>
  <c r="AK69" i="70"/>
  <c r="AL69" i="70"/>
  <c r="AM69" i="70"/>
  <c r="AO69" i="70"/>
  <c r="AP69" i="70"/>
  <c r="AQ69" i="70"/>
  <c r="AR69" i="70"/>
  <c r="AE70" i="70"/>
  <c r="AF70" i="70"/>
  <c r="AG70" i="70"/>
  <c r="AH70" i="70"/>
  <c r="AJ70" i="70"/>
  <c r="AK70" i="70"/>
  <c r="AL70" i="70"/>
  <c r="AM70" i="70"/>
  <c r="AO70" i="70"/>
  <c r="AP70" i="70"/>
  <c r="AQ70" i="70"/>
  <c r="AR70" i="70"/>
  <c r="AE71" i="70"/>
  <c r="AF71" i="70"/>
  <c r="AG71" i="70"/>
  <c r="AH71" i="70"/>
  <c r="AJ71" i="70"/>
  <c r="AK71" i="70"/>
  <c r="AL71" i="70"/>
  <c r="AM71" i="70"/>
  <c r="AO71" i="70"/>
  <c r="AP71" i="70"/>
  <c r="AQ71" i="70"/>
  <c r="AR71" i="70"/>
  <c r="AE72" i="70"/>
  <c r="AF72" i="70"/>
  <c r="AG72" i="70"/>
  <c r="AH72" i="70"/>
  <c r="AJ72" i="70"/>
  <c r="AK72" i="70"/>
  <c r="AL72" i="70"/>
  <c r="AM72" i="70"/>
  <c r="AO72" i="70"/>
  <c r="AP72" i="70"/>
  <c r="AQ72" i="70"/>
  <c r="AR72" i="70"/>
  <c r="AE73" i="70"/>
  <c r="AF73" i="70"/>
  <c r="AG73" i="70"/>
  <c r="AH73" i="70"/>
  <c r="AJ73" i="70"/>
  <c r="AK73" i="70"/>
  <c r="AL73" i="70"/>
  <c r="AM73" i="70"/>
  <c r="AO73" i="70"/>
  <c r="AP73" i="70"/>
  <c r="AQ73" i="70"/>
  <c r="AR73" i="70"/>
  <c r="AE4" i="71"/>
  <c r="AF4" i="71"/>
  <c r="AG4" i="71"/>
  <c r="AH4" i="71"/>
  <c r="AJ4" i="71"/>
  <c r="AK4" i="71"/>
  <c r="AL4" i="71"/>
  <c r="AM4" i="71"/>
  <c r="AO4" i="71"/>
  <c r="AP4" i="71"/>
  <c r="AQ4" i="71"/>
  <c r="AR4" i="71"/>
  <c r="AE5" i="71"/>
  <c r="AF5" i="71"/>
  <c r="AG5" i="71"/>
  <c r="AH5" i="71"/>
  <c r="AJ5" i="71"/>
  <c r="AK5" i="71"/>
  <c r="AL5" i="71"/>
  <c r="AM5" i="71"/>
  <c r="AO5" i="71"/>
  <c r="AP5" i="71"/>
  <c r="AQ5" i="71"/>
  <c r="AR5" i="71"/>
  <c r="AE6" i="71"/>
  <c r="AF6" i="71"/>
  <c r="AG6" i="71"/>
  <c r="AH6" i="71"/>
  <c r="AJ6" i="71"/>
  <c r="AK6" i="71"/>
  <c r="AL6" i="71"/>
  <c r="AM6" i="71"/>
  <c r="AO6" i="71"/>
  <c r="AP6" i="71"/>
  <c r="AQ6" i="71"/>
  <c r="AR6" i="71"/>
  <c r="AE7" i="71"/>
  <c r="AF7" i="71"/>
  <c r="AG7" i="71"/>
  <c r="AH7" i="71"/>
  <c r="AJ7" i="71"/>
  <c r="AK7" i="71"/>
  <c r="AL7" i="71"/>
  <c r="AM7" i="71"/>
  <c r="AO7" i="71"/>
  <c r="AP7" i="71"/>
  <c r="AQ7" i="71"/>
  <c r="AR7" i="71"/>
  <c r="AE9" i="71"/>
  <c r="AF9" i="71"/>
  <c r="AG9" i="71"/>
  <c r="AH9" i="71"/>
  <c r="AJ9" i="71"/>
  <c r="AK9" i="71"/>
  <c r="AL9" i="71"/>
  <c r="AM9" i="71"/>
  <c r="AO9" i="71"/>
  <c r="AP9" i="71"/>
  <c r="AQ9" i="71"/>
  <c r="AR9" i="71"/>
  <c r="AE10" i="71"/>
  <c r="AF10" i="71"/>
  <c r="AG10" i="71"/>
  <c r="AH10" i="71"/>
  <c r="AJ10" i="71"/>
  <c r="AK10" i="71"/>
  <c r="AL10" i="71"/>
  <c r="AM10" i="71"/>
  <c r="AO10" i="71"/>
  <c r="AP10" i="71"/>
  <c r="AQ10" i="71"/>
  <c r="AR10" i="71"/>
  <c r="AE11" i="71"/>
  <c r="AF11" i="71"/>
  <c r="AG11" i="71"/>
  <c r="AH11" i="71"/>
  <c r="AJ11" i="71"/>
  <c r="AK11" i="71"/>
  <c r="AL11" i="71"/>
  <c r="AM11" i="71"/>
  <c r="AO11" i="71"/>
  <c r="AP11" i="71"/>
  <c r="AQ11" i="71"/>
  <c r="AR11" i="71"/>
  <c r="AE12" i="71"/>
  <c r="AF12" i="71"/>
  <c r="AG12" i="71"/>
  <c r="AH12" i="71"/>
  <c r="AJ12" i="71"/>
  <c r="AK12" i="71"/>
  <c r="AL12" i="71"/>
  <c r="AM12" i="71"/>
  <c r="AO12" i="71"/>
  <c r="AP12" i="71"/>
  <c r="AQ12" i="71"/>
  <c r="AR12" i="71"/>
  <c r="AE13" i="71"/>
  <c r="AF13" i="71"/>
  <c r="AG13" i="71"/>
  <c r="AH13" i="71"/>
  <c r="AJ13" i="71"/>
  <c r="AK13" i="71"/>
  <c r="AL13" i="71"/>
  <c r="AM13" i="71"/>
  <c r="AO13" i="71"/>
  <c r="AP13" i="71"/>
  <c r="AQ13" i="71"/>
  <c r="AR13" i="71"/>
  <c r="AE15" i="71"/>
  <c r="AF15" i="71"/>
  <c r="AG15" i="71"/>
  <c r="AH15" i="71"/>
  <c r="AJ15" i="71"/>
  <c r="AK15" i="71"/>
  <c r="AL15" i="71"/>
  <c r="AM15" i="71"/>
  <c r="AO15" i="71"/>
  <c r="AP15" i="71"/>
  <c r="AQ15" i="71"/>
  <c r="AR15" i="71"/>
  <c r="AE16" i="71"/>
  <c r="AF16" i="71"/>
  <c r="AG16" i="71"/>
  <c r="AH16" i="71"/>
  <c r="AJ16" i="71"/>
  <c r="AK16" i="71"/>
  <c r="AL16" i="71"/>
  <c r="AM16" i="71"/>
  <c r="AO16" i="71"/>
  <c r="AP16" i="71"/>
  <c r="AQ16" i="71"/>
  <c r="AR16" i="71"/>
  <c r="AE17" i="71"/>
  <c r="AF17" i="71"/>
  <c r="AG17" i="71"/>
  <c r="AH17" i="71"/>
  <c r="AJ17" i="71"/>
  <c r="AK17" i="71"/>
  <c r="AL17" i="71"/>
  <c r="AM17" i="71"/>
  <c r="AO17" i="71"/>
  <c r="AP17" i="71"/>
  <c r="AQ17" i="71"/>
  <c r="AR17" i="71"/>
  <c r="AE18" i="71"/>
  <c r="AF18" i="71"/>
  <c r="AG18" i="71"/>
  <c r="AH18" i="71"/>
  <c r="AJ18" i="71"/>
  <c r="AK18" i="71"/>
  <c r="AL18" i="71"/>
  <c r="AM18" i="71"/>
  <c r="AO18" i="71"/>
  <c r="AP18" i="71"/>
  <c r="AQ18" i="71"/>
  <c r="AR18" i="71"/>
  <c r="AE19" i="71"/>
  <c r="AF19" i="71"/>
  <c r="AG19" i="71"/>
  <c r="AH19" i="71"/>
  <c r="AJ19" i="71"/>
  <c r="AK19" i="71"/>
  <c r="AL19" i="71"/>
  <c r="AM19" i="71"/>
  <c r="AO19" i="71"/>
  <c r="AP19" i="71"/>
  <c r="AQ19" i="71"/>
  <c r="AR19" i="71"/>
  <c r="AE21" i="71"/>
  <c r="AF21" i="71"/>
  <c r="AG21" i="71"/>
  <c r="AH21" i="71"/>
  <c r="AJ21" i="71"/>
  <c r="AK21" i="71"/>
  <c r="AL21" i="71"/>
  <c r="AM21" i="71"/>
  <c r="AO21" i="71"/>
  <c r="AP21" i="71"/>
  <c r="AQ21" i="71"/>
  <c r="AR21" i="71"/>
  <c r="AE22" i="71"/>
  <c r="AF22" i="71"/>
  <c r="AG22" i="71"/>
  <c r="AH22" i="71"/>
  <c r="AJ22" i="71"/>
  <c r="AK22" i="71"/>
  <c r="AL22" i="71"/>
  <c r="AM22" i="71"/>
  <c r="AO22" i="71"/>
  <c r="AP22" i="71"/>
  <c r="AQ22" i="71"/>
  <c r="AR22" i="71"/>
  <c r="AE23" i="71"/>
  <c r="AF23" i="71"/>
  <c r="AG23" i="71"/>
  <c r="AH23" i="71"/>
  <c r="AJ23" i="71"/>
  <c r="AK23" i="71"/>
  <c r="AL23" i="71"/>
  <c r="AM23" i="71"/>
  <c r="AO23" i="71"/>
  <c r="AP23" i="71"/>
  <c r="AQ23" i="71"/>
  <c r="AR23" i="71"/>
  <c r="AE24" i="71"/>
  <c r="AF24" i="71"/>
  <c r="AG24" i="71"/>
  <c r="AH24" i="71"/>
  <c r="AJ24" i="71"/>
  <c r="AK24" i="71"/>
  <c r="AL24" i="71"/>
  <c r="AM24" i="71"/>
  <c r="AO24" i="71"/>
  <c r="AP24" i="71"/>
  <c r="AQ24" i="71"/>
  <c r="AR24" i="71"/>
  <c r="AE25" i="71"/>
  <c r="AF25" i="71"/>
  <c r="AG25" i="71"/>
  <c r="AH25" i="71"/>
  <c r="AJ25" i="71"/>
  <c r="AK25" i="71"/>
  <c r="AL25" i="71"/>
  <c r="AM25" i="71"/>
  <c r="AO25" i="71"/>
  <c r="AP25" i="71"/>
  <c r="AQ25" i="71"/>
  <c r="AR25" i="71"/>
  <c r="AE27" i="71"/>
  <c r="AF27" i="71"/>
  <c r="AG27" i="71"/>
  <c r="AH27" i="71"/>
  <c r="AJ27" i="71"/>
  <c r="AK27" i="71"/>
  <c r="AL27" i="71"/>
  <c r="AM27" i="71"/>
  <c r="AO27" i="71"/>
  <c r="AP27" i="71"/>
  <c r="AQ27" i="71"/>
  <c r="AR27" i="71"/>
  <c r="AE28" i="71"/>
  <c r="AF28" i="71"/>
  <c r="AG28" i="71"/>
  <c r="AH28" i="71"/>
  <c r="AJ28" i="71"/>
  <c r="AK28" i="71"/>
  <c r="AL28" i="71"/>
  <c r="AM28" i="71"/>
  <c r="AO28" i="71"/>
  <c r="AP28" i="71"/>
  <c r="AQ28" i="71"/>
  <c r="AR28" i="71"/>
  <c r="AE29" i="71"/>
  <c r="AF29" i="71"/>
  <c r="AG29" i="71"/>
  <c r="AH29" i="71"/>
  <c r="AJ29" i="71"/>
  <c r="AK29" i="71"/>
  <c r="AL29" i="71"/>
  <c r="AM29" i="71"/>
  <c r="AO29" i="71"/>
  <c r="AP29" i="71"/>
  <c r="AQ29" i="71"/>
  <c r="AR29" i="71"/>
  <c r="AE30" i="71"/>
  <c r="AF30" i="71"/>
  <c r="AG30" i="71"/>
  <c r="AH30" i="71"/>
  <c r="AJ30" i="71"/>
  <c r="AK30" i="71"/>
  <c r="AL30" i="71"/>
  <c r="AM30" i="71"/>
  <c r="AO30" i="71"/>
  <c r="AP30" i="71"/>
  <c r="AQ30" i="71"/>
  <c r="AR30" i="71"/>
  <c r="AE31" i="71"/>
  <c r="AF31" i="71"/>
  <c r="AG31" i="71"/>
  <c r="AH31" i="71"/>
  <c r="AJ31" i="71"/>
  <c r="AK31" i="71"/>
  <c r="AL31" i="71"/>
  <c r="AM31" i="71"/>
  <c r="AO31" i="71"/>
  <c r="AP31" i="71"/>
  <c r="AQ31" i="71"/>
  <c r="AR31" i="71"/>
  <c r="AE33" i="71"/>
  <c r="AF33" i="71"/>
  <c r="AG33" i="71"/>
  <c r="AH33" i="71"/>
  <c r="AJ33" i="71"/>
  <c r="AK33" i="71"/>
  <c r="AL33" i="71"/>
  <c r="AM33" i="71"/>
  <c r="AO33" i="71"/>
  <c r="AP33" i="71"/>
  <c r="AQ33" i="71"/>
  <c r="AR33" i="71"/>
  <c r="AE34" i="71"/>
  <c r="AF34" i="71"/>
  <c r="AG34" i="71"/>
  <c r="AH34" i="71"/>
  <c r="AJ34" i="71"/>
  <c r="AK34" i="71"/>
  <c r="AL34" i="71"/>
  <c r="AM34" i="71"/>
  <c r="AO34" i="71"/>
  <c r="AP34" i="71"/>
  <c r="AQ34" i="71"/>
  <c r="AR34" i="71"/>
  <c r="AE35" i="71"/>
  <c r="AF35" i="71"/>
  <c r="AG35" i="71"/>
  <c r="AH35" i="71"/>
  <c r="AJ35" i="71"/>
  <c r="AK35" i="71"/>
  <c r="AL35" i="71"/>
  <c r="AM35" i="71"/>
  <c r="AO35" i="71"/>
  <c r="AP35" i="71"/>
  <c r="AQ35" i="71"/>
  <c r="AR35" i="71"/>
  <c r="AE36" i="71"/>
  <c r="AF36" i="71"/>
  <c r="AG36" i="71"/>
  <c r="AH36" i="71"/>
  <c r="AJ36" i="71"/>
  <c r="AK36" i="71"/>
  <c r="AL36" i="71"/>
  <c r="AM36" i="71"/>
  <c r="AO36" i="71"/>
  <c r="AP36" i="71"/>
  <c r="AQ36" i="71"/>
  <c r="AR36" i="71"/>
  <c r="AE37" i="71"/>
  <c r="AF37" i="71"/>
  <c r="AG37" i="71"/>
  <c r="AH37" i="71"/>
  <c r="AJ37" i="71"/>
  <c r="AK37" i="71"/>
  <c r="AL37" i="71"/>
  <c r="AM37" i="71"/>
  <c r="AO37" i="71"/>
  <c r="AP37" i="71"/>
  <c r="AQ37" i="71"/>
  <c r="AR37" i="71"/>
  <c r="AE39" i="71"/>
  <c r="AF39" i="71"/>
  <c r="AG39" i="71"/>
  <c r="AH39" i="71"/>
  <c r="AJ39" i="71"/>
  <c r="AK39" i="71"/>
  <c r="AL39" i="71"/>
  <c r="AM39" i="71"/>
  <c r="AO39" i="71"/>
  <c r="AP39" i="71"/>
  <c r="AQ39" i="71"/>
  <c r="AR39" i="71"/>
  <c r="AE40" i="71"/>
  <c r="AF40" i="71"/>
  <c r="AG40" i="71"/>
  <c r="AH40" i="71"/>
  <c r="AJ40" i="71"/>
  <c r="AK40" i="71"/>
  <c r="AL40" i="71"/>
  <c r="AM40" i="71"/>
  <c r="AO40" i="71"/>
  <c r="AP40" i="71"/>
  <c r="AQ40" i="71"/>
  <c r="AR40" i="71"/>
  <c r="AE41" i="71"/>
  <c r="AF41" i="71"/>
  <c r="AG41" i="71"/>
  <c r="AH41" i="71"/>
  <c r="AJ41" i="71"/>
  <c r="AK41" i="71"/>
  <c r="AL41" i="71"/>
  <c r="AM41" i="71"/>
  <c r="AO41" i="71"/>
  <c r="AP41" i="71"/>
  <c r="AQ41" i="71"/>
  <c r="AR41" i="71"/>
  <c r="AE42" i="71"/>
  <c r="AF42" i="71"/>
  <c r="AG42" i="71"/>
  <c r="AH42" i="71"/>
  <c r="AJ42" i="71"/>
  <c r="AK42" i="71"/>
  <c r="AL42" i="71"/>
  <c r="AM42" i="71"/>
  <c r="AO42" i="71"/>
  <c r="AP42" i="71"/>
  <c r="AQ42" i="71"/>
  <c r="AR42" i="71"/>
  <c r="AE43" i="71"/>
  <c r="AF43" i="71"/>
  <c r="AG43" i="71"/>
  <c r="AH43" i="71"/>
  <c r="AJ43" i="71"/>
  <c r="AK43" i="71"/>
  <c r="AL43" i="71"/>
  <c r="AM43" i="71"/>
  <c r="AO43" i="71"/>
  <c r="AP43" i="71"/>
  <c r="AQ43" i="71"/>
  <c r="AR43" i="71"/>
  <c r="AE45" i="71"/>
  <c r="AF45" i="71"/>
  <c r="AG45" i="71"/>
  <c r="AH45" i="71"/>
  <c r="AJ45" i="71"/>
  <c r="AK45" i="71"/>
  <c r="AL45" i="71"/>
  <c r="AM45" i="71"/>
  <c r="AO45" i="71"/>
  <c r="AP45" i="71"/>
  <c r="AQ45" i="71"/>
  <c r="AR45" i="71"/>
  <c r="AE46" i="71"/>
  <c r="AF46" i="71"/>
  <c r="AG46" i="71"/>
  <c r="AH46" i="71"/>
  <c r="AJ46" i="71"/>
  <c r="AK46" i="71"/>
  <c r="AL46" i="71"/>
  <c r="AM46" i="71"/>
  <c r="AO46" i="71"/>
  <c r="AP46" i="71"/>
  <c r="AQ46" i="71"/>
  <c r="AR46" i="71"/>
  <c r="AE47" i="71"/>
  <c r="AF47" i="71"/>
  <c r="AG47" i="71"/>
  <c r="AH47" i="71"/>
  <c r="AJ47" i="71"/>
  <c r="AK47" i="71"/>
  <c r="AL47" i="71"/>
  <c r="AM47" i="71"/>
  <c r="AO47" i="71"/>
  <c r="AP47" i="71"/>
  <c r="AQ47" i="71"/>
  <c r="AR47" i="71"/>
  <c r="AE48" i="71"/>
  <c r="AF48" i="71"/>
  <c r="AG48" i="71"/>
  <c r="AH48" i="71"/>
  <c r="AJ48" i="71"/>
  <c r="AK48" i="71"/>
  <c r="AL48" i="71"/>
  <c r="AM48" i="71"/>
  <c r="AO48" i="71"/>
  <c r="AP48" i="71"/>
  <c r="AQ48" i="71"/>
  <c r="AR48" i="71"/>
  <c r="AE49" i="71"/>
  <c r="AF49" i="71"/>
  <c r="AG49" i="71"/>
  <c r="AH49" i="71"/>
  <c r="AJ49" i="71"/>
  <c r="AK49" i="71"/>
  <c r="AL49" i="71"/>
  <c r="AM49" i="71"/>
  <c r="AO49" i="71"/>
  <c r="AP49" i="71"/>
  <c r="AQ49" i="71"/>
  <c r="AR49" i="71"/>
  <c r="AE51" i="71"/>
  <c r="AF51" i="71"/>
  <c r="AG51" i="71"/>
  <c r="AH51" i="71"/>
  <c r="AJ51" i="71"/>
  <c r="AK51" i="71"/>
  <c r="AL51" i="71"/>
  <c r="AM51" i="71"/>
  <c r="AO51" i="71"/>
  <c r="AP51" i="71"/>
  <c r="AQ51" i="71"/>
  <c r="AR51" i="71"/>
  <c r="AE52" i="71"/>
  <c r="AF52" i="71"/>
  <c r="AG52" i="71"/>
  <c r="AH52" i="71"/>
  <c r="AJ52" i="71"/>
  <c r="AK52" i="71"/>
  <c r="AL52" i="71"/>
  <c r="AM52" i="71"/>
  <c r="AO52" i="71"/>
  <c r="AP52" i="71"/>
  <c r="AQ52" i="71"/>
  <c r="AR52" i="71"/>
  <c r="AE53" i="71"/>
  <c r="AF53" i="71"/>
  <c r="AG53" i="71"/>
  <c r="AH53" i="71"/>
  <c r="AJ53" i="71"/>
  <c r="AK53" i="71"/>
  <c r="AL53" i="71"/>
  <c r="AM53" i="71"/>
  <c r="AO53" i="71"/>
  <c r="AP53" i="71"/>
  <c r="AQ53" i="71"/>
  <c r="AR53" i="71"/>
  <c r="AE54" i="71"/>
  <c r="AF54" i="71"/>
  <c r="AG54" i="71"/>
  <c r="AH54" i="71"/>
  <c r="AJ54" i="71"/>
  <c r="AK54" i="71"/>
  <c r="AL54" i="71"/>
  <c r="AM54" i="71"/>
  <c r="AO54" i="71"/>
  <c r="AP54" i="71"/>
  <c r="AQ54" i="71"/>
  <c r="AR54" i="71"/>
  <c r="AE55" i="71"/>
  <c r="AF55" i="71"/>
  <c r="AG55" i="71"/>
  <c r="AH55" i="71"/>
  <c r="AJ55" i="71"/>
  <c r="AK55" i="71"/>
  <c r="AL55" i="71"/>
  <c r="AM55" i="71"/>
  <c r="AO55" i="71"/>
  <c r="AP55" i="71"/>
  <c r="AQ55" i="71"/>
  <c r="AR55" i="71"/>
  <c r="AE57" i="71"/>
  <c r="AF57" i="71"/>
  <c r="AG57" i="71"/>
  <c r="AH57" i="71"/>
  <c r="AJ57" i="71"/>
  <c r="AK57" i="71"/>
  <c r="AL57" i="71"/>
  <c r="AM57" i="71"/>
  <c r="AO57" i="71"/>
  <c r="AP57" i="71"/>
  <c r="AQ57" i="71"/>
  <c r="AR57" i="71"/>
  <c r="AE58" i="71"/>
  <c r="AF58" i="71"/>
  <c r="AG58" i="71"/>
  <c r="AH58" i="71"/>
  <c r="AJ58" i="71"/>
  <c r="AK58" i="71"/>
  <c r="AL58" i="71"/>
  <c r="AM58" i="71"/>
  <c r="AO58" i="71"/>
  <c r="AP58" i="71"/>
  <c r="AQ58" i="71"/>
  <c r="AR58" i="71"/>
  <c r="AE59" i="71"/>
  <c r="AF59" i="71"/>
  <c r="AG59" i="71"/>
  <c r="AH59" i="71"/>
  <c r="AJ59" i="71"/>
  <c r="AK59" i="71"/>
  <c r="AL59" i="71"/>
  <c r="AM59" i="71"/>
  <c r="AO59" i="71"/>
  <c r="AP59" i="71"/>
  <c r="AQ59" i="71"/>
  <c r="AR59" i="71"/>
  <c r="AE60" i="71"/>
  <c r="AF60" i="71"/>
  <c r="AG60" i="71"/>
  <c r="AH60" i="71"/>
  <c r="AJ60" i="71"/>
  <c r="AK60" i="71"/>
  <c r="AL60" i="71"/>
  <c r="AM60" i="71"/>
  <c r="AO60" i="71"/>
  <c r="AP60" i="71"/>
  <c r="AQ60" i="71"/>
  <c r="AR60" i="71"/>
  <c r="AE61" i="71"/>
  <c r="AF61" i="71"/>
  <c r="AG61" i="71"/>
  <c r="AH61" i="71"/>
  <c r="AJ61" i="71"/>
  <c r="AK61" i="71"/>
  <c r="AL61" i="71"/>
  <c r="AM61" i="71"/>
  <c r="AO61" i="71"/>
  <c r="AP61" i="71"/>
  <c r="AQ61" i="71"/>
  <c r="AR61" i="71"/>
  <c r="AE63" i="71"/>
  <c r="AF63" i="71"/>
  <c r="AG63" i="71"/>
  <c r="AH63" i="71"/>
  <c r="AJ63" i="71"/>
  <c r="AK63" i="71"/>
  <c r="AL63" i="71"/>
  <c r="AM63" i="71"/>
  <c r="AO63" i="71"/>
  <c r="AP63" i="71"/>
  <c r="AQ63" i="71"/>
  <c r="AR63" i="71"/>
  <c r="AE64" i="71"/>
  <c r="AF64" i="71"/>
  <c r="AG64" i="71"/>
  <c r="AH64" i="71"/>
  <c r="AJ64" i="71"/>
  <c r="AK64" i="71"/>
  <c r="AL64" i="71"/>
  <c r="AM64" i="71"/>
  <c r="AO64" i="71"/>
  <c r="AP64" i="71"/>
  <c r="AQ64" i="71"/>
  <c r="AR64" i="71"/>
  <c r="AE65" i="71"/>
  <c r="AF65" i="71"/>
  <c r="AG65" i="71"/>
  <c r="AH65" i="71"/>
  <c r="AJ65" i="71"/>
  <c r="AK65" i="71"/>
  <c r="AL65" i="71"/>
  <c r="AM65" i="71"/>
  <c r="AO65" i="71"/>
  <c r="AP65" i="71"/>
  <c r="AQ65" i="71"/>
  <c r="AR65" i="71"/>
  <c r="AE66" i="71"/>
  <c r="AF66" i="71"/>
  <c r="AG66" i="71"/>
  <c r="AH66" i="71"/>
  <c r="AJ66" i="71"/>
  <c r="AK66" i="71"/>
  <c r="AL66" i="71"/>
  <c r="AM66" i="71"/>
  <c r="AO66" i="71"/>
  <c r="AP66" i="71"/>
  <c r="AQ66" i="71"/>
  <c r="AR66" i="71"/>
  <c r="AE67" i="71"/>
  <c r="AF67" i="71"/>
  <c r="AG67" i="71"/>
  <c r="AH67" i="71"/>
  <c r="AJ67" i="71"/>
  <c r="AK67" i="71"/>
  <c r="AL67" i="71"/>
  <c r="AM67" i="71"/>
  <c r="AO67" i="71"/>
  <c r="AP67" i="71"/>
  <c r="AQ67" i="71"/>
  <c r="AR67" i="71"/>
  <c r="AE69" i="71"/>
  <c r="AF69" i="71"/>
  <c r="AG69" i="71"/>
  <c r="AH69" i="71"/>
  <c r="AJ69" i="71"/>
  <c r="AK69" i="71"/>
  <c r="AL69" i="71"/>
  <c r="AM69" i="71"/>
  <c r="AO69" i="71"/>
  <c r="AP69" i="71"/>
  <c r="AQ69" i="71"/>
  <c r="AR69" i="71"/>
  <c r="AE70" i="71"/>
  <c r="AF70" i="71"/>
  <c r="AG70" i="71"/>
  <c r="AH70" i="71"/>
  <c r="AJ70" i="71"/>
  <c r="AK70" i="71"/>
  <c r="AL70" i="71"/>
  <c r="AM70" i="71"/>
  <c r="AO70" i="71"/>
  <c r="AP70" i="71"/>
  <c r="AQ70" i="71"/>
  <c r="AR70" i="71"/>
  <c r="AE71" i="71"/>
  <c r="AF71" i="71"/>
  <c r="AG71" i="71"/>
  <c r="AH71" i="71"/>
  <c r="AJ71" i="71"/>
  <c r="AK71" i="71"/>
  <c r="AL71" i="71"/>
  <c r="AM71" i="71"/>
  <c r="AO71" i="71"/>
  <c r="AP71" i="71"/>
  <c r="AQ71" i="71"/>
  <c r="AR71" i="71"/>
  <c r="AE72" i="71"/>
  <c r="AF72" i="71"/>
  <c r="AG72" i="71"/>
  <c r="AH72" i="71"/>
  <c r="AJ72" i="71"/>
  <c r="AK72" i="71"/>
  <c r="AL72" i="71"/>
  <c r="AM72" i="71"/>
  <c r="AO72" i="71"/>
  <c r="AP72" i="71"/>
  <c r="AQ72" i="71"/>
  <c r="AR72" i="71"/>
  <c r="AE73" i="71"/>
  <c r="AF73" i="71"/>
  <c r="AG73" i="71"/>
  <c r="AH73" i="71"/>
  <c r="AJ73" i="71"/>
  <c r="AK73" i="71"/>
  <c r="AL73" i="71"/>
  <c r="AM73" i="71"/>
  <c r="AO73" i="71"/>
  <c r="AP73" i="71"/>
  <c r="AQ73" i="71"/>
  <c r="AR73" i="71"/>
  <c r="AE4" i="73"/>
  <c r="AF4" i="73"/>
  <c r="AG4" i="73"/>
  <c r="AH4" i="73"/>
  <c r="AJ4" i="73"/>
  <c r="AK4" i="73"/>
  <c r="AL4" i="73"/>
  <c r="AM4" i="73"/>
  <c r="AO4" i="73"/>
  <c r="AP4" i="73"/>
  <c r="AQ4" i="73"/>
  <c r="AR4" i="73"/>
  <c r="AE5" i="73"/>
  <c r="AF5" i="73"/>
  <c r="AG5" i="73"/>
  <c r="AH5" i="73"/>
  <c r="AJ5" i="73"/>
  <c r="AK5" i="73"/>
  <c r="AL5" i="73"/>
  <c r="AM5" i="73"/>
  <c r="AO5" i="73"/>
  <c r="AP5" i="73"/>
  <c r="AQ5" i="73"/>
  <c r="AR5" i="73"/>
  <c r="AE6" i="73"/>
  <c r="AF6" i="73"/>
  <c r="AG6" i="73"/>
  <c r="AH6" i="73"/>
  <c r="AJ6" i="73"/>
  <c r="AK6" i="73"/>
  <c r="AL6" i="73"/>
  <c r="AM6" i="73"/>
  <c r="AO6" i="73"/>
  <c r="AP6" i="73"/>
  <c r="AQ6" i="73"/>
  <c r="AR6" i="73"/>
  <c r="AE7" i="73"/>
  <c r="AF7" i="73"/>
  <c r="AG7" i="73"/>
  <c r="AH7" i="73"/>
  <c r="AJ7" i="73"/>
  <c r="AK7" i="73"/>
  <c r="AL7" i="73"/>
  <c r="AM7" i="73"/>
  <c r="AO7" i="73"/>
  <c r="AP7" i="73"/>
  <c r="AQ7" i="73"/>
  <c r="AR7" i="73"/>
  <c r="AE9" i="73"/>
  <c r="AF9" i="73"/>
  <c r="AG9" i="73"/>
  <c r="AH9" i="73"/>
  <c r="AJ9" i="73"/>
  <c r="AK9" i="73"/>
  <c r="AL9" i="73"/>
  <c r="AM9" i="73"/>
  <c r="AO9" i="73"/>
  <c r="AP9" i="73"/>
  <c r="AQ9" i="73"/>
  <c r="AR9" i="73"/>
  <c r="AE10" i="73"/>
  <c r="AF10" i="73"/>
  <c r="AG10" i="73"/>
  <c r="AH10" i="73"/>
  <c r="AJ10" i="73"/>
  <c r="AK10" i="73"/>
  <c r="AL10" i="73"/>
  <c r="AM10" i="73"/>
  <c r="AO10" i="73"/>
  <c r="AP10" i="73"/>
  <c r="AQ10" i="73"/>
  <c r="AR10" i="73"/>
  <c r="AE11" i="73"/>
  <c r="AF11" i="73"/>
  <c r="AG11" i="73"/>
  <c r="AH11" i="73"/>
  <c r="AJ11" i="73"/>
  <c r="AK11" i="73"/>
  <c r="AL11" i="73"/>
  <c r="AM11" i="73"/>
  <c r="AO11" i="73"/>
  <c r="AP11" i="73"/>
  <c r="AQ11" i="73"/>
  <c r="AR11" i="73"/>
  <c r="AE12" i="73"/>
  <c r="AF12" i="73"/>
  <c r="AG12" i="73"/>
  <c r="AH12" i="73"/>
  <c r="AJ12" i="73"/>
  <c r="AK12" i="73"/>
  <c r="AL12" i="73"/>
  <c r="AM12" i="73"/>
  <c r="AO12" i="73"/>
  <c r="AP12" i="73"/>
  <c r="AQ12" i="73"/>
  <c r="AR12" i="73"/>
  <c r="AE13" i="73"/>
  <c r="AF13" i="73"/>
  <c r="AG13" i="73"/>
  <c r="AH13" i="73"/>
  <c r="AJ13" i="73"/>
  <c r="AK13" i="73"/>
  <c r="AL13" i="73"/>
  <c r="AM13" i="73"/>
  <c r="AO13" i="73"/>
  <c r="AP13" i="73"/>
  <c r="AQ13" i="73"/>
  <c r="AR13" i="73"/>
  <c r="AE15" i="73"/>
  <c r="AF15" i="73"/>
  <c r="AG15" i="73"/>
  <c r="AH15" i="73"/>
  <c r="AJ15" i="73"/>
  <c r="AK15" i="73"/>
  <c r="AL15" i="73"/>
  <c r="AM15" i="73"/>
  <c r="AO15" i="73"/>
  <c r="AP15" i="73"/>
  <c r="AQ15" i="73"/>
  <c r="AR15" i="73"/>
  <c r="AE16" i="73"/>
  <c r="AF16" i="73"/>
  <c r="AG16" i="73"/>
  <c r="AH16" i="73"/>
  <c r="AJ16" i="73"/>
  <c r="AK16" i="73"/>
  <c r="AL16" i="73"/>
  <c r="AM16" i="73"/>
  <c r="AO16" i="73"/>
  <c r="AP16" i="73"/>
  <c r="AQ16" i="73"/>
  <c r="AR16" i="73"/>
  <c r="AE17" i="73"/>
  <c r="AF17" i="73"/>
  <c r="AG17" i="73"/>
  <c r="AH17" i="73"/>
  <c r="AJ17" i="73"/>
  <c r="AK17" i="73"/>
  <c r="AL17" i="73"/>
  <c r="AM17" i="73"/>
  <c r="AO17" i="73"/>
  <c r="AP17" i="73"/>
  <c r="AQ17" i="73"/>
  <c r="AR17" i="73"/>
  <c r="AE18" i="73"/>
  <c r="AF18" i="73"/>
  <c r="AG18" i="73"/>
  <c r="AH18" i="73"/>
  <c r="AJ18" i="73"/>
  <c r="AK18" i="73"/>
  <c r="AL18" i="73"/>
  <c r="AM18" i="73"/>
  <c r="AO18" i="73"/>
  <c r="AP18" i="73"/>
  <c r="AQ18" i="73"/>
  <c r="AR18" i="73"/>
  <c r="AE19" i="73"/>
  <c r="AF19" i="73"/>
  <c r="AG19" i="73"/>
  <c r="AH19" i="73"/>
  <c r="AJ19" i="73"/>
  <c r="AK19" i="73"/>
  <c r="AL19" i="73"/>
  <c r="AM19" i="73"/>
  <c r="AO19" i="73"/>
  <c r="AP19" i="73"/>
  <c r="AQ19" i="73"/>
  <c r="AR19" i="73"/>
  <c r="AE21" i="73"/>
  <c r="AF21" i="73"/>
  <c r="AG21" i="73"/>
  <c r="AH21" i="73"/>
  <c r="AJ21" i="73"/>
  <c r="AK21" i="73"/>
  <c r="AL21" i="73"/>
  <c r="AM21" i="73"/>
  <c r="AO21" i="73"/>
  <c r="AP21" i="73"/>
  <c r="AQ21" i="73"/>
  <c r="AR21" i="73"/>
  <c r="AE22" i="73"/>
  <c r="AF22" i="73"/>
  <c r="AG22" i="73"/>
  <c r="AH22" i="73"/>
  <c r="AJ22" i="73"/>
  <c r="AK22" i="73"/>
  <c r="AL22" i="73"/>
  <c r="AM22" i="73"/>
  <c r="AO22" i="73"/>
  <c r="AP22" i="73"/>
  <c r="AQ22" i="73"/>
  <c r="AR22" i="73"/>
  <c r="AE23" i="73"/>
  <c r="AF23" i="73"/>
  <c r="AG23" i="73"/>
  <c r="AH23" i="73"/>
  <c r="AJ23" i="73"/>
  <c r="AK23" i="73"/>
  <c r="AL23" i="73"/>
  <c r="AM23" i="73"/>
  <c r="AO23" i="73"/>
  <c r="AP23" i="73"/>
  <c r="AQ23" i="73"/>
  <c r="AR23" i="73"/>
  <c r="AE24" i="73"/>
  <c r="AF24" i="73"/>
  <c r="AG24" i="73"/>
  <c r="AH24" i="73"/>
  <c r="AJ24" i="73"/>
  <c r="AK24" i="73"/>
  <c r="AL24" i="73"/>
  <c r="AM24" i="73"/>
  <c r="AO24" i="73"/>
  <c r="AP24" i="73"/>
  <c r="AQ24" i="73"/>
  <c r="AR24" i="73"/>
  <c r="AE25" i="73"/>
  <c r="AF25" i="73"/>
  <c r="AG25" i="73"/>
  <c r="AH25" i="73"/>
  <c r="AJ25" i="73"/>
  <c r="AK25" i="73"/>
  <c r="AL25" i="73"/>
  <c r="AM25" i="73"/>
  <c r="AO25" i="73"/>
  <c r="AP25" i="73"/>
  <c r="AQ25" i="73"/>
  <c r="AR25" i="73"/>
  <c r="AE27" i="73"/>
  <c r="AF27" i="73"/>
  <c r="AG27" i="73"/>
  <c r="AH27" i="73"/>
  <c r="AJ27" i="73"/>
  <c r="AK27" i="73"/>
  <c r="AL27" i="73"/>
  <c r="AM27" i="73"/>
  <c r="AO27" i="73"/>
  <c r="AP27" i="73"/>
  <c r="AQ27" i="73"/>
  <c r="AR27" i="73"/>
  <c r="AE28" i="73"/>
  <c r="AF28" i="73"/>
  <c r="AG28" i="73"/>
  <c r="AH28" i="73"/>
  <c r="AJ28" i="73"/>
  <c r="AK28" i="73"/>
  <c r="AL28" i="73"/>
  <c r="AM28" i="73"/>
  <c r="AO28" i="73"/>
  <c r="AP28" i="73"/>
  <c r="AQ28" i="73"/>
  <c r="AR28" i="73"/>
  <c r="AE29" i="73"/>
  <c r="AF29" i="73"/>
  <c r="AG29" i="73"/>
  <c r="AH29" i="73"/>
  <c r="AJ29" i="73"/>
  <c r="AK29" i="73"/>
  <c r="AL29" i="73"/>
  <c r="AM29" i="73"/>
  <c r="AO29" i="73"/>
  <c r="AP29" i="73"/>
  <c r="AQ29" i="73"/>
  <c r="AR29" i="73"/>
  <c r="AE30" i="73"/>
  <c r="AF30" i="73"/>
  <c r="AG30" i="73"/>
  <c r="AH30" i="73"/>
  <c r="AJ30" i="73"/>
  <c r="AK30" i="73"/>
  <c r="AL30" i="73"/>
  <c r="AM30" i="73"/>
  <c r="AO30" i="73"/>
  <c r="AP30" i="73"/>
  <c r="AQ30" i="73"/>
  <c r="AR30" i="73"/>
  <c r="AE31" i="73"/>
  <c r="AF31" i="73"/>
  <c r="AG31" i="73"/>
  <c r="AH31" i="73"/>
  <c r="AJ31" i="73"/>
  <c r="AK31" i="73"/>
  <c r="AL31" i="73"/>
  <c r="AM31" i="73"/>
  <c r="AO31" i="73"/>
  <c r="AP31" i="73"/>
  <c r="AQ31" i="73"/>
  <c r="AR31" i="73"/>
  <c r="AE33" i="73"/>
  <c r="AF33" i="73"/>
  <c r="AG33" i="73"/>
  <c r="AH33" i="73"/>
  <c r="AJ33" i="73"/>
  <c r="AK33" i="73"/>
  <c r="AL33" i="73"/>
  <c r="AM33" i="73"/>
  <c r="AO33" i="73"/>
  <c r="AP33" i="73"/>
  <c r="AQ33" i="73"/>
  <c r="AR33" i="73"/>
  <c r="AE34" i="73"/>
  <c r="AF34" i="73"/>
  <c r="AG34" i="73"/>
  <c r="AH34" i="73"/>
  <c r="AJ34" i="73"/>
  <c r="AK34" i="73"/>
  <c r="AL34" i="73"/>
  <c r="AM34" i="73"/>
  <c r="AO34" i="73"/>
  <c r="AP34" i="73"/>
  <c r="AQ34" i="73"/>
  <c r="AR34" i="73"/>
  <c r="AE35" i="73"/>
  <c r="AF35" i="73"/>
  <c r="AG35" i="73"/>
  <c r="AH35" i="73"/>
  <c r="AJ35" i="73"/>
  <c r="AK35" i="73"/>
  <c r="AL35" i="73"/>
  <c r="AM35" i="73"/>
  <c r="AO35" i="73"/>
  <c r="AP35" i="73"/>
  <c r="AQ35" i="73"/>
  <c r="AR35" i="73"/>
  <c r="AE36" i="73"/>
  <c r="AF36" i="73"/>
  <c r="AG36" i="73"/>
  <c r="AH36" i="73"/>
  <c r="AJ36" i="73"/>
  <c r="AK36" i="73"/>
  <c r="AL36" i="73"/>
  <c r="AM36" i="73"/>
  <c r="AO36" i="73"/>
  <c r="AP36" i="73"/>
  <c r="AQ36" i="73"/>
  <c r="AR36" i="73"/>
  <c r="AE37" i="73"/>
  <c r="AF37" i="73"/>
  <c r="AG37" i="73"/>
  <c r="AH37" i="73"/>
  <c r="AJ37" i="73"/>
  <c r="AK37" i="73"/>
  <c r="AL37" i="73"/>
  <c r="AM37" i="73"/>
  <c r="AO37" i="73"/>
  <c r="AP37" i="73"/>
  <c r="AQ37" i="73"/>
  <c r="AR37" i="73"/>
  <c r="AE39" i="73"/>
  <c r="AF39" i="73"/>
  <c r="AG39" i="73"/>
  <c r="AH39" i="73"/>
  <c r="AJ39" i="73"/>
  <c r="AK39" i="73"/>
  <c r="AL39" i="73"/>
  <c r="AM39" i="73"/>
  <c r="AO39" i="73"/>
  <c r="AP39" i="73"/>
  <c r="AQ39" i="73"/>
  <c r="AR39" i="73"/>
  <c r="AE40" i="73"/>
  <c r="AF40" i="73"/>
  <c r="AG40" i="73"/>
  <c r="AH40" i="73"/>
  <c r="AJ40" i="73"/>
  <c r="AK40" i="73"/>
  <c r="AL40" i="73"/>
  <c r="AM40" i="73"/>
  <c r="AO40" i="73"/>
  <c r="AP40" i="73"/>
  <c r="AQ40" i="73"/>
  <c r="AR40" i="73"/>
  <c r="AE41" i="73"/>
  <c r="AF41" i="73"/>
  <c r="AG41" i="73"/>
  <c r="AH41" i="73"/>
  <c r="AJ41" i="73"/>
  <c r="AK41" i="73"/>
  <c r="AL41" i="73"/>
  <c r="AM41" i="73"/>
  <c r="AO41" i="73"/>
  <c r="AP41" i="73"/>
  <c r="AQ41" i="73"/>
  <c r="AR41" i="73"/>
  <c r="AE42" i="73"/>
  <c r="AF42" i="73"/>
  <c r="AG42" i="73"/>
  <c r="AH42" i="73"/>
  <c r="AJ42" i="73"/>
  <c r="AK42" i="73"/>
  <c r="AL42" i="73"/>
  <c r="AM42" i="73"/>
  <c r="AO42" i="73"/>
  <c r="AP42" i="73"/>
  <c r="AQ42" i="73"/>
  <c r="AR42" i="73"/>
  <c r="AE43" i="73"/>
  <c r="AF43" i="73"/>
  <c r="AG43" i="73"/>
  <c r="AH43" i="73"/>
  <c r="AJ43" i="73"/>
  <c r="AK43" i="73"/>
  <c r="AL43" i="73"/>
  <c r="AM43" i="73"/>
  <c r="AO43" i="73"/>
  <c r="AP43" i="73"/>
  <c r="AQ43" i="73"/>
  <c r="AR43" i="73"/>
  <c r="AE45" i="73"/>
  <c r="AF45" i="73"/>
  <c r="AG45" i="73"/>
  <c r="AH45" i="73"/>
  <c r="AJ45" i="73"/>
  <c r="AK45" i="73"/>
  <c r="AL45" i="73"/>
  <c r="AM45" i="73"/>
  <c r="AO45" i="73"/>
  <c r="AP45" i="73"/>
  <c r="AQ45" i="73"/>
  <c r="AR45" i="73"/>
  <c r="AE46" i="73"/>
  <c r="AF46" i="73"/>
  <c r="AG46" i="73"/>
  <c r="AH46" i="73"/>
  <c r="AJ46" i="73"/>
  <c r="AK46" i="73"/>
  <c r="AL46" i="73"/>
  <c r="AM46" i="73"/>
  <c r="AO46" i="73"/>
  <c r="AP46" i="73"/>
  <c r="AQ46" i="73"/>
  <c r="AR46" i="73"/>
  <c r="AE47" i="73"/>
  <c r="AF47" i="73"/>
  <c r="AG47" i="73"/>
  <c r="AH47" i="73"/>
  <c r="AJ47" i="73"/>
  <c r="AK47" i="73"/>
  <c r="AL47" i="73"/>
  <c r="AM47" i="73"/>
  <c r="AO47" i="73"/>
  <c r="AP47" i="73"/>
  <c r="AQ47" i="73"/>
  <c r="AR47" i="73"/>
  <c r="AE48" i="73"/>
  <c r="AF48" i="73"/>
  <c r="AG48" i="73"/>
  <c r="AH48" i="73"/>
  <c r="AJ48" i="73"/>
  <c r="AK48" i="73"/>
  <c r="AL48" i="73"/>
  <c r="AM48" i="73"/>
  <c r="AO48" i="73"/>
  <c r="AP48" i="73"/>
  <c r="AQ48" i="73"/>
  <c r="AR48" i="73"/>
  <c r="AE49" i="73"/>
  <c r="AF49" i="73"/>
  <c r="AG49" i="73"/>
  <c r="AH49" i="73"/>
  <c r="AJ49" i="73"/>
  <c r="AK49" i="73"/>
  <c r="AL49" i="73"/>
  <c r="AM49" i="73"/>
  <c r="AO49" i="73"/>
  <c r="AP49" i="73"/>
  <c r="AQ49" i="73"/>
  <c r="AR49" i="73"/>
  <c r="AE51" i="73"/>
  <c r="AF51" i="73"/>
  <c r="AG51" i="73"/>
  <c r="AH51" i="73"/>
  <c r="AJ51" i="73"/>
  <c r="AK51" i="73"/>
  <c r="AL51" i="73"/>
  <c r="AM51" i="73"/>
  <c r="AO51" i="73"/>
  <c r="AP51" i="73"/>
  <c r="AQ51" i="73"/>
  <c r="AR51" i="73"/>
  <c r="AE52" i="73"/>
  <c r="AF52" i="73"/>
  <c r="AG52" i="73"/>
  <c r="AH52" i="73"/>
  <c r="AJ52" i="73"/>
  <c r="AK52" i="73"/>
  <c r="AL52" i="73"/>
  <c r="AM52" i="73"/>
  <c r="AO52" i="73"/>
  <c r="AP52" i="73"/>
  <c r="AQ52" i="73"/>
  <c r="AR52" i="73"/>
  <c r="AE53" i="73"/>
  <c r="AF53" i="73"/>
  <c r="AG53" i="73"/>
  <c r="AH53" i="73"/>
  <c r="AJ53" i="73"/>
  <c r="AK53" i="73"/>
  <c r="AL53" i="73"/>
  <c r="AM53" i="73"/>
  <c r="AO53" i="73"/>
  <c r="AP53" i="73"/>
  <c r="AQ53" i="73"/>
  <c r="AR53" i="73"/>
  <c r="AE54" i="73"/>
  <c r="AF54" i="73"/>
  <c r="AG54" i="73"/>
  <c r="AH54" i="73"/>
  <c r="AJ54" i="73"/>
  <c r="AK54" i="73"/>
  <c r="AL54" i="73"/>
  <c r="AM54" i="73"/>
  <c r="AO54" i="73"/>
  <c r="AP54" i="73"/>
  <c r="AQ54" i="73"/>
  <c r="AR54" i="73"/>
  <c r="AE55" i="73"/>
  <c r="AF55" i="73"/>
  <c r="AG55" i="73"/>
  <c r="AH55" i="73"/>
  <c r="AJ55" i="73"/>
  <c r="AK55" i="73"/>
  <c r="AL55" i="73"/>
  <c r="AM55" i="73"/>
  <c r="AO55" i="73"/>
  <c r="AP55" i="73"/>
  <c r="AQ55" i="73"/>
  <c r="AR55" i="73"/>
  <c r="AE57" i="73"/>
  <c r="AF57" i="73"/>
  <c r="AG57" i="73"/>
  <c r="AH57" i="73"/>
  <c r="AJ57" i="73"/>
  <c r="AK57" i="73"/>
  <c r="AL57" i="73"/>
  <c r="AM57" i="73"/>
  <c r="AO57" i="73"/>
  <c r="AP57" i="73"/>
  <c r="AQ57" i="73"/>
  <c r="AR57" i="73"/>
  <c r="AE58" i="73"/>
  <c r="AF58" i="73"/>
  <c r="AG58" i="73"/>
  <c r="AH58" i="73"/>
  <c r="AJ58" i="73"/>
  <c r="AK58" i="73"/>
  <c r="AL58" i="73"/>
  <c r="AM58" i="73"/>
  <c r="AO58" i="73"/>
  <c r="AP58" i="73"/>
  <c r="AQ58" i="73"/>
  <c r="AR58" i="73"/>
  <c r="AE59" i="73"/>
  <c r="AF59" i="73"/>
  <c r="AG59" i="73"/>
  <c r="AH59" i="73"/>
  <c r="AJ59" i="73"/>
  <c r="AK59" i="73"/>
  <c r="AL59" i="73"/>
  <c r="AM59" i="73"/>
  <c r="AO59" i="73"/>
  <c r="AP59" i="73"/>
  <c r="AQ59" i="73"/>
  <c r="AR59" i="73"/>
  <c r="AE60" i="73"/>
  <c r="AF60" i="73"/>
  <c r="AG60" i="73"/>
  <c r="AH60" i="73"/>
  <c r="AJ60" i="73"/>
  <c r="AK60" i="73"/>
  <c r="AL60" i="73"/>
  <c r="AM60" i="73"/>
  <c r="AO60" i="73"/>
  <c r="AP60" i="73"/>
  <c r="AQ60" i="73"/>
  <c r="AR60" i="73"/>
  <c r="AE61" i="73"/>
  <c r="AF61" i="73"/>
  <c r="AG61" i="73"/>
  <c r="AH61" i="73"/>
  <c r="AJ61" i="73"/>
  <c r="AK61" i="73"/>
  <c r="AL61" i="73"/>
  <c r="AM61" i="73"/>
  <c r="AO61" i="73"/>
  <c r="AP61" i="73"/>
  <c r="AQ61" i="73"/>
  <c r="AR61" i="73"/>
  <c r="AE63" i="73"/>
  <c r="AF63" i="73"/>
  <c r="AG63" i="73"/>
  <c r="AH63" i="73"/>
  <c r="AJ63" i="73"/>
  <c r="AK63" i="73"/>
  <c r="AL63" i="73"/>
  <c r="AM63" i="73"/>
  <c r="AO63" i="73"/>
  <c r="AP63" i="73"/>
  <c r="AQ63" i="73"/>
  <c r="AR63" i="73"/>
  <c r="AE64" i="73"/>
  <c r="AF64" i="73"/>
  <c r="AG64" i="73"/>
  <c r="AH64" i="73"/>
  <c r="AJ64" i="73"/>
  <c r="AK64" i="73"/>
  <c r="AL64" i="73"/>
  <c r="AM64" i="73"/>
  <c r="AO64" i="73"/>
  <c r="AP64" i="73"/>
  <c r="AQ64" i="73"/>
  <c r="AR64" i="73"/>
  <c r="AE65" i="73"/>
  <c r="AF65" i="73"/>
  <c r="AG65" i="73"/>
  <c r="AH65" i="73"/>
  <c r="AJ65" i="73"/>
  <c r="AK65" i="73"/>
  <c r="AL65" i="73"/>
  <c r="AM65" i="73"/>
  <c r="AO65" i="73"/>
  <c r="AP65" i="73"/>
  <c r="AQ65" i="73"/>
  <c r="AR65" i="73"/>
  <c r="AE66" i="73"/>
  <c r="AF66" i="73"/>
  <c r="AG66" i="73"/>
  <c r="AH66" i="73"/>
  <c r="AJ66" i="73"/>
  <c r="AK66" i="73"/>
  <c r="AL66" i="73"/>
  <c r="AM66" i="73"/>
  <c r="AO66" i="73"/>
  <c r="AP66" i="73"/>
  <c r="AQ66" i="73"/>
  <c r="AR66" i="73"/>
  <c r="AE67" i="73"/>
  <c r="AF67" i="73"/>
  <c r="AG67" i="73"/>
  <c r="AH67" i="73"/>
  <c r="AJ67" i="73"/>
  <c r="AK67" i="73"/>
  <c r="AL67" i="73"/>
  <c r="AM67" i="73"/>
  <c r="AO67" i="73"/>
  <c r="AP67" i="73"/>
  <c r="AQ67" i="73"/>
  <c r="AR67" i="73"/>
  <c r="AE69" i="73"/>
  <c r="AF69" i="73"/>
  <c r="AG69" i="73"/>
  <c r="AH69" i="73"/>
  <c r="AJ69" i="73"/>
  <c r="AK69" i="73"/>
  <c r="AL69" i="73"/>
  <c r="AM69" i="73"/>
  <c r="AO69" i="73"/>
  <c r="AP69" i="73"/>
  <c r="AQ69" i="73"/>
  <c r="AR69" i="73"/>
  <c r="AE70" i="73"/>
  <c r="AF70" i="73"/>
  <c r="AG70" i="73"/>
  <c r="AH70" i="73"/>
  <c r="AJ70" i="73"/>
  <c r="AK70" i="73"/>
  <c r="AL70" i="73"/>
  <c r="AM70" i="73"/>
  <c r="AO70" i="73"/>
  <c r="AP70" i="73"/>
  <c r="AQ70" i="73"/>
  <c r="AR70" i="73"/>
  <c r="AE71" i="73"/>
  <c r="AF71" i="73"/>
  <c r="AG71" i="73"/>
  <c r="AH71" i="73"/>
  <c r="AJ71" i="73"/>
  <c r="AK71" i="73"/>
  <c r="AL71" i="73"/>
  <c r="AM71" i="73"/>
  <c r="AO71" i="73"/>
  <c r="AP71" i="73"/>
  <c r="AQ71" i="73"/>
  <c r="AR71" i="73"/>
  <c r="AE72" i="73"/>
  <c r="AF72" i="73"/>
  <c r="AG72" i="73"/>
  <c r="AH72" i="73"/>
  <c r="AJ72" i="73"/>
  <c r="AK72" i="73"/>
  <c r="AL72" i="73"/>
  <c r="AM72" i="73"/>
  <c r="AO72" i="73"/>
  <c r="AP72" i="73"/>
  <c r="AQ72" i="73"/>
  <c r="AR72" i="73"/>
  <c r="AE73" i="73"/>
  <c r="AF73" i="73"/>
  <c r="AG73" i="73"/>
  <c r="AH73" i="73"/>
  <c r="AJ73" i="73"/>
  <c r="AK73" i="73"/>
  <c r="AL73" i="73"/>
  <c r="AM73" i="73"/>
  <c r="AO73" i="73"/>
  <c r="AP73" i="73"/>
  <c r="AQ73" i="73"/>
  <c r="AR73" i="73"/>
  <c r="AE4" i="72"/>
  <c r="AF4" i="72"/>
  <c r="AG4" i="72"/>
  <c r="AH4" i="72"/>
  <c r="AJ4" i="72"/>
  <c r="AK4" i="72"/>
  <c r="AL4" i="72"/>
  <c r="AM4" i="72"/>
  <c r="AO4" i="72"/>
  <c r="AP4" i="72"/>
  <c r="AQ4" i="72"/>
  <c r="AR4" i="72"/>
  <c r="AE5" i="72"/>
  <c r="AF5" i="72"/>
  <c r="AG5" i="72"/>
  <c r="AH5" i="72"/>
  <c r="AJ5" i="72"/>
  <c r="AK5" i="72"/>
  <c r="AL5" i="72"/>
  <c r="AM5" i="72"/>
  <c r="AO5" i="72"/>
  <c r="AP5" i="72"/>
  <c r="AQ5" i="72"/>
  <c r="AR5" i="72"/>
  <c r="AE6" i="72"/>
  <c r="AF6" i="72"/>
  <c r="AG6" i="72"/>
  <c r="AH6" i="72"/>
  <c r="AJ6" i="72"/>
  <c r="AK6" i="72"/>
  <c r="AL6" i="72"/>
  <c r="AM6" i="72"/>
  <c r="AO6" i="72"/>
  <c r="AP6" i="72"/>
  <c r="AQ6" i="72"/>
  <c r="AR6" i="72"/>
  <c r="AE7" i="72"/>
  <c r="AF7" i="72"/>
  <c r="AG7" i="72"/>
  <c r="AH7" i="72"/>
  <c r="AJ7" i="72"/>
  <c r="AK7" i="72"/>
  <c r="AL7" i="72"/>
  <c r="AM7" i="72"/>
  <c r="AO7" i="72"/>
  <c r="AP7" i="72"/>
  <c r="AQ7" i="72"/>
  <c r="AR7" i="72"/>
  <c r="AE9" i="72"/>
  <c r="AF9" i="72"/>
  <c r="AG9" i="72"/>
  <c r="AH9" i="72"/>
  <c r="AJ9" i="72"/>
  <c r="AK9" i="72"/>
  <c r="AL9" i="72"/>
  <c r="AM9" i="72"/>
  <c r="AO9" i="72"/>
  <c r="AP9" i="72"/>
  <c r="AQ9" i="72"/>
  <c r="AR9" i="72"/>
  <c r="AE10" i="72"/>
  <c r="AF10" i="72"/>
  <c r="AG10" i="72"/>
  <c r="AH10" i="72"/>
  <c r="AJ10" i="72"/>
  <c r="AK10" i="72"/>
  <c r="AL10" i="72"/>
  <c r="AM10" i="72"/>
  <c r="AO10" i="72"/>
  <c r="AP10" i="72"/>
  <c r="AQ10" i="72"/>
  <c r="AR10" i="72"/>
  <c r="AE11" i="72"/>
  <c r="AF11" i="72"/>
  <c r="AG11" i="72"/>
  <c r="AH11" i="72"/>
  <c r="AJ11" i="72"/>
  <c r="AK11" i="72"/>
  <c r="AL11" i="72"/>
  <c r="AM11" i="72"/>
  <c r="AO11" i="72"/>
  <c r="AP11" i="72"/>
  <c r="AQ11" i="72"/>
  <c r="AR11" i="72"/>
  <c r="AE12" i="72"/>
  <c r="AF12" i="72"/>
  <c r="AG12" i="72"/>
  <c r="AH12" i="72"/>
  <c r="AJ12" i="72"/>
  <c r="AK12" i="72"/>
  <c r="AL12" i="72"/>
  <c r="AM12" i="72"/>
  <c r="AO12" i="72"/>
  <c r="AP12" i="72"/>
  <c r="AQ12" i="72"/>
  <c r="AR12" i="72"/>
  <c r="AE13" i="72"/>
  <c r="AF13" i="72"/>
  <c r="AG13" i="72"/>
  <c r="AH13" i="72"/>
  <c r="AJ13" i="72"/>
  <c r="AK13" i="72"/>
  <c r="AL13" i="72"/>
  <c r="AM13" i="72"/>
  <c r="AO13" i="72"/>
  <c r="AP13" i="72"/>
  <c r="AQ13" i="72"/>
  <c r="AR13" i="72"/>
  <c r="AE15" i="72"/>
  <c r="AF15" i="72"/>
  <c r="AG15" i="72"/>
  <c r="AH15" i="72"/>
  <c r="AJ15" i="72"/>
  <c r="AK15" i="72"/>
  <c r="AL15" i="72"/>
  <c r="AM15" i="72"/>
  <c r="AO15" i="72"/>
  <c r="AP15" i="72"/>
  <c r="AQ15" i="72"/>
  <c r="AR15" i="72"/>
  <c r="AE16" i="72"/>
  <c r="AF16" i="72"/>
  <c r="AG16" i="72"/>
  <c r="AH16" i="72"/>
  <c r="AJ16" i="72"/>
  <c r="AK16" i="72"/>
  <c r="AL16" i="72"/>
  <c r="AM16" i="72"/>
  <c r="AO16" i="72"/>
  <c r="AP16" i="72"/>
  <c r="AQ16" i="72"/>
  <c r="AR16" i="72"/>
  <c r="AE17" i="72"/>
  <c r="AF17" i="72"/>
  <c r="AG17" i="72"/>
  <c r="AH17" i="72"/>
  <c r="AJ17" i="72"/>
  <c r="AK17" i="72"/>
  <c r="AL17" i="72"/>
  <c r="AM17" i="72"/>
  <c r="AO17" i="72"/>
  <c r="AP17" i="72"/>
  <c r="AQ17" i="72"/>
  <c r="AR17" i="72"/>
  <c r="AE18" i="72"/>
  <c r="AF18" i="72"/>
  <c r="AG18" i="72"/>
  <c r="AH18" i="72"/>
  <c r="AJ18" i="72"/>
  <c r="AK18" i="72"/>
  <c r="AL18" i="72"/>
  <c r="AM18" i="72"/>
  <c r="AO18" i="72"/>
  <c r="AP18" i="72"/>
  <c r="AQ18" i="72"/>
  <c r="AR18" i="72"/>
  <c r="AE19" i="72"/>
  <c r="AF19" i="72"/>
  <c r="AG19" i="72"/>
  <c r="AH19" i="72"/>
  <c r="AJ19" i="72"/>
  <c r="AK19" i="72"/>
  <c r="AL19" i="72"/>
  <c r="AM19" i="72"/>
  <c r="AO19" i="72"/>
  <c r="AP19" i="72"/>
  <c r="AQ19" i="72"/>
  <c r="AR19" i="72"/>
  <c r="AE21" i="72"/>
  <c r="AF21" i="72"/>
  <c r="AG21" i="72"/>
  <c r="AH21" i="72"/>
  <c r="AJ21" i="72"/>
  <c r="AK21" i="72"/>
  <c r="AL21" i="72"/>
  <c r="AM21" i="72"/>
  <c r="AO21" i="72"/>
  <c r="AP21" i="72"/>
  <c r="AQ21" i="72"/>
  <c r="AR21" i="72"/>
  <c r="AE22" i="72"/>
  <c r="AF22" i="72"/>
  <c r="AG22" i="72"/>
  <c r="AH22" i="72"/>
  <c r="AJ22" i="72"/>
  <c r="AK22" i="72"/>
  <c r="AL22" i="72"/>
  <c r="AM22" i="72"/>
  <c r="AO22" i="72"/>
  <c r="AP22" i="72"/>
  <c r="AQ22" i="72"/>
  <c r="AR22" i="72"/>
  <c r="AE23" i="72"/>
  <c r="AF23" i="72"/>
  <c r="AG23" i="72"/>
  <c r="AH23" i="72"/>
  <c r="AJ23" i="72"/>
  <c r="AK23" i="72"/>
  <c r="AL23" i="72"/>
  <c r="AM23" i="72"/>
  <c r="AO23" i="72"/>
  <c r="AP23" i="72"/>
  <c r="AQ23" i="72"/>
  <c r="AR23" i="72"/>
  <c r="AE24" i="72"/>
  <c r="AF24" i="72"/>
  <c r="AG24" i="72"/>
  <c r="AH24" i="72"/>
  <c r="AJ24" i="72"/>
  <c r="AK24" i="72"/>
  <c r="AL24" i="72"/>
  <c r="AM24" i="72"/>
  <c r="AO24" i="72"/>
  <c r="AP24" i="72"/>
  <c r="AQ24" i="72"/>
  <c r="AR24" i="72"/>
  <c r="AE25" i="72"/>
  <c r="AF25" i="72"/>
  <c r="AG25" i="72"/>
  <c r="AH25" i="72"/>
  <c r="AJ25" i="72"/>
  <c r="AK25" i="72"/>
  <c r="AL25" i="72"/>
  <c r="AM25" i="72"/>
  <c r="AO25" i="72"/>
  <c r="AP25" i="72"/>
  <c r="AQ25" i="72"/>
  <c r="AR25" i="72"/>
  <c r="AE27" i="72"/>
  <c r="AF27" i="72"/>
  <c r="AG27" i="72"/>
  <c r="AH27" i="72"/>
  <c r="AJ27" i="72"/>
  <c r="AK27" i="72"/>
  <c r="AL27" i="72"/>
  <c r="AM27" i="72"/>
  <c r="AO27" i="72"/>
  <c r="AP27" i="72"/>
  <c r="AQ27" i="72"/>
  <c r="AR27" i="72"/>
  <c r="AE28" i="72"/>
  <c r="AF28" i="72"/>
  <c r="AG28" i="72"/>
  <c r="AH28" i="72"/>
  <c r="AJ28" i="72"/>
  <c r="AK28" i="72"/>
  <c r="AL28" i="72"/>
  <c r="AM28" i="72"/>
  <c r="AO28" i="72"/>
  <c r="AP28" i="72"/>
  <c r="AQ28" i="72"/>
  <c r="AR28" i="72"/>
  <c r="AE29" i="72"/>
  <c r="AF29" i="72"/>
  <c r="AG29" i="72"/>
  <c r="AH29" i="72"/>
  <c r="AJ29" i="72"/>
  <c r="AK29" i="72"/>
  <c r="AL29" i="72"/>
  <c r="AM29" i="72"/>
  <c r="AO29" i="72"/>
  <c r="AP29" i="72"/>
  <c r="AQ29" i="72"/>
  <c r="AR29" i="72"/>
  <c r="AE30" i="72"/>
  <c r="AF30" i="72"/>
  <c r="AG30" i="72"/>
  <c r="AH30" i="72"/>
  <c r="AJ30" i="72"/>
  <c r="AK30" i="72"/>
  <c r="AL30" i="72"/>
  <c r="AM30" i="72"/>
  <c r="AO30" i="72"/>
  <c r="AP30" i="72"/>
  <c r="AQ30" i="72"/>
  <c r="AR30" i="72"/>
  <c r="AE31" i="72"/>
  <c r="AF31" i="72"/>
  <c r="AG31" i="72"/>
  <c r="AH31" i="72"/>
  <c r="AJ31" i="72"/>
  <c r="AK31" i="72"/>
  <c r="AL31" i="72"/>
  <c r="AM31" i="72"/>
  <c r="AO31" i="72"/>
  <c r="AP31" i="72"/>
  <c r="AQ31" i="72"/>
  <c r="AR31" i="72"/>
  <c r="AE33" i="72"/>
  <c r="AF33" i="72"/>
  <c r="AG33" i="72"/>
  <c r="AH33" i="72"/>
  <c r="AJ33" i="72"/>
  <c r="AK33" i="72"/>
  <c r="AL33" i="72"/>
  <c r="AM33" i="72"/>
  <c r="AO33" i="72"/>
  <c r="AP33" i="72"/>
  <c r="AQ33" i="72"/>
  <c r="AR33" i="72"/>
  <c r="AE34" i="72"/>
  <c r="AF34" i="72"/>
  <c r="AG34" i="72"/>
  <c r="AH34" i="72"/>
  <c r="AJ34" i="72"/>
  <c r="AK34" i="72"/>
  <c r="AL34" i="72"/>
  <c r="AM34" i="72"/>
  <c r="AO34" i="72"/>
  <c r="AP34" i="72"/>
  <c r="AQ34" i="72"/>
  <c r="AR34" i="72"/>
  <c r="AE35" i="72"/>
  <c r="AF35" i="72"/>
  <c r="AG35" i="72"/>
  <c r="AH35" i="72"/>
  <c r="AJ35" i="72"/>
  <c r="AK35" i="72"/>
  <c r="AL35" i="72"/>
  <c r="AM35" i="72"/>
  <c r="AO35" i="72"/>
  <c r="AP35" i="72"/>
  <c r="AQ35" i="72"/>
  <c r="AR35" i="72"/>
  <c r="AE36" i="72"/>
  <c r="AF36" i="72"/>
  <c r="AG36" i="72"/>
  <c r="AH36" i="72"/>
  <c r="AJ36" i="72"/>
  <c r="AK36" i="72"/>
  <c r="AL36" i="72"/>
  <c r="AM36" i="72"/>
  <c r="AO36" i="72"/>
  <c r="AP36" i="72"/>
  <c r="AQ36" i="72"/>
  <c r="AR36" i="72"/>
  <c r="AE37" i="72"/>
  <c r="AF37" i="72"/>
  <c r="AG37" i="72"/>
  <c r="AH37" i="72"/>
  <c r="AJ37" i="72"/>
  <c r="AK37" i="72"/>
  <c r="AL37" i="72"/>
  <c r="AM37" i="72"/>
  <c r="AO37" i="72"/>
  <c r="AP37" i="72"/>
  <c r="AQ37" i="72"/>
  <c r="AR37" i="72"/>
  <c r="AE39" i="72"/>
  <c r="AF39" i="72"/>
  <c r="AG39" i="72"/>
  <c r="AH39" i="72"/>
  <c r="AJ39" i="72"/>
  <c r="AK39" i="72"/>
  <c r="AL39" i="72"/>
  <c r="AM39" i="72"/>
  <c r="AO39" i="72"/>
  <c r="AP39" i="72"/>
  <c r="AQ39" i="72"/>
  <c r="AR39" i="72"/>
  <c r="AE40" i="72"/>
  <c r="AF40" i="72"/>
  <c r="AG40" i="72"/>
  <c r="AH40" i="72"/>
  <c r="AJ40" i="72"/>
  <c r="AK40" i="72"/>
  <c r="AL40" i="72"/>
  <c r="AM40" i="72"/>
  <c r="AO40" i="72"/>
  <c r="AP40" i="72"/>
  <c r="AQ40" i="72"/>
  <c r="AR40" i="72"/>
  <c r="AE41" i="72"/>
  <c r="AF41" i="72"/>
  <c r="AG41" i="72"/>
  <c r="AH41" i="72"/>
  <c r="AJ41" i="72"/>
  <c r="AK41" i="72"/>
  <c r="AL41" i="72"/>
  <c r="AM41" i="72"/>
  <c r="AO41" i="72"/>
  <c r="AP41" i="72"/>
  <c r="AQ41" i="72"/>
  <c r="AR41" i="72"/>
  <c r="AE42" i="72"/>
  <c r="AF42" i="72"/>
  <c r="AG42" i="72"/>
  <c r="AH42" i="72"/>
  <c r="AJ42" i="72"/>
  <c r="AK42" i="72"/>
  <c r="AL42" i="72"/>
  <c r="AM42" i="72"/>
  <c r="AO42" i="72"/>
  <c r="AP42" i="72"/>
  <c r="AQ42" i="72"/>
  <c r="AR42" i="72"/>
  <c r="AE43" i="72"/>
  <c r="AF43" i="72"/>
  <c r="AG43" i="72"/>
  <c r="AH43" i="72"/>
  <c r="AJ43" i="72"/>
  <c r="AK43" i="72"/>
  <c r="AL43" i="72"/>
  <c r="AM43" i="72"/>
  <c r="AO43" i="72"/>
  <c r="AP43" i="72"/>
  <c r="AQ43" i="72"/>
  <c r="AR43" i="72"/>
  <c r="AE45" i="72"/>
  <c r="AF45" i="72"/>
  <c r="AG45" i="72"/>
  <c r="AH45" i="72"/>
  <c r="AJ45" i="72"/>
  <c r="AK45" i="72"/>
  <c r="AL45" i="72"/>
  <c r="AM45" i="72"/>
  <c r="AO45" i="72"/>
  <c r="AP45" i="72"/>
  <c r="AQ45" i="72"/>
  <c r="AR45" i="72"/>
  <c r="AE46" i="72"/>
  <c r="AF46" i="72"/>
  <c r="AG46" i="72"/>
  <c r="AH46" i="72"/>
  <c r="AJ46" i="72"/>
  <c r="AK46" i="72"/>
  <c r="AL46" i="72"/>
  <c r="AM46" i="72"/>
  <c r="AO46" i="72"/>
  <c r="AP46" i="72"/>
  <c r="AQ46" i="72"/>
  <c r="AR46" i="72"/>
  <c r="AE47" i="72"/>
  <c r="AF47" i="72"/>
  <c r="AG47" i="72"/>
  <c r="AH47" i="72"/>
  <c r="AJ47" i="72"/>
  <c r="AK47" i="72"/>
  <c r="AL47" i="72"/>
  <c r="AM47" i="72"/>
  <c r="AO47" i="72"/>
  <c r="AP47" i="72"/>
  <c r="AQ47" i="72"/>
  <c r="AR47" i="72"/>
  <c r="AE48" i="72"/>
  <c r="AF48" i="72"/>
  <c r="AG48" i="72"/>
  <c r="AH48" i="72"/>
  <c r="AJ48" i="72"/>
  <c r="AK48" i="72"/>
  <c r="AL48" i="72"/>
  <c r="AM48" i="72"/>
  <c r="AO48" i="72"/>
  <c r="AP48" i="72"/>
  <c r="AQ48" i="72"/>
  <c r="AR48" i="72"/>
  <c r="AE49" i="72"/>
  <c r="AF49" i="72"/>
  <c r="AG49" i="72"/>
  <c r="AH49" i="72"/>
  <c r="AJ49" i="72"/>
  <c r="AK49" i="72"/>
  <c r="AL49" i="72"/>
  <c r="AM49" i="72"/>
  <c r="AO49" i="72"/>
  <c r="AP49" i="72"/>
  <c r="AQ49" i="72"/>
  <c r="AR49" i="72"/>
  <c r="AE51" i="72"/>
  <c r="AF51" i="72"/>
  <c r="AG51" i="72"/>
  <c r="AH51" i="72"/>
  <c r="AJ51" i="72"/>
  <c r="AK51" i="72"/>
  <c r="AL51" i="72"/>
  <c r="AM51" i="72"/>
  <c r="AO51" i="72"/>
  <c r="AP51" i="72"/>
  <c r="AQ51" i="72"/>
  <c r="AR51" i="72"/>
  <c r="AE52" i="72"/>
  <c r="AF52" i="72"/>
  <c r="AG52" i="72"/>
  <c r="AH52" i="72"/>
  <c r="AJ52" i="72"/>
  <c r="AK52" i="72"/>
  <c r="AL52" i="72"/>
  <c r="AM52" i="72"/>
  <c r="AO52" i="72"/>
  <c r="AP52" i="72"/>
  <c r="AQ52" i="72"/>
  <c r="AR52" i="72"/>
  <c r="AE53" i="72"/>
  <c r="AF53" i="72"/>
  <c r="AG53" i="72"/>
  <c r="AH53" i="72"/>
  <c r="AJ53" i="72"/>
  <c r="AK53" i="72"/>
  <c r="AL53" i="72"/>
  <c r="AM53" i="72"/>
  <c r="AO53" i="72"/>
  <c r="AP53" i="72"/>
  <c r="AQ53" i="72"/>
  <c r="AR53" i="72"/>
  <c r="AE54" i="72"/>
  <c r="AF54" i="72"/>
  <c r="AG54" i="72"/>
  <c r="AH54" i="72"/>
  <c r="AJ54" i="72"/>
  <c r="AK54" i="72"/>
  <c r="AL54" i="72"/>
  <c r="AM54" i="72"/>
  <c r="AO54" i="72"/>
  <c r="AP54" i="72"/>
  <c r="AQ54" i="72"/>
  <c r="AR54" i="72"/>
  <c r="AE55" i="72"/>
  <c r="AF55" i="72"/>
  <c r="AG55" i="72"/>
  <c r="AH55" i="72"/>
  <c r="AJ55" i="72"/>
  <c r="AK55" i="72"/>
  <c r="AL55" i="72"/>
  <c r="AM55" i="72"/>
  <c r="AO55" i="72"/>
  <c r="AP55" i="72"/>
  <c r="AQ55" i="72"/>
  <c r="AR55" i="72"/>
  <c r="AE57" i="72"/>
  <c r="AF57" i="72"/>
  <c r="AG57" i="72"/>
  <c r="AH57" i="72"/>
  <c r="AJ57" i="72"/>
  <c r="AK57" i="72"/>
  <c r="AL57" i="72"/>
  <c r="AM57" i="72"/>
  <c r="AO57" i="72"/>
  <c r="AP57" i="72"/>
  <c r="AQ57" i="72"/>
  <c r="AR57" i="72"/>
  <c r="AE58" i="72"/>
  <c r="AF58" i="72"/>
  <c r="AG58" i="72"/>
  <c r="AH58" i="72"/>
  <c r="AJ58" i="72"/>
  <c r="AK58" i="72"/>
  <c r="AL58" i="72"/>
  <c r="AM58" i="72"/>
  <c r="AO58" i="72"/>
  <c r="AP58" i="72"/>
  <c r="AQ58" i="72"/>
  <c r="AR58" i="72"/>
  <c r="AE59" i="72"/>
  <c r="AF59" i="72"/>
  <c r="AG59" i="72"/>
  <c r="AH59" i="72"/>
  <c r="AJ59" i="72"/>
  <c r="AK59" i="72"/>
  <c r="AL59" i="72"/>
  <c r="AM59" i="72"/>
  <c r="AO59" i="72"/>
  <c r="AP59" i="72"/>
  <c r="AQ59" i="72"/>
  <c r="AR59" i="72"/>
  <c r="AE60" i="72"/>
  <c r="AF60" i="72"/>
  <c r="AG60" i="72"/>
  <c r="AH60" i="72"/>
  <c r="AJ60" i="72"/>
  <c r="AK60" i="72"/>
  <c r="AL60" i="72"/>
  <c r="AM60" i="72"/>
  <c r="AO60" i="72"/>
  <c r="AP60" i="72"/>
  <c r="AQ60" i="72"/>
  <c r="AR60" i="72"/>
  <c r="AE61" i="72"/>
  <c r="AF61" i="72"/>
  <c r="AG61" i="72"/>
  <c r="AH61" i="72"/>
  <c r="AJ61" i="72"/>
  <c r="AK61" i="72"/>
  <c r="AL61" i="72"/>
  <c r="AM61" i="72"/>
  <c r="AO61" i="72"/>
  <c r="AP61" i="72"/>
  <c r="AQ61" i="72"/>
  <c r="AR61" i="72"/>
  <c r="AE63" i="72"/>
  <c r="AF63" i="72"/>
  <c r="AG63" i="72"/>
  <c r="AH63" i="72"/>
  <c r="AJ63" i="72"/>
  <c r="AK63" i="72"/>
  <c r="AL63" i="72"/>
  <c r="AM63" i="72"/>
  <c r="AO63" i="72"/>
  <c r="AP63" i="72"/>
  <c r="AQ63" i="72"/>
  <c r="AR63" i="72"/>
  <c r="AE64" i="72"/>
  <c r="AF64" i="72"/>
  <c r="AG64" i="72"/>
  <c r="AH64" i="72"/>
  <c r="AJ64" i="72"/>
  <c r="AK64" i="72"/>
  <c r="AL64" i="72"/>
  <c r="AM64" i="72"/>
  <c r="AO64" i="72"/>
  <c r="AP64" i="72"/>
  <c r="AQ64" i="72"/>
  <c r="AR64" i="72"/>
  <c r="AE65" i="72"/>
  <c r="AF65" i="72"/>
  <c r="AG65" i="72"/>
  <c r="AH65" i="72"/>
  <c r="AJ65" i="72"/>
  <c r="AK65" i="72"/>
  <c r="AL65" i="72"/>
  <c r="AM65" i="72"/>
  <c r="AO65" i="72"/>
  <c r="AP65" i="72"/>
  <c r="AQ65" i="72"/>
  <c r="AR65" i="72"/>
  <c r="AE66" i="72"/>
  <c r="AF66" i="72"/>
  <c r="AG66" i="72"/>
  <c r="AH66" i="72"/>
  <c r="AJ66" i="72"/>
  <c r="AK66" i="72"/>
  <c r="AL66" i="72"/>
  <c r="AM66" i="72"/>
  <c r="AO66" i="72"/>
  <c r="AP66" i="72"/>
  <c r="AQ66" i="72"/>
  <c r="AR66" i="72"/>
  <c r="AE67" i="72"/>
  <c r="AF67" i="72"/>
  <c r="AG67" i="72"/>
  <c r="AH67" i="72"/>
  <c r="AJ67" i="72"/>
  <c r="AK67" i="72"/>
  <c r="AL67" i="72"/>
  <c r="AM67" i="72"/>
  <c r="AO67" i="72"/>
  <c r="AP67" i="72"/>
  <c r="AQ67" i="72"/>
  <c r="AR67" i="72"/>
  <c r="AE69" i="72"/>
  <c r="AF69" i="72"/>
  <c r="AG69" i="72"/>
  <c r="AH69" i="72"/>
  <c r="AJ69" i="72"/>
  <c r="AK69" i="72"/>
  <c r="AL69" i="72"/>
  <c r="AM69" i="72"/>
  <c r="AO69" i="72"/>
  <c r="AP69" i="72"/>
  <c r="AQ69" i="72"/>
  <c r="AR69" i="72"/>
  <c r="AE70" i="72"/>
  <c r="AF70" i="72"/>
  <c r="AG70" i="72"/>
  <c r="AH70" i="72"/>
  <c r="AJ70" i="72"/>
  <c r="AK70" i="72"/>
  <c r="AL70" i="72"/>
  <c r="AM70" i="72"/>
  <c r="AO70" i="72"/>
  <c r="AP70" i="72"/>
  <c r="AQ70" i="72"/>
  <c r="AR70" i="72"/>
  <c r="AE71" i="72"/>
  <c r="AF71" i="72"/>
  <c r="AG71" i="72"/>
  <c r="AH71" i="72"/>
  <c r="AJ71" i="72"/>
  <c r="AK71" i="72"/>
  <c r="AL71" i="72"/>
  <c r="AM71" i="72"/>
  <c r="AO71" i="72"/>
  <c r="AP71" i="72"/>
  <c r="AQ71" i="72"/>
  <c r="AR71" i="72"/>
  <c r="AE72" i="72"/>
  <c r="AF72" i="72"/>
  <c r="AG72" i="72"/>
  <c r="AH72" i="72"/>
  <c r="AJ72" i="72"/>
  <c r="AK72" i="72"/>
  <c r="AL72" i="72"/>
  <c r="AM72" i="72"/>
  <c r="AO72" i="72"/>
  <c r="AP72" i="72"/>
  <c r="AQ72" i="72"/>
  <c r="AR72" i="72"/>
  <c r="AE73" i="72"/>
  <c r="AF73" i="72"/>
  <c r="AG73" i="72"/>
  <c r="AH73" i="72"/>
  <c r="AJ73" i="72"/>
  <c r="AK73" i="72"/>
  <c r="AL73" i="72"/>
  <c r="AM73" i="72"/>
  <c r="AO73" i="72"/>
  <c r="AP73" i="72"/>
  <c r="AQ73" i="72"/>
  <c r="AR73" i="72"/>
  <c r="AE4" i="41"/>
  <c r="AF4" i="41"/>
  <c r="AG4" i="41"/>
  <c r="AH4" i="41"/>
  <c r="AJ4" i="41"/>
  <c r="AK4" i="41"/>
  <c r="AL4" i="41"/>
  <c r="AM4" i="41"/>
  <c r="AQ4" i="41"/>
  <c r="AR4" i="41"/>
  <c r="AE5" i="41"/>
  <c r="AF5" i="41"/>
  <c r="AG5" i="41"/>
  <c r="AH5" i="41"/>
  <c r="AJ5" i="41"/>
  <c r="AK5" i="41"/>
  <c r="AL5" i="41"/>
  <c r="AM5" i="41"/>
  <c r="AO5" i="41"/>
  <c r="AP5" i="41"/>
  <c r="AQ5" i="41"/>
  <c r="AR5" i="41"/>
  <c r="AE6" i="41"/>
  <c r="AF6" i="41"/>
  <c r="AG6" i="41"/>
  <c r="AH6" i="41"/>
  <c r="AJ6" i="41"/>
  <c r="AK6" i="41"/>
  <c r="AL6" i="41"/>
  <c r="AM6" i="41"/>
  <c r="AP6" i="41"/>
  <c r="AQ6" i="41"/>
  <c r="AR6" i="41"/>
  <c r="AE7" i="41"/>
  <c r="AF7" i="41"/>
  <c r="AG7" i="41"/>
  <c r="AH7" i="41"/>
  <c r="AJ7" i="41"/>
  <c r="AK7" i="41"/>
  <c r="AL7" i="41"/>
  <c r="AM7" i="41"/>
  <c r="AQ7" i="41"/>
  <c r="AR7" i="41"/>
  <c r="AE9" i="41"/>
  <c r="AF9" i="41"/>
  <c r="AG9" i="41"/>
  <c r="AH9" i="41"/>
  <c r="AJ9" i="41"/>
  <c r="AK9" i="41"/>
  <c r="AL9" i="41"/>
  <c r="AM9" i="41"/>
  <c r="AQ9" i="41"/>
  <c r="AR9" i="41"/>
  <c r="AE10" i="41"/>
  <c r="AF10" i="41"/>
  <c r="AG10" i="41"/>
  <c r="AH10" i="41"/>
  <c r="AJ10" i="41"/>
  <c r="AK10" i="41"/>
  <c r="AL10" i="41"/>
  <c r="AM10" i="41"/>
  <c r="AP10" i="41"/>
  <c r="AQ10" i="41"/>
  <c r="AR10" i="41"/>
  <c r="AE11" i="41"/>
  <c r="AF11" i="41"/>
  <c r="AG11" i="41"/>
  <c r="AH11" i="41"/>
  <c r="AJ11" i="41"/>
  <c r="AK11" i="41"/>
  <c r="AL11" i="41"/>
  <c r="AM11" i="41"/>
  <c r="AQ11" i="41"/>
  <c r="AR11" i="41"/>
  <c r="AE12" i="41"/>
  <c r="AF12" i="41"/>
  <c r="AG12" i="41"/>
  <c r="AH12" i="41"/>
  <c r="AJ12" i="41"/>
  <c r="AK12" i="41"/>
  <c r="AL12" i="41"/>
  <c r="AM12" i="41"/>
  <c r="AQ12" i="41"/>
  <c r="AR12" i="41"/>
  <c r="AE13" i="41"/>
  <c r="AF13" i="41"/>
  <c r="AG13" i="41"/>
  <c r="AH13" i="41"/>
  <c r="AJ13" i="41"/>
  <c r="AK13" i="41"/>
  <c r="AL13" i="41"/>
  <c r="AM13" i="41"/>
  <c r="AO13" i="41"/>
  <c r="AP13" i="41"/>
  <c r="AQ13" i="41"/>
  <c r="AR13" i="41"/>
  <c r="AE15" i="41"/>
  <c r="AF15" i="41"/>
  <c r="AG15" i="41"/>
  <c r="AH15" i="41"/>
  <c r="AJ15" i="41"/>
  <c r="AK15" i="41"/>
  <c r="AL15" i="41"/>
  <c r="AM15" i="41"/>
  <c r="AQ15" i="41"/>
  <c r="AR15" i="41"/>
  <c r="AE16" i="41"/>
  <c r="AF16" i="41"/>
  <c r="AG16" i="41"/>
  <c r="AH16" i="41"/>
  <c r="AJ16" i="41"/>
  <c r="AK16" i="41"/>
  <c r="AL16" i="41"/>
  <c r="AM16" i="41"/>
  <c r="AQ16" i="41"/>
  <c r="AR16" i="41"/>
  <c r="AE17" i="41"/>
  <c r="AF17" i="41"/>
  <c r="AG17" i="41"/>
  <c r="AH17" i="41"/>
  <c r="AJ17" i="41"/>
  <c r="AK17" i="41"/>
  <c r="AL17" i="41"/>
  <c r="AM17" i="41"/>
  <c r="AQ17" i="41"/>
  <c r="AR17" i="41"/>
  <c r="AE18" i="41"/>
  <c r="AF18" i="41"/>
  <c r="AG18" i="41"/>
  <c r="AH18" i="41"/>
  <c r="AJ18" i="41"/>
  <c r="AK18" i="41"/>
  <c r="AL18" i="41"/>
  <c r="AM18" i="41"/>
  <c r="AQ18" i="41"/>
  <c r="AR18" i="41"/>
  <c r="AE19" i="41"/>
  <c r="AF19" i="41"/>
  <c r="AG19" i="41"/>
  <c r="AH19" i="41"/>
  <c r="AJ19" i="41"/>
  <c r="AK19" i="41"/>
  <c r="AL19" i="41"/>
  <c r="AM19" i="41"/>
  <c r="AO19" i="41"/>
  <c r="AP19" i="41"/>
  <c r="AQ19" i="41"/>
  <c r="AR19" i="41"/>
  <c r="AE21" i="41"/>
  <c r="AF21" i="41"/>
  <c r="AG21" i="41"/>
  <c r="AH21" i="41"/>
  <c r="AJ21" i="41"/>
  <c r="AK21" i="41"/>
  <c r="AL21" i="41"/>
  <c r="AM21" i="41"/>
  <c r="AP21" i="41"/>
  <c r="AQ21" i="41"/>
  <c r="AR21" i="41"/>
  <c r="AE22" i="41"/>
  <c r="AF22" i="41"/>
  <c r="AG22" i="41"/>
  <c r="AH22" i="41"/>
  <c r="AJ22" i="41"/>
  <c r="AK22" i="41"/>
  <c r="AL22" i="41"/>
  <c r="AM22" i="41"/>
  <c r="AP22" i="41"/>
  <c r="AQ22" i="41"/>
  <c r="AR22" i="41"/>
  <c r="AE23" i="41"/>
  <c r="AF23" i="41"/>
  <c r="AG23" i="41"/>
  <c r="AH23" i="41"/>
  <c r="AJ23" i="41"/>
  <c r="AK23" i="41"/>
  <c r="AL23" i="41"/>
  <c r="AM23" i="41"/>
  <c r="AP23" i="41"/>
  <c r="AQ23" i="41"/>
  <c r="AR23" i="41"/>
  <c r="AE24" i="41"/>
  <c r="AF24" i="41"/>
  <c r="AG24" i="41"/>
  <c r="AH24" i="41"/>
  <c r="AJ24" i="41"/>
  <c r="AK24" i="41"/>
  <c r="AL24" i="41"/>
  <c r="AM24" i="41"/>
  <c r="AR24" i="41"/>
  <c r="AE25" i="41"/>
  <c r="AF25" i="41"/>
  <c r="AG25" i="41"/>
  <c r="AH25" i="41"/>
  <c r="AJ25" i="41"/>
  <c r="AK25" i="41"/>
  <c r="AL25" i="41"/>
  <c r="AM25" i="41"/>
  <c r="AP25" i="41"/>
  <c r="AQ25" i="41"/>
  <c r="AR25" i="41"/>
  <c r="AE27" i="41"/>
  <c r="AF27" i="41"/>
  <c r="AG27" i="41"/>
  <c r="AH27" i="41"/>
  <c r="AJ27" i="41"/>
  <c r="AK27" i="41"/>
  <c r="AL27" i="41"/>
  <c r="AM27" i="41"/>
  <c r="AQ27" i="41"/>
  <c r="AR27" i="41"/>
  <c r="AE28" i="41"/>
  <c r="AF28" i="41"/>
  <c r="AG28" i="41"/>
  <c r="AH28" i="41"/>
  <c r="AJ28" i="41"/>
  <c r="AK28" i="41"/>
  <c r="AL28" i="41"/>
  <c r="AM28" i="41"/>
  <c r="AP28" i="41"/>
  <c r="AQ28" i="41"/>
  <c r="AR28" i="41"/>
  <c r="AE29" i="41"/>
  <c r="AF29" i="41"/>
  <c r="AG29" i="41"/>
  <c r="AH29" i="41"/>
  <c r="AJ29" i="41"/>
  <c r="AK29" i="41"/>
  <c r="AL29" i="41"/>
  <c r="AM29" i="41"/>
  <c r="AP29" i="41"/>
  <c r="AQ29" i="41"/>
  <c r="AR29" i="41"/>
  <c r="AE30" i="41"/>
  <c r="AF30" i="41"/>
  <c r="AG30" i="41"/>
  <c r="AH30" i="41"/>
  <c r="AJ30" i="41"/>
  <c r="AK30" i="41"/>
  <c r="AL30" i="41"/>
  <c r="AM30" i="41"/>
  <c r="AP30" i="41"/>
  <c r="AQ30" i="41"/>
  <c r="AR30" i="41"/>
  <c r="AE31" i="41"/>
  <c r="AF31" i="41"/>
  <c r="AG31" i="41"/>
  <c r="AH31" i="41"/>
  <c r="AJ31" i="41"/>
  <c r="AK31" i="41"/>
  <c r="AL31" i="41"/>
  <c r="AM31" i="41"/>
  <c r="AO31" i="41"/>
  <c r="AP31" i="41"/>
  <c r="AQ31" i="41"/>
  <c r="AR31" i="41"/>
  <c r="AE33" i="41"/>
  <c r="AF33" i="41"/>
  <c r="AG33" i="41"/>
  <c r="AH33" i="41"/>
  <c r="AJ33" i="41"/>
  <c r="AK33" i="41"/>
  <c r="AL33" i="41"/>
  <c r="AM33" i="41"/>
  <c r="AQ33" i="41"/>
  <c r="AR33" i="41"/>
  <c r="AE34" i="41"/>
  <c r="AF34" i="41"/>
  <c r="AG34" i="41"/>
  <c r="AH34" i="41"/>
  <c r="AJ34" i="41"/>
  <c r="AK34" i="41"/>
  <c r="AL34" i="41"/>
  <c r="AM34" i="41"/>
  <c r="AP34" i="41"/>
  <c r="AQ34" i="41"/>
  <c r="AR34" i="41"/>
  <c r="AE35" i="41"/>
  <c r="AF35" i="41"/>
  <c r="AG35" i="41"/>
  <c r="AH35" i="41"/>
  <c r="AJ35" i="41"/>
  <c r="AK35" i="41"/>
  <c r="AL35" i="41"/>
  <c r="AM35" i="41"/>
  <c r="AQ35" i="41"/>
  <c r="AR35" i="41"/>
  <c r="AE36" i="41"/>
  <c r="AF36" i="41"/>
  <c r="AG36" i="41"/>
  <c r="AH36" i="41"/>
  <c r="AJ36" i="41"/>
  <c r="AK36" i="41"/>
  <c r="AL36" i="41"/>
  <c r="AM36" i="41"/>
  <c r="AP36" i="41"/>
  <c r="AQ36" i="41"/>
  <c r="AR36" i="41"/>
  <c r="AE37" i="41"/>
  <c r="AF37" i="41"/>
  <c r="AG37" i="41"/>
  <c r="AH37" i="41"/>
  <c r="AJ37" i="41"/>
  <c r="AK37" i="41"/>
  <c r="AL37" i="41"/>
  <c r="AM37" i="41"/>
  <c r="AO37" i="41"/>
  <c r="AP37" i="41"/>
  <c r="AQ37" i="41"/>
  <c r="AR37" i="41"/>
  <c r="AE39" i="41"/>
  <c r="AF39" i="41"/>
  <c r="AG39" i="41"/>
  <c r="AH39" i="41"/>
  <c r="AJ39" i="41"/>
  <c r="AK39" i="41"/>
  <c r="AL39" i="41"/>
  <c r="AM39" i="41"/>
  <c r="AO39" i="41"/>
  <c r="AP39" i="41"/>
  <c r="AQ39" i="41"/>
  <c r="AR39" i="41"/>
  <c r="AE40" i="41"/>
  <c r="AF40" i="41"/>
  <c r="AG40" i="41"/>
  <c r="AH40" i="41"/>
  <c r="AJ40" i="41"/>
  <c r="AK40" i="41"/>
  <c r="AL40" i="41"/>
  <c r="AM40" i="41"/>
  <c r="AQ40" i="41"/>
  <c r="AR40" i="41"/>
  <c r="AE41" i="41"/>
  <c r="AF41" i="41"/>
  <c r="AG41" i="41"/>
  <c r="AH41" i="41"/>
  <c r="AJ41" i="41"/>
  <c r="AK41" i="41"/>
  <c r="AL41" i="41"/>
  <c r="AM41" i="41"/>
  <c r="AQ41" i="41"/>
  <c r="AR41" i="41"/>
  <c r="AE42" i="41"/>
  <c r="AF42" i="41"/>
  <c r="AG42" i="41"/>
  <c r="AH42" i="41"/>
  <c r="AJ42" i="41"/>
  <c r="AK42" i="41"/>
  <c r="AL42" i="41"/>
  <c r="AM42" i="41"/>
  <c r="AQ42" i="41"/>
  <c r="AR42" i="41"/>
  <c r="AE43" i="41"/>
  <c r="AF43" i="41"/>
  <c r="AG43" i="41"/>
  <c r="AH43" i="41"/>
  <c r="AJ43" i="41"/>
  <c r="AK43" i="41"/>
  <c r="AL43" i="41"/>
  <c r="AM43" i="41"/>
  <c r="AO43" i="41"/>
  <c r="AP43" i="41"/>
  <c r="AQ43" i="41"/>
  <c r="AR43" i="41"/>
  <c r="AE45" i="41"/>
  <c r="AF45" i="41"/>
  <c r="AG45" i="41"/>
  <c r="AH45" i="41"/>
  <c r="AJ45" i="41"/>
  <c r="AK45" i="41"/>
  <c r="AL45" i="41"/>
  <c r="AM45" i="41"/>
  <c r="AQ45" i="41"/>
  <c r="AR45" i="41"/>
  <c r="AE46" i="41"/>
  <c r="AF46" i="41"/>
  <c r="AG46" i="41"/>
  <c r="AH46" i="41"/>
  <c r="AJ46" i="41"/>
  <c r="AK46" i="41"/>
  <c r="AL46" i="41"/>
  <c r="AM46" i="41"/>
  <c r="AQ46" i="41"/>
  <c r="AR46" i="41"/>
  <c r="AE47" i="41"/>
  <c r="AF47" i="41"/>
  <c r="AG47" i="41"/>
  <c r="AH47" i="41"/>
  <c r="AJ47" i="41"/>
  <c r="AK47" i="41"/>
  <c r="AL47" i="41"/>
  <c r="AM47" i="41"/>
  <c r="AR47" i="41"/>
  <c r="AE48" i="41"/>
  <c r="AF48" i="41"/>
  <c r="AG48" i="41"/>
  <c r="AH48" i="41"/>
  <c r="AJ48" i="41"/>
  <c r="AK48" i="41"/>
  <c r="AL48" i="41"/>
  <c r="AM48" i="41"/>
  <c r="AQ48" i="41"/>
  <c r="AR48" i="41"/>
  <c r="AE49" i="41"/>
  <c r="AF49" i="41"/>
  <c r="AG49" i="41"/>
  <c r="AH49" i="41"/>
  <c r="AJ49" i="41"/>
  <c r="AK49" i="41"/>
  <c r="AL49" i="41"/>
  <c r="AM49" i="41"/>
  <c r="AO49" i="41"/>
  <c r="AP49" i="41"/>
  <c r="AQ49" i="41"/>
  <c r="AR49" i="41"/>
  <c r="AE51" i="41"/>
  <c r="AF51" i="41"/>
  <c r="AG51" i="41"/>
  <c r="AH51" i="41"/>
  <c r="AJ51" i="41"/>
  <c r="AK51" i="41"/>
  <c r="AL51" i="41"/>
  <c r="AM51" i="41"/>
  <c r="AR51" i="41"/>
  <c r="AE52" i="41"/>
  <c r="AF52" i="41"/>
  <c r="AG52" i="41"/>
  <c r="AH52" i="41"/>
  <c r="AJ52" i="41"/>
  <c r="AK52" i="41"/>
  <c r="AL52" i="41"/>
  <c r="AM52" i="41"/>
  <c r="AQ52" i="41"/>
  <c r="AR52" i="41"/>
  <c r="AE53" i="41"/>
  <c r="AF53" i="41"/>
  <c r="AG53" i="41"/>
  <c r="AH53" i="41"/>
  <c r="AJ53" i="41"/>
  <c r="AK53" i="41"/>
  <c r="AL53" i="41"/>
  <c r="AM53" i="41"/>
  <c r="AQ53" i="41"/>
  <c r="AR53" i="41"/>
  <c r="AE54" i="41"/>
  <c r="AF54" i="41"/>
  <c r="AG54" i="41"/>
  <c r="AH54" i="41"/>
  <c r="AJ54" i="41"/>
  <c r="AK54" i="41"/>
  <c r="AL54" i="41"/>
  <c r="AM54" i="41"/>
  <c r="AQ54" i="41"/>
  <c r="AR54" i="41"/>
  <c r="AE55" i="41"/>
  <c r="AF55" i="41"/>
  <c r="AG55" i="41"/>
  <c r="AH55" i="41"/>
  <c r="AJ55" i="41"/>
  <c r="AK55" i="41"/>
  <c r="AL55" i="41"/>
  <c r="AM55" i="41"/>
  <c r="AO55" i="41"/>
  <c r="AP55" i="41"/>
  <c r="AQ55" i="41"/>
  <c r="AR55" i="41"/>
  <c r="AE57" i="41"/>
  <c r="AF57" i="41"/>
  <c r="AG57" i="41"/>
  <c r="AH57" i="41"/>
  <c r="AJ57" i="41"/>
  <c r="AK57" i="41"/>
  <c r="AL57" i="41"/>
  <c r="AM57" i="41"/>
  <c r="AQ57" i="41"/>
  <c r="AR57" i="41"/>
  <c r="AE58" i="41"/>
  <c r="AF58" i="41"/>
  <c r="AG58" i="41"/>
  <c r="AH58" i="41"/>
  <c r="AJ58" i="41"/>
  <c r="AK58" i="41"/>
  <c r="AL58" i="41"/>
  <c r="AM58" i="41"/>
  <c r="AP58" i="41"/>
  <c r="AQ58" i="41"/>
  <c r="AR58" i="41"/>
  <c r="AE59" i="41"/>
  <c r="AF59" i="41"/>
  <c r="AG59" i="41"/>
  <c r="AH59" i="41"/>
  <c r="AJ59" i="41"/>
  <c r="AK59" i="41"/>
  <c r="AL59" i="41"/>
  <c r="AM59" i="41"/>
  <c r="AQ59" i="41"/>
  <c r="AR59" i="41"/>
  <c r="AE60" i="41"/>
  <c r="AF60" i="41"/>
  <c r="AG60" i="41"/>
  <c r="AH60" i="41"/>
  <c r="AJ60" i="41"/>
  <c r="AK60" i="41"/>
  <c r="AL60" i="41"/>
  <c r="AM60" i="41"/>
  <c r="AQ60" i="41"/>
  <c r="AR60" i="41"/>
  <c r="AE61" i="41"/>
  <c r="AF61" i="41"/>
  <c r="AG61" i="41"/>
  <c r="AH61" i="41"/>
  <c r="AJ61" i="41"/>
  <c r="AK61" i="41"/>
  <c r="AL61" i="41"/>
  <c r="AM61" i="41"/>
  <c r="AQ61" i="41"/>
  <c r="AR61" i="41"/>
  <c r="AE63" i="41"/>
  <c r="AF63" i="41"/>
  <c r="AG63" i="41"/>
  <c r="AH63" i="41"/>
  <c r="AJ63" i="41"/>
  <c r="AK63" i="41"/>
  <c r="AL63" i="41"/>
  <c r="AM63" i="41"/>
  <c r="AQ63" i="41"/>
  <c r="AR63" i="41"/>
  <c r="AE64" i="41"/>
  <c r="AF64" i="41"/>
  <c r="AG64" i="41"/>
  <c r="AH64" i="41"/>
  <c r="AJ64" i="41"/>
  <c r="AK64" i="41"/>
  <c r="AL64" i="41"/>
  <c r="AM64" i="41"/>
  <c r="AQ64" i="41"/>
  <c r="AR64" i="41"/>
  <c r="AE65" i="41"/>
  <c r="AF65" i="41"/>
  <c r="AG65" i="41"/>
  <c r="AH65" i="41"/>
  <c r="AJ65" i="41"/>
  <c r="AK65" i="41"/>
  <c r="AL65" i="41"/>
  <c r="AM65" i="41"/>
  <c r="AQ65" i="41"/>
  <c r="AR65" i="41"/>
  <c r="AE66" i="41"/>
  <c r="AF66" i="41"/>
  <c r="AG66" i="41"/>
  <c r="AH66" i="41"/>
  <c r="AJ66" i="41"/>
  <c r="AK66" i="41"/>
  <c r="AL66" i="41"/>
  <c r="AM66" i="41"/>
  <c r="AQ66" i="41"/>
  <c r="AR66" i="41"/>
  <c r="AE67" i="41"/>
  <c r="AF67" i="41"/>
  <c r="AG67" i="41"/>
  <c r="AH67" i="41"/>
  <c r="AJ67" i="41"/>
  <c r="AK67" i="41"/>
  <c r="AL67" i="41"/>
  <c r="AM67" i="41"/>
  <c r="AO67" i="41"/>
  <c r="AP67" i="41"/>
  <c r="AQ67" i="41"/>
  <c r="AR67" i="41"/>
  <c r="AE69" i="41"/>
  <c r="AF69" i="41"/>
  <c r="AG69" i="41"/>
  <c r="AH69" i="41"/>
  <c r="AJ69" i="41"/>
  <c r="AK69" i="41"/>
  <c r="AL69" i="41"/>
  <c r="AM69" i="41"/>
  <c r="AQ69" i="41"/>
  <c r="AR69" i="41"/>
  <c r="AE70" i="41"/>
  <c r="AF70" i="41"/>
  <c r="AG70" i="41"/>
  <c r="AH70" i="41"/>
  <c r="AJ70" i="41"/>
  <c r="AK70" i="41"/>
  <c r="AL70" i="41"/>
  <c r="AM70" i="41"/>
  <c r="AQ70" i="41"/>
  <c r="AR70" i="41"/>
  <c r="AE71" i="41"/>
  <c r="AF71" i="41"/>
  <c r="AG71" i="41"/>
  <c r="AH71" i="41"/>
  <c r="AJ71" i="41"/>
  <c r="AK71" i="41"/>
  <c r="AL71" i="41"/>
  <c r="AM71" i="41"/>
  <c r="AQ71" i="41"/>
  <c r="AR71" i="41"/>
  <c r="AE72" i="41"/>
  <c r="AF72" i="41"/>
  <c r="AG72" i="41"/>
  <c r="AH72" i="41"/>
  <c r="AJ72" i="41"/>
  <c r="AK72" i="41"/>
  <c r="AL72" i="41"/>
  <c r="AM72" i="41"/>
  <c r="AO72" i="41"/>
  <c r="AP72" i="41"/>
  <c r="AQ72" i="41"/>
  <c r="AR72" i="41"/>
  <c r="AE73" i="41"/>
  <c r="AF73" i="41"/>
  <c r="AG73" i="41"/>
  <c r="AH73" i="41"/>
  <c r="AJ73" i="41"/>
  <c r="AK73" i="41"/>
  <c r="AL73" i="41"/>
  <c r="AM73" i="41"/>
  <c r="AO73" i="41"/>
  <c r="AP73" i="41"/>
  <c r="AQ73" i="41"/>
  <c r="AR73" i="41"/>
  <c r="AR3" i="65"/>
  <c r="AR8" i="65" s="1"/>
  <c r="AR3" i="66"/>
  <c r="AR8" i="66" s="1"/>
  <c r="AR3" i="67"/>
  <c r="AR8" i="67" s="1"/>
  <c r="AR3" i="68"/>
  <c r="AR3" i="69"/>
  <c r="AR3" i="70"/>
  <c r="AR3" i="71"/>
  <c r="AR3" i="73"/>
  <c r="AR8" i="73" s="1"/>
  <c r="AR3" i="72"/>
  <c r="AR3" i="41"/>
  <c r="AQ3" i="65"/>
  <c r="AQ3" i="66"/>
  <c r="AQ3" i="67"/>
  <c r="AQ8" i="67" s="1"/>
  <c r="AQ3" i="68"/>
  <c r="AQ3" i="69"/>
  <c r="AQ3" i="70"/>
  <c r="AQ8" i="70" s="1"/>
  <c r="AQ3" i="71"/>
  <c r="AQ3" i="73"/>
  <c r="AQ3" i="72"/>
  <c r="AQ3" i="41"/>
  <c r="AP3" i="65"/>
  <c r="AP3" i="66"/>
  <c r="AP3" i="67"/>
  <c r="AP8" i="67" s="1"/>
  <c r="AP3" i="69"/>
  <c r="AP3" i="70"/>
  <c r="AP3" i="71"/>
  <c r="AP3" i="73"/>
  <c r="AP8" i="73" s="1"/>
  <c r="AP3" i="72"/>
  <c r="AO3" i="65"/>
  <c r="AO3" i="66"/>
  <c r="AO3" i="67"/>
  <c r="AO8" i="67" s="1"/>
  <c r="AO3" i="68"/>
  <c r="AO3" i="69"/>
  <c r="AO3" i="70"/>
  <c r="AO3" i="71"/>
  <c r="AO3" i="73"/>
  <c r="AO3" i="72"/>
  <c r="AM3" i="65"/>
  <c r="AM3" i="66"/>
  <c r="AM3" i="67"/>
  <c r="AM3" i="68"/>
  <c r="AM3" i="69"/>
  <c r="AM3" i="70"/>
  <c r="AM3" i="71"/>
  <c r="AM3" i="73"/>
  <c r="AM3" i="72"/>
  <c r="AM3" i="41"/>
  <c r="AL3" i="65"/>
  <c r="AL3" i="66"/>
  <c r="AL3" i="67"/>
  <c r="AL3" i="68"/>
  <c r="AL3" i="69"/>
  <c r="AL3" i="70"/>
  <c r="AL3" i="71"/>
  <c r="AL3" i="73"/>
  <c r="AL3" i="72"/>
  <c r="AL3" i="41"/>
  <c r="AK3" i="65"/>
  <c r="AK3" i="66"/>
  <c r="AK3" i="67"/>
  <c r="AK3" i="68"/>
  <c r="AK3" i="69"/>
  <c r="AK3" i="70"/>
  <c r="AK3" i="71"/>
  <c r="AK3" i="73"/>
  <c r="AK3" i="72"/>
  <c r="AK3" i="41"/>
  <c r="AJ3" i="65"/>
  <c r="AJ3" i="66"/>
  <c r="AJ3" i="67"/>
  <c r="AJ3" i="68"/>
  <c r="AJ3" i="69"/>
  <c r="AJ3" i="70"/>
  <c r="AJ3" i="71"/>
  <c r="AJ3" i="73"/>
  <c r="AJ3" i="72"/>
  <c r="AJ3" i="41"/>
  <c r="AH3" i="65"/>
  <c r="AH8" i="65" s="1"/>
  <c r="AH3" i="66"/>
  <c r="AH8" i="66" s="1"/>
  <c r="AH3" i="67"/>
  <c r="AH8" i="67" s="1"/>
  <c r="AH3" i="68"/>
  <c r="AH3" i="69"/>
  <c r="AH3" i="70"/>
  <c r="AH8" i="70" s="1"/>
  <c r="AH3" i="71"/>
  <c r="AH8" i="71" s="1"/>
  <c r="AH3" i="73"/>
  <c r="AH3" i="72"/>
  <c r="AH3" i="41"/>
  <c r="AG3" i="65"/>
  <c r="AG3" i="66"/>
  <c r="AG3" i="67"/>
  <c r="AG8" i="67" s="1"/>
  <c r="AG3" i="68"/>
  <c r="AG3" i="69"/>
  <c r="AG3" i="70"/>
  <c r="AG8" i="70" s="1"/>
  <c r="AG3" i="71"/>
  <c r="AG8" i="71" s="1"/>
  <c r="AG3" i="73"/>
  <c r="AG8" i="73" s="1"/>
  <c r="AG3" i="72"/>
  <c r="AG8" i="72" s="1"/>
  <c r="AG3" i="41"/>
  <c r="AF3" i="65"/>
  <c r="AF3" i="66"/>
  <c r="AF8" i="66" s="1"/>
  <c r="AF3" i="67"/>
  <c r="AF8" i="67" s="1"/>
  <c r="AF3" i="68"/>
  <c r="AF3" i="69"/>
  <c r="AF3" i="70"/>
  <c r="AF3" i="71"/>
  <c r="AF3" i="73"/>
  <c r="AF8" i="73" s="1"/>
  <c r="AF3" i="72"/>
  <c r="AF8" i="72" s="1"/>
  <c r="AF3" i="41"/>
  <c r="AE3" i="65"/>
  <c r="AE3" i="66"/>
  <c r="AE8" i="66" s="1"/>
  <c r="AE3" i="67"/>
  <c r="AE8" i="67" s="1"/>
  <c r="AE3" i="68"/>
  <c r="AE3" i="69"/>
  <c r="AE3" i="70"/>
  <c r="AE3" i="71"/>
  <c r="AE3" i="73"/>
  <c r="AE3" i="72"/>
  <c r="AE3" i="41"/>
  <c r="AQ8" i="66" l="1"/>
  <c r="AP8" i="66"/>
  <c r="AF8" i="65"/>
  <c r="AG8" i="69"/>
  <c r="AQ8" i="69"/>
  <c r="AH8" i="69"/>
  <c r="N21" i="53"/>
  <c r="AE8" i="72"/>
  <c r="AE8" i="73"/>
  <c r="AR8" i="71"/>
  <c r="AR8" i="70"/>
  <c r="S22" i="53"/>
  <c r="S21" i="53"/>
  <c r="AE8" i="71"/>
  <c r="AE8" i="70"/>
  <c r="AQ8" i="71"/>
  <c r="AR8" i="69"/>
  <c r="AE8" i="69"/>
  <c r="AF8" i="69"/>
  <c r="S23" i="53"/>
  <c r="G21" i="53"/>
  <c r="AQ8" i="65"/>
  <c r="V34" i="53"/>
  <c r="H21" i="53"/>
  <c r="I21" i="53"/>
  <c r="AG8" i="65"/>
  <c r="AO8" i="68"/>
  <c r="S24" i="53"/>
  <c r="S26" i="53"/>
  <c r="H23" i="53"/>
  <c r="H22" i="53"/>
  <c r="Q23" i="53"/>
  <c r="AQ8" i="72"/>
  <c r="AQ8" i="73"/>
  <c r="AP8" i="70"/>
  <c r="Q22" i="53"/>
  <c r="AO8" i="72"/>
  <c r="AO8" i="70"/>
  <c r="AO8" i="73"/>
  <c r="AP8" i="69"/>
  <c r="AO8" i="71"/>
  <c r="AO8" i="69"/>
  <c r="AR8" i="72"/>
  <c r="P60" i="53"/>
  <c r="P54" i="53"/>
  <c r="P48" i="53"/>
  <c r="AO8" i="65"/>
  <c r="P30" i="53"/>
  <c r="P22" i="53"/>
  <c r="H32" i="53"/>
  <c r="H30" i="53"/>
  <c r="G32" i="53"/>
  <c r="G30" i="53"/>
  <c r="P72" i="53"/>
  <c r="P66" i="53"/>
  <c r="M21" i="53"/>
  <c r="L21" i="53"/>
  <c r="K21" i="53"/>
  <c r="AJ8" i="65"/>
  <c r="F29" i="53"/>
  <c r="F32" i="53"/>
  <c r="F30" i="53"/>
  <c r="F21" i="53"/>
  <c r="L20" i="53"/>
  <c r="G29" i="53"/>
  <c r="AH8" i="68"/>
  <c r="I23" i="53"/>
  <c r="G22" i="53"/>
  <c r="I22" i="53"/>
  <c r="I24" i="53"/>
  <c r="F22" i="53"/>
  <c r="P36" i="53"/>
  <c r="H35" i="53"/>
  <c r="H38" i="53"/>
  <c r="H36" i="53"/>
  <c r="H39" i="53"/>
  <c r="H33" i="53"/>
  <c r="H40" i="53"/>
  <c r="G23" i="53"/>
  <c r="H34" i="53"/>
  <c r="P90" i="53"/>
  <c r="P89" i="53"/>
  <c r="P84" i="53"/>
  <c r="H88" i="53"/>
  <c r="H77" i="53"/>
  <c r="H65" i="53"/>
  <c r="G69" i="53"/>
  <c r="F89" i="53"/>
  <c r="F82" i="53"/>
  <c r="F77" i="53"/>
  <c r="F74" i="53"/>
  <c r="F68" i="53"/>
  <c r="F63" i="53"/>
  <c r="F58" i="53"/>
  <c r="F52" i="53"/>
  <c r="F47" i="53"/>
  <c r="F38" i="53"/>
  <c r="H87" i="53"/>
  <c r="H78" i="53"/>
  <c r="H66" i="53"/>
  <c r="G74" i="53"/>
  <c r="G66" i="53"/>
  <c r="F88" i="53"/>
  <c r="F84" i="53"/>
  <c r="F80" i="53"/>
  <c r="F75" i="53"/>
  <c r="F70" i="53"/>
  <c r="F65" i="53"/>
  <c r="F60" i="53"/>
  <c r="F57" i="53"/>
  <c r="F53" i="53"/>
  <c r="F48" i="53"/>
  <c r="F39" i="53"/>
  <c r="H82" i="53"/>
  <c r="H89" i="53"/>
  <c r="H81" i="53"/>
  <c r="H75" i="53"/>
  <c r="H69" i="53"/>
  <c r="H60" i="53"/>
  <c r="H54" i="53"/>
  <c r="H50" i="53"/>
  <c r="H45" i="53"/>
  <c r="H56" i="53"/>
  <c r="H90" i="53"/>
  <c r="H83" i="53"/>
  <c r="H74" i="53"/>
  <c r="H70" i="53"/>
  <c r="H62" i="53"/>
  <c r="H58" i="53"/>
  <c r="H52" i="53"/>
  <c r="H47" i="53"/>
  <c r="H42" i="53"/>
  <c r="G72" i="53"/>
  <c r="G68" i="53"/>
  <c r="G65" i="53"/>
  <c r="G64" i="53"/>
  <c r="G63" i="53"/>
  <c r="G62" i="53"/>
  <c r="G60" i="53"/>
  <c r="G59" i="53"/>
  <c r="G58" i="53"/>
  <c r="G57" i="53"/>
  <c r="G56" i="53"/>
  <c r="G54" i="53"/>
  <c r="G53" i="53"/>
  <c r="G52" i="53"/>
  <c r="G51" i="53"/>
  <c r="G50" i="53"/>
  <c r="G48" i="53"/>
  <c r="G47" i="53"/>
  <c r="G46" i="53"/>
  <c r="G45" i="53"/>
  <c r="G44" i="53"/>
  <c r="G42" i="53"/>
  <c r="G41" i="53"/>
  <c r="G40" i="53"/>
  <c r="G39" i="53"/>
  <c r="G38" i="53"/>
  <c r="G36" i="53"/>
  <c r="G35" i="53"/>
  <c r="G34" i="53"/>
  <c r="G33" i="53"/>
  <c r="H84" i="53"/>
  <c r="H76" i="53"/>
  <c r="H71" i="53"/>
  <c r="H64" i="53"/>
  <c r="H57" i="53"/>
  <c r="H51" i="53"/>
  <c r="H46" i="53"/>
  <c r="H41" i="53"/>
  <c r="G70" i="53"/>
  <c r="F87" i="53"/>
  <c r="F83" i="53"/>
  <c r="F78" i="53"/>
  <c r="F72" i="53"/>
  <c r="F66" i="53"/>
  <c r="F62" i="53"/>
  <c r="F56" i="53"/>
  <c r="F51" i="53"/>
  <c r="F46" i="53"/>
  <c r="F44" i="53"/>
  <c r="F41" i="53"/>
  <c r="F40" i="53"/>
  <c r="F35" i="53"/>
  <c r="F34" i="53"/>
  <c r="F33" i="53"/>
  <c r="G24" i="53"/>
  <c r="H86" i="53"/>
  <c r="H80" i="53"/>
  <c r="H72" i="53"/>
  <c r="H68" i="53"/>
  <c r="H63" i="53"/>
  <c r="H59" i="53"/>
  <c r="H53" i="53"/>
  <c r="H48" i="53"/>
  <c r="H44" i="53"/>
  <c r="G71" i="53"/>
  <c r="F90" i="53"/>
  <c r="F86" i="53"/>
  <c r="F81" i="53"/>
  <c r="F76" i="53"/>
  <c r="F71" i="53"/>
  <c r="F69" i="53"/>
  <c r="F64" i="53"/>
  <c r="F59" i="53"/>
  <c r="F54" i="53"/>
  <c r="F50" i="53"/>
  <c r="F45" i="53"/>
  <c r="F42" i="53"/>
  <c r="F36" i="53"/>
  <c r="F24" i="53"/>
  <c r="AE8" i="65"/>
  <c r="H24" i="53"/>
  <c r="F23" i="53"/>
  <c r="N22" i="53"/>
  <c r="M23" i="53"/>
  <c r="M22" i="53"/>
  <c r="N24" i="53"/>
  <c r="N23" i="53"/>
  <c r="R20" i="53"/>
  <c r="R23" i="53"/>
  <c r="R24" i="53"/>
  <c r="H20" i="53"/>
  <c r="F20" i="53"/>
  <c r="AP8" i="65"/>
  <c r="R22" i="53"/>
  <c r="R21" i="53"/>
  <c r="R26" i="53"/>
  <c r="Q27" i="53"/>
  <c r="K20" i="53"/>
  <c r="G20" i="53"/>
  <c r="N20" i="53"/>
  <c r="AK8" i="65"/>
  <c r="S20" i="53"/>
  <c r="M20" i="53"/>
  <c r="M24" i="53"/>
  <c r="L23" i="53"/>
  <c r="L22" i="53"/>
  <c r="I20" i="53"/>
  <c r="L24" i="53"/>
  <c r="K23" i="53"/>
  <c r="K22" i="53"/>
  <c r="K24" i="53"/>
  <c r="AO8" i="66"/>
  <c r="H27" i="53"/>
  <c r="F26" i="53"/>
  <c r="H28" i="53"/>
  <c r="G27" i="53"/>
  <c r="G28" i="53"/>
  <c r="F27" i="53"/>
  <c r="H29" i="53"/>
  <c r="F28" i="53"/>
  <c r="G90" i="53"/>
  <c r="G89" i="53"/>
  <c r="G88" i="53"/>
  <c r="G87" i="53"/>
  <c r="G86" i="53"/>
  <c r="G84" i="53"/>
  <c r="G83" i="53"/>
  <c r="G82" i="53"/>
  <c r="G81" i="53"/>
  <c r="G80" i="53"/>
  <c r="G78" i="53"/>
  <c r="G77" i="53"/>
  <c r="G76" i="53"/>
  <c r="G75" i="53"/>
  <c r="AL8" i="70"/>
  <c r="AJ8" i="66"/>
  <c r="AM8" i="66"/>
  <c r="AD28" i="72"/>
  <c r="AD29" i="71"/>
  <c r="AD61" i="69"/>
  <c r="AI64" i="70"/>
  <c r="AK8" i="70"/>
  <c r="AL8" i="67"/>
  <c r="AJ8" i="70"/>
  <c r="AL8" i="66"/>
  <c r="AD40" i="67"/>
  <c r="AD25" i="67"/>
  <c r="AD19" i="66"/>
  <c r="AK8" i="69"/>
  <c r="AJ8" i="69"/>
  <c r="AK8" i="67"/>
  <c r="AD63" i="70"/>
  <c r="AD16" i="69"/>
  <c r="AK8" i="66"/>
  <c r="AN53" i="69"/>
  <c r="AJ8" i="71"/>
  <c r="AJ8" i="67"/>
  <c r="W34" i="53"/>
  <c r="AI3" i="73"/>
  <c r="AI37" i="71"/>
  <c r="AI36" i="71"/>
  <c r="AI35" i="71"/>
  <c r="AK8" i="68"/>
  <c r="AJ8" i="68"/>
  <c r="AI66" i="69"/>
  <c r="AD12" i="71"/>
  <c r="AK20" i="69"/>
  <c r="AI6" i="69"/>
  <c r="AN19" i="72"/>
  <c r="AN7" i="71"/>
  <c r="AN64" i="69"/>
  <c r="AN58" i="69"/>
  <c r="AE20" i="69"/>
  <c r="AD9" i="69"/>
  <c r="AD52" i="67"/>
  <c r="AI17" i="72"/>
  <c r="AI35" i="69"/>
  <c r="AD24" i="70"/>
  <c r="AD23" i="70"/>
  <c r="AD18" i="70"/>
  <c r="AD13" i="70"/>
  <c r="AD70" i="69"/>
  <c r="AH50" i="69"/>
  <c r="AK8" i="71"/>
  <c r="AL8" i="69"/>
  <c r="AM8" i="67"/>
  <c r="AN15" i="72"/>
  <c r="AN66" i="69"/>
  <c r="AN65" i="69"/>
  <c r="AI43" i="69"/>
  <c r="AI18" i="72"/>
  <c r="AI65" i="69"/>
  <c r="AM8" i="72"/>
  <c r="AI34" i="69"/>
  <c r="AM8" i="73"/>
  <c r="AI12" i="69"/>
  <c r="AI59" i="66"/>
  <c r="AI55" i="66"/>
  <c r="AI41" i="66"/>
  <c r="AI30" i="66"/>
  <c r="AD11" i="71"/>
  <c r="AD4" i="71"/>
  <c r="AI11" i="69"/>
  <c r="AI4" i="69"/>
  <c r="AI73" i="67"/>
  <c r="AI65" i="66"/>
  <c r="AI61" i="66"/>
  <c r="AI58" i="66"/>
  <c r="AI40" i="66"/>
  <c r="AI29" i="66"/>
  <c r="AF8" i="71"/>
  <c r="AL8" i="72"/>
  <c r="AM8" i="71"/>
  <c r="AD60" i="73"/>
  <c r="AD25" i="71"/>
  <c r="AD21" i="71"/>
  <c r="AD19" i="71"/>
  <c r="AD73" i="70"/>
  <c r="AD65" i="70"/>
  <c r="AD41" i="69"/>
  <c r="AD37" i="69"/>
  <c r="AD35" i="69"/>
  <c r="AD34" i="69"/>
  <c r="AD19" i="69"/>
  <c r="AD18" i="69"/>
  <c r="AD17" i="69"/>
  <c r="AH20" i="69"/>
  <c r="AI10" i="69"/>
  <c r="AI72" i="67"/>
  <c r="AI64" i="66"/>
  <c r="AI60" i="66"/>
  <c r="AI57" i="66"/>
  <c r="AI42" i="66"/>
  <c r="AI28" i="66"/>
  <c r="AM8" i="70"/>
  <c r="AD61" i="70"/>
  <c r="AD53" i="70"/>
  <c r="AD49" i="70"/>
  <c r="AD43" i="70"/>
  <c r="AD41" i="70"/>
  <c r="AD37" i="70"/>
  <c r="AD31" i="70"/>
  <c r="AD60" i="69"/>
  <c r="AD55" i="69"/>
  <c r="AD51" i="69"/>
  <c r="AF50" i="69"/>
  <c r="AD73" i="67"/>
  <c r="AD71" i="67"/>
  <c r="AD70" i="67"/>
  <c r="AD66" i="67"/>
  <c r="AD65" i="67"/>
  <c r="AD64" i="67"/>
  <c r="AD61" i="67"/>
  <c r="AD25" i="66"/>
  <c r="AD24" i="66"/>
  <c r="AD10" i="66"/>
  <c r="AD7" i="66"/>
  <c r="AD6" i="66"/>
  <c r="AD5" i="66"/>
  <c r="AD4" i="66"/>
  <c r="AN3" i="73"/>
  <c r="AI40" i="69"/>
  <c r="AI7" i="69"/>
  <c r="AL8" i="71"/>
  <c r="AM8" i="69"/>
  <c r="AD46" i="69"/>
  <c r="AI3" i="72"/>
  <c r="AM68" i="72"/>
  <c r="AM56" i="72"/>
  <c r="AR26" i="69"/>
  <c r="AG14" i="68"/>
  <c r="AR20" i="69"/>
  <c r="AD15" i="69"/>
  <c r="AF14" i="68"/>
  <c r="AF74" i="67"/>
  <c r="AD60" i="67"/>
  <c r="AL32" i="72"/>
  <c r="AL38" i="73"/>
  <c r="AP32" i="69"/>
  <c r="AQ20" i="69"/>
  <c r="AE14" i="68"/>
  <c r="AD72" i="67"/>
  <c r="AD67" i="67"/>
  <c r="AD55" i="67"/>
  <c r="AK44" i="72"/>
  <c r="AI46" i="72"/>
  <c r="AI12" i="73"/>
  <c r="AI4" i="73"/>
  <c r="AI59" i="71"/>
  <c r="AI43" i="71"/>
  <c r="AK68" i="72"/>
  <c r="AI60" i="72"/>
  <c r="AI42" i="72"/>
  <c r="AJ26" i="73"/>
  <c r="AI13" i="73"/>
  <c r="AI5" i="73"/>
  <c r="AI66" i="71"/>
  <c r="AI40" i="71"/>
  <c r="AH56" i="72"/>
  <c r="AH44" i="72"/>
  <c r="AH62" i="73"/>
  <c r="AH50" i="73"/>
  <c r="AH38" i="73"/>
  <c r="AH50" i="71"/>
  <c r="AI61" i="72"/>
  <c r="AI41" i="72"/>
  <c r="AI61" i="73"/>
  <c r="AJ50" i="73"/>
  <c r="AI19" i="73"/>
  <c r="AI11" i="73"/>
  <c r="AI73" i="71"/>
  <c r="AI65" i="71"/>
  <c r="AI41" i="71"/>
  <c r="AL56" i="72"/>
  <c r="AI40" i="72"/>
  <c r="AI60" i="73"/>
  <c r="AI43" i="73"/>
  <c r="AI18" i="73"/>
  <c r="AI10" i="73"/>
  <c r="AI72" i="71"/>
  <c r="AI64" i="71"/>
  <c r="AI55" i="71"/>
  <c r="AI42" i="71"/>
  <c r="AF8" i="70"/>
  <c r="AL8" i="73"/>
  <c r="AD72" i="72"/>
  <c r="AD59" i="72"/>
  <c r="AD58" i="72"/>
  <c r="AD55" i="72"/>
  <c r="AD54" i="72"/>
  <c r="AD53" i="72"/>
  <c r="AD47" i="72"/>
  <c r="AD46" i="72"/>
  <c r="AD43" i="72"/>
  <c r="AD42" i="72"/>
  <c r="AD41" i="72"/>
  <c r="AD23" i="72"/>
  <c r="AD4" i="72"/>
  <c r="AD73" i="73"/>
  <c r="AK8" i="72"/>
  <c r="AF68" i="72"/>
  <c r="AD60" i="72"/>
  <c r="AF56" i="72"/>
  <c r="AD40" i="72"/>
  <c r="AF32" i="72"/>
  <c r="AD24" i="72"/>
  <c r="AI66" i="73"/>
  <c r="AI6" i="73"/>
  <c r="AI60" i="71"/>
  <c r="AK8" i="73"/>
  <c r="AM44" i="67"/>
  <c r="AM38" i="67"/>
  <c r="AK14" i="73"/>
  <c r="AJ20" i="72"/>
  <c r="AI42" i="73"/>
  <c r="AI34" i="73"/>
  <c r="AI17" i="73"/>
  <c r="AJ14" i="73"/>
  <c r="AI70" i="71"/>
  <c r="AI61" i="71"/>
  <c r="AL56" i="67"/>
  <c r="AL50" i="67"/>
  <c r="AL44" i="67"/>
  <c r="AI47" i="72"/>
  <c r="AI41" i="73"/>
  <c r="AI16" i="73"/>
  <c r="AI7" i="73"/>
  <c r="AI71" i="71"/>
  <c r="AG8" i="66"/>
  <c r="AD3" i="66"/>
  <c r="AJ8" i="72"/>
  <c r="AD35" i="70"/>
  <c r="AD25" i="70"/>
  <c r="AD15" i="70"/>
  <c r="AD71" i="69"/>
  <c r="AD63" i="69"/>
  <c r="AK62" i="67"/>
  <c r="AK56" i="67"/>
  <c r="AK50" i="67"/>
  <c r="AK44" i="67"/>
  <c r="AL62" i="73"/>
  <c r="AI43" i="72"/>
  <c r="AJ32" i="72"/>
  <c r="AI65" i="73"/>
  <c r="K89" i="53"/>
  <c r="K87" i="53"/>
  <c r="K84" i="53"/>
  <c r="K82" i="53"/>
  <c r="K80" i="53"/>
  <c r="K77" i="53"/>
  <c r="K75" i="53"/>
  <c r="K72" i="53"/>
  <c r="K70" i="53"/>
  <c r="K68" i="53"/>
  <c r="K66" i="53"/>
  <c r="K64" i="53"/>
  <c r="K62" i="53"/>
  <c r="K59" i="53"/>
  <c r="K57" i="53"/>
  <c r="K54" i="53"/>
  <c r="K52" i="53"/>
  <c r="K50" i="53"/>
  <c r="K47" i="53"/>
  <c r="K45" i="53"/>
  <c r="K42" i="53"/>
  <c r="K40" i="53"/>
  <c r="K39" i="53"/>
  <c r="AN67" i="70"/>
  <c r="AD29" i="70"/>
  <c r="AD19" i="70"/>
  <c r="AD17" i="70"/>
  <c r="AD73" i="69"/>
  <c r="AD69" i="69"/>
  <c r="AD67" i="69"/>
  <c r="AD65" i="69"/>
  <c r="AI54" i="67"/>
  <c r="AI52" i="67"/>
  <c r="AL26" i="73"/>
  <c r="AK38" i="73"/>
  <c r="AI67" i="73"/>
  <c r="K90" i="53"/>
  <c r="K88" i="53"/>
  <c r="K86" i="53"/>
  <c r="K83" i="53"/>
  <c r="K81" i="53"/>
  <c r="K78" i="53"/>
  <c r="K76" i="53"/>
  <c r="K74" i="53"/>
  <c r="K71" i="53"/>
  <c r="K69" i="53"/>
  <c r="K65" i="53"/>
  <c r="K63" i="53"/>
  <c r="K60" i="53"/>
  <c r="K58" i="53"/>
  <c r="K56" i="53"/>
  <c r="K53" i="53"/>
  <c r="K51" i="53"/>
  <c r="K48" i="53"/>
  <c r="K46" i="53"/>
  <c r="K44" i="53"/>
  <c r="K41" i="53"/>
  <c r="AH74" i="67"/>
  <c r="AH68" i="67"/>
  <c r="AH62" i="67"/>
  <c r="AN60" i="70"/>
  <c r="AN59" i="70"/>
  <c r="AN49" i="70"/>
  <c r="AN42" i="70"/>
  <c r="AN41" i="70"/>
  <c r="AO32" i="69"/>
  <c r="AP20" i="69"/>
  <c r="AR14" i="68"/>
  <c r="AE74" i="67"/>
  <c r="AF68" i="67"/>
  <c r="AD59" i="67"/>
  <c r="AD58" i="67"/>
  <c r="AI47" i="67"/>
  <c r="AI42" i="67"/>
  <c r="AI37" i="67"/>
  <c r="AI28" i="67"/>
  <c r="K26" i="53"/>
  <c r="AR68" i="72"/>
  <c r="AD66" i="73"/>
  <c r="AD48" i="73"/>
  <c r="AD31" i="71"/>
  <c r="AD24" i="71"/>
  <c r="AI10" i="71"/>
  <c r="AI7" i="71"/>
  <c r="AN28" i="70"/>
  <c r="AN18" i="70"/>
  <c r="AN17" i="70"/>
  <c r="AN10" i="70"/>
  <c r="AD64" i="69"/>
  <c r="AH56" i="69"/>
  <c r="AI48" i="69"/>
  <c r="AI47" i="69"/>
  <c r="AI46" i="69"/>
  <c r="AN6" i="69"/>
  <c r="AN5" i="69"/>
  <c r="AN4" i="69"/>
  <c r="AP14" i="68"/>
  <c r="AN4" i="68"/>
  <c r="AN73" i="67"/>
  <c r="AN72" i="67"/>
  <c r="AQ74" i="67"/>
  <c r="AR68" i="67"/>
  <c r="AE62" i="67"/>
  <c r="AG26" i="66"/>
  <c r="AI60" i="69"/>
  <c r="AI55" i="69"/>
  <c r="AM50" i="69"/>
  <c r="AI48" i="67"/>
  <c r="AI43" i="67"/>
  <c r="AI29" i="67"/>
  <c r="AI24" i="67"/>
  <c r="AH8" i="72"/>
  <c r="AH8" i="73"/>
  <c r="AP8" i="71"/>
  <c r="I26" i="53"/>
  <c r="AQ56" i="72"/>
  <c r="AQ44" i="72"/>
  <c r="AQ32" i="72"/>
  <c r="AD58" i="73"/>
  <c r="AD46" i="73"/>
  <c r="AD36" i="73"/>
  <c r="AE14" i="73"/>
  <c r="AD66" i="71"/>
  <c r="AE50" i="71"/>
  <c r="AD33" i="71"/>
  <c r="AD23" i="71"/>
  <c r="AI70" i="70"/>
  <c r="AD59" i="69"/>
  <c r="AD53" i="69"/>
  <c r="AM14" i="69"/>
  <c r="AO14" i="68"/>
  <c r="AQ68" i="67"/>
  <c r="AR62" i="67"/>
  <c r="AF56" i="67"/>
  <c r="AF74" i="66"/>
  <c r="AF68" i="66"/>
  <c r="AF62" i="66"/>
  <c r="AF56" i="66"/>
  <c r="K36" i="53"/>
  <c r="K34" i="53"/>
  <c r="K32" i="53"/>
  <c r="K29" i="53"/>
  <c r="K27" i="53"/>
  <c r="H26" i="53"/>
  <c r="AR26" i="73"/>
  <c r="AL14" i="69"/>
  <c r="AM14" i="68"/>
  <c r="AN67" i="67"/>
  <c r="AN66" i="67"/>
  <c r="AN65" i="67"/>
  <c r="AN64" i="67"/>
  <c r="AN61" i="67"/>
  <c r="AN60" i="67"/>
  <c r="AE56" i="67"/>
  <c r="AD48" i="67"/>
  <c r="AD17" i="67"/>
  <c r="AD13" i="67"/>
  <c r="AE74" i="66"/>
  <c r="AE62" i="66"/>
  <c r="AE56" i="66"/>
  <c r="AD31" i="66"/>
  <c r="AD27" i="66"/>
  <c r="AD23" i="66"/>
  <c r="AD11" i="66"/>
  <c r="K38" i="53"/>
  <c r="K35" i="53"/>
  <c r="K33" i="53"/>
  <c r="K30" i="53"/>
  <c r="K28" i="53"/>
  <c r="I90" i="53"/>
  <c r="I89" i="53"/>
  <c r="I88" i="53"/>
  <c r="I87" i="53"/>
  <c r="I86" i="53"/>
  <c r="I84" i="53"/>
  <c r="I83" i="53"/>
  <c r="I82" i="53"/>
  <c r="I81" i="53"/>
  <c r="I80" i="53"/>
  <c r="I78" i="53"/>
  <c r="I77" i="53"/>
  <c r="I76" i="53"/>
  <c r="I75" i="53"/>
  <c r="I74" i="53"/>
  <c r="I72" i="53"/>
  <c r="I71" i="53"/>
  <c r="I70" i="53"/>
  <c r="I69" i="53"/>
  <c r="I68" i="53"/>
  <c r="I66" i="53"/>
  <c r="I65" i="53"/>
  <c r="I64" i="53"/>
  <c r="I63" i="53"/>
  <c r="I62" i="53"/>
  <c r="I60" i="53"/>
  <c r="I59" i="53"/>
  <c r="I58" i="53"/>
  <c r="I57" i="53"/>
  <c r="I56" i="53"/>
  <c r="I54" i="53"/>
  <c r="I53" i="53"/>
  <c r="I52" i="53"/>
  <c r="I51" i="53"/>
  <c r="I50" i="53"/>
  <c r="I48" i="53"/>
  <c r="I47" i="53"/>
  <c r="I46" i="53"/>
  <c r="I45" i="53"/>
  <c r="I44" i="53"/>
  <c r="I42" i="53"/>
  <c r="I41" i="53"/>
  <c r="I40" i="53"/>
  <c r="I39" i="53"/>
  <c r="I38" i="53"/>
  <c r="I36" i="53"/>
  <c r="I35" i="53"/>
  <c r="I34" i="53"/>
  <c r="I33" i="53"/>
  <c r="I32" i="53"/>
  <c r="I30" i="53"/>
  <c r="I29" i="53"/>
  <c r="I28" i="53"/>
  <c r="I27" i="53"/>
  <c r="G26" i="53"/>
  <c r="AO68" i="72"/>
  <c r="AN58" i="72"/>
  <c r="AO44" i="72"/>
  <c r="AN37" i="72"/>
  <c r="AN18" i="72"/>
  <c r="AN17" i="72"/>
  <c r="AN10" i="72"/>
  <c r="AN7" i="72"/>
  <c r="AN6" i="72"/>
  <c r="AN4" i="72"/>
  <c r="AN73" i="73"/>
  <c r="AN72" i="73"/>
  <c r="AQ38" i="73"/>
  <c r="AD5" i="71"/>
  <c r="AI52" i="70"/>
  <c r="AE56" i="69"/>
  <c r="AD28" i="69"/>
  <c r="AH26" i="69"/>
  <c r="AL14" i="68"/>
  <c r="AM32" i="72"/>
  <c r="AN67" i="73"/>
  <c r="AN35" i="73"/>
  <c r="AN34" i="73"/>
  <c r="AN41" i="71"/>
  <c r="AN40" i="71"/>
  <c r="AN37" i="71"/>
  <c r="AN36" i="71"/>
  <c r="AN35" i="71"/>
  <c r="AN34" i="71"/>
  <c r="AD17" i="71"/>
  <c r="AD7" i="71"/>
  <c r="AD67" i="70"/>
  <c r="AD45" i="70"/>
  <c r="AI36" i="70"/>
  <c r="AI35" i="70"/>
  <c r="AI34" i="70"/>
  <c r="AI31" i="70"/>
  <c r="AG32" i="69"/>
  <c r="AK14" i="68"/>
  <c r="AQ14" i="67"/>
  <c r="AI19" i="72"/>
  <c r="AO50" i="73"/>
  <c r="AO26" i="73"/>
  <c r="AO50" i="71"/>
  <c r="AN24" i="71"/>
  <c r="AN23" i="71"/>
  <c r="AD71" i="70"/>
  <c r="AD55" i="70"/>
  <c r="AD40" i="70"/>
  <c r="AI30" i="70"/>
  <c r="AI29" i="70"/>
  <c r="AI19" i="70"/>
  <c r="AI13" i="70"/>
  <c r="AE50" i="69"/>
  <c r="AD43" i="69"/>
  <c r="AF32" i="69"/>
  <c r="AJ14" i="68"/>
  <c r="AP44" i="67"/>
  <c r="AP32" i="67"/>
  <c r="AP20" i="67"/>
  <c r="AP44" i="66"/>
  <c r="AI24" i="72"/>
  <c r="AM50" i="73"/>
  <c r="AM26" i="73"/>
  <c r="AM14" i="73"/>
  <c r="AM50" i="71"/>
  <c r="AD47" i="70"/>
  <c r="AD5" i="70"/>
  <c r="AE38" i="69"/>
  <c r="AE32" i="69"/>
  <c r="AG14" i="69"/>
  <c r="AH14" i="68"/>
  <c r="AO44" i="67"/>
  <c r="AO38" i="67"/>
  <c r="AO26" i="67"/>
  <c r="AM32" i="67"/>
  <c r="AM26" i="67"/>
  <c r="AM74" i="66"/>
  <c r="AM68" i="66"/>
  <c r="AM62" i="66"/>
  <c r="AM56" i="66"/>
  <c r="AL38" i="67"/>
  <c r="AL32" i="67"/>
  <c r="AL74" i="66"/>
  <c r="AL68" i="66"/>
  <c r="AL62" i="66"/>
  <c r="AL56" i="66"/>
  <c r="AI59" i="69"/>
  <c r="AI46" i="67"/>
  <c r="AI36" i="67"/>
  <c r="AI31" i="67"/>
  <c r="AI16" i="67"/>
  <c r="AI13" i="67"/>
  <c r="AI7" i="67"/>
  <c r="AI5" i="67"/>
  <c r="AI58" i="69"/>
  <c r="AI49" i="67"/>
  <c r="AI35" i="67"/>
  <c r="AI30" i="67"/>
  <c r="AI19" i="67"/>
  <c r="AI18" i="67"/>
  <c r="AI17" i="67"/>
  <c r="AI6" i="67"/>
  <c r="AJ8" i="73"/>
  <c r="AP8" i="72"/>
  <c r="AD64" i="72"/>
  <c r="AD52" i="72"/>
  <c r="AD48" i="72"/>
  <c r="AE44" i="72"/>
  <c r="AE32" i="72"/>
  <c r="AF20" i="72"/>
  <c r="AD47" i="73"/>
  <c r="AD35" i="73"/>
  <c r="AD10" i="73"/>
  <c r="AD53" i="71"/>
  <c r="AD52" i="71"/>
  <c r="AD49" i="71"/>
  <c r="AD48" i="71"/>
  <c r="AD47" i="71"/>
  <c r="AD41" i="71"/>
  <c r="AD40" i="71"/>
  <c r="AD37" i="71"/>
  <c r="AD36" i="71"/>
  <c r="AD35" i="71"/>
  <c r="AD34" i="71"/>
  <c r="AI19" i="71"/>
  <c r="AN36" i="70"/>
  <c r="AN35" i="70"/>
  <c r="AN34" i="70"/>
  <c r="AD66" i="69"/>
  <c r="AL50" i="69"/>
  <c r="AM32" i="69"/>
  <c r="AO20" i="69"/>
  <c r="AQ14" i="68"/>
  <c r="AR74" i="67"/>
  <c r="AE68" i="67"/>
  <c r="AF62" i="67"/>
  <c r="AD54" i="67"/>
  <c r="AD53" i="67"/>
  <c r="AH56" i="67"/>
  <c r="AH50" i="67"/>
  <c r="AH44" i="67"/>
  <c r="AH38" i="67"/>
  <c r="AH32" i="67"/>
  <c r="AD35" i="66"/>
  <c r="AQ8" i="41"/>
  <c r="AG8" i="41"/>
  <c r="AF8" i="41"/>
  <c r="AR74" i="66"/>
  <c r="AQ56" i="66"/>
  <c r="AP62" i="66"/>
  <c r="AO62" i="66"/>
  <c r="AQ62" i="66"/>
  <c r="AN43" i="66"/>
  <c r="AR56" i="66"/>
  <c r="AR68" i="66"/>
  <c r="AN46" i="66"/>
  <c r="AN48" i="66"/>
  <c r="AP56" i="66"/>
  <c r="AO56" i="66"/>
  <c r="S90" i="53"/>
  <c r="S89" i="53"/>
  <c r="S88" i="53"/>
  <c r="S87" i="53"/>
  <c r="S86" i="53"/>
  <c r="S84" i="53"/>
  <c r="S83" i="53"/>
  <c r="S82" i="53"/>
  <c r="S81" i="53"/>
  <c r="S80" i="53"/>
  <c r="S78" i="53"/>
  <c r="S77" i="53"/>
  <c r="S76" i="53"/>
  <c r="S75" i="53"/>
  <c r="S74" i="53"/>
  <c r="S72" i="53"/>
  <c r="S71" i="53"/>
  <c r="S70" i="53"/>
  <c r="S69" i="53"/>
  <c r="S68" i="53"/>
  <c r="S66" i="53"/>
  <c r="S65" i="53"/>
  <c r="S64" i="53"/>
  <c r="S63" i="53"/>
  <c r="S62" i="53"/>
  <c r="S60" i="53"/>
  <c r="S59" i="53"/>
  <c r="S58" i="53"/>
  <c r="S57" i="53"/>
  <c r="S56" i="53"/>
  <c r="S54" i="53"/>
  <c r="S53" i="53"/>
  <c r="S52" i="53"/>
  <c r="S51" i="53"/>
  <c r="S50" i="53"/>
  <c r="S48" i="53"/>
  <c r="S47" i="53"/>
  <c r="S46" i="53"/>
  <c r="S45" i="53"/>
  <c r="S44" i="53"/>
  <c r="S42" i="53"/>
  <c r="S41" i="53"/>
  <c r="S40" i="53"/>
  <c r="S39" i="53"/>
  <c r="S38" i="53"/>
  <c r="S36" i="53"/>
  <c r="S35" i="53"/>
  <c r="S34" i="53"/>
  <c r="S33" i="53"/>
  <c r="S32" i="53"/>
  <c r="S30" i="53"/>
  <c r="S29" i="53"/>
  <c r="S28" i="53"/>
  <c r="S27" i="53"/>
  <c r="AO68" i="66"/>
  <c r="R90" i="53"/>
  <c r="R88" i="53"/>
  <c r="R87" i="53"/>
  <c r="R86" i="53"/>
  <c r="R84" i="53"/>
  <c r="R83" i="53"/>
  <c r="R82" i="53"/>
  <c r="R81" i="53"/>
  <c r="R78" i="53"/>
  <c r="R75" i="53"/>
  <c r="R74" i="53"/>
  <c r="R72" i="53"/>
  <c r="R71" i="53"/>
  <c r="R69" i="53"/>
  <c r="R66" i="53"/>
  <c r="R63" i="53"/>
  <c r="R62" i="53"/>
  <c r="R60" i="53"/>
  <c r="R59" i="53"/>
  <c r="R58" i="53"/>
  <c r="R57" i="53"/>
  <c r="R56" i="53"/>
  <c r="R54" i="53"/>
  <c r="R53" i="53"/>
  <c r="R51" i="53"/>
  <c r="R50" i="53"/>
  <c r="R48" i="53"/>
  <c r="R46" i="53"/>
  <c r="R44" i="53"/>
  <c r="R42" i="53"/>
  <c r="R40" i="53"/>
  <c r="R39" i="53"/>
  <c r="R38" i="53"/>
  <c r="R36" i="53"/>
  <c r="R35" i="53"/>
  <c r="R34" i="53"/>
  <c r="R33" i="53"/>
  <c r="R32" i="53"/>
  <c r="R30" i="53"/>
  <c r="R29" i="53"/>
  <c r="R28" i="53"/>
  <c r="R27" i="53"/>
  <c r="AO74" i="66"/>
  <c r="AN52" i="66"/>
  <c r="Q90" i="53"/>
  <c r="Q89" i="53"/>
  <c r="Q84" i="53"/>
  <c r="Q75" i="53"/>
  <c r="Q72" i="53"/>
  <c r="Q66" i="53"/>
  <c r="Q60" i="53"/>
  <c r="Q54" i="53"/>
  <c r="Q51" i="53"/>
  <c r="Q48" i="53"/>
  <c r="Q46" i="53"/>
  <c r="Q42" i="53"/>
  <c r="Q39" i="53"/>
  <c r="Q38" i="53"/>
  <c r="Q36" i="53"/>
  <c r="Q30" i="53"/>
  <c r="AR62" i="66"/>
  <c r="AQ68" i="66"/>
  <c r="AP20" i="66"/>
  <c r="AN49" i="66"/>
  <c r="AP74" i="66"/>
  <c r="AN53" i="66"/>
  <c r="AI3" i="41"/>
  <c r="AD4" i="65"/>
  <c r="AN4" i="65"/>
  <c r="AD5" i="65"/>
  <c r="AD61" i="65"/>
  <c r="AD57" i="65"/>
  <c r="AD49" i="65"/>
  <c r="AD35" i="65"/>
  <c r="AD31" i="65"/>
  <c r="AD23" i="65"/>
  <c r="AD19" i="65"/>
  <c r="AD11" i="65"/>
  <c r="AD7" i="65"/>
  <c r="AM20" i="65"/>
  <c r="AL68" i="65"/>
  <c r="AL62" i="65"/>
  <c r="AM44" i="65"/>
  <c r="AL56" i="65"/>
  <c r="AI70" i="65"/>
  <c r="AI59" i="65"/>
  <c r="AI51" i="65"/>
  <c r="AI16" i="65"/>
  <c r="AI5" i="65"/>
  <c r="AI4" i="65"/>
  <c r="AM74" i="65"/>
  <c r="AI71" i="65"/>
  <c r="AI60" i="65"/>
  <c r="AI52" i="65"/>
  <c r="AI41" i="65"/>
  <c r="AI31" i="65"/>
  <c r="AI22" i="65"/>
  <c r="AI11" i="65"/>
  <c r="AK68" i="65"/>
  <c r="AK56" i="65"/>
  <c r="AI67" i="65"/>
  <c r="AI57" i="65"/>
  <c r="AI46" i="65"/>
  <c r="AI35" i="65"/>
  <c r="AI19" i="65"/>
  <c r="AK74" i="65"/>
  <c r="AK62" i="65"/>
  <c r="AI72" i="65"/>
  <c r="AI54" i="65"/>
  <c r="AI43" i="65"/>
  <c r="AI33" i="65"/>
  <c r="AI24" i="65"/>
  <c r="AI6" i="65"/>
  <c r="AI53" i="65"/>
  <c r="AI42" i="65"/>
  <c r="AI28" i="65"/>
  <c r="AI18" i="65"/>
  <c r="AJ14" i="65"/>
  <c r="AK44" i="65"/>
  <c r="AI66" i="65"/>
  <c r="AI55" i="65"/>
  <c r="AI34" i="65"/>
  <c r="AI23" i="65"/>
  <c r="AM56" i="65"/>
  <c r="AI69" i="65"/>
  <c r="AI58" i="65"/>
  <c r="AI47" i="65"/>
  <c r="AI36" i="65"/>
  <c r="AI25" i="65"/>
  <c r="AM8" i="65"/>
  <c r="N88" i="53"/>
  <c r="N86" i="53"/>
  <c r="N83" i="53"/>
  <c r="N81" i="53"/>
  <c r="N80" i="53"/>
  <c r="N77" i="53"/>
  <c r="N75" i="53"/>
  <c r="N72" i="53"/>
  <c r="N69" i="53"/>
  <c r="N66" i="53"/>
  <c r="N64" i="53"/>
  <c r="N62" i="53"/>
  <c r="N59" i="53"/>
  <c r="N57" i="53"/>
  <c r="N54" i="53"/>
  <c r="N52" i="53"/>
  <c r="N50" i="53"/>
  <c r="N45" i="53"/>
  <c r="N30" i="53"/>
  <c r="AM62" i="65"/>
  <c r="AI48" i="65"/>
  <c r="AI37" i="65"/>
  <c r="AI30" i="65"/>
  <c r="AI12" i="65"/>
  <c r="N90" i="53"/>
  <c r="N89" i="53"/>
  <c r="N87" i="53"/>
  <c r="N84" i="53"/>
  <c r="N82" i="53"/>
  <c r="N78" i="53"/>
  <c r="N76" i="53"/>
  <c r="N74" i="53"/>
  <c r="N71" i="53"/>
  <c r="N70" i="53"/>
  <c r="N68" i="53"/>
  <c r="N65" i="53"/>
  <c r="N63" i="53"/>
  <c r="N60" i="53"/>
  <c r="N58" i="53"/>
  <c r="N56" i="53"/>
  <c r="N53" i="53"/>
  <c r="N51" i="53"/>
  <c r="N48" i="53"/>
  <c r="N47" i="53"/>
  <c r="N46" i="53"/>
  <c r="N44" i="53"/>
  <c r="N42" i="53"/>
  <c r="N41" i="53"/>
  <c r="N40" i="53"/>
  <c r="AM68" i="65"/>
  <c r="AI65" i="65"/>
  <c r="AI49" i="65"/>
  <c r="AI40" i="65"/>
  <c r="AI29" i="65"/>
  <c r="AI17" i="65"/>
  <c r="AI13" i="65"/>
  <c r="AL8" i="65"/>
  <c r="AH74" i="65"/>
  <c r="AH68" i="65"/>
  <c r="AH62" i="65"/>
  <c r="AH56" i="65"/>
  <c r="AD73" i="65"/>
  <c r="AD72" i="65"/>
  <c r="AD71" i="65"/>
  <c r="AD70" i="65"/>
  <c r="AD69" i="65"/>
  <c r="AD67" i="65"/>
  <c r="AD66" i="65"/>
  <c r="AG62" i="65"/>
  <c r="AD55" i="65"/>
  <c r="AD54" i="65"/>
  <c r="AD53" i="65"/>
  <c r="AD37" i="65"/>
  <c r="AD36" i="65"/>
  <c r="AD30" i="65"/>
  <c r="AD29" i="65"/>
  <c r="AD28" i="65"/>
  <c r="AG32" i="65"/>
  <c r="AF74" i="65"/>
  <c r="AD65" i="65"/>
  <c r="AF68" i="65"/>
  <c r="AF62" i="65"/>
  <c r="AF56" i="65"/>
  <c r="AD40" i="65"/>
  <c r="AE74" i="65"/>
  <c r="AE68" i="65"/>
  <c r="AE56" i="65"/>
  <c r="AE44" i="65"/>
  <c r="AR74" i="65"/>
  <c r="AR68" i="65"/>
  <c r="AR62" i="65"/>
  <c r="AR56" i="65"/>
  <c r="AQ74" i="65"/>
  <c r="AQ68" i="65"/>
  <c r="AQ62" i="65"/>
  <c r="N39" i="53"/>
  <c r="N38" i="53"/>
  <c r="N36" i="53"/>
  <c r="N35" i="53"/>
  <c r="N34" i="53"/>
  <c r="N33" i="53"/>
  <c r="N32" i="53"/>
  <c r="N29" i="53"/>
  <c r="N28" i="53"/>
  <c r="N27" i="53"/>
  <c r="N26" i="53"/>
  <c r="M90" i="53"/>
  <c r="M89" i="53"/>
  <c r="M88" i="53"/>
  <c r="M87" i="53"/>
  <c r="M86" i="53"/>
  <c r="M84" i="53"/>
  <c r="M83" i="53"/>
  <c r="M82" i="53"/>
  <c r="M81" i="53"/>
  <c r="M80" i="53"/>
  <c r="M78" i="53"/>
  <c r="M77" i="53"/>
  <c r="M76" i="53"/>
  <c r="M75" i="53"/>
  <c r="M74" i="53"/>
  <c r="M72" i="53"/>
  <c r="M71" i="53"/>
  <c r="M70" i="53"/>
  <c r="M69" i="53"/>
  <c r="M68" i="53"/>
  <c r="M66" i="53"/>
  <c r="M65" i="53"/>
  <c r="M64" i="53"/>
  <c r="M63" i="53"/>
  <c r="M62" i="53"/>
  <c r="M60" i="53"/>
  <c r="M59" i="53"/>
  <c r="M58" i="53"/>
  <c r="M57" i="53"/>
  <c r="M56" i="53"/>
  <c r="M54" i="53"/>
  <c r="M53" i="53"/>
  <c r="M52" i="53"/>
  <c r="M51" i="53"/>
  <c r="M50" i="53"/>
  <c r="M48" i="53"/>
  <c r="M47" i="53"/>
  <c r="M46" i="53"/>
  <c r="M45" i="53"/>
  <c r="M44" i="53"/>
  <c r="M42" i="53"/>
  <c r="M41" i="53"/>
  <c r="M40" i="53"/>
  <c r="M39" i="53"/>
  <c r="M38" i="53"/>
  <c r="M36" i="53"/>
  <c r="M35" i="53"/>
  <c r="M34" i="53"/>
  <c r="M33" i="53"/>
  <c r="M32" i="53"/>
  <c r="M30" i="53"/>
  <c r="M29" i="53"/>
  <c r="M28" i="53"/>
  <c r="M27" i="53"/>
  <c r="M26" i="53"/>
  <c r="AP74" i="65"/>
  <c r="AN64" i="65"/>
  <c r="AN61" i="65"/>
  <c r="AP62" i="65"/>
  <c r="AP26" i="65"/>
  <c r="AN13" i="65"/>
  <c r="AN12" i="65"/>
  <c r="L90" i="53"/>
  <c r="L89" i="53"/>
  <c r="L88" i="53"/>
  <c r="L87" i="53"/>
  <c r="L86" i="53"/>
  <c r="L84" i="53"/>
  <c r="L83" i="53"/>
  <c r="L82" i="53"/>
  <c r="L81" i="53"/>
  <c r="L80" i="53"/>
  <c r="L78" i="53"/>
  <c r="L77" i="53"/>
  <c r="L76" i="53"/>
  <c r="L75" i="53"/>
  <c r="L74" i="53"/>
  <c r="L72" i="53"/>
  <c r="L71" i="53"/>
  <c r="L70" i="53"/>
  <c r="L69" i="53"/>
  <c r="L68" i="53"/>
  <c r="L66" i="53"/>
  <c r="L65" i="53"/>
  <c r="L64" i="53"/>
  <c r="L63" i="53"/>
  <c r="L62" i="53"/>
  <c r="L60" i="53"/>
  <c r="L59" i="53"/>
  <c r="L58" i="53"/>
  <c r="L57" i="53"/>
  <c r="L56" i="53"/>
  <c r="L54" i="53"/>
  <c r="L53" i="53"/>
  <c r="L52" i="53"/>
  <c r="L51" i="53"/>
  <c r="L50" i="53"/>
  <c r="L48" i="53"/>
  <c r="L47" i="53"/>
  <c r="L46" i="53"/>
  <c r="L45" i="53"/>
  <c r="L44" i="53"/>
  <c r="L42" i="53"/>
  <c r="L41" i="53"/>
  <c r="L40" i="53"/>
  <c r="L39" i="53"/>
  <c r="L38" i="53"/>
  <c r="L36" i="53"/>
  <c r="L35" i="53"/>
  <c r="L34" i="53"/>
  <c r="L33" i="53"/>
  <c r="L32" i="53"/>
  <c r="L30" i="53"/>
  <c r="L29" i="53"/>
  <c r="L28" i="53"/>
  <c r="L27" i="53"/>
  <c r="L26" i="53"/>
  <c r="AO74" i="65"/>
  <c r="AO62" i="65"/>
  <c r="AN18" i="65"/>
  <c r="AN10" i="65"/>
  <c r="AN5" i="65"/>
  <c r="AR8" i="68"/>
  <c r="AQ8" i="68"/>
  <c r="AN22" i="68"/>
  <c r="AN19" i="68"/>
  <c r="AN18" i="68"/>
  <c r="AN16" i="68"/>
  <c r="AN12" i="68"/>
  <c r="AN11" i="68"/>
  <c r="AN10" i="68"/>
  <c r="AN7" i="68"/>
  <c r="AN6" i="68"/>
  <c r="AG8" i="68"/>
  <c r="AE8" i="68"/>
  <c r="AD73" i="68"/>
  <c r="AI73" i="68"/>
  <c r="AI54" i="68"/>
  <c r="AI64" i="68"/>
  <c r="AI55" i="68"/>
  <c r="AD60" i="68"/>
  <c r="AD59" i="68"/>
  <c r="AD42" i="68"/>
  <c r="AD7" i="68"/>
  <c r="AD6" i="68"/>
  <c r="AD5" i="68"/>
  <c r="AD4" i="68"/>
  <c r="AI61" i="68"/>
  <c r="AD71" i="68"/>
  <c r="AD67" i="68"/>
  <c r="AD54" i="68"/>
  <c r="AD49" i="68"/>
  <c r="AD37" i="68"/>
  <c r="AI72" i="68"/>
  <c r="AM8" i="68"/>
  <c r="AI60" i="68"/>
  <c r="AF8" i="68"/>
  <c r="AI67" i="68"/>
  <c r="AL26" i="68"/>
  <c r="AL20" i="68"/>
  <c r="AK44" i="68"/>
  <c r="AI40" i="68"/>
  <c r="AL38" i="68"/>
  <c r="AI41" i="68"/>
  <c r="AR62" i="68"/>
  <c r="AE56" i="68"/>
  <c r="AF50" i="68"/>
  <c r="AD43" i="68"/>
  <c r="AH44" i="68"/>
  <c r="AI28" i="68"/>
  <c r="AI23" i="68"/>
  <c r="AI16" i="68"/>
  <c r="AI6" i="68"/>
  <c r="AI4" i="68"/>
  <c r="AD61" i="68"/>
  <c r="AD53" i="68"/>
  <c r="AD52" i="68"/>
  <c r="AH50" i="68"/>
  <c r="AI37" i="68"/>
  <c r="AI30" i="68"/>
  <c r="AI25" i="68"/>
  <c r="AI18" i="68"/>
  <c r="AL8" i="68"/>
  <c r="AQ68" i="68"/>
  <c r="AQ62" i="68"/>
  <c r="AR56" i="68"/>
  <c r="AE50" i="68"/>
  <c r="AD41" i="68"/>
  <c r="AD40" i="68"/>
  <c r="AH38" i="68"/>
  <c r="AH32" i="68"/>
  <c r="AL44" i="68"/>
  <c r="AL32" i="68"/>
  <c r="AD66" i="68"/>
  <c r="AE62" i="68"/>
  <c r="AF56" i="68"/>
  <c r="AD48" i="68"/>
  <c r="AD47" i="68"/>
  <c r="AD46" i="68"/>
  <c r="AG50" i="68"/>
  <c r="AI29" i="68"/>
  <c r="AI17" i="68"/>
  <c r="AI13" i="68"/>
  <c r="AI10" i="68"/>
  <c r="AO74" i="68"/>
  <c r="AN66" i="68"/>
  <c r="AN64" i="68"/>
  <c r="AN60" i="68"/>
  <c r="AN58" i="68"/>
  <c r="AN55" i="68"/>
  <c r="AQ56" i="68"/>
  <c r="AR50" i="68"/>
  <c r="AD45" i="68"/>
  <c r="AF44" i="68"/>
  <c r="AG38" i="68"/>
  <c r="AD29" i="68"/>
  <c r="AD28" i="68"/>
  <c r="AM32" i="68"/>
  <c r="AK38" i="68"/>
  <c r="AK32" i="68"/>
  <c r="AK26" i="68"/>
  <c r="AM74" i="68"/>
  <c r="AN65" i="68"/>
  <c r="AO68" i="68"/>
  <c r="AQ50" i="68"/>
  <c r="AE44" i="68"/>
  <c r="AF38" i="68"/>
  <c r="AL74" i="68"/>
  <c r="AM68" i="68"/>
  <c r="AM62" i="68"/>
  <c r="AN53" i="68"/>
  <c r="AN49" i="68"/>
  <c r="AN48" i="68"/>
  <c r="AN47" i="68"/>
  <c r="AN46" i="68"/>
  <c r="AD30" i="68"/>
  <c r="AD25" i="68"/>
  <c r="AE20" i="68"/>
  <c r="AK74" i="68"/>
  <c r="AR20" i="68"/>
  <c r="AQ26" i="68"/>
  <c r="AQ20" i="68"/>
  <c r="AI65" i="68"/>
  <c r="AI66" i="68"/>
  <c r="AD55" i="68"/>
  <c r="AN17" i="68"/>
  <c r="AN5" i="68"/>
  <c r="AM38" i="68"/>
  <c r="AM26" i="68"/>
  <c r="AM20" i="68"/>
  <c r="AM74" i="72"/>
  <c r="AN61" i="72"/>
  <c r="AN59" i="72"/>
  <c r="AP62" i="72"/>
  <c r="AN55" i="72"/>
  <c r="AN52" i="72"/>
  <c r="AR50" i="72"/>
  <c r="AD36" i="72"/>
  <c r="AH26" i="72"/>
  <c r="AK20" i="72"/>
  <c r="AL14" i="72"/>
  <c r="AM74" i="73"/>
  <c r="AO68" i="73"/>
  <c r="AN59" i="73"/>
  <c r="AN58" i="73"/>
  <c r="AN55" i="73"/>
  <c r="AN54" i="73"/>
  <c r="AN53" i="73"/>
  <c r="AN52" i="73"/>
  <c r="AN49" i="73"/>
  <c r="AN48" i="73"/>
  <c r="AR50" i="73"/>
  <c r="AR44" i="73"/>
  <c r="AD34" i="73"/>
  <c r="AD22" i="73"/>
  <c r="AG50" i="71"/>
  <c r="AL74" i="72"/>
  <c r="AR38" i="72"/>
  <c r="AG26" i="72"/>
  <c r="AL74" i="73"/>
  <c r="AM68" i="73"/>
  <c r="AR20" i="73"/>
  <c r="AE74" i="71"/>
  <c r="AF68" i="71"/>
  <c r="AF62" i="71"/>
  <c r="AF56" i="71"/>
  <c r="AD46" i="71"/>
  <c r="AI73" i="72"/>
  <c r="AI72" i="72"/>
  <c r="AK74" i="72"/>
  <c r="AL68" i="72"/>
  <c r="AM62" i="72"/>
  <c r="AO56" i="72"/>
  <c r="AN49" i="72"/>
  <c r="AN47" i="72"/>
  <c r="AP50" i="72"/>
  <c r="AN43" i="72"/>
  <c r="AN40" i="72"/>
  <c r="AQ38" i="72"/>
  <c r="AR32" i="72"/>
  <c r="AD25" i="72"/>
  <c r="AF26" i="72"/>
  <c r="AD19" i="72"/>
  <c r="AI15" i="72"/>
  <c r="AQ32" i="73"/>
  <c r="AQ26" i="73"/>
  <c r="AQ20" i="73"/>
  <c r="AR14" i="73"/>
  <c r="AR74" i="71"/>
  <c r="AE68" i="71"/>
  <c r="AE62" i="71"/>
  <c r="AD54" i="71"/>
  <c r="AD42" i="71"/>
  <c r="AN3" i="70"/>
  <c r="AI71" i="72"/>
  <c r="AI70" i="72"/>
  <c r="AI67" i="72"/>
  <c r="AI66" i="72"/>
  <c r="AI65" i="72"/>
  <c r="AI64" i="72"/>
  <c r="AL62" i="72"/>
  <c r="AN46" i="72"/>
  <c r="AN42" i="72"/>
  <c r="AN41" i="72"/>
  <c r="AN36" i="72"/>
  <c r="AN35" i="72"/>
  <c r="AP38" i="72"/>
  <c r="AN31" i="72"/>
  <c r="AN28" i="72"/>
  <c r="AL56" i="73"/>
  <c r="AO44" i="73"/>
  <c r="AN31" i="73"/>
  <c r="AN30" i="73"/>
  <c r="AN29" i="73"/>
  <c r="AN28" i="73"/>
  <c r="AN25" i="73"/>
  <c r="AN24" i="73"/>
  <c r="AN23" i="73"/>
  <c r="AN22" i="73"/>
  <c r="AK62" i="72"/>
  <c r="AK62" i="73"/>
  <c r="AK56" i="73"/>
  <c r="AM44" i="73"/>
  <c r="AD3" i="65"/>
  <c r="AN3" i="71"/>
  <c r="AG14" i="72"/>
  <c r="AD3" i="73"/>
  <c r="AI3" i="69"/>
  <c r="AN3" i="66"/>
  <c r="AD71" i="72"/>
  <c r="AD70" i="72"/>
  <c r="AD67" i="72"/>
  <c r="AD66" i="72"/>
  <c r="AD65" i="72"/>
  <c r="AH68" i="72"/>
  <c r="AI59" i="72"/>
  <c r="AI58" i="72"/>
  <c r="AI55" i="72"/>
  <c r="AI54" i="72"/>
  <c r="AI53" i="72"/>
  <c r="AI52" i="72"/>
  <c r="AK56" i="72"/>
  <c r="AL50" i="72"/>
  <c r="AQ26" i="72"/>
  <c r="AR20" i="72"/>
  <c r="AF14" i="72"/>
  <c r="AD72" i="73"/>
  <c r="AD71" i="73"/>
  <c r="AG74" i="73"/>
  <c r="AH68" i="73"/>
  <c r="AI58" i="73"/>
  <c r="AI3" i="71"/>
  <c r="AM50" i="72"/>
  <c r="AR8" i="41"/>
  <c r="AD3" i="71"/>
  <c r="AI3" i="68"/>
  <c r="AN3" i="65"/>
  <c r="AF74" i="72"/>
  <c r="AD61" i="72"/>
  <c r="AH62" i="72"/>
  <c r="AI49" i="72"/>
  <c r="AI48" i="72"/>
  <c r="AK50" i="72"/>
  <c r="AL38" i="72"/>
  <c r="AN25" i="72"/>
  <c r="AN23" i="72"/>
  <c r="AP26" i="72"/>
  <c r="AQ20" i="72"/>
  <c r="AH56" i="73"/>
  <c r="AI46" i="73"/>
  <c r="AK50" i="73"/>
  <c r="AD3" i="72"/>
  <c r="AI3" i="70"/>
  <c r="AN3" i="67"/>
  <c r="AK38" i="72"/>
  <c r="AR14" i="72"/>
  <c r="AD70" i="73"/>
  <c r="AE74" i="73"/>
  <c r="AF68" i="73"/>
  <c r="AD59" i="73"/>
  <c r="AD55" i="73"/>
  <c r="AD54" i="73"/>
  <c r="AD53" i="73"/>
  <c r="AD52" i="73"/>
  <c r="AD49" i="73"/>
  <c r="AK32" i="73"/>
  <c r="AD3" i="69"/>
  <c r="AI3" i="66"/>
  <c r="AR74" i="72"/>
  <c r="AE68" i="72"/>
  <c r="AF62" i="72"/>
  <c r="AD49" i="72"/>
  <c r="AH50" i="72"/>
  <c r="AI37" i="72"/>
  <c r="AI36" i="72"/>
  <c r="AI35" i="72"/>
  <c r="AI34" i="72"/>
  <c r="AM26" i="72"/>
  <c r="AO20" i="72"/>
  <c r="AN12" i="72"/>
  <c r="AQ14" i="72"/>
  <c r="AN5" i="72"/>
  <c r="AR74" i="73"/>
  <c r="AE68" i="73"/>
  <c r="AF62" i="73"/>
  <c r="AF56" i="73"/>
  <c r="AH44" i="73"/>
  <c r="AM32" i="71"/>
  <c r="AN3" i="69"/>
  <c r="AD3" i="68"/>
  <c r="AI3" i="65"/>
  <c r="AN72" i="72"/>
  <c r="AQ74" i="72"/>
  <c r="AE62" i="72"/>
  <c r="AH38" i="72"/>
  <c r="AL26" i="72"/>
  <c r="AQ74" i="73"/>
  <c r="AR68" i="73"/>
  <c r="AH32" i="73"/>
  <c r="AH26" i="73"/>
  <c r="AH20" i="73"/>
  <c r="AK44" i="71"/>
  <c r="AD73" i="72"/>
  <c r="AH74" i="72"/>
  <c r="AD3" i="70"/>
  <c r="AI3" i="67"/>
  <c r="AE74" i="72"/>
  <c r="AH8" i="41"/>
  <c r="AD3" i="67"/>
  <c r="AN3" i="72"/>
  <c r="AN73" i="72"/>
  <c r="AN71" i="72"/>
  <c r="AP74" i="72"/>
  <c r="AN67" i="72"/>
  <c r="AN64" i="72"/>
  <c r="AQ68" i="72"/>
  <c r="AR62" i="72"/>
  <c r="AE56" i="72"/>
  <c r="AF50" i="72"/>
  <c r="AD37" i="72"/>
  <c r="AD35" i="72"/>
  <c r="AD34" i="72"/>
  <c r="AD31" i="72"/>
  <c r="AI27" i="72"/>
  <c r="AI25" i="72"/>
  <c r="AK26" i="72"/>
  <c r="AM20" i="72"/>
  <c r="AN13" i="72"/>
  <c r="AR62" i="73"/>
  <c r="AR56" i="73"/>
  <c r="AF50" i="73"/>
  <c r="AF44" i="73"/>
  <c r="AD31" i="73"/>
  <c r="AD30" i="73"/>
  <c r="AD29" i="73"/>
  <c r="AD28" i="73"/>
  <c r="AD25" i="73"/>
  <c r="AD24" i="73"/>
  <c r="AD23" i="73"/>
  <c r="AD19" i="73"/>
  <c r="AD18" i="73"/>
  <c r="AD17" i="73"/>
  <c r="AD16" i="73"/>
  <c r="AD13" i="73"/>
  <c r="AD12" i="73"/>
  <c r="AD11" i="73"/>
  <c r="AH14" i="73"/>
  <c r="AH74" i="71"/>
  <c r="AN70" i="72"/>
  <c r="AN66" i="72"/>
  <c r="AN65" i="72"/>
  <c r="AN60" i="72"/>
  <c r="AQ62" i="72"/>
  <c r="AR56" i="72"/>
  <c r="AE50" i="72"/>
  <c r="AF44" i="72"/>
  <c r="AF38" i="72"/>
  <c r="AD29" i="72"/>
  <c r="AH32" i="72"/>
  <c r="AI23" i="72"/>
  <c r="AM14" i="72"/>
  <c r="AO74" i="73"/>
  <c r="AN65" i="73"/>
  <c r="AN64" i="73"/>
  <c r="AN61" i="73"/>
  <c r="AN60" i="73"/>
  <c r="AQ62" i="73"/>
  <c r="AQ56" i="73"/>
  <c r="AE50" i="73"/>
  <c r="AE44" i="73"/>
  <c r="AF38" i="73"/>
  <c r="AF32" i="73"/>
  <c r="AN54" i="72"/>
  <c r="AN53" i="72"/>
  <c r="AN48" i="72"/>
  <c r="AQ50" i="72"/>
  <c r="AR44" i="72"/>
  <c r="AE38" i="72"/>
  <c r="AD30" i="72"/>
  <c r="AI22" i="72"/>
  <c r="AI16" i="72"/>
  <c r="AL20" i="72"/>
  <c r="AN11" i="72"/>
  <c r="AO14" i="72"/>
  <c r="AN71" i="73"/>
  <c r="AQ68" i="73"/>
  <c r="AE62" i="73"/>
  <c r="AE56" i="73"/>
  <c r="AD43" i="73"/>
  <c r="AD42" i="73"/>
  <c r="AD41" i="73"/>
  <c r="AD40" i="73"/>
  <c r="AD37" i="73"/>
  <c r="AJ38" i="73"/>
  <c r="AI31" i="73"/>
  <c r="AI30" i="73"/>
  <c r="AI29" i="73"/>
  <c r="AI25" i="73"/>
  <c r="AI24" i="73"/>
  <c r="AI23" i="73"/>
  <c r="AI22" i="73"/>
  <c r="AK26" i="73"/>
  <c r="AK20" i="73"/>
  <c r="AL14" i="73"/>
  <c r="AL74" i="71"/>
  <c r="AM68" i="71"/>
  <c r="AM62" i="71"/>
  <c r="AO56" i="71"/>
  <c r="AR44" i="71"/>
  <c r="AR38" i="71"/>
  <c r="AD28" i="71"/>
  <c r="AG32" i="71"/>
  <c r="AI24" i="71"/>
  <c r="AI23" i="71"/>
  <c r="AK26" i="71"/>
  <c r="AO20" i="71"/>
  <c r="AN13" i="71"/>
  <c r="AN12" i="71"/>
  <c r="AN11" i="71"/>
  <c r="AQ14" i="71"/>
  <c r="AD72" i="70"/>
  <c r="AH74" i="70"/>
  <c r="AI67" i="70"/>
  <c r="AL68" i="70"/>
  <c r="AO62" i="70"/>
  <c r="AN54" i="70"/>
  <c r="AN53" i="70"/>
  <c r="AQ56" i="70"/>
  <c r="AF50" i="70"/>
  <c r="AI40" i="70"/>
  <c r="AL38" i="70"/>
  <c r="AO32" i="70"/>
  <c r="AN22" i="70"/>
  <c r="AE20" i="70"/>
  <c r="AD12" i="70"/>
  <c r="AD10" i="70"/>
  <c r="AG14" i="70"/>
  <c r="AD7" i="70"/>
  <c r="AN52" i="69"/>
  <c r="AR50" i="69"/>
  <c r="AD40" i="69"/>
  <c r="AF44" i="69"/>
  <c r="AD36" i="69"/>
  <c r="AO56" i="68"/>
  <c r="AP50" i="68"/>
  <c r="AR44" i="68"/>
  <c r="AE38" i="68"/>
  <c r="AH26" i="68"/>
  <c r="AH20" i="68"/>
  <c r="AD9" i="68"/>
  <c r="AK74" i="71"/>
  <c r="AL68" i="71"/>
  <c r="AL62" i="71"/>
  <c r="AM56" i="71"/>
  <c r="AN43" i="71"/>
  <c r="AN42" i="71"/>
  <c r="AQ44" i="71"/>
  <c r="AQ38" i="71"/>
  <c r="AF32" i="71"/>
  <c r="AI22" i="71"/>
  <c r="AM20" i="71"/>
  <c r="AN10" i="71"/>
  <c r="AD70" i="70"/>
  <c r="AG74" i="70"/>
  <c r="AI66" i="70"/>
  <c r="AI65" i="70"/>
  <c r="AK68" i="70"/>
  <c r="AM62" i="70"/>
  <c r="AN52" i="70"/>
  <c r="AE50" i="70"/>
  <c r="AD42" i="70"/>
  <c r="AH44" i="70"/>
  <c r="AI37" i="70"/>
  <c r="AK38" i="70"/>
  <c r="AM32" i="70"/>
  <c r="AO26" i="70"/>
  <c r="AN19" i="70"/>
  <c r="AR20" i="70"/>
  <c r="AF14" i="70"/>
  <c r="AL62" i="69"/>
  <c r="AO56" i="69"/>
  <c r="AN46" i="69"/>
  <c r="AD42" i="69"/>
  <c r="AL62" i="68"/>
  <c r="AM56" i="68"/>
  <c r="AN43" i="68"/>
  <c r="AN42" i="68"/>
  <c r="AQ44" i="68"/>
  <c r="AR38" i="68"/>
  <c r="AD33" i="68"/>
  <c r="AF32" i="68"/>
  <c r="AD24" i="68"/>
  <c r="AD23" i="68"/>
  <c r="AD22" i="68"/>
  <c r="AG26" i="68"/>
  <c r="AD19" i="68"/>
  <c r="AD17" i="68"/>
  <c r="AD16" i="68"/>
  <c r="AD13" i="68"/>
  <c r="AK68" i="71"/>
  <c r="AK62" i="71"/>
  <c r="AL56" i="71"/>
  <c r="AE32" i="71"/>
  <c r="AH26" i="71"/>
  <c r="AL20" i="71"/>
  <c r="AO14" i="71"/>
  <c r="AF74" i="70"/>
  <c r="AL62" i="70"/>
  <c r="AO56" i="70"/>
  <c r="AR50" i="70"/>
  <c r="AG44" i="70"/>
  <c r="AL32" i="70"/>
  <c r="AM26" i="70"/>
  <c r="AQ20" i="70"/>
  <c r="AD11" i="70"/>
  <c r="AK62" i="69"/>
  <c r="AM56" i="69"/>
  <c r="AN49" i="69"/>
  <c r="AP50" i="69"/>
  <c r="AN45" i="69"/>
  <c r="AK62" i="68"/>
  <c r="AL56" i="68"/>
  <c r="AM50" i="68"/>
  <c r="AQ38" i="68"/>
  <c r="AE32" i="68"/>
  <c r="AF26" i="68"/>
  <c r="AD18" i="68"/>
  <c r="AI54" i="71"/>
  <c r="AK56" i="71"/>
  <c r="AL50" i="71"/>
  <c r="AO44" i="71"/>
  <c r="AO38" i="71"/>
  <c r="AN31" i="71"/>
  <c r="AR32" i="71"/>
  <c r="AD27" i="71"/>
  <c r="AD22" i="71"/>
  <c r="AG26" i="71"/>
  <c r="AI18" i="71"/>
  <c r="AI17" i="71"/>
  <c r="AK20" i="71"/>
  <c r="AM14" i="71"/>
  <c r="AN6" i="71"/>
  <c r="AN5" i="71"/>
  <c r="AE74" i="70"/>
  <c r="AD66" i="70"/>
  <c r="AH68" i="70"/>
  <c r="AI61" i="70"/>
  <c r="AK62" i="70"/>
  <c r="AM56" i="70"/>
  <c r="AN48" i="70"/>
  <c r="AN47" i="70"/>
  <c r="AQ50" i="70"/>
  <c r="AF44" i="70"/>
  <c r="AH38" i="70"/>
  <c r="AK32" i="70"/>
  <c r="AL56" i="69"/>
  <c r="AI51" i="69"/>
  <c r="AJ68" i="68"/>
  <c r="AK56" i="68"/>
  <c r="AL50" i="68"/>
  <c r="AN37" i="68"/>
  <c r="AN34" i="68"/>
  <c r="AR32" i="68"/>
  <c r="AE26" i="68"/>
  <c r="AD21" i="68"/>
  <c r="AM44" i="72"/>
  <c r="AN34" i="72"/>
  <c r="AN30" i="72"/>
  <c r="AN29" i="72"/>
  <c r="AD22" i="72"/>
  <c r="AD16" i="72"/>
  <c r="AH20" i="72"/>
  <c r="AI13" i="72"/>
  <c r="AI12" i="72"/>
  <c r="AI11" i="72"/>
  <c r="AJ14" i="72"/>
  <c r="AI5" i="72"/>
  <c r="AI4" i="72"/>
  <c r="AK74" i="73"/>
  <c r="AL68" i="73"/>
  <c r="AO62" i="73"/>
  <c r="AO56" i="73"/>
  <c r="AN47" i="73"/>
  <c r="AN46" i="73"/>
  <c r="AQ50" i="73"/>
  <c r="AQ44" i="73"/>
  <c r="AE38" i="73"/>
  <c r="AE32" i="73"/>
  <c r="AF26" i="73"/>
  <c r="AF20" i="73"/>
  <c r="AD7" i="73"/>
  <c r="AD6" i="73"/>
  <c r="AD5" i="73"/>
  <c r="AD4" i="73"/>
  <c r="AD73" i="71"/>
  <c r="AD72" i="71"/>
  <c r="AD71" i="71"/>
  <c r="AD70" i="71"/>
  <c r="AD67" i="71"/>
  <c r="AH68" i="71"/>
  <c r="AH62" i="71"/>
  <c r="AI53" i="71"/>
  <c r="AI52" i="71"/>
  <c r="AI49" i="71"/>
  <c r="AI48" i="71"/>
  <c r="AI47" i="71"/>
  <c r="AK50" i="71"/>
  <c r="AM44" i="71"/>
  <c r="AM38" i="71"/>
  <c r="AN30" i="71"/>
  <c r="AN29" i="71"/>
  <c r="AQ32" i="71"/>
  <c r="AF26" i="71"/>
  <c r="AI16" i="71"/>
  <c r="AL14" i="71"/>
  <c r="AN4" i="71"/>
  <c r="AN73" i="70"/>
  <c r="AR74" i="70"/>
  <c r="AD69" i="70"/>
  <c r="AD64" i="70"/>
  <c r="AG68" i="70"/>
  <c r="AI60" i="70"/>
  <c r="AI59" i="70"/>
  <c r="AI58" i="70"/>
  <c r="AI55" i="70"/>
  <c r="AL56" i="70"/>
  <c r="AN46" i="70"/>
  <c r="AE44" i="70"/>
  <c r="AD36" i="70"/>
  <c r="AD34" i="70"/>
  <c r="AG38" i="70"/>
  <c r="AI28" i="70"/>
  <c r="AF68" i="69"/>
  <c r="AH62" i="69"/>
  <c r="AN18" i="69"/>
  <c r="AN17" i="69"/>
  <c r="AN16" i="69"/>
  <c r="AR14" i="69"/>
  <c r="AD70" i="68"/>
  <c r="AH68" i="68"/>
  <c r="AH62" i="68"/>
  <c r="AM38" i="66"/>
  <c r="AL44" i="72"/>
  <c r="AM38" i="72"/>
  <c r="AO32" i="72"/>
  <c r="AN24" i="72"/>
  <c r="AR26" i="72"/>
  <c r="AD18" i="72"/>
  <c r="AD17" i="72"/>
  <c r="AG20" i="72"/>
  <c r="AD11" i="72"/>
  <c r="AI71" i="73"/>
  <c r="AK68" i="73"/>
  <c r="AM62" i="73"/>
  <c r="AM56" i="73"/>
  <c r="AN43" i="73"/>
  <c r="AN42" i="73"/>
  <c r="AN41" i="73"/>
  <c r="AN40" i="73"/>
  <c r="AN37" i="73"/>
  <c r="AN36" i="73"/>
  <c r="AR38" i="73"/>
  <c r="AR32" i="73"/>
  <c r="AE26" i="73"/>
  <c r="AE20" i="73"/>
  <c r="AF14" i="73"/>
  <c r="AF74" i="71"/>
  <c r="AD65" i="71"/>
  <c r="AD64" i="71"/>
  <c r="AD61" i="71"/>
  <c r="AD60" i="71"/>
  <c r="AD59" i="71"/>
  <c r="AD58" i="71"/>
  <c r="AD55" i="71"/>
  <c r="AH56" i="71"/>
  <c r="AL44" i="71"/>
  <c r="AL38" i="71"/>
  <c r="AN28" i="71"/>
  <c r="AE26" i="71"/>
  <c r="AD18" i="71"/>
  <c r="AH20" i="71"/>
  <c r="AI13" i="71"/>
  <c r="AI12" i="71"/>
  <c r="AI11" i="71"/>
  <c r="AK14" i="71"/>
  <c r="AN72" i="70"/>
  <c r="AN71" i="70"/>
  <c r="AQ74" i="70"/>
  <c r="AF68" i="70"/>
  <c r="AH62" i="70"/>
  <c r="AI54" i="70"/>
  <c r="AI53" i="70"/>
  <c r="AK56" i="70"/>
  <c r="AO50" i="70"/>
  <c r="AN43" i="70"/>
  <c r="AR44" i="70"/>
  <c r="AD39" i="70"/>
  <c r="AF38" i="70"/>
  <c r="AI22" i="70"/>
  <c r="AN71" i="69"/>
  <c r="AN70" i="69"/>
  <c r="AE68" i="69"/>
  <c r="AG62" i="69"/>
  <c r="AD57" i="69"/>
  <c r="AO26" i="69"/>
  <c r="AQ14" i="69"/>
  <c r="AF74" i="68"/>
  <c r="AD65" i="68"/>
  <c r="AD64" i="68"/>
  <c r="AK38" i="71"/>
  <c r="AO32" i="71"/>
  <c r="AN25" i="71"/>
  <c r="AR26" i="71"/>
  <c r="AD16" i="71"/>
  <c r="AG20" i="71"/>
  <c r="AN70" i="70"/>
  <c r="AE68" i="70"/>
  <c r="AD60" i="70"/>
  <c r="AD58" i="70"/>
  <c r="AG62" i="70"/>
  <c r="AM50" i="70"/>
  <c r="AQ44" i="70"/>
  <c r="AH26" i="70"/>
  <c r="AO74" i="69"/>
  <c r="AN67" i="69"/>
  <c r="AR68" i="69"/>
  <c r="AM26" i="69"/>
  <c r="AN13" i="69"/>
  <c r="AN12" i="69"/>
  <c r="AN10" i="69"/>
  <c r="AE74" i="68"/>
  <c r="AF68" i="68"/>
  <c r="AK74" i="66"/>
  <c r="AK68" i="66"/>
  <c r="AK62" i="66"/>
  <c r="AK56" i="66"/>
  <c r="AQ26" i="71"/>
  <c r="AF20" i="71"/>
  <c r="AH14" i="71"/>
  <c r="AO74" i="70"/>
  <c r="AR68" i="70"/>
  <c r="AF62" i="70"/>
  <c r="AD57" i="70"/>
  <c r="AF32" i="70"/>
  <c r="AM74" i="69"/>
  <c r="AL32" i="69"/>
  <c r="AL26" i="69"/>
  <c r="AM20" i="69"/>
  <c r="AO14" i="69"/>
  <c r="AR74" i="68"/>
  <c r="AI4" i="67"/>
  <c r="AI73" i="66"/>
  <c r="AI72" i="66"/>
  <c r="AI71" i="66"/>
  <c r="AI70" i="66"/>
  <c r="AI67" i="66"/>
  <c r="AI66" i="66"/>
  <c r="AI37" i="66"/>
  <c r="AI36" i="66"/>
  <c r="AI35" i="66"/>
  <c r="AI31" i="72"/>
  <c r="AI30" i="72"/>
  <c r="AI29" i="72"/>
  <c r="AI28" i="72"/>
  <c r="AK32" i="72"/>
  <c r="AN22" i="72"/>
  <c r="AN16" i="72"/>
  <c r="AP20" i="72"/>
  <c r="AD13" i="72"/>
  <c r="AD12" i="72"/>
  <c r="AD10" i="72"/>
  <c r="AE14" i="72"/>
  <c r="AD7" i="72"/>
  <c r="AD6" i="72"/>
  <c r="AD5" i="72"/>
  <c r="AF74" i="73"/>
  <c r="AD67" i="73"/>
  <c r="AD65" i="73"/>
  <c r="AD64" i="73"/>
  <c r="AD61" i="73"/>
  <c r="AJ62" i="73"/>
  <c r="AI55" i="73"/>
  <c r="AI54" i="73"/>
  <c r="AI53" i="73"/>
  <c r="AI49" i="73"/>
  <c r="AI48" i="73"/>
  <c r="AL50" i="73"/>
  <c r="AL44" i="73"/>
  <c r="AO38" i="73"/>
  <c r="AO32" i="73"/>
  <c r="AN19" i="73"/>
  <c r="AN18" i="73"/>
  <c r="AN17" i="73"/>
  <c r="AN16" i="73"/>
  <c r="AN13" i="73"/>
  <c r="AN12" i="73"/>
  <c r="AN11" i="73"/>
  <c r="AN10" i="73"/>
  <c r="AQ14" i="73"/>
  <c r="AQ74" i="71"/>
  <c r="AR68" i="71"/>
  <c r="AR62" i="71"/>
  <c r="AE56" i="71"/>
  <c r="AF50" i="71"/>
  <c r="AD43" i="71"/>
  <c r="AH44" i="71"/>
  <c r="AH38" i="71"/>
  <c r="AI31" i="71"/>
  <c r="AL32" i="71"/>
  <c r="AN22" i="71"/>
  <c r="AE20" i="71"/>
  <c r="AD10" i="71"/>
  <c r="AG14" i="71"/>
  <c r="AI6" i="71"/>
  <c r="AI5" i="71"/>
  <c r="AM74" i="70"/>
  <c r="AN66" i="70"/>
  <c r="AN65" i="70"/>
  <c r="AQ68" i="70"/>
  <c r="AD59" i="70"/>
  <c r="AQ38" i="70"/>
  <c r="AE32" i="70"/>
  <c r="AD27" i="70"/>
  <c r="AL74" i="69"/>
  <c r="AK38" i="69"/>
  <c r="AK32" i="69"/>
  <c r="AK26" i="69"/>
  <c r="AO74" i="67"/>
  <c r="AP68" i="67"/>
  <c r="AQ62" i="67"/>
  <c r="AF50" i="67"/>
  <c r="AH74" i="66"/>
  <c r="AH68" i="66"/>
  <c r="AH62" i="66"/>
  <c r="AH56" i="66"/>
  <c r="AK44" i="73"/>
  <c r="AM38" i="73"/>
  <c r="AM32" i="73"/>
  <c r="AO20" i="73"/>
  <c r="AN7" i="73"/>
  <c r="AN6" i="73"/>
  <c r="AN5" i="73"/>
  <c r="AN4" i="73"/>
  <c r="AN73" i="71"/>
  <c r="AN72" i="71"/>
  <c r="AN71" i="71"/>
  <c r="AN70" i="71"/>
  <c r="AN67" i="71"/>
  <c r="AN66" i="71"/>
  <c r="AQ68" i="71"/>
  <c r="AQ62" i="71"/>
  <c r="AR56" i="71"/>
  <c r="AG38" i="71"/>
  <c r="AI30" i="71"/>
  <c r="AI29" i="71"/>
  <c r="AK32" i="71"/>
  <c r="AO26" i="71"/>
  <c r="AN19" i="71"/>
  <c r="AR20" i="71"/>
  <c r="AD15" i="71"/>
  <c r="AD13" i="71"/>
  <c r="AF56" i="70"/>
  <c r="AI46" i="70"/>
  <c r="AM44" i="70"/>
  <c r="AE26" i="70"/>
  <c r="AH20" i="70"/>
  <c r="AK14" i="70"/>
  <c r="AI31" i="69"/>
  <c r="AI30" i="69"/>
  <c r="AI28" i="69"/>
  <c r="AM74" i="67"/>
  <c r="AN58" i="67"/>
  <c r="AR56" i="67"/>
  <c r="AE50" i="67"/>
  <c r="AD43" i="67"/>
  <c r="AD36" i="67"/>
  <c r="AD7" i="67"/>
  <c r="AD6" i="67"/>
  <c r="AD4" i="67"/>
  <c r="AD73" i="66"/>
  <c r="AD72" i="66"/>
  <c r="AD70" i="66"/>
  <c r="AG68" i="66"/>
  <c r="AD58" i="66"/>
  <c r="AD57" i="66"/>
  <c r="AG56" i="66"/>
  <c r="AD46" i="66"/>
  <c r="AD45" i="66"/>
  <c r="AD43" i="66"/>
  <c r="AD39" i="66"/>
  <c r="AI37" i="73"/>
  <c r="AI36" i="73"/>
  <c r="AL32" i="73"/>
  <c r="AM20" i="73"/>
  <c r="AO14" i="73"/>
  <c r="AO74" i="71"/>
  <c r="AN65" i="71"/>
  <c r="AN64" i="71"/>
  <c r="AN61" i="71"/>
  <c r="AN60" i="71"/>
  <c r="AN59" i="71"/>
  <c r="AN58" i="71"/>
  <c r="AN55" i="71"/>
  <c r="AN54" i="71"/>
  <c r="AQ56" i="71"/>
  <c r="AR50" i="71"/>
  <c r="AD45" i="71"/>
  <c r="AF44" i="71"/>
  <c r="AF38" i="71"/>
  <c r="AI28" i="71"/>
  <c r="AM26" i="71"/>
  <c r="AN18" i="71"/>
  <c r="AN17" i="71"/>
  <c r="AQ20" i="71"/>
  <c r="AE14" i="71"/>
  <c r="AD6" i="71"/>
  <c r="AI72" i="70"/>
  <c r="AQ62" i="70"/>
  <c r="AE56" i="70"/>
  <c r="AD48" i="70"/>
  <c r="AH50" i="70"/>
  <c r="AI43" i="70"/>
  <c r="AL44" i="70"/>
  <c r="AR26" i="70"/>
  <c r="AD21" i="70"/>
  <c r="AD16" i="70"/>
  <c r="AG20" i="70"/>
  <c r="AI12" i="70"/>
  <c r="AI11" i="70"/>
  <c r="AI10" i="70"/>
  <c r="AI7" i="70"/>
  <c r="AI6" i="70"/>
  <c r="AI5" i="70"/>
  <c r="AI4" i="70"/>
  <c r="AI73" i="69"/>
  <c r="AH38" i="69"/>
  <c r="AK20" i="68"/>
  <c r="AL74" i="67"/>
  <c r="AM68" i="67"/>
  <c r="AO62" i="67"/>
  <c r="AQ56" i="67"/>
  <c r="AE20" i="67"/>
  <c r="AF14" i="67"/>
  <c r="AD5" i="67"/>
  <c r="AL20" i="73"/>
  <c r="AM74" i="71"/>
  <c r="AO68" i="71"/>
  <c r="AO62" i="71"/>
  <c r="AN53" i="71"/>
  <c r="AN52" i="71"/>
  <c r="AN49" i="71"/>
  <c r="AN48" i="71"/>
  <c r="AN47" i="71"/>
  <c r="AN46" i="71"/>
  <c r="AQ50" i="71"/>
  <c r="AE44" i="71"/>
  <c r="AE38" i="71"/>
  <c r="AD30" i="71"/>
  <c r="AH32" i="71"/>
  <c r="AI25" i="71"/>
  <c r="AL26" i="71"/>
  <c r="AN16" i="71"/>
  <c r="AR14" i="71"/>
  <c r="AD9" i="71"/>
  <c r="AM68" i="70"/>
  <c r="AN58" i="70"/>
  <c r="AN55" i="70"/>
  <c r="AR56" i="70"/>
  <c r="AD51" i="70"/>
  <c r="AD46" i="70"/>
  <c r="AG50" i="70"/>
  <c r="AI42" i="70"/>
  <c r="AI41" i="70"/>
  <c r="AN25" i="70"/>
  <c r="AN24" i="70"/>
  <c r="AN23" i="70"/>
  <c r="AQ26" i="70"/>
  <c r="AF20" i="70"/>
  <c r="AH14" i="70"/>
  <c r="AG44" i="69"/>
  <c r="AG38" i="69"/>
  <c r="AD33" i="69"/>
  <c r="AK74" i="67"/>
  <c r="AL68" i="67"/>
  <c r="AM62" i="67"/>
  <c r="AP56" i="67"/>
  <c r="AQ26" i="67"/>
  <c r="AR20" i="67"/>
  <c r="AE14" i="67"/>
  <c r="AD9" i="67"/>
  <c r="AK44" i="70"/>
  <c r="AO38" i="70"/>
  <c r="AN31" i="70"/>
  <c r="AR32" i="70"/>
  <c r="AD22" i="70"/>
  <c r="AG26" i="70"/>
  <c r="AI18" i="70"/>
  <c r="AI17" i="70"/>
  <c r="AK20" i="70"/>
  <c r="AO14" i="70"/>
  <c r="AN7" i="70"/>
  <c r="AF74" i="69"/>
  <c r="AI64" i="69"/>
  <c r="AD54" i="69"/>
  <c r="AG56" i="69"/>
  <c r="AD47" i="69"/>
  <c r="AK50" i="69"/>
  <c r="AN41" i="69"/>
  <c r="AO44" i="69"/>
  <c r="AN34" i="69"/>
  <c r="AR32" i="69"/>
  <c r="AD27" i="69"/>
  <c r="AE26" i="69"/>
  <c r="AG20" i="69"/>
  <c r="AH14" i="69"/>
  <c r="AM38" i="70"/>
  <c r="AN30" i="70"/>
  <c r="AN29" i="70"/>
  <c r="AQ32" i="70"/>
  <c r="AF26" i="70"/>
  <c r="AI16" i="70"/>
  <c r="AM14" i="70"/>
  <c r="AN6" i="70"/>
  <c r="AN5" i="70"/>
  <c r="AE74" i="69"/>
  <c r="AH68" i="69"/>
  <c r="AI61" i="69"/>
  <c r="AO62" i="69"/>
  <c r="AN55" i="69"/>
  <c r="AD52" i="69"/>
  <c r="AF56" i="69"/>
  <c r="AD49" i="69"/>
  <c r="AJ50" i="69"/>
  <c r="AM44" i="69"/>
  <c r="AN35" i="69"/>
  <c r="AO38" i="69"/>
  <c r="AN30" i="69"/>
  <c r="AN29" i="69"/>
  <c r="AN28" i="69"/>
  <c r="AQ32" i="69"/>
  <c r="AD21" i="69"/>
  <c r="AF20" i="69"/>
  <c r="AD13" i="69"/>
  <c r="AD12" i="69"/>
  <c r="AD11" i="69"/>
  <c r="AD10" i="69"/>
  <c r="AL14" i="70"/>
  <c r="AN4" i="70"/>
  <c r="AN73" i="69"/>
  <c r="AR74" i="69"/>
  <c r="AG68" i="69"/>
  <c r="AM62" i="69"/>
  <c r="AR56" i="69"/>
  <c r="AD48" i="69"/>
  <c r="AL44" i="69"/>
  <c r="AM38" i="69"/>
  <c r="AQ26" i="69"/>
  <c r="AF14" i="69"/>
  <c r="AD7" i="69"/>
  <c r="AD6" i="69"/>
  <c r="AD5" i="69"/>
  <c r="AD4" i="69"/>
  <c r="AL68" i="68"/>
  <c r="AD36" i="68"/>
  <c r="AD35" i="68"/>
  <c r="AD34" i="68"/>
  <c r="AD49" i="67"/>
  <c r="AQ56" i="69"/>
  <c r="AK44" i="69"/>
  <c r="AL38" i="69"/>
  <c r="AN25" i="69"/>
  <c r="AN24" i="69"/>
  <c r="AN22" i="69"/>
  <c r="AE14" i="69"/>
  <c r="AD72" i="68"/>
  <c r="AH74" i="68"/>
  <c r="AK68" i="68"/>
  <c r="AN52" i="68"/>
  <c r="AD31" i="68"/>
  <c r="AN70" i="67"/>
  <c r="AD47" i="67"/>
  <c r="AD46" i="67"/>
  <c r="AD42" i="67"/>
  <c r="AD41" i="67"/>
  <c r="AD37" i="67"/>
  <c r="AD24" i="67"/>
  <c r="AD23" i="67"/>
  <c r="AD22" i="67"/>
  <c r="AM14" i="66"/>
  <c r="AL74" i="65"/>
  <c r="AI27" i="66"/>
  <c r="AI25" i="66"/>
  <c r="AI24" i="66"/>
  <c r="AI23" i="66"/>
  <c r="AI22" i="66"/>
  <c r="AI19" i="66"/>
  <c r="AI18" i="66"/>
  <c r="AI17" i="66"/>
  <c r="AI16" i="66"/>
  <c r="AI13" i="66"/>
  <c r="AI12" i="66"/>
  <c r="AI11" i="66"/>
  <c r="AI10" i="66"/>
  <c r="AI7" i="66"/>
  <c r="AI6" i="66"/>
  <c r="AI5" i="66"/>
  <c r="AI4" i="66"/>
  <c r="AI73" i="65"/>
  <c r="AF14" i="71"/>
  <c r="AI4" i="71"/>
  <c r="AI73" i="70"/>
  <c r="AL74" i="70"/>
  <c r="AN64" i="70"/>
  <c r="AE62" i="70"/>
  <c r="AD54" i="70"/>
  <c r="AH56" i="70"/>
  <c r="AI49" i="70"/>
  <c r="AL50" i="70"/>
  <c r="AN40" i="70"/>
  <c r="AE38" i="70"/>
  <c r="AD30" i="70"/>
  <c r="AH32" i="70"/>
  <c r="AI25" i="70"/>
  <c r="AL26" i="70"/>
  <c r="AN16" i="70"/>
  <c r="AE14" i="70"/>
  <c r="AD6" i="70"/>
  <c r="AI72" i="69"/>
  <c r="AI71" i="69"/>
  <c r="AK74" i="69"/>
  <c r="AO68" i="69"/>
  <c r="AN61" i="69"/>
  <c r="AF62" i="69"/>
  <c r="AK56" i="69"/>
  <c r="AO50" i="69"/>
  <c r="AE44" i="69"/>
  <c r="AF38" i="69"/>
  <c r="AD31" i="69"/>
  <c r="AD30" i="69"/>
  <c r="AD29" i="69"/>
  <c r="AH32" i="69"/>
  <c r="AI24" i="69"/>
  <c r="AI23" i="69"/>
  <c r="AI22" i="69"/>
  <c r="AL20" i="69"/>
  <c r="AN7" i="69"/>
  <c r="AN72" i="68"/>
  <c r="AQ74" i="68"/>
  <c r="AE68" i="68"/>
  <c r="AD58" i="68"/>
  <c r="AI53" i="68"/>
  <c r="AI52" i="68"/>
  <c r="AJ56" i="68"/>
  <c r="AI49" i="68"/>
  <c r="AK50" i="68"/>
  <c r="AM44" i="68"/>
  <c r="AN31" i="68"/>
  <c r="AQ32" i="68"/>
  <c r="AR26" i="68"/>
  <c r="AF20" i="68"/>
  <c r="AD12" i="68"/>
  <c r="AD11" i="68"/>
  <c r="AD10" i="68"/>
  <c r="AI71" i="67"/>
  <c r="AI67" i="67"/>
  <c r="AK68" i="67"/>
  <c r="AL62" i="67"/>
  <c r="AO56" i="67"/>
  <c r="AN34" i="67"/>
  <c r="AN30" i="67"/>
  <c r="AN29" i="67"/>
  <c r="AN28" i="67"/>
  <c r="AN25" i="67"/>
  <c r="AN24" i="67"/>
  <c r="AN22" i="67"/>
  <c r="AN18" i="67"/>
  <c r="AN17" i="67"/>
  <c r="AQ20" i="67"/>
  <c r="AR14" i="67"/>
  <c r="AD67" i="66"/>
  <c r="AD55" i="66"/>
  <c r="AD47" i="66"/>
  <c r="AI71" i="70"/>
  <c r="AK74" i="70"/>
  <c r="AO68" i="70"/>
  <c r="AN61" i="70"/>
  <c r="AR62" i="70"/>
  <c r="AD52" i="70"/>
  <c r="AG56" i="70"/>
  <c r="AI48" i="70"/>
  <c r="AI47" i="70"/>
  <c r="AK50" i="70"/>
  <c r="AO44" i="70"/>
  <c r="AN37" i="70"/>
  <c r="AR38" i="70"/>
  <c r="AD33" i="70"/>
  <c r="AD28" i="70"/>
  <c r="AG32" i="70"/>
  <c r="AI24" i="70"/>
  <c r="AI23" i="70"/>
  <c r="AK26" i="70"/>
  <c r="AO20" i="70"/>
  <c r="AN13" i="70"/>
  <c r="AR14" i="70"/>
  <c r="AD9" i="70"/>
  <c r="AD4" i="70"/>
  <c r="AI70" i="69"/>
  <c r="AM68" i="69"/>
  <c r="AD58" i="69"/>
  <c r="AE62" i="69"/>
  <c r="AI53" i="69"/>
  <c r="AI52" i="69"/>
  <c r="AJ56" i="69"/>
  <c r="AN43" i="69"/>
  <c r="AR44" i="69"/>
  <c r="AI19" i="69"/>
  <c r="AI18" i="69"/>
  <c r="AI16" i="69"/>
  <c r="AN70" i="68"/>
  <c r="AN67" i="68"/>
  <c r="AR68" i="68"/>
  <c r="AF62" i="68"/>
  <c r="AH56" i="68"/>
  <c r="AI48" i="68"/>
  <c r="AI66" i="67"/>
  <c r="AI64" i="67"/>
  <c r="AI61" i="67"/>
  <c r="AI60" i="67"/>
  <c r="AM56" i="67"/>
  <c r="AN23" i="67"/>
  <c r="AN19" i="67"/>
  <c r="AN16" i="67"/>
  <c r="AN13" i="67"/>
  <c r="AD71" i="66"/>
  <c r="AD63" i="66"/>
  <c r="AD59" i="66"/>
  <c r="AM20" i="70"/>
  <c r="AN12" i="70"/>
  <c r="AN11" i="70"/>
  <c r="AQ14" i="70"/>
  <c r="AD72" i="69"/>
  <c r="AH74" i="69"/>
  <c r="AI67" i="69"/>
  <c r="AL68" i="69"/>
  <c r="AR62" i="69"/>
  <c r="AN42" i="69"/>
  <c r="AQ44" i="69"/>
  <c r="AR38" i="69"/>
  <c r="AD25" i="69"/>
  <c r="AD24" i="69"/>
  <c r="AD23" i="69"/>
  <c r="AD22" i="69"/>
  <c r="AG26" i="69"/>
  <c r="AK14" i="69"/>
  <c r="AI42" i="68"/>
  <c r="AN29" i="68"/>
  <c r="AN25" i="68"/>
  <c r="AI59" i="67"/>
  <c r="AI55" i="67"/>
  <c r="AL20" i="70"/>
  <c r="AG74" i="69"/>
  <c r="AK68" i="69"/>
  <c r="AP44" i="69"/>
  <c r="AQ38" i="69"/>
  <c r="AF26" i="69"/>
  <c r="AN69" i="72"/>
  <c r="AO74" i="72"/>
  <c r="AI69" i="72"/>
  <c r="AJ74" i="72"/>
  <c r="AD69" i="72"/>
  <c r="AG74" i="72"/>
  <c r="AN63" i="72"/>
  <c r="AP68" i="72"/>
  <c r="AI63" i="72"/>
  <c r="AJ68" i="72"/>
  <c r="AD63" i="72"/>
  <c r="AG68" i="72"/>
  <c r="AN57" i="72"/>
  <c r="AN62" i="72" s="1"/>
  <c r="CH14" i="78" s="1"/>
  <c r="AO62" i="72"/>
  <c r="AI57" i="72"/>
  <c r="AJ62" i="72"/>
  <c r="AD57" i="72"/>
  <c r="AG62" i="72"/>
  <c r="AN51" i="72"/>
  <c r="AP56" i="72"/>
  <c r="AI51" i="72"/>
  <c r="AJ56" i="72"/>
  <c r="AD51" i="72"/>
  <c r="AG56" i="72"/>
  <c r="AN45" i="72"/>
  <c r="AO50" i="72"/>
  <c r="AI45" i="72"/>
  <c r="AJ50" i="72"/>
  <c r="AD45" i="72"/>
  <c r="AG50" i="72"/>
  <c r="AN39" i="72"/>
  <c r="AP44" i="72"/>
  <c r="AI39" i="72"/>
  <c r="AJ44" i="72"/>
  <c r="AD39" i="72"/>
  <c r="AG44" i="72"/>
  <c r="AN33" i="72"/>
  <c r="AO38" i="72"/>
  <c r="AI33" i="72"/>
  <c r="AJ38" i="72"/>
  <c r="AD33" i="72"/>
  <c r="AG38" i="72"/>
  <c r="AN27" i="72"/>
  <c r="AP32" i="72"/>
  <c r="AD27" i="72"/>
  <c r="AG32" i="72"/>
  <c r="AN21" i="72"/>
  <c r="AO26" i="72"/>
  <c r="AI21" i="72"/>
  <c r="AJ26" i="72"/>
  <c r="AD21" i="72"/>
  <c r="AE26" i="72"/>
  <c r="AD15" i="72"/>
  <c r="AE20" i="72"/>
  <c r="AN9" i="72"/>
  <c r="AP14" i="72"/>
  <c r="AI9" i="72"/>
  <c r="AK14" i="72"/>
  <c r="AD9" i="72"/>
  <c r="AH14" i="72"/>
  <c r="AN69" i="73"/>
  <c r="AP74" i="73"/>
  <c r="AI69" i="73"/>
  <c r="AJ74" i="73"/>
  <c r="AD69" i="73"/>
  <c r="AH74" i="73"/>
  <c r="AN63" i="73"/>
  <c r="AP68" i="73"/>
  <c r="AI63" i="73"/>
  <c r="AJ68" i="73"/>
  <c r="AD63" i="73"/>
  <c r="AG68" i="73"/>
  <c r="AN57" i="73"/>
  <c r="AP62" i="73"/>
  <c r="AD57" i="73"/>
  <c r="AG62" i="73"/>
  <c r="AN51" i="73"/>
  <c r="AP56" i="73"/>
  <c r="AI51" i="73"/>
  <c r="AJ56" i="73"/>
  <c r="AD51" i="73"/>
  <c r="AG56" i="73"/>
  <c r="AN45" i="73"/>
  <c r="AP50" i="73"/>
  <c r="AD45" i="73"/>
  <c r="AG50" i="73"/>
  <c r="AN39" i="73"/>
  <c r="AP44" i="73"/>
  <c r="AI39" i="73"/>
  <c r="AJ44" i="73"/>
  <c r="AD39" i="73"/>
  <c r="AG44" i="73"/>
  <c r="AN33" i="73"/>
  <c r="AP38" i="73"/>
  <c r="AD33" i="73"/>
  <c r="AG38" i="73"/>
  <c r="AN27" i="73"/>
  <c r="AP32" i="73"/>
  <c r="AI27" i="73"/>
  <c r="AJ32" i="73"/>
  <c r="AD27" i="73"/>
  <c r="AG32" i="73"/>
  <c r="AN21" i="73"/>
  <c r="AP26" i="73"/>
  <c r="AD21" i="73"/>
  <c r="AG26" i="73"/>
  <c r="AN15" i="73"/>
  <c r="AP20" i="73"/>
  <c r="AI15" i="73"/>
  <c r="AJ20" i="73"/>
  <c r="AD15" i="73"/>
  <c r="AG20" i="73"/>
  <c r="AN9" i="73"/>
  <c r="AP14" i="73"/>
  <c r="AD9" i="73"/>
  <c r="AG14" i="73"/>
  <c r="AN69" i="71"/>
  <c r="AP74" i="71"/>
  <c r="AI69" i="71"/>
  <c r="AJ74" i="71"/>
  <c r="AD69" i="71"/>
  <c r="AG74" i="71"/>
  <c r="AN63" i="71"/>
  <c r="AP68" i="71"/>
  <c r="AI63" i="71"/>
  <c r="AJ68" i="71"/>
  <c r="AD63" i="71"/>
  <c r="AG68" i="71"/>
  <c r="AN57" i="71"/>
  <c r="AP62" i="71"/>
  <c r="AI57" i="71"/>
  <c r="AJ62" i="71"/>
  <c r="AD57" i="71"/>
  <c r="AG62" i="71"/>
  <c r="AN51" i="71"/>
  <c r="AP56" i="71"/>
  <c r="AI51" i="71"/>
  <c r="AJ56" i="71"/>
  <c r="AD51" i="71"/>
  <c r="AG56" i="71"/>
  <c r="AN45" i="71"/>
  <c r="AP50" i="71"/>
  <c r="AI45" i="71"/>
  <c r="AJ50" i="71"/>
  <c r="AN39" i="71"/>
  <c r="AP44" i="71"/>
  <c r="AI39" i="71"/>
  <c r="AJ44" i="71"/>
  <c r="AD39" i="71"/>
  <c r="AG44" i="71"/>
  <c r="AN33" i="71"/>
  <c r="AP38" i="71"/>
  <c r="AI33" i="71"/>
  <c r="AJ38" i="71"/>
  <c r="AN27" i="71"/>
  <c r="AP32" i="71"/>
  <c r="AI27" i="71"/>
  <c r="AJ32" i="71"/>
  <c r="AN21" i="71"/>
  <c r="AP26" i="71"/>
  <c r="AI21" i="71"/>
  <c r="AJ26" i="71"/>
  <c r="AN15" i="71"/>
  <c r="AP20" i="71"/>
  <c r="AI15" i="71"/>
  <c r="AJ20" i="71"/>
  <c r="AN9" i="71"/>
  <c r="AP14" i="71"/>
  <c r="AI9" i="71"/>
  <c r="AJ14" i="71"/>
  <c r="AN69" i="70"/>
  <c r="AP74" i="70"/>
  <c r="AI69" i="70"/>
  <c r="AJ74" i="70"/>
  <c r="AN63" i="70"/>
  <c r="AP68" i="70"/>
  <c r="AI63" i="70"/>
  <c r="AJ68" i="70"/>
  <c r="AN57" i="70"/>
  <c r="AP62" i="70"/>
  <c r="AI57" i="70"/>
  <c r="AJ62" i="70"/>
  <c r="AN51" i="70"/>
  <c r="AP56" i="70"/>
  <c r="AI51" i="70"/>
  <c r="AJ56" i="70"/>
  <c r="AN45" i="70"/>
  <c r="AP50" i="70"/>
  <c r="AI45" i="70"/>
  <c r="AJ50" i="70"/>
  <c r="AN39" i="70"/>
  <c r="AP44" i="70"/>
  <c r="AI39" i="70"/>
  <c r="AJ44" i="70"/>
  <c r="AN33" i="70"/>
  <c r="AP38" i="70"/>
  <c r="AI33" i="70"/>
  <c r="AJ38" i="70"/>
  <c r="AN27" i="70"/>
  <c r="AP32" i="70"/>
  <c r="AI27" i="70"/>
  <c r="AJ32" i="70"/>
  <c r="AN21" i="70"/>
  <c r="AP26" i="70"/>
  <c r="AI21" i="70"/>
  <c r="AJ26" i="70"/>
  <c r="AN15" i="70"/>
  <c r="AP20" i="70"/>
  <c r="AI15" i="70"/>
  <c r="AJ20" i="70"/>
  <c r="AN9" i="70"/>
  <c r="AP14" i="70"/>
  <c r="AI9" i="70"/>
  <c r="AJ14" i="70"/>
  <c r="AN69" i="69"/>
  <c r="AP74" i="69"/>
  <c r="AI69" i="69"/>
  <c r="AJ74" i="69"/>
  <c r="AP68" i="69"/>
  <c r="AI63" i="69"/>
  <c r="AJ68" i="69"/>
  <c r="AN57" i="69"/>
  <c r="AP62" i="69"/>
  <c r="AI57" i="69"/>
  <c r="AJ62" i="69"/>
  <c r="AN51" i="69"/>
  <c r="AP56" i="69"/>
  <c r="AD45" i="69"/>
  <c r="AG50" i="69"/>
  <c r="AI39" i="69"/>
  <c r="AJ44" i="69"/>
  <c r="AD39" i="69"/>
  <c r="AH44" i="69"/>
  <c r="AN33" i="69"/>
  <c r="AP38" i="69"/>
  <c r="AI33" i="69"/>
  <c r="AJ38" i="69"/>
  <c r="AI27" i="69"/>
  <c r="AJ32" i="69"/>
  <c r="AN21" i="69"/>
  <c r="AP26" i="69"/>
  <c r="AI21" i="69"/>
  <c r="AJ26" i="69"/>
  <c r="AI15" i="69"/>
  <c r="AJ20" i="69"/>
  <c r="AN9" i="69"/>
  <c r="AP14" i="69"/>
  <c r="AI9" i="69"/>
  <c r="AJ14" i="69"/>
  <c r="AI69" i="68"/>
  <c r="AJ74" i="68"/>
  <c r="AD69" i="68"/>
  <c r="AG74" i="68"/>
  <c r="AN63" i="68"/>
  <c r="AP68" i="68"/>
  <c r="AD63" i="68"/>
  <c r="AG68" i="68"/>
  <c r="AI57" i="68"/>
  <c r="AJ62" i="68"/>
  <c r="AD57" i="68"/>
  <c r="AG62" i="68"/>
  <c r="AN51" i="68"/>
  <c r="AD51" i="68"/>
  <c r="AG56" i="68"/>
  <c r="AI45" i="68"/>
  <c r="AJ50" i="68"/>
  <c r="AI39" i="68"/>
  <c r="AJ44" i="68"/>
  <c r="AD39" i="68"/>
  <c r="AG44" i="68"/>
  <c r="AN33" i="68"/>
  <c r="AI33" i="68"/>
  <c r="AJ38" i="68"/>
  <c r="AN27" i="68"/>
  <c r="AI27" i="68"/>
  <c r="AJ32" i="68"/>
  <c r="AD27" i="68"/>
  <c r="AG32" i="68"/>
  <c r="AN21" i="68"/>
  <c r="AI21" i="68"/>
  <c r="AJ26" i="68"/>
  <c r="AP20" i="68"/>
  <c r="AI15" i="68"/>
  <c r="AJ20" i="68"/>
  <c r="AD15" i="68"/>
  <c r="AG20" i="68"/>
  <c r="AN9" i="68"/>
  <c r="AI9" i="68"/>
  <c r="AN69" i="67"/>
  <c r="AP74" i="67"/>
  <c r="AI69" i="67"/>
  <c r="AJ74" i="67"/>
  <c r="AD69" i="67"/>
  <c r="AG74" i="67"/>
  <c r="AN63" i="67"/>
  <c r="AO68" i="67"/>
  <c r="AI63" i="67"/>
  <c r="AJ68" i="67"/>
  <c r="AD63" i="67"/>
  <c r="AG68" i="67"/>
  <c r="AN57" i="67"/>
  <c r="AP62" i="67"/>
  <c r="AI57" i="67"/>
  <c r="AJ62" i="67"/>
  <c r="AD57" i="67"/>
  <c r="AG62" i="67"/>
  <c r="AI51" i="67"/>
  <c r="AJ56" i="67"/>
  <c r="AD51" i="67"/>
  <c r="AD56" i="67" s="1"/>
  <c r="BW8" i="78" s="1"/>
  <c r="AG56" i="67"/>
  <c r="AI45" i="67"/>
  <c r="AJ50" i="67"/>
  <c r="AD45" i="67"/>
  <c r="AG50" i="67"/>
  <c r="AI39" i="67"/>
  <c r="AJ44" i="67"/>
  <c r="AD39" i="67"/>
  <c r="AG44" i="67"/>
  <c r="AN33" i="67"/>
  <c r="AP38" i="67"/>
  <c r="AI33" i="67"/>
  <c r="AJ38" i="67"/>
  <c r="AN27" i="67"/>
  <c r="AO32" i="67"/>
  <c r="AN21" i="67"/>
  <c r="AP26" i="67"/>
  <c r="AI69" i="66"/>
  <c r="AJ74" i="66"/>
  <c r="AD69" i="66"/>
  <c r="AG74" i="66"/>
  <c r="AI63" i="66"/>
  <c r="AJ68" i="66"/>
  <c r="AD66" i="66"/>
  <c r="AD65" i="66"/>
  <c r="AD64" i="66"/>
  <c r="AM50" i="66"/>
  <c r="AN41" i="66"/>
  <c r="AN40" i="66"/>
  <c r="AO44" i="66"/>
  <c r="AN35" i="66"/>
  <c r="AQ38" i="66"/>
  <c r="AR32" i="66"/>
  <c r="AF26" i="66"/>
  <c r="AD18" i="66"/>
  <c r="AD17" i="66"/>
  <c r="AD16" i="66"/>
  <c r="AG20" i="66"/>
  <c r="AI9" i="66"/>
  <c r="AJ14" i="66"/>
  <c r="AN51" i="65"/>
  <c r="AN48" i="65"/>
  <c r="AN45" i="65"/>
  <c r="AN41" i="65"/>
  <c r="AN40" i="65"/>
  <c r="AQ44" i="65"/>
  <c r="AR38" i="65"/>
  <c r="AE32" i="65"/>
  <c r="AD22" i="65"/>
  <c r="AD21" i="65"/>
  <c r="AG26" i="65"/>
  <c r="AH20" i="65"/>
  <c r="AK14" i="65"/>
  <c r="AE68" i="66"/>
  <c r="AK38" i="67"/>
  <c r="AK32" i="67"/>
  <c r="AL26" i="67"/>
  <c r="AN15" i="67"/>
  <c r="AO20" i="67"/>
  <c r="AN12" i="67"/>
  <c r="AN10" i="67"/>
  <c r="AN9" i="67"/>
  <c r="AD61" i="66"/>
  <c r="AD60" i="66"/>
  <c r="AI54" i="66"/>
  <c r="AI53" i="66"/>
  <c r="AI52" i="66"/>
  <c r="AI51" i="66"/>
  <c r="AL50" i="66"/>
  <c r="AM44" i="66"/>
  <c r="AN37" i="66"/>
  <c r="AN36" i="66"/>
  <c r="AN34" i="66"/>
  <c r="AP38" i="66"/>
  <c r="AN31" i="66"/>
  <c r="AQ32" i="66"/>
  <c r="AE26" i="66"/>
  <c r="AF20" i="66"/>
  <c r="AD13" i="66"/>
  <c r="AD12" i="66"/>
  <c r="AH14" i="66"/>
  <c r="AI64" i="65"/>
  <c r="AI63" i="65"/>
  <c r="AI61" i="65"/>
  <c r="AN47" i="65"/>
  <c r="AN46" i="65"/>
  <c r="AO50" i="65"/>
  <c r="AN43" i="65"/>
  <c r="AN42" i="65"/>
  <c r="AP44" i="65"/>
  <c r="AN37" i="65"/>
  <c r="AN36" i="65"/>
  <c r="AR32" i="65"/>
  <c r="AD27" i="65"/>
  <c r="AF26" i="65"/>
  <c r="AD18" i="65"/>
  <c r="AD17" i="65"/>
  <c r="AD16" i="65"/>
  <c r="AG20" i="65"/>
  <c r="AI10" i="65"/>
  <c r="AI9" i="65"/>
  <c r="AI7" i="65"/>
  <c r="AJ32" i="66"/>
  <c r="AI27" i="67"/>
  <c r="AJ32" i="67"/>
  <c r="AI25" i="67"/>
  <c r="AK26" i="67"/>
  <c r="AM20" i="67"/>
  <c r="AN11" i="67"/>
  <c r="AO14" i="67"/>
  <c r="AN6" i="67"/>
  <c r="AN5" i="67"/>
  <c r="AI49" i="66"/>
  <c r="AI48" i="66"/>
  <c r="AI47" i="66"/>
  <c r="AK50" i="66"/>
  <c r="AL44" i="66"/>
  <c r="AN33" i="66"/>
  <c r="AO38" i="66"/>
  <c r="AN30" i="66"/>
  <c r="AN27" i="66"/>
  <c r="AP32" i="66"/>
  <c r="AR26" i="66"/>
  <c r="AE20" i="66"/>
  <c r="AD9" i="66"/>
  <c r="AG14" i="66"/>
  <c r="AM50" i="65"/>
  <c r="AN39" i="65"/>
  <c r="AO44" i="65"/>
  <c r="AN33" i="65"/>
  <c r="AP38" i="65"/>
  <c r="AE26" i="65"/>
  <c r="AF20" i="65"/>
  <c r="AD13" i="65"/>
  <c r="AD12" i="65"/>
  <c r="AH14" i="65"/>
  <c r="AJ56" i="65"/>
  <c r="AI23" i="67"/>
  <c r="AI22" i="67"/>
  <c r="AI21" i="67"/>
  <c r="AL20" i="67"/>
  <c r="AM14" i="67"/>
  <c r="AN7" i="67"/>
  <c r="AN4" i="67"/>
  <c r="AN71" i="66"/>
  <c r="AD54" i="66"/>
  <c r="AD53" i="66"/>
  <c r="AD52" i="66"/>
  <c r="AI46" i="66"/>
  <c r="AI45" i="66"/>
  <c r="AJ50" i="66"/>
  <c r="AI43" i="66"/>
  <c r="AK44" i="66"/>
  <c r="AN29" i="66"/>
  <c r="AN28" i="66"/>
  <c r="AO32" i="66"/>
  <c r="AN23" i="66"/>
  <c r="AQ26" i="66"/>
  <c r="AR20" i="66"/>
  <c r="AD15" i="66"/>
  <c r="AF14" i="66"/>
  <c r="AD64" i="65"/>
  <c r="AD63" i="65"/>
  <c r="AL50" i="65"/>
  <c r="AN34" i="65"/>
  <c r="AO38" i="65"/>
  <c r="AN31" i="65"/>
  <c r="AN29" i="65"/>
  <c r="AP32" i="65"/>
  <c r="AR26" i="65"/>
  <c r="AE20" i="65"/>
  <c r="AD10" i="65"/>
  <c r="AD9" i="65"/>
  <c r="AG14" i="65"/>
  <c r="AG50" i="66"/>
  <c r="AJ38" i="65"/>
  <c r="AN55" i="67"/>
  <c r="AN54" i="67"/>
  <c r="AN53" i="67"/>
  <c r="AN52" i="67"/>
  <c r="AR50" i="67"/>
  <c r="AF44" i="67"/>
  <c r="AD35" i="67"/>
  <c r="AD34" i="67"/>
  <c r="AD33" i="67"/>
  <c r="AG38" i="67"/>
  <c r="AD31" i="67"/>
  <c r="AD30" i="67"/>
  <c r="AD29" i="67"/>
  <c r="AD28" i="67"/>
  <c r="AD27" i="67"/>
  <c r="AG32" i="67"/>
  <c r="AH26" i="67"/>
  <c r="AK20" i="67"/>
  <c r="AL14" i="67"/>
  <c r="AN73" i="66"/>
  <c r="AN70" i="66"/>
  <c r="AN67" i="66"/>
  <c r="AD49" i="66"/>
  <c r="AD48" i="66"/>
  <c r="AH50" i="66"/>
  <c r="AI39" i="66"/>
  <c r="AJ44" i="66"/>
  <c r="AL38" i="66"/>
  <c r="AM32" i="66"/>
  <c r="AN25" i="66"/>
  <c r="AN24" i="66"/>
  <c r="AN22" i="66"/>
  <c r="AP26" i="66"/>
  <c r="AN19" i="66"/>
  <c r="AQ20" i="66"/>
  <c r="AE14" i="66"/>
  <c r="AD60" i="65"/>
  <c r="AD59" i="65"/>
  <c r="AD58" i="65"/>
  <c r="AK50" i="65"/>
  <c r="AL44" i="65"/>
  <c r="AM38" i="65"/>
  <c r="AN27" i="65"/>
  <c r="AO32" i="65"/>
  <c r="AN25" i="65"/>
  <c r="AN24" i="65"/>
  <c r="AQ26" i="65"/>
  <c r="AR20" i="65"/>
  <c r="AD15" i="65"/>
  <c r="AF14" i="65"/>
  <c r="AN49" i="67"/>
  <c r="AN48" i="67"/>
  <c r="AQ50" i="67"/>
  <c r="AE44" i="67"/>
  <c r="AF38" i="67"/>
  <c r="AF32" i="67"/>
  <c r="AG26" i="67"/>
  <c r="AI15" i="67"/>
  <c r="AJ20" i="67"/>
  <c r="AK14" i="67"/>
  <c r="AN69" i="66"/>
  <c r="AN66" i="66"/>
  <c r="AN64" i="66"/>
  <c r="AN63" i="66"/>
  <c r="AH44" i="66"/>
  <c r="AK38" i="66"/>
  <c r="AL32" i="66"/>
  <c r="AN21" i="66"/>
  <c r="AO26" i="66"/>
  <c r="AN18" i="66"/>
  <c r="AN15" i="66"/>
  <c r="AR14" i="66"/>
  <c r="AI45" i="65"/>
  <c r="AJ50" i="65"/>
  <c r="AL38" i="65"/>
  <c r="AM32" i="65"/>
  <c r="AN23" i="65"/>
  <c r="AN21" i="65"/>
  <c r="AQ20" i="65"/>
  <c r="AE14" i="65"/>
  <c r="AD6" i="65"/>
  <c r="AG68" i="65"/>
  <c r="AG62" i="66"/>
  <c r="AP50" i="65"/>
  <c r="AN46" i="67"/>
  <c r="AN45" i="67"/>
  <c r="AP50" i="67"/>
  <c r="AR44" i="67"/>
  <c r="AE38" i="67"/>
  <c r="AE32" i="67"/>
  <c r="AF26" i="67"/>
  <c r="AD19" i="67"/>
  <c r="AD18" i="67"/>
  <c r="AH20" i="67"/>
  <c r="AI12" i="67"/>
  <c r="AI11" i="67"/>
  <c r="AI10" i="67"/>
  <c r="AI9" i="67"/>
  <c r="AJ14" i="67"/>
  <c r="AN65" i="66"/>
  <c r="AN60" i="66"/>
  <c r="AN59" i="66"/>
  <c r="AD51" i="66"/>
  <c r="AF50" i="66"/>
  <c r="AD42" i="66"/>
  <c r="AD41" i="66"/>
  <c r="AD40" i="66"/>
  <c r="AG44" i="66"/>
  <c r="AI34" i="66"/>
  <c r="AI33" i="66"/>
  <c r="AJ38" i="66"/>
  <c r="AI31" i="66"/>
  <c r="AK32" i="66"/>
  <c r="AM26" i="66"/>
  <c r="AN17" i="66"/>
  <c r="AN16" i="66"/>
  <c r="AO20" i="66"/>
  <c r="AN11" i="66"/>
  <c r="AQ14" i="66"/>
  <c r="AD52" i="65"/>
  <c r="AD51" i="65"/>
  <c r="AH50" i="65"/>
  <c r="AI39" i="65"/>
  <c r="AJ44" i="65"/>
  <c r="AK38" i="65"/>
  <c r="AL32" i="65"/>
  <c r="AN22" i="65"/>
  <c r="AO26" i="65"/>
  <c r="AN19" i="65"/>
  <c r="AN17" i="65"/>
  <c r="AN16" i="65"/>
  <c r="AP20" i="65"/>
  <c r="AR14" i="65"/>
  <c r="AE62" i="65"/>
  <c r="AN47" i="67"/>
  <c r="AO50" i="67"/>
  <c r="AN43" i="67"/>
  <c r="AN42" i="67"/>
  <c r="AN41" i="67"/>
  <c r="AN40" i="67"/>
  <c r="AQ44" i="67"/>
  <c r="AR38" i="67"/>
  <c r="AR32" i="67"/>
  <c r="AE26" i="67"/>
  <c r="AD16" i="67"/>
  <c r="AD15" i="67"/>
  <c r="AH14" i="67"/>
  <c r="AN61" i="66"/>
  <c r="AN58" i="66"/>
  <c r="AN55" i="66"/>
  <c r="AE50" i="66"/>
  <c r="AF44" i="66"/>
  <c r="AD37" i="66"/>
  <c r="AD36" i="66"/>
  <c r="AH38" i="66"/>
  <c r="AL26" i="66"/>
  <c r="AM20" i="66"/>
  <c r="AN13" i="66"/>
  <c r="AN12" i="66"/>
  <c r="AN10" i="66"/>
  <c r="AP14" i="66"/>
  <c r="AN7" i="66"/>
  <c r="AN6" i="66"/>
  <c r="AN73" i="65"/>
  <c r="AN72" i="65"/>
  <c r="AN69" i="65"/>
  <c r="AD48" i="65"/>
  <c r="AD47" i="65"/>
  <c r="AD46" i="65"/>
  <c r="AD45" i="65"/>
  <c r="AG50" i="65"/>
  <c r="AD43" i="65"/>
  <c r="AD42" i="65"/>
  <c r="AD41" i="65"/>
  <c r="AH44" i="65"/>
  <c r="AK32" i="65"/>
  <c r="AM26" i="65"/>
  <c r="AN15" i="65"/>
  <c r="AO20" i="65"/>
  <c r="AQ14" i="65"/>
  <c r="AO56" i="65"/>
  <c r="AM50" i="67"/>
  <c r="AN37" i="67"/>
  <c r="AN36" i="67"/>
  <c r="AQ38" i="67"/>
  <c r="AQ32" i="67"/>
  <c r="AR26" i="67"/>
  <c r="AD21" i="67"/>
  <c r="AF20" i="67"/>
  <c r="AD12" i="67"/>
  <c r="AD11" i="67"/>
  <c r="AD10" i="67"/>
  <c r="AG14" i="67"/>
  <c r="AN57" i="66"/>
  <c r="AN54" i="66"/>
  <c r="AN51" i="66"/>
  <c r="AR50" i="66"/>
  <c r="AE44" i="66"/>
  <c r="AD34" i="66"/>
  <c r="AD33" i="66"/>
  <c r="AG38" i="66"/>
  <c r="AH32" i="66"/>
  <c r="AK26" i="66"/>
  <c r="AL20" i="66"/>
  <c r="AN9" i="66"/>
  <c r="AO14" i="66"/>
  <c r="AN5" i="66"/>
  <c r="AN4" i="66"/>
  <c r="AN71" i="65"/>
  <c r="AN70" i="65"/>
  <c r="AN67" i="65"/>
  <c r="AN66" i="65"/>
  <c r="AF50" i="65"/>
  <c r="AD39" i="65"/>
  <c r="AG44" i="65"/>
  <c r="AH38" i="65"/>
  <c r="AI27" i="65"/>
  <c r="AJ32" i="65"/>
  <c r="AL26" i="65"/>
  <c r="AN11" i="65"/>
  <c r="AN9" i="65"/>
  <c r="AP14" i="65"/>
  <c r="AJ74" i="65"/>
  <c r="AJ68" i="65"/>
  <c r="AJ62" i="66"/>
  <c r="AN47" i="66"/>
  <c r="AQ50" i="66"/>
  <c r="AR44" i="66"/>
  <c r="AF38" i="66"/>
  <c r="AD30" i="66"/>
  <c r="AD29" i="66"/>
  <c r="AD28" i="66"/>
  <c r="AG32" i="66"/>
  <c r="AI21" i="66"/>
  <c r="AJ26" i="66"/>
  <c r="AK20" i="66"/>
  <c r="AN63" i="65"/>
  <c r="AN60" i="65"/>
  <c r="AN57" i="65"/>
  <c r="AE50" i="65"/>
  <c r="AF44" i="65"/>
  <c r="AD34" i="65"/>
  <c r="AD33" i="65"/>
  <c r="AG38" i="65"/>
  <c r="AH32" i="65"/>
  <c r="AK26" i="65"/>
  <c r="AL20" i="65"/>
  <c r="AO14" i="65"/>
  <c r="AN7" i="65"/>
  <c r="AN6" i="65"/>
  <c r="AP50" i="66"/>
  <c r="AQ44" i="66"/>
  <c r="AE38" i="66"/>
  <c r="AF32" i="66"/>
  <c r="AH26" i="66"/>
  <c r="AI15" i="66"/>
  <c r="AJ20" i="66"/>
  <c r="AL14" i="66"/>
  <c r="AN59" i="65"/>
  <c r="AN58" i="65"/>
  <c r="AR50" i="65"/>
  <c r="AF38" i="65"/>
  <c r="AI21" i="65"/>
  <c r="AJ26" i="65"/>
  <c r="AK20" i="65"/>
  <c r="AM14" i="65"/>
  <c r="AG20" i="67"/>
  <c r="AP14" i="67"/>
  <c r="AN45" i="66"/>
  <c r="AO50" i="66"/>
  <c r="AN42" i="66"/>
  <c r="AN39" i="66"/>
  <c r="AR38" i="66"/>
  <c r="AE32" i="66"/>
  <c r="AD22" i="66"/>
  <c r="AD21" i="66"/>
  <c r="AH20" i="66"/>
  <c r="AK14" i="66"/>
  <c r="AN55" i="65"/>
  <c r="AN54" i="65"/>
  <c r="AN49" i="65"/>
  <c r="AQ50" i="65"/>
  <c r="AR44" i="65"/>
  <c r="AE38" i="65"/>
  <c r="AF32" i="65"/>
  <c r="AD25" i="65"/>
  <c r="AD24" i="65"/>
  <c r="AH26" i="65"/>
  <c r="AI15" i="65"/>
  <c r="AJ20" i="65"/>
  <c r="AL14" i="65"/>
  <c r="AG74" i="65"/>
  <c r="AP68" i="66"/>
  <c r="AJ62" i="65"/>
  <c r="AJ56" i="66"/>
  <c r="AG56" i="65"/>
  <c r="AJ26" i="67"/>
  <c r="AD66" i="41"/>
  <c r="AD61" i="41"/>
  <c r="AD58" i="41"/>
  <c r="AD30" i="41"/>
  <c r="AR62" i="41"/>
  <c r="AK8" i="41"/>
  <c r="AL8" i="41"/>
  <c r="AM62" i="41"/>
  <c r="AK62" i="41"/>
  <c r="AK50" i="41"/>
  <c r="AK38" i="41"/>
  <c r="AM26" i="41"/>
  <c r="AF74" i="41"/>
  <c r="AI48" i="41"/>
  <c r="AJ44" i="41"/>
  <c r="AL26" i="41"/>
  <c r="AI31" i="41"/>
  <c r="AR74" i="41"/>
  <c r="AD65" i="41"/>
  <c r="AE68" i="41"/>
  <c r="AG62" i="41"/>
  <c r="AG50" i="41"/>
  <c r="AD42" i="41"/>
  <c r="AD36" i="41"/>
  <c r="AD35" i="41"/>
  <c r="AG38" i="41"/>
  <c r="AI25" i="41"/>
  <c r="AI21" i="41"/>
  <c r="AI6" i="41"/>
  <c r="AN72" i="41"/>
  <c r="AN67" i="41"/>
  <c r="AR56" i="41"/>
  <c r="AR50" i="41"/>
  <c r="AR44" i="41"/>
  <c r="AR38" i="41"/>
  <c r="AD33" i="41"/>
  <c r="AF32" i="41"/>
  <c r="AF26" i="41"/>
  <c r="AF20" i="41"/>
  <c r="AF14" i="41"/>
  <c r="AI59" i="41"/>
  <c r="AI51" i="41"/>
  <c r="AL20" i="41"/>
  <c r="AK32" i="41"/>
  <c r="AM74" i="41"/>
  <c r="AQ62" i="41"/>
  <c r="AQ44" i="41"/>
  <c r="AQ38" i="41"/>
  <c r="AD29" i="41"/>
  <c r="AE32" i="41"/>
  <c r="AD25" i="41"/>
  <c r="AD22" i="41"/>
  <c r="AD21" i="41"/>
  <c r="AD18" i="41"/>
  <c r="AD17" i="41"/>
  <c r="AE20" i="41"/>
  <c r="AD10" i="41"/>
  <c r="AE14" i="41"/>
  <c r="AD6" i="41"/>
  <c r="AI54" i="41"/>
  <c r="AI45" i="41"/>
  <c r="AL74" i="41"/>
  <c r="AM68" i="41"/>
  <c r="AR32" i="41"/>
  <c r="AR26" i="41"/>
  <c r="AR20" i="41"/>
  <c r="AR14" i="41"/>
  <c r="AH74" i="41"/>
  <c r="AK74" i="41"/>
  <c r="AL68" i="41"/>
  <c r="AN39" i="41"/>
  <c r="AQ32" i="41"/>
  <c r="AQ20" i="41"/>
  <c r="AQ14" i="41"/>
  <c r="AK68" i="41"/>
  <c r="AM56" i="41"/>
  <c r="AM50" i="41"/>
  <c r="AM44" i="41"/>
  <c r="AM38" i="41"/>
  <c r="AL50" i="41"/>
  <c r="AL44" i="41"/>
  <c r="AL38" i="41"/>
  <c r="AI58" i="41"/>
  <c r="AM20" i="41"/>
  <c r="AM14" i="41"/>
  <c r="AI55" i="41"/>
  <c r="AI46" i="41"/>
  <c r="AL32" i="41"/>
  <c r="AL14" i="41"/>
  <c r="AI60" i="41"/>
  <c r="AI49" i="41"/>
  <c r="AD70" i="41"/>
  <c r="AE74" i="41"/>
  <c r="AF68" i="41"/>
  <c r="AH62" i="41"/>
  <c r="AH56" i="41"/>
  <c r="AH50" i="41"/>
  <c r="AH44" i="41"/>
  <c r="AH38" i="41"/>
  <c r="AK14" i="41"/>
  <c r="AL62" i="41"/>
  <c r="AI57" i="41"/>
  <c r="AI47" i="41"/>
  <c r="AI30" i="41"/>
  <c r="AK20" i="41"/>
  <c r="AI28" i="41"/>
  <c r="AI22" i="41"/>
  <c r="AI17" i="41"/>
  <c r="AI7" i="41"/>
  <c r="AJ68" i="41"/>
  <c r="AL56" i="41"/>
  <c r="AD3" i="41"/>
  <c r="AK56" i="41"/>
  <c r="AK44" i="41"/>
  <c r="AM32" i="41"/>
  <c r="AI43" i="41"/>
  <c r="AK26" i="41"/>
  <c r="AI27" i="41"/>
  <c r="AI24" i="41"/>
  <c r="AI19" i="41"/>
  <c r="AJ20" i="41"/>
  <c r="AQ74" i="41"/>
  <c r="AR68" i="41"/>
  <c r="AF62" i="41"/>
  <c r="AF56" i="41"/>
  <c r="AF50" i="41"/>
  <c r="AF44" i="41"/>
  <c r="AD37" i="41"/>
  <c r="AF38" i="41"/>
  <c r="AH32" i="41"/>
  <c r="AH26" i="41"/>
  <c r="AH20" i="41"/>
  <c r="AH14" i="41"/>
  <c r="AD69" i="41"/>
  <c r="AD67" i="41"/>
  <c r="AH68" i="41"/>
  <c r="AI52" i="41"/>
  <c r="AI42" i="41"/>
  <c r="AI33" i="41"/>
  <c r="AI29" i="41"/>
  <c r="AI23" i="41"/>
  <c r="AI18" i="41"/>
  <c r="AI9" i="41"/>
  <c r="AJ8" i="41"/>
  <c r="AQ68" i="41"/>
  <c r="AD57" i="41"/>
  <c r="AD54" i="41"/>
  <c r="AD53" i="41"/>
  <c r="AE56" i="41"/>
  <c r="AD49" i="41"/>
  <c r="AD46" i="41"/>
  <c r="AE50" i="41"/>
  <c r="AD41" i="41"/>
  <c r="AE44" i="41"/>
  <c r="AD34" i="41"/>
  <c r="AE38" i="41"/>
  <c r="AD24" i="41"/>
  <c r="AD23" i="41"/>
  <c r="AG26" i="41"/>
  <c r="AG20" i="41"/>
  <c r="AI71" i="41"/>
  <c r="AI67" i="41"/>
  <c r="AD73" i="41"/>
  <c r="AD72" i="41"/>
  <c r="AD71" i="41"/>
  <c r="AI65" i="41"/>
  <c r="AN55" i="41"/>
  <c r="AI36" i="41"/>
  <c r="AI35" i="41"/>
  <c r="AI34" i="41"/>
  <c r="AD9" i="41"/>
  <c r="AD7" i="41"/>
  <c r="AJ56" i="41"/>
  <c r="AJ32" i="41"/>
  <c r="AD51" i="41"/>
  <c r="AI64" i="41"/>
  <c r="AI63" i="41"/>
  <c r="AI61" i="41"/>
  <c r="AN49" i="41"/>
  <c r="AD45" i="41"/>
  <c r="AD40" i="41"/>
  <c r="AD39" i="41"/>
  <c r="AD5" i="41"/>
  <c r="AD4" i="41"/>
  <c r="AE62" i="41"/>
  <c r="AE26" i="41"/>
  <c r="AD52" i="41"/>
  <c r="AI70" i="41"/>
  <c r="AI66" i="41"/>
  <c r="AD64" i="41"/>
  <c r="AD63" i="41"/>
  <c r="AN19" i="41"/>
  <c r="AG14" i="41"/>
  <c r="AM8" i="41"/>
  <c r="AD48" i="41"/>
  <c r="AD47" i="41"/>
  <c r="AD31" i="41"/>
  <c r="AN13" i="41"/>
  <c r="AI72" i="41"/>
  <c r="AI69" i="41"/>
  <c r="AD60" i="41"/>
  <c r="AD59" i="41"/>
  <c r="AN73" i="41"/>
  <c r="AI53" i="41"/>
  <c r="AN43" i="41"/>
  <c r="AD55" i="41"/>
  <c r="AN37" i="41"/>
  <c r="AD28" i="41"/>
  <c r="AD27" i="41"/>
  <c r="AN5" i="41"/>
  <c r="AJ74" i="41"/>
  <c r="AJ62" i="41"/>
  <c r="AJ50" i="41"/>
  <c r="AJ38" i="41"/>
  <c r="AJ26" i="41"/>
  <c r="AJ14" i="41"/>
  <c r="AE8" i="41"/>
  <c r="AD19" i="41"/>
  <c r="AI16" i="41"/>
  <c r="AI15" i="41"/>
  <c r="AI13" i="41"/>
  <c r="AI12" i="41"/>
  <c r="AI11" i="41"/>
  <c r="AI10" i="41"/>
  <c r="AG74" i="41"/>
  <c r="AG68" i="41"/>
  <c r="AG56" i="41"/>
  <c r="AG44" i="41"/>
  <c r="AG32" i="41"/>
  <c r="AI73" i="41"/>
  <c r="AI41" i="41"/>
  <c r="AN31" i="41"/>
  <c r="AD43" i="41"/>
  <c r="AI40" i="41"/>
  <c r="AI39" i="41"/>
  <c r="AI37" i="41"/>
  <c r="AD16" i="41"/>
  <c r="AD15" i="41"/>
  <c r="AD13" i="41"/>
  <c r="AD12" i="41"/>
  <c r="AD11" i="41"/>
  <c r="AI5" i="41"/>
  <c r="AI4" i="41"/>
  <c r="AI10" i="72"/>
  <c r="AI73" i="73"/>
  <c r="AN70" i="73"/>
  <c r="AI64" i="73"/>
  <c r="AI52" i="73"/>
  <c r="AI40" i="73"/>
  <c r="AI28" i="73"/>
  <c r="AI72" i="73"/>
  <c r="AI58" i="71"/>
  <c r="AI46" i="71"/>
  <c r="AI34" i="71"/>
  <c r="AI7" i="72"/>
  <c r="AI70" i="73"/>
  <c r="AN66" i="73"/>
  <c r="AI59" i="73"/>
  <c r="AI47" i="73"/>
  <c r="AI35" i="73"/>
  <c r="AI6" i="72"/>
  <c r="AI57" i="73"/>
  <c r="AI45" i="73"/>
  <c r="AI33" i="73"/>
  <c r="AI21" i="73"/>
  <c r="AI9" i="73"/>
  <c r="AI67" i="71"/>
  <c r="AN23" i="69"/>
  <c r="AN11" i="69"/>
  <c r="AN69" i="68"/>
  <c r="AN31" i="67"/>
  <c r="AI37" i="69"/>
  <c r="AI36" i="68"/>
  <c r="AI24" i="68"/>
  <c r="AI12" i="68"/>
  <c r="AI70" i="67"/>
  <c r="AI58" i="67"/>
  <c r="AI34" i="67"/>
  <c r="AI45" i="69"/>
  <c r="AI36" i="69"/>
  <c r="AI25" i="69"/>
  <c r="AI13" i="69"/>
  <c r="AI71" i="68"/>
  <c r="AI59" i="68"/>
  <c r="AI47" i="68"/>
  <c r="AI35" i="68"/>
  <c r="AI11" i="68"/>
  <c r="AI70" i="68"/>
  <c r="AI58" i="68"/>
  <c r="AI46" i="68"/>
  <c r="AI34" i="68"/>
  <c r="AI22" i="68"/>
  <c r="AN40" i="69"/>
  <c r="AN31" i="69"/>
  <c r="AN19" i="69"/>
  <c r="AN51" i="67"/>
  <c r="AN39" i="67"/>
  <c r="AN54" i="69"/>
  <c r="AN47" i="69"/>
  <c r="AI42" i="69"/>
  <c r="AN39" i="69"/>
  <c r="AI43" i="68"/>
  <c r="AI31" i="68"/>
  <c r="AI19" i="68"/>
  <c r="AI7" i="68"/>
  <c r="AI65" i="67"/>
  <c r="AI53" i="67"/>
  <c r="AI41" i="67"/>
  <c r="AI40" i="67"/>
  <c r="AI49" i="69"/>
  <c r="AI41" i="69"/>
  <c r="AN27" i="69"/>
  <c r="AN15" i="69"/>
  <c r="AN73" i="68"/>
  <c r="AN61" i="68"/>
  <c r="AN13" i="68"/>
  <c r="AI5" i="68"/>
  <c r="AN71" i="67"/>
  <c r="AN59" i="67"/>
  <c r="AN35" i="67"/>
  <c r="AN37" i="69"/>
  <c r="AN36" i="69"/>
  <c r="AI29" i="69"/>
  <c r="AI17" i="69"/>
  <c r="AI5" i="69"/>
  <c r="AI63" i="68"/>
  <c r="AI51" i="68"/>
  <c r="AI54" i="69"/>
  <c r="AN38" i="70" l="1"/>
  <c r="AX11" i="78" s="1"/>
  <c r="AD26" i="72"/>
  <c r="AD14" i="78" s="1"/>
  <c r="AD68" i="70"/>
  <c r="CO11" i="78" s="1"/>
  <c r="AI8" i="73"/>
  <c r="D13" i="78" s="1"/>
  <c r="G13" i="78" s="1"/>
  <c r="AD62" i="69"/>
  <c r="CF10" i="78" s="1"/>
  <c r="AD20" i="69"/>
  <c r="U10" i="78" s="1"/>
  <c r="I25" i="53"/>
  <c r="AD20" i="70"/>
  <c r="U11" i="78" s="1"/>
  <c r="AI20" i="71"/>
  <c r="V12" i="78" s="1"/>
  <c r="AI56" i="69"/>
  <c r="BX10" i="78" s="1"/>
  <c r="AN14" i="72"/>
  <c r="N14" i="78" s="1"/>
  <c r="AI8" i="69"/>
  <c r="D10" i="78" s="1"/>
  <c r="G10" i="78" s="1"/>
  <c r="AN62" i="73"/>
  <c r="CH13" i="78" s="1"/>
  <c r="AD26" i="71"/>
  <c r="AD12" i="78" s="1"/>
  <c r="AI50" i="67"/>
  <c r="BO8" i="78" s="1"/>
  <c r="AN20" i="71"/>
  <c r="W12" i="78" s="1"/>
  <c r="AD26" i="67"/>
  <c r="AD8" i="78" s="1"/>
  <c r="M25" i="53"/>
  <c r="D33" i="78" s="1"/>
  <c r="E22" i="53"/>
  <c r="K25" i="53"/>
  <c r="D31" i="78" s="1"/>
  <c r="S25" i="53"/>
  <c r="F25" i="53"/>
  <c r="E11" i="53" s="1"/>
  <c r="J21" i="53"/>
  <c r="AD8" i="71"/>
  <c r="C12" i="78" s="1"/>
  <c r="F12" i="78" s="1"/>
  <c r="AD14" i="71"/>
  <c r="L12" i="78" s="1"/>
  <c r="AI62" i="66"/>
  <c r="CG7" i="78" s="1"/>
  <c r="E23" i="53"/>
  <c r="L25" i="53"/>
  <c r="D32" i="78" s="1"/>
  <c r="AD74" i="67"/>
  <c r="CX8" i="78" s="1"/>
  <c r="AD62" i="70"/>
  <c r="CF11" i="78" s="1"/>
  <c r="AD20" i="73"/>
  <c r="U13" i="78" s="1"/>
  <c r="AI74" i="72"/>
  <c r="CY14" i="78" s="1"/>
  <c r="N25" i="53"/>
  <c r="AD56" i="68"/>
  <c r="BW9" i="78" s="1"/>
  <c r="AI14" i="71"/>
  <c r="M12" i="78" s="1"/>
  <c r="AN44" i="71"/>
  <c r="BG12" i="78" s="1"/>
  <c r="E70" i="53"/>
  <c r="AD74" i="70"/>
  <c r="CX11" i="78" s="1"/>
  <c r="G25" i="53"/>
  <c r="E12" i="53" s="1"/>
  <c r="AI62" i="69"/>
  <c r="CG10" i="78" s="1"/>
  <c r="H25" i="53"/>
  <c r="E13" i="53" s="1"/>
  <c r="R25" i="53"/>
  <c r="AN68" i="70"/>
  <c r="CQ11" i="78" s="1"/>
  <c r="AN26" i="73"/>
  <c r="AF13" i="78" s="1"/>
  <c r="AD44" i="73"/>
  <c r="BE13" i="78" s="1"/>
  <c r="AD26" i="70"/>
  <c r="AD11" i="78" s="1"/>
  <c r="J23" i="53"/>
  <c r="J22" i="53"/>
  <c r="E20" i="53"/>
  <c r="E21" i="53"/>
  <c r="E24" i="53"/>
  <c r="J24" i="53"/>
  <c r="L85" i="53"/>
  <c r="CP32" i="78" s="1"/>
  <c r="AD32" i="65"/>
  <c r="AM6" i="78" s="1"/>
  <c r="O22" i="53"/>
  <c r="J20" i="53"/>
  <c r="AN20" i="72"/>
  <c r="W14" i="78" s="1"/>
  <c r="AN68" i="67"/>
  <c r="CQ8" i="78" s="1"/>
  <c r="AI26" i="71"/>
  <c r="AE12" i="78" s="1"/>
  <c r="AN44" i="69"/>
  <c r="BG10" i="78" s="1"/>
  <c r="AI14" i="73"/>
  <c r="M13" i="78" s="1"/>
  <c r="AD50" i="69"/>
  <c r="BN10" i="78" s="1"/>
  <c r="AI20" i="73"/>
  <c r="V13" i="78" s="1"/>
  <c r="M73" i="53"/>
  <c r="BX33" i="78" s="1"/>
  <c r="AI32" i="72"/>
  <c r="AN14" i="78" s="1"/>
  <c r="AD20" i="71"/>
  <c r="U12" i="78" s="1"/>
  <c r="AD14" i="70"/>
  <c r="L11" i="78" s="1"/>
  <c r="AD32" i="71"/>
  <c r="AM12" i="78" s="1"/>
  <c r="AD74" i="72"/>
  <c r="CX14" i="78" s="1"/>
  <c r="AI38" i="65"/>
  <c r="AW6" i="78" s="1"/>
  <c r="AN62" i="70"/>
  <c r="CH11" i="78" s="1"/>
  <c r="AI74" i="71"/>
  <c r="CY12" i="78" s="1"/>
  <c r="AD56" i="72"/>
  <c r="BW14" i="78" s="1"/>
  <c r="M85" i="53"/>
  <c r="CP33" i="78" s="1"/>
  <c r="I73" i="53"/>
  <c r="AI26" i="66"/>
  <c r="AE7" i="78" s="1"/>
  <c r="AD74" i="66"/>
  <c r="CX7" i="78" s="1"/>
  <c r="I37" i="53"/>
  <c r="AI14" i="70"/>
  <c r="M11" i="78" s="1"/>
  <c r="AN74" i="71"/>
  <c r="CZ12" i="78" s="1"/>
  <c r="J54" i="53"/>
  <c r="H49" i="53"/>
  <c r="M55" i="53"/>
  <c r="AW33" i="78" s="1"/>
  <c r="E88" i="53"/>
  <c r="J35" i="53"/>
  <c r="G55" i="53"/>
  <c r="J12" i="53" s="1"/>
  <c r="F91" i="53"/>
  <c r="F49" i="53"/>
  <c r="G31" i="53"/>
  <c r="E82" i="53"/>
  <c r="AI20" i="67"/>
  <c r="V8" i="78" s="1"/>
  <c r="AD68" i="71"/>
  <c r="CO12" i="78" s="1"/>
  <c r="AN68" i="72"/>
  <c r="CQ14" i="78" s="1"/>
  <c r="AI56" i="70"/>
  <c r="BX11" i="78" s="1"/>
  <c r="AD50" i="72"/>
  <c r="BN14" i="78" s="1"/>
  <c r="J74" i="53"/>
  <c r="AI26" i="73"/>
  <c r="AE13" i="78" s="1"/>
  <c r="K31" i="53"/>
  <c r="M31" i="78" s="1"/>
  <c r="E69" i="53"/>
  <c r="O66" i="53"/>
  <c r="L73" i="53"/>
  <c r="BX32" i="78" s="1"/>
  <c r="AD62" i="67"/>
  <c r="CF8" i="78" s="1"/>
  <c r="AN44" i="73"/>
  <c r="BG13" i="78" s="1"/>
  <c r="AI32" i="66"/>
  <c r="AN7" i="78" s="1"/>
  <c r="AD68" i="69"/>
  <c r="CO10" i="78" s="1"/>
  <c r="AD74" i="73"/>
  <c r="CX13" i="78" s="1"/>
  <c r="AD38" i="69"/>
  <c r="AV10" i="78" s="1"/>
  <c r="E28" i="53"/>
  <c r="K43" i="53"/>
  <c r="AE31" i="78" s="1"/>
  <c r="I85" i="53"/>
  <c r="AI20" i="66"/>
  <c r="V7" i="78" s="1"/>
  <c r="AD38" i="70"/>
  <c r="AV11" i="78" s="1"/>
  <c r="AD50" i="70"/>
  <c r="BN11" i="78" s="1"/>
  <c r="J89" i="53"/>
  <c r="E74" i="53"/>
  <c r="E34" i="53"/>
  <c r="AI8" i="68"/>
  <c r="D9" i="78" s="1"/>
  <c r="G9" i="78" s="1"/>
  <c r="AD50" i="71"/>
  <c r="BN12" i="78" s="1"/>
  <c r="N61" i="53"/>
  <c r="J28" i="53"/>
  <c r="J47" i="53"/>
  <c r="AN38" i="71"/>
  <c r="AX12" i="78" s="1"/>
  <c r="AN32" i="72"/>
  <c r="AO14" i="78" s="1"/>
  <c r="AD44" i="70"/>
  <c r="BE11" i="78" s="1"/>
  <c r="AD8" i="66"/>
  <c r="C7" i="78" s="1"/>
  <c r="F7" i="78" s="1"/>
  <c r="E72" i="53"/>
  <c r="J83" i="53"/>
  <c r="E57" i="53"/>
  <c r="E66" i="53"/>
  <c r="J50" i="53"/>
  <c r="AD8" i="65"/>
  <c r="C6" i="78" s="1"/>
  <c r="F6" i="78" s="1"/>
  <c r="AN44" i="67"/>
  <c r="BG8" i="78" s="1"/>
  <c r="E62" i="53"/>
  <c r="L61" i="53"/>
  <c r="BF32" i="78" s="1"/>
  <c r="AD44" i="69"/>
  <c r="BE10" i="78" s="1"/>
  <c r="AI68" i="69"/>
  <c r="CP10" i="78" s="1"/>
  <c r="AN56" i="73"/>
  <c r="BY13" i="78" s="1"/>
  <c r="H37" i="53"/>
  <c r="G73" i="53"/>
  <c r="E71" i="53"/>
  <c r="M67" i="53"/>
  <c r="BO33" i="78" s="1"/>
  <c r="E47" i="53"/>
  <c r="AD32" i="66"/>
  <c r="AM7" i="78" s="1"/>
  <c r="AD38" i="71"/>
  <c r="AV12" i="78" s="1"/>
  <c r="AD74" i="69"/>
  <c r="CX10" i="78" s="1"/>
  <c r="E52" i="53"/>
  <c r="E84" i="53"/>
  <c r="N91" i="53"/>
  <c r="AI74" i="69"/>
  <c r="CY10" i="78" s="1"/>
  <c r="E29" i="53"/>
  <c r="J63" i="53"/>
  <c r="F79" i="53"/>
  <c r="E48" i="53"/>
  <c r="E68" i="53"/>
  <c r="I31" i="53"/>
  <c r="I67" i="53"/>
  <c r="S73" i="53"/>
  <c r="L55" i="53"/>
  <c r="AW32" i="78" s="1"/>
  <c r="E83" i="53"/>
  <c r="AN8" i="70"/>
  <c r="E11" i="78" s="1"/>
  <c r="H11" i="78" s="1"/>
  <c r="AN8" i="73"/>
  <c r="E13" i="78" s="1"/>
  <c r="H13" i="78" s="1"/>
  <c r="AN8" i="71"/>
  <c r="E12" i="78" s="1"/>
  <c r="H12" i="78" s="1"/>
  <c r="AN26" i="67"/>
  <c r="AF8" i="78" s="1"/>
  <c r="AD50" i="67"/>
  <c r="BN8" i="78" s="1"/>
  <c r="AD68" i="72"/>
  <c r="CO14" i="78" s="1"/>
  <c r="J52" i="53"/>
  <c r="J90" i="53"/>
  <c r="E64" i="53"/>
  <c r="K49" i="53"/>
  <c r="AN31" i="78" s="1"/>
  <c r="J26" i="53"/>
  <c r="N67" i="53"/>
  <c r="L91" i="53"/>
  <c r="CY32" i="78" s="1"/>
  <c r="E39" i="53"/>
  <c r="AI50" i="65"/>
  <c r="BO6" i="78" s="1"/>
  <c r="AD14" i="69"/>
  <c r="L10" i="78" s="1"/>
  <c r="J44" i="53"/>
  <c r="J45" i="53"/>
  <c r="G85" i="53"/>
  <c r="O12" i="53" s="1"/>
  <c r="I91" i="53"/>
  <c r="AD68" i="67"/>
  <c r="CO8" i="78" s="1"/>
  <c r="AD62" i="68"/>
  <c r="CF9" i="78" s="1"/>
  <c r="AI32" i="70"/>
  <c r="AN11" i="78" s="1"/>
  <c r="AN62" i="71"/>
  <c r="CH12" i="78" s="1"/>
  <c r="AI44" i="72"/>
  <c r="BF14" i="78" s="1"/>
  <c r="AI68" i="72"/>
  <c r="CP14" i="78" s="1"/>
  <c r="J58" i="53"/>
  <c r="J29" i="53"/>
  <c r="J78" i="53"/>
  <c r="J51" i="53"/>
  <c r="G79" i="53"/>
  <c r="M49" i="53"/>
  <c r="AN33" i="78" s="1"/>
  <c r="M61" i="53"/>
  <c r="BF33" i="78" s="1"/>
  <c r="F31" i="53"/>
  <c r="J42" i="53"/>
  <c r="K61" i="53"/>
  <c r="BF31" i="78" s="1"/>
  <c r="AN20" i="67"/>
  <c r="W8" i="78" s="1"/>
  <c r="AI20" i="70"/>
  <c r="V11" i="78" s="1"/>
  <c r="AI38" i="70"/>
  <c r="AW11" i="78" s="1"/>
  <c r="AD44" i="71"/>
  <c r="BE12" i="78" s="1"/>
  <c r="AN14" i="73"/>
  <c r="N13" i="78" s="1"/>
  <c r="AD20" i="72"/>
  <c r="U14" i="78" s="1"/>
  <c r="I55" i="53"/>
  <c r="AI32" i="67"/>
  <c r="AN8" i="78" s="1"/>
  <c r="J30" i="53"/>
  <c r="E40" i="53"/>
  <c r="J65" i="53"/>
  <c r="J32" i="53"/>
  <c r="O30" i="53"/>
  <c r="J53" i="53"/>
  <c r="E41" i="53"/>
  <c r="K85" i="53"/>
  <c r="CP31" i="78" s="1"/>
  <c r="J72" i="53"/>
  <c r="F37" i="53"/>
  <c r="S61" i="53"/>
  <c r="E75" i="53"/>
  <c r="AD44" i="67"/>
  <c r="BE8" i="78" s="1"/>
  <c r="AN56" i="70"/>
  <c r="BY11" i="78" s="1"/>
  <c r="AN26" i="71"/>
  <c r="AF12" i="78" s="1"/>
  <c r="AI44" i="71"/>
  <c r="BF12" i="78" s="1"/>
  <c r="AN56" i="71"/>
  <c r="BY12" i="78" s="1"/>
  <c r="AD62" i="73"/>
  <c r="CF13" i="78" s="1"/>
  <c r="AI50" i="72"/>
  <c r="BO14" i="78" s="1"/>
  <c r="AI62" i="72"/>
  <c r="CG14" i="78" s="1"/>
  <c r="AN8" i="72"/>
  <c r="E14" i="78" s="1"/>
  <c r="H14" i="78" s="1"/>
  <c r="J33" i="53"/>
  <c r="K91" i="53"/>
  <c r="CY31" i="78" s="1"/>
  <c r="F55" i="53"/>
  <c r="J11" i="53" s="1"/>
  <c r="K37" i="53"/>
  <c r="V31" i="78" s="1"/>
  <c r="E53" i="53"/>
  <c r="N43" i="53"/>
  <c r="AD50" i="68"/>
  <c r="BN9" i="78" s="1"/>
  <c r="E36" i="53"/>
  <c r="N37" i="53"/>
  <c r="AD74" i="68"/>
  <c r="CX9" i="78" s="1"/>
  <c r="AD74" i="71"/>
  <c r="CX12" i="78" s="1"/>
  <c r="AD50" i="73"/>
  <c r="BN13" i="78" s="1"/>
  <c r="AI26" i="72"/>
  <c r="AE14" i="78" s="1"/>
  <c r="AN74" i="72"/>
  <c r="CZ14" i="78" s="1"/>
  <c r="AI8" i="72"/>
  <c r="D14" i="78" s="1"/>
  <c r="G14" i="78" s="1"/>
  <c r="K67" i="53"/>
  <c r="BO31" i="78" s="1"/>
  <c r="O72" i="53"/>
  <c r="E51" i="53"/>
  <c r="J34" i="53"/>
  <c r="N55" i="53"/>
  <c r="AN32" i="69"/>
  <c r="AO10" i="78" s="1"/>
  <c r="O60" i="53"/>
  <c r="J82" i="53"/>
  <c r="F61" i="53"/>
  <c r="I43" i="53"/>
  <c r="J41" i="53"/>
  <c r="J39" i="53"/>
  <c r="I79" i="53"/>
  <c r="J75" i="53"/>
  <c r="E38" i="53"/>
  <c r="AI26" i="65"/>
  <c r="AE6" i="78" s="1"/>
  <c r="AD56" i="70"/>
  <c r="BW11" i="78" s="1"/>
  <c r="H61" i="53"/>
  <c r="K73" i="53"/>
  <c r="BX31" i="78" s="1"/>
  <c r="J68" i="53"/>
  <c r="O84" i="53"/>
  <c r="H79" i="53"/>
  <c r="CF33" i="78" s="1"/>
  <c r="L79" i="53"/>
  <c r="CG32" i="78" s="1"/>
  <c r="AN26" i="70"/>
  <c r="AF11" i="78" s="1"/>
  <c r="AN44" i="70"/>
  <c r="BG11" i="78" s="1"/>
  <c r="AN32" i="71"/>
  <c r="AO12" i="78" s="1"/>
  <c r="AN50" i="73"/>
  <c r="BP13" i="78" s="1"/>
  <c r="AD14" i="72"/>
  <c r="L14" i="78" s="1"/>
  <c r="AD44" i="72"/>
  <c r="BE14" i="78" s="1"/>
  <c r="AD56" i="69"/>
  <c r="BW10" i="78" s="1"/>
  <c r="AD14" i="68"/>
  <c r="L9" i="78" s="1"/>
  <c r="O54" i="53"/>
  <c r="E89" i="53"/>
  <c r="J40" i="53"/>
  <c r="L37" i="53"/>
  <c r="V32" i="78" s="1"/>
  <c r="N85" i="53"/>
  <c r="J76" i="53"/>
  <c r="F85" i="53"/>
  <c r="AI14" i="68"/>
  <c r="M9" i="78" s="1"/>
  <c r="E54" i="53"/>
  <c r="S31" i="53"/>
  <c r="AN14" i="68"/>
  <c r="N9" i="78" s="1"/>
  <c r="AN50" i="71"/>
  <c r="BP12" i="78" s="1"/>
  <c r="AD26" i="73"/>
  <c r="AD13" i="78" s="1"/>
  <c r="AN38" i="73"/>
  <c r="AX13" i="78" s="1"/>
  <c r="E60" i="53"/>
  <c r="E90" i="53"/>
  <c r="J60" i="53"/>
  <c r="M91" i="53"/>
  <c r="CY33" i="78" s="1"/>
  <c r="J84" i="53"/>
  <c r="G61" i="53"/>
  <c r="N49" i="53"/>
  <c r="J64" i="53"/>
  <c r="J66" i="53"/>
  <c r="S37" i="53"/>
  <c r="E46" i="53"/>
  <c r="G37" i="53"/>
  <c r="AD50" i="66"/>
  <c r="BN7" i="78" s="1"/>
  <c r="H85" i="53"/>
  <c r="AI38" i="73"/>
  <c r="AW13" i="78" s="1"/>
  <c r="E77" i="53"/>
  <c r="J87" i="53"/>
  <c r="J88" i="53"/>
  <c r="F73" i="53"/>
  <c r="G67" i="53"/>
  <c r="R37" i="53"/>
  <c r="W33" i="78" s="1"/>
  <c r="S43" i="53"/>
  <c r="J71" i="53"/>
  <c r="G43" i="53"/>
  <c r="J48" i="53"/>
  <c r="AN56" i="72"/>
  <c r="BY14" i="78" s="1"/>
  <c r="AD32" i="69"/>
  <c r="AM10" i="78" s="1"/>
  <c r="AN8" i="66"/>
  <c r="E7" i="78" s="1"/>
  <c r="H7" i="78" s="1"/>
  <c r="N31" i="53"/>
  <c r="E50" i="53"/>
  <c r="E27" i="53"/>
  <c r="H67" i="53"/>
  <c r="H73" i="53"/>
  <c r="S67" i="53"/>
  <c r="E65" i="53"/>
  <c r="E56" i="53"/>
  <c r="O48" i="53"/>
  <c r="E76" i="53"/>
  <c r="E32" i="53"/>
  <c r="H43" i="53"/>
  <c r="J62" i="53"/>
  <c r="E33" i="53"/>
  <c r="F43" i="53"/>
  <c r="H55" i="53"/>
  <c r="E59" i="53"/>
  <c r="M37" i="53"/>
  <c r="V33" i="78" s="1"/>
  <c r="J36" i="53"/>
  <c r="S79" i="53"/>
  <c r="G91" i="53"/>
  <c r="J56" i="53"/>
  <c r="F67" i="53"/>
  <c r="E35" i="53"/>
  <c r="L49" i="53"/>
  <c r="AN32" i="78" s="1"/>
  <c r="E78" i="53"/>
  <c r="AI8" i="65"/>
  <c r="D6" i="78" s="1"/>
  <c r="G6" i="78" s="1"/>
  <c r="J27" i="53"/>
  <c r="E63" i="53"/>
  <c r="L67" i="53"/>
  <c r="BO32" i="78" s="1"/>
  <c r="N79" i="53"/>
  <c r="K55" i="53"/>
  <c r="AW31" i="78" s="1"/>
  <c r="E30" i="53"/>
  <c r="AD56" i="65"/>
  <c r="BW6" i="78" s="1"/>
  <c r="K79" i="53"/>
  <c r="CG31" i="78" s="1"/>
  <c r="L31" i="53"/>
  <c r="M32" i="78" s="1"/>
  <c r="R31" i="53"/>
  <c r="N33" i="78" s="1"/>
  <c r="J38" i="53"/>
  <c r="AD74" i="65"/>
  <c r="CX6" i="78" s="1"/>
  <c r="AI56" i="65"/>
  <c r="BX6" i="78" s="1"/>
  <c r="E80" i="53"/>
  <c r="S55" i="53"/>
  <c r="J57" i="53"/>
  <c r="E45" i="53"/>
  <c r="J70" i="53"/>
  <c r="E81" i="53"/>
  <c r="E58" i="53"/>
  <c r="I49" i="53"/>
  <c r="AI20" i="65"/>
  <c r="V6" i="78" s="1"/>
  <c r="H91" i="53"/>
  <c r="O90" i="53"/>
  <c r="L43" i="53"/>
  <c r="AE32" i="78" s="1"/>
  <c r="AI74" i="65"/>
  <c r="CY6" i="78" s="1"/>
  <c r="E26" i="53"/>
  <c r="J46" i="53"/>
  <c r="E87" i="53"/>
  <c r="AI32" i="65"/>
  <c r="AN6" i="78" s="1"/>
  <c r="E44" i="53"/>
  <c r="AI44" i="65"/>
  <c r="BF6" i="78" s="1"/>
  <c r="J59" i="53"/>
  <c r="J77" i="53"/>
  <c r="N73" i="53"/>
  <c r="J86" i="53"/>
  <c r="H31" i="53"/>
  <c r="J69" i="53"/>
  <c r="M79" i="53"/>
  <c r="CG33" i="78" s="1"/>
  <c r="M31" i="53"/>
  <c r="M33" i="78" s="1"/>
  <c r="AN8" i="65"/>
  <c r="E6" i="78" s="1"/>
  <c r="H6" i="78" s="1"/>
  <c r="O36" i="53"/>
  <c r="S91" i="53"/>
  <c r="J80" i="53"/>
  <c r="S85" i="53"/>
  <c r="J81" i="53"/>
  <c r="E86" i="53"/>
  <c r="I61" i="53"/>
  <c r="S49" i="53"/>
  <c r="R61" i="53"/>
  <c r="BG33" i="78" s="1"/>
  <c r="G49" i="53"/>
  <c r="M43" i="53"/>
  <c r="AE33" i="78" s="1"/>
  <c r="AI62" i="65"/>
  <c r="CG6" i="78" s="1"/>
  <c r="AI14" i="65"/>
  <c r="M6" i="78" s="1"/>
  <c r="E42" i="53"/>
  <c r="AD62" i="65"/>
  <c r="CF6" i="78" s="1"/>
  <c r="AD8" i="68"/>
  <c r="C9" i="78" s="1"/>
  <c r="F9" i="78" s="1"/>
  <c r="AD44" i="68"/>
  <c r="BE9" i="78" s="1"/>
  <c r="AD20" i="68"/>
  <c r="U9" i="78" s="1"/>
  <c r="AD32" i="68"/>
  <c r="AM9" i="78" s="1"/>
  <c r="AD38" i="68"/>
  <c r="AV9" i="78" s="1"/>
  <c r="AD26" i="68"/>
  <c r="AD9" i="78" s="1"/>
  <c r="AN68" i="68"/>
  <c r="CQ9" i="78" s="1"/>
  <c r="AI56" i="68"/>
  <c r="BX9" i="78" s="1"/>
  <c r="AI68" i="68"/>
  <c r="CP9" i="78" s="1"/>
  <c r="AI50" i="70"/>
  <c r="BO11" i="78" s="1"/>
  <c r="AI68" i="70"/>
  <c r="CP11" i="78" s="1"/>
  <c r="AD56" i="73"/>
  <c r="BW13" i="78" s="1"/>
  <c r="AD32" i="72"/>
  <c r="AM14" i="78" s="1"/>
  <c r="AI56" i="72"/>
  <c r="BX14" i="78" s="1"/>
  <c r="AD8" i="67"/>
  <c r="C8" i="78" s="1"/>
  <c r="F8" i="78" s="1"/>
  <c r="AD56" i="66"/>
  <c r="BW7" i="78" s="1"/>
  <c r="AI68" i="66"/>
  <c r="CP7" i="78" s="1"/>
  <c r="AN14" i="70"/>
  <c r="N11" i="78" s="1"/>
  <c r="AN32" i="70"/>
  <c r="AO11" i="78" s="1"/>
  <c r="AN50" i="70"/>
  <c r="BP11" i="78" s="1"/>
  <c r="AD56" i="71"/>
  <c r="BW12" i="78" s="1"/>
  <c r="AD14" i="73"/>
  <c r="L13" i="78" s="1"/>
  <c r="AN44" i="72"/>
  <c r="BG14" i="78" s="1"/>
  <c r="AD38" i="65"/>
  <c r="AV6" i="78" s="1"/>
  <c r="AN26" i="65"/>
  <c r="AF6" i="78" s="1"/>
  <c r="AD32" i="70"/>
  <c r="AM11" i="78" s="1"/>
  <c r="AD20" i="66"/>
  <c r="U7" i="78" s="1"/>
  <c r="AD68" i="68"/>
  <c r="AI74" i="70"/>
  <c r="CY11" i="78" s="1"/>
  <c r="AI56" i="71"/>
  <c r="BX12" i="78" s="1"/>
  <c r="AD32" i="73"/>
  <c r="AM13" i="78" s="1"/>
  <c r="AD38" i="72"/>
  <c r="AV14" i="78" s="1"/>
  <c r="AD62" i="72"/>
  <c r="CF14" i="78" s="1"/>
  <c r="AI8" i="67"/>
  <c r="D8" i="78" s="1"/>
  <c r="G8" i="78" s="1"/>
  <c r="AD26" i="66"/>
  <c r="AD7" i="78" s="1"/>
  <c r="AN14" i="66"/>
  <c r="N7" i="78" s="1"/>
  <c r="AD8" i="70"/>
  <c r="AI20" i="72"/>
  <c r="V14" i="78" s="1"/>
  <c r="AI50" i="73"/>
  <c r="BO13" i="78" s="1"/>
  <c r="AD14" i="67"/>
  <c r="L8" i="78" s="1"/>
  <c r="AD14" i="66"/>
  <c r="L7" i="78" s="1"/>
  <c r="O7" i="78" s="1"/>
  <c r="AI74" i="66"/>
  <c r="CY7" i="78" s="1"/>
  <c r="AN20" i="70"/>
  <c r="W11" i="78" s="1"/>
  <c r="AN74" i="70"/>
  <c r="CZ11" i="78" s="1"/>
  <c r="AN68" i="71"/>
  <c r="CQ12" i="78" s="1"/>
  <c r="AI38" i="72"/>
  <c r="AW14" i="78" s="1"/>
  <c r="AI8" i="66"/>
  <c r="D7" i="78" s="1"/>
  <c r="G7" i="78" s="1"/>
  <c r="AD8" i="69"/>
  <c r="AI8" i="71"/>
  <c r="D12" i="78" s="1"/>
  <c r="G12" i="78" s="1"/>
  <c r="AD44" i="65"/>
  <c r="BE6" i="78" s="1"/>
  <c r="AN20" i="65"/>
  <c r="W6" i="78" s="1"/>
  <c r="AD32" i="67"/>
  <c r="AM8" i="78" s="1"/>
  <c r="AD62" i="66"/>
  <c r="CF7" i="78" s="1"/>
  <c r="AN62" i="67"/>
  <c r="CH8" i="78" s="1"/>
  <c r="AN74" i="67"/>
  <c r="CZ8" i="78" s="1"/>
  <c r="AI26" i="68"/>
  <c r="AE9" i="78" s="1"/>
  <c r="AN26" i="69"/>
  <c r="AF10" i="78" s="1"/>
  <c r="AI26" i="70"/>
  <c r="AE11" i="78" s="1"/>
  <c r="AI44" i="70"/>
  <c r="BF11" i="78" s="1"/>
  <c r="AI62" i="70"/>
  <c r="CG11" i="78" s="1"/>
  <c r="AI32" i="71"/>
  <c r="AN12" i="78" s="1"/>
  <c r="AD62" i="71"/>
  <c r="AN32" i="73"/>
  <c r="AO13" i="78" s="1"/>
  <c r="AN38" i="72"/>
  <c r="AX14" i="78" s="1"/>
  <c r="AN50" i="72"/>
  <c r="BP14" i="78" s="1"/>
  <c r="AD26" i="69"/>
  <c r="AD10" i="78" s="1"/>
  <c r="AI44" i="66"/>
  <c r="BF7" i="78" s="1"/>
  <c r="AN8" i="67"/>
  <c r="E8" i="78" s="1"/>
  <c r="H8" i="78" s="1"/>
  <c r="AI14" i="66"/>
  <c r="M7" i="78" s="1"/>
  <c r="AN8" i="69"/>
  <c r="E10" i="78" s="1"/>
  <c r="H10" i="78" s="1"/>
  <c r="AI8" i="70"/>
  <c r="D11" i="78" s="1"/>
  <c r="G11" i="78" s="1"/>
  <c r="AD38" i="66"/>
  <c r="AV7" i="78" s="1"/>
  <c r="AN74" i="65"/>
  <c r="CZ6" i="78" s="1"/>
  <c r="AD44" i="66"/>
  <c r="BE7" i="78" s="1"/>
  <c r="AN20" i="66"/>
  <c r="W7" i="78" s="1"/>
  <c r="AD26" i="65"/>
  <c r="AD6" i="78" s="1"/>
  <c r="AD68" i="66"/>
  <c r="CO7" i="78" s="1"/>
  <c r="AN32" i="67"/>
  <c r="AO8" i="78" s="1"/>
  <c r="AI74" i="68"/>
  <c r="CY9" i="78" s="1"/>
  <c r="AN14" i="71"/>
  <c r="N12" i="78" s="1"/>
  <c r="AI50" i="71"/>
  <c r="BO12" i="78" s="1"/>
  <c r="AI62" i="71"/>
  <c r="CG12" i="78" s="1"/>
  <c r="AN20" i="73"/>
  <c r="W13" i="78" s="1"/>
  <c r="AD38" i="73"/>
  <c r="AV13" i="78" s="1"/>
  <c r="AD68" i="73"/>
  <c r="CO13" i="78" s="1"/>
  <c r="AN26" i="72"/>
  <c r="AF14" i="78" s="1"/>
  <c r="AD8" i="72"/>
  <c r="AD8" i="73"/>
  <c r="AD38" i="41"/>
  <c r="AV5" i="78" s="1"/>
  <c r="AI50" i="69"/>
  <c r="BO10" i="78" s="1"/>
  <c r="AN44" i="66"/>
  <c r="BG7" i="78" s="1"/>
  <c r="AD20" i="65"/>
  <c r="U6" i="78" s="1"/>
  <c r="AN32" i="66"/>
  <c r="AO7" i="78" s="1"/>
  <c r="AN56" i="69"/>
  <c r="BY10" i="78" s="1"/>
  <c r="AN74" i="73"/>
  <c r="CZ13" i="78" s="1"/>
  <c r="AN14" i="67"/>
  <c r="N8" i="78" s="1"/>
  <c r="AN50" i="66"/>
  <c r="BP7" i="78" s="1"/>
  <c r="AI38" i="67"/>
  <c r="AW8" i="78" s="1"/>
  <c r="AI68" i="67"/>
  <c r="CP8" i="78" s="1"/>
  <c r="AI44" i="68"/>
  <c r="BF9" i="78" s="1"/>
  <c r="AI14" i="69"/>
  <c r="M10" i="78" s="1"/>
  <c r="AI38" i="69"/>
  <c r="AW10" i="78" s="1"/>
  <c r="AI38" i="71"/>
  <c r="AW12" i="78" s="1"/>
  <c r="AI68" i="73"/>
  <c r="CP13" i="78" s="1"/>
  <c r="AI14" i="72"/>
  <c r="M14" i="78" s="1"/>
  <c r="AN56" i="67"/>
  <c r="BY8" i="78" s="1"/>
  <c r="AN14" i="65"/>
  <c r="N6" i="78" s="1"/>
  <c r="AN26" i="66"/>
  <c r="AF7" i="78" s="1"/>
  <c r="AD68" i="65"/>
  <c r="CO6" i="78" s="1"/>
  <c r="AI26" i="67"/>
  <c r="AE8" i="78" s="1"/>
  <c r="AN38" i="66"/>
  <c r="AX7" i="78" s="1"/>
  <c r="AI68" i="65"/>
  <c r="CP6" i="78" s="1"/>
  <c r="AI32" i="69"/>
  <c r="AN10" i="78" s="1"/>
  <c r="AN56" i="66"/>
  <c r="BY7" i="78" s="1"/>
  <c r="AD38" i="67"/>
  <c r="AV8" i="78" s="1"/>
  <c r="AD14" i="65"/>
  <c r="L6" i="78" s="1"/>
  <c r="AI50" i="66"/>
  <c r="BO7" i="78" s="1"/>
  <c r="AN38" i="67"/>
  <c r="AX8" i="78" s="1"/>
  <c r="AI56" i="67"/>
  <c r="BX8" i="78" s="1"/>
  <c r="AI32" i="68"/>
  <c r="AN9" i="78" s="1"/>
  <c r="AI62" i="68"/>
  <c r="CG9" i="78" s="1"/>
  <c r="AN14" i="69"/>
  <c r="N10" i="78" s="1"/>
  <c r="AN38" i="69"/>
  <c r="AX10" i="78" s="1"/>
  <c r="AI56" i="73"/>
  <c r="BX13" i="78" s="1"/>
  <c r="AN68" i="73"/>
  <c r="CQ13" i="78" s="1"/>
  <c r="AN44" i="65"/>
  <c r="BG6" i="78" s="1"/>
  <c r="AI62" i="73"/>
  <c r="CG13" i="78" s="1"/>
  <c r="AN62" i="66"/>
  <c r="CH7" i="78" s="1"/>
  <c r="AI56" i="66"/>
  <c r="BX7" i="78" s="1"/>
  <c r="AI20" i="68"/>
  <c r="V9" i="78" s="1"/>
  <c r="AI50" i="68"/>
  <c r="BO9" i="78" s="1"/>
  <c r="AI20" i="69"/>
  <c r="V10" i="78" s="1"/>
  <c r="AI68" i="71"/>
  <c r="CP12" i="78" s="1"/>
  <c r="AI44" i="73"/>
  <c r="BF13" i="78" s="1"/>
  <c r="AD50" i="65"/>
  <c r="BN6" i="78" s="1"/>
  <c r="AN50" i="65"/>
  <c r="BP6" i="78" s="1"/>
  <c r="AN68" i="66"/>
  <c r="CQ7" i="78" s="1"/>
  <c r="AI44" i="67"/>
  <c r="BF8" i="78" s="1"/>
  <c r="AI62" i="67"/>
  <c r="CG8" i="78" s="1"/>
  <c r="AI74" i="67"/>
  <c r="CY8" i="78" s="1"/>
  <c r="AI38" i="68"/>
  <c r="AW9" i="78" s="1"/>
  <c r="AI26" i="69"/>
  <c r="AE10" i="78" s="1"/>
  <c r="AI44" i="69"/>
  <c r="BF10" i="78" s="1"/>
  <c r="AI32" i="73"/>
  <c r="AN13" i="78" s="1"/>
  <c r="AI74" i="73"/>
  <c r="CY13" i="78" s="1"/>
  <c r="AN20" i="69"/>
  <c r="W10" i="78" s="1"/>
  <c r="AN62" i="65"/>
  <c r="CH6" i="78" s="1"/>
  <c r="AD20" i="67"/>
  <c r="U8" i="78" s="1"/>
  <c r="AI38" i="66"/>
  <c r="AW7" i="78" s="1"/>
  <c r="AI14" i="67"/>
  <c r="M8" i="78" s="1"/>
  <c r="AN50" i="67"/>
  <c r="BP8" i="78" s="1"/>
  <c r="AD74" i="41"/>
  <c r="AI8" i="41"/>
  <c r="AD20" i="41"/>
  <c r="U5" i="78" s="1"/>
  <c r="AI20" i="41"/>
  <c r="AD26" i="41"/>
  <c r="AD5" i="78" s="1"/>
  <c r="AD8" i="41"/>
  <c r="AI32" i="41"/>
  <c r="AN5" i="78" s="1"/>
  <c r="AI56" i="41"/>
  <c r="AD62" i="41"/>
  <c r="CF5" i="78" s="1"/>
  <c r="AI44" i="41"/>
  <c r="AD68" i="41"/>
  <c r="CO5" i="78" s="1"/>
  <c r="AI50" i="41"/>
  <c r="AI26" i="41"/>
  <c r="AI14" i="41"/>
  <c r="M5" i="78" s="1"/>
  <c r="AI62" i="41"/>
  <c r="CG5" i="78" s="1"/>
  <c r="AI38" i="41"/>
  <c r="AI68" i="41"/>
  <c r="CP5" i="78" s="1"/>
  <c r="AD32" i="41"/>
  <c r="AD56" i="41"/>
  <c r="AD44" i="41"/>
  <c r="BE5" i="78" s="1"/>
  <c r="AD14" i="41"/>
  <c r="L5" i="78" s="1"/>
  <c r="AI74" i="41"/>
  <c r="AD50" i="41"/>
  <c r="BN5" i="78" s="1"/>
  <c r="AV15" i="78" l="1"/>
  <c r="CF31" i="78"/>
  <c r="N11" i="53"/>
  <c r="P13" i="78"/>
  <c r="Y13" i="78" s="1"/>
  <c r="AH13" i="78" s="1"/>
  <c r="AQ13" i="78" s="1"/>
  <c r="AZ13" i="78" s="1"/>
  <c r="BI13" i="78" s="1"/>
  <c r="BR13" i="78" s="1"/>
  <c r="CA13" i="78" s="1"/>
  <c r="CJ13" i="78" s="1"/>
  <c r="CS13" i="78" s="1"/>
  <c r="DB13" i="78" s="1"/>
  <c r="O12" i="78"/>
  <c r="X12" i="78" s="1"/>
  <c r="AG12" i="78" s="1"/>
  <c r="AP12" i="78" s="1"/>
  <c r="AY12" i="78" s="1"/>
  <c r="BH12" i="78" s="1"/>
  <c r="BQ12" i="78" s="1"/>
  <c r="BZ12" i="78" s="1"/>
  <c r="Q14" i="78"/>
  <c r="Z14" i="78" s="1"/>
  <c r="AI14" i="78" s="1"/>
  <c r="AR14" i="78" s="1"/>
  <c r="BA14" i="78" s="1"/>
  <c r="BJ14" i="78" s="1"/>
  <c r="BS14" i="78" s="1"/>
  <c r="CB14" i="78" s="1"/>
  <c r="CK14" i="78" s="1"/>
  <c r="CT14" i="78" s="1"/>
  <c r="DC14" i="78" s="1"/>
  <c r="P10" i="78"/>
  <c r="Y10" i="78" s="1"/>
  <c r="AH10" i="78" s="1"/>
  <c r="AQ10" i="78" s="1"/>
  <c r="AZ10" i="78" s="1"/>
  <c r="BI10" i="78" s="1"/>
  <c r="BR10" i="78" s="1"/>
  <c r="CA10" i="78" s="1"/>
  <c r="CJ10" i="78" s="1"/>
  <c r="CS10" i="78" s="1"/>
  <c r="DB10" i="78" s="1"/>
  <c r="C31" i="78"/>
  <c r="O9" i="78"/>
  <c r="X9" i="78" s="1"/>
  <c r="AG9" i="78" s="1"/>
  <c r="AP9" i="78" s="1"/>
  <c r="AY9" i="78" s="1"/>
  <c r="BH9" i="78" s="1"/>
  <c r="BQ9" i="78" s="1"/>
  <c r="BZ9" i="78" s="1"/>
  <c r="CI9" i="78" s="1"/>
  <c r="P12" i="78"/>
  <c r="Y12" i="78" s="1"/>
  <c r="AH12" i="78" s="1"/>
  <c r="AQ12" i="78" s="1"/>
  <c r="AZ12" i="78" s="1"/>
  <c r="BI12" i="78" s="1"/>
  <c r="BR12" i="78" s="1"/>
  <c r="CA12" i="78" s="1"/>
  <c r="CJ12" i="78" s="1"/>
  <c r="CS12" i="78" s="1"/>
  <c r="DB12" i="78" s="1"/>
  <c r="J25" i="53"/>
  <c r="E14" i="53" s="1"/>
  <c r="E25" i="53"/>
  <c r="E10" i="53" s="1"/>
  <c r="O6" i="78"/>
  <c r="X6" i="78" s="1"/>
  <c r="AG6" i="78" s="1"/>
  <c r="AP6" i="78" s="1"/>
  <c r="AY6" i="78" s="1"/>
  <c r="BH6" i="78" s="1"/>
  <c r="BQ6" i="78" s="1"/>
  <c r="BZ6" i="78" s="1"/>
  <c r="CI6" i="78" s="1"/>
  <c r="CR6" i="78" s="1"/>
  <c r="DA6" i="78" s="1"/>
  <c r="L33" i="78"/>
  <c r="F13" i="53"/>
  <c r="BN33" i="78"/>
  <c r="L13" i="53"/>
  <c r="BE33" i="78"/>
  <c r="K13" i="53"/>
  <c r="CO32" i="78"/>
  <c r="U33" i="78"/>
  <c r="G13" i="53"/>
  <c r="AM31" i="78"/>
  <c r="I11" i="53"/>
  <c r="CX33" i="78"/>
  <c r="P13" i="53"/>
  <c r="BN31" i="78"/>
  <c r="L11" i="53"/>
  <c r="CX32" i="78"/>
  <c r="P12" i="53"/>
  <c r="AV33" i="78"/>
  <c r="J13" i="53"/>
  <c r="U32" i="78"/>
  <c r="G12" i="53"/>
  <c r="N13" i="53"/>
  <c r="BE31" i="78"/>
  <c r="K11" i="53"/>
  <c r="AV31" i="78"/>
  <c r="CX31" i="78"/>
  <c r="P11" i="53"/>
  <c r="AM32" i="78"/>
  <c r="I12" i="53"/>
  <c r="AD31" i="78"/>
  <c r="H11" i="53"/>
  <c r="AD33" i="78"/>
  <c r="H13" i="53"/>
  <c r="AD32" i="78"/>
  <c r="H12" i="53"/>
  <c r="BN32" i="78"/>
  <c r="L12" i="53"/>
  <c r="CO31" i="78"/>
  <c r="O11" i="53"/>
  <c r="U31" i="78"/>
  <c r="G11" i="53"/>
  <c r="L31" i="78"/>
  <c r="F11" i="53"/>
  <c r="AV32" i="78"/>
  <c r="AM33" i="78"/>
  <c r="I13" i="53"/>
  <c r="BW33" i="78"/>
  <c r="M13" i="53"/>
  <c r="BW31" i="78"/>
  <c r="M11" i="53"/>
  <c r="CO33" i="78"/>
  <c r="O13" i="53"/>
  <c r="BE32" i="78"/>
  <c r="K12" i="53"/>
  <c r="CF32" i="78"/>
  <c r="N12" i="53"/>
  <c r="BW32" i="78"/>
  <c r="M12" i="53"/>
  <c r="L32" i="78"/>
  <c r="F12" i="53"/>
  <c r="C33" i="78"/>
  <c r="C32" i="78"/>
  <c r="E33" i="78"/>
  <c r="S92" i="53"/>
  <c r="N92" i="53"/>
  <c r="P11" i="78"/>
  <c r="Y11" i="78" s="1"/>
  <c r="AH11" i="78" s="1"/>
  <c r="AQ11" i="78" s="1"/>
  <c r="AZ11" i="78" s="1"/>
  <c r="BI11" i="78" s="1"/>
  <c r="BR11" i="78" s="1"/>
  <c r="CA11" i="78" s="1"/>
  <c r="CJ11" i="78" s="1"/>
  <c r="CS11" i="78" s="1"/>
  <c r="DB11" i="78" s="1"/>
  <c r="P9" i="78"/>
  <c r="Y9" i="78" s="1"/>
  <c r="AH9" i="78" s="1"/>
  <c r="AQ9" i="78" s="1"/>
  <c r="AZ9" i="78" s="1"/>
  <c r="BI9" i="78" s="1"/>
  <c r="BR9" i="78" s="1"/>
  <c r="CA9" i="78" s="1"/>
  <c r="CJ9" i="78" s="1"/>
  <c r="CS9" i="78" s="1"/>
  <c r="DB9" i="78" s="1"/>
  <c r="X7" i="78"/>
  <c r="AG7" i="78" s="1"/>
  <c r="AP7" i="78" s="1"/>
  <c r="AY7" i="78" s="1"/>
  <c r="BH7" i="78" s="1"/>
  <c r="BQ7" i="78" s="1"/>
  <c r="BZ7" i="78" s="1"/>
  <c r="CI7" i="78" s="1"/>
  <c r="CR7" i="78" s="1"/>
  <c r="DA7" i="78" s="1"/>
  <c r="AD15" i="78"/>
  <c r="Q11" i="78"/>
  <c r="Z11" i="78" s="1"/>
  <c r="AI11" i="78" s="1"/>
  <c r="AR11" i="78" s="1"/>
  <c r="BA11" i="78" s="1"/>
  <c r="BJ11" i="78" s="1"/>
  <c r="BS11" i="78" s="1"/>
  <c r="CB11" i="78" s="1"/>
  <c r="CK11" i="78" s="1"/>
  <c r="CT11" i="78" s="1"/>
  <c r="DC11" i="78" s="1"/>
  <c r="Q12" i="78"/>
  <c r="Z12" i="78" s="1"/>
  <c r="AI12" i="78" s="1"/>
  <c r="AR12" i="78" s="1"/>
  <c r="BA12" i="78" s="1"/>
  <c r="BJ12" i="78" s="1"/>
  <c r="BS12" i="78" s="1"/>
  <c r="CB12" i="78" s="1"/>
  <c r="CK12" i="78" s="1"/>
  <c r="CT12" i="78" s="1"/>
  <c r="DC12" i="78" s="1"/>
  <c r="Q13" i="78"/>
  <c r="Z13" i="78" s="1"/>
  <c r="AI13" i="78" s="1"/>
  <c r="AR13" i="78" s="1"/>
  <c r="BA13" i="78" s="1"/>
  <c r="BJ13" i="78" s="1"/>
  <c r="BS13" i="78" s="1"/>
  <c r="CB13" i="78" s="1"/>
  <c r="CK13" i="78" s="1"/>
  <c r="CT13" i="78" s="1"/>
  <c r="DC13" i="78" s="1"/>
  <c r="O8" i="78"/>
  <c r="X8" i="78" s="1"/>
  <c r="AG8" i="78" s="1"/>
  <c r="AP8" i="78" s="1"/>
  <c r="AY8" i="78" s="1"/>
  <c r="BH8" i="78" s="1"/>
  <c r="BQ8" i="78" s="1"/>
  <c r="BZ8" i="78" s="1"/>
  <c r="CI8" i="78" s="1"/>
  <c r="CR8" i="78" s="1"/>
  <c r="DA8" i="78" s="1"/>
  <c r="L15" i="78"/>
  <c r="AD75" i="71"/>
  <c r="CF12" i="78"/>
  <c r="CF15" i="78" s="1"/>
  <c r="AD75" i="70"/>
  <c r="C11" i="78"/>
  <c r="F11" i="78" s="1"/>
  <c r="O11" i="78" s="1"/>
  <c r="X11" i="78" s="1"/>
  <c r="AG11" i="78" s="1"/>
  <c r="AP11" i="78" s="1"/>
  <c r="AY11" i="78" s="1"/>
  <c r="BH11" i="78" s="1"/>
  <c r="BQ11" i="78" s="1"/>
  <c r="BZ11" i="78" s="1"/>
  <c r="CI11" i="78" s="1"/>
  <c r="CR11" i="78" s="1"/>
  <c r="DA11" i="78" s="1"/>
  <c r="AD75" i="69"/>
  <c r="C10" i="78"/>
  <c r="F10" i="78" s="1"/>
  <c r="O10" i="78" s="1"/>
  <c r="X10" i="78" s="1"/>
  <c r="AG10" i="78" s="1"/>
  <c r="AP10" i="78" s="1"/>
  <c r="AY10" i="78" s="1"/>
  <c r="BH10" i="78" s="1"/>
  <c r="BQ10" i="78" s="1"/>
  <c r="BZ10" i="78" s="1"/>
  <c r="CI10" i="78" s="1"/>
  <c r="CR10" i="78" s="1"/>
  <c r="DA10" i="78" s="1"/>
  <c r="P7" i="78"/>
  <c r="Y7" i="78" s="1"/>
  <c r="AH7" i="78" s="1"/>
  <c r="AQ7" i="78" s="1"/>
  <c r="AZ7" i="78" s="1"/>
  <c r="BI7" i="78" s="1"/>
  <c r="BR7" i="78" s="1"/>
  <c r="CA7" i="78" s="1"/>
  <c r="CJ7" i="78" s="1"/>
  <c r="CS7" i="78" s="1"/>
  <c r="DB7" i="78" s="1"/>
  <c r="Q6" i="78"/>
  <c r="Z6" i="78" s="1"/>
  <c r="AI6" i="78" s="1"/>
  <c r="BN15" i="78"/>
  <c r="CP15" i="78"/>
  <c r="Q10" i="78"/>
  <c r="Z10" i="78" s="1"/>
  <c r="AI10" i="78" s="1"/>
  <c r="AR10" i="78" s="1"/>
  <c r="BA10" i="78" s="1"/>
  <c r="BJ10" i="78" s="1"/>
  <c r="P8" i="78"/>
  <c r="Y8" i="78" s="1"/>
  <c r="AH8" i="78" s="1"/>
  <c r="AQ8" i="78" s="1"/>
  <c r="AZ8" i="78" s="1"/>
  <c r="BI8" i="78" s="1"/>
  <c r="BR8" i="78" s="1"/>
  <c r="CA8" i="78" s="1"/>
  <c r="CJ8" i="78" s="1"/>
  <c r="CS8" i="78" s="1"/>
  <c r="DB8" i="78" s="1"/>
  <c r="P14" i="78"/>
  <c r="Y14" i="78" s="1"/>
  <c r="AH14" i="78" s="1"/>
  <c r="AQ14" i="78" s="1"/>
  <c r="AZ14" i="78" s="1"/>
  <c r="BI14" i="78" s="1"/>
  <c r="BR14" i="78" s="1"/>
  <c r="CA14" i="78" s="1"/>
  <c r="CJ14" i="78" s="1"/>
  <c r="CS14" i="78" s="1"/>
  <c r="DB14" i="78" s="1"/>
  <c r="AN15" i="78"/>
  <c r="Q8" i="78"/>
  <c r="Z8" i="78" s="1"/>
  <c r="AI8" i="78" s="1"/>
  <c r="AR8" i="78" s="1"/>
  <c r="BA8" i="78" s="1"/>
  <c r="BJ8" i="78" s="1"/>
  <c r="BS8" i="78" s="1"/>
  <c r="CB8" i="78" s="1"/>
  <c r="CK8" i="78" s="1"/>
  <c r="CT8" i="78" s="1"/>
  <c r="DC8" i="78" s="1"/>
  <c r="BE15" i="78"/>
  <c r="M15" i="78"/>
  <c r="U15" i="78"/>
  <c r="P6" i="78"/>
  <c r="Y6" i="78" s="1"/>
  <c r="AH6" i="78" s="1"/>
  <c r="AQ6" i="78" s="1"/>
  <c r="AZ6" i="78" s="1"/>
  <c r="BI6" i="78" s="1"/>
  <c r="BR6" i="78" s="1"/>
  <c r="CA6" i="78" s="1"/>
  <c r="CJ6" i="78" s="1"/>
  <c r="CS6" i="78" s="1"/>
  <c r="DB6" i="78" s="1"/>
  <c r="CG15" i="78"/>
  <c r="AD75" i="73"/>
  <c r="C13" i="78"/>
  <c r="F13" i="78" s="1"/>
  <c r="O13" i="78" s="1"/>
  <c r="X13" i="78" s="1"/>
  <c r="AG13" i="78" s="1"/>
  <c r="AP13" i="78" s="1"/>
  <c r="AY13" i="78" s="1"/>
  <c r="BH13" i="78" s="1"/>
  <c r="BQ13" i="78" s="1"/>
  <c r="BZ13" i="78" s="1"/>
  <c r="CI13" i="78" s="1"/>
  <c r="CR13" i="78" s="1"/>
  <c r="DA13" i="78" s="1"/>
  <c r="AD75" i="68"/>
  <c r="CO9" i="78"/>
  <c r="CO15" i="78" s="1"/>
  <c r="AD75" i="72"/>
  <c r="C14" i="78"/>
  <c r="F14" i="78" s="1"/>
  <c r="O14" i="78" s="1"/>
  <c r="X14" i="78" s="1"/>
  <c r="AG14" i="78" s="1"/>
  <c r="AP14" i="78" s="1"/>
  <c r="AY14" i="78" s="1"/>
  <c r="BH14" i="78" s="1"/>
  <c r="BQ14" i="78" s="1"/>
  <c r="BZ14" i="78" s="1"/>
  <c r="CI14" i="78" s="1"/>
  <c r="CR14" i="78" s="1"/>
  <c r="DA14" i="78" s="1"/>
  <c r="Q7" i="78"/>
  <c r="Z7" i="78" s="1"/>
  <c r="AI7" i="78" s="1"/>
  <c r="AR7" i="78" s="1"/>
  <c r="BA7" i="78" s="1"/>
  <c r="BJ7" i="78" s="1"/>
  <c r="BS7" i="78" s="1"/>
  <c r="CB7" i="78" s="1"/>
  <c r="CK7" i="78" s="1"/>
  <c r="CT7" i="78" s="1"/>
  <c r="D5" i="78"/>
  <c r="F32" i="78"/>
  <c r="BZ32" i="78"/>
  <c r="P31" i="78"/>
  <c r="AH31" i="78"/>
  <c r="AY31" i="78"/>
  <c r="J91" i="53"/>
  <c r="P14" i="53" s="1"/>
  <c r="CY5" i="78"/>
  <c r="CY15" i="78" s="1"/>
  <c r="E91" i="53"/>
  <c r="P10" i="53" s="1"/>
  <c r="P8" i="53" s="1"/>
  <c r="CX5" i="78"/>
  <c r="CX15" i="78" s="1"/>
  <c r="CI32" i="78"/>
  <c r="BH32" i="78"/>
  <c r="DB31" i="78"/>
  <c r="BR31" i="78"/>
  <c r="CI31" i="78"/>
  <c r="E73" i="53"/>
  <c r="M10" i="53" s="1"/>
  <c r="M8" i="53" s="1"/>
  <c r="BW5" i="78"/>
  <c r="BW15" i="78" s="1"/>
  <c r="J43" i="53"/>
  <c r="H14" i="53" s="1"/>
  <c r="AE5" i="78"/>
  <c r="AE15" i="78" s="1"/>
  <c r="J73" i="53"/>
  <c r="M14" i="53" s="1"/>
  <c r="BX5" i="78"/>
  <c r="BX15" i="78" s="1"/>
  <c r="X32" i="78"/>
  <c r="BQ32" i="78"/>
  <c r="Y31" i="78"/>
  <c r="CA31" i="78"/>
  <c r="CR31" i="78"/>
  <c r="CR32" i="78"/>
  <c r="O32" i="78"/>
  <c r="CS31" i="78"/>
  <c r="CJ31" i="78"/>
  <c r="DA31" i="78"/>
  <c r="J67" i="53"/>
  <c r="L14" i="53" s="1"/>
  <c r="BO5" i="78"/>
  <c r="BO15" i="78" s="1"/>
  <c r="C5" i="78"/>
  <c r="DA32" i="78"/>
  <c r="AQ31" i="78"/>
  <c r="AP31" i="78"/>
  <c r="E49" i="53"/>
  <c r="I10" i="53" s="1"/>
  <c r="I8" i="53" s="1"/>
  <c r="AM5" i="78"/>
  <c r="AM15" i="78" s="1"/>
  <c r="AP32" i="78"/>
  <c r="AZ31" i="78"/>
  <c r="F31" i="78"/>
  <c r="BZ31" i="78"/>
  <c r="J61" i="53"/>
  <c r="K14" i="53" s="1"/>
  <c r="BF5" i="78"/>
  <c r="BF15" i="78" s="1"/>
  <c r="J37" i="53"/>
  <c r="G14" i="53" s="1"/>
  <c r="V5" i="78"/>
  <c r="V15" i="78" s="1"/>
  <c r="AG32" i="78"/>
  <c r="BI31" i="78"/>
  <c r="BH31" i="78"/>
  <c r="AG31" i="78"/>
  <c r="J55" i="53"/>
  <c r="J14" i="53" s="1"/>
  <c r="AW5" i="78"/>
  <c r="AW15" i="78" s="1"/>
  <c r="AY32" i="78"/>
  <c r="G31" i="78"/>
  <c r="O31" i="78"/>
  <c r="BQ31" i="78"/>
  <c r="X31" i="78"/>
  <c r="AZ33" i="78"/>
  <c r="BI33" i="78"/>
  <c r="CJ33" i="78"/>
  <c r="BR33" i="78"/>
  <c r="CS33" i="78"/>
  <c r="AH33" i="78"/>
  <c r="P33" i="78"/>
  <c r="Y33" i="78"/>
  <c r="DB33" i="78"/>
  <c r="CA33" i="78"/>
  <c r="AQ33" i="78"/>
  <c r="G33" i="78"/>
  <c r="CR33" i="78"/>
  <c r="AY33" i="78"/>
  <c r="X33" i="78"/>
  <c r="BZ33" i="78"/>
  <c r="AP33" i="78"/>
  <c r="CI33" i="78"/>
  <c r="BQ33" i="78"/>
  <c r="AG33" i="78"/>
  <c r="O33" i="78"/>
  <c r="BH33" i="78"/>
  <c r="DA33" i="78"/>
  <c r="F33" i="78"/>
  <c r="CJ32" i="78"/>
  <c r="BR32" i="78"/>
  <c r="Y32" i="78"/>
  <c r="CS32" i="78"/>
  <c r="AH32" i="78"/>
  <c r="DB32" i="78"/>
  <c r="CA32" i="78"/>
  <c r="P32" i="78"/>
  <c r="AQ32" i="78"/>
  <c r="AZ32" i="78"/>
  <c r="BI32" i="78"/>
  <c r="G32" i="78"/>
  <c r="E85" i="53"/>
  <c r="O10" i="53" s="1"/>
  <c r="O8" i="53" s="1"/>
  <c r="E67" i="53"/>
  <c r="L10" i="53" s="1"/>
  <c r="J85" i="53"/>
  <c r="O14" i="53" s="1"/>
  <c r="E37" i="53"/>
  <c r="G10" i="53" s="1"/>
  <c r="G8" i="53" s="1"/>
  <c r="AD75" i="65"/>
  <c r="E79" i="53"/>
  <c r="J49" i="53"/>
  <c r="I14" i="53" s="1"/>
  <c r="E61" i="53"/>
  <c r="K10" i="53" s="1"/>
  <c r="K8" i="53" s="1"/>
  <c r="J79" i="53"/>
  <c r="N14" i="53" s="1"/>
  <c r="E31" i="53"/>
  <c r="F10" i="53" s="1"/>
  <c r="E43" i="53"/>
  <c r="H10" i="53" s="1"/>
  <c r="H8" i="53" s="1"/>
  <c r="J31" i="53"/>
  <c r="F14" i="53" s="1"/>
  <c r="E55" i="53"/>
  <c r="J10" i="53" s="1"/>
  <c r="J8" i="53" s="1"/>
  <c r="AD75" i="66"/>
  <c r="AD75" i="67"/>
  <c r="AD75" i="41"/>
  <c r="K285" i="65"/>
  <c r="L285" i="65"/>
  <c r="K286" i="65"/>
  <c r="L286" i="65"/>
  <c r="K287" i="65"/>
  <c r="L287" i="65"/>
  <c r="K288" i="65"/>
  <c r="L288" i="65"/>
  <c r="K289" i="65"/>
  <c r="L289" i="65"/>
  <c r="K290" i="65"/>
  <c r="L290" i="65"/>
  <c r="K291" i="65"/>
  <c r="L291" i="65"/>
  <c r="K292" i="65"/>
  <c r="L292" i="65"/>
  <c r="K293" i="65"/>
  <c r="L293" i="65"/>
  <c r="K294" i="65"/>
  <c r="L294" i="65"/>
  <c r="K295" i="65"/>
  <c r="L295" i="65"/>
  <c r="K296" i="65"/>
  <c r="L296" i="65"/>
  <c r="K297" i="65"/>
  <c r="L297" i="65"/>
  <c r="K298" i="65"/>
  <c r="L298" i="65"/>
  <c r="K299" i="65"/>
  <c r="L299" i="65"/>
  <c r="K300" i="65"/>
  <c r="L300" i="65"/>
  <c r="K301" i="65"/>
  <c r="L301" i="65"/>
  <c r="K302" i="65"/>
  <c r="L302" i="65"/>
  <c r="K285" i="66"/>
  <c r="L285" i="66"/>
  <c r="K286" i="66"/>
  <c r="L286" i="66"/>
  <c r="K287" i="66"/>
  <c r="L287" i="66"/>
  <c r="K288" i="66"/>
  <c r="L288" i="66"/>
  <c r="K289" i="66"/>
  <c r="L289" i="66"/>
  <c r="K290" i="66"/>
  <c r="L290" i="66"/>
  <c r="K291" i="66"/>
  <c r="L291" i="66"/>
  <c r="K292" i="66"/>
  <c r="L292" i="66"/>
  <c r="K293" i="66"/>
  <c r="L293" i="66"/>
  <c r="K294" i="66"/>
  <c r="L294" i="66"/>
  <c r="K295" i="66"/>
  <c r="L295" i="66"/>
  <c r="K296" i="66"/>
  <c r="L296" i="66"/>
  <c r="K297" i="66"/>
  <c r="L297" i="66"/>
  <c r="K298" i="66"/>
  <c r="L298" i="66"/>
  <c r="K299" i="66"/>
  <c r="L299" i="66"/>
  <c r="K300" i="66"/>
  <c r="L300" i="66"/>
  <c r="K301" i="66"/>
  <c r="L301" i="66"/>
  <c r="K302" i="66"/>
  <c r="L302" i="66"/>
  <c r="K285" i="67"/>
  <c r="L285" i="67"/>
  <c r="K286" i="67"/>
  <c r="L286" i="67"/>
  <c r="K287" i="67"/>
  <c r="L287" i="67"/>
  <c r="K288" i="67"/>
  <c r="L288" i="67"/>
  <c r="K289" i="67"/>
  <c r="L289" i="67"/>
  <c r="K290" i="67"/>
  <c r="L290" i="67"/>
  <c r="K291" i="67"/>
  <c r="L291" i="67"/>
  <c r="K292" i="67"/>
  <c r="L292" i="67"/>
  <c r="K293" i="67"/>
  <c r="L293" i="67"/>
  <c r="K294" i="67"/>
  <c r="L294" i="67"/>
  <c r="K295" i="67"/>
  <c r="L295" i="67"/>
  <c r="K296" i="67"/>
  <c r="L296" i="67"/>
  <c r="K297" i="67"/>
  <c r="L297" i="67"/>
  <c r="K298" i="67"/>
  <c r="L298" i="67"/>
  <c r="K299" i="67"/>
  <c r="L299" i="67"/>
  <c r="K300" i="67"/>
  <c r="L300" i="67"/>
  <c r="K301" i="67"/>
  <c r="L301" i="67"/>
  <c r="K302" i="67"/>
  <c r="L302" i="67"/>
  <c r="K285" i="68"/>
  <c r="L285" i="68"/>
  <c r="K286" i="68"/>
  <c r="L286" i="68"/>
  <c r="K287" i="68"/>
  <c r="L287" i="68"/>
  <c r="K288" i="68"/>
  <c r="L288" i="68"/>
  <c r="K289" i="68"/>
  <c r="L289" i="68"/>
  <c r="K290" i="68"/>
  <c r="L290" i="68"/>
  <c r="K291" i="68"/>
  <c r="L291" i="68"/>
  <c r="K292" i="68"/>
  <c r="L292" i="68"/>
  <c r="K293" i="68"/>
  <c r="L293" i="68"/>
  <c r="K294" i="68"/>
  <c r="L294" i="68"/>
  <c r="K295" i="68"/>
  <c r="L295" i="68"/>
  <c r="K296" i="68"/>
  <c r="L296" i="68"/>
  <c r="K297" i="68"/>
  <c r="L297" i="68"/>
  <c r="K298" i="68"/>
  <c r="L298" i="68"/>
  <c r="K299" i="68"/>
  <c r="L299" i="68"/>
  <c r="K300" i="68"/>
  <c r="L300" i="68"/>
  <c r="K301" i="68"/>
  <c r="L301" i="68"/>
  <c r="K302" i="68"/>
  <c r="L302" i="68"/>
  <c r="K285" i="69"/>
  <c r="L285" i="69"/>
  <c r="K286" i="69"/>
  <c r="L286" i="69"/>
  <c r="K287" i="69"/>
  <c r="L287" i="69"/>
  <c r="K288" i="69"/>
  <c r="L288" i="69"/>
  <c r="K289" i="69"/>
  <c r="L289" i="69"/>
  <c r="K290" i="69"/>
  <c r="L290" i="69"/>
  <c r="K291" i="69"/>
  <c r="L291" i="69"/>
  <c r="K292" i="69"/>
  <c r="L292" i="69"/>
  <c r="K293" i="69"/>
  <c r="L293" i="69"/>
  <c r="K294" i="69"/>
  <c r="L294" i="69"/>
  <c r="K295" i="69"/>
  <c r="L295" i="69"/>
  <c r="K296" i="69"/>
  <c r="L296" i="69"/>
  <c r="K297" i="69"/>
  <c r="L297" i="69"/>
  <c r="K298" i="69"/>
  <c r="L298" i="69"/>
  <c r="K299" i="69"/>
  <c r="L299" i="69"/>
  <c r="K300" i="69"/>
  <c r="L300" i="69"/>
  <c r="K301" i="69"/>
  <c r="L301" i="69"/>
  <c r="K302" i="69"/>
  <c r="L302" i="69"/>
  <c r="K285" i="70"/>
  <c r="L285" i="70"/>
  <c r="K286" i="70"/>
  <c r="L286" i="70"/>
  <c r="K287" i="70"/>
  <c r="L287" i="70"/>
  <c r="K288" i="70"/>
  <c r="L288" i="70"/>
  <c r="K289" i="70"/>
  <c r="L289" i="70"/>
  <c r="K290" i="70"/>
  <c r="L290" i="70"/>
  <c r="K291" i="70"/>
  <c r="L291" i="70"/>
  <c r="K292" i="70"/>
  <c r="L292" i="70"/>
  <c r="K293" i="70"/>
  <c r="L293" i="70"/>
  <c r="K294" i="70"/>
  <c r="L294" i="70"/>
  <c r="K295" i="70"/>
  <c r="L295" i="70"/>
  <c r="K296" i="70"/>
  <c r="L296" i="70"/>
  <c r="K297" i="70"/>
  <c r="L297" i="70"/>
  <c r="K298" i="70"/>
  <c r="L298" i="70"/>
  <c r="K299" i="70"/>
  <c r="L299" i="70"/>
  <c r="K300" i="70"/>
  <c r="L300" i="70"/>
  <c r="K301" i="70"/>
  <c r="L301" i="70"/>
  <c r="K302" i="70"/>
  <c r="L302" i="70"/>
  <c r="K285" i="71"/>
  <c r="L285" i="71"/>
  <c r="K286" i="71"/>
  <c r="L286" i="71"/>
  <c r="K287" i="71"/>
  <c r="L287" i="71"/>
  <c r="K288" i="71"/>
  <c r="L288" i="71"/>
  <c r="K289" i="71"/>
  <c r="L289" i="71"/>
  <c r="K290" i="71"/>
  <c r="L290" i="71"/>
  <c r="K291" i="71"/>
  <c r="L291" i="71"/>
  <c r="K292" i="71"/>
  <c r="L292" i="71"/>
  <c r="K293" i="71"/>
  <c r="L293" i="71"/>
  <c r="K294" i="71"/>
  <c r="L294" i="71"/>
  <c r="K295" i="71"/>
  <c r="L295" i="71"/>
  <c r="K296" i="71"/>
  <c r="L296" i="71"/>
  <c r="K297" i="71"/>
  <c r="L297" i="71"/>
  <c r="K298" i="71"/>
  <c r="L298" i="71"/>
  <c r="K299" i="71"/>
  <c r="L299" i="71"/>
  <c r="K300" i="71"/>
  <c r="L300" i="71"/>
  <c r="K301" i="71"/>
  <c r="L301" i="71"/>
  <c r="K302" i="71"/>
  <c r="L302" i="71"/>
  <c r="K285" i="73"/>
  <c r="L285" i="73"/>
  <c r="K286" i="73"/>
  <c r="L286" i="73"/>
  <c r="K287" i="73"/>
  <c r="L287" i="73"/>
  <c r="K288" i="73"/>
  <c r="L288" i="73"/>
  <c r="K289" i="73"/>
  <c r="L289" i="73"/>
  <c r="K290" i="73"/>
  <c r="L290" i="73"/>
  <c r="K291" i="73"/>
  <c r="L291" i="73"/>
  <c r="K292" i="73"/>
  <c r="L292" i="73"/>
  <c r="K293" i="73"/>
  <c r="L293" i="73"/>
  <c r="K294" i="73"/>
  <c r="L294" i="73"/>
  <c r="K295" i="73"/>
  <c r="L295" i="73"/>
  <c r="K296" i="73"/>
  <c r="L296" i="73"/>
  <c r="K297" i="73"/>
  <c r="L297" i="73"/>
  <c r="K298" i="73"/>
  <c r="L298" i="73"/>
  <c r="K299" i="73"/>
  <c r="L299" i="73"/>
  <c r="K300" i="73"/>
  <c r="L300" i="73"/>
  <c r="K301" i="73"/>
  <c r="L301" i="73"/>
  <c r="K302" i="73"/>
  <c r="L302" i="73"/>
  <c r="K285" i="72"/>
  <c r="L285" i="72"/>
  <c r="K286" i="72"/>
  <c r="L286" i="72"/>
  <c r="K287" i="72"/>
  <c r="L287" i="72"/>
  <c r="K288" i="72"/>
  <c r="L288" i="72"/>
  <c r="K289" i="72"/>
  <c r="L289" i="72"/>
  <c r="K290" i="72"/>
  <c r="L290" i="72"/>
  <c r="K291" i="72"/>
  <c r="L291" i="72"/>
  <c r="K292" i="72"/>
  <c r="L292" i="72"/>
  <c r="K293" i="72"/>
  <c r="L293" i="72"/>
  <c r="K294" i="72"/>
  <c r="L294" i="72"/>
  <c r="K295" i="72"/>
  <c r="L295" i="72"/>
  <c r="K296" i="72"/>
  <c r="L296" i="72"/>
  <c r="K297" i="72"/>
  <c r="L297" i="72"/>
  <c r="K298" i="72"/>
  <c r="L298" i="72"/>
  <c r="K299" i="72"/>
  <c r="L299" i="72"/>
  <c r="K300" i="72"/>
  <c r="L300" i="72"/>
  <c r="K301" i="72"/>
  <c r="L301" i="72"/>
  <c r="K302" i="72"/>
  <c r="L302" i="72"/>
  <c r="K284" i="41"/>
  <c r="L284" i="41"/>
  <c r="K285" i="41"/>
  <c r="L285" i="41"/>
  <c r="K286" i="41"/>
  <c r="L286" i="41"/>
  <c r="K287" i="41"/>
  <c r="L287" i="41"/>
  <c r="K288" i="41"/>
  <c r="L288" i="41"/>
  <c r="K289" i="41"/>
  <c r="L289" i="41"/>
  <c r="K290" i="41"/>
  <c r="L290" i="41"/>
  <c r="K291" i="41"/>
  <c r="L291" i="41"/>
  <c r="K292" i="41"/>
  <c r="L292" i="41"/>
  <c r="K293" i="41"/>
  <c r="L293" i="41"/>
  <c r="K294" i="41"/>
  <c r="L294" i="41"/>
  <c r="K295" i="41"/>
  <c r="L295" i="41"/>
  <c r="K296" i="41"/>
  <c r="L296" i="41"/>
  <c r="K297" i="41"/>
  <c r="L297" i="41"/>
  <c r="K298" i="41"/>
  <c r="L298" i="41"/>
  <c r="K299" i="41"/>
  <c r="L299" i="41"/>
  <c r="K300" i="41"/>
  <c r="L300" i="41"/>
  <c r="K301" i="41"/>
  <c r="L301" i="41"/>
  <c r="L2" i="53" l="1"/>
  <c r="L9" i="53"/>
  <c r="M9" i="53"/>
  <c r="K9" i="53"/>
  <c r="J9" i="53"/>
  <c r="F8" i="53"/>
  <c r="I9" i="53"/>
  <c r="H9" i="53"/>
  <c r="E8" i="53"/>
  <c r="G9" i="53"/>
  <c r="F9" i="53"/>
  <c r="E9" i="53"/>
  <c r="Q14" i="53"/>
  <c r="Q12" i="53"/>
  <c r="Q13" i="53"/>
  <c r="N10" i="53"/>
  <c r="N8" i="53" s="1"/>
  <c r="Q11" i="53"/>
  <c r="F2" i="53"/>
  <c r="CI12" i="78"/>
  <c r="CR12" i="78" s="1"/>
  <c r="DA12" i="78" s="1"/>
  <c r="CR9" i="78"/>
  <c r="DA9" i="78" s="1"/>
  <c r="BG26" i="78"/>
  <c r="BG107" i="78" s="1"/>
  <c r="N26" i="78"/>
  <c r="N107" i="78" s="1"/>
  <c r="AX26" i="78"/>
  <c r="AX107" i="78" s="1"/>
  <c r="AO26" i="78"/>
  <c r="AO107" i="78" s="1"/>
  <c r="AF26" i="78"/>
  <c r="AF107" i="78" s="1"/>
  <c r="BP26" i="78"/>
  <c r="BP107" i="78" s="1"/>
  <c r="W26" i="78"/>
  <c r="W107" i="78" s="1"/>
  <c r="CZ26" i="78"/>
  <c r="CZ107" i="78" s="1"/>
  <c r="CQ26" i="78"/>
  <c r="CQ107" i="78" s="1"/>
  <c r="CH26" i="78"/>
  <c r="CH107" i="78" s="1"/>
  <c r="BY26" i="78"/>
  <c r="BY107" i="78" s="1"/>
  <c r="E26" i="78"/>
  <c r="E107" i="78" s="1"/>
  <c r="DC21" i="78"/>
  <c r="CT21" i="78"/>
  <c r="CK21" i="78"/>
  <c r="CB21" i="78"/>
  <c r="BS21" i="78"/>
  <c r="BJ21" i="78"/>
  <c r="Q21" i="78"/>
  <c r="BA21" i="78"/>
  <c r="AR21" i="78"/>
  <c r="AI21" i="78"/>
  <c r="Z21" i="78"/>
  <c r="H21" i="78"/>
  <c r="C15" i="78"/>
  <c r="F5" i="78"/>
  <c r="CI20" i="78"/>
  <c r="CH102" i="78" s="1"/>
  <c r="DA20" i="78"/>
  <c r="CZ102" i="78" s="1"/>
  <c r="CR20" i="78"/>
  <c r="CQ102" i="78" s="1"/>
  <c r="BZ20" i="78"/>
  <c r="BY102" i="78" s="1"/>
  <c r="BQ20" i="78"/>
  <c r="BP102" i="78" s="1"/>
  <c r="BH20" i="78"/>
  <c r="BG102" i="78" s="1"/>
  <c r="O20" i="78"/>
  <c r="N102" i="78" s="1"/>
  <c r="AY20" i="78"/>
  <c r="AX102" i="78" s="1"/>
  <c r="AP20" i="78"/>
  <c r="AO102" i="78" s="1"/>
  <c r="AG20" i="78"/>
  <c r="AF102" i="78" s="1"/>
  <c r="X20" i="78"/>
  <c r="W102" i="78" s="1"/>
  <c r="F20" i="78"/>
  <c r="E102" i="78" s="1"/>
  <c r="CZ20" i="78"/>
  <c r="CZ101" i="78" s="1"/>
  <c r="CQ20" i="78"/>
  <c r="CQ101" i="78" s="1"/>
  <c r="CH20" i="78"/>
  <c r="CH101" i="78" s="1"/>
  <c r="BY20" i="78"/>
  <c r="BY101" i="78" s="1"/>
  <c r="BP20" i="78"/>
  <c r="BP101" i="78" s="1"/>
  <c r="BG20" i="78"/>
  <c r="BG101" i="78" s="1"/>
  <c r="N20" i="78"/>
  <c r="N101" i="78" s="1"/>
  <c r="AX20" i="78"/>
  <c r="AX101" i="78" s="1"/>
  <c r="AO20" i="78"/>
  <c r="AO101" i="78" s="1"/>
  <c r="AF20" i="78"/>
  <c r="AF101" i="78" s="1"/>
  <c r="W20" i="78"/>
  <c r="W101" i="78" s="1"/>
  <c r="E20" i="78"/>
  <c r="E101" i="78" s="1"/>
  <c r="N21" i="78"/>
  <c r="BG21" i="78"/>
  <c r="AX21" i="78"/>
  <c r="AO21" i="78"/>
  <c r="AF21" i="78"/>
  <c r="W21" i="78"/>
  <c r="CZ21" i="78"/>
  <c r="CQ21" i="78"/>
  <c r="CH21" i="78"/>
  <c r="BY21" i="78"/>
  <c r="BP21" i="78"/>
  <c r="E21" i="78"/>
  <c r="U20" i="78"/>
  <c r="W99" i="78" s="1"/>
  <c r="CX20" i="78"/>
  <c r="CZ99" i="78" s="1"/>
  <c r="CO20" i="78"/>
  <c r="CQ99" i="78" s="1"/>
  <c r="CF20" i="78"/>
  <c r="CH99" i="78" s="1"/>
  <c r="BW20" i="78"/>
  <c r="BY99" i="78" s="1"/>
  <c r="BN20" i="78"/>
  <c r="BP99" i="78" s="1"/>
  <c r="BE20" i="78"/>
  <c r="BG99" i="78" s="1"/>
  <c r="L20" i="78"/>
  <c r="N99" i="78" s="1"/>
  <c r="AV20" i="78"/>
  <c r="AX99" i="78" s="1"/>
  <c r="AM20" i="78"/>
  <c r="AO99" i="78" s="1"/>
  <c r="AD20" i="78"/>
  <c r="AF99" i="78" s="1"/>
  <c r="C20" i="78"/>
  <c r="E99" i="78" s="1"/>
  <c r="BI27" i="78"/>
  <c r="P27" i="78"/>
  <c r="Y27" i="78"/>
  <c r="AZ27" i="78"/>
  <c r="AQ27" i="78"/>
  <c r="AH27" i="78"/>
  <c r="DB27" i="78"/>
  <c r="CS27" i="78"/>
  <c r="BR27" i="78"/>
  <c r="CJ27" i="78"/>
  <c r="CA27" i="78"/>
  <c r="G27" i="78"/>
  <c r="CA20" i="78"/>
  <c r="BY103" i="78" s="1"/>
  <c r="CJ20" i="78"/>
  <c r="CH103" i="78" s="1"/>
  <c r="BR20" i="78"/>
  <c r="BP103" i="78" s="1"/>
  <c r="P20" i="78"/>
  <c r="N103" i="78" s="1"/>
  <c r="BI20" i="78"/>
  <c r="BG103" i="78" s="1"/>
  <c r="AZ20" i="78"/>
  <c r="AX103" i="78" s="1"/>
  <c r="AQ20" i="78"/>
  <c r="AO103" i="78" s="1"/>
  <c r="AH20" i="78"/>
  <c r="AF103" i="78" s="1"/>
  <c r="Y20" i="78"/>
  <c r="W103" i="78" s="1"/>
  <c r="DB20" i="78"/>
  <c r="CZ103" i="78" s="1"/>
  <c r="CS20" i="78"/>
  <c r="CQ103" i="78" s="1"/>
  <c r="G20" i="78"/>
  <c r="E103" i="78" s="1"/>
  <c r="Z26" i="78"/>
  <c r="W110" i="78" s="1"/>
  <c r="DC26" i="78"/>
  <c r="CZ110" i="78" s="1"/>
  <c r="CT26" i="78"/>
  <c r="CQ110" i="78" s="1"/>
  <c r="CK26" i="78"/>
  <c r="CH110" i="78" s="1"/>
  <c r="CB26" i="78"/>
  <c r="BY110" i="78" s="1"/>
  <c r="BA26" i="78"/>
  <c r="AX110" i="78" s="1"/>
  <c r="BS26" i="78"/>
  <c r="BP110" i="78" s="1"/>
  <c r="BJ26" i="78"/>
  <c r="BG110" i="78" s="1"/>
  <c r="AR26" i="78"/>
  <c r="AO110" i="78" s="1"/>
  <c r="Q26" i="78"/>
  <c r="N110" i="78" s="1"/>
  <c r="AI26" i="78"/>
  <c r="AF110" i="78" s="1"/>
  <c r="H26" i="78"/>
  <c r="E110" i="78" s="1"/>
  <c r="BQ27" i="78"/>
  <c r="BH27" i="78"/>
  <c r="AG27" i="78"/>
  <c r="O27" i="78"/>
  <c r="BZ27" i="78"/>
  <c r="AY27" i="78"/>
  <c r="AP27" i="78"/>
  <c r="X27" i="78"/>
  <c r="DA27" i="78"/>
  <c r="CR27" i="78"/>
  <c r="CI27" i="78"/>
  <c r="F27" i="78"/>
  <c r="CX27" i="78"/>
  <c r="CO27" i="78"/>
  <c r="CF27" i="78"/>
  <c r="BW27" i="78"/>
  <c r="BN27" i="78"/>
  <c r="BE27" i="78"/>
  <c r="L27" i="78"/>
  <c r="AV27" i="78"/>
  <c r="AM27" i="78"/>
  <c r="AD27" i="78"/>
  <c r="U27" i="78"/>
  <c r="C27" i="78"/>
  <c r="CG27" i="78"/>
  <c r="BX27" i="78"/>
  <c r="BO27" i="78"/>
  <c r="BF27" i="78"/>
  <c r="M27" i="78"/>
  <c r="CY27" i="78"/>
  <c r="AW27" i="78"/>
  <c r="AN27" i="78"/>
  <c r="AE27" i="78"/>
  <c r="V27" i="78"/>
  <c r="CP27" i="78"/>
  <c r="D27" i="78"/>
  <c r="BY27" i="78"/>
  <c r="BP27" i="78"/>
  <c r="BG27" i="78"/>
  <c r="N27" i="78"/>
  <c r="AX27" i="78"/>
  <c r="AO27" i="78"/>
  <c r="AF27" i="78"/>
  <c r="CH27" i="78"/>
  <c r="W27" i="78"/>
  <c r="CZ27" i="78"/>
  <c r="CQ27" i="78"/>
  <c r="E27" i="78"/>
  <c r="BW26" i="78"/>
  <c r="BY105" i="78" s="1"/>
  <c r="L26" i="78"/>
  <c r="N105" i="78" s="1"/>
  <c r="BN26" i="78"/>
  <c r="BP105" i="78" s="1"/>
  <c r="CF26" i="78"/>
  <c r="CH105" i="78" s="1"/>
  <c r="BE26" i="78"/>
  <c r="BG105" i="78" s="1"/>
  <c r="AV26" i="78"/>
  <c r="AX105" i="78" s="1"/>
  <c r="AM26" i="78"/>
  <c r="AO105" i="78" s="1"/>
  <c r="AD26" i="78"/>
  <c r="AF105" i="78" s="1"/>
  <c r="U26" i="78"/>
  <c r="W105" i="78" s="1"/>
  <c r="CX26" i="78"/>
  <c r="CZ105" i="78" s="1"/>
  <c r="CO26" i="78"/>
  <c r="CQ105" i="78" s="1"/>
  <c r="C26" i="78"/>
  <c r="E105" i="78" s="1"/>
  <c r="Q27" i="78"/>
  <c r="BA27" i="78"/>
  <c r="AR27" i="78"/>
  <c r="AI27" i="78"/>
  <c r="Z27" i="78"/>
  <c r="DC27" i="78"/>
  <c r="CT27" i="78"/>
  <c r="CK27" i="78"/>
  <c r="BJ27" i="78"/>
  <c r="CB27" i="78"/>
  <c r="BS27" i="78"/>
  <c r="H27" i="78"/>
  <c r="Y21" i="78"/>
  <c r="DB21" i="78"/>
  <c r="CS21" i="78"/>
  <c r="AZ21" i="78"/>
  <c r="CJ21" i="78"/>
  <c r="CA21" i="78"/>
  <c r="BR21" i="78"/>
  <c r="BI21" i="78"/>
  <c r="P21" i="78"/>
  <c r="AH21" i="78"/>
  <c r="AQ21" i="78"/>
  <c r="G21" i="78"/>
  <c r="BO26" i="78"/>
  <c r="BP106" i="78" s="1"/>
  <c r="BF26" i="78"/>
  <c r="BG106" i="78" s="1"/>
  <c r="M26" i="78"/>
  <c r="N106" i="78" s="1"/>
  <c r="AE26" i="78"/>
  <c r="AF106" i="78" s="1"/>
  <c r="AW26" i="78"/>
  <c r="AX106" i="78" s="1"/>
  <c r="AN26" i="78"/>
  <c r="AO106" i="78" s="1"/>
  <c r="BX26" i="78"/>
  <c r="BY106" i="78" s="1"/>
  <c r="V26" i="78"/>
  <c r="W106" i="78" s="1"/>
  <c r="CY26" i="78"/>
  <c r="CZ106" i="78" s="1"/>
  <c r="CP26" i="78"/>
  <c r="CQ106" i="78" s="1"/>
  <c r="CG26" i="78"/>
  <c r="CH106" i="78" s="1"/>
  <c r="D26" i="78"/>
  <c r="E106" i="78" s="1"/>
  <c r="AY21" i="78"/>
  <c r="AP21" i="78"/>
  <c r="AG21" i="78"/>
  <c r="X21" i="78"/>
  <c r="DA21" i="78"/>
  <c r="CR21" i="78"/>
  <c r="CI21" i="78"/>
  <c r="BZ21" i="78"/>
  <c r="BQ21" i="78"/>
  <c r="BH21" i="78"/>
  <c r="O21" i="78"/>
  <c r="F21" i="78"/>
  <c r="G5" i="78"/>
  <c r="D15" i="78"/>
  <c r="BS20" i="78"/>
  <c r="BP104" i="78" s="1"/>
  <c r="BJ20" i="78"/>
  <c r="BG104" i="78" s="1"/>
  <c r="AI20" i="78"/>
  <c r="AF104" i="78" s="1"/>
  <c r="Q20" i="78"/>
  <c r="N104" i="78" s="1"/>
  <c r="BA20" i="78"/>
  <c r="AX104" i="78" s="1"/>
  <c r="AR20" i="78"/>
  <c r="AO104" i="78" s="1"/>
  <c r="Z20" i="78"/>
  <c r="W104" i="78" s="1"/>
  <c r="DC20" i="78"/>
  <c r="CZ104" i="78" s="1"/>
  <c r="CT20" i="78"/>
  <c r="CQ104" i="78" s="1"/>
  <c r="CK20" i="78"/>
  <c r="CH104" i="78" s="1"/>
  <c r="CB20" i="78"/>
  <c r="BY104" i="78" s="1"/>
  <c r="H20" i="78"/>
  <c r="E104" i="78" s="1"/>
  <c r="AZ26" i="78"/>
  <c r="AX109" i="78" s="1"/>
  <c r="AQ26" i="78"/>
  <c r="AO109" i="78" s="1"/>
  <c r="AH26" i="78"/>
  <c r="AF109" i="78" s="1"/>
  <c r="Y26" i="78"/>
  <c r="W109" i="78" s="1"/>
  <c r="DB26" i="78"/>
  <c r="CZ109" i="78" s="1"/>
  <c r="CS26" i="78"/>
  <c r="CQ109" i="78" s="1"/>
  <c r="CJ26" i="78"/>
  <c r="CH109" i="78" s="1"/>
  <c r="CA26" i="78"/>
  <c r="BY109" i="78" s="1"/>
  <c r="BR26" i="78"/>
  <c r="BP109" i="78" s="1"/>
  <c r="BI26" i="78"/>
  <c r="BG109" i="78" s="1"/>
  <c r="P26" i="78"/>
  <c r="N109" i="78" s="1"/>
  <c r="G26" i="78"/>
  <c r="E109" i="78" s="1"/>
  <c r="BE21" i="78"/>
  <c r="L21" i="78"/>
  <c r="U21" i="78"/>
  <c r="AV21" i="78"/>
  <c r="AM21" i="78"/>
  <c r="AD21" i="78"/>
  <c r="CX21" i="78"/>
  <c r="CO21" i="78"/>
  <c r="CF21" i="78"/>
  <c r="BW21" i="78"/>
  <c r="BN21" i="78"/>
  <c r="C21" i="78"/>
  <c r="V21" i="78"/>
  <c r="AN21" i="78"/>
  <c r="AW21" i="78"/>
  <c r="CP21" i="78"/>
  <c r="CG21" i="78"/>
  <c r="BF21" i="78"/>
  <c r="CY21" i="78"/>
  <c r="BO21" i="78"/>
  <c r="BX21" i="78"/>
  <c r="M21" i="78"/>
  <c r="AE21" i="78"/>
  <c r="D21" i="78"/>
  <c r="M20" i="78"/>
  <c r="N100" i="78" s="1"/>
  <c r="CY20" i="78"/>
  <c r="CZ100" i="78" s="1"/>
  <c r="AN20" i="78"/>
  <c r="AO100" i="78" s="1"/>
  <c r="AE20" i="78"/>
  <c r="AF100" i="78" s="1"/>
  <c r="CP20" i="78"/>
  <c r="CQ100" i="78" s="1"/>
  <c r="BX20" i="78"/>
  <c r="BY100" i="78" s="1"/>
  <c r="BO20" i="78"/>
  <c r="BP100" i="78" s="1"/>
  <c r="CG20" i="78"/>
  <c r="CH100" i="78" s="1"/>
  <c r="BF20" i="78"/>
  <c r="BG100" i="78" s="1"/>
  <c r="V20" i="78"/>
  <c r="W100" i="78" s="1"/>
  <c r="AW20" i="78"/>
  <c r="AX100" i="78" s="1"/>
  <c r="D20" i="78"/>
  <c r="E100" i="78" s="1"/>
  <c r="Q10" i="53" l="1"/>
  <c r="O9" i="53"/>
  <c r="P9" i="53"/>
  <c r="N9" i="53"/>
  <c r="F26" i="78"/>
  <c r="E108" i="78" s="1"/>
  <c r="CR26" i="78"/>
  <c r="CQ108" i="78" s="1"/>
  <c r="AG26" i="78"/>
  <c r="AF108" i="78" s="1"/>
  <c r="BQ26" i="78"/>
  <c r="BP108" i="78" s="1"/>
  <c r="DA26" i="78"/>
  <c r="CZ108" i="78" s="1"/>
  <c r="AP26" i="78"/>
  <c r="AO108" i="78" s="1"/>
  <c r="BZ26" i="78"/>
  <c r="BY108" i="78" s="1"/>
  <c r="X26" i="78"/>
  <c r="W108" i="78" s="1"/>
  <c r="AY26" i="78"/>
  <c r="AX108" i="78" s="1"/>
  <c r="CI26" i="78"/>
  <c r="CH108" i="78" s="1"/>
  <c r="BH26" i="78"/>
  <c r="BG108" i="78" s="1"/>
  <c r="O26" i="78"/>
  <c r="N108" i="78" s="1"/>
  <c r="CK25" i="78"/>
  <c r="CB25" i="78"/>
  <c r="CT25" i="78"/>
  <c r="BS25" i="78"/>
  <c r="DC25" i="78"/>
  <c r="BJ25" i="78"/>
  <c r="Q25" i="78"/>
  <c r="BA25" i="78"/>
  <c r="AR25" i="78"/>
  <c r="AI25" i="78"/>
  <c r="Z25" i="78"/>
  <c r="H25" i="78"/>
  <c r="BA19" i="78"/>
  <c r="AR19" i="78"/>
  <c r="AI19" i="78"/>
  <c r="Z19" i="78"/>
  <c r="DC19" i="78"/>
  <c r="CT19" i="78"/>
  <c r="CK19" i="78"/>
  <c r="CB19" i="78"/>
  <c r="BS19" i="78"/>
  <c r="BJ19" i="78"/>
  <c r="Q19" i="78"/>
  <c r="H19" i="78"/>
  <c r="F15" i="78"/>
  <c r="O5" i="78"/>
  <c r="BP19" i="78"/>
  <c r="BG19" i="78"/>
  <c r="BY19" i="78"/>
  <c r="N19" i="78"/>
  <c r="AX19" i="78"/>
  <c r="AO19" i="78"/>
  <c r="AF19" i="78"/>
  <c r="W19" i="78"/>
  <c r="CZ19" i="78"/>
  <c r="CQ19" i="78"/>
  <c r="CH19" i="78"/>
  <c r="E19" i="78"/>
  <c r="DB25" i="78"/>
  <c r="CS25" i="78"/>
  <c r="CJ25" i="78"/>
  <c r="CA25" i="78"/>
  <c r="BR25" i="78"/>
  <c r="BI25" i="78"/>
  <c r="P25" i="78"/>
  <c r="AZ25" i="78"/>
  <c r="AQ25" i="78"/>
  <c r="AH25" i="78"/>
  <c r="Y25" i="78"/>
  <c r="G25" i="78"/>
  <c r="BE25" i="78"/>
  <c r="L25" i="78"/>
  <c r="U25" i="78"/>
  <c r="AV25" i="78"/>
  <c r="AM25" i="78"/>
  <c r="AD25" i="78"/>
  <c r="CX25" i="78"/>
  <c r="CO25" i="78"/>
  <c r="CF25" i="78"/>
  <c r="BN25" i="78"/>
  <c r="BW25" i="78"/>
  <c r="C25" i="78"/>
  <c r="BH19" i="78"/>
  <c r="O19" i="78"/>
  <c r="AY19" i="78"/>
  <c r="AP19" i="78"/>
  <c r="AG19" i="78"/>
  <c r="X19" i="78"/>
  <c r="DA19" i="78"/>
  <c r="CR19" i="78"/>
  <c r="CI19" i="78"/>
  <c r="BQ19" i="78"/>
  <c r="BZ19" i="78"/>
  <c r="F19" i="78"/>
  <c r="P19" i="78"/>
  <c r="AZ19" i="78"/>
  <c r="AQ19" i="78"/>
  <c r="AH19" i="78"/>
  <c r="BI19" i="78"/>
  <c r="Y19" i="78"/>
  <c r="DB19" i="78"/>
  <c r="CS19" i="78"/>
  <c r="CJ19" i="78"/>
  <c r="CA19" i="78"/>
  <c r="BR19" i="78"/>
  <c r="G19" i="78"/>
  <c r="X25" i="78"/>
  <c r="DA25" i="78"/>
  <c r="CR25" i="78"/>
  <c r="CI25" i="78"/>
  <c r="AP25" i="78"/>
  <c r="BZ25" i="78"/>
  <c r="BQ25" i="78"/>
  <c r="BH25" i="78"/>
  <c r="AY25" i="78"/>
  <c r="O25" i="78"/>
  <c r="AG25" i="78"/>
  <c r="F25" i="78"/>
  <c r="BW19" i="78"/>
  <c r="BN19" i="78"/>
  <c r="BE19" i="78"/>
  <c r="L19" i="78"/>
  <c r="AV19" i="78"/>
  <c r="AM19" i="78"/>
  <c r="AD19" i="78"/>
  <c r="U19" i="78"/>
  <c r="CX19" i="78"/>
  <c r="CO19" i="78"/>
  <c r="CF19" i="78"/>
  <c r="C19" i="78"/>
  <c r="P5" i="78"/>
  <c r="G15" i="78"/>
  <c r="AX25" i="78"/>
  <c r="AO25" i="78"/>
  <c r="AF25" i="78"/>
  <c r="W25" i="78"/>
  <c r="CZ25" i="78"/>
  <c r="CQ25" i="78"/>
  <c r="CH25" i="78"/>
  <c r="BY25" i="78"/>
  <c r="BP25" i="78"/>
  <c r="BG25" i="78"/>
  <c r="N25" i="78"/>
  <c r="E25" i="78"/>
  <c r="CG19" i="78"/>
  <c r="BF19" i="78"/>
  <c r="BO19" i="78"/>
  <c r="V19" i="78"/>
  <c r="AW19" i="78"/>
  <c r="AN19" i="78"/>
  <c r="M19" i="78"/>
  <c r="CY19" i="78"/>
  <c r="AE19" i="78"/>
  <c r="CP19" i="78"/>
  <c r="BX19" i="78"/>
  <c r="D19" i="78"/>
  <c r="K3" i="41"/>
  <c r="L3" i="41"/>
  <c r="K3" i="73"/>
  <c r="L3" i="73"/>
  <c r="K4" i="73"/>
  <c r="L4" i="73"/>
  <c r="K5" i="73"/>
  <c r="L5" i="73"/>
  <c r="K6" i="73"/>
  <c r="L6" i="73"/>
  <c r="K7" i="73"/>
  <c r="L7" i="73"/>
  <c r="K8" i="73"/>
  <c r="L8" i="73"/>
  <c r="K9" i="73"/>
  <c r="L9" i="73"/>
  <c r="K10" i="73"/>
  <c r="L10" i="73"/>
  <c r="K11" i="73"/>
  <c r="L11" i="73"/>
  <c r="K12" i="73"/>
  <c r="L12" i="73"/>
  <c r="K13" i="73"/>
  <c r="L13" i="73"/>
  <c r="K14" i="73"/>
  <c r="L14" i="73"/>
  <c r="K15" i="73"/>
  <c r="L15" i="73"/>
  <c r="K16" i="73"/>
  <c r="L16" i="73"/>
  <c r="K17" i="73"/>
  <c r="L17" i="73"/>
  <c r="K18" i="73"/>
  <c r="L18" i="73"/>
  <c r="K19" i="73"/>
  <c r="L19" i="73"/>
  <c r="K20" i="73"/>
  <c r="L20" i="73"/>
  <c r="K21" i="73"/>
  <c r="L21" i="73"/>
  <c r="K4" i="71"/>
  <c r="L4" i="71"/>
  <c r="K5" i="71"/>
  <c r="L5" i="71"/>
  <c r="K3" i="69"/>
  <c r="L3" i="69"/>
  <c r="K4" i="69"/>
  <c r="L4" i="69"/>
  <c r="K3" i="68"/>
  <c r="L3" i="68"/>
  <c r="K4" i="68"/>
  <c r="L4" i="68"/>
  <c r="K5" i="68"/>
  <c r="L5" i="68"/>
  <c r="K6" i="68"/>
  <c r="L6" i="68"/>
  <c r="AP23" i="68" s="1"/>
  <c r="K3" i="67"/>
  <c r="L3" i="67"/>
  <c r="K4" i="67"/>
  <c r="L4" i="67"/>
  <c r="K5" i="67"/>
  <c r="L5" i="67"/>
  <c r="K6" i="67"/>
  <c r="L6" i="67"/>
  <c r="K7" i="67"/>
  <c r="L7" i="67"/>
  <c r="K8" i="67"/>
  <c r="L8" i="67"/>
  <c r="K9" i="67"/>
  <c r="L9" i="67"/>
  <c r="K10" i="67"/>
  <c r="L10" i="67"/>
  <c r="K11" i="67"/>
  <c r="L11" i="67"/>
  <c r="K12" i="67"/>
  <c r="L12" i="67"/>
  <c r="K5" i="66"/>
  <c r="L5" i="66"/>
  <c r="AQ72" i="66" s="1"/>
  <c r="K6" i="66"/>
  <c r="L6" i="66"/>
  <c r="K7" i="66"/>
  <c r="L7" i="66"/>
  <c r="K8" i="66"/>
  <c r="L8" i="66"/>
  <c r="K9" i="66"/>
  <c r="L9" i="66"/>
  <c r="K10" i="66"/>
  <c r="L10" i="66"/>
  <c r="K11" i="66"/>
  <c r="L11" i="66"/>
  <c r="K12" i="66"/>
  <c r="L12" i="66"/>
  <c r="K13" i="66"/>
  <c r="L13" i="66"/>
  <c r="K14" i="66"/>
  <c r="L14" i="66"/>
  <c r="K15" i="66"/>
  <c r="L15" i="66"/>
  <c r="K16" i="66"/>
  <c r="L16" i="66"/>
  <c r="K17" i="66"/>
  <c r="L17" i="66"/>
  <c r="K18" i="66"/>
  <c r="L18" i="66"/>
  <c r="K19" i="66"/>
  <c r="L19" i="66"/>
  <c r="K20" i="66"/>
  <c r="L20" i="66"/>
  <c r="K21" i="66"/>
  <c r="L21" i="66"/>
  <c r="K22" i="66"/>
  <c r="L22" i="66"/>
  <c r="K23" i="66"/>
  <c r="L23" i="66"/>
  <c r="K24" i="66"/>
  <c r="L24" i="66"/>
  <c r="K25" i="66"/>
  <c r="L25" i="66"/>
  <c r="K26" i="66"/>
  <c r="L26" i="66"/>
  <c r="K27" i="66"/>
  <c r="L27" i="66"/>
  <c r="K28" i="66"/>
  <c r="L28" i="66"/>
  <c r="K29" i="66"/>
  <c r="L29" i="66"/>
  <c r="K30" i="66"/>
  <c r="L30" i="66"/>
  <c r="K31" i="66"/>
  <c r="L31" i="66"/>
  <c r="K32" i="66"/>
  <c r="L32" i="66"/>
  <c r="K33" i="66"/>
  <c r="L33" i="66"/>
  <c r="K34" i="66"/>
  <c r="L34" i="66"/>
  <c r="K35" i="66"/>
  <c r="L35" i="66"/>
  <c r="K36" i="66"/>
  <c r="L36" i="66"/>
  <c r="K37" i="66"/>
  <c r="L37" i="66"/>
  <c r="K38" i="66"/>
  <c r="L38" i="66"/>
  <c r="K39" i="66"/>
  <c r="L39" i="66"/>
  <c r="K40" i="66"/>
  <c r="L40" i="66"/>
  <c r="K41" i="66"/>
  <c r="L41" i="66"/>
  <c r="K42" i="66"/>
  <c r="L42" i="66"/>
  <c r="K43" i="66"/>
  <c r="L43" i="66"/>
  <c r="K44" i="66"/>
  <c r="L44" i="66"/>
  <c r="K45" i="66"/>
  <c r="L45" i="66"/>
  <c r="K46" i="66"/>
  <c r="L46" i="66"/>
  <c r="K47" i="66"/>
  <c r="L47" i="66"/>
  <c r="K48" i="66"/>
  <c r="L48" i="66"/>
  <c r="K49" i="66"/>
  <c r="L49" i="66"/>
  <c r="K50" i="66"/>
  <c r="L50" i="66"/>
  <c r="K51" i="66"/>
  <c r="L51" i="66"/>
  <c r="K52" i="66"/>
  <c r="L52" i="66"/>
  <c r="K53" i="66"/>
  <c r="L53" i="66"/>
  <c r="K54" i="66"/>
  <c r="L54" i="66"/>
  <c r="K55" i="66"/>
  <c r="L55" i="66"/>
  <c r="K56" i="66"/>
  <c r="L56" i="66"/>
  <c r="K57" i="66"/>
  <c r="L57" i="66"/>
  <c r="K58" i="66"/>
  <c r="L58" i="66"/>
  <c r="K59" i="66"/>
  <c r="L59" i="66"/>
  <c r="K60" i="66"/>
  <c r="L60" i="66"/>
  <c r="K61" i="66"/>
  <c r="L61" i="66"/>
  <c r="K62" i="66"/>
  <c r="L62" i="66"/>
  <c r="K63" i="66"/>
  <c r="L63" i="66"/>
  <c r="K64" i="66"/>
  <c r="L64" i="66"/>
  <c r="K65" i="66"/>
  <c r="L65" i="66"/>
  <c r="K4" i="65"/>
  <c r="L4" i="65"/>
  <c r="AQ28" i="65" s="1"/>
  <c r="K5" i="65"/>
  <c r="L5" i="65"/>
  <c r="AQ30" i="65" s="1"/>
  <c r="K6" i="65"/>
  <c r="L6" i="65"/>
  <c r="AQ35" i="65" s="1"/>
  <c r="K8" i="65"/>
  <c r="L8" i="65"/>
  <c r="AP52" i="65" s="1"/>
  <c r="K9" i="65"/>
  <c r="L9" i="65"/>
  <c r="AQ53" i="65" s="1"/>
  <c r="K10" i="65"/>
  <c r="L10" i="65"/>
  <c r="K11" i="65"/>
  <c r="L11" i="65"/>
  <c r="AP65" i="65"/>
  <c r="K4" i="41"/>
  <c r="L4" i="41"/>
  <c r="K5" i="41"/>
  <c r="L5" i="41"/>
  <c r="K7" i="41"/>
  <c r="L7" i="41"/>
  <c r="AO4" i="41" s="1"/>
  <c r="P21" i="53" s="1"/>
  <c r="K8" i="41"/>
  <c r="L8" i="41"/>
  <c r="AP3" i="41"/>
  <c r="K10" i="41"/>
  <c r="L10" i="41"/>
  <c r="K11" i="41"/>
  <c r="L11" i="41"/>
  <c r="K12" i="41"/>
  <c r="L12" i="41"/>
  <c r="AO7" i="41" s="1"/>
  <c r="P24" i="53" s="1"/>
  <c r="K13" i="41"/>
  <c r="L13" i="41"/>
  <c r="K14" i="41"/>
  <c r="L14" i="41"/>
  <c r="K15" i="41"/>
  <c r="L15" i="41"/>
  <c r="AO10" i="41" s="1"/>
  <c r="K17" i="41"/>
  <c r="L17" i="41"/>
  <c r="K18" i="41"/>
  <c r="L18" i="41"/>
  <c r="AP11" i="41" s="1"/>
  <c r="Q28" i="53" s="1"/>
  <c r="K19" i="41"/>
  <c r="L19" i="41"/>
  <c r="K20" i="41"/>
  <c r="L20" i="41"/>
  <c r="K21" i="41"/>
  <c r="L21" i="41"/>
  <c r="K22" i="41"/>
  <c r="L22" i="41"/>
  <c r="K24" i="41"/>
  <c r="L24" i="41"/>
  <c r="K25" i="41"/>
  <c r="L25" i="41"/>
  <c r="L26" i="41"/>
  <c r="K27" i="41"/>
  <c r="L27" i="41"/>
  <c r="K28" i="41"/>
  <c r="L28" i="41"/>
  <c r="K29" i="41"/>
  <c r="L29" i="41"/>
  <c r="AP12" i="41" s="1"/>
  <c r="Q29" i="53" s="1"/>
  <c r="K30" i="41"/>
  <c r="L30" i="41"/>
  <c r="AP15" i="41" s="1"/>
  <c r="K31" i="41"/>
  <c r="L31" i="41"/>
  <c r="K32" i="41"/>
  <c r="L32" i="41"/>
  <c r="K33" i="41"/>
  <c r="L33" i="41"/>
  <c r="L34" i="41"/>
  <c r="K35" i="41"/>
  <c r="L35" i="41"/>
  <c r="K36" i="41"/>
  <c r="L36" i="41"/>
  <c r="K37" i="41"/>
  <c r="L37" i="41"/>
  <c r="K38" i="41"/>
  <c r="L38" i="41"/>
  <c r="AP17" i="41" s="1"/>
  <c r="Q34" i="53" s="1"/>
  <c r="K39" i="41"/>
  <c r="L39" i="41"/>
  <c r="K40" i="41"/>
  <c r="L40" i="41"/>
  <c r="AO18" i="41" s="1"/>
  <c r="K41" i="41"/>
  <c r="L41" i="41"/>
  <c r="AP18" i="41" s="1"/>
  <c r="Q35" i="53" s="1"/>
  <c r="K42" i="41"/>
  <c r="L42" i="41"/>
  <c r="K43" i="41"/>
  <c r="L43" i="41"/>
  <c r="K44" i="41"/>
  <c r="L44" i="41"/>
  <c r="K45" i="41"/>
  <c r="L45" i="41"/>
  <c r="K47" i="41"/>
  <c r="L47" i="41"/>
  <c r="K48" i="41"/>
  <c r="L48" i="41"/>
  <c r="K49" i="41"/>
  <c r="L49" i="41"/>
  <c r="K50" i="41"/>
  <c r="L50" i="41"/>
  <c r="K51" i="41"/>
  <c r="L51" i="41"/>
  <c r="K52" i="41"/>
  <c r="L52" i="41"/>
  <c r="K53" i="41"/>
  <c r="L53" i="41"/>
  <c r="K55" i="41"/>
  <c r="L55" i="41"/>
  <c r="K56" i="41"/>
  <c r="L56" i="41"/>
  <c r="K57" i="41"/>
  <c r="L57" i="41"/>
  <c r="K58" i="41"/>
  <c r="L58" i="41"/>
  <c r="K59" i="41"/>
  <c r="L59" i="41"/>
  <c r="K60" i="41"/>
  <c r="L60" i="41"/>
  <c r="AQ24" i="41" s="1"/>
  <c r="K61" i="41"/>
  <c r="L61" i="41"/>
  <c r="K62" i="41"/>
  <c r="L62" i="41"/>
  <c r="AO25" i="41" s="1"/>
  <c r="K63" i="41"/>
  <c r="L63" i="41"/>
  <c r="K64" i="41"/>
  <c r="L64" i="41"/>
  <c r="K66" i="41"/>
  <c r="L66" i="41"/>
  <c r="K67" i="41"/>
  <c r="L67" i="41"/>
  <c r="K68" i="41"/>
  <c r="L68" i="41"/>
  <c r="K69" i="41"/>
  <c r="L69" i="41"/>
  <c r="K70" i="41"/>
  <c r="L70" i="41"/>
  <c r="K71" i="41"/>
  <c r="L71" i="41"/>
  <c r="K72" i="41"/>
  <c r="L72" i="41"/>
  <c r="K73" i="41"/>
  <c r="L73" i="41"/>
  <c r="K74" i="41"/>
  <c r="L74" i="41"/>
  <c r="K75" i="41"/>
  <c r="L75" i="41"/>
  <c r="K76" i="41"/>
  <c r="L76" i="41"/>
  <c r="K77" i="41"/>
  <c r="L77" i="41"/>
  <c r="K78" i="41"/>
  <c r="L78" i="41"/>
  <c r="K79" i="41"/>
  <c r="L79" i="41"/>
  <c r="K81" i="41"/>
  <c r="L81" i="41"/>
  <c r="K82" i="41"/>
  <c r="L82" i="41"/>
  <c r="L83" i="41"/>
  <c r="AP33" i="41" s="1"/>
  <c r="K84" i="41"/>
  <c r="L84" i="41"/>
  <c r="AO34" i="41" s="1"/>
  <c r="K85" i="41"/>
  <c r="L85" i="41"/>
  <c r="K86" i="41"/>
  <c r="L86" i="41"/>
  <c r="K88" i="41"/>
  <c r="L88" i="41"/>
  <c r="K89" i="41"/>
  <c r="L89" i="41"/>
  <c r="K91" i="41"/>
  <c r="L91" i="41"/>
  <c r="AO36" i="41" s="1"/>
  <c r="K97" i="41"/>
  <c r="L97" i="41"/>
  <c r="K98" i="41"/>
  <c r="L98" i="41"/>
  <c r="K99" i="41"/>
  <c r="L99" i="41"/>
  <c r="K100" i="41"/>
  <c r="L100" i="41"/>
  <c r="L101" i="41"/>
  <c r="AP41" i="41" s="1"/>
  <c r="K102" i="41"/>
  <c r="L102" i="41"/>
  <c r="K103" i="41"/>
  <c r="L103" i="41"/>
  <c r="K104" i="41"/>
  <c r="L104" i="41"/>
  <c r="K105" i="41"/>
  <c r="L105" i="41"/>
  <c r="K107" i="41"/>
  <c r="L107" i="41"/>
  <c r="K108" i="41"/>
  <c r="L108" i="41"/>
  <c r="K109" i="41"/>
  <c r="L109" i="41"/>
  <c r="K110" i="41"/>
  <c r="L110" i="41"/>
  <c r="K111" i="41"/>
  <c r="L111" i="41"/>
  <c r="K112" i="41"/>
  <c r="L112" i="41"/>
  <c r="K113" i="41"/>
  <c r="L113" i="41"/>
  <c r="K114" i="41"/>
  <c r="L114" i="41"/>
  <c r="K115" i="41"/>
  <c r="L115" i="41"/>
  <c r="K116" i="41"/>
  <c r="L116" i="41"/>
  <c r="K117" i="41"/>
  <c r="L117" i="41"/>
  <c r="K118" i="41"/>
  <c r="L118" i="41"/>
  <c r="K119" i="41"/>
  <c r="L119" i="41"/>
  <c r="K120" i="41"/>
  <c r="L120" i="41"/>
  <c r="K121" i="41"/>
  <c r="L121" i="41"/>
  <c r="K122" i="41"/>
  <c r="L122" i="41"/>
  <c r="K123" i="41"/>
  <c r="L123" i="41"/>
  <c r="K124" i="41"/>
  <c r="L124" i="41"/>
  <c r="K125" i="41"/>
  <c r="L125" i="41"/>
  <c r="K126" i="41"/>
  <c r="L126" i="41"/>
  <c r="AQ47" i="41" s="1"/>
  <c r="K127" i="41"/>
  <c r="L127" i="41"/>
  <c r="AP47" i="41" s="1"/>
  <c r="Q64" i="53" s="1"/>
  <c r="K128" i="41"/>
  <c r="L128" i="41"/>
  <c r="K129" i="41"/>
  <c r="L129" i="41"/>
  <c r="K130" i="41"/>
  <c r="L130" i="41"/>
  <c r="K131" i="41"/>
  <c r="L131" i="41"/>
  <c r="K132" i="41"/>
  <c r="L132" i="41"/>
  <c r="L134" i="41"/>
  <c r="K142" i="41"/>
  <c r="L142" i="41"/>
  <c r="AP51" i="41" s="1"/>
  <c r="K143" i="41"/>
  <c r="L143" i="41"/>
  <c r="AQ51" i="41" s="1"/>
  <c r="K144" i="41"/>
  <c r="L144" i="41"/>
  <c r="K145" i="41"/>
  <c r="L145" i="41"/>
  <c r="AO51" i="41" s="1"/>
  <c r="K146" i="41"/>
  <c r="L146" i="41"/>
  <c r="K147" i="41"/>
  <c r="L147" i="41"/>
  <c r="K148" i="41"/>
  <c r="L148" i="41"/>
  <c r="K149" i="41"/>
  <c r="L149" i="41"/>
  <c r="K150" i="41"/>
  <c r="L150" i="41"/>
  <c r="K151" i="41"/>
  <c r="L151" i="41"/>
  <c r="K152" i="41"/>
  <c r="L152" i="41"/>
  <c r="K153" i="41"/>
  <c r="L153" i="41"/>
  <c r="K154" i="41"/>
  <c r="L154" i="41"/>
  <c r="K155" i="41"/>
  <c r="L155" i="41"/>
  <c r="K156" i="41"/>
  <c r="L156" i="41"/>
  <c r="K157" i="41"/>
  <c r="L157" i="41"/>
  <c r="K158" i="41"/>
  <c r="L158" i="41"/>
  <c r="K159" i="41"/>
  <c r="L159" i="41"/>
  <c r="K160" i="41"/>
  <c r="L160" i="41"/>
  <c r="K161" i="41"/>
  <c r="L161" i="41"/>
  <c r="K162" i="41"/>
  <c r="L162" i="41"/>
  <c r="K163" i="41"/>
  <c r="L163" i="41"/>
  <c r="K164" i="41"/>
  <c r="L164" i="41"/>
  <c r="K165" i="41"/>
  <c r="L165" i="41"/>
  <c r="K166" i="41"/>
  <c r="L166" i="41"/>
  <c r="K167" i="41"/>
  <c r="L167" i="41"/>
  <c r="K168" i="41"/>
  <c r="L168" i="41"/>
  <c r="K169" i="41"/>
  <c r="L169" i="41"/>
  <c r="K170" i="41"/>
  <c r="L170" i="41"/>
  <c r="AP54" i="41" s="1"/>
  <c r="K171" i="41"/>
  <c r="L171" i="41"/>
  <c r="K172" i="41"/>
  <c r="L172" i="41"/>
  <c r="K173" i="41"/>
  <c r="L173" i="41"/>
  <c r="K174" i="41"/>
  <c r="L174" i="41"/>
  <c r="K175" i="41"/>
  <c r="L175" i="41"/>
  <c r="K176" i="41"/>
  <c r="L176" i="41"/>
  <c r="K177" i="41"/>
  <c r="L177" i="41"/>
  <c r="K178" i="41"/>
  <c r="L178" i="41"/>
  <c r="K179" i="41"/>
  <c r="L179" i="41"/>
  <c r="K180" i="41"/>
  <c r="L180" i="41"/>
  <c r="K181" i="41"/>
  <c r="L181" i="41"/>
  <c r="K183" i="41"/>
  <c r="L183" i="41"/>
  <c r="AO58" i="41" s="1"/>
  <c r="K184" i="41"/>
  <c r="L184" i="41"/>
  <c r="K185" i="41"/>
  <c r="L185" i="41"/>
  <c r="K186" i="41"/>
  <c r="L186" i="41"/>
  <c r="AN72" i="66" l="1"/>
  <c r="AQ74" i="66"/>
  <c r="AO65" i="65"/>
  <c r="AO68" i="65" s="1"/>
  <c r="AP68" i="65"/>
  <c r="AP46" i="41"/>
  <c r="Q63" i="53" s="1"/>
  <c r="AO57" i="41"/>
  <c r="P74" i="53" s="1"/>
  <c r="AO28" i="41"/>
  <c r="P45" i="53" s="1"/>
  <c r="AP48" i="41"/>
  <c r="Q65" i="53" s="1"/>
  <c r="AO54" i="41"/>
  <c r="P71" i="53" s="1"/>
  <c r="AO41" i="41"/>
  <c r="AN41" i="41" s="1"/>
  <c r="AN58" i="41"/>
  <c r="O75" i="53" s="1"/>
  <c r="P75" i="53"/>
  <c r="AP57" i="41"/>
  <c r="AP53" i="41"/>
  <c r="Q70" i="53" s="1"/>
  <c r="AN53" i="65"/>
  <c r="AQ56" i="65"/>
  <c r="R70" i="53"/>
  <c r="AP56" i="65"/>
  <c r="AN52" i="65"/>
  <c r="AP52" i="41"/>
  <c r="Q69" i="53" s="1"/>
  <c r="AO52" i="41"/>
  <c r="AO53" i="41"/>
  <c r="P70" i="53" s="1"/>
  <c r="R68" i="53"/>
  <c r="AQ56" i="41"/>
  <c r="Q68" i="53"/>
  <c r="AO46" i="41"/>
  <c r="P63" i="53" s="1"/>
  <c r="AN51" i="41"/>
  <c r="P68" i="53"/>
  <c r="AO48" i="41"/>
  <c r="P65" i="53" s="1"/>
  <c r="AO47" i="41"/>
  <c r="P64" i="53" s="1"/>
  <c r="R64" i="53"/>
  <c r="AQ50" i="41"/>
  <c r="AP45" i="41"/>
  <c r="AO45" i="41"/>
  <c r="AP42" i="41"/>
  <c r="Q59" i="53" s="1"/>
  <c r="AP40" i="41"/>
  <c r="AO42" i="41"/>
  <c r="AO40" i="41"/>
  <c r="AP27" i="41"/>
  <c r="AP32" i="41" s="1"/>
  <c r="AO21" i="41"/>
  <c r="P38" i="53" s="1"/>
  <c r="AO17" i="41"/>
  <c r="P34" i="53" s="1"/>
  <c r="AP24" i="41"/>
  <c r="AP26" i="41" s="1"/>
  <c r="AO29" i="41"/>
  <c r="P46" i="53" s="1"/>
  <c r="AN36" i="41"/>
  <c r="AP35" i="41"/>
  <c r="Q52" i="53" s="1"/>
  <c r="AO35" i="41"/>
  <c r="AQ38" i="65"/>
  <c r="R55" i="53" s="1"/>
  <c r="AX33" i="78" s="1"/>
  <c r="R52" i="53"/>
  <c r="AN35" i="65"/>
  <c r="AN38" i="65" s="1"/>
  <c r="AX6" i="78" s="1"/>
  <c r="AO33" i="41"/>
  <c r="AN33" i="41" s="1"/>
  <c r="AN34" i="41"/>
  <c r="O51" i="53" s="1"/>
  <c r="P51" i="53"/>
  <c r="Q50" i="53"/>
  <c r="R47" i="53"/>
  <c r="AN30" i="65"/>
  <c r="AO30" i="41"/>
  <c r="AN30" i="41" s="1"/>
  <c r="AQ32" i="65"/>
  <c r="R49" i="53" s="1"/>
  <c r="AO33" i="78" s="1"/>
  <c r="AN28" i="65"/>
  <c r="R45" i="53"/>
  <c r="AO27" i="41"/>
  <c r="P44" i="53" s="1"/>
  <c r="P42" i="53"/>
  <c r="AN25" i="41"/>
  <c r="O42" i="53" s="1"/>
  <c r="AO15" i="68"/>
  <c r="AO23" i="41"/>
  <c r="AN23" i="41" s="1"/>
  <c r="AO15" i="41"/>
  <c r="AP26" i="68"/>
  <c r="AN23" i="68"/>
  <c r="Q40" i="53"/>
  <c r="AO24" i="41"/>
  <c r="R41" i="53"/>
  <c r="AQ26" i="41"/>
  <c r="R43" i="53" s="1"/>
  <c r="AO22" i="41"/>
  <c r="P39" i="53" s="1"/>
  <c r="AO16" i="41"/>
  <c r="P33" i="53" s="1"/>
  <c r="AP16" i="41"/>
  <c r="Q33" i="53" s="1"/>
  <c r="P35" i="53"/>
  <c r="AN18" i="41"/>
  <c r="O35" i="53" s="1"/>
  <c r="Q32" i="53"/>
  <c r="AO11" i="41"/>
  <c r="P28" i="53" s="1"/>
  <c r="AO3" i="41"/>
  <c r="P20" i="53" s="1"/>
  <c r="AO12" i="41"/>
  <c r="AN12" i="41" s="1"/>
  <c r="O29" i="53" s="1"/>
  <c r="P27" i="53"/>
  <c r="AN10" i="41"/>
  <c r="O27" i="53" s="1"/>
  <c r="AP9" i="41"/>
  <c r="AP14" i="41" s="1"/>
  <c r="Q31" i="53" s="1"/>
  <c r="N32" i="78" s="1"/>
  <c r="AP3" i="68"/>
  <c r="AP7" i="41"/>
  <c r="Q24" i="53" s="1"/>
  <c r="AP4" i="41"/>
  <c r="Q21" i="53" s="1"/>
  <c r="AO9" i="41"/>
  <c r="P26" i="53" s="1"/>
  <c r="AO6" i="41"/>
  <c r="P23" i="53" s="1"/>
  <c r="X5" i="78"/>
  <c r="O15" i="78"/>
  <c r="Y5" i="78"/>
  <c r="P15" i="78"/>
  <c r="AN74" i="66" l="1"/>
  <c r="CZ7" i="78" s="1"/>
  <c r="DC7" i="78" s="1"/>
  <c r="AN65" i="65"/>
  <c r="AN68" i="65" s="1"/>
  <c r="CQ6" i="78" s="1"/>
  <c r="R73" i="53"/>
  <c r="BY33" i="78" s="1"/>
  <c r="AN56" i="65"/>
  <c r="BY6" i="78" s="1"/>
  <c r="AN28" i="41"/>
  <c r="AP50" i="41"/>
  <c r="Q67" i="53" s="1"/>
  <c r="BP32" i="78" s="1"/>
  <c r="AN54" i="41"/>
  <c r="AN57" i="41"/>
  <c r="AP56" i="41"/>
  <c r="AN52" i="41"/>
  <c r="O69" i="53" s="1"/>
  <c r="P69" i="53"/>
  <c r="AN53" i="41"/>
  <c r="O70" i="53" s="1"/>
  <c r="AO56" i="41"/>
  <c r="P73" i="53" s="1"/>
  <c r="BY31" i="78" s="1"/>
  <c r="AN46" i="41"/>
  <c r="O63" i="53" s="1"/>
  <c r="O68" i="53"/>
  <c r="AN48" i="41"/>
  <c r="AO50" i="41"/>
  <c r="AN47" i="41"/>
  <c r="O64" i="53" s="1"/>
  <c r="Q62" i="53"/>
  <c r="AP44" i="41"/>
  <c r="AN45" i="41"/>
  <c r="AN42" i="41"/>
  <c r="O59" i="53" s="1"/>
  <c r="AN40" i="41"/>
  <c r="P59" i="53"/>
  <c r="AO44" i="41"/>
  <c r="AN21" i="41"/>
  <c r="O38" i="53" s="1"/>
  <c r="Q44" i="53"/>
  <c r="AN17" i="41"/>
  <c r="O34" i="53" s="1"/>
  <c r="Q41" i="53"/>
  <c r="AN29" i="41"/>
  <c r="O46" i="53" s="1"/>
  <c r="AP38" i="41"/>
  <c r="AN35" i="41"/>
  <c r="AO38" i="41"/>
  <c r="P50" i="53"/>
  <c r="O50" i="53"/>
  <c r="AN32" i="65"/>
  <c r="AO6" i="78" s="1"/>
  <c r="AR6" i="78" s="1"/>
  <c r="BA6" i="78" s="1"/>
  <c r="BJ6" i="78" s="1"/>
  <c r="BS6" i="78" s="1"/>
  <c r="Q43" i="53"/>
  <c r="AF32" i="78" s="1"/>
  <c r="O40" i="53"/>
  <c r="P32" i="53"/>
  <c r="AO32" i="41"/>
  <c r="AN27" i="41"/>
  <c r="P40" i="53"/>
  <c r="AN15" i="41"/>
  <c r="AN15" i="68"/>
  <c r="AN20" i="68" s="1"/>
  <c r="W9" i="78" s="1"/>
  <c r="AO20" i="68"/>
  <c r="AN24" i="41"/>
  <c r="AF33" i="78"/>
  <c r="AO26" i="41"/>
  <c r="AN22" i="41"/>
  <c r="O39" i="53" s="1"/>
  <c r="AO20" i="41"/>
  <c r="AN16" i="41"/>
  <c r="O33" i="53" s="1"/>
  <c r="AP20" i="41"/>
  <c r="Q37" i="53" s="1"/>
  <c r="W32" i="78" s="1"/>
  <c r="AP8" i="68"/>
  <c r="Q20" i="53"/>
  <c r="AN11" i="41"/>
  <c r="O28" i="53" s="1"/>
  <c r="AN3" i="41"/>
  <c r="P29" i="53"/>
  <c r="AN9" i="41"/>
  <c r="O26" i="53" s="1"/>
  <c r="Q26" i="53"/>
  <c r="AN4" i="41"/>
  <c r="O21" i="53" s="1"/>
  <c r="AO14" i="41"/>
  <c r="P31" i="53" s="1"/>
  <c r="N31" i="78" s="1"/>
  <c r="AP8" i="41"/>
  <c r="AN3" i="68"/>
  <c r="AN8" i="68" s="1"/>
  <c r="E9" i="78" s="1"/>
  <c r="H9" i="78" s="1"/>
  <c r="Q9" i="78" s="1"/>
  <c r="AN7" i="41"/>
  <c r="O24" i="53" s="1"/>
  <c r="AO8" i="41"/>
  <c r="P25" i="53" s="1"/>
  <c r="AN6" i="41"/>
  <c r="O23" i="53" s="1"/>
  <c r="AH5" i="78"/>
  <c r="Y15" i="78"/>
  <c r="AG5" i="78"/>
  <c r="X15" i="78"/>
  <c r="L4" i="70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7" i="66"/>
  <c r="K88" i="66"/>
  <c r="K89" i="66"/>
  <c r="K90" i="66"/>
  <c r="K91" i="66"/>
  <c r="K92" i="66"/>
  <c r="K93" i="66"/>
  <c r="K94" i="66"/>
  <c r="K95" i="66"/>
  <c r="K96" i="66"/>
  <c r="K97" i="66"/>
  <c r="K98" i="66"/>
  <c r="K99" i="66"/>
  <c r="K100" i="66"/>
  <c r="K101" i="66"/>
  <c r="K102" i="66"/>
  <c r="K103" i="66"/>
  <c r="K104" i="66"/>
  <c r="K105" i="66"/>
  <c r="K106" i="66"/>
  <c r="K107" i="66"/>
  <c r="K108" i="66"/>
  <c r="K109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6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39" i="66"/>
  <c r="K140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7" i="66"/>
  <c r="K178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K243" i="66"/>
  <c r="K244" i="66"/>
  <c r="K245" i="66"/>
  <c r="K246" i="66"/>
  <c r="K247" i="66"/>
  <c r="K248" i="66"/>
  <c r="K249" i="66"/>
  <c r="K250" i="66"/>
  <c r="K251" i="66"/>
  <c r="K252" i="66"/>
  <c r="K253" i="66"/>
  <c r="K254" i="66"/>
  <c r="K255" i="66"/>
  <c r="K256" i="66"/>
  <c r="K257" i="66"/>
  <c r="K258" i="66"/>
  <c r="K259" i="66"/>
  <c r="K260" i="66"/>
  <c r="K261" i="66"/>
  <c r="K262" i="66"/>
  <c r="K263" i="66"/>
  <c r="K264" i="66"/>
  <c r="K265" i="66"/>
  <c r="K266" i="66"/>
  <c r="K267" i="66"/>
  <c r="K268" i="66"/>
  <c r="K269" i="66"/>
  <c r="K270" i="66"/>
  <c r="K271" i="66"/>
  <c r="K272" i="66"/>
  <c r="K273" i="66"/>
  <c r="K274" i="66"/>
  <c r="K275" i="66"/>
  <c r="K276" i="66"/>
  <c r="K277" i="66"/>
  <c r="K278" i="66"/>
  <c r="K279" i="66"/>
  <c r="K280" i="66"/>
  <c r="K281" i="66"/>
  <c r="K282" i="66"/>
  <c r="K283" i="66"/>
  <c r="K284" i="66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1" i="67"/>
  <c r="K42" i="67"/>
  <c r="K43" i="67"/>
  <c r="K44" i="67"/>
  <c r="K45" i="67"/>
  <c r="K46" i="67"/>
  <c r="K47" i="67"/>
  <c r="K48" i="67"/>
  <c r="K49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7" i="67"/>
  <c r="K88" i="67"/>
  <c r="K89" i="67"/>
  <c r="K90" i="67"/>
  <c r="K91" i="67"/>
  <c r="K92" i="67"/>
  <c r="K93" i="67"/>
  <c r="K94" i="67"/>
  <c r="K95" i="67"/>
  <c r="K96" i="67"/>
  <c r="K97" i="67"/>
  <c r="K98" i="67"/>
  <c r="K99" i="67"/>
  <c r="K100" i="67"/>
  <c r="K101" i="67"/>
  <c r="K102" i="67"/>
  <c r="K103" i="67"/>
  <c r="K104" i="67"/>
  <c r="K105" i="67"/>
  <c r="K106" i="67"/>
  <c r="K107" i="67"/>
  <c r="K108" i="67"/>
  <c r="K109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6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39" i="67"/>
  <c r="K140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7" i="67"/>
  <c r="K178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K259" i="67"/>
  <c r="K260" i="67"/>
  <c r="K261" i="67"/>
  <c r="K262" i="67"/>
  <c r="K263" i="67"/>
  <c r="K264" i="67"/>
  <c r="K265" i="67"/>
  <c r="K266" i="67"/>
  <c r="K267" i="67"/>
  <c r="K268" i="67"/>
  <c r="K269" i="67"/>
  <c r="K270" i="67"/>
  <c r="K271" i="67"/>
  <c r="K272" i="67"/>
  <c r="K273" i="67"/>
  <c r="K274" i="67"/>
  <c r="K275" i="67"/>
  <c r="K276" i="67"/>
  <c r="K277" i="67"/>
  <c r="K278" i="67"/>
  <c r="K279" i="67"/>
  <c r="K280" i="67"/>
  <c r="K281" i="67"/>
  <c r="K282" i="67"/>
  <c r="K283" i="67"/>
  <c r="K284" i="67"/>
  <c r="K7" i="68"/>
  <c r="K8" i="68"/>
  <c r="K9" i="68"/>
  <c r="K10" i="68"/>
  <c r="K11" i="68"/>
  <c r="K12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7" i="68"/>
  <c r="K38" i="68"/>
  <c r="K39" i="68"/>
  <c r="K40" i="68"/>
  <c r="K41" i="68"/>
  <c r="K42" i="68"/>
  <c r="K43" i="68"/>
  <c r="K44" i="68"/>
  <c r="K45" i="68"/>
  <c r="K46" i="68"/>
  <c r="K47" i="68"/>
  <c r="K48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7" i="68"/>
  <c r="K88" i="68"/>
  <c r="K89" i="68"/>
  <c r="K90" i="68"/>
  <c r="K91" i="68"/>
  <c r="K92" i="68"/>
  <c r="K93" i="68"/>
  <c r="K94" i="68"/>
  <c r="K95" i="68"/>
  <c r="K96" i="68"/>
  <c r="K97" i="68"/>
  <c r="K98" i="68"/>
  <c r="K99" i="68"/>
  <c r="K100" i="68"/>
  <c r="K101" i="68"/>
  <c r="K102" i="68"/>
  <c r="K103" i="68"/>
  <c r="K104" i="68"/>
  <c r="K105" i="68"/>
  <c r="K106" i="68"/>
  <c r="K107" i="68"/>
  <c r="K108" i="68"/>
  <c r="K109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6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39" i="68"/>
  <c r="K140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7" i="68"/>
  <c r="K178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225" i="68"/>
  <c r="K226" i="68"/>
  <c r="K227" i="68"/>
  <c r="K228" i="68"/>
  <c r="K229" i="68"/>
  <c r="K230" i="68"/>
  <c r="K231" i="68"/>
  <c r="K232" i="68"/>
  <c r="K233" i="68"/>
  <c r="K234" i="68"/>
  <c r="K235" i="68"/>
  <c r="K236" i="68"/>
  <c r="K237" i="68"/>
  <c r="K238" i="68"/>
  <c r="K239" i="68"/>
  <c r="K240" i="68"/>
  <c r="K241" i="68"/>
  <c r="K242" i="68"/>
  <c r="K243" i="68"/>
  <c r="K244" i="68"/>
  <c r="K245" i="68"/>
  <c r="K246" i="68"/>
  <c r="K247" i="68"/>
  <c r="K248" i="68"/>
  <c r="K249" i="68"/>
  <c r="K250" i="68"/>
  <c r="K251" i="68"/>
  <c r="K252" i="68"/>
  <c r="K253" i="68"/>
  <c r="K254" i="68"/>
  <c r="K255" i="68"/>
  <c r="K256" i="68"/>
  <c r="K257" i="68"/>
  <c r="K258" i="68"/>
  <c r="K259" i="68"/>
  <c r="K260" i="68"/>
  <c r="K261" i="68"/>
  <c r="K262" i="68"/>
  <c r="K263" i="68"/>
  <c r="K264" i="68"/>
  <c r="K265" i="68"/>
  <c r="K266" i="68"/>
  <c r="K267" i="68"/>
  <c r="K268" i="68"/>
  <c r="K269" i="68"/>
  <c r="K270" i="68"/>
  <c r="K271" i="68"/>
  <c r="K272" i="68"/>
  <c r="K273" i="68"/>
  <c r="K274" i="68"/>
  <c r="K275" i="68"/>
  <c r="K276" i="68"/>
  <c r="K277" i="68"/>
  <c r="K278" i="68"/>
  <c r="K279" i="68"/>
  <c r="K280" i="68"/>
  <c r="K281" i="68"/>
  <c r="K282" i="68"/>
  <c r="K283" i="68"/>
  <c r="K284" i="68"/>
  <c r="K5" i="69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1" i="69"/>
  <c r="K42" i="69"/>
  <c r="K43" i="69"/>
  <c r="K44" i="69"/>
  <c r="K45" i="69"/>
  <c r="K46" i="69"/>
  <c r="K47" i="69"/>
  <c r="K48" i="69"/>
  <c r="K49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7" i="69"/>
  <c r="K88" i="69"/>
  <c r="K89" i="69"/>
  <c r="K90" i="69"/>
  <c r="K91" i="69"/>
  <c r="K92" i="69"/>
  <c r="K93" i="69"/>
  <c r="K94" i="69"/>
  <c r="K95" i="69"/>
  <c r="K96" i="69"/>
  <c r="K97" i="69"/>
  <c r="K98" i="69"/>
  <c r="K99" i="69"/>
  <c r="K100" i="69"/>
  <c r="K101" i="69"/>
  <c r="K102" i="69"/>
  <c r="K103" i="69"/>
  <c r="K104" i="69"/>
  <c r="K105" i="69"/>
  <c r="K106" i="69"/>
  <c r="K107" i="69"/>
  <c r="K108" i="69"/>
  <c r="K109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6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39" i="69"/>
  <c r="K140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7" i="69"/>
  <c r="K178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K272" i="69"/>
  <c r="K273" i="69"/>
  <c r="K274" i="69"/>
  <c r="K275" i="69"/>
  <c r="K276" i="69"/>
  <c r="K277" i="69"/>
  <c r="K278" i="69"/>
  <c r="K279" i="69"/>
  <c r="K280" i="69"/>
  <c r="K281" i="69"/>
  <c r="K282" i="69"/>
  <c r="K283" i="69"/>
  <c r="K284" i="69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1" i="71"/>
  <c r="K42" i="71"/>
  <c r="K43" i="71"/>
  <c r="K44" i="71"/>
  <c r="K45" i="71"/>
  <c r="K46" i="71"/>
  <c r="K47" i="71"/>
  <c r="K48" i="71"/>
  <c r="K49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7" i="71"/>
  <c r="K88" i="71"/>
  <c r="K89" i="71"/>
  <c r="K90" i="71"/>
  <c r="K91" i="71"/>
  <c r="K92" i="71"/>
  <c r="K93" i="71"/>
  <c r="K94" i="71"/>
  <c r="K95" i="71"/>
  <c r="K96" i="71"/>
  <c r="K97" i="71"/>
  <c r="K98" i="71"/>
  <c r="K99" i="71"/>
  <c r="K100" i="71"/>
  <c r="K101" i="71"/>
  <c r="K102" i="71"/>
  <c r="K103" i="71"/>
  <c r="K104" i="71"/>
  <c r="K105" i="71"/>
  <c r="K106" i="71"/>
  <c r="K107" i="71"/>
  <c r="K108" i="71"/>
  <c r="K109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6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39" i="71"/>
  <c r="K140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7" i="71"/>
  <c r="K178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225" i="71"/>
  <c r="K226" i="71"/>
  <c r="K227" i="71"/>
  <c r="K228" i="71"/>
  <c r="K229" i="71"/>
  <c r="K230" i="71"/>
  <c r="K231" i="71"/>
  <c r="K232" i="71"/>
  <c r="K233" i="71"/>
  <c r="K234" i="71"/>
  <c r="K235" i="71"/>
  <c r="K236" i="71"/>
  <c r="K237" i="71"/>
  <c r="K238" i="71"/>
  <c r="K239" i="71"/>
  <c r="K240" i="71"/>
  <c r="K241" i="71"/>
  <c r="K242" i="71"/>
  <c r="K243" i="71"/>
  <c r="K244" i="71"/>
  <c r="K245" i="71"/>
  <c r="K246" i="71"/>
  <c r="K247" i="71"/>
  <c r="K248" i="71"/>
  <c r="K249" i="71"/>
  <c r="K250" i="71"/>
  <c r="K251" i="71"/>
  <c r="K252" i="71"/>
  <c r="K253" i="71"/>
  <c r="K254" i="71"/>
  <c r="K255" i="71"/>
  <c r="K256" i="71"/>
  <c r="K257" i="71"/>
  <c r="K258" i="71"/>
  <c r="K259" i="71"/>
  <c r="K260" i="71"/>
  <c r="K261" i="71"/>
  <c r="K262" i="71"/>
  <c r="K263" i="71"/>
  <c r="K264" i="71"/>
  <c r="K265" i="71"/>
  <c r="K266" i="71"/>
  <c r="K267" i="71"/>
  <c r="K268" i="71"/>
  <c r="K269" i="71"/>
  <c r="K270" i="71"/>
  <c r="K271" i="71"/>
  <c r="K272" i="71"/>
  <c r="K273" i="71"/>
  <c r="K274" i="71"/>
  <c r="K275" i="71"/>
  <c r="K276" i="71"/>
  <c r="K277" i="71"/>
  <c r="K278" i="71"/>
  <c r="K279" i="71"/>
  <c r="K280" i="71"/>
  <c r="K281" i="71"/>
  <c r="K282" i="71"/>
  <c r="K283" i="71"/>
  <c r="K284" i="71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1" i="73"/>
  <c r="K42" i="73"/>
  <c r="K43" i="73"/>
  <c r="K44" i="73"/>
  <c r="K45" i="73"/>
  <c r="K46" i="73"/>
  <c r="K47" i="73"/>
  <c r="K48" i="73"/>
  <c r="K49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7" i="73"/>
  <c r="K88" i="73"/>
  <c r="K89" i="73"/>
  <c r="K90" i="73"/>
  <c r="K91" i="73"/>
  <c r="K92" i="73"/>
  <c r="K93" i="73"/>
  <c r="K94" i="73"/>
  <c r="K95" i="73"/>
  <c r="K96" i="73"/>
  <c r="K97" i="73"/>
  <c r="K98" i="73"/>
  <c r="K99" i="73"/>
  <c r="K100" i="73"/>
  <c r="K101" i="73"/>
  <c r="K102" i="73"/>
  <c r="K103" i="73"/>
  <c r="K104" i="73"/>
  <c r="K105" i="73"/>
  <c r="K106" i="73"/>
  <c r="K107" i="73"/>
  <c r="K108" i="73"/>
  <c r="K109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6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39" i="73"/>
  <c r="K140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7" i="73"/>
  <c r="K178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225" i="73"/>
  <c r="K226" i="73"/>
  <c r="K227" i="73"/>
  <c r="K228" i="73"/>
  <c r="K229" i="73"/>
  <c r="K230" i="73"/>
  <c r="K231" i="73"/>
  <c r="K232" i="73"/>
  <c r="K233" i="73"/>
  <c r="K234" i="73"/>
  <c r="K235" i="73"/>
  <c r="K236" i="73"/>
  <c r="K237" i="73"/>
  <c r="K238" i="73"/>
  <c r="K239" i="73"/>
  <c r="K240" i="73"/>
  <c r="K241" i="73"/>
  <c r="K242" i="73"/>
  <c r="K243" i="73"/>
  <c r="K244" i="73"/>
  <c r="K245" i="73"/>
  <c r="K246" i="73"/>
  <c r="K247" i="73"/>
  <c r="K248" i="73"/>
  <c r="K249" i="73"/>
  <c r="K250" i="73"/>
  <c r="K251" i="73"/>
  <c r="K252" i="73"/>
  <c r="K253" i="73"/>
  <c r="K254" i="73"/>
  <c r="K255" i="73"/>
  <c r="K256" i="73"/>
  <c r="K257" i="73"/>
  <c r="K258" i="73"/>
  <c r="K259" i="73"/>
  <c r="K260" i="73"/>
  <c r="K261" i="73"/>
  <c r="K262" i="73"/>
  <c r="K263" i="73"/>
  <c r="K264" i="73"/>
  <c r="K265" i="73"/>
  <c r="K266" i="73"/>
  <c r="K267" i="73"/>
  <c r="K268" i="73"/>
  <c r="K269" i="73"/>
  <c r="K270" i="73"/>
  <c r="K271" i="73"/>
  <c r="K272" i="73"/>
  <c r="K273" i="73"/>
  <c r="K274" i="73"/>
  <c r="K275" i="73"/>
  <c r="K276" i="73"/>
  <c r="K277" i="73"/>
  <c r="K278" i="73"/>
  <c r="K279" i="73"/>
  <c r="K280" i="73"/>
  <c r="K281" i="73"/>
  <c r="K282" i="73"/>
  <c r="K283" i="73"/>
  <c r="K284" i="73"/>
  <c r="K4" i="72"/>
  <c r="K5" i="72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1" i="72"/>
  <c r="K42" i="72"/>
  <c r="K43" i="72"/>
  <c r="K44" i="72"/>
  <c r="K45" i="72"/>
  <c r="K46" i="72"/>
  <c r="K47" i="72"/>
  <c r="K48" i="72"/>
  <c r="K49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7" i="72"/>
  <c r="K88" i="72"/>
  <c r="K89" i="72"/>
  <c r="K90" i="72"/>
  <c r="K91" i="72"/>
  <c r="K92" i="72"/>
  <c r="K93" i="72"/>
  <c r="K94" i="72"/>
  <c r="K95" i="72"/>
  <c r="K96" i="72"/>
  <c r="K97" i="72"/>
  <c r="K98" i="72"/>
  <c r="K99" i="72"/>
  <c r="K100" i="72"/>
  <c r="K101" i="72"/>
  <c r="K102" i="72"/>
  <c r="K103" i="72"/>
  <c r="K104" i="72"/>
  <c r="K105" i="72"/>
  <c r="K106" i="72"/>
  <c r="K107" i="72"/>
  <c r="K108" i="72"/>
  <c r="K109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6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39" i="72"/>
  <c r="K140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7" i="72"/>
  <c r="K178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225" i="72"/>
  <c r="K226" i="72"/>
  <c r="K227" i="72"/>
  <c r="K228" i="72"/>
  <c r="K229" i="72"/>
  <c r="K230" i="72"/>
  <c r="K231" i="72"/>
  <c r="K232" i="72"/>
  <c r="K233" i="72"/>
  <c r="K234" i="72"/>
  <c r="K235" i="72"/>
  <c r="K236" i="72"/>
  <c r="K237" i="72"/>
  <c r="K238" i="72"/>
  <c r="K239" i="72"/>
  <c r="K240" i="72"/>
  <c r="K241" i="72"/>
  <c r="K242" i="72"/>
  <c r="K243" i="72"/>
  <c r="K244" i="72"/>
  <c r="K245" i="72"/>
  <c r="K246" i="72"/>
  <c r="K247" i="72"/>
  <c r="K248" i="72"/>
  <c r="K249" i="72"/>
  <c r="K250" i="72"/>
  <c r="K251" i="72"/>
  <c r="K252" i="72"/>
  <c r="K253" i="72"/>
  <c r="K254" i="72"/>
  <c r="K255" i="72"/>
  <c r="K256" i="72"/>
  <c r="K257" i="72"/>
  <c r="K258" i="72"/>
  <c r="K259" i="72"/>
  <c r="K260" i="72"/>
  <c r="K261" i="72"/>
  <c r="K262" i="72"/>
  <c r="K263" i="72"/>
  <c r="K264" i="72"/>
  <c r="K265" i="72"/>
  <c r="K266" i="72"/>
  <c r="K267" i="72"/>
  <c r="K268" i="72"/>
  <c r="K269" i="72"/>
  <c r="K270" i="72"/>
  <c r="K271" i="72"/>
  <c r="K272" i="72"/>
  <c r="K273" i="72"/>
  <c r="K274" i="72"/>
  <c r="K275" i="72"/>
  <c r="K276" i="72"/>
  <c r="K277" i="72"/>
  <c r="K278" i="72"/>
  <c r="K279" i="72"/>
  <c r="K280" i="72"/>
  <c r="K281" i="72"/>
  <c r="K282" i="72"/>
  <c r="K283" i="72"/>
  <c r="K284" i="72"/>
  <c r="K13" i="65"/>
  <c r="K14" i="65"/>
  <c r="K15" i="65"/>
  <c r="K16" i="65"/>
  <c r="K17" i="65"/>
  <c r="K18" i="65"/>
  <c r="K19" i="65"/>
  <c r="K20" i="65"/>
  <c r="K21" i="65"/>
  <c r="K22" i="65"/>
  <c r="K23" i="65"/>
  <c r="K24" i="65"/>
  <c r="K25" i="65"/>
  <c r="K26" i="65"/>
  <c r="K27" i="65"/>
  <c r="K28" i="65"/>
  <c r="K29" i="65"/>
  <c r="K30" i="65"/>
  <c r="K31" i="65"/>
  <c r="K32" i="65"/>
  <c r="K33" i="65"/>
  <c r="K34" i="65"/>
  <c r="K35" i="65"/>
  <c r="K36" i="65"/>
  <c r="K37" i="65"/>
  <c r="K38" i="65"/>
  <c r="K39" i="65"/>
  <c r="K40" i="65"/>
  <c r="K41" i="65"/>
  <c r="K42" i="65"/>
  <c r="K43" i="65"/>
  <c r="K44" i="65"/>
  <c r="K45" i="65"/>
  <c r="K46" i="65"/>
  <c r="K47" i="65"/>
  <c r="K48" i="65"/>
  <c r="K49" i="65"/>
  <c r="K50" i="65"/>
  <c r="K51" i="65"/>
  <c r="K52" i="65"/>
  <c r="K53" i="65"/>
  <c r="K54" i="65"/>
  <c r="K55" i="65"/>
  <c r="K56" i="65"/>
  <c r="K57" i="65"/>
  <c r="K58" i="65"/>
  <c r="K59" i="65"/>
  <c r="K60" i="65"/>
  <c r="K61" i="65"/>
  <c r="K62" i="65"/>
  <c r="K63" i="65"/>
  <c r="K64" i="65"/>
  <c r="K65" i="65"/>
  <c r="K66" i="65"/>
  <c r="K67" i="65"/>
  <c r="K68" i="65"/>
  <c r="K69" i="65"/>
  <c r="K70" i="65"/>
  <c r="K71" i="65"/>
  <c r="K72" i="65"/>
  <c r="K73" i="65"/>
  <c r="K74" i="65"/>
  <c r="K75" i="65"/>
  <c r="K76" i="65"/>
  <c r="K77" i="65"/>
  <c r="K78" i="65"/>
  <c r="K79" i="65"/>
  <c r="K80" i="65"/>
  <c r="K81" i="65"/>
  <c r="K82" i="65"/>
  <c r="K83" i="65"/>
  <c r="K84" i="65"/>
  <c r="K85" i="65"/>
  <c r="K86" i="65"/>
  <c r="K87" i="65"/>
  <c r="K88" i="65"/>
  <c r="K89" i="65"/>
  <c r="K90" i="65"/>
  <c r="K91" i="65"/>
  <c r="K92" i="65"/>
  <c r="K93" i="65"/>
  <c r="K94" i="65"/>
  <c r="K95" i="65"/>
  <c r="K96" i="65"/>
  <c r="K97" i="65"/>
  <c r="K98" i="65"/>
  <c r="K99" i="65"/>
  <c r="K100" i="65"/>
  <c r="K101" i="65"/>
  <c r="K102" i="65"/>
  <c r="K103" i="65"/>
  <c r="K104" i="65"/>
  <c r="K105" i="65"/>
  <c r="K106" i="65"/>
  <c r="K107" i="65"/>
  <c r="K108" i="65"/>
  <c r="K109" i="65"/>
  <c r="K110" i="65"/>
  <c r="K111" i="65"/>
  <c r="K112" i="65"/>
  <c r="K113" i="65"/>
  <c r="K114" i="65"/>
  <c r="K115" i="65"/>
  <c r="K116" i="65"/>
  <c r="K117" i="65"/>
  <c r="K118" i="65"/>
  <c r="K119" i="65"/>
  <c r="K120" i="65"/>
  <c r="K121" i="65"/>
  <c r="K122" i="65"/>
  <c r="K123" i="65"/>
  <c r="K124" i="65"/>
  <c r="K125" i="65"/>
  <c r="K126" i="65"/>
  <c r="K127" i="65"/>
  <c r="K128" i="65"/>
  <c r="K129" i="65"/>
  <c r="K130" i="65"/>
  <c r="K131" i="65"/>
  <c r="K132" i="65"/>
  <c r="K133" i="65"/>
  <c r="K134" i="65"/>
  <c r="K135" i="65"/>
  <c r="K136" i="65"/>
  <c r="K137" i="65"/>
  <c r="K138" i="65"/>
  <c r="K139" i="65"/>
  <c r="K140" i="65"/>
  <c r="K141" i="65"/>
  <c r="K142" i="65"/>
  <c r="K143" i="65"/>
  <c r="K144" i="65"/>
  <c r="K145" i="65"/>
  <c r="K146" i="65"/>
  <c r="K147" i="65"/>
  <c r="K148" i="65"/>
  <c r="K149" i="65"/>
  <c r="K150" i="65"/>
  <c r="K151" i="65"/>
  <c r="K152" i="65"/>
  <c r="K153" i="65"/>
  <c r="K154" i="65"/>
  <c r="K155" i="65"/>
  <c r="K156" i="65"/>
  <c r="K157" i="65"/>
  <c r="K158" i="65"/>
  <c r="K159" i="65"/>
  <c r="K160" i="65"/>
  <c r="K161" i="65"/>
  <c r="K162" i="65"/>
  <c r="K163" i="65"/>
  <c r="K164" i="65"/>
  <c r="K165" i="65"/>
  <c r="K166" i="65"/>
  <c r="K167" i="65"/>
  <c r="K168" i="65"/>
  <c r="K169" i="65"/>
  <c r="K170" i="65"/>
  <c r="K171" i="65"/>
  <c r="K172" i="65"/>
  <c r="K173" i="65"/>
  <c r="K174" i="65"/>
  <c r="K175" i="65"/>
  <c r="K176" i="65"/>
  <c r="K177" i="65"/>
  <c r="K178" i="65"/>
  <c r="K179" i="65"/>
  <c r="K180" i="65"/>
  <c r="K181" i="65"/>
  <c r="K182" i="65"/>
  <c r="K183" i="65"/>
  <c r="K184" i="65"/>
  <c r="K185" i="65"/>
  <c r="K186" i="65"/>
  <c r="K187" i="65"/>
  <c r="K188" i="65"/>
  <c r="K189" i="65"/>
  <c r="K190" i="65"/>
  <c r="K191" i="65"/>
  <c r="K192" i="65"/>
  <c r="K193" i="65"/>
  <c r="K194" i="65"/>
  <c r="K195" i="65"/>
  <c r="K196" i="65"/>
  <c r="K197" i="65"/>
  <c r="K198" i="65"/>
  <c r="K199" i="65"/>
  <c r="K200" i="65"/>
  <c r="K201" i="65"/>
  <c r="K202" i="65"/>
  <c r="K203" i="65"/>
  <c r="K204" i="65"/>
  <c r="K205" i="65"/>
  <c r="K206" i="65"/>
  <c r="K207" i="65"/>
  <c r="K208" i="65"/>
  <c r="K209" i="65"/>
  <c r="K210" i="65"/>
  <c r="K211" i="65"/>
  <c r="K212" i="65"/>
  <c r="K213" i="65"/>
  <c r="K214" i="65"/>
  <c r="K215" i="65"/>
  <c r="K216" i="65"/>
  <c r="K217" i="65"/>
  <c r="K218" i="65"/>
  <c r="K219" i="65"/>
  <c r="K220" i="65"/>
  <c r="K221" i="65"/>
  <c r="K222" i="65"/>
  <c r="K223" i="65"/>
  <c r="K224" i="65"/>
  <c r="K225" i="65"/>
  <c r="K226" i="65"/>
  <c r="K227" i="65"/>
  <c r="K228" i="65"/>
  <c r="K229" i="65"/>
  <c r="K230" i="65"/>
  <c r="K231" i="65"/>
  <c r="K232" i="65"/>
  <c r="K233" i="65"/>
  <c r="K234" i="65"/>
  <c r="K235" i="65"/>
  <c r="K236" i="65"/>
  <c r="K237" i="65"/>
  <c r="K238" i="65"/>
  <c r="K239" i="65"/>
  <c r="K240" i="65"/>
  <c r="K241" i="65"/>
  <c r="K242" i="65"/>
  <c r="K243" i="65"/>
  <c r="K244" i="65"/>
  <c r="K245" i="65"/>
  <c r="K246" i="65"/>
  <c r="K247" i="65"/>
  <c r="K248" i="65"/>
  <c r="K249" i="65"/>
  <c r="K250" i="65"/>
  <c r="K251" i="65"/>
  <c r="K252" i="65"/>
  <c r="K253" i="65"/>
  <c r="K254" i="65"/>
  <c r="K255" i="65"/>
  <c r="K256" i="65"/>
  <c r="K257" i="65"/>
  <c r="K258" i="65"/>
  <c r="K259" i="65"/>
  <c r="K260" i="65"/>
  <c r="K261" i="65"/>
  <c r="K262" i="65"/>
  <c r="K263" i="65"/>
  <c r="K264" i="65"/>
  <c r="K265" i="65"/>
  <c r="K266" i="65"/>
  <c r="K267" i="65"/>
  <c r="K268" i="65"/>
  <c r="K269" i="65"/>
  <c r="K270" i="65"/>
  <c r="K271" i="65"/>
  <c r="K272" i="65"/>
  <c r="K273" i="65"/>
  <c r="K274" i="65"/>
  <c r="K275" i="65"/>
  <c r="K276" i="65"/>
  <c r="K277" i="65"/>
  <c r="K278" i="65"/>
  <c r="K279" i="65"/>
  <c r="K280" i="65"/>
  <c r="K281" i="65"/>
  <c r="K282" i="65"/>
  <c r="K283" i="65"/>
  <c r="K284" i="65"/>
  <c r="K3" i="70"/>
  <c r="K3" i="72"/>
  <c r="L15" i="65"/>
  <c r="L16" i="65"/>
  <c r="L17" i="65"/>
  <c r="L18" i="65"/>
  <c r="L19" i="65"/>
  <c r="L20" i="65"/>
  <c r="L21" i="65"/>
  <c r="L22" i="65"/>
  <c r="L23" i="65"/>
  <c r="L24" i="65"/>
  <c r="L25" i="65"/>
  <c r="L26" i="65"/>
  <c r="L27" i="65"/>
  <c r="L28" i="65"/>
  <c r="L29" i="65"/>
  <c r="L30" i="65"/>
  <c r="L31" i="65"/>
  <c r="L32" i="65"/>
  <c r="L33" i="65"/>
  <c r="L34" i="65"/>
  <c r="L35" i="65"/>
  <c r="L36" i="65"/>
  <c r="L37" i="65"/>
  <c r="L38" i="65"/>
  <c r="L39" i="65"/>
  <c r="L40" i="65"/>
  <c r="L41" i="65"/>
  <c r="L42" i="65"/>
  <c r="L43" i="65"/>
  <c r="L44" i="65"/>
  <c r="L45" i="65"/>
  <c r="L46" i="65"/>
  <c r="L47" i="65"/>
  <c r="L48" i="65"/>
  <c r="L49" i="65"/>
  <c r="L50" i="65"/>
  <c r="L51" i="65"/>
  <c r="L52" i="65"/>
  <c r="L53" i="65"/>
  <c r="L54" i="65"/>
  <c r="L55" i="65"/>
  <c r="L56" i="65"/>
  <c r="L57" i="65"/>
  <c r="L58" i="65"/>
  <c r="L59" i="65"/>
  <c r="L60" i="65"/>
  <c r="L61" i="65"/>
  <c r="L62" i="65"/>
  <c r="L63" i="65"/>
  <c r="L64" i="65"/>
  <c r="L65" i="65"/>
  <c r="L66" i="65"/>
  <c r="L67" i="65"/>
  <c r="L68" i="65"/>
  <c r="L69" i="65"/>
  <c r="L70" i="65"/>
  <c r="L71" i="65"/>
  <c r="L72" i="65"/>
  <c r="L73" i="65"/>
  <c r="L74" i="65"/>
  <c r="L75" i="65"/>
  <c r="L76" i="65"/>
  <c r="L77" i="65"/>
  <c r="L78" i="65"/>
  <c r="L79" i="65"/>
  <c r="L80" i="65"/>
  <c r="L81" i="65"/>
  <c r="L82" i="65"/>
  <c r="L83" i="65"/>
  <c r="L84" i="65"/>
  <c r="L85" i="65"/>
  <c r="L86" i="65"/>
  <c r="L87" i="65"/>
  <c r="L88" i="65"/>
  <c r="L89" i="65"/>
  <c r="L90" i="65"/>
  <c r="L91" i="65"/>
  <c r="L92" i="65"/>
  <c r="L93" i="65"/>
  <c r="L94" i="65"/>
  <c r="L95" i="65"/>
  <c r="L96" i="65"/>
  <c r="L97" i="65"/>
  <c r="L98" i="65"/>
  <c r="L99" i="65"/>
  <c r="L100" i="65"/>
  <c r="L101" i="65"/>
  <c r="L102" i="65"/>
  <c r="L103" i="65"/>
  <c r="L104" i="65"/>
  <c r="L105" i="65"/>
  <c r="L106" i="65"/>
  <c r="L107" i="65"/>
  <c r="L108" i="65"/>
  <c r="L109" i="65"/>
  <c r="L110" i="65"/>
  <c r="L111" i="65"/>
  <c r="L112" i="65"/>
  <c r="L113" i="65"/>
  <c r="L114" i="65"/>
  <c r="L115" i="65"/>
  <c r="L116" i="65"/>
  <c r="L117" i="65"/>
  <c r="L118" i="65"/>
  <c r="L119" i="65"/>
  <c r="L120" i="65"/>
  <c r="L121" i="65"/>
  <c r="L122" i="65"/>
  <c r="L123" i="65"/>
  <c r="L124" i="65"/>
  <c r="L125" i="65"/>
  <c r="L126" i="65"/>
  <c r="L127" i="65"/>
  <c r="L128" i="65"/>
  <c r="L129" i="65"/>
  <c r="L130" i="65"/>
  <c r="L131" i="65"/>
  <c r="L132" i="65"/>
  <c r="L133" i="65"/>
  <c r="L134" i="65"/>
  <c r="L135" i="65"/>
  <c r="L136" i="65"/>
  <c r="L137" i="65"/>
  <c r="L138" i="65"/>
  <c r="L139" i="65"/>
  <c r="L140" i="65"/>
  <c r="L141" i="65"/>
  <c r="L142" i="65"/>
  <c r="L143" i="65"/>
  <c r="L144" i="65"/>
  <c r="L145" i="65"/>
  <c r="L146" i="65"/>
  <c r="L147" i="65"/>
  <c r="L148" i="65"/>
  <c r="L149" i="65"/>
  <c r="L150" i="65"/>
  <c r="L151" i="65"/>
  <c r="L152" i="65"/>
  <c r="L153" i="65"/>
  <c r="L154" i="65"/>
  <c r="L155" i="65"/>
  <c r="L156" i="65"/>
  <c r="L157" i="65"/>
  <c r="L158" i="65"/>
  <c r="L159" i="65"/>
  <c r="L160" i="65"/>
  <c r="L161" i="65"/>
  <c r="L162" i="65"/>
  <c r="L163" i="65"/>
  <c r="L164" i="65"/>
  <c r="L165" i="65"/>
  <c r="L166" i="65"/>
  <c r="L167" i="65"/>
  <c r="L168" i="65"/>
  <c r="L169" i="65"/>
  <c r="L170" i="65"/>
  <c r="L171" i="65"/>
  <c r="L172" i="65"/>
  <c r="L173" i="65"/>
  <c r="L174" i="65"/>
  <c r="L175" i="65"/>
  <c r="L176" i="65"/>
  <c r="L177" i="65"/>
  <c r="L178" i="65"/>
  <c r="L179" i="65"/>
  <c r="L180" i="65"/>
  <c r="L181" i="65"/>
  <c r="L182" i="65"/>
  <c r="L183" i="65"/>
  <c r="L184" i="65"/>
  <c r="L185" i="65"/>
  <c r="L186" i="65"/>
  <c r="L187" i="65"/>
  <c r="L188" i="65"/>
  <c r="L189" i="65"/>
  <c r="L190" i="65"/>
  <c r="L191" i="65"/>
  <c r="L192" i="65"/>
  <c r="L193" i="65"/>
  <c r="L194" i="65"/>
  <c r="L195" i="65"/>
  <c r="L196" i="65"/>
  <c r="L197" i="65"/>
  <c r="L198" i="65"/>
  <c r="L199" i="65"/>
  <c r="L200" i="65"/>
  <c r="L201" i="65"/>
  <c r="L202" i="65"/>
  <c r="L203" i="65"/>
  <c r="L204" i="65"/>
  <c r="L205" i="65"/>
  <c r="L206" i="65"/>
  <c r="L207" i="65"/>
  <c r="L208" i="65"/>
  <c r="L209" i="65"/>
  <c r="L210" i="65"/>
  <c r="L211" i="65"/>
  <c r="L212" i="65"/>
  <c r="L213" i="65"/>
  <c r="L214" i="65"/>
  <c r="L215" i="65"/>
  <c r="L216" i="65"/>
  <c r="L217" i="65"/>
  <c r="L218" i="65"/>
  <c r="L219" i="65"/>
  <c r="L220" i="65"/>
  <c r="L221" i="65"/>
  <c r="L222" i="65"/>
  <c r="L223" i="65"/>
  <c r="L224" i="65"/>
  <c r="L225" i="65"/>
  <c r="L226" i="65"/>
  <c r="L227" i="65"/>
  <c r="L228" i="65"/>
  <c r="L229" i="65"/>
  <c r="L230" i="65"/>
  <c r="L231" i="65"/>
  <c r="L232" i="65"/>
  <c r="L233" i="65"/>
  <c r="L234" i="65"/>
  <c r="L235" i="65"/>
  <c r="L236" i="65"/>
  <c r="L237" i="65"/>
  <c r="L238" i="65"/>
  <c r="L239" i="65"/>
  <c r="L240" i="65"/>
  <c r="L241" i="65"/>
  <c r="L242" i="65"/>
  <c r="L243" i="65"/>
  <c r="L244" i="65"/>
  <c r="L245" i="65"/>
  <c r="L246" i="65"/>
  <c r="L247" i="65"/>
  <c r="L248" i="65"/>
  <c r="L249" i="65"/>
  <c r="L250" i="65"/>
  <c r="L251" i="65"/>
  <c r="L252" i="65"/>
  <c r="L253" i="65"/>
  <c r="L254" i="65"/>
  <c r="L255" i="65"/>
  <c r="L256" i="65"/>
  <c r="L257" i="65"/>
  <c r="L258" i="65"/>
  <c r="L259" i="65"/>
  <c r="L260" i="65"/>
  <c r="L261" i="65"/>
  <c r="L262" i="65"/>
  <c r="L263" i="65"/>
  <c r="L264" i="65"/>
  <c r="L265" i="65"/>
  <c r="L266" i="65"/>
  <c r="L267" i="65"/>
  <c r="L268" i="65"/>
  <c r="L269" i="65"/>
  <c r="L270" i="65"/>
  <c r="L271" i="65"/>
  <c r="L272" i="65"/>
  <c r="L273" i="65"/>
  <c r="L274" i="65"/>
  <c r="L275" i="65"/>
  <c r="L276" i="65"/>
  <c r="L277" i="65"/>
  <c r="L278" i="65"/>
  <c r="L279" i="65"/>
  <c r="L280" i="65"/>
  <c r="L281" i="65"/>
  <c r="L282" i="65"/>
  <c r="L283" i="65"/>
  <c r="L284" i="65"/>
  <c r="L66" i="66"/>
  <c r="L67" i="66"/>
  <c r="L68" i="66"/>
  <c r="L69" i="66"/>
  <c r="L70" i="66"/>
  <c r="L71" i="66"/>
  <c r="L72" i="66"/>
  <c r="L73" i="66"/>
  <c r="L74" i="66"/>
  <c r="L75" i="66"/>
  <c r="L76" i="66"/>
  <c r="L77" i="66"/>
  <c r="L78" i="66"/>
  <c r="L79" i="66"/>
  <c r="L80" i="66"/>
  <c r="L81" i="66"/>
  <c r="L82" i="66"/>
  <c r="L83" i="66"/>
  <c r="L84" i="66"/>
  <c r="L85" i="66"/>
  <c r="L86" i="66"/>
  <c r="L87" i="66"/>
  <c r="L88" i="66"/>
  <c r="L89" i="66"/>
  <c r="L90" i="66"/>
  <c r="L91" i="66"/>
  <c r="L92" i="66"/>
  <c r="L93" i="66"/>
  <c r="L94" i="66"/>
  <c r="L95" i="66"/>
  <c r="L96" i="66"/>
  <c r="L97" i="66"/>
  <c r="L98" i="66"/>
  <c r="L99" i="66"/>
  <c r="L100" i="66"/>
  <c r="L101" i="66"/>
  <c r="L102" i="66"/>
  <c r="L103" i="66"/>
  <c r="L104" i="66"/>
  <c r="L105" i="66"/>
  <c r="L106" i="66"/>
  <c r="L107" i="66"/>
  <c r="L108" i="66"/>
  <c r="L109" i="66"/>
  <c r="L110" i="66"/>
  <c r="L111" i="66"/>
  <c r="L112" i="66"/>
  <c r="L113" i="66"/>
  <c r="L114" i="66"/>
  <c r="L115" i="66"/>
  <c r="L116" i="66"/>
  <c r="L117" i="66"/>
  <c r="L118" i="66"/>
  <c r="L119" i="66"/>
  <c r="L120" i="66"/>
  <c r="L121" i="66"/>
  <c r="L122" i="66"/>
  <c r="L123" i="66"/>
  <c r="L124" i="66"/>
  <c r="L125" i="66"/>
  <c r="L126" i="66"/>
  <c r="L127" i="66"/>
  <c r="L128" i="66"/>
  <c r="L129" i="66"/>
  <c r="L130" i="66"/>
  <c r="L131" i="66"/>
  <c r="L132" i="66"/>
  <c r="L133" i="66"/>
  <c r="L134" i="66"/>
  <c r="L135" i="66"/>
  <c r="L136" i="66"/>
  <c r="L137" i="66"/>
  <c r="L138" i="66"/>
  <c r="L139" i="66"/>
  <c r="L140" i="66"/>
  <c r="L141" i="66"/>
  <c r="L142" i="66"/>
  <c r="L143" i="66"/>
  <c r="L144" i="66"/>
  <c r="L145" i="66"/>
  <c r="L146" i="66"/>
  <c r="L147" i="66"/>
  <c r="L148" i="66"/>
  <c r="L149" i="66"/>
  <c r="L150" i="66"/>
  <c r="L151" i="66"/>
  <c r="L152" i="66"/>
  <c r="L153" i="66"/>
  <c r="L154" i="66"/>
  <c r="L155" i="66"/>
  <c r="L156" i="66"/>
  <c r="L157" i="66"/>
  <c r="L158" i="66"/>
  <c r="L159" i="66"/>
  <c r="L160" i="66"/>
  <c r="L161" i="66"/>
  <c r="L162" i="66"/>
  <c r="L163" i="66"/>
  <c r="L164" i="66"/>
  <c r="L165" i="66"/>
  <c r="L166" i="66"/>
  <c r="L167" i="66"/>
  <c r="L168" i="66"/>
  <c r="L169" i="66"/>
  <c r="L170" i="66"/>
  <c r="L171" i="66"/>
  <c r="L172" i="66"/>
  <c r="L173" i="66"/>
  <c r="L174" i="66"/>
  <c r="L175" i="66"/>
  <c r="L176" i="66"/>
  <c r="L177" i="66"/>
  <c r="L178" i="66"/>
  <c r="L179" i="66"/>
  <c r="L180" i="66"/>
  <c r="L181" i="66"/>
  <c r="L182" i="66"/>
  <c r="L183" i="66"/>
  <c r="L184" i="66"/>
  <c r="L185" i="66"/>
  <c r="L186" i="66"/>
  <c r="L187" i="66"/>
  <c r="L188" i="66"/>
  <c r="L189" i="66"/>
  <c r="L190" i="66"/>
  <c r="L191" i="66"/>
  <c r="L192" i="66"/>
  <c r="L193" i="66"/>
  <c r="L194" i="66"/>
  <c r="L195" i="66"/>
  <c r="L196" i="66"/>
  <c r="L197" i="66"/>
  <c r="L198" i="66"/>
  <c r="L199" i="66"/>
  <c r="L200" i="66"/>
  <c r="L201" i="66"/>
  <c r="L202" i="66"/>
  <c r="L203" i="66"/>
  <c r="L204" i="66"/>
  <c r="L205" i="66"/>
  <c r="L206" i="66"/>
  <c r="L207" i="66"/>
  <c r="L208" i="66"/>
  <c r="L209" i="66"/>
  <c r="L210" i="66"/>
  <c r="L211" i="66"/>
  <c r="L212" i="66"/>
  <c r="L213" i="66"/>
  <c r="L214" i="66"/>
  <c r="L215" i="66"/>
  <c r="L216" i="66"/>
  <c r="L217" i="66"/>
  <c r="L218" i="66"/>
  <c r="L219" i="66"/>
  <c r="L220" i="66"/>
  <c r="L221" i="66"/>
  <c r="L222" i="66"/>
  <c r="L223" i="66"/>
  <c r="L224" i="66"/>
  <c r="L225" i="66"/>
  <c r="L226" i="66"/>
  <c r="L227" i="66"/>
  <c r="L228" i="66"/>
  <c r="L229" i="66"/>
  <c r="L230" i="66"/>
  <c r="L231" i="66"/>
  <c r="L232" i="66"/>
  <c r="L233" i="66"/>
  <c r="L234" i="66"/>
  <c r="L235" i="66"/>
  <c r="L236" i="66"/>
  <c r="L237" i="66"/>
  <c r="L238" i="66"/>
  <c r="L239" i="66"/>
  <c r="L240" i="66"/>
  <c r="L241" i="66"/>
  <c r="L242" i="66"/>
  <c r="L243" i="66"/>
  <c r="L244" i="66"/>
  <c r="L245" i="66"/>
  <c r="L246" i="66"/>
  <c r="L247" i="66"/>
  <c r="L248" i="66"/>
  <c r="L249" i="66"/>
  <c r="L250" i="66"/>
  <c r="L251" i="66"/>
  <c r="L252" i="66"/>
  <c r="L253" i="66"/>
  <c r="L254" i="66"/>
  <c r="L255" i="66"/>
  <c r="L256" i="66"/>
  <c r="L257" i="66"/>
  <c r="L258" i="66"/>
  <c r="L259" i="66"/>
  <c r="L260" i="66"/>
  <c r="L261" i="66"/>
  <c r="L262" i="66"/>
  <c r="L263" i="66"/>
  <c r="L264" i="66"/>
  <c r="L265" i="66"/>
  <c r="L266" i="66"/>
  <c r="L267" i="66"/>
  <c r="L268" i="66"/>
  <c r="L269" i="66"/>
  <c r="L270" i="66"/>
  <c r="L271" i="66"/>
  <c r="L272" i="66"/>
  <c r="L273" i="66"/>
  <c r="L274" i="66"/>
  <c r="L275" i="66"/>
  <c r="L276" i="66"/>
  <c r="L277" i="66"/>
  <c r="L278" i="66"/>
  <c r="L279" i="66"/>
  <c r="L280" i="66"/>
  <c r="L281" i="66"/>
  <c r="L282" i="66"/>
  <c r="L283" i="66"/>
  <c r="L284" i="66"/>
  <c r="L15" i="67"/>
  <c r="L16" i="67"/>
  <c r="L17" i="67"/>
  <c r="L18" i="67"/>
  <c r="L19" i="67"/>
  <c r="L20" i="67"/>
  <c r="L21" i="67"/>
  <c r="L22" i="67"/>
  <c r="L23" i="67"/>
  <c r="L24" i="67"/>
  <c r="L25" i="67"/>
  <c r="L26" i="67"/>
  <c r="L27" i="67"/>
  <c r="L28" i="67"/>
  <c r="L29" i="67"/>
  <c r="L30" i="67"/>
  <c r="L31" i="67"/>
  <c r="L32" i="67"/>
  <c r="L33" i="67"/>
  <c r="L34" i="67"/>
  <c r="L35" i="67"/>
  <c r="L36" i="67"/>
  <c r="L37" i="67"/>
  <c r="L38" i="67"/>
  <c r="L39" i="67"/>
  <c r="L40" i="67"/>
  <c r="L41" i="67"/>
  <c r="L42" i="67"/>
  <c r="L43" i="67"/>
  <c r="L44" i="67"/>
  <c r="L45" i="67"/>
  <c r="L46" i="67"/>
  <c r="L47" i="67"/>
  <c r="L48" i="67"/>
  <c r="L49" i="67"/>
  <c r="L50" i="67"/>
  <c r="L51" i="67"/>
  <c r="L52" i="67"/>
  <c r="L53" i="67"/>
  <c r="L54" i="67"/>
  <c r="L55" i="67"/>
  <c r="L56" i="67"/>
  <c r="L57" i="67"/>
  <c r="L58" i="67"/>
  <c r="L59" i="67"/>
  <c r="L60" i="67"/>
  <c r="L61" i="67"/>
  <c r="L62" i="67"/>
  <c r="L63" i="67"/>
  <c r="L64" i="67"/>
  <c r="L65" i="67"/>
  <c r="L66" i="67"/>
  <c r="L67" i="67"/>
  <c r="L68" i="67"/>
  <c r="L69" i="67"/>
  <c r="L70" i="67"/>
  <c r="L71" i="67"/>
  <c r="L72" i="67"/>
  <c r="L73" i="67"/>
  <c r="L74" i="67"/>
  <c r="L75" i="67"/>
  <c r="L76" i="67"/>
  <c r="L77" i="67"/>
  <c r="L78" i="67"/>
  <c r="L79" i="67"/>
  <c r="L80" i="67"/>
  <c r="L81" i="67"/>
  <c r="L82" i="67"/>
  <c r="L83" i="67"/>
  <c r="L84" i="67"/>
  <c r="L85" i="67"/>
  <c r="L86" i="67"/>
  <c r="L87" i="67"/>
  <c r="L88" i="67"/>
  <c r="L89" i="67"/>
  <c r="L90" i="67"/>
  <c r="L91" i="67"/>
  <c r="L92" i="67"/>
  <c r="L93" i="67"/>
  <c r="L94" i="67"/>
  <c r="L95" i="67"/>
  <c r="L96" i="67"/>
  <c r="L97" i="67"/>
  <c r="L98" i="67"/>
  <c r="L99" i="67"/>
  <c r="L100" i="67"/>
  <c r="L101" i="67"/>
  <c r="L102" i="67"/>
  <c r="L103" i="67"/>
  <c r="L104" i="67"/>
  <c r="L105" i="67"/>
  <c r="L106" i="67"/>
  <c r="L107" i="67"/>
  <c r="L108" i="67"/>
  <c r="L109" i="67"/>
  <c r="L110" i="67"/>
  <c r="L111" i="67"/>
  <c r="L112" i="67"/>
  <c r="L113" i="67"/>
  <c r="L114" i="67"/>
  <c r="L115" i="67"/>
  <c r="L116" i="67"/>
  <c r="L117" i="67"/>
  <c r="L118" i="67"/>
  <c r="L119" i="67"/>
  <c r="L120" i="67"/>
  <c r="L121" i="67"/>
  <c r="L122" i="67"/>
  <c r="L123" i="67"/>
  <c r="L124" i="67"/>
  <c r="L125" i="67"/>
  <c r="L126" i="67"/>
  <c r="L127" i="67"/>
  <c r="L128" i="67"/>
  <c r="L129" i="67"/>
  <c r="L130" i="67"/>
  <c r="L131" i="67"/>
  <c r="L132" i="67"/>
  <c r="L133" i="67"/>
  <c r="L134" i="67"/>
  <c r="L135" i="67"/>
  <c r="L136" i="67"/>
  <c r="L137" i="67"/>
  <c r="L138" i="67"/>
  <c r="L139" i="67"/>
  <c r="L140" i="67"/>
  <c r="L141" i="67"/>
  <c r="L142" i="67"/>
  <c r="L143" i="67"/>
  <c r="L144" i="67"/>
  <c r="L145" i="67"/>
  <c r="L146" i="67"/>
  <c r="L147" i="67"/>
  <c r="L148" i="67"/>
  <c r="L149" i="67"/>
  <c r="L150" i="67"/>
  <c r="L151" i="67"/>
  <c r="L152" i="67"/>
  <c r="L153" i="67"/>
  <c r="L154" i="67"/>
  <c r="L155" i="67"/>
  <c r="L156" i="67"/>
  <c r="L157" i="67"/>
  <c r="L158" i="67"/>
  <c r="L159" i="67"/>
  <c r="L160" i="67"/>
  <c r="L161" i="67"/>
  <c r="L162" i="67"/>
  <c r="L163" i="67"/>
  <c r="L164" i="67"/>
  <c r="L165" i="67"/>
  <c r="L166" i="67"/>
  <c r="L167" i="67"/>
  <c r="L168" i="67"/>
  <c r="L169" i="67"/>
  <c r="L170" i="67"/>
  <c r="L171" i="67"/>
  <c r="L172" i="67"/>
  <c r="L173" i="67"/>
  <c r="L174" i="67"/>
  <c r="L175" i="67"/>
  <c r="L176" i="67"/>
  <c r="L177" i="67"/>
  <c r="L178" i="67"/>
  <c r="L179" i="67"/>
  <c r="L180" i="67"/>
  <c r="L181" i="67"/>
  <c r="L182" i="67"/>
  <c r="L183" i="67"/>
  <c r="L184" i="67"/>
  <c r="L185" i="67"/>
  <c r="L186" i="67"/>
  <c r="L187" i="67"/>
  <c r="L188" i="67"/>
  <c r="L189" i="67"/>
  <c r="L190" i="67"/>
  <c r="L191" i="67"/>
  <c r="L192" i="67"/>
  <c r="L193" i="67"/>
  <c r="L194" i="67"/>
  <c r="L195" i="67"/>
  <c r="L196" i="67"/>
  <c r="L197" i="67"/>
  <c r="L198" i="67"/>
  <c r="L199" i="67"/>
  <c r="L200" i="67"/>
  <c r="L201" i="67"/>
  <c r="L202" i="67"/>
  <c r="L203" i="67"/>
  <c r="L204" i="67"/>
  <c r="L205" i="67"/>
  <c r="L206" i="67"/>
  <c r="L207" i="67"/>
  <c r="L208" i="67"/>
  <c r="L209" i="67"/>
  <c r="L210" i="67"/>
  <c r="L211" i="67"/>
  <c r="L212" i="67"/>
  <c r="L213" i="67"/>
  <c r="L214" i="67"/>
  <c r="L215" i="67"/>
  <c r="L216" i="67"/>
  <c r="L217" i="67"/>
  <c r="L218" i="67"/>
  <c r="L219" i="67"/>
  <c r="L220" i="67"/>
  <c r="L221" i="67"/>
  <c r="L222" i="67"/>
  <c r="L223" i="67"/>
  <c r="L224" i="67"/>
  <c r="L225" i="67"/>
  <c r="L226" i="67"/>
  <c r="L227" i="67"/>
  <c r="L228" i="67"/>
  <c r="L229" i="67"/>
  <c r="L230" i="67"/>
  <c r="L231" i="67"/>
  <c r="L232" i="67"/>
  <c r="L233" i="67"/>
  <c r="L234" i="67"/>
  <c r="L235" i="67"/>
  <c r="L236" i="67"/>
  <c r="L237" i="67"/>
  <c r="L238" i="67"/>
  <c r="L239" i="67"/>
  <c r="L240" i="67"/>
  <c r="L241" i="67"/>
  <c r="L242" i="67"/>
  <c r="L243" i="67"/>
  <c r="L244" i="67"/>
  <c r="L245" i="67"/>
  <c r="L246" i="67"/>
  <c r="L247" i="67"/>
  <c r="L248" i="67"/>
  <c r="L249" i="67"/>
  <c r="L250" i="67"/>
  <c r="L251" i="67"/>
  <c r="L252" i="67"/>
  <c r="L253" i="67"/>
  <c r="L254" i="67"/>
  <c r="L255" i="67"/>
  <c r="L256" i="67"/>
  <c r="L257" i="67"/>
  <c r="L258" i="67"/>
  <c r="L259" i="67"/>
  <c r="L260" i="67"/>
  <c r="L261" i="67"/>
  <c r="L262" i="67"/>
  <c r="L263" i="67"/>
  <c r="L264" i="67"/>
  <c r="L265" i="67"/>
  <c r="L266" i="67"/>
  <c r="L267" i="67"/>
  <c r="L268" i="67"/>
  <c r="L269" i="67"/>
  <c r="L270" i="67"/>
  <c r="L271" i="67"/>
  <c r="L272" i="67"/>
  <c r="L273" i="67"/>
  <c r="L274" i="67"/>
  <c r="L275" i="67"/>
  <c r="L276" i="67"/>
  <c r="L277" i="67"/>
  <c r="L278" i="67"/>
  <c r="L279" i="67"/>
  <c r="L280" i="67"/>
  <c r="L281" i="67"/>
  <c r="L282" i="67"/>
  <c r="L283" i="67"/>
  <c r="L284" i="67"/>
  <c r="L15" i="68"/>
  <c r="L16" i="68"/>
  <c r="L17" i="68"/>
  <c r="L18" i="68"/>
  <c r="L19" i="68"/>
  <c r="L20" i="68"/>
  <c r="L21" i="68"/>
  <c r="AO39" i="68" s="1"/>
  <c r="L22" i="68"/>
  <c r="L23" i="68"/>
  <c r="L24" i="68"/>
  <c r="L25" i="68"/>
  <c r="L26" i="68"/>
  <c r="L27" i="68"/>
  <c r="AP40" i="68" s="1"/>
  <c r="Q57" i="53" s="1"/>
  <c r="L28" i="68"/>
  <c r="L29" i="68"/>
  <c r="AO41" i="68" s="1"/>
  <c r="L30" i="68"/>
  <c r="L31" i="68"/>
  <c r="AO45" i="68" s="1"/>
  <c r="L32" i="68"/>
  <c r="AP54" i="68" s="1"/>
  <c r="L33" i="68"/>
  <c r="AP57" i="68" s="1"/>
  <c r="L34" i="68"/>
  <c r="AO59" i="68" s="1"/>
  <c r="L37" i="68"/>
  <c r="AP71" i="68" s="1"/>
  <c r="L38" i="68"/>
  <c r="L39" i="68"/>
  <c r="L40" i="68"/>
  <c r="L41" i="68"/>
  <c r="L42" i="68"/>
  <c r="L43" i="68"/>
  <c r="L44" i="68"/>
  <c r="L45" i="68"/>
  <c r="L46" i="68"/>
  <c r="L47" i="68"/>
  <c r="L48" i="68"/>
  <c r="L49" i="68"/>
  <c r="L50" i="68"/>
  <c r="L51" i="68"/>
  <c r="L52" i="68"/>
  <c r="L53" i="68"/>
  <c r="L54" i="68"/>
  <c r="L55" i="68"/>
  <c r="L56" i="68"/>
  <c r="L57" i="68"/>
  <c r="L58" i="68"/>
  <c r="L59" i="68"/>
  <c r="L60" i="68"/>
  <c r="L61" i="68"/>
  <c r="L62" i="68"/>
  <c r="L63" i="68"/>
  <c r="L64" i="68"/>
  <c r="L65" i="68"/>
  <c r="L66" i="68"/>
  <c r="L67" i="68"/>
  <c r="L68" i="68"/>
  <c r="L69" i="68"/>
  <c r="L70" i="68"/>
  <c r="L71" i="68"/>
  <c r="L72" i="68"/>
  <c r="L73" i="68"/>
  <c r="L74" i="68"/>
  <c r="L75" i="68"/>
  <c r="L76" i="68"/>
  <c r="L77" i="68"/>
  <c r="L78" i="68"/>
  <c r="L79" i="68"/>
  <c r="L80" i="68"/>
  <c r="L81" i="68"/>
  <c r="L82" i="68"/>
  <c r="L83" i="68"/>
  <c r="L84" i="68"/>
  <c r="L85" i="68"/>
  <c r="L86" i="68"/>
  <c r="L87" i="68"/>
  <c r="L88" i="68"/>
  <c r="L89" i="68"/>
  <c r="L90" i="68"/>
  <c r="L91" i="68"/>
  <c r="L92" i="68"/>
  <c r="L93" i="68"/>
  <c r="L94" i="68"/>
  <c r="L95" i="68"/>
  <c r="L96" i="68"/>
  <c r="L97" i="68"/>
  <c r="L98" i="68"/>
  <c r="L99" i="68"/>
  <c r="L100" i="68"/>
  <c r="L101" i="68"/>
  <c r="L102" i="68"/>
  <c r="L103" i="68"/>
  <c r="L104" i="68"/>
  <c r="L105" i="68"/>
  <c r="L106" i="68"/>
  <c r="L107" i="68"/>
  <c r="L108" i="68"/>
  <c r="L109" i="68"/>
  <c r="L110" i="68"/>
  <c r="L111" i="68"/>
  <c r="L112" i="68"/>
  <c r="L113" i="68"/>
  <c r="L114" i="68"/>
  <c r="L115" i="68"/>
  <c r="L116" i="68"/>
  <c r="L117" i="68"/>
  <c r="L118" i="68"/>
  <c r="L119" i="68"/>
  <c r="L120" i="68"/>
  <c r="L121" i="68"/>
  <c r="L122" i="68"/>
  <c r="L123" i="68"/>
  <c r="L124" i="68"/>
  <c r="L125" i="68"/>
  <c r="L126" i="68"/>
  <c r="L127" i="68"/>
  <c r="L128" i="68"/>
  <c r="L129" i="68"/>
  <c r="L130" i="68"/>
  <c r="L131" i="68"/>
  <c r="L132" i="68"/>
  <c r="L133" i="68"/>
  <c r="L134" i="68"/>
  <c r="L135" i="68"/>
  <c r="L136" i="68"/>
  <c r="L137" i="68"/>
  <c r="L138" i="68"/>
  <c r="L139" i="68"/>
  <c r="L140" i="68"/>
  <c r="L141" i="68"/>
  <c r="L142" i="68"/>
  <c r="L143" i="68"/>
  <c r="L144" i="68"/>
  <c r="L145" i="68"/>
  <c r="L146" i="68"/>
  <c r="L147" i="68"/>
  <c r="L148" i="68"/>
  <c r="L149" i="68"/>
  <c r="L150" i="68"/>
  <c r="L151" i="68"/>
  <c r="L152" i="68"/>
  <c r="L153" i="68"/>
  <c r="L154" i="68"/>
  <c r="L155" i="68"/>
  <c r="L156" i="68"/>
  <c r="L157" i="68"/>
  <c r="L158" i="68"/>
  <c r="L159" i="68"/>
  <c r="L160" i="68"/>
  <c r="L161" i="68"/>
  <c r="L162" i="68"/>
  <c r="L163" i="68"/>
  <c r="L164" i="68"/>
  <c r="L165" i="68"/>
  <c r="L166" i="68"/>
  <c r="L167" i="68"/>
  <c r="L168" i="68"/>
  <c r="L169" i="68"/>
  <c r="L170" i="68"/>
  <c r="L171" i="68"/>
  <c r="L172" i="68"/>
  <c r="L173" i="68"/>
  <c r="L174" i="68"/>
  <c r="L175" i="68"/>
  <c r="L176" i="68"/>
  <c r="L177" i="68"/>
  <c r="L178" i="68"/>
  <c r="L179" i="68"/>
  <c r="L180" i="68"/>
  <c r="L181" i="68"/>
  <c r="L182" i="68"/>
  <c r="L183" i="68"/>
  <c r="L184" i="68"/>
  <c r="L185" i="68"/>
  <c r="L186" i="68"/>
  <c r="L187" i="68"/>
  <c r="L188" i="68"/>
  <c r="L189" i="68"/>
  <c r="L190" i="68"/>
  <c r="L191" i="68"/>
  <c r="L192" i="68"/>
  <c r="L193" i="68"/>
  <c r="L194" i="68"/>
  <c r="L195" i="68"/>
  <c r="L196" i="68"/>
  <c r="L197" i="68"/>
  <c r="L198" i="68"/>
  <c r="L199" i="68"/>
  <c r="L200" i="68"/>
  <c r="L201" i="68"/>
  <c r="L202" i="68"/>
  <c r="L203" i="68"/>
  <c r="L204" i="68"/>
  <c r="L205" i="68"/>
  <c r="L206" i="68"/>
  <c r="L207" i="68"/>
  <c r="L208" i="68"/>
  <c r="L209" i="68"/>
  <c r="L210" i="68"/>
  <c r="L211" i="68"/>
  <c r="L212" i="68"/>
  <c r="L213" i="68"/>
  <c r="L214" i="68"/>
  <c r="L215" i="68"/>
  <c r="L216" i="68"/>
  <c r="L217" i="68"/>
  <c r="L218" i="68"/>
  <c r="L219" i="68"/>
  <c r="L220" i="68"/>
  <c r="L221" i="68"/>
  <c r="L222" i="68"/>
  <c r="L223" i="68"/>
  <c r="L224" i="68"/>
  <c r="L225" i="68"/>
  <c r="L226" i="68"/>
  <c r="L227" i="68"/>
  <c r="L228" i="68"/>
  <c r="L229" i="68"/>
  <c r="L230" i="68"/>
  <c r="L231" i="68"/>
  <c r="L232" i="68"/>
  <c r="L233" i="68"/>
  <c r="L234" i="68"/>
  <c r="L235" i="68"/>
  <c r="L236" i="68"/>
  <c r="L237" i="68"/>
  <c r="L238" i="68"/>
  <c r="L239" i="68"/>
  <c r="L240" i="68"/>
  <c r="L241" i="68"/>
  <c r="L242" i="68"/>
  <c r="L243" i="68"/>
  <c r="L244" i="68"/>
  <c r="L245" i="68"/>
  <c r="L246" i="68"/>
  <c r="L247" i="68"/>
  <c r="L248" i="68"/>
  <c r="L249" i="68"/>
  <c r="L250" i="68"/>
  <c r="L251" i="68"/>
  <c r="L252" i="68"/>
  <c r="L253" i="68"/>
  <c r="L254" i="68"/>
  <c r="L255" i="68"/>
  <c r="L256" i="68"/>
  <c r="L257" i="68"/>
  <c r="L258" i="68"/>
  <c r="L259" i="68"/>
  <c r="L260" i="68"/>
  <c r="L261" i="68"/>
  <c r="L262" i="68"/>
  <c r="L263" i="68"/>
  <c r="L264" i="68"/>
  <c r="L265" i="68"/>
  <c r="L266" i="68"/>
  <c r="L267" i="68"/>
  <c r="L268" i="68"/>
  <c r="L269" i="68"/>
  <c r="L270" i="68"/>
  <c r="L271" i="68"/>
  <c r="L272" i="68"/>
  <c r="L273" i="68"/>
  <c r="L274" i="68"/>
  <c r="L275" i="68"/>
  <c r="L276" i="68"/>
  <c r="L277" i="68"/>
  <c r="L278" i="68"/>
  <c r="L279" i="68"/>
  <c r="L280" i="68"/>
  <c r="L281" i="68"/>
  <c r="L282" i="68"/>
  <c r="L283" i="68"/>
  <c r="L284" i="68"/>
  <c r="L15" i="69"/>
  <c r="L16" i="69"/>
  <c r="L17" i="69"/>
  <c r="L18" i="69"/>
  <c r="L19" i="69"/>
  <c r="L20" i="69"/>
  <c r="L21" i="69"/>
  <c r="L22" i="69"/>
  <c r="L23" i="69"/>
  <c r="L24" i="69"/>
  <c r="L25" i="69"/>
  <c r="L26" i="69"/>
  <c r="L27" i="69"/>
  <c r="L28" i="69"/>
  <c r="L29" i="69"/>
  <c r="L30" i="69"/>
  <c r="L31" i="69"/>
  <c r="L32" i="69"/>
  <c r="L33" i="69"/>
  <c r="L34" i="69"/>
  <c r="L35" i="69"/>
  <c r="L36" i="69"/>
  <c r="L37" i="69"/>
  <c r="L38" i="69"/>
  <c r="L39" i="69"/>
  <c r="L40" i="69"/>
  <c r="L41" i="69"/>
  <c r="L42" i="69"/>
  <c r="L43" i="69"/>
  <c r="L44" i="69"/>
  <c r="L45" i="69"/>
  <c r="L46" i="69"/>
  <c r="L47" i="69"/>
  <c r="L48" i="69"/>
  <c r="L49" i="69"/>
  <c r="L50" i="69"/>
  <c r="L51" i="69"/>
  <c r="L52" i="69"/>
  <c r="L53" i="69"/>
  <c r="L54" i="69"/>
  <c r="L55" i="69"/>
  <c r="L56" i="69"/>
  <c r="L57" i="69"/>
  <c r="L58" i="69"/>
  <c r="L59" i="69"/>
  <c r="L60" i="69"/>
  <c r="L61" i="69"/>
  <c r="L62" i="69"/>
  <c r="L63" i="69"/>
  <c r="L64" i="69"/>
  <c r="L65" i="69"/>
  <c r="L66" i="69"/>
  <c r="L67" i="69"/>
  <c r="L68" i="69"/>
  <c r="L69" i="69"/>
  <c r="L70" i="69"/>
  <c r="L71" i="69"/>
  <c r="L72" i="69"/>
  <c r="L73" i="69"/>
  <c r="L74" i="69"/>
  <c r="L75" i="69"/>
  <c r="L76" i="69"/>
  <c r="L77" i="69"/>
  <c r="L78" i="69"/>
  <c r="L79" i="69"/>
  <c r="L80" i="69"/>
  <c r="L81" i="69"/>
  <c r="L82" i="69"/>
  <c r="L83" i="69"/>
  <c r="L84" i="69"/>
  <c r="L85" i="69"/>
  <c r="L86" i="69"/>
  <c r="L87" i="69"/>
  <c r="L88" i="69"/>
  <c r="L89" i="69"/>
  <c r="L90" i="69"/>
  <c r="L91" i="69"/>
  <c r="L92" i="69"/>
  <c r="L93" i="69"/>
  <c r="L94" i="69"/>
  <c r="L95" i="69"/>
  <c r="L96" i="69"/>
  <c r="L97" i="69"/>
  <c r="L98" i="69"/>
  <c r="L99" i="69"/>
  <c r="L100" i="69"/>
  <c r="L101" i="69"/>
  <c r="L102" i="69"/>
  <c r="L103" i="69"/>
  <c r="L104" i="69"/>
  <c r="L105" i="69"/>
  <c r="L106" i="69"/>
  <c r="L107" i="69"/>
  <c r="L108" i="69"/>
  <c r="L109" i="69"/>
  <c r="L110" i="69"/>
  <c r="L111" i="69"/>
  <c r="L112" i="69"/>
  <c r="L113" i="69"/>
  <c r="L114" i="69"/>
  <c r="L115" i="69"/>
  <c r="L116" i="69"/>
  <c r="L117" i="69"/>
  <c r="L118" i="69"/>
  <c r="L119" i="69"/>
  <c r="L120" i="69"/>
  <c r="L121" i="69"/>
  <c r="L122" i="69"/>
  <c r="L123" i="69"/>
  <c r="L124" i="69"/>
  <c r="L125" i="69"/>
  <c r="L126" i="69"/>
  <c r="L127" i="69"/>
  <c r="L128" i="69"/>
  <c r="L129" i="69"/>
  <c r="L130" i="69"/>
  <c r="L131" i="69"/>
  <c r="L132" i="69"/>
  <c r="L133" i="69"/>
  <c r="L134" i="69"/>
  <c r="L135" i="69"/>
  <c r="L136" i="69"/>
  <c r="L137" i="69"/>
  <c r="L138" i="69"/>
  <c r="L139" i="69"/>
  <c r="L140" i="69"/>
  <c r="L141" i="69"/>
  <c r="L142" i="69"/>
  <c r="L143" i="69"/>
  <c r="L144" i="69"/>
  <c r="L145" i="69"/>
  <c r="L146" i="69"/>
  <c r="L147" i="69"/>
  <c r="L148" i="69"/>
  <c r="L149" i="69"/>
  <c r="L150" i="69"/>
  <c r="L151" i="69"/>
  <c r="L152" i="69"/>
  <c r="L153" i="69"/>
  <c r="L154" i="69"/>
  <c r="L155" i="69"/>
  <c r="L156" i="69"/>
  <c r="L157" i="69"/>
  <c r="L158" i="69"/>
  <c r="L159" i="69"/>
  <c r="L160" i="69"/>
  <c r="L161" i="69"/>
  <c r="L162" i="69"/>
  <c r="L163" i="69"/>
  <c r="L164" i="69"/>
  <c r="L165" i="69"/>
  <c r="L166" i="69"/>
  <c r="L167" i="69"/>
  <c r="L168" i="69"/>
  <c r="L169" i="69"/>
  <c r="L170" i="69"/>
  <c r="L171" i="69"/>
  <c r="L172" i="69"/>
  <c r="L173" i="69"/>
  <c r="L174" i="69"/>
  <c r="L175" i="69"/>
  <c r="L176" i="69"/>
  <c r="L177" i="69"/>
  <c r="L178" i="69"/>
  <c r="L179" i="69"/>
  <c r="L180" i="69"/>
  <c r="L181" i="69"/>
  <c r="L182" i="69"/>
  <c r="L183" i="69"/>
  <c r="L184" i="69"/>
  <c r="L185" i="69"/>
  <c r="L186" i="69"/>
  <c r="L187" i="69"/>
  <c r="L188" i="69"/>
  <c r="L189" i="69"/>
  <c r="L190" i="69"/>
  <c r="L191" i="69"/>
  <c r="L192" i="69"/>
  <c r="L193" i="69"/>
  <c r="L194" i="69"/>
  <c r="L195" i="69"/>
  <c r="L196" i="69"/>
  <c r="L197" i="69"/>
  <c r="L198" i="69"/>
  <c r="L199" i="69"/>
  <c r="L200" i="69"/>
  <c r="L201" i="69"/>
  <c r="L202" i="69"/>
  <c r="L203" i="69"/>
  <c r="L204" i="69"/>
  <c r="L205" i="69"/>
  <c r="L206" i="69"/>
  <c r="L207" i="69"/>
  <c r="L208" i="69"/>
  <c r="L209" i="69"/>
  <c r="L210" i="69"/>
  <c r="L211" i="69"/>
  <c r="L212" i="69"/>
  <c r="L213" i="69"/>
  <c r="L214" i="69"/>
  <c r="L215" i="69"/>
  <c r="L216" i="69"/>
  <c r="L217" i="69"/>
  <c r="L218" i="69"/>
  <c r="L219" i="69"/>
  <c r="L220" i="69"/>
  <c r="L221" i="69"/>
  <c r="L222" i="69"/>
  <c r="L223" i="69"/>
  <c r="L224" i="69"/>
  <c r="L225" i="69"/>
  <c r="L226" i="69"/>
  <c r="L227" i="69"/>
  <c r="L228" i="69"/>
  <c r="L229" i="69"/>
  <c r="L230" i="69"/>
  <c r="L231" i="69"/>
  <c r="L232" i="69"/>
  <c r="L233" i="69"/>
  <c r="L234" i="69"/>
  <c r="L235" i="69"/>
  <c r="L236" i="69"/>
  <c r="L237" i="69"/>
  <c r="L238" i="69"/>
  <c r="L239" i="69"/>
  <c r="L240" i="69"/>
  <c r="L241" i="69"/>
  <c r="L242" i="69"/>
  <c r="L243" i="69"/>
  <c r="L244" i="69"/>
  <c r="L245" i="69"/>
  <c r="L246" i="69"/>
  <c r="L247" i="69"/>
  <c r="L248" i="69"/>
  <c r="L249" i="69"/>
  <c r="L250" i="69"/>
  <c r="L251" i="69"/>
  <c r="L252" i="69"/>
  <c r="L253" i="69"/>
  <c r="L254" i="69"/>
  <c r="L255" i="69"/>
  <c r="L256" i="69"/>
  <c r="L257" i="69"/>
  <c r="L258" i="69"/>
  <c r="L259" i="69"/>
  <c r="L260" i="69"/>
  <c r="L261" i="69"/>
  <c r="L262" i="69"/>
  <c r="L263" i="69"/>
  <c r="L264" i="69"/>
  <c r="L265" i="69"/>
  <c r="L266" i="69"/>
  <c r="L267" i="69"/>
  <c r="L268" i="69"/>
  <c r="L269" i="69"/>
  <c r="L270" i="69"/>
  <c r="L271" i="69"/>
  <c r="L272" i="69"/>
  <c r="L273" i="69"/>
  <c r="L274" i="69"/>
  <c r="L275" i="69"/>
  <c r="L276" i="69"/>
  <c r="L277" i="69"/>
  <c r="L278" i="69"/>
  <c r="L279" i="69"/>
  <c r="L280" i="69"/>
  <c r="L281" i="69"/>
  <c r="L282" i="69"/>
  <c r="L283" i="69"/>
  <c r="L284" i="69"/>
  <c r="L15" i="70"/>
  <c r="L16" i="70"/>
  <c r="L17" i="70"/>
  <c r="L18" i="70"/>
  <c r="L19" i="70"/>
  <c r="L20" i="70"/>
  <c r="L21" i="70"/>
  <c r="L22" i="70"/>
  <c r="L23" i="70"/>
  <c r="L24" i="70"/>
  <c r="L25" i="70"/>
  <c r="L26" i="70"/>
  <c r="L27" i="70"/>
  <c r="L28" i="70"/>
  <c r="L29" i="70"/>
  <c r="L30" i="70"/>
  <c r="L31" i="70"/>
  <c r="L32" i="70"/>
  <c r="L33" i="70"/>
  <c r="L34" i="70"/>
  <c r="L35" i="70"/>
  <c r="L36" i="70"/>
  <c r="L37" i="70"/>
  <c r="L38" i="70"/>
  <c r="L39" i="70"/>
  <c r="L40" i="70"/>
  <c r="L41" i="70"/>
  <c r="L42" i="70"/>
  <c r="L43" i="70"/>
  <c r="L44" i="70"/>
  <c r="L45" i="70"/>
  <c r="L46" i="70"/>
  <c r="L47" i="70"/>
  <c r="L48" i="70"/>
  <c r="L49" i="70"/>
  <c r="L50" i="70"/>
  <c r="L51" i="70"/>
  <c r="L52" i="70"/>
  <c r="L53" i="70"/>
  <c r="L54" i="70"/>
  <c r="L55" i="70"/>
  <c r="L56" i="70"/>
  <c r="L57" i="70"/>
  <c r="L58" i="70"/>
  <c r="L59" i="70"/>
  <c r="L60" i="70"/>
  <c r="L61" i="70"/>
  <c r="L62" i="70"/>
  <c r="L63" i="70"/>
  <c r="L64" i="70"/>
  <c r="L65" i="70"/>
  <c r="L66" i="70"/>
  <c r="L67" i="70"/>
  <c r="L68" i="70"/>
  <c r="L69" i="70"/>
  <c r="L70" i="70"/>
  <c r="L71" i="70"/>
  <c r="L72" i="70"/>
  <c r="L73" i="70"/>
  <c r="L74" i="70"/>
  <c r="L75" i="70"/>
  <c r="L76" i="70"/>
  <c r="L77" i="70"/>
  <c r="L78" i="70"/>
  <c r="L79" i="70"/>
  <c r="L80" i="70"/>
  <c r="L81" i="70"/>
  <c r="L82" i="70"/>
  <c r="L83" i="70"/>
  <c r="L84" i="70"/>
  <c r="L85" i="70"/>
  <c r="L86" i="70"/>
  <c r="L87" i="70"/>
  <c r="L88" i="70"/>
  <c r="L89" i="70"/>
  <c r="L90" i="70"/>
  <c r="L91" i="70"/>
  <c r="L92" i="70"/>
  <c r="L93" i="70"/>
  <c r="L94" i="70"/>
  <c r="L95" i="70"/>
  <c r="L96" i="70"/>
  <c r="L97" i="70"/>
  <c r="L98" i="70"/>
  <c r="L99" i="70"/>
  <c r="L100" i="70"/>
  <c r="L101" i="70"/>
  <c r="L102" i="70"/>
  <c r="L103" i="70"/>
  <c r="L104" i="70"/>
  <c r="L105" i="70"/>
  <c r="L106" i="70"/>
  <c r="L107" i="70"/>
  <c r="L108" i="70"/>
  <c r="L109" i="70"/>
  <c r="L110" i="70"/>
  <c r="L111" i="70"/>
  <c r="L112" i="70"/>
  <c r="L113" i="70"/>
  <c r="L114" i="70"/>
  <c r="L115" i="70"/>
  <c r="L116" i="70"/>
  <c r="L117" i="70"/>
  <c r="L118" i="70"/>
  <c r="L119" i="70"/>
  <c r="L120" i="70"/>
  <c r="L121" i="70"/>
  <c r="L122" i="70"/>
  <c r="L123" i="70"/>
  <c r="L124" i="70"/>
  <c r="L125" i="70"/>
  <c r="L126" i="70"/>
  <c r="L127" i="70"/>
  <c r="L128" i="70"/>
  <c r="L129" i="70"/>
  <c r="L130" i="70"/>
  <c r="L131" i="70"/>
  <c r="L132" i="70"/>
  <c r="L133" i="70"/>
  <c r="L134" i="70"/>
  <c r="L135" i="70"/>
  <c r="L136" i="70"/>
  <c r="L137" i="70"/>
  <c r="L138" i="70"/>
  <c r="L139" i="70"/>
  <c r="L140" i="70"/>
  <c r="L141" i="70"/>
  <c r="L142" i="70"/>
  <c r="L143" i="70"/>
  <c r="L144" i="70"/>
  <c r="L145" i="70"/>
  <c r="L146" i="70"/>
  <c r="L147" i="70"/>
  <c r="L148" i="70"/>
  <c r="L149" i="70"/>
  <c r="L150" i="70"/>
  <c r="L151" i="70"/>
  <c r="L152" i="70"/>
  <c r="L153" i="70"/>
  <c r="L154" i="70"/>
  <c r="L155" i="70"/>
  <c r="L156" i="70"/>
  <c r="L157" i="70"/>
  <c r="L158" i="70"/>
  <c r="L159" i="70"/>
  <c r="L160" i="70"/>
  <c r="L161" i="70"/>
  <c r="L162" i="70"/>
  <c r="L163" i="70"/>
  <c r="L164" i="70"/>
  <c r="L165" i="70"/>
  <c r="L166" i="70"/>
  <c r="L167" i="70"/>
  <c r="L168" i="70"/>
  <c r="L169" i="70"/>
  <c r="L170" i="70"/>
  <c r="L171" i="70"/>
  <c r="L172" i="70"/>
  <c r="L173" i="70"/>
  <c r="L174" i="70"/>
  <c r="L175" i="70"/>
  <c r="L176" i="70"/>
  <c r="L177" i="70"/>
  <c r="L178" i="70"/>
  <c r="L179" i="70"/>
  <c r="L180" i="70"/>
  <c r="L181" i="70"/>
  <c r="L182" i="70"/>
  <c r="L183" i="70"/>
  <c r="L184" i="70"/>
  <c r="L185" i="70"/>
  <c r="L186" i="70"/>
  <c r="L187" i="70"/>
  <c r="L188" i="70"/>
  <c r="L189" i="70"/>
  <c r="L190" i="70"/>
  <c r="L191" i="70"/>
  <c r="L192" i="70"/>
  <c r="L193" i="70"/>
  <c r="L194" i="70"/>
  <c r="L195" i="70"/>
  <c r="L196" i="70"/>
  <c r="L197" i="70"/>
  <c r="L198" i="70"/>
  <c r="L199" i="70"/>
  <c r="L200" i="70"/>
  <c r="L201" i="70"/>
  <c r="L202" i="70"/>
  <c r="L203" i="70"/>
  <c r="L204" i="70"/>
  <c r="L205" i="70"/>
  <c r="L206" i="70"/>
  <c r="L207" i="70"/>
  <c r="L208" i="70"/>
  <c r="L209" i="70"/>
  <c r="L210" i="70"/>
  <c r="L211" i="70"/>
  <c r="L212" i="70"/>
  <c r="L213" i="70"/>
  <c r="L214" i="70"/>
  <c r="L215" i="70"/>
  <c r="L216" i="70"/>
  <c r="L217" i="70"/>
  <c r="L218" i="70"/>
  <c r="L219" i="70"/>
  <c r="L220" i="70"/>
  <c r="L221" i="70"/>
  <c r="L222" i="70"/>
  <c r="L223" i="70"/>
  <c r="L224" i="70"/>
  <c r="L225" i="70"/>
  <c r="L226" i="70"/>
  <c r="L227" i="70"/>
  <c r="L228" i="70"/>
  <c r="L229" i="70"/>
  <c r="L230" i="70"/>
  <c r="L231" i="70"/>
  <c r="L232" i="70"/>
  <c r="L233" i="70"/>
  <c r="L234" i="70"/>
  <c r="L235" i="70"/>
  <c r="L236" i="70"/>
  <c r="L237" i="70"/>
  <c r="L238" i="70"/>
  <c r="L239" i="70"/>
  <c r="L240" i="70"/>
  <c r="L241" i="70"/>
  <c r="L242" i="70"/>
  <c r="L243" i="70"/>
  <c r="L244" i="70"/>
  <c r="L245" i="70"/>
  <c r="L246" i="70"/>
  <c r="L247" i="70"/>
  <c r="L248" i="70"/>
  <c r="L249" i="70"/>
  <c r="L250" i="70"/>
  <c r="L251" i="70"/>
  <c r="L252" i="70"/>
  <c r="L253" i="70"/>
  <c r="L254" i="70"/>
  <c r="L255" i="70"/>
  <c r="L256" i="70"/>
  <c r="L257" i="70"/>
  <c r="L258" i="70"/>
  <c r="L259" i="70"/>
  <c r="L260" i="70"/>
  <c r="L261" i="70"/>
  <c r="L262" i="70"/>
  <c r="L263" i="70"/>
  <c r="L264" i="70"/>
  <c r="L265" i="70"/>
  <c r="L266" i="70"/>
  <c r="L267" i="70"/>
  <c r="L268" i="70"/>
  <c r="L269" i="70"/>
  <c r="L270" i="70"/>
  <c r="L271" i="70"/>
  <c r="L272" i="70"/>
  <c r="L273" i="70"/>
  <c r="L274" i="70"/>
  <c r="L275" i="70"/>
  <c r="L276" i="70"/>
  <c r="L277" i="70"/>
  <c r="L278" i="70"/>
  <c r="L279" i="70"/>
  <c r="L280" i="70"/>
  <c r="L281" i="70"/>
  <c r="L282" i="70"/>
  <c r="L283" i="70"/>
  <c r="L284" i="70"/>
  <c r="L15" i="71"/>
  <c r="L16" i="71"/>
  <c r="L17" i="71"/>
  <c r="L18" i="71"/>
  <c r="L19" i="71"/>
  <c r="L20" i="71"/>
  <c r="L21" i="71"/>
  <c r="L22" i="71"/>
  <c r="L23" i="71"/>
  <c r="L24" i="71"/>
  <c r="L25" i="71"/>
  <c r="L26" i="71"/>
  <c r="L27" i="71"/>
  <c r="L28" i="71"/>
  <c r="L29" i="71"/>
  <c r="L30" i="71"/>
  <c r="L31" i="71"/>
  <c r="L32" i="71"/>
  <c r="L33" i="71"/>
  <c r="L34" i="71"/>
  <c r="L35" i="71"/>
  <c r="L36" i="71"/>
  <c r="L37" i="71"/>
  <c r="L38" i="71"/>
  <c r="L39" i="71"/>
  <c r="L40" i="71"/>
  <c r="L41" i="71"/>
  <c r="L42" i="71"/>
  <c r="L43" i="71"/>
  <c r="L44" i="71"/>
  <c r="L45" i="71"/>
  <c r="L46" i="71"/>
  <c r="L47" i="71"/>
  <c r="L48" i="71"/>
  <c r="L49" i="71"/>
  <c r="L50" i="71"/>
  <c r="L51" i="71"/>
  <c r="L52" i="71"/>
  <c r="L53" i="71"/>
  <c r="L54" i="71"/>
  <c r="L55" i="71"/>
  <c r="L56" i="71"/>
  <c r="L57" i="71"/>
  <c r="L58" i="71"/>
  <c r="L59" i="71"/>
  <c r="L60" i="71"/>
  <c r="L61" i="71"/>
  <c r="L62" i="71"/>
  <c r="L63" i="71"/>
  <c r="L64" i="71"/>
  <c r="L65" i="71"/>
  <c r="L66" i="71"/>
  <c r="L67" i="71"/>
  <c r="L68" i="71"/>
  <c r="L69" i="71"/>
  <c r="L70" i="71"/>
  <c r="L71" i="71"/>
  <c r="L72" i="71"/>
  <c r="L73" i="71"/>
  <c r="L74" i="71"/>
  <c r="L75" i="71"/>
  <c r="L76" i="71"/>
  <c r="L77" i="71"/>
  <c r="L78" i="71"/>
  <c r="L79" i="71"/>
  <c r="L80" i="71"/>
  <c r="L81" i="71"/>
  <c r="L82" i="71"/>
  <c r="L83" i="71"/>
  <c r="L84" i="71"/>
  <c r="L85" i="71"/>
  <c r="L86" i="71"/>
  <c r="L87" i="71"/>
  <c r="L88" i="71"/>
  <c r="L89" i="71"/>
  <c r="L90" i="71"/>
  <c r="L91" i="71"/>
  <c r="L92" i="71"/>
  <c r="L93" i="71"/>
  <c r="L94" i="71"/>
  <c r="L95" i="71"/>
  <c r="L96" i="71"/>
  <c r="L97" i="71"/>
  <c r="L98" i="71"/>
  <c r="L99" i="71"/>
  <c r="L100" i="71"/>
  <c r="L101" i="71"/>
  <c r="L102" i="71"/>
  <c r="L103" i="71"/>
  <c r="L104" i="71"/>
  <c r="L105" i="71"/>
  <c r="L106" i="71"/>
  <c r="L107" i="71"/>
  <c r="L108" i="71"/>
  <c r="L109" i="71"/>
  <c r="L110" i="71"/>
  <c r="L111" i="71"/>
  <c r="L112" i="71"/>
  <c r="L113" i="71"/>
  <c r="L114" i="71"/>
  <c r="L115" i="71"/>
  <c r="L116" i="71"/>
  <c r="L117" i="71"/>
  <c r="L118" i="71"/>
  <c r="L119" i="71"/>
  <c r="L120" i="71"/>
  <c r="L121" i="71"/>
  <c r="L122" i="71"/>
  <c r="L123" i="71"/>
  <c r="L124" i="71"/>
  <c r="L125" i="71"/>
  <c r="L126" i="71"/>
  <c r="L127" i="71"/>
  <c r="L128" i="71"/>
  <c r="L129" i="71"/>
  <c r="L130" i="71"/>
  <c r="L131" i="71"/>
  <c r="L132" i="71"/>
  <c r="L133" i="71"/>
  <c r="L134" i="71"/>
  <c r="L135" i="71"/>
  <c r="L136" i="71"/>
  <c r="L137" i="71"/>
  <c r="L138" i="71"/>
  <c r="L139" i="71"/>
  <c r="L140" i="71"/>
  <c r="L141" i="71"/>
  <c r="L142" i="71"/>
  <c r="L143" i="71"/>
  <c r="L144" i="71"/>
  <c r="L145" i="71"/>
  <c r="L146" i="71"/>
  <c r="L147" i="71"/>
  <c r="L148" i="71"/>
  <c r="L149" i="71"/>
  <c r="L150" i="71"/>
  <c r="L151" i="71"/>
  <c r="L152" i="71"/>
  <c r="L153" i="71"/>
  <c r="L154" i="71"/>
  <c r="L155" i="71"/>
  <c r="L156" i="71"/>
  <c r="L157" i="71"/>
  <c r="L158" i="71"/>
  <c r="L159" i="71"/>
  <c r="L160" i="71"/>
  <c r="L161" i="71"/>
  <c r="L162" i="71"/>
  <c r="L163" i="71"/>
  <c r="L164" i="71"/>
  <c r="L165" i="71"/>
  <c r="L166" i="71"/>
  <c r="L167" i="71"/>
  <c r="L168" i="71"/>
  <c r="L169" i="71"/>
  <c r="L170" i="71"/>
  <c r="L171" i="71"/>
  <c r="L172" i="71"/>
  <c r="L173" i="71"/>
  <c r="L174" i="71"/>
  <c r="L175" i="71"/>
  <c r="L176" i="71"/>
  <c r="L177" i="71"/>
  <c r="L178" i="71"/>
  <c r="L179" i="71"/>
  <c r="L180" i="71"/>
  <c r="L181" i="71"/>
  <c r="L182" i="71"/>
  <c r="L183" i="71"/>
  <c r="L184" i="71"/>
  <c r="L185" i="71"/>
  <c r="L186" i="71"/>
  <c r="L187" i="71"/>
  <c r="L188" i="71"/>
  <c r="L189" i="71"/>
  <c r="L190" i="71"/>
  <c r="L191" i="71"/>
  <c r="L192" i="71"/>
  <c r="L193" i="71"/>
  <c r="L194" i="71"/>
  <c r="L195" i="71"/>
  <c r="L196" i="71"/>
  <c r="L197" i="71"/>
  <c r="L198" i="71"/>
  <c r="L199" i="71"/>
  <c r="L200" i="71"/>
  <c r="L201" i="71"/>
  <c r="L202" i="71"/>
  <c r="L203" i="71"/>
  <c r="L204" i="71"/>
  <c r="L205" i="71"/>
  <c r="L206" i="71"/>
  <c r="L207" i="71"/>
  <c r="L208" i="71"/>
  <c r="L209" i="71"/>
  <c r="L210" i="71"/>
  <c r="L211" i="71"/>
  <c r="L212" i="71"/>
  <c r="L213" i="71"/>
  <c r="L214" i="71"/>
  <c r="L215" i="71"/>
  <c r="L216" i="71"/>
  <c r="L217" i="71"/>
  <c r="L218" i="71"/>
  <c r="L219" i="71"/>
  <c r="L220" i="71"/>
  <c r="L221" i="71"/>
  <c r="L222" i="71"/>
  <c r="L223" i="71"/>
  <c r="L224" i="71"/>
  <c r="L225" i="71"/>
  <c r="L226" i="71"/>
  <c r="L227" i="71"/>
  <c r="L228" i="71"/>
  <c r="L229" i="71"/>
  <c r="L230" i="71"/>
  <c r="L231" i="71"/>
  <c r="L232" i="71"/>
  <c r="L233" i="71"/>
  <c r="L234" i="71"/>
  <c r="L235" i="71"/>
  <c r="L236" i="71"/>
  <c r="L237" i="71"/>
  <c r="L238" i="71"/>
  <c r="L239" i="71"/>
  <c r="L240" i="71"/>
  <c r="L241" i="71"/>
  <c r="L242" i="71"/>
  <c r="L243" i="71"/>
  <c r="L244" i="71"/>
  <c r="L245" i="71"/>
  <c r="L246" i="71"/>
  <c r="L247" i="71"/>
  <c r="L248" i="71"/>
  <c r="L249" i="71"/>
  <c r="L250" i="71"/>
  <c r="L251" i="71"/>
  <c r="L252" i="71"/>
  <c r="L253" i="71"/>
  <c r="L254" i="71"/>
  <c r="L255" i="71"/>
  <c r="L256" i="71"/>
  <c r="L257" i="71"/>
  <c r="L258" i="71"/>
  <c r="L259" i="71"/>
  <c r="L260" i="71"/>
  <c r="L261" i="71"/>
  <c r="L262" i="71"/>
  <c r="L263" i="71"/>
  <c r="L264" i="71"/>
  <c r="L265" i="71"/>
  <c r="L266" i="71"/>
  <c r="L267" i="71"/>
  <c r="L268" i="71"/>
  <c r="L269" i="71"/>
  <c r="L270" i="71"/>
  <c r="L271" i="71"/>
  <c r="L272" i="71"/>
  <c r="L273" i="71"/>
  <c r="L274" i="71"/>
  <c r="L275" i="71"/>
  <c r="L276" i="71"/>
  <c r="L277" i="71"/>
  <c r="L278" i="71"/>
  <c r="L279" i="71"/>
  <c r="L280" i="71"/>
  <c r="L281" i="71"/>
  <c r="L282" i="71"/>
  <c r="L283" i="71"/>
  <c r="L284" i="71"/>
  <c r="L22" i="73"/>
  <c r="L23" i="73"/>
  <c r="L24" i="73"/>
  <c r="L25" i="73"/>
  <c r="L26" i="73"/>
  <c r="L27" i="73"/>
  <c r="L28" i="73"/>
  <c r="L29" i="73"/>
  <c r="L30" i="73"/>
  <c r="L31" i="73"/>
  <c r="L32" i="73"/>
  <c r="L33" i="73"/>
  <c r="L34" i="73"/>
  <c r="L35" i="73"/>
  <c r="L36" i="73"/>
  <c r="L37" i="73"/>
  <c r="L38" i="73"/>
  <c r="L39" i="73"/>
  <c r="L40" i="73"/>
  <c r="L41" i="73"/>
  <c r="L42" i="73"/>
  <c r="L43" i="73"/>
  <c r="L44" i="73"/>
  <c r="L45" i="73"/>
  <c r="L46" i="73"/>
  <c r="L47" i="73"/>
  <c r="L48" i="73"/>
  <c r="L49" i="73"/>
  <c r="L50" i="73"/>
  <c r="L51" i="73"/>
  <c r="L52" i="73"/>
  <c r="L53" i="73"/>
  <c r="L54" i="73"/>
  <c r="L55" i="73"/>
  <c r="L56" i="73"/>
  <c r="L57" i="73"/>
  <c r="L58" i="73"/>
  <c r="L59" i="73"/>
  <c r="L60" i="73"/>
  <c r="L61" i="73"/>
  <c r="L62" i="73"/>
  <c r="L63" i="73"/>
  <c r="L64" i="73"/>
  <c r="L65" i="73"/>
  <c r="L66" i="73"/>
  <c r="L67" i="73"/>
  <c r="L68" i="73"/>
  <c r="L69" i="73"/>
  <c r="L70" i="73"/>
  <c r="L71" i="73"/>
  <c r="L72" i="73"/>
  <c r="L73" i="73"/>
  <c r="L74" i="73"/>
  <c r="L75" i="73"/>
  <c r="L76" i="73"/>
  <c r="L77" i="73"/>
  <c r="L78" i="73"/>
  <c r="L79" i="73"/>
  <c r="L80" i="73"/>
  <c r="L81" i="73"/>
  <c r="L82" i="73"/>
  <c r="L83" i="73"/>
  <c r="L84" i="73"/>
  <c r="L85" i="73"/>
  <c r="L86" i="73"/>
  <c r="L87" i="73"/>
  <c r="L88" i="73"/>
  <c r="L89" i="73"/>
  <c r="L90" i="73"/>
  <c r="L91" i="73"/>
  <c r="L92" i="73"/>
  <c r="L93" i="73"/>
  <c r="L94" i="73"/>
  <c r="L95" i="73"/>
  <c r="L96" i="73"/>
  <c r="L97" i="73"/>
  <c r="L98" i="73"/>
  <c r="L99" i="73"/>
  <c r="L100" i="73"/>
  <c r="L101" i="73"/>
  <c r="L102" i="73"/>
  <c r="L103" i="73"/>
  <c r="L104" i="73"/>
  <c r="L105" i="73"/>
  <c r="L106" i="73"/>
  <c r="L107" i="73"/>
  <c r="L108" i="73"/>
  <c r="L109" i="73"/>
  <c r="L110" i="73"/>
  <c r="L111" i="73"/>
  <c r="L112" i="73"/>
  <c r="L113" i="73"/>
  <c r="L114" i="73"/>
  <c r="L115" i="73"/>
  <c r="L116" i="73"/>
  <c r="L117" i="73"/>
  <c r="L118" i="73"/>
  <c r="L119" i="73"/>
  <c r="L120" i="73"/>
  <c r="L121" i="73"/>
  <c r="L122" i="73"/>
  <c r="L123" i="73"/>
  <c r="L124" i="73"/>
  <c r="L125" i="73"/>
  <c r="L126" i="73"/>
  <c r="L127" i="73"/>
  <c r="L128" i="73"/>
  <c r="L129" i="73"/>
  <c r="L130" i="73"/>
  <c r="L131" i="73"/>
  <c r="L132" i="73"/>
  <c r="L133" i="73"/>
  <c r="L134" i="73"/>
  <c r="L135" i="73"/>
  <c r="L136" i="73"/>
  <c r="L137" i="73"/>
  <c r="L138" i="73"/>
  <c r="L139" i="73"/>
  <c r="L140" i="73"/>
  <c r="L141" i="73"/>
  <c r="L142" i="73"/>
  <c r="L143" i="73"/>
  <c r="L144" i="73"/>
  <c r="L145" i="73"/>
  <c r="L146" i="73"/>
  <c r="L147" i="73"/>
  <c r="L148" i="73"/>
  <c r="L149" i="73"/>
  <c r="L150" i="73"/>
  <c r="L151" i="73"/>
  <c r="L152" i="73"/>
  <c r="L153" i="73"/>
  <c r="L154" i="73"/>
  <c r="L155" i="73"/>
  <c r="L156" i="73"/>
  <c r="L157" i="73"/>
  <c r="L158" i="73"/>
  <c r="L159" i="73"/>
  <c r="L160" i="73"/>
  <c r="L161" i="73"/>
  <c r="L162" i="73"/>
  <c r="L163" i="73"/>
  <c r="L164" i="73"/>
  <c r="L165" i="73"/>
  <c r="L166" i="73"/>
  <c r="L167" i="73"/>
  <c r="L168" i="73"/>
  <c r="L169" i="73"/>
  <c r="L170" i="73"/>
  <c r="L171" i="73"/>
  <c r="L172" i="73"/>
  <c r="L173" i="73"/>
  <c r="L174" i="73"/>
  <c r="L175" i="73"/>
  <c r="L176" i="73"/>
  <c r="L177" i="73"/>
  <c r="L178" i="73"/>
  <c r="L179" i="73"/>
  <c r="L180" i="73"/>
  <c r="L181" i="73"/>
  <c r="L182" i="73"/>
  <c r="L183" i="73"/>
  <c r="L184" i="73"/>
  <c r="L185" i="73"/>
  <c r="L186" i="73"/>
  <c r="L187" i="73"/>
  <c r="L188" i="73"/>
  <c r="L189" i="73"/>
  <c r="L190" i="73"/>
  <c r="L191" i="73"/>
  <c r="L192" i="73"/>
  <c r="L193" i="73"/>
  <c r="L194" i="73"/>
  <c r="L195" i="73"/>
  <c r="L196" i="73"/>
  <c r="L197" i="73"/>
  <c r="L198" i="73"/>
  <c r="L199" i="73"/>
  <c r="L200" i="73"/>
  <c r="L201" i="73"/>
  <c r="L202" i="73"/>
  <c r="L203" i="73"/>
  <c r="L204" i="73"/>
  <c r="L205" i="73"/>
  <c r="L206" i="73"/>
  <c r="L207" i="73"/>
  <c r="L208" i="73"/>
  <c r="L209" i="73"/>
  <c r="L210" i="73"/>
  <c r="L211" i="73"/>
  <c r="L212" i="73"/>
  <c r="L213" i="73"/>
  <c r="L214" i="73"/>
  <c r="L215" i="73"/>
  <c r="L216" i="73"/>
  <c r="L217" i="73"/>
  <c r="L218" i="73"/>
  <c r="L219" i="73"/>
  <c r="L220" i="73"/>
  <c r="L221" i="73"/>
  <c r="L222" i="73"/>
  <c r="L223" i="73"/>
  <c r="L224" i="73"/>
  <c r="L225" i="73"/>
  <c r="L226" i="73"/>
  <c r="L227" i="73"/>
  <c r="L228" i="73"/>
  <c r="L229" i="73"/>
  <c r="L230" i="73"/>
  <c r="L231" i="73"/>
  <c r="L232" i="73"/>
  <c r="L233" i="73"/>
  <c r="L234" i="73"/>
  <c r="L235" i="73"/>
  <c r="L236" i="73"/>
  <c r="L237" i="73"/>
  <c r="L238" i="73"/>
  <c r="L239" i="73"/>
  <c r="L240" i="73"/>
  <c r="L241" i="73"/>
  <c r="L242" i="73"/>
  <c r="L243" i="73"/>
  <c r="L244" i="73"/>
  <c r="L245" i="73"/>
  <c r="L246" i="73"/>
  <c r="L247" i="73"/>
  <c r="L248" i="73"/>
  <c r="L249" i="73"/>
  <c r="L250" i="73"/>
  <c r="L251" i="73"/>
  <c r="L252" i="73"/>
  <c r="L253" i="73"/>
  <c r="L254" i="73"/>
  <c r="L255" i="73"/>
  <c r="L256" i="73"/>
  <c r="L257" i="73"/>
  <c r="L258" i="73"/>
  <c r="L259" i="73"/>
  <c r="L260" i="73"/>
  <c r="L261" i="73"/>
  <c r="L262" i="73"/>
  <c r="L263" i="73"/>
  <c r="L264" i="73"/>
  <c r="L265" i="73"/>
  <c r="L266" i="73"/>
  <c r="L267" i="73"/>
  <c r="L268" i="73"/>
  <c r="L269" i="73"/>
  <c r="L270" i="73"/>
  <c r="L271" i="73"/>
  <c r="L272" i="73"/>
  <c r="L273" i="73"/>
  <c r="L274" i="73"/>
  <c r="L275" i="73"/>
  <c r="L276" i="73"/>
  <c r="L277" i="73"/>
  <c r="L278" i="73"/>
  <c r="L279" i="73"/>
  <c r="L280" i="73"/>
  <c r="L281" i="73"/>
  <c r="L282" i="73"/>
  <c r="L283" i="73"/>
  <c r="L284" i="73"/>
  <c r="L15" i="72"/>
  <c r="L16" i="72"/>
  <c r="L17" i="72"/>
  <c r="L18" i="72"/>
  <c r="L19" i="72"/>
  <c r="L20" i="72"/>
  <c r="L21" i="72"/>
  <c r="L22" i="72"/>
  <c r="L23" i="72"/>
  <c r="L24" i="72"/>
  <c r="L25" i="72"/>
  <c r="L26" i="72"/>
  <c r="L27" i="72"/>
  <c r="L28" i="72"/>
  <c r="L29" i="72"/>
  <c r="L30" i="72"/>
  <c r="L31" i="72"/>
  <c r="L32" i="72"/>
  <c r="L33" i="72"/>
  <c r="L34" i="72"/>
  <c r="L35" i="72"/>
  <c r="L36" i="72"/>
  <c r="L37" i="72"/>
  <c r="L38" i="72"/>
  <c r="L39" i="72"/>
  <c r="L40" i="72"/>
  <c r="L41" i="72"/>
  <c r="L42" i="72"/>
  <c r="L43" i="72"/>
  <c r="L44" i="72"/>
  <c r="L45" i="72"/>
  <c r="L46" i="72"/>
  <c r="L47" i="72"/>
  <c r="L48" i="72"/>
  <c r="L49" i="72"/>
  <c r="L50" i="72"/>
  <c r="L51" i="72"/>
  <c r="L52" i="72"/>
  <c r="L53" i="72"/>
  <c r="L54" i="72"/>
  <c r="L55" i="72"/>
  <c r="L56" i="72"/>
  <c r="L57" i="72"/>
  <c r="L58" i="72"/>
  <c r="L59" i="72"/>
  <c r="L60" i="72"/>
  <c r="L61" i="72"/>
  <c r="L62" i="72"/>
  <c r="L63" i="72"/>
  <c r="L64" i="72"/>
  <c r="L65" i="72"/>
  <c r="L66" i="72"/>
  <c r="L67" i="72"/>
  <c r="L68" i="72"/>
  <c r="L69" i="72"/>
  <c r="L70" i="72"/>
  <c r="L71" i="72"/>
  <c r="L72" i="72"/>
  <c r="L73" i="72"/>
  <c r="L74" i="72"/>
  <c r="L75" i="72"/>
  <c r="L76" i="72"/>
  <c r="L77" i="72"/>
  <c r="L78" i="72"/>
  <c r="L79" i="72"/>
  <c r="L80" i="72"/>
  <c r="L81" i="72"/>
  <c r="L82" i="72"/>
  <c r="L83" i="72"/>
  <c r="L84" i="72"/>
  <c r="L85" i="72"/>
  <c r="L86" i="72"/>
  <c r="L87" i="72"/>
  <c r="L88" i="72"/>
  <c r="L89" i="72"/>
  <c r="L90" i="72"/>
  <c r="L91" i="72"/>
  <c r="L92" i="72"/>
  <c r="L93" i="72"/>
  <c r="L94" i="72"/>
  <c r="L95" i="72"/>
  <c r="L96" i="72"/>
  <c r="L97" i="72"/>
  <c r="L98" i="72"/>
  <c r="L99" i="72"/>
  <c r="L100" i="72"/>
  <c r="L101" i="72"/>
  <c r="L102" i="72"/>
  <c r="L103" i="72"/>
  <c r="L104" i="72"/>
  <c r="L105" i="72"/>
  <c r="L106" i="72"/>
  <c r="L107" i="72"/>
  <c r="L108" i="72"/>
  <c r="L109" i="72"/>
  <c r="L110" i="72"/>
  <c r="L111" i="72"/>
  <c r="L112" i="72"/>
  <c r="L113" i="72"/>
  <c r="L114" i="72"/>
  <c r="L115" i="72"/>
  <c r="L116" i="72"/>
  <c r="L117" i="72"/>
  <c r="L118" i="72"/>
  <c r="L119" i="72"/>
  <c r="L120" i="72"/>
  <c r="L121" i="72"/>
  <c r="L122" i="72"/>
  <c r="L123" i="72"/>
  <c r="L124" i="72"/>
  <c r="L125" i="72"/>
  <c r="L126" i="72"/>
  <c r="L127" i="72"/>
  <c r="L128" i="72"/>
  <c r="L129" i="72"/>
  <c r="L130" i="72"/>
  <c r="L131" i="72"/>
  <c r="L132" i="72"/>
  <c r="L133" i="72"/>
  <c r="L134" i="72"/>
  <c r="L135" i="72"/>
  <c r="L136" i="72"/>
  <c r="L137" i="72"/>
  <c r="L138" i="72"/>
  <c r="L139" i="72"/>
  <c r="L140" i="72"/>
  <c r="L141" i="72"/>
  <c r="L142" i="72"/>
  <c r="L143" i="72"/>
  <c r="L144" i="72"/>
  <c r="L145" i="72"/>
  <c r="L146" i="72"/>
  <c r="L147" i="72"/>
  <c r="L148" i="72"/>
  <c r="L149" i="72"/>
  <c r="L150" i="72"/>
  <c r="L151" i="72"/>
  <c r="L152" i="72"/>
  <c r="L153" i="72"/>
  <c r="L154" i="72"/>
  <c r="L155" i="72"/>
  <c r="L156" i="72"/>
  <c r="L157" i="72"/>
  <c r="L158" i="72"/>
  <c r="L159" i="72"/>
  <c r="L160" i="72"/>
  <c r="L161" i="72"/>
  <c r="L162" i="72"/>
  <c r="L163" i="72"/>
  <c r="L164" i="72"/>
  <c r="L165" i="72"/>
  <c r="L166" i="72"/>
  <c r="L167" i="72"/>
  <c r="L168" i="72"/>
  <c r="L169" i="72"/>
  <c r="L170" i="72"/>
  <c r="L171" i="72"/>
  <c r="L172" i="72"/>
  <c r="L173" i="72"/>
  <c r="L174" i="72"/>
  <c r="L175" i="72"/>
  <c r="L176" i="72"/>
  <c r="L177" i="72"/>
  <c r="L178" i="72"/>
  <c r="L179" i="72"/>
  <c r="L180" i="72"/>
  <c r="L181" i="72"/>
  <c r="L182" i="72"/>
  <c r="L183" i="72"/>
  <c r="L184" i="72"/>
  <c r="L185" i="72"/>
  <c r="L186" i="72"/>
  <c r="L187" i="72"/>
  <c r="L188" i="72"/>
  <c r="L189" i="72"/>
  <c r="L190" i="72"/>
  <c r="L191" i="72"/>
  <c r="L192" i="72"/>
  <c r="L193" i="72"/>
  <c r="L194" i="72"/>
  <c r="L195" i="72"/>
  <c r="L196" i="72"/>
  <c r="L197" i="72"/>
  <c r="L198" i="72"/>
  <c r="L199" i="72"/>
  <c r="L200" i="72"/>
  <c r="L201" i="72"/>
  <c r="L202" i="72"/>
  <c r="L203" i="72"/>
  <c r="L204" i="72"/>
  <c r="L205" i="72"/>
  <c r="L206" i="72"/>
  <c r="L207" i="72"/>
  <c r="L208" i="72"/>
  <c r="L209" i="72"/>
  <c r="L210" i="72"/>
  <c r="L211" i="72"/>
  <c r="L212" i="72"/>
  <c r="L213" i="72"/>
  <c r="L214" i="72"/>
  <c r="L215" i="72"/>
  <c r="L216" i="72"/>
  <c r="L217" i="72"/>
  <c r="L218" i="72"/>
  <c r="L219" i="72"/>
  <c r="L220" i="72"/>
  <c r="L221" i="72"/>
  <c r="L222" i="72"/>
  <c r="L223" i="72"/>
  <c r="L224" i="72"/>
  <c r="L225" i="72"/>
  <c r="L226" i="72"/>
  <c r="L227" i="72"/>
  <c r="L228" i="72"/>
  <c r="L229" i="72"/>
  <c r="L230" i="72"/>
  <c r="L231" i="72"/>
  <c r="L232" i="72"/>
  <c r="L233" i="72"/>
  <c r="L234" i="72"/>
  <c r="L235" i="72"/>
  <c r="L236" i="72"/>
  <c r="L237" i="72"/>
  <c r="L238" i="72"/>
  <c r="L239" i="72"/>
  <c r="L240" i="72"/>
  <c r="L241" i="72"/>
  <c r="L242" i="72"/>
  <c r="L243" i="72"/>
  <c r="L244" i="72"/>
  <c r="L245" i="72"/>
  <c r="L246" i="72"/>
  <c r="L247" i="72"/>
  <c r="L248" i="72"/>
  <c r="L249" i="72"/>
  <c r="L250" i="72"/>
  <c r="L251" i="72"/>
  <c r="L252" i="72"/>
  <c r="L253" i="72"/>
  <c r="L254" i="72"/>
  <c r="L255" i="72"/>
  <c r="L256" i="72"/>
  <c r="L257" i="72"/>
  <c r="L258" i="72"/>
  <c r="L259" i="72"/>
  <c r="L260" i="72"/>
  <c r="L261" i="72"/>
  <c r="L262" i="72"/>
  <c r="L263" i="72"/>
  <c r="L264" i="72"/>
  <c r="L265" i="72"/>
  <c r="L266" i="72"/>
  <c r="L267" i="72"/>
  <c r="L268" i="72"/>
  <c r="L269" i="72"/>
  <c r="L270" i="72"/>
  <c r="L271" i="72"/>
  <c r="L272" i="72"/>
  <c r="L273" i="72"/>
  <c r="L274" i="72"/>
  <c r="L275" i="72"/>
  <c r="L276" i="72"/>
  <c r="L277" i="72"/>
  <c r="L278" i="72"/>
  <c r="L279" i="72"/>
  <c r="L280" i="72"/>
  <c r="L281" i="72"/>
  <c r="L282" i="72"/>
  <c r="L283" i="72"/>
  <c r="L284" i="72"/>
  <c r="L187" i="41"/>
  <c r="L188" i="41"/>
  <c r="L189" i="41"/>
  <c r="L190" i="41"/>
  <c r="L191" i="41"/>
  <c r="L192" i="41"/>
  <c r="L193" i="41"/>
  <c r="L194" i="41"/>
  <c r="L195" i="41"/>
  <c r="L196" i="41"/>
  <c r="L197" i="41"/>
  <c r="L198" i="41"/>
  <c r="L199" i="41"/>
  <c r="L200" i="41"/>
  <c r="L201" i="41"/>
  <c r="L202" i="41"/>
  <c r="L203" i="41"/>
  <c r="L204" i="41"/>
  <c r="L205" i="41"/>
  <c r="L206" i="41"/>
  <c r="L207" i="41"/>
  <c r="L208" i="41"/>
  <c r="L209" i="41"/>
  <c r="AP61" i="41" s="1"/>
  <c r="Q78" i="53" s="1"/>
  <c r="L210" i="41"/>
  <c r="L211" i="41"/>
  <c r="L212" i="41"/>
  <c r="L213" i="41"/>
  <c r="L214" i="41"/>
  <c r="L215" i="41"/>
  <c r="L216" i="41"/>
  <c r="L217" i="41"/>
  <c r="L218" i="41"/>
  <c r="L219" i="41"/>
  <c r="L220" i="41"/>
  <c r="L221" i="41"/>
  <c r="L222" i="41"/>
  <c r="L223" i="41"/>
  <c r="L224" i="41"/>
  <c r="L225" i="41"/>
  <c r="L226" i="41"/>
  <c r="L227" i="41"/>
  <c r="L228" i="41"/>
  <c r="L229" i="41"/>
  <c r="L230" i="41"/>
  <c r="L231" i="41"/>
  <c r="L232" i="41"/>
  <c r="L233" i="41"/>
  <c r="L234" i="41"/>
  <c r="L235" i="41"/>
  <c r="L236" i="41"/>
  <c r="L237" i="41"/>
  <c r="L238" i="41"/>
  <c r="AP65" i="41" s="1"/>
  <c r="Q82" i="53" s="1"/>
  <c r="L239" i="41"/>
  <c r="AO66" i="41" s="1"/>
  <c r="L240" i="41"/>
  <c r="AP66" i="41" s="1"/>
  <c r="Q83" i="53" s="1"/>
  <c r="L244" i="41"/>
  <c r="L245" i="41"/>
  <c r="L246" i="41"/>
  <c r="L247" i="41"/>
  <c r="L248" i="41"/>
  <c r="AP69" i="41" s="1"/>
  <c r="L249" i="41"/>
  <c r="L250" i="41"/>
  <c r="L252" i="41"/>
  <c r="AO70" i="41" s="1"/>
  <c r="L253" i="41"/>
  <c r="L254" i="41"/>
  <c r="L255" i="41"/>
  <c r="L256" i="41"/>
  <c r="AO71" i="41" s="1"/>
  <c r="L257" i="41"/>
  <c r="AP71" i="41" s="1"/>
  <c r="L260" i="41"/>
  <c r="L261" i="41"/>
  <c r="L262" i="41"/>
  <c r="L263" i="41"/>
  <c r="L264" i="41"/>
  <c r="L265" i="41"/>
  <c r="L266" i="41"/>
  <c r="L267" i="41"/>
  <c r="L268" i="41"/>
  <c r="L269" i="41"/>
  <c r="L270" i="41"/>
  <c r="L271" i="41"/>
  <c r="L272" i="41"/>
  <c r="L273" i="41"/>
  <c r="L274" i="41"/>
  <c r="L275" i="41"/>
  <c r="L276" i="41"/>
  <c r="L277" i="41"/>
  <c r="L278" i="41"/>
  <c r="L279" i="41"/>
  <c r="L280" i="41"/>
  <c r="L281" i="41"/>
  <c r="L282" i="41"/>
  <c r="L283" i="41"/>
  <c r="L13" i="65"/>
  <c r="L14" i="65"/>
  <c r="L13" i="67"/>
  <c r="L14" i="67"/>
  <c r="L7" i="68"/>
  <c r="AO24" i="68" s="1"/>
  <c r="L8" i="68"/>
  <c r="AP28" i="68" s="1"/>
  <c r="L9" i="68"/>
  <c r="AO30" i="68" s="1"/>
  <c r="P47" i="53" s="1"/>
  <c r="L10" i="68"/>
  <c r="L11" i="68"/>
  <c r="L12" i="68"/>
  <c r="L14" i="68"/>
  <c r="L5" i="69"/>
  <c r="AQ48" i="69" s="1"/>
  <c r="L6" i="69"/>
  <c r="L8" i="69"/>
  <c r="AQ60" i="69" s="1"/>
  <c r="L9" i="69"/>
  <c r="L10" i="69"/>
  <c r="L11" i="69"/>
  <c r="AQ72" i="69" s="1"/>
  <c r="L12" i="69"/>
  <c r="L13" i="69"/>
  <c r="L14" i="69"/>
  <c r="L5" i="70"/>
  <c r="L6" i="70"/>
  <c r="L7" i="70"/>
  <c r="L8" i="70"/>
  <c r="L9" i="70"/>
  <c r="L10" i="70"/>
  <c r="L11" i="70"/>
  <c r="L12" i="70"/>
  <c r="L13" i="70"/>
  <c r="L14" i="70"/>
  <c r="L6" i="71"/>
  <c r="L7" i="71"/>
  <c r="L8" i="71"/>
  <c r="L9" i="71"/>
  <c r="L10" i="71"/>
  <c r="L11" i="71"/>
  <c r="L12" i="71"/>
  <c r="L13" i="71"/>
  <c r="L14" i="71"/>
  <c r="L4" i="72"/>
  <c r="L5" i="72"/>
  <c r="L6" i="72"/>
  <c r="L7" i="72"/>
  <c r="L8" i="72"/>
  <c r="L9" i="72"/>
  <c r="L10" i="72"/>
  <c r="L11" i="72"/>
  <c r="L12" i="72"/>
  <c r="L13" i="72"/>
  <c r="L14" i="72"/>
  <c r="L3" i="70"/>
  <c r="L3" i="72"/>
  <c r="K187" i="41"/>
  <c r="K188" i="41"/>
  <c r="K189" i="41"/>
  <c r="K190" i="41"/>
  <c r="K191" i="41"/>
  <c r="K192" i="41"/>
  <c r="K193" i="41"/>
  <c r="K194" i="41"/>
  <c r="K195" i="41"/>
  <c r="K196" i="41"/>
  <c r="K197" i="41"/>
  <c r="K198" i="41"/>
  <c r="K199" i="41"/>
  <c r="K200" i="41"/>
  <c r="K201" i="41"/>
  <c r="K202" i="41"/>
  <c r="K203" i="41"/>
  <c r="K204" i="41"/>
  <c r="K205" i="41"/>
  <c r="K206" i="41"/>
  <c r="K207" i="41"/>
  <c r="K208" i="41"/>
  <c r="K209" i="41"/>
  <c r="K210" i="41"/>
  <c r="K211" i="41"/>
  <c r="K212" i="41"/>
  <c r="K213" i="41"/>
  <c r="K214" i="41"/>
  <c r="K215" i="41"/>
  <c r="K216" i="41"/>
  <c r="K217" i="41"/>
  <c r="K218" i="41"/>
  <c r="K219" i="41"/>
  <c r="K220" i="41"/>
  <c r="K221" i="41"/>
  <c r="K222" i="41"/>
  <c r="K223" i="41"/>
  <c r="K224" i="41"/>
  <c r="K225" i="41"/>
  <c r="K226" i="41"/>
  <c r="K227" i="41"/>
  <c r="K228" i="41"/>
  <c r="K229" i="41"/>
  <c r="K230" i="41"/>
  <c r="K231" i="41"/>
  <c r="K232" i="41"/>
  <c r="K233" i="41"/>
  <c r="K234" i="41"/>
  <c r="K235" i="41"/>
  <c r="K236" i="41"/>
  <c r="K237" i="41"/>
  <c r="K238" i="41"/>
  <c r="K239" i="41"/>
  <c r="K240" i="41"/>
  <c r="K244" i="41"/>
  <c r="K245" i="41"/>
  <c r="K246" i="41"/>
  <c r="K247" i="41"/>
  <c r="K248" i="41"/>
  <c r="K249" i="41"/>
  <c r="K250" i="41"/>
  <c r="K252" i="41"/>
  <c r="K253" i="41"/>
  <c r="K254" i="41"/>
  <c r="K255" i="41"/>
  <c r="K256" i="41"/>
  <c r="K257" i="41"/>
  <c r="K260" i="41"/>
  <c r="K261" i="41"/>
  <c r="K262" i="41"/>
  <c r="K263" i="41"/>
  <c r="K264" i="41"/>
  <c r="K265" i="41"/>
  <c r="K266" i="41"/>
  <c r="K267" i="41"/>
  <c r="K268" i="41"/>
  <c r="K269" i="41"/>
  <c r="K270" i="41"/>
  <c r="K271" i="41"/>
  <c r="K272" i="41"/>
  <c r="K273" i="41"/>
  <c r="K274" i="41"/>
  <c r="K275" i="41"/>
  <c r="K276" i="41"/>
  <c r="K277" i="41"/>
  <c r="K278" i="41"/>
  <c r="K279" i="41"/>
  <c r="K280" i="41"/>
  <c r="K281" i="41"/>
  <c r="K282" i="41"/>
  <c r="K283" i="41"/>
  <c r="AN72" i="69" l="1"/>
  <c r="AQ74" i="69"/>
  <c r="R91" i="53" s="1"/>
  <c r="CZ33" i="78" s="1"/>
  <c r="R89" i="53"/>
  <c r="AP70" i="41"/>
  <c r="Q87" i="53" s="1"/>
  <c r="Q88" i="53"/>
  <c r="AP74" i="68"/>
  <c r="AN71" i="68"/>
  <c r="AN74" i="68" s="1"/>
  <c r="CZ9" i="78" s="1"/>
  <c r="AN71" i="41"/>
  <c r="O88" i="53" s="1"/>
  <c r="P88" i="53"/>
  <c r="P87" i="53"/>
  <c r="Q86" i="53"/>
  <c r="AO69" i="41"/>
  <c r="AO74" i="41" s="1"/>
  <c r="P91" i="53" s="1"/>
  <c r="CZ31" i="78" s="1"/>
  <c r="AQ63" i="69"/>
  <c r="R80" i="53" s="1"/>
  <c r="AP63" i="41"/>
  <c r="Q80" i="53" s="1"/>
  <c r="AP60" i="41"/>
  <c r="Q77" i="53" s="1"/>
  <c r="AO64" i="41"/>
  <c r="P81" i="53" s="1"/>
  <c r="AN66" i="41"/>
  <c r="O83" i="53" s="1"/>
  <c r="P83" i="53"/>
  <c r="CB6" i="78"/>
  <c r="CK6" i="78" s="1"/>
  <c r="CT6" i="78" s="1"/>
  <c r="DC6" i="78" s="1"/>
  <c r="AO65" i="41"/>
  <c r="P82" i="53" s="1"/>
  <c r="AP64" i="41"/>
  <c r="Q81" i="53" s="1"/>
  <c r="AN60" i="69"/>
  <c r="R77" i="53"/>
  <c r="AN59" i="68"/>
  <c r="AO62" i="68"/>
  <c r="AN57" i="68"/>
  <c r="AP62" i="68"/>
  <c r="AP56" i="68"/>
  <c r="Q73" i="53" s="1"/>
  <c r="BY32" i="78" s="1"/>
  <c r="AN54" i="68"/>
  <c r="AN56" i="68" s="1"/>
  <c r="BY9" i="78" s="1"/>
  <c r="Q71" i="53"/>
  <c r="Q74" i="53"/>
  <c r="AO61" i="41"/>
  <c r="AN61" i="41" s="1"/>
  <c r="O78" i="53" s="1"/>
  <c r="AO63" i="41"/>
  <c r="AO60" i="41"/>
  <c r="P77" i="53" s="1"/>
  <c r="AQ59" i="69"/>
  <c r="AQ62" i="69" s="1"/>
  <c r="R79" i="53" s="1"/>
  <c r="CH33" i="78" s="1"/>
  <c r="AO59" i="41"/>
  <c r="P76" i="53" s="1"/>
  <c r="AP59" i="41"/>
  <c r="Q76" i="53" s="1"/>
  <c r="AN56" i="41"/>
  <c r="AN45" i="68"/>
  <c r="AN50" i="68" s="1"/>
  <c r="BP9" i="78" s="1"/>
  <c r="AO50" i="68"/>
  <c r="P67" i="53" s="1"/>
  <c r="BP31" i="78" s="1"/>
  <c r="P62" i="53"/>
  <c r="R65" i="53"/>
  <c r="AQ50" i="69"/>
  <c r="R67" i="53" s="1"/>
  <c r="AN48" i="69"/>
  <c r="AN50" i="69" s="1"/>
  <c r="BP10" i="78" s="1"/>
  <c r="BS10" i="78" s="1"/>
  <c r="CB10" i="78" s="1"/>
  <c r="AN50" i="41"/>
  <c r="BP5" i="78" s="1"/>
  <c r="AN44" i="41"/>
  <c r="BG5" i="78" s="1"/>
  <c r="AP41" i="68"/>
  <c r="Q58" i="53" s="1"/>
  <c r="AP39" i="68"/>
  <c r="AO40" i="68"/>
  <c r="P56" i="53"/>
  <c r="P58" i="53"/>
  <c r="AP36" i="68"/>
  <c r="Q53" i="53" s="1"/>
  <c r="AP30" i="68"/>
  <c r="Q47" i="53" s="1"/>
  <c r="AO36" i="68"/>
  <c r="AO35" i="68"/>
  <c r="AO32" i="68"/>
  <c r="P49" i="53" s="1"/>
  <c r="AO31" i="78" s="1"/>
  <c r="AN32" i="41"/>
  <c r="AO5" i="78" s="1"/>
  <c r="AN38" i="41"/>
  <c r="AN28" i="68"/>
  <c r="Q45" i="53"/>
  <c r="P37" i="53"/>
  <c r="W31" i="78" s="1"/>
  <c r="O32" i="53"/>
  <c r="O44" i="53"/>
  <c r="Z9" i="78"/>
  <c r="AO26" i="68"/>
  <c r="P43" i="53" s="1"/>
  <c r="AN24" i="68"/>
  <c r="AN26" i="68" s="1"/>
  <c r="AF9" i="78" s="1"/>
  <c r="P41" i="53"/>
  <c r="AN26" i="41"/>
  <c r="AN20" i="41"/>
  <c r="W5" i="78" s="1"/>
  <c r="W15" i="78" s="1"/>
  <c r="Q25" i="53"/>
  <c r="AN14" i="41"/>
  <c r="O31" i="53" s="1"/>
  <c r="F15" i="53" s="1"/>
  <c r="O20" i="53"/>
  <c r="E31" i="78"/>
  <c r="AN8" i="41"/>
  <c r="AP5" i="78"/>
  <c r="AG15" i="78"/>
  <c r="AH15" i="78"/>
  <c r="AQ5" i="78"/>
  <c r="F92" i="53"/>
  <c r="I92" i="53"/>
  <c r="J92" i="53"/>
  <c r="G92" i="53"/>
  <c r="H92" i="53"/>
  <c r="E92" i="53"/>
  <c r="AN74" i="69" l="1"/>
  <c r="CZ10" i="78" s="1"/>
  <c r="O89" i="53"/>
  <c r="AP74" i="41"/>
  <c r="Q91" i="53" s="1"/>
  <c r="CZ32" i="78" s="1"/>
  <c r="AN70" i="41"/>
  <c r="O87" i="53" s="1"/>
  <c r="AN69" i="41"/>
  <c r="O86" i="53" s="1"/>
  <c r="P86" i="53"/>
  <c r="AN63" i="69"/>
  <c r="AN68" i="69" s="1"/>
  <c r="CQ10" i="78" s="1"/>
  <c r="AQ68" i="69"/>
  <c r="R85" i="53" s="1"/>
  <c r="CQ33" i="78" s="1"/>
  <c r="AN62" i="68"/>
  <c r="CH9" i="78" s="1"/>
  <c r="AO68" i="41"/>
  <c r="P85" i="53" s="1"/>
  <c r="CQ31" i="78" s="1"/>
  <c r="AN65" i="41"/>
  <c r="O82" i="53" s="1"/>
  <c r="O71" i="53"/>
  <c r="O73" i="53"/>
  <c r="M15" i="53" s="1"/>
  <c r="O74" i="53"/>
  <c r="AP68" i="41"/>
  <c r="Q85" i="53" s="1"/>
  <c r="CQ32" i="78" s="1"/>
  <c r="AN64" i="41"/>
  <c r="O81" i="53" s="1"/>
  <c r="P78" i="53"/>
  <c r="AN63" i="41"/>
  <c r="O80" i="53" s="1"/>
  <c r="P80" i="53"/>
  <c r="AN60" i="41"/>
  <c r="O77" i="53" s="1"/>
  <c r="AN59" i="69"/>
  <c r="AN62" i="69" s="1"/>
  <c r="CH10" i="78" s="1"/>
  <c r="CK10" i="78" s="1"/>
  <c r="R76" i="53"/>
  <c r="AP62" i="41"/>
  <c r="Q79" i="53" s="1"/>
  <c r="CH32" i="78" s="1"/>
  <c r="AN59" i="41"/>
  <c r="AO62" i="41"/>
  <c r="P79" i="53" s="1"/>
  <c r="CH31" i="78" s="1"/>
  <c r="O65" i="53"/>
  <c r="O62" i="53"/>
  <c r="BY5" i="78"/>
  <c r="BY15" i="78" s="1"/>
  <c r="BP15" i="78"/>
  <c r="BP33" i="78"/>
  <c r="O67" i="53"/>
  <c r="L15" i="53" s="1"/>
  <c r="AP44" i="68"/>
  <c r="Q61" i="53" s="1"/>
  <c r="BG32" i="78" s="1"/>
  <c r="AN41" i="68"/>
  <c r="O58" i="53" s="1"/>
  <c r="AN39" i="68"/>
  <c r="O56" i="53" s="1"/>
  <c r="Q56" i="53"/>
  <c r="AN40" i="68"/>
  <c r="O57" i="53" s="1"/>
  <c r="P57" i="53"/>
  <c r="AO44" i="68"/>
  <c r="P61" i="53" s="1"/>
  <c r="BG31" i="78" s="1"/>
  <c r="AN36" i="68"/>
  <c r="O53" i="53" s="1"/>
  <c r="AP32" i="68"/>
  <c r="Q49" i="53" s="1"/>
  <c r="AO32" i="78" s="1"/>
  <c r="AP38" i="68"/>
  <c r="Q55" i="53" s="1"/>
  <c r="AX32" i="78" s="1"/>
  <c r="AN30" i="68"/>
  <c r="O47" i="53" s="1"/>
  <c r="P53" i="53"/>
  <c r="AO38" i="68"/>
  <c r="P55" i="53" s="1"/>
  <c r="AX31" i="78" s="1"/>
  <c r="AN35" i="68"/>
  <c r="P52" i="53"/>
  <c r="AX5" i="78"/>
  <c r="O45" i="53"/>
  <c r="AI9" i="78"/>
  <c r="O43" i="53"/>
  <c r="H15" i="53" s="1"/>
  <c r="F22" i="78" s="1"/>
  <c r="AF5" i="78"/>
  <c r="AF15" i="78" s="1"/>
  <c r="AF31" i="78"/>
  <c r="E32" i="78"/>
  <c r="O41" i="53"/>
  <c r="O37" i="53"/>
  <c r="G15" i="53" s="1"/>
  <c r="AX22" i="78" s="1"/>
  <c r="N5" i="78"/>
  <c r="N15" i="78" s="1"/>
  <c r="E5" i="78"/>
  <c r="E15" i="78" s="1"/>
  <c r="O25" i="53"/>
  <c r="E15" i="53" s="1"/>
  <c r="CG22" i="78"/>
  <c r="CP22" i="78"/>
  <c r="CY22" i="78"/>
  <c r="V22" i="78"/>
  <c r="BF22" i="78"/>
  <c r="BO22" i="78"/>
  <c r="AE22" i="78"/>
  <c r="M22" i="78"/>
  <c r="D22" i="78"/>
  <c r="AW22" i="78"/>
  <c r="BX22" i="78"/>
  <c r="AN22" i="78"/>
  <c r="AQ15" i="78"/>
  <c r="AZ5" i="78"/>
  <c r="AY5" i="78"/>
  <c r="AP15" i="78"/>
  <c r="M92" i="53"/>
  <c r="L92" i="53"/>
  <c r="K92" i="53"/>
  <c r="AN74" i="41" l="1"/>
  <c r="CZ5" i="78" s="1"/>
  <c r="CZ15" i="78" s="1"/>
  <c r="Q33" i="78"/>
  <c r="AR33" i="78"/>
  <c r="CB33" i="78"/>
  <c r="BJ33" i="78"/>
  <c r="CK33" i="78"/>
  <c r="CT33" i="78"/>
  <c r="Z33" i="78"/>
  <c r="BS33" i="78"/>
  <c r="AI33" i="78"/>
  <c r="BA33" i="78"/>
  <c r="R92" i="53"/>
  <c r="DC33" i="78"/>
  <c r="H33" i="78"/>
  <c r="CT10" i="78"/>
  <c r="DC10" i="78" s="1"/>
  <c r="O76" i="53"/>
  <c r="AN68" i="41"/>
  <c r="CQ5" i="78" s="1"/>
  <c r="CQ15" i="78" s="1"/>
  <c r="AN62" i="41"/>
  <c r="CH5" i="78" s="1"/>
  <c r="CH15" i="78" s="1"/>
  <c r="AN44" i="68"/>
  <c r="BS31" i="78"/>
  <c r="BA31" i="78"/>
  <c r="AR31" i="78"/>
  <c r="Q31" i="78"/>
  <c r="AI31" i="78"/>
  <c r="DC31" i="78"/>
  <c r="BJ31" i="78"/>
  <c r="CB31" i="78"/>
  <c r="Z31" i="78"/>
  <c r="Z32" i="78"/>
  <c r="Q92" i="53"/>
  <c r="CB32" i="78"/>
  <c r="H32" i="78"/>
  <c r="CT32" i="78"/>
  <c r="CT31" i="78"/>
  <c r="Q32" i="78"/>
  <c r="BS32" i="78"/>
  <c r="BJ32" i="78"/>
  <c r="AN32" i="68"/>
  <c r="O49" i="53" s="1"/>
  <c r="I15" i="53" s="1"/>
  <c r="AI32" i="78"/>
  <c r="CK32" i="78"/>
  <c r="AR32" i="78"/>
  <c r="BA32" i="78"/>
  <c r="DC32" i="78"/>
  <c r="H31" i="78"/>
  <c r="P92" i="53"/>
  <c r="AN38" i="68"/>
  <c r="O52" i="53"/>
  <c r="CK31" i="78"/>
  <c r="CI22" i="78"/>
  <c r="AG22" i="78"/>
  <c r="BH22" i="78"/>
  <c r="AP22" i="78"/>
  <c r="BQ22" i="78"/>
  <c r="CR22" i="78"/>
  <c r="DA22" i="78"/>
  <c r="AY22" i="78"/>
  <c r="BZ22" i="78"/>
  <c r="X22" i="78"/>
  <c r="O22" i="78"/>
  <c r="W22" i="78"/>
  <c r="CQ22" i="78"/>
  <c r="AF22" i="78"/>
  <c r="BG22" i="78"/>
  <c r="N22" i="78"/>
  <c r="AO22" i="78"/>
  <c r="CZ22" i="78"/>
  <c r="BP22" i="78"/>
  <c r="BY22" i="78"/>
  <c r="E22" i="78"/>
  <c r="CH22" i="78"/>
  <c r="H5" i="78"/>
  <c r="H15" i="78" s="1"/>
  <c r="BW22" i="78"/>
  <c r="BN22" i="78"/>
  <c r="C22" i="78"/>
  <c r="CF22" i="78"/>
  <c r="CX22" i="78"/>
  <c r="U22" i="78"/>
  <c r="AD22" i="78"/>
  <c r="CO22" i="78"/>
  <c r="AM22" i="78"/>
  <c r="AZ15" i="78"/>
  <c r="BI5" i="78"/>
  <c r="BH5" i="78"/>
  <c r="AY15" i="78"/>
  <c r="O91" i="53" l="1"/>
  <c r="P15" i="53" s="1"/>
  <c r="Q28" i="78" s="1"/>
  <c r="O85" i="53"/>
  <c r="O15" i="53" s="1"/>
  <c r="CA28" i="78" s="1"/>
  <c r="O79" i="53"/>
  <c r="N15" i="53" s="1"/>
  <c r="O28" i="78" s="1"/>
  <c r="BG9" i="78"/>
  <c r="BG15" i="78" s="1"/>
  <c r="O61" i="53"/>
  <c r="K15" i="53" s="1"/>
  <c r="C28" i="78" s="1"/>
  <c r="AO9" i="78"/>
  <c r="AO15" i="78" s="1"/>
  <c r="AX9" i="78"/>
  <c r="AX15" i="78" s="1"/>
  <c r="O55" i="53"/>
  <c r="J15" i="53" s="1"/>
  <c r="P22" i="78"/>
  <c r="Y22" i="78"/>
  <c r="BR22" i="78"/>
  <c r="CJ22" i="78"/>
  <c r="AZ22" i="78"/>
  <c r="DB22" i="78"/>
  <c r="AQ22" i="78"/>
  <c r="AH22" i="78"/>
  <c r="BI22" i="78"/>
  <c r="CA22" i="78"/>
  <c r="CS22" i="78"/>
  <c r="G22" i="78"/>
  <c r="Q5" i="78"/>
  <c r="Z5" i="78" s="1"/>
  <c r="AV22" i="78"/>
  <c r="L22" i="78"/>
  <c r="BE22" i="78"/>
  <c r="CZ28" i="78"/>
  <c r="CQ28" i="78"/>
  <c r="CH28" i="78"/>
  <c r="BY28" i="78"/>
  <c r="BP28" i="78"/>
  <c r="BG28" i="78"/>
  <c r="N28" i="78"/>
  <c r="AX28" i="78"/>
  <c r="AO28" i="78"/>
  <c r="AF28" i="78"/>
  <c r="W28" i="78"/>
  <c r="E28" i="78"/>
  <c r="BQ5" i="78"/>
  <c r="BH15" i="78"/>
  <c r="BI15" i="78"/>
  <c r="BR5" i="78"/>
  <c r="V28" i="78"/>
  <c r="CY28" i="78"/>
  <c r="CP28" i="78"/>
  <c r="CG28" i="78"/>
  <c r="BX28" i="78"/>
  <c r="BO28" i="78"/>
  <c r="AW28" i="78"/>
  <c r="AN28" i="78"/>
  <c r="BF28" i="78"/>
  <c r="M28" i="78"/>
  <c r="AE28" i="78"/>
  <c r="D28" i="78"/>
  <c r="CK28" i="78" l="1"/>
  <c r="AI28" i="78"/>
  <c r="CB28" i="78"/>
  <c r="CT28" i="78"/>
  <c r="BJ28" i="78"/>
  <c r="DC28" i="78"/>
  <c r="BA28" i="78"/>
  <c r="BS28" i="78"/>
  <c r="AR28" i="78"/>
  <c r="H28" i="78"/>
  <c r="Z28" i="78"/>
  <c r="AH28" i="78"/>
  <c r="G28" i="78"/>
  <c r="BI28" i="78"/>
  <c r="CS28" i="78"/>
  <c r="AQ28" i="78"/>
  <c r="P28" i="78"/>
  <c r="AZ28" i="78"/>
  <c r="DB28" i="78"/>
  <c r="BR28" i="78"/>
  <c r="Y28" i="78"/>
  <c r="CJ28" i="78"/>
  <c r="AG28" i="78"/>
  <c r="F28" i="78"/>
  <c r="CI28" i="78"/>
  <c r="BQ28" i="78"/>
  <c r="X28" i="78"/>
  <c r="DA28" i="78"/>
  <c r="BZ28" i="78"/>
  <c r="AY28" i="78"/>
  <c r="AP28" i="78"/>
  <c r="BH28" i="78"/>
  <c r="CR28" i="78"/>
  <c r="AV28" i="78"/>
  <c r="BE28" i="78"/>
  <c r="BW28" i="78"/>
  <c r="AD28" i="78"/>
  <c r="L28" i="78"/>
  <c r="BN28" i="78"/>
  <c r="CF28" i="78"/>
  <c r="CO28" i="78"/>
  <c r="U28" i="78"/>
  <c r="AM28" i="78"/>
  <c r="CX28" i="78"/>
  <c r="Q15" i="53"/>
  <c r="AR9" i="78"/>
  <c r="BA9" i="78" s="1"/>
  <c r="BJ9" i="78" s="1"/>
  <c r="BS9" i="78" s="1"/>
  <c r="CB9" i="78" s="1"/>
  <c r="CK9" i="78" s="1"/>
  <c r="CT9" i="78" s="1"/>
  <c r="DC9" i="78" s="1"/>
  <c r="H22" i="78"/>
  <c r="Q22" i="78"/>
  <c r="BJ22" i="78"/>
  <c r="CB22" i="78"/>
  <c r="CK22" i="78"/>
  <c r="CT22" i="78"/>
  <c r="BS22" i="78"/>
  <c r="DC22" i="78"/>
  <c r="Z22" i="78"/>
  <c r="O92" i="53"/>
  <c r="AI22" i="78"/>
  <c r="AR22" i="78"/>
  <c r="BA22" i="78"/>
  <c r="Q15" i="78"/>
  <c r="AI5" i="78"/>
  <c r="Z15" i="78"/>
  <c r="BR15" i="78"/>
  <c r="CA5" i="78"/>
  <c r="BZ5" i="78"/>
  <c r="BQ15" i="78"/>
  <c r="AR5" i="78" l="1"/>
  <c r="AI15" i="78"/>
  <c r="CA15" i="78"/>
  <c r="CJ5" i="78"/>
  <c r="CI5" i="78"/>
  <c r="BZ15" i="78"/>
  <c r="AR15" i="78" l="1"/>
  <c r="BA5" i="78"/>
  <c r="CR5" i="78"/>
  <c r="CI15" i="78"/>
  <c r="CJ15" i="78"/>
  <c r="CS5" i="78"/>
  <c r="BJ5" i="78" l="1"/>
  <c r="BA15" i="78"/>
  <c r="CS15" i="78"/>
  <c r="DB5" i="78"/>
  <c r="DB15" i="78" s="1"/>
  <c r="DA5" i="78"/>
  <c r="DA15" i="78" s="1"/>
  <c r="CR15" i="78"/>
  <c r="BJ15" i="78" l="1"/>
  <c r="BS5" i="78"/>
  <c r="CB5" i="78" l="1"/>
  <c r="BS15" i="78"/>
  <c r="CK5" i="78" l="1"/>
  <c r="CB15" i="78"/>
  <c r="CT5" i="78" l="1"/>
  <c r="CK15" i="78"/>
  <c r="DC5" i="78" l="1"/>
  <c r="DC15" i="78" s="1"/>
  <c r="CT15" i="78"/>
  <c r="AU33" i="41" l="1"/>
  <c r="AV29" i="41" s="1"/>
  <c r="AV25" i="41" l="1"/>
  <c r="AV27" i="41"/>
  <c r="AV33" i="41"/>
  <c r="AV28" i="41"/>
  <c r="AV31" i="41"/>
  <c r="AV32" i="41"/>
  <c r="AV26" i="41"/>
  <c r="AV30" i="41"/>
  <c r="CP24" i="78" l="1"/>
  <c r="CP106" i="78" s="1"/>
  <c r="AW24" i="78"/>
  <c r="AW106" i="78" s="1"/>
  <c r="BX24" i="78" l="1"/>
  <c r="BX106" i="78" s="1"/>
  <c r="CG24" i="78"/>
  <c r="CG106" i="78" s="1"/>
  <c r="AN24" i="78"/>
  <c r="AN106" i="78" s="1"/>
  <c r="M24" i="78"/>
  <c r="M106" i="78" s="1"/>
  <c r="AE24" i="78"/>
  <c r="AE106" i="78" s="1"/>
  <c r="CY24" i="78"/>
  <c r="CY106" i="78" s="1"/>
  <c r="D24" i="78"/>
  <c r="D106" i="78" s="1"/>
  <c r="L8" i="53"/>
  <c r="Q8" i="53"/>
  <c r="BF24" i="78"/>
  <c r="BF106" i="78" s="1"/>
  <c r="BO24" i="78"/>
  <c r="BO106" i="78" s="1"/>
  <c r="V24" i="78"/>
  <c r="V106" i="78" s="1"/>
  <c r="D25" i="78" l="1"/>
  <c r="AW25" i="78"/>
  <c r="BO25" i="78"/>
  <c r="M25" i="78"/>
  <c r="BX25" i="78"/>
  <c r="CG25" i="78"/>
  <c r="CP25" i="78"/>
  <c r="CY25" i="78"/>
  <c r="BF25" i="78"/>
  <c r="V25" i="78"/>
  <c r="AE25" i="78"/>
  <c r="AN25" i="78"/>
  <c r="U4" i="53"/>
  <c r="AI62" i="80"/>
  <c r="X50" i="80"/>
  <c r="N63" i="80"/>
  <c r="G32" i="76"/>
  <c r="O63" i="80"/>
  <c r="AC24" i="80"/>
  <c r="Q67" i="80"/>
  <c r="AF15" i="80"/>
  <c r="V58" i="80"/>
  <c r="T23" i="80"/>
  <c r="AB13" i="80"/>
  <c r="M49" i="80"/>
  <c r="P43" i="80"/>
  <c r="H7" i="80"/>
  <c r="AC9" i="80"/>
  <c r="I16" i="80"/>
  <c r="AF31" i="80"/>
  <c r="K12" i="80"/>
  <c r="F42" i="80"/>
  <c r="Z30" i="80"/>
  <c r="P60" i="80"/>
  <c r="U24" i="80"/>
  <c r="R62" i="80"/>
  <c r="U28" i="80"/>
  <c r="AD22" i="80"/>
  <c r="H26" i="80"/>
  <c r="AF25" i="80"/>
  <c r="T26" i="76"/>
  <c r="Z28" i="80"/>
  <c r="V47" i="80"/>
  <c r="P46" i="80"/>
  <c r="T26" i="80"/>
  <c r="V13" i="80"/>
  <c r="E31" i="76"/>
  <c r="V45" i="80"/>
  <c r="F30" i="76"/>
  <c r="K24" i="80"/>
  <c r="K29" i="76"/>
  <c r="W8" i="80"/>
  <c r="M30" i="76"/>
  <c r="AC10" i="80"/>
  <c r="AC32" i="80"/>
  <c r="AI50" i="80"/>
  <c r="M14" i="76"/>
  <c r="AE33" i="80"/>
  <c r="X58" i="80"/>
  <c r="L26" i="76"/>
  <c r="O62" i="80"/>
  <c r="S64" i="80"/>
  <c r="P29" i="80"/>
  <c r="Q9" i="80"/>
  <c r="Q31" i="80"/>
  <c r="O32" i="76"/>
  <c r="AF58" i="80"/>
  <c r="X45" i="80"/>
  <c r="R45" i="80"/>
  <c r="Y69" i="80"/>
  <c r="AE40" i="80"/>
  <c r="U47" i="80"/>
  <c r="O26" i="76"/>
  <c r="R46" i="80"/>
  <c r="N22" i="80"/>
  <c r="G60" i="80"/>
  <c r="K10" i="80"/>
  <c r="G45" i="80"/>
  <c r="X69" i="80"/>
  <c r="S23" i="80"/>
  <c r="AG47" i="80"/>
  <c r="G31" i="80"/>
  <c r="R41" i="80"/>
  <c r="W27" i="80"/>
  <c r="AH15" i="80"/>
  <c r="AI30" i="80"/>
  <c r="AC30" i="80"/>
  <c r="AE69" i="80"/>
  <c r="Z64" i="80"/>
  <c r="H65" i="80"/>
  <c r="K43" i="80"/>
  <c r="N27" i="76"/>
  <c r="R12" i="76"/>
  <c r="X15" i="80"/>
  <c r="P8" i="80"/>
  <c r="R42" i="80"/>
  <c r="H48" i="80"/>
  <c r="W67" i="80"/>
  <c r="X32" i="80"/>
  <c r="G25" i="76"/>
  <c r="AG67" i="80"/>
  <c r="F8" i="80"/>
  <c r="V24" i="80"/>
  <c r="V31" i="80"/>
  <c r="P62" i="80"/>
  <c r="X62" i="80"/>
  <c r="T31" i="76"/>
  <c r="T65" i="80"/>
  <c r="H44" i="80"/>
  <c r="P28" i="76"/>
  <c r="AH44" i="80"/>
  <c r="N46" i="80"/>
  <c r="F15" i="76"/>
  <c r="X6" i="80"/>
  <c r="I67" i="80"/>
  <c r="H22" i="80"/>
  <c r="AC47" i="80"/>
  <c r="Z9" i="80"/>
  <c r="AE8" i="80"/>
  <c r="J8" i="80"/>
  <c r="AB22" i="80"/>
  <c r="C10" i="76"/>
  <c r="AE14" i="80"/>
  <c r="I8" i="80"/>
  <c r="G23" i="80"/>
  <c r="AG44" i="80"/>
  <c r="X67" i="80"/>
  <c r="X43" i="80"/>
  <c r="Q16" i="80"/>
  <c r="M46" i="80"/>
  <c r="AI45" i="80"/>
  <c r="K62" i="80"/>
  <c r="I42" i="80"/>
  <c r="AD66" i="80"/>
  <c r="G15" i="80"/>
  <c r="F7" i="80"/>
  <c r="H26" i="76"/>
  <c r="AH11" i="80"/>
  <c r="O10" i="80"/>
  <c r="R13" i="76"/>
  <c r="AE26" i="80"/>
  <c r="AG50" i="80"/>
  <c r="P16" i="80"/>
  <c r="P32" i="80"/>
  <c r="S40" i="80"/>
  <c r="R29" i="80"/>
  <c r="C25" i="76"/>
  <c r="AF7" i="80"/>
  <c r="J23" i="80"/>
  <c r="AD45" i="80"/>
  <c r="W33" i="80"/>
  <c r="G66" i="80"/>
  <c r="H8" i="80"/>
  <c r="G14" i="76"/>
  <c r="N69" i="80"/>
  <c r="AF16" i="80"/>
  <c r="AI61" i="80"/>
  <c r="F68" i="80"/>
  <c r="AF14" i="80"/>
  <c r="L31" i="80"/>
  <c r="N43" i="80"/>
  <c r="P12" i="80"/>
  <c r="AI68" i="80"/>
  <c r="X26" i="80"/>
  <c r="I22" i="80"/>
  <c r="I13" i="76"/>
  <c r="T15" i="80"/>
  <c r="W5" i="80"/>
  <c r="X44" i="80"/>
  <c r="U69" i="80"/>
  <c r="AI5" i="80"/>
  <c r="AH69" i="80"/>
  <c r="O29" i="76"/>
  <c r="R23" i="80"/>
  <c r="AB69" i="80"/>
  <c r="Q50" i="80"/>
  <c r="R22" i="80"/>
  <c r="M13" i="76"/>
  <c r="U11" i="80"/>
  <c r="M14" i="80"/>
  <c r="Q28" i="76"/>
  <c r="AF40" i="80"/>
  <c r="U25" i="80"/>
  <c r="AA31" i="80"/>
  <c r="AA14" i="80"/>
  <c r="R63" i="80"/>
  <c r="Y8" i="80"/>
  <c r="H60" i="80"/>
  <c r="O33" i="80"/>
  <c r="K42" i="80"/>
  <c r="AG61" i="80"/>
  <c r="Y68" i="80"/>
  <c r="K7" i="80"/>
  <c r="L9" i="76"/>
  <c r="P28" i="80"/>
  <c r="L69" i="80"/>
  <c r="G32" i="80"/>
  <c r="O16" i="80"/>
  <c r="T32" i="76"/>
  <c r="AA66" i="80"/>
  <c r="AA33" i="80"/>
  <c r="I7" i="80"/>
  <c r="AH66" i="80"/>
  <c r="J63" i="80"/>
  <c r="I14" i="76"/>
  <c r="AH7" i="80"/>
  <c r="M26" i="76"/>
  <c r="Z66" i="80"/>
  <c r="AC45" i="80"/>
  <c r="AE31" i="80"/>
  <c r="U60" i="80"/>
  <c r="Y9" i="80"/>
  <c r="K47" i="80"/>
  <c r="L67" i="80"/>
  <c r="Y25" i="80"/>
  <c r="AG32" i="80"/>
  <c r="Q65" i="80"/>
  <c r="W12" i="80"/>
  <c r="E23" i="76"/>
  <c r="O7" i="76"/>
  <c r="J27" i="80"/>
  <c r="F65" i="80"/>
  <c r="V69" i="80"/>
  <c r="X22" i="80"/>
  <c r="U48" i="80"/>
  <c r="T41" i="80"/>
  <c r="AB49" i="80"/>
  <c r="C31" i="76"/>
  <c r="S7" i="80"/>
  <c r="AE58" i="80"/>
  <c r="F27" i="80"/>
  <c r="I30" i="76"/>
  <c r="J49" i="80"/>
  <c r="Z60" i="80"/>
  <c r="AA65" i="80"/>
  <c r="N16" i="80"/>
  <c r="O64" i="80"/>
  <c r="AA62" i="80"/>
  <c r="O27" i="76"/>
  <c r="AG30" i="80"/>
  <c r="AG43" i="80"/>
  <c r="AH60" i="80"/>
  <c r="H58" i="80"/>
  <c r="F69" i="80"/>
  <c r="P24" i="80"/>
  <c r="C13" i="76"/>
  <c r="X66" i="80"/>
  <c r="C14" i="76"/>
  <c r="U40" i="80"/>
  <c r="AG8" i="80"/>
  <c r="M24" i="76"/>
  <c r="AD26" i="80"/>
  <c r="R26" i="76"/>
  <c r="R9" i="80"/>
  <c r="O26" i="80"/>
  <c r="T10" i="76"/>
  <c r="AC6" i="80"/>
  <c r="P13" i="76"/>
  <c r="M40" i="80"/>
  <c r="V30" i="80"/>
  <c r="O60" i="80"/>
  <c r="T51" i="80"/>
  <c r="Y51" i="80"/>
  <c r="S29" i="76"/>
  <c r="V40" i="80"/>
  <c r="R40" i="80"/>
  <c r="AA43" i="80"/>
  <c r="L10" i="76"/>
  <c r="S13" i="80"/>
  <c r="X65" i="80"/>
  <c r="AF12" i="80"/>
  <c r="AD23" i="80"/>
  <c r="AH12" i="80"/>
  <c r="L61" i="80"/>
  <c r="AI12" i="80"/>
  <c r="S45" i="80"/>
  <c r="K64" i="80"/>
  <c r="H31" i="76"/>
  <c r="AI42" i="80"/>
  <c r="H62" i="80"/>
  <c r="G13" i="80"/>
  <c r="T49" i="80"/>
  <c r="AG46" i="80"/>
  <c r="V29" i="80"/>
  <c r="M44" i="80"/>
  <c r="M11" i="76"/>
  <c r="F60" i="80"/>
  <c r="Q15" i="76"/>
  <c r="AG42" i="80"/>
  <c r="Q15" i="80"/>
  <c r="I50" i="80"/>
  <c r="Q30" i="76"/>
  <c r="I41" i="80"/>
  <c r="X24" i="80"/>
  <c r="Q9" i="76"/>
  <c r="N67" i="80"/>
  <c r="J65" i="80"/>
  <c r="J24" i="76"/>
  <c r="O58" i="80"/>
  <c r="L23" i="80"/>
  <c r="K67" i="80"/>
  <c r="AA51" i="80"/>
  <c r="Z25" i="80"/>
  <c r="T9" i="80"/>
  <c r="X25" i="80"/>
  <c r="D28" i="76"/>
  <c r="V7" i="80"/>
  <c r="D14" i="76"/>
  <c r="I59" i="80"/>
  <c r="I27" i="80"/>
  <c r="N14" i="80"/>
  <c r="AB65" i="80"/>
  <c r="M30" i="80"/>
  <c r="J6" i="76"/>
  <c r="Z49" i="80"/>
  <c r="K26" i="76"/>
  <c r="I47" i="80"/>
  <c r="J45" i="80"/>
  <c r="Y22" i="80"/>
  <c r="O69" i="80"/>
  <c r="O66" i="80"/>
  <c r="F14" i="76"/>
  <c r="P27" i="80"/>
  <c r="G51" i="80"/>
  <c r="J32" i="76"/>
  <c r="I25" i="76"/>
  <c r="AG24" i="80"/>
  <c r="M23" i="80"/>
  <c r="N7" i="76"/>
  <c r="AI64" i="80"/>
  <c r="G11" i="76"/>
  <c r="O25" i="80"/>
  <c r="J30" i="76"/>
  <c r="U43" i="80"/>
  <c r="N13" i="80"/>
  <c r="S68" i="80"/>
  <c r="L47" i="80"/>
  <c r="M51" i="80"/>
  <c r="C8" i="76"/>
  <c r="AF24" i="80"/>
  <c r="S51" i="80"/>
  <c r="M66" i="80"/>
  <c r="U46" i="80"/>
  <c r="L32" i="76"/>
  <c r="K14" i="76"/>
  <c r="I48" i="80"/>
  <c r="AA9" i="80"/>
  <c r="G5" i="80"/>
  <c r="I8" i="76"/>
  <c r="S61" i="80"/>
  <c r="AB33" i="80"/>
  <c r="L64" i="80"/>
  <c r="Q31" i="76"/>
  <c r="O12" i="80"/>
  <c r="L22" i="80"/>
  <c r="Q60" i="80"/>
  <c r="T25" i="76"/>
  <c r="S7" i="76"/>
  <c r="L27" i="76"/>
  <c r="V9" i="80"/>
  <c r="AA50" i="80"/>
  <c r="I61" i="80"/>
  <c r="Z45" i="80"/>
  <c r="P14" i="76"/>
  <c r="P13" i="80"/>
  <c r="Q26" i="76"/>
  <c r="N45" i="80"/>
  <c r="Q13" i="76"/>
  <c r="H47" i="80"/>
  <c r="T67" i="80"/>
  <c r="Z11" i="80"/>
  <c r="N61" i="80"/>
  <c r="K11" i="76"/>
  <c r="M32" i="80"/>
  <c r="H69" i="80"/>
  <c r="M6" i="80"/>
  <c r="Q49" i="80"/>
  <c r="H59" i="80"/>
  <c r="J5" i="80"/>
  <c r="AH46" i="80"/>
  <c r="R32" i="80"/>
  <c r="AC13" i="80"/>
  <c r="F40" i="80"/>
  <c r="D31" i="76"/>
  <c r="AB41" i="80"/>
  <c r="X31" i="80"/>
  <c r="AD33" i="80"/>
  <c r="I25" i="80"/>
  <c r="P12" i="76"/>
  <c r="AE47" i="80"/>
  <c r="J46" i="80"/>
  <c r="O15" i="76"/>
  <c r="E27" i="76"/>
  <c r="R69" i="80"/>
  <c r="I27" i="76"/>
  <c r="Z33" i="80"/>
  <c r="X41" i="80"/>
  <c r="AD65" i="80"/>
  <c r="AG9" i="80"/>
  <c r="AC29" i="80"/>
  <c r="AE41" i="80"/>
  <c r="K15" i="80"/>
  <c r="G50" i="80"/>
  <c r="AA28" i="80"/>
  <c r="U49" i="80"/>
  <c r="AC14" i="80"/>
  <c r="AF27" i="80"/>
  <c r="G6" i="76"/>
  <c r="O30" i="76"/>
  <c r="U58" i="80"/>
  <c r="E15" i="76"/>
  <c r="AD62" i="80"/>
  <c r="U15" i="80"/>
  <c r="AA26" i="80"/>
  <c r="J14" i="76"/>
  <c r="V12" i="80"/>
  <c r="T24" i="76"/>
  <c r="AC33" i="80"/>
  <c r="E29" i="76"/>
  <c r="N23" i="80"/>
  <c r="O25" i="76"/>
  <c r="F61" i="80"/>
  <c r="AD64" i="80"/>
  <c r="O61" i="80"/>
  <c r="O24" i="80"/>
  <c r="M15" i="80"/>
  <c r="AD47" i="80"/>
  <c r="Q48" i="80"/>
  <c r="O32" i="80"/>
  <c r="W40" i="80"/>
  <c r="AD31" i="80"/>
  <c r="Q59" i="80"/>
  <c r="U12" i="80"/>
  <c r="M5" i="80"/>
  <c r="N49" i="80"/>
  <c r="F6" i="76"/>
  <c r="S10" i="80"/>
  <c r="H49" i="80"/>
  <c r="S9" i="80"/>
  <c r="V26" i="80"/>
  <c r="W50" i="80"/>
  <c r="AF47" i="80"/>
  <c r="G7" i="80"/>
  <c r="T48" i="80"/>
  <c r="J58" i="80"/>
  <c r="S47" i="80"/>
  <c r="R10" i="76"/>
  <c r="P48" i="80"/>
  <c r="S67" i="80"/>
  <c r="Z7" i="80"/>
  <c r="T14" i="80"/>
  <c r="S28" i="80"/>
  <c r="Q10" i="80"/>
  <c r="R67" i="80"/>
  <c r="G64" i="80"/>
  <c r="D23" i="76"/>
  <c r="H10" i="76"/>
  <c r="L25" i="80"/>
  <c r="C23" i="76"/>
  <c r="AF59" i="80"/>
  <c r="V65" i="80"/>
  <c r="N40" i="80"/>
  <c r="E25" i="76"/>
  <c r="K65" i="80"/>
  <c r="AF8" i="80"/>
  <c r="T32" i="80"/>
  <c r="D13" i="76"/>
  <c r="H28" i="76"/>
  <c r="X28" i="80"/>
  <c r="Q12" i="80"/>
  <c r="K8" i="76"/>
  <c r="AG22" i="80"/>
  <c r="AD49" i="80"/>
  <c r="Y33" i="80"/>
  <c r="AH64" i="80"/>
  <c r="J32" i="80"/>
  <c r="F44" i="80"/>
  <c r="F64" i="80"/>
  <c r="AB31" i="80"/>
  <c r="K11" i="80"/>
  <c r="AA27" i="80"/>
  <c r="O7" i="80"/>
  <c r="M62" i="80"/>
  <c r="L32" i="80"/>
  <c r="AA5" i="80"/>
  <c r="F41" i="80"/>
  <c r="N65" i="80"/>
  <c r="U62" i="80"/>
  <c r="J16" i="80"/>
  <c r="AG14" i="80"/>
  <c r="Y43" i="80"/>
  <c r="AD13" i="80"/>
  <c r="AH23" i="80"/>
  <c r="T11" i="76"/>
  <c r="N12" i="76"/>
  <c r="AG13" i="80"/>
  <c r="U27" i="80"/>
  <c r="C30" i="76"/>
  <c r="T47" i="80"/>
  <c r="Z46" i="80"/>
  <c r="S33" i="80"/>
  <c r="AG49" i="80"/>
  <c r="AG7" i="80"/>
  <c r="H7" i="76"/>
  <c r="AI32" i="80"/>
  <c r="Z68" i="80"/>
  <c r="V62" i="80"/>
  <c r="O5" i="80"/>
  <c r="G62" i="80"/>
  <c r="R48" i="80"/>
  <c r="G23" i="76"/>
  <c r="K68" i="80"/>
  <c r="AB7" i="80"/>
  <c r="F48" i="80"/>
  <c r="G26" i="80"/>
  <c r="M59" i="80"/>
  <c r="AI40" i="80"/>
  <c r="L15" i="76"/>
  <c r="T6" i="80"/>
  <c r="J28" i="80"/>
  <c r="I6" i="76"/>
  <c r="P45" i="80"/>
  <c r="K16" i="80"/>
  <c r="S24" i="80"/>
  <c r="O29" i="80"/>
  <c r="R7" i="80"/>
  <c r="K50" i="80"/>
  <c r="AE11" i="80"/>
  <c r="F30" i="80"/>
  <c r="P23" i="76"/>
  <c r="N41" i="80"/>
  <c r="AC16" i="80"/>
  <c r="I30" i="80"/>
  <c r="P23" i="80"/>
  <c r="S32" i="76"/>
  <c r="L7" i="80"/>
  <c r="S10" i="76"/>
  <c r="AG41" i="80"/>
  <c r="I14" i="80"/>
  <c r="M68" i="80"/>
  <c r="R30" i="76"/>
  <c r="AB64" i="80"/>
  <c r="Q51" i="80"/>
  <c r="F10" i="76"/>
  <c r="X11" i="80"/>
  <c r="AA67" i="80"/>
  <c r="K27" i="80"/>
  <c r="AH32" i="80"/>
  <c r="AF32" i="80"/>
  <c r="L30" i="76"/>
  <c r="AF44" i="80"/>
  <c r="AA69" i="80"/>
  <c r="I62" i="80"/>
  <c r="V59" i="80"/>
  <c r="K28" i="80"/>
  <c r="AD12" i="80"/>
  <c r="Z67" i="80"/>
  <c r="T59" i="80"/>
  <c r="F5" i="80"/>
  <c r="AC49" i="80"/>
  <c r="U59" i="80"/>
  <c r="AA13" i="80"/>
  <c r="L50" i="80"/>
  <c r="T25" i="80"/>
  <c r="W42" i="80"/>
  <c r="V11" i="80"/>
  <c r="J12" i="80"/>
  <c r="P31" i="80"/>
  <c r="G15" i="76"/>
  <c r="V14" i="80"/>
  <c r="O42" i="80"/>
  <c r="M25" i="76"/>
  <c r="AE63" i="80"/>
  <c r="X30" i="80"/>
  <c r="G10" i="80"/>
  <c r="AF33" i="80"/>
  <c r="X64" i="80"/>
  <c r="O41" i="80"/>
  <c r="Q5" i="80"/>
  <c r="X47" i="80"/>
  <c r="I5" i="80"/>
  <c r="AI48" i="80"/>
  <c r="G30" i="80"/>
  <c r="X60" i="80"/>
  <c r="M8" i="76"/>
  <c r="AI28" i="80"/>
  <c r="F13" i="80"/>
  <c r="AG6" i="80"/>
  <c r="J43" i="80"/>
  <c r="F26" i="80"/>
  <c r="AI67" i="80"/>
  <c r="C26" i="76"/>
  <c r="O45" i="80"/>
  <c r="AH59" i="80"/>
  <c r="AB58" i="80"/>
  <c r="T43" i="80"/>
  <c r="G41" i="80"/>
  <c r="I33" i="80"/>
  <c r="P40" i="80"/>
  <c r="Y27" i="80"/>
  <c r="AE12" i="80"/>
  <c r="W60" i="80"/>
  <c r="P42" i="80"/>
  <c r="H43" i="80"/>
  <c r="AD25" i="80"/>
  <c r="AE32" i="80"/>
  <c r="T27" i="76"/>
  <c r="H45" i="80"/>
  <c r="AI43" i="80"/>
  <c r="L6" i="80"/>
  <c r="F28" i="76"/>
  <c r="L60" i="80"/>
  <c r="M29" i="80"/>
  <c r="AD16" i="80"/>
  <c r="G12" i="80"/>
  <c r="E24" i="76"/>
  <c r="AH16" i="80"/>
  <c r="R6" i="80"/>
  <c r="F15" i="80"/>
  <c r="P24" i="76"/>
  <c r="Y41" i="80"/>
  <c r="U50" i="80"/>
  <c r="P7" i="76"/>
  <c r="E28" i="76"/>
  <c r="K44" i="80"/>
  <c r="S48" i="80"/>
  <c r="AG60" i="80"/>
  <c r="Q23" i="80"/>
  <c r="O50" i="80"/>
  <c r="K15" i="76"/>
  <c r="J42" i="80"/>
  <c r="AA46" i="80"/>
  <c r="N60" i="80"/>
  <c r="G61" i="80"/>
  <c r="U51" i="80"/>
  <c r="U5" i="80"/>
  <c r="F32" i="76"/>
  <c r="P15" i="80"/>
  <c r="F31" i="76"/>
  <c r="AF30" i="80"/>
  <c r="AC65" i="80"/>
  <c r="K13" i="80"/>
  <c r="I51" i="80"/>
  <c r="G30" i="76"/>
  <c r="AE49" i="80"/>
  <c r="AH13" i="80"/>
  <c r="AC26" i="80"/>
  <c r="J59" i="80"/>
  <c r="Z22" i="80"/>
  <c r="G14" i="80"/>
  <c r="AF63" i="80"/>
  <c r="G69" i="80"/>
  <c r="AD59" i="80"/>
  <c r="I15" i="80"/>
  <c r="S12" i="80"/>
  <c r="H41" i="80"/>
  <c r="X46" i="80"/>
  <c r="P47" i="80"/>
  <c r="U30" i="80"/>
  <c r="AG65" i="80"/>
  <c r="M61" i="80"/>
  <c r="N28" i="76"/>
  <c r="N25" i="76"/>
  <c r="R43" i="80"/>
  <c r="Z12" i="80"/>
  <c r="L8" i="76"/>
  <c r="I64" i="80"/>
  <c r="D25" i="76"/>
  <c r="F49" i="80"/>
  <c r="O23" i="76"/>
  <c r="Z47" i="80"/>
  <c r="AC7" i="80"/>
  <c r="AD63" i="80"/>
  <c r="AI10" i="80"/>
  <c r="K32" i="76"/>
  <c r="X29" i="80"/>
  <c r="S62" i="80"/>
  <c r="I28" i="76"/>
  <c r="AB26" i="80"/>
  <c r="AD41" i="80"/>
  <c r="M31" i="76"/>
  <c r="AC61" i="80"/>
  <c r="AC5" i="80"/>
  <c r="G24" i="80"/>
  <c r="F13" i="76"/>
  <c r="AG48" i="80"/>
  <c r="V27" i="80"/>
  <c r="AH43" i="80"/>
  <c r="L66" i="80"/>
  <c r="AB14" i="80"/>
  <c r="Z5" i="80"/>
  <c r="P68" i="80"/>
  <c r="G49" i="80"/>
  <c r="E30" i="76"/>
  <c r="Z16" i="80"/>
  <c r="AE60" i="80"/>
  <c r="L41" i="80"/>
  <c r="AF62" i="80"/>
  <c r="AC22" i="80"/>
  <c r="H25" i="80"/>
  <c r="W10" i="80"/>
  <c r="H42" i="80"/>
  <c r="X14" i="80"/>
  <c r="V44" i="80"/>
  <c r="Z65" i="80"/>
  <c r="M58" i="80"/>
  <c r="AF60" i="80"/>
  <c r="G59" i="80"/>
  <c r="R13" i="80"/>
  <c r="N6" i="80"/>
  <c r="S27" i="76"/>
  <c r="O8" i="76"/>
  <c r="U8" i="80"/>
  <c r="Q63" i="80"/>
  <c r="Y6" i="80"/>
  <c r="AB15" i="80"/>
  <c r="AH58" i="80"/>
  <c r="T31" i="80"/>
  <c r="G46" i="80"/>
  <c r="H24" i="80"/>
  <c r="AF29" i="80"/>
  <c r="K28" i="76"/>
  <c r="Z44" i="80"/>
  <c r="T23" i="76"/>
  <c r="AD5" i="80"/>
  <c r="F51" i="80"/>
  <c r="H29" i="76"/>
  <c r="O14" i="76"/>
  <c r="AF51" i="80"/>
  <c r="C6" i="76"/>
  <c r="O22" i="80"/>
  <c r="AF6" i="80"/>
  <c r="X48" i="80"/>
  <c r="J31" i="76"/>
  <c r="T6" i="76"/>
  <c r="M9" i="76"/>
  <c r="P30" i="80"/>
  <c r="N32" i="76"/>
  <c r="R61" i="80"/>
  <c r="AF43" i="80"/>
  <c r="AF66" i="80"/>
  <c r="S41" i="80"/>
  <c r="G42" i="80"/>
  <c r="G27" i="80"/>
  <c r="N47" i="80"/>
  <c r="X33" i="80"/>
  <c r="AH24" i="80"/>
  <c r="H12" i="80"/>
  <c r="Y11" i="80"/>
  <c r="M7" i="80"/>
  <c r="Q27" i="76"/>
  <c r="K22" i="80"/>
  <c r="G13" i="76"/>
  <c r="G48" i="80"/>
  <c r="D29" i="76"/>
  <c r="J41" i="80"/>
  <c r="Z50" i="80"/>
  <c r="D6" i="76"/>
  <c r="O11" i="76"/>
  <c r="D15" i="76"/>
  <c r="H14" i="76"/>
  <c r="O6" i="76"/>
  <c r="J44" i="80"/>
  <c r="U13" i="80"/>
  <c r="AI23" i="80"/>
  <c r="AE67" i="80"/>
  <c r="F47" i="80"/>
  <c r="AC11" i="80"/>
  <c r="I9" i="80"/>
  <c r="R49" i="80"/>
  <c r="AG31" i="80"/>
  <c r="AB30" i="80"/>
  <c r="S14" i="76"/>
  <c r="H30" i="76"/>
  <c r="I11" i="76"/>
  <c r="AI33" i="80"/>
  <c r="AI41" i="80"/>
  <c r="P50" i="80"/>
  <c r="AG28" i="80"/>
  <c r="R51" i="80"/>
  <c r="R59" i="80"/>
  <c r="F25" i="80"/>
  <c r="AC51" i="80"/>
  <c r="V43" i="80"/>
  <c r="V23" i="80"/>
  <c r="AA49" i="80"/>
  <c r="E32" i="76"/>
  <c r="AI16" i="80"/>
  <c r="T44" i="80"/>
  <c r="Q7" i="76"/>
  <c r="AA11" i="80"/>
  <c r="Q24" i="80"/>
  <c r="L10" i="80"/>
  <c r="J67" i="80"/>
  <c r="H23" i="76"/>
  <c r="O9" i="80"/>
  <c r="W7" i="80"/>
  <c r="S5" i="80"/>
  <c r="AH68" i="80"/>
  <c r="AH10" i="80"/>
  <c r="W46" i="80"/>
  <c r="J24" i="80"/>
  <c r="J64" i="80"/>
  <c r="M31" i="80"/>
  <c r="O65" i="80"/>
  <c r="N15" i="80"/>
  <c r="Z40" i="80"/>
  <c r="Q11" i="80"/>
  <c r="AB62" i="80"/>
  <c r="Q24" i="76"/>
  <c r="G40" i="80"/>
  <c r="R32" i="76"/>
  <c r="K58" i="80"/>
  <c r="T30" i="76"/>
  <c r="AB63" i="80"/>
  <c r="R14" i="80"/>
  <c r="M50" i="80"/>
  <c r="Z31" i="80"/>
  <c r="W63" i="80"/>
  <c r="AA25" i="80"/>
  <c r="J61" i="80"/>
  <c r="U7" i="80"/>
  <c r="E11" i="76"/>
  <c r="Q69" i="80"/>
  <c r="F16" i="80"/>
  <c r="C28" i="76"/>
  <c r="F7" i="76"/>
  <c r="L7" i="76"/>
  <c r="R11" i="76"/>
  <c r="I46" i="80"/>
  <c r="L27" i="80"/>
  <c r="F8" i="76"/>
  <c r="F59" i="80"/>
  <c r="M12" i="80"/>
  <c r="N31" i="76"/>
  <c r="P41" i="80"/>
  <c r="U9" i="80"/>
  <c r="T11" i="80"/>
  <c r="AF61" i="80"/>
  <c r="U42" i="80"/>
  <c r="AF50" i="80"/>
  <c r="AD50" i="80"/>
  <c r="AI51" i="80"/>
  <c r="H66" i="80"/>
  <c r="AA45" i="80"/>
  <c r="K69" i="80"/>
  <c r="W25" i="80"/>
  <c r="O44" i="80"/>
  <c r="M8" i="80"/>
  <c r="L43" i="80"/>
  <c r="W62" i="80"/>
  <c r="O12" i="76"/>
  <c r="Y5" i="80"/>
  <c r="K31" i="76"/>
  <c r="I44" i="80"/>
  <c r="AF65" i="80"/>
  <c r="AD15" i="80"/>
  <c r="K23" i="76"/>
  <c r="R5" i="80"/>
  <c r="Q25" i="76"/>
  <c r="AH51" i="80"/>
  <c r="J29" i="76"/>
  <c r="Q45" i="80"/>
  <c r="H30" i="80"/>
  <c r="AF23" i="80"/>
  <c r="R27" i="80"/>
  <c r="AC25" i="80"/>
  <c r="N31" i="80"/>
  <c r="O28" i="80"/>
  <c r="Q26" i="80"/>
  <c r="O13" i="80"/>
  <c r="U14" i="80"/>
  <c r="O9" i="76"/>
  <c r="N23" i="76"/>
  <c r="F45" i="80"/>
  <c r="H64" i="80"/>
  <c r="M7" i="76"/>
  <c r="Q11" i="76"/>
  <c r="Q29" i="80"/>
  <c r="S27" i="80"/>
  <c r="E10" i="76"/>
  <c r="U26" i="80"/>
  <c r="K32" i="80"/>
  <c r="J68" i="80"/>
  <c r="AF46" i="80"/>
  <c r="M23" i="76"/>
  <c r="K8" i="80"/>
  <c r="J9" i="80"/>
  <c r="AF28" i="80"/>
  <c r="Z41" i="80"/>
  <c r="P25" i="76"/>
  <c r="I6" i="80"/>
  <c r="AA22" i="80"/>
  <c r="W16" i="80"/>
  <c r="T8" i="76"/>
  <c r="Y14" i="80"/>
  <c r="AH30" i="80"/>
  <c r="D26" i="76"/>
  <c r="T30" i="80"/>
  <c r="S28" i="76"/>
  <c r="K6" i="76"/>
  <c r="K63" i="80"/>
  <c r="Q22" i="80"/>
  <c r="E14" i="76"/>
  <c r="Y46" i="80"/>
  <c r="V48" i="80"/>
  <c r="J14" i="80"/>
  <c r="N64" i="80"/>
  <c r="G8" i="76"/>
  <c r="AB44" i="80"/>
  <c r="H50" i="80"/>
  <c r="T68" i="80"/>
  <c r="P30" i="76"/>
  <c r="V46" i="80"/>
  <c r="AD24" i="80"/>
  <c r="AD6" i="80"/>
  <c r="V32" i="80"/>
  <c r="L12" i="80"/>
  <c r="AB8" i="80"/>
  <c r="S9" i="76"/>
  <c r="Y30" i="80"/>
  <c r="Q7" i="80"/>
  <c r="I11" i="80"/>
  <c r="F28" i="80"/>
  <c r="F32" i="80"/>
  <c r="H13" i="76"/>
  <c r="U65" i="80"/>
  <c r="S6" i="80"/>
  <c r="AA16" i="80"/>
  <c r="AD61" i="80"/>
  <c r="T7" i="76"/>
  <c r="U16" i="80"/>
  <c r="AF26" i="80"/>
  <c r="H9" i="80"/>
  <c r="T12" i="80"/>
  <c r="O48" i="80"/>
  <c r="T62" i="80"/>
  <c r="C29" i="76"/>
  <c r="X49" i="80"/>
  <c r="O11" i="80"/>
  <c r="I15" i="76"/>
  <c r="AE5" i="80"/>
  <c r="L45" i="80"/>
  <c r="Y65" i="80"/>
  <c r="P11" i="80"/>
  <c r="L51" i="80"/>
  <c r="H8" i="76"/>
  <c r="AI60" i="80"/>
  <c r="L28" i="80"/>
  <c r="AH65" i="80"/>
  <c r="J15" i="76"/>
  <c r="AE46" i="80"/>
  <c r="Z13" i="80"/>
  <c r="R14" i="76"/>
  <c r="AB68" i="80"/>
  <c r="P27" i="76"/>
  <c r="R23" i="76"/>
  <c r="M42" i="80"/>
  <c r="H27" i="80"/>
  <c r="K59" i="80"/>
  <c r="AE45" i="80"/>
  <c r="S16" i="80"/>
  <c r="T29" i="80"/>
  <c r="J27" i="76"/>
  <c r="AD51" i="80"/>
  <c r="AD29" i="80"/>
  <c r="C7" i="76"/>
  <c r="N33" i="80"/>
  <c r="M12" i="76"/>
  <c r="N10" i="76"/>
  <c r="P8" i="76"/>
  <c r="O6" i="80"/>
  <c r="J26" i="76"/>
  <c r="H46" i="80"/>
  <c r="AE27" i="80"/>
  <c r="AC66" i="80"/>
  <c r="AA64" i="80"/>
  <c r="L48" i="80"/>
  <c r="M65" i="80"/>
  <c r="AB5" i="80"/>
  <c r="G24" i="76"/>
  <c r="W47" i="80"/>
  <c r="S69" i="80"/>
  <c r="AA68" i="80"/>
  <c r="AB61" i="80"/>
  <c r="T58" i="80"/>
  <c r="AG16" i="80"/>
  <c r="S60" i="80"/>
  <c r="X13" i="80"/>
  <c r="AI49" i="80"/>
  <c r="Y16" i="80"/>
  <c r="F33" i="80"/>
  <c r="AG26" i="80"/>
  <c r="K27" i="76"/>
  <c r="M28" i="80"/>
  <c r="I29" i="80"/>
  <c r="M43" i="80"/>
  <c r="G22" i="80"/>
  <c r="K7" i="76"/>
  <c r="I29" i="76"/>
  <c r="U33" i="80"/>
  <c r="G25" i="80"/>
  <c r="S12" i="76"/>
  <c r="AH31" i="80"/>
  <c r="W49" i="80"/>
  <c r="Y63" i="80"/>
  <c r="K45" i="80"/>
  <c r="R29" i="76"/>
  <c r="M64" i="80"/>
  <c r="AI8" i="80"/>
  <c r="V50" i="80"/>
  <c r="AA7" i="80"/>
  <c r="P31" i="76"/>
  <c r="G29" i="76"/>
  <c r="T60" i="80"/>
  <c r="AD32" i="80"/>
  <c r="I23" i="76"/>
  <c r="P15" i="76"/>
  <c r="X5" i="80"/>
  <c r="N42" i="80"/>
  <c r="AI31" i="80"/>
  <c r="U66" i="80"/>
  <c r="V60" i="80"/>
  <c r="N30" i="76"/>
  <c r="AI47" i="80"/>
  <c r="AH67" i="80"/>
  <c r="L26" i="80"/>
  <c r="N28" i="80"/>
  <c r="F31" i="80"/>
  <c r="AE64" i="80"/>
  <c r="L15" i="80"/>
  <c r="AD67" i="80"/>
  <c r="AB40" i="80"/>
  <c r="H61" i="80"/>
  <c r="K5" i="80"/>
  <c r="AC69" i="80"/>
  <c r="AI65" i="80"/>
  <c r="J51" i="80"/>
  <c r="AE43" i="80"/>
  <c r="L24" i="76"/>
  <c r="I28" i="80"/>
  <c r="R33" i="80"/>
  <c r="W51" i="80"/>
  <c r="N51" i="80"/>
  <c r="W30" i="80"/>
  <c r="N66" i="80"/>
  <c r="Z58" i="80"/>
  <c r="W69" i="80"/>
  <c r="AH6" i="80"/>
  <c r="V25" i="80"/>
  <c r="P6" i="76"/>
  <c r="I10" i="80"/>
  <c r="J40" i="80"/>
  <c r="F24" i="80"/>
  <c r="AB16" i="80"/>
  <c r="M41" i="80"/>
  <c r="AG64" i="80"/>
  <c r="M15" i="76"/>
  <c r="AG23" i="80"/>
  <c r="W58" i="80"/>
  <c r="W28" i="80"/>
  <c r="E6" i="76"/>
  <c r="R30" i="80"/>
  <c r="F23" i="80"/>
  <c r="AD11" i="80"/>
  <c r="L44" i="80"/>
  <c r="R44" i="80"/>
  <c r="Z43" i="80"/>
  <c r="P67" i="80"/>
  <c r="AH25" i="80"/>
  <c r="G44" i="80"/>
  <c r="S30" i="80"/>
  <c r="L42" i="80"/>
  <c r="S11" i="76"/>
  <c r="T14" i="76"/>
  <c r="Q29" i="76"/>
  <c r="V28" i="80"/>
  <c r="S23" i="76"/>
  <c r="P9" i="76"/>
  <c r="S32" i="80"/>
  <c r="D12" i="76"/>
  <c r="P7" i="80"/>
  <c r="S31" i="76"/>
  <c r="T8" i="80"/>
  <c r="J6" i="80"/>
  <c r="O46" i="80"/>
  <c r="AD28" i="80"/>
  <c r="F11" i="76"/>
  <c r="J12" i="76"/>
  <c r="G9" i="80"/>
  <c r="R6" i="76"/>
  <c r="G7" i="76"/>
  <c r="AI29" i="80"/>
  <c r="AD44" i="80"/>
  <c r="O67" i="80"/>
  <c r="S42" i="80"/>
  <c r="J28" i="76"/>
  <c r="AH62" i="80"/>
  <c r="M45" i="80"/>
  <c r="AE29" i="80"/>
  <c r="Q30" i="80"/>
  <c r="R31" i="76"/>
  <c r="V61" i="80"/>
  <c r="H68" i="80"/>
  <c r="K29" i="80"/>
  <c r="AA32" i="80"/>
  <c r="L40" i="80"/>
  <c r="D11" i="76"/>
  <c r="J29" i="80"/>
  <c r="F11" i="80"/>
  <c r="L33" i="80"/>
  <c r="V68" i="80"/>
  <c r="V6" i="80"/>
  <c r="H9" i="76"/>
  <c r="N13" i="76"/>
  <c r="F29" i="80"/>
  <c r="Q25" i="80"/>
  <c r="X10" i="80"/>
  <c r="G10" i="76"/>
  <c r="W65" i="80"/>
  <c r="W59" i="80"/>
  <c r="Y7" i="80"/>
  <c r="W14" i="80"/>
  <c r="N29" i="80"/>
  <c r="R11" i="80"/>
  <c r="Z51" i="80"/>
  <c r="I69" i="80"/>
  <c r="F9" i="76"/>
  <c r="AE22" i="80"/>
  <c r="AC41" i="80"/>
  <c r="O31" i="76"/>
  <c r="R7" i="76"/>
  <c r="I45" i="80"/>
  <c r="M27" i="80"/>
  <c r="N11" i="80"/>
  <c r="T28" i="76"/>
  <c r="Y10" i="80"/>
  <c r="S6" i="76"/>
  <c r="L29" i="80"/>
  <c r="W32" i="80"/>
  <c r="AI46" i="80"/>
  <c r="X61" i="80"/>
  <c r="P10" i="76"/>
  <c r="U44" i="80"/>
  <c r="L28" i="76"/>
  <c r="P69" i="80"/>
  <c r="I24" i="76"/>
  <c r="N11" i="76"/>
  <c r="N15" i="76"/>
  <c r="J22" i="80"/>
  <c r="S22" i="80"/>
  <c r="Q14" i="80"/>
  <c r="O14" i="80"/>
  <c r="K12" i="76"/>
  <c r="AC44" i="80"/>
  <c r="J25" i="80"/>
  <c r="U31" i="80"/>
  <c r="AI27" i="80"/>
  <c r="S44" i="80"/>
  <c r="W64" i="80"/>
  <c r="H11" i="80"/>
  <c r="K33" i="80"/>
  <c r="Q46" i="80"/>
  <c r="AC68" i="80"/>
  <c r="O8" i="80"/>
  <c r="AD9" i="80"/>
  <c r="J33" i="80"/>
  <c r="V42" i="80"/>
  <c r="H23" i="80"/>
  <c r="T61" i="80"/>
  <c r="P25" i="80"/>
  <c r="R8" i="80"/>
  <c r="H25" i="76"/>
  <c r="W41" i="80"/>
  <c r="AH61" i="80"/>
  <c r="P10" i="80"/>
  <c r="K24" i="76"/>
  <c r="R60" i="80"/>
  <c r="L31" i="76"/>
  <c r="R24" i="76"/>
  <c r="AC8" i="80"/>
  <c r="AD58" i="80"/>
  <c r="AC12" i="80"/>
  <c r="T64" i="80"/>
  <c r="Z10" i="80"/>
  <c r="N8" i="76"/>
  <c r="AG27" i="80"/>
  <c r="AE61" i="80"/>
  <c r="Y23" i="80"/>
  <c r="O68" i="80"/>
  <c r="L30" i="80"/>
  <c r="Z62" i="80"/>
  <c r="V64" i="80"/>
  <c r="F10" i="80"/>
  <c r="D32" i="76"/>
  <c r="H6" i="76"/>
  <c r="V22" i="80"/>
  <c r="Z63" i="80"/>
  <c r="O40" i="80"/>
  <c r="M33" i="80"/>
  <c r="Z61" i="80"/>
  <c r="H27" i="76"/>
  <c r="R10" i="80"/>
  <c r="AF67" i="80"/>
  <c r="AH49" i="80"/>
  <c r="N68" i="80"/>
  <c r="AC27" i="80"/>
  <c r="N9" i="80"/>
  <c r="I31" i="80"/>
  <c r="AH14" i="80"/>
  <c r="O30" i="80"/>
  <c r="AG10" i="80"/>
  <c r="S15" i="80"/>
  <c r="X23" i="80"/>
  <c r="S25" i="80"/>
  <c r="L24" i="80"/>
  <c r="M6" i="76"/>
  <c r="J8" i="76"/>
  <c r="Y47" i="80"/>
  <c r="S63" i="80"/>
  <c r="AC50" i="80"/>
  <c r="S66" i="80"/>
  <c r="L16" i="80"/>
  <c r="Q6" i="76"/>
  <c r="P5" i="80"/>
  <c r="AB29" i="80"/>
  <c r="AH27" i="80"/>
  <c r="AG29" i="80"/>
  <c r="T15" i="76"/>
  <c r="AD69" i="80"/>
  <c r="R16" i="80"/>
  <c r="V33" i="80"/>
  <c r="U63" i="80"/>
  <c r="M60" i="80"/>
  <c r="H63" i="80"/>
  <c r="H32" i="76"/>
  <c r="F12" i="76"/>
  <c r="P14" i="80"/>
  <c r="AB28" i="80"/>
  <c r="Q27" i="80"/>
  <c r="AB60" i="80"/>
  <c r="U23" i="80"/>
  <c r="X68" i="80"/>
  <c r="I65" i="80"/>
  <c r="S14" i="80"/>
  <c r="AA58" i="80"/>
  <c r="P33" i="80"/>
  <c r="N6" i="76"/>
  <c r="AI9" i="80"/>
  <c r="R68" i="80"/>
  <c r="R25" i="76"/>
  <c r="W31" i="80"/>
  <c r="AD30" i="80"/>
  <c r="Q43" i="80"/>
  <c r="X12" i="80"/>
  <c r="S31" i="80"/>
  <c r="Y60" i="80"/>
  <c r="J31" i="80"/>
  <c r="R31" i="80"/>
  <c r="AC31" i="80"/>
  <c r="X63" i="80"/>
  <c r="AF69" i="80"/>
  <c r="J66" i="80"/>
  <c r="AG25" i="80"/>
  <c r="W15" i="80"/>
  <c r="E8" i="76"/>
  <c r="Z48" i="80"/>
  <c r="G28" i="76"/>
  <c r="AC23" i="80"/>
  <c r="N26" i="76"/>
  <c r="H6" i="80"/>
  <c r="C15" i="76"/>
  <c r="V66" i="80"/>
  <c r="K23" i="80"/>
  <c r="T63" i="80"/>
  <c r="V49" i="80"/>
  <c r="Y44" i="80"/>
  <c r="L11" i="80"/>
  <c r="O59" i="80"/>
  <c r="AB27" i="80"/>
  <c r="AH41" i="80"/>
  <c r="C24" i="76"/>
  <c r="J62" i="80"/>
  <c r="X40" i="80"/>
  <c r="W43" i="80"/>
  <c r="Y66" i="80"/>
  <c r="M48" i="80"/>
  <c r="R66" i="80"/>
  <c r="Q44" i="80"/>
  <c r="O10" i="76"/>
  <c r="Q68" i="80"/>
  <c r="S25" i="76"/>
  <c r="F46" i="80"/>
  <c r="AC67" i="80"/>
  <c r="AE15" i="80"/>
  <c r="U64" i="80"/>
  <c r="J11" i="76"/>
  <c r="F9" i="80"/>
  <c r="L68" i="80"/>
  <c r="W24" i="80"/>
  <c r="N14" i="76"/>
  <c r="J10" i="80"/>
  <c r="AF22" i="80"/>
  <c r="R26" i="80"/>
  <c r="N24" i="80"/>
  <c r="X16" i="80"/>
  <c r="X7" i="80"/>
  <c r="AG11" i="80"/>
  <c r="E26" i="76"/>
  <c r="P6" i="80"/>
  <c r="AA6" i="80"/>
  <c r="Y42" i="80"/>
  <c r="AH63" i="80"/>
  <c r="K48" i="80"/>
  <c r="O23" i="80"/>
  <c r="J26" i="80"/>
  <c r="K14" i="80"/>
  <c r="AI69" i="80"/>
  <c r="R24" i="80"/>
  <c r="J30" i="80"/>
  <c r="T69" i="80"/>
  <c r="Y62" i="80"/>
  <c r="F62" i="80"/>
  <c r="L6" i="76"/>
  <c r="Q13" i="80"/>
  <c r="O28" i="76"/>
  <c r="Q8" i="76"/>
  <c r="AG68" i="80"/>
  <c r="G27" i="76"/>
  <c r="AB43" i="80"/>
  <c r="J69" i="80"/>
  <c r="S24" i="76"/>
  <c r="K30" i="80"/>
  <c r="W66" i="80"/>
  <c r="N32" i="80"/>
  <c r="AH26" i="80"/>
  <c r="AH8" i="80"/>
  <c r="L14" i="76"/>
  <c r="L23" i="76"/>
  <c r="T46" i="80"/>
  <c r="W61" i="80"/>
  <c r="N7" i="80"/>
  <c r="O43" i="80"/>
  <c r="S43" i="80"/>
  <c r="AA60" i="80"/>
  <c r="Y24" i="80"/>
  <c r="AD27" i="80"/>
  <c r="M63" i="80"/>
  <c r="L25" i="76"/>
  <c r="AA42" i="80"/>
  <c r="M16" i="80"/>
  <c r="P63" i="80"/>
  <c r="R64" i="80"/>
  <c r="AF45" i="80"/>
  <c r="C32" i="76"/>
  <c r="L46" i="80"/>
  <c r="AD7" i="80"/>
  <c r="J13" i="80"/>
  <c r="I49" i="80"/>
  <c r="AC60" i="80"/>
  <c r="P44" i="80"/>
  <c r="AA41" i="80"/>
  <c r="AC64" i="80"/>
  <c r="T40" i="80"/>
  <c r="Y28" i="80"/>
  <c r="P32" i="76"/>
  <c r="R15" i="80"/>
  <c r="Z23" i="80"/>
  <c r="H67" i="80"/>
  <c r="AB9" i="80"/>
  <c r="W23" i="80"/>
  <c r="O49" i="80"/>
  <c r="L5" i="80"/>
  <c r="AI14" i="80"/>
  <c r="AD14" i="80"/>
  <c r="H31" i="80"/>
  <c r="U22" i="80"/>
  <c r="F25" i="76"/>
  <c r="Y49" i="80"/>
  <c r="AI24" i="80"/>
  <c r="Y59" i="80"/>
  <c r="Q32" i="76"/>
  <c r="N26" i="80"/>
  <c r="I24" i="80"/>
  <c r="Q66" i="80"/>
  <c r="AC48" i="80"/>
  <c r="Z24" i="80"/>
  <c r="AF42" i="80"/>
  <c r="AG15" i="80"/>
  <c r="AI63" i="80"/>
  <c r="AE9" i="80"/>
  <c r="AH5" i="80"/>
  <c r="Y29" i="80"/>
  <c r="AG59" i="80"/>
  <c r="Q28" i="80"/>
  <c r="T22" i="80"/>
  <c r="L11" i="76"/>
  <c r="S11" i="80"/>
  <c r="O13" i="76"/>
  <c r="AB24" i="80"/>
  <c r="Q8" i="80"/>
  <c r="M10" i="76"/>
  <c r="D30" i="76"/>
  <c r="N10" i="80"/>
  <c r="P22" i="80"/>
  <c r="AI44" i="80"/>
  <c r="M47" i="80"/>
  <c r="AB6" i="80"/>
  <c r="F58" i="80"/>
  <c r="F6" i="80"/>
  <c r="AH50" i="80"/>
  <c r="H40" i="80"/>
  <c r="AA30" i="80"/>
  <c r="K40" i="80"/>
  <c r="K60" i="80"/>
  <c r="M25" i="80"/>
  <c r="P49" i="80"/>
  <c r="H11" i="76"/>
  <c r="AI22" i="80"/>
  <c r="Y31" i="80"/>
  <c r="AA29" i="80"/>
  <c r="L59" i="80"/>
  <c r="AF9" i="80"/>
  <c r="H5" i="80"/>
  <c r="U29" i="80"/>
  <c r="H51" i="80"/>
  <c r="P11" i="76"/>
  <c r="AE44" i="80"/>
  <c r="I26" i="80"/>
  <c r="T33" i="80"/>
  <c r="AG63" i="80"/>
  <c r="G47" i="80"/>
  <c r="N9" i="76"/>
  <c r="J23" i="76"/>
  <c r="AB59" i="80"/>
  <c r="H24" i="76"/>
  <c r="AE6" i="80"/>
  <c r="I26" i="76"/>
  <c r="AA47" i="80"/>
  <c r="AI26" i="80"/>
  <c r="AA12" i="80"/>
  <c r="Q14" i="76"/>
  <c r="L63" i="80"/>
  <c r="L58" i="80"/>
  <c r="R27" i="76"/>
  <c r="W29" i="80"/>
  <c r="F26" i="76"/>
  <c r="S8" i="80"/>
  <c r="Q62" i="80"/>
  <c r="N59" i="80"/>
  <c r="P29" i="76"/>
  <c r="K66" i="80"/>
  <c r="AE59" i="80"/>
  <c r="L13" i="76"/>
  <c r="AF64" i="80"/>
  <c r="Y67" i="80"/>
  <c r="F24" i="76"/>
  <c r="AF48" i="80"/>
  <c r="M10" i="80"/>
  <c r="X27" i="80"/>
  <c r="M29" i="76"/>
  <c r="X9" i="80"/>
  <c r="M26" i="80"/>
  <c r="U61" i="80"/>
  <c r="I60" i="80"/>
  <c r="R15" i="76"/>
  <c r="AC42" i="80"/>
  <c r="S49" i="80"/>
  <c r="N62" i="80"/>
  <c r="AE13" i="80"/>
  <c r="E13" i="76"/>
  <c r="S29" i="80"/>
  <c r="K9" i="76"/>
  <c r="J25" i="76"/>
  <c r="N5" i="80"/>
  <c r="L13" i="80"/>
  <c r="AB66" i="80"/>
  <c r="AE51" i="80"/>
  <c r="V5" i="80"/>
  <c r="I31" i="76"/>
  <c r="M69" i="80"/>
  <c r="H12" i="76"/>
  <c r="V15" i="80"/>
  <c r="F63" i="80"/>
  <c r="T7" i="80"/>
  <c r="S59" i="80"/>
  <c r="H33" i="80"/>
  <c r="P26" i="76"/>
  <c r="U32" i="80"/>
  <c r="I9" i="76"/>
  <c r="AD10" i="80"/>
  <c r="T29" i="76"/>
  <c r="J7" i="80"/>
  <c r="M28" i="76"/>
  <c r="Z14" i="80"/>
  <c r="AB25" i="80"/>
  <c r="G31" i="76"/>
  <c r="AB51" i="80"/>
  <c r="V10" i="80"/>
  <c r="AB12" i="80"/>
  <c r="Q41" i="80"/>
  <c r="Y32" i="80"/>
  <c r="N25" i="80"/>
  <c r="Q23" i="76"/>
  <c r="I7" i="76"/>
  <c r="R8" i="76"/>
  <c r="K10" i="76"/>
  <c r="Z29" i="80"/>
  <c r="AE68" i="80"/>
  <c r="T45" i="80"/>
  <c r="G58" i="80"/>
  <c r="R9" i="76"/>
  <c r="D7" i="76"/>
  <c r="I23" i="80"/>
  <c r="AA23" i="80"/>
  <c r="H29" i="80"/>
  <c r="AH22" i="80"/>
  <c r="AA40" i="80"/>
  <c r="F66" i="80"/>
  <c r="O31" i="80"/>
  <c r="AG69" i="80"/>
  <c r="U45" i="80"/>
  <c r="G67" i="80"/>
  <c r="Z59" i="80"/>
  <c r="C11" i="76"/>
  <c r="K49" i="80"/>
  <c r="S65" i="80"/>
  <c r="W26" i="80"/>
  <c r="L62" i="80"/>
  <c r="X8" i="80"/>
  <c r="S46" i="80"/>
  <c r="AA48" i="80"/>
  <c r="Q12" i="76"/>
  <c r="AC15" i="80"/>
  <c r="Q64" i="80"/>
  <c r="S58" i="80"/>
  <c r="F23" i="76"/>
  <c r="X42" i="80"/>
  <c r="M32" i="76"/>
  <c r="I58" i="80"/>
  <c r="AB67" i="80"/>
  <c r="X59" i="80"/>
  <c r="AG51" i="80"/>
  <c r="S26" i="76"/>
  <c r="AG45" i="80"/>
  <c r="AG5" i="80"/>
  <c r="R65" i="80"/>
  <c r="V16" i="80"/>
  <c r="AF10" i="80"/>
  <c r="F67" i="80"/>
  <c r="I12" i="76"/>
  <c r="AD40" i="80"/>
  <c r="N8" i="80"/>
  <c r="D9" i="76"/>
  <c r="G12" i="76"/>
  <c r="J15" i="80"/>
  <c r="AA15" i="80"/>
  <c r="W22" i="80"/>
  <c r="G63" i="80"/>
  <c r="F22" i="80"/>
  <c r="AI58" i="80"/>
  <c r="AE16" i="80"/>
  <c r="Z6" i="80"/>
  <c r="AI15" i="80"/>
  <c r="W13" i="80"/>
  <c r="Y40" i="80"/>
  <c r="AC28" i="80"/>
  <c r="AB11" i="80"/>
  <c r="AG66" i="80"/>
  <c r="K30" i="76"/>
  <c r="T42" i="80"/>
  <c r="V67" i="80"/>
  <c r="Y50" i="80"/>
  <c r="M24" i="80"/>
  <c r="D8" i="76"/>
  <c r="N58" i="80"/>
  <c r="AG12" i="80"/>
  <c r="AH42" i="80"/>
  <c r="AH28" i="80"/>
  <c r="F14" i="80"/>
  <c r="K41" i="80"/>
  <c r="M27" i="76"/>
  <c r="Z26" i="80"/>
  <c r="AC58" i="80"/>
  <c r="AI59" i="80"/>
  <c r="P9" i="80"/>
  <c r="I40" i="80"/>
  <c r="AF5" i="80"/>
  <c r="Y13" i="80"/>
  <c r="H15" i="76"/>
  <c r="F27" i="76"/>
  <c r="K31" i="80"/>
  <c r="AF68" i="80"/>
  <c r="J48" i="80"/>
  <c r="Y45" i="80"/>
  <c r="AE10" i="80"/>
  <c r="Q47" i="80"/>
  <c r="Z32" i="80"/>
  <c r="N24" i="76"/>
  <c r="Y26" i="80"/>
  <c r="AH9" i="80"/>
  <c r="M13" i="80"/>
  <c r="AC40" i="80"/>
  <c r="K25" i="80"/>
  <c r="AB32" i="80"/>
  <c r="G33" i="80"/>
  <c r="AE50" i="80"/>
  <c r="T27" i="80"/>
  <c r="D27" i="76"/>
  <c r="AF49" i="80"/>
  <c r="L8" i="80"/>
  <c r="Q32" i="80"/>
  <c r="Z42" i="80"/>
  <c r="Y61" i="80"/>
  <c r="H28" i="80"/>
  <c r="Z69" i="80"/>
  <c r="K51" i="80"/>
  <c r="T13" i="80"/>
  <c r="AB42" i="80"/>
  <c r="AF13" i="80"/>
  <c r="AB45" i="80"/>
  <c r="F43" i="80"/>
  <c r="M67" i="80"/>
  <c r="AI6" i="80"/>
  <c r="P58" i="80"/>
  <c r="AE28" i="80"/>
  <c r="Q61" i="80"/>
  <c r="AI11" i="80"/>
  <c r="E12" i="76"/>
  <c r="O51" i="80"/>
  <c r="AH48" i="80"/>
  <c r="T10" i="80"/>
  <c r="N50" i="80"/>
  <c r="H10" i="80"/>
  <c r="U41" i="80"/>
  <c r="U68" i="80"/>
  <c r="G16" i="80"/>
  <c r="K13" i="76"/>
  <c r="M9" i="80"/>
  <c r="Z15" i="80"/>
  <c r="L14" i="80"/>
  <c r="AE65" i="80"/>
  <c r="K6" i="80"/>
  <c r="G8" i="80"/>
  <c r="N44" i="80"/>
  <c r="J60" i="80"/>
  <c r="V41" i="80"/>
  <c r="AI7" i="80"/>
  <c r="J13" i="76"/>
  <c r="K26" i="80"/>
  <c r="I13" i="80"/>
  <c r="Z27" i="80"/>
  <c r="J9" i="76"/>
  <c r="AE25" i="80"/>
  <c r="AG58" i="80"/>
  <c r="T5" i="80"/>
  <c r="L29" i="76"/>
  <c r="M11" i="80"/>
  <c r="X51" i="80"/>
  <c r="P65" i="80"/>
  <c r="H15" i="80"/>
  <c r="W45" i="80"/>
  <c r="M22" i="80"/>
  <c r="V63" i="80"/>
  <c r="H14" i="80"/>
  <c r="AH45" i="80"/>
  <c r="Q58" i="80"/>
  <c r="AH29" i="80"/>
  <c r="AE48" i="80"/>
  <c r="AB48" i="80"/>
  <c r="AA10" i="80"/>
  <c r="AF41" i="80"/>
  <c r="O15" i="80"/>
  <c r="J47" i="80"/>
  <c r="AB46" i="80"/>
  <c r="P26" i="80"/>
  <c r="S15" i="76"/>
  <c r="AI66" i="80"/>
  <c r="I63" i="80"/>
  <c r="AA44" i="80"/>
  <c r="O47" i="80"/>
  <c r="AG62" i="80"/>
  <c r="L65" i="80"/>
  <c r="AC59" i="80"/>
  <c r="W44" i="80"/>
  <c r="AH47" i="80"/>
  <c r="G43" i="80"/>
  <c r="AE23" i="80"/>
  <c r="T9" i="76"/>
  <c r="Y15" i="80"/>
  <c r="AB10" i="80"/>
  <c r="W11" i="80"/>
  <c r="I68" i="80"/>
  <c r="AH33" i="80"/>
  <c r="N29" i="76"/>
  <c r="T28" i="80"/>
  <c r="W68" i="80"/>
  <c r="T50" i="80"/>
  <c r="K46" i="80"/>
  <c r="G29" i="80"/>
  <c r="T13" i="76"/>
  <c r="L49" i="80"/>
  <c r="AB47" i="80"/>
  <c r="AA63" i="80"/>
  <c r="J7" i="76"/>
  <c r="J50" i="80"/>
  <c r="AE66" i="80"/>
  <c r="W9" i="80"/>
  <c r="AB23" i="80"/>
  <c r="T16" i="80"/>
  <c r="V51" i="80"/>
  <c r="T12" i="76"/>
  <c r="AE30" i="80"/>
  <c r="H16" i="80"/>
  <c r="Y64" i="80"/>
  <c r="AI25" i="80"/>
  <c r="AE7" i="80"/>
  <c r="W6" i="80"/>
  <c r="G6" i="80"/>
  <c r="J10" i="76"/>
  <c r="S50" i="80"/>
  <c r="I32" i="76"/>
  <c r="AD43" i="80"/>
  <c r="K25" i="76"/>
  <c r="N48" i="80"/>
  <c r="S13" i="76"/>
  <c r="R28" i="80"/>
  <c r="Y48" i="80"/>
  <c r="D24" i="76"/>
  <c r="T24" i="80"/>
  <c r="H13" i="80"/>
  <c r="Q42" i="80"/>
  <c r="AC62" i="80"/>
  <c r="R25" i="80"/>
  <c r="AE42" i="80"/>
  <c r="W48" i="80"/>
  <c r="N27" i="80"/>
  <c r="Q10" i="76"/>
  <c r="I66" i="80"/>
  <c r="AB50" i="80"/>
  <c r="I12" i="80"/>
  <c r="AA59" i="80"/>
  <c r="F12" i="80"/>
  <c r="AG33" i="80"/>
  <c r="AD46" i="80"/>
  <c r="Y12" i="80"/>
  <c r="S26" i="80"/>
  <c r="K9" i="80"/>
  <c r="G9" i="76"/>
  <c r="AA24" i="80"/>
  <c r="G28" i="80"/>
  <c r="Y58" i="80"/>
  <c r="AC43" i="80"/>
  <c r="C27" i="76"/>
  <c r="G26" i="76"/>
  <c r="AC46" i="80"/>
  <c r="AA61" i="80"/>
  <c r="D10" i="76"/>
  <c r="AE24" i="80"/>
  <c r="I32" i="80"/>
  <c r="I43" i="80"/>
  <c r="K61" i="80"/>
  <c r="AA8" i="80"/>
  <c r="P51" i="80"/>
  <c r="Q6" i="80"/>
  <c r="G68" i="80"/>
  <c r="I10" i="76"/>
  <c r="F29" i="76"/>
  <c r="R58" i="80"/>
  <c r="S8" i="76"/>
  <c r="AH40" i="80"/>
  <c r="AD60" i="80"/>
  <c r="U10" i="80"/>
  <c r="U6" i="80"/>
  <c r="AD68" i="80"/>
  <c r="AD42" i="80"/>
  <c r="E9" i="76"/>
  <c r="AI13" i="80"/>
  <c r="AD8" i="80"/>
  <c r="E7" i="76"/>
  <c r="G65" i="80"/>
  <c r="R28" i="76"/>
  <c r="AE62" i="80"/>
  <c r="O24" i="76"/>
  <c r="C9" i="76"/>
  <c r="L9" i="80"/>
  <c r="O27" i="80"/>
  <c r="R12" i="80"/>
  <c r="L12" i="76"/>
  <c r="R50" i="80"/>
  <c r="Q40" i="80"/>
  <c r="C12" i="76"/>
  <c r="N12" i="80"/>
  <c r="F50" i="80"/>
  <c r="R47" i="80"/>
  <c r="AC63" i="80"/>
  <c r="AG40" i="80"/>
  <c r="Q33" i="80"/>
  <c r="AF11" i="80"/>
  <c r="P61" i="80"/>
  <c r="U67" i="80"/>
  <c r="P59" i="80"/>
  <c r="V8" i="80"/>
  <c r="S30" i="76"/>
  <c r="N30" i="80"/>
  <c r="P64" i="80"/>
  <c r="AD48" i="80"/>
  <c r="P66" i="80"/>
  <c r="T66" i="80"/>
  <c r="Z8" i="80"/>
  <c r="H32" i="80"/>
  <c r="E32" i="80" l="1"/>
  <c r="AG52" i="80"/>
  <c r="C50" i="80"/>
  <c r="Q52" i="80"/>
  <c r="D65" i="80"/>
  <c r="AH52" i="80"/>
  <c r="R70" i="80"/>
  <c r="D68" i="80"/>
  <c r="Y70" i="80"/>
  <c r="D28" i="80"/>
  <c r="C12" i="80"/>
  <c r="E13" i="80"/>
  <c r="D6" i="80"/>
  <c r="E16" i="80"/>
  <c r="D29" i="80"/>
  <c r="D43" i="80"/>
  <c r="Q70" i="80"/>
  <c r="E14" i="80"/>
  <c r="M34" i="80"/>
  <c r="E15" i="80"/>
  <c r="D11" i="80"/>
  <c r="T17" i="80"/>
  <c r="AG70" i="80"/>
  <c r="D8" i="80"/>
  <c r="D16" i="80"/>
  <c r="E10" i="80"/>
  <c r="P70" i="80"/>
  <c r="C43" i="80"/>
  <c r="E28" i="80"/>
  <c r="D33" i="80"/>
  <c r="AC52" i="80"/>
  <c r="AF17" i="80"/>
  <c r="I52" i="80"/>
  <c r="AC70" i="80"/>
  <c r="C14" i="80"/>
  <c r="N70" i="80"/>
  <c r="Y52" i="80"/>
  <c r="AI70" i="80"/>
  <c r="F34" i="80"/>
  <c r="C22" i="80"/>
  <c r="D63" i="80"/>
  <c r="W34" i="80"/>
  <c r="AD52" i="80"/>
  <c r="C67" i="80"/>
  <c r="AG17" i="80"/>
  <c r="I70" i="80"/>
  <c r="F33" i="76"/>
  <c r="S70" i="80"/>
  <c r="D67" i="80"/>
  <c r="C66" i="80"/>
  <c r="AA52" i="80"/>
  <c r="AH34" i="80"/>
  <c r="E29" i="80"/>
  <c r="D58" i="80"/>
  <c r="G70" i="80"/>
  <c r="Q33" i="76"/>
  <c r="E33" i="80"/>
  <c r="C63" i="80"/>
  <c r="V17" i="80"/>
  <c r="N17" i="80"/>
  <c r="L70" i="80"/>
  <c r="J33" i="76"/>
  <c r="D47" i="80"/>
  <c r="E51" i="80"/>
  <c r="E5" i="80"/>
  <c r="H17" i="80"/>
  <c r="AI34" i="80"/>
  <c r="K52" i="80"/>
  <c r="H52" i="80"/>
  <c r="E40" i="80"/>
  <c r="C6" i="80"/>
  <c r="F70" i="80"/>
  <c r="C58" i="80"/>
  <c r="P34" i="80"/>
  <c r="T34" i="80"/>
  <c r="AH17" i="80"/>
  <c r="U34" i="80"/>
  <c r="E31" i="80"/>
  <c r="L17" i="80"/>
  <c r="E67" i="80"/>
  <c r="T52" i="80"/>
  <c r="L33" i="76"/>
  <c r="L16" i="76"/>
  <c r="C62" i="80"/>
  <c r="AF34" i="80"/>
  <c r="C9" i="80"/>
  <c r="C46" i="80"/>
  <c r="X52" i="80"/>
  <c r="E6" i="80"/>
  <c r="N16" i="76"/>
  <c r="AA70" i="80"/>
  <c r="E63" i="80"/>
  <c r="P17" i="80"/>
  <c r="Q16" i="76"/>
  <c r="M16" i="76"/>
  <c r="O52" i="80"/>
  <c r="V34" i="80"/>
  <c r="H16" i="76"/>
  <c r="C10" i="80"/>
  <c r="AD70" i="80"/>
  <c r="E23" i="80"/>
  <c r="E11" i="80"/>
  <c r="S34" i="80"/>
  <c r="J34" i="80"/>
  <c r="S16" i="76"/>
  <c r="AE34" i="80"/>
  <c r="C29" i="80"/>
  <c r="C11" i="80"/>
  <c r="L52" i="80"/>
  <c r="E68" i="80"/>
  <c r="R16" i="76"/>
  <c r="D9" i="80"/>
  <c r="S33" i="76"/>
  <c r="D44" i="80"/>
  <c r="C23" i="80"/>
  <c r="E16" i="76"/>
  <c r="W70" i="80"/>
  <c r="C24" i="80"/>
  <c r="J52" i="80"/>
  <c r="P16" i="76"/>
  <c r="Z70" i="80"/>
  <c r="K17" i="80"/>
  <c r="E61" i="80"/>
  <c r="AB52" i="80"/>
  <c r="C31" i="80"/>
  <c r="X17" i="80"/>
  <c r="I33" i="76"/>
  <c r="D25" i="80"/>
  <c r="G34" i="80"/>
  <c r="D22" i="80"/>
  <c r="C33" i="80"/>
  <c r="T70" i="80"/>
  <c r="AB17" i="80"/>
  <c r="E46" i="80"/>
  <c r="E27" i="80"/>
  <c r="R33" i="76"/>
  <c r="AE17" i="80"/>
  <c r="E9" i="80"/>
  <c r="C32" i="80"/>
  <c r="C28" i="80"/>
  <c r="E50" i="80"/>
  <c r="Q34" i="80"/>
  <c r="K16" i="76"/>
  <c r="AA34" i="80"/>
  <c r="M33" i="76"/>
  <c r="E64" i="80"/>
  <c r="C45" i="80"/>
  <c r="N33" i="76"/>
  <c r="E30" i="80"/>
  <c r="R17" i="80"/>
  <c r="K33" i="76"/>
  <c r="Y17" i="80"/>
  <c r="E66" i="80"/>
  <c r="C59" i="80"/>
  <c r="C16" i="80"/>
  <c r="K70" i="80"/>
  <c r="G52" i="80"/>
  <c r="D40" i="80"/>
  <c r="Z52" i="80"/>
  <c r="S17" i="80"/>
  <c r="H33" i="76"/>
  <c r="C25" i="80"/>
  <c r="C47" i="80"/>
  <c r="O16" i="76"/>
  <c r="D16" i="76"/>
  <c r="D48" i="80"/>
  <c r="K34" i="80"/>
  <c r="E12" i="80"/>
  <c r="D27" i="80"/>
  <c r="D42" i="80"/>
  <c r="T16" i="76"/>
  <c r="O34" i="80"/>
  <c r="C16" i="76"/>
  <c r="C51" i="80"/>
  <c r="AD17" i="80"/>
  <c r="T33" i="76"/>
  <c r="E24" i="80"/>
  <c r="D46" i="80"/>
  <c r="AH70" i="80"/>
  <c r="D59" i="80"/>
  <c r="M70" i="80"/>
  <c r="E42" i="80"/>
  <c r="E25" i="80"/>
  <c r="AC34" i="80"/>
  <c r="D49" i="80"/>
  <c r="Z17" i="80"/>
  <c r="D24" i="80"/>
  <c r="AC17" i="80"/>
  <c r="O33" i="76"/>
  <c r="C49" i="80"/>
  <c r="E41" i="80"/>
  <c r="D69" i="80"/>
  <c r="D14" i="80"/>
  <c r="Z34" i="80"/>
  <c r="U17" i="80"/>
  <c r="D61" i="80"/>
  <c r="C15" i="80"/>
  <c r="D12" i="80"/>
  <c r="E45" i="80"/>
  <c r="E43" i="80"/>
  <c r="P52" i="80"/>
  <c r="D41" i="80"/>
  <c r="AB70" i="80"/>
  <c r="C26" i="80"/>
  <c r="C13" i="80"/>
  <c r="D30" i="80"/>
  <c r="I17" i="80"/>
  <c r="Q17" i="80"/>
  <c r="D10" i="80"/>
  <c r="C5" i="80"/>
  <c r="F17" i="80"/>
  <c r="P33" i="76"/>
  <c r="C30" i="80"/>
  <c r="I16" i="76"/>
  <c r="AI52" i="80"/>
  <c r="D26" i="80"/>
  <c r="C48" i="80"/>
  <c r="G33" i="76"/>
  <c r="D62" i="80"/>
  <c r="O17" i="80"/>
  <c r="C41" i="80"/>
  <c r="AA17" i="80"/>
  <c r="C64" i="80"/>
  <c r="C44" i="80"/>
  <c r="AG34" i="80"/>
  <c r="N52" i="80"/>
  <c r="C33" i="76"/>
  <c r="D33" i="76"/>
  <c r="D64" i="80"/>
  <c r="J70" i="80"/>
  <c r="D7" i="80"/>
  <c r="E49" i="80"/>
  <c r="F16" i="76"/>
  <c r="M17" i="80"/>
  <c r="W52" i="80"/>
  <c r="C61" i="80"/>
  <c r="U70" i="80"/>
  <c r="G16" i="76"/>
  <c r="D50" i="80"/>
  <c r="F52" i="80"/>
  <c r="C40" i="80"/>
  <c r="J17" i="80"/>
  <c r="E59" i="80"/>
  <c r="E69" i="80"/>
  <c r="E47" i="80"/>
  <c r="L34" i="80"/>
  <c r="G17" i="80"/>
  <c r="D5" i="80"/>
  <c r="D51" i="80"/>
  <c r="Y34" i="80"/>
  <c r="J16" i="76"/>
  <c r="O70" i="80"/>
  <c r="C60" i="80"/>
  <c r="D13" i="80"/>
  <c r="E62" i="80"/>
  <c r="R52" i="80"/>
  <c r="V52" i="80"/>
  <c r="M52" i="80"/>
  <c r="U52" i="80"/>
  <c r="C69" i="80"/>
  <c r="E58" i="80"/>
  <c r="H70" i="80"/>
  <c r="C27" i="80"/>
  <c r="AE70" i="80"/>
  <c r="X34" i="80"/>
  <c r="C65" i="80"/>
  <c r="E33" i="76"/>
  <c r="D32" i="80"/>
  <c r="E60" i="80"/>
  <c r="AF52" i="80"/>
  <c r="R34" i="80"/>
  <c r="AI17" i="80"/>
  <c r="W17" i="80"/>
  <c r="I34" i="80"/>
  <c r="C68" i="80"/>
  <c r="E8" i="80"/>
  <c r="D66" i="80"/>
  <c r="S52" i="80"/>
  <c r="C7" i="80"/>
  <c r="D15" i="80"/>
  <c r="D23" i="80"/>
  <c r="AB34" i="80"/>
  <c r="H34" i="80"/>
  <c r="E22" i="80"/>
  <c r="E44" i="80"/>
  <c r="C8" i="80"/>
  <c r="E48" i="80"/>
  <c r="E65" i="80"/>
  <c r="D31" i="80"/>
  <c r="D45" i="80"/>
  <c r="D60" i="80"/>
  <c r="N34" i="80"/>
  <c r="AE52" i="80"/>
  <c r="AF70" i="80"/>
  <c r="X70" i="80"/>
  <c r="E26" i="80"/>
  <c r="AD34" i="80"/>
  <c r="C42" i="80"/>
  <c r="E7" i="80"/>
  <c r="V70" i="80"/>
  <c r="C17" i="80" l="1"/>
  <c r="F17" i="76"/>
  <c r="C34" i="76"/>
  <c r="L17" i="76"/>
  <c r="F34" i="76"/>
  <c r="I17" i="76"/>
  <c r="D34" i="80"/>
  <c r="L34" i="76"/>
  <c r="E52" i="80"/>
  <c r="E70" i="80"/>
  <c r="O34" i="76"/>
  <c r="O17" i="76"/>
  <c r="E34" i="80"/>
  <c r="D17" i="80"/>
  <c r="I34" i="76"/>
  <c r="D70" i="80"/>
  <c r="E17" i="80"/>
  <c r="C17" i="76"/>
  <c r="R34" i="76"/>
  <c r="C34" i="80"/>
  <c r="R17" i="76"/>
  <c r="D52" i="80"/>
  <c r="C52" i="80"/>
  <c r="C70" i="80"/>
  <c r="C37" i="7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9" authorId="0" shapeId="0" xr:uid="{00000000-0006-0000-0500-000001000000}">
      <text>
        <r>
          <rPr>
            <b/>
            <sz val="16"/>
            <color indexed="81"/>
            <rFont val="돋움"/>
            <family val="3"/>
            <charset val="129"/>
          </rPr>
          <t>ㆍ★계약용량</t>
        </r>
        <r>
          <rPr>
            <b/>
            <sz val="16"/>
            <color indexed="81"/>
            <rFont val="Tahoma"/>
            <family val="2"/>
          </rPr>
          <t xml:space="preserve">, </t>
        </r>
        <r>
          <rPr>
            <b/>
            <sz val="16"/>
            <color indexed="81"/>
            <rFont val="돋움"/>
            <family val="3"/>
            <charset val="129"/>
          </rPr>
          <t>건수는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협력하도</t>
        </r>
        <r>
          <rPr>
            <b/>
            <sz val="16"/>
            <color indexed="81"/>
            <rFont val="Tahoma"/>
            <family val="2"/>
          </rPr>
          <t xml:space="preserve"> AA </t>
        </r>
        <r>
          <rPr>
            <b/>
            <sz val="16"/>
            <color indexed="81"/>
            <rFont val="돋움"/>
            <family val="3"/>
            <charset val="129"/>
          </rPr>
          <t>제외
ㆍ계약금액은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협력하도</t>
        </r>
        <r>
          <rPr>
            <b/>
            <sz val="16"/>
            <color indexed="81"/>
            <rFont val="Tahoma"/>
            <family val="2"/>
          </rPr>
          <t>AA</t>
        </r>
        <r>
          <rPr>
            <b/>
            <sz val="16"/>
            <color indexed="81"/>
            <rFont val="돋움"/>
            <family val="3"/>
            <charset val="129"/>
          </rPr>
          <t>도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<sst xmlns="http://schemas.openxmlformats.org/spreadsheetml/2006/main" count="7299" uniqueCount="2304">
  <si>
    <t>NO.</t>
    <phoneticPr fontId="5" type="noConversion"/>
  </si>
  <si>
    <t>계약일</t>
    <phoneticPr fontId="5" type="noConversion"/>
  </si>
  <si>
    <t>계약용량
(kWp)</t>
    <phoneticPr fontId="5" type="noConversion"/>
  </si>
  <si>
    <t>합계</t>
    <phoneticPr fontId="5" type="noConversion"/>
  </si>
  <si>
    <t>공사금액
(부가세포함)</t>
    <phoneticPr fontId="5" type="noConversion"/>
  </si>
  <si>
    <t>시공사</t>
    <phoneticPr fontId="5" type="noConversion"/>
  </si>
  <si>
    <t>항목</t>
    <phoneticPr fontId="5" type="noConversion"/>
  </si>
  <si>
    <t>1 월</t>
    <phoneticPr fontId="5" type="noConversion"/>
  </si>
  <si>
    <t>2월</t>
    <phoneticPr fontId="5" type="noConversion"/>
  </si>
  <si>
    <t>3월</t>
    <phoneticPr fontId="5" type="noConversion"/>
  </si>
  <si>
    <t>4월</t>
    <phoneticPr fontId="5" type="noConversion"/>
  </si>
  <si>
    <t>5월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</si>
  <si>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</si>
  <si>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</si>
  <si>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</si>
  <si>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</si>
  <si>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</si>
  <si>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11월</t>
    <phoneticPr fontId="5" type="noConversion"/>
  </si>
  <si>
    <t>12월</t>
    <phoneticPr fontId="5" type="noConversion"/>
  </si>
  <si>
    <t>계약건수(ea)</t>
    <phoneticPr fontId="5" type="noConversion"/>
  </si>
  <si>
    <t>공사금액
(부가세제외)</t>
    <phoneticPr fontId="5" type="noConversion"/>
  </si>
  <si>
    <t>주</t>
    <phoneticPr fontId="5" type="noConversion"/>
  </si>
  <si>
    <t>월</t>
    <phoneticPr fontId="5" type="noConversion"/>
  </si>
  <si>
    <t>계약용량</t>
    <phoneticPr fontId="5" type="noConversion"/>
  </si>
  <si>
    <t>계약건수</t>
    <phoneticPr fontId="5" type="noConversion"/>
  </si>
  <si>
    <t>공사금액
(부가세포함)</t>
    <phoneticPr fontId="5" type="noConversion"/>
  </si>
  <si>
    <t>담당자</t>
    <phoneticPr fontId="5" type="noConversion"/>
  </si>
  <si>
    <t>설치장소</t>
    <phoneticPr fontId="5" type="noConversion"/>
  </si>
  <si>
    <t>발전소명</t>
    <phoneticPr fontId="5" type="noConversion"/>
  </si>
  <si>
    <t>컨설팅</t>
    <phoneticPr fontId="5" type="noConversion"/>
  </si>
  <si>
    <t>박도훈</t>
    <phoneticPr fontId="5" type="noConversion"/>
  </si>
  <si>
    <t>조성현</t>
    <phoneticPr fontId="5" type="noConversion"/>
  </si>
  <si>
    <t>최창민</t>
    <phoneticPr fontId="5" type="noConversion"/>
  </si>
  <si>
    <t>1월 계약내용</t>
    <phoneticPr fontId="5" type="noConversion"/>
  </si>
  <si>
    <t>계약금액(억)</t>
    <phoneticPr fontId="5" type="noConversion"/>
  </si>
  <si>
    <t>계약금액</t>
    <phoneticPr fontId="5" type="noConversion"/>
  </si>
  <si>
    <t>전체합계</t>
    <phoneticPr fontId="5" type="noConversion"/>
  </si>
  <si>
    <t>유입경로 자세히</t>
    <phoneticPr fontId="5" type="noConversion"/>
  </si>
  <si>
    <t>상담번호</t>
    <phoneticPr fontId="5" type="noConversion"/>
  </si>
  <si>
    <t>1월</t>
    <phoneticPr fontId="5" type="noConversion"/>
  </si>
  <si>
    <t>계약용량(kW)</t>
    <phoneticPr fontId="5" type="noConversion"/>
  </si>
  <si>
    <t>9월</t>
  </si>
  <si>
    <t>10월</t>
  </si>
  <si>
    <t>11월</t>
  </si>
  <si>
    <t>EPC</t>
    <phoneticPr fontId="5" type="noConversion"/>
  </si>
  <si>
    <t>프로젝트(G)</t>
  </si>
  <si>
    <t>기타(Z)</t>
  </si>
  <si>
    <t>금~목요일 기준으로 카운트</t>
    <phoneticPr fontId="5" type="noConversion"/>
  </si>
  <si>
    <t>실제</t>
    <phoneticPr fontId="5" type="noConversion"/>
  </si>
  <si>
    <t>12월</t>
  </si>
  <si>
    <t>공사금액
억단위
(부가세제외)</t>
    <phoneticPr fontId="5" type="noConversion"/>
  </si>
  <si>
    <t>누계 용량</t>
    <phoneticPr fontId="5" type="noConversion"/>
  </si>
  <si>
    <t>누계 금액</t>
    <phoneticPr fontId="5" type="noConversion"/>
  </si>
  <si>
    <t>박지훈</t>
    <phoneticPr fontId="5" type="noConversion"/>
  </si>
  <si>
    <t>유입</t>
    <phoneticPr fontId="5" type="noConversion"/>
  </si>
  <si>
    <t>남형석</t>
    <phoneticPr fontId="5" type="noConversion"/>
  </si>
  <si>
    <t>용량</t>
    <phoneticPr fontId="5" type="noConversion"/>
  </si>
  <si>
    <t>금액</t>
    <phoneticPr fontId="5" type="noConversion"/>
  </si>
  <si>
    <t>건수</t>
    <phoneticPr fontId="5" type="noConversion"/>
  </si>
  <si>
    <t>이가혜</t>
    <phoneticPr fontId="5" type="noConversion"/>
  </si>
  <si>
    <t>김종식</t>
    <phoneticPr fontId="5" type="noConversion"/>
  </si>
  <si>
    <t>3~9</t>
    <phoneticPr fontId="5" type="noConversion"/>
  </si>
  <si>
    <t>10~16</t>
    <phoneticPr fontId="5" type="noConversion"/>
  </si>
  <si>
    <t>17~23</t>
    <phoneticPr fontId="5" type="noConversion"/>
  </si>
  <si>
    <t>24~30</t>
    <phoneticPr fontId="5" type="noConversion"/>
  </si>
  <si>
    <t>7~13</t>
    <phoneticPr fontId="5" type="noConversion"/>
  </si>
  <si>
    <t>14~20</t>
    <phoneticPr fontId="5" type="noConversion"/>
  </si>
  <si>
    <t>21~27</t>
    <phoneticPr fontId="5" type="noConversion"/>
  </si>
  <si>
    <t>4~10</t>
    <phoneticPr fontId="5" type="noConversion"/>
  </si>
  <si>
    <t>11~17</t>
    <phoneticPr fontId="5" type="noConversion"/>
  </si>
  <si>
    <t>18~24</t>
    <phoneticPr fontId="5" type="noConversion"/>
  </si>
  <si>
    <t>정민영</t>
    <phoneticPr fontId="5" type="noConversion"/>
  </si>
  <si>
    <t>진으뜸</t>
  </si>
  <si>
    <t>24.12.19</t>
    <phoneticPr fontId="5" type="noConversion"/>
  </si>
  <si>
    <t>24.12.26</t>
    <phoneticPr fontId="5" type="noConversion"/>
  </si>
  <si>
    <t>김동호</t>
    <phoneticPr fontId="5" type="noConversion"/>
  </si>
  <si>
    <t>조성현</t>
    <phoneticPr fontId="5" type="noConversion"/>
  </si>
  <si>
    <t>포유글로벌</t>
    <phoneticPr fontId="5" type="noConversion"/>
  </si>
  <si>
    <t>크로시스</t>
    <phoneticPr fontId="5" type="noConversion"/>
  </si>
  <si>
    <t>신일이에프에스</t>
    <phoneticPr fontId="5" type="noConversion"/>
  </si>
  <si>
    <t>울산 울주군 웅촌면 고연로 85</t>
    <phoneticPr fontId="5" type="noConversion"/>
  </si>
  <si>
    <t>(주)그랜드썬기술단</t>
  </si>
  <si>
    <t>09-0601</t>
    <phoneticPr fontId="5" type="noConversion"/>
  </si>
  <si>
    <t>11-0702</t>
    <phoneticPr fontId="5" type="noConversion"/>
  </si>
  <si>
    <t>08-1304</t>
    <phoneticPr fontId="5" type="noConversion"/>
  </si>
  <si>
    <t>소개</t>
  </si>
  <si>
    <t>중앙브레인</t>
    <phoneticPr fontId="5" type="noConversion"/>
  </si>
  <si>
    <t>산마루,우전</t>
    <phoneticPr fontId="5" type="noConversion"/>
  </si>
  <si>
    <t>네오플러스</t>
    <phoneticPr fontId="5" type="noConversion"/>
  </si>
  <si>
    <t>2025년도 계약현황</t>
    <phoneticPr fontId="5" type="noConversion"/>
  </si>
  <si>
    <t>유입유형</t>
    <phoneticPr fontId="5" type="noConversion"/>
  </si>
  <si>
    <t>설치유형</t>
    <phoneticPr fontId="5" type="noConversion"/>
  </si>
  <si>
    <t>번호</t>
    <phoneticPr fontId="5" type="noConversion"/>
  </si>
  <si>
    <t>발전사업(A)</t>
  </si>
  <si>
    <t>자가소비(B)</t>
  </si>
  <si>
    <t>PPA 사업(C)</t>
  </si>
  <si>
    <t>리스사업(D)</t>
  </si>
  <si>
    <t>임대사업 (E)</t>
  </si>
  <si>
    <t>환경부사업(F)</t>
  </si>
  <si>
    <t>협력사 EPC(H)</t>
  </si>
  <si>
    <t>협력사 하도(I)</t>
  </si>
  <si>
    <t>외주(나)</t>
    <phoneticPr fontId="5" type="noConversion"/>
  </si>
  <si>
    <t>직영(가)</t>
    <phoneticPr fontId="5" type="noConversion"/>
  </si>
  <si>
    <t>입찰(다)</t>
    <phoneticPr fontId="5" type="noConversion"/>
  </si>
  <si>
    <t>검토(라)</t>
    <phoneticPr fontId="5" type="noConversion"/>
  </si>
  <si>
    <t>12/27~1/2</t>
    <phoneticPr fontId="5" type="noConversion"/>
  </si>
  <si>
    <t>1/31~6</t>
    <phoneticPr fontId="5" type="noConversion"/>
  </si>
  <si>
    <t>2/8~3-6</t>
    <phoneticPr fontId="5" type="noConversion"/>
  </si>
  <si>
    <t>3/28~3</t>
    <phoneticPr fontId="5" type="noConversion"/>
  </si>
  <si>
    <t>25~5/1</t>
    <phoneticPr fontId="5" type="noConversion"/>
  </si>
  <si>
    <t>2~8</t>
    <phoneticPr fontId="5" type="noConversion"/>
  </si>
  <si>
    <t>9~15</t>
    <phoneticPr fontId="5" type="noConversion"/>
  </si>
  <si>
    <t>16~22</t>
    <phoneticPr fontId="5" type="noConversion"/>
  </si>
  <si>
    <t>23~29</t>
    <phoneticPr fontId="5" type="noConversion"/>
  </si>
  <si>
    <t>5/30~5</t>
    <phoneticPr fontId="5" type="noConversion"/>
  </si>
  <si>
    <t>6~12</t>
    <phoneticPr fontId="5" type="noConversion"/>
  </si>
  <si>
    <t>13~19</t>
    <phoneticPr fontId="5" type="noConversion"/>
  </si>
  <si>
    <t>20~26</t>
    <phoneticPr fontId="5" type="noConversion"/>
  </si>
  <si>
    <t>6/27~3</t>
    <phoneticPr fontId="5" type="noConversion"/>
  </si>
  <si>
    <t>25~31</t>
    <phoneticPr fontId="5" type="noConversion"/>
  </si>
  <si>
    <t>1~7</t>
    <phoneticPr fontId="5" type="noConversion"/>
  </si>
  <si>
    <t>8~14</t>
    <phoneticPr fontId="5" type="noConversion"/>
  </si>
  <si>
    <t>15~21</t>
    <phoneticPr fontId="5" type="noConversion"/>
  </si>
  <si>
    <t>22~28</t>
    <phoneticPr fontId="5" type="noConversion"/>
  </si>
  <si>
    <t>8/29~4</t>
    <phoneticPr fontId="5" type="noConversion"/>
  </si>
  <si>
    <t>5~11</t>
    <phoneticPr fontId="5" type="noConversion"/>
  </si>
  <si>
    <t>12~18</t>
    <phoneticPr fontId="5" type="noConversion"/>
  </si>
  <si>
    <t>19~25</t>
    <phoneticPr fontId="5" type="noConversion"/>
  </si>
  <si>
    <t>9/26~2</t>
    <phoneticPr fontId="5" type="noConversion"/>
  </si>
  <si>
    <t>10/31~6</t>
    <phoneticPr fontId="5" type="noConversion"/>
  </si>
  <si>
    <t>11/28~4</t>
    <phoneticPr fontId="5" type="noConversion"/>
  </si>
  <si>
    <t>26~1/1</t>
    <phoneticPr fontId="5" type="noConversion"/>
  </si>
  <si>
    <t>날짜</t>
    <phoneticPr fontId="5" type="noConversion"/>
  </si>
  <si>
    <t>전체
계약용량</t>
    <phoneticPr fontId="5" type="noConversion"/>
  </si>
  <si>
    <t>전체
계약건수</t>
    <phoneticPr fontId="5" type="noConversion"/>
  </si>
  <si>
    <t>전체 계약금액
(억단위) 
vat별도</t>
    <phoneticPr fontId="5" type="noConversion"/>
  </si>
  <si>
    <t>직영(가)</t>
  </si>
  <si>
    <t>외주(나)</t>
  </si>
  <si>
    <t>협력하도(I) 제외</t>
    <phoneticPr fontId="5" type="noConversion"/>
  </si>
  <si>
    <t>협력하도(I) 포함</t>
    <phoneticPr fontId="5" type="noConversion"/>
  </si>
  <si>
    <t>기존시설물(A)</t>
  </si>
  <si>
    <t>001</t>
    <phoneticPr fontId="5" type="noConversion"/>
  </si>
  <si>
    <t>김정민</t>
    <phoneticPr fontId="5" type="noConversion"/>
  </si>
  <si>
    <t>그랜드썬 27 태영산업</t>
    <phoneticPr fontId="5" type="noConversion"/>
  </si>
  <si>
    <t>경남 김해시 한림면 안하로 96</t>
    <phoneticPr fontId="5" type="noConversion"/>
  </si>
  <si>
    <t>G06-0409</t>
    <phoneticPr fontId="5" type="noConversion"/>
  </si>
  <si>
    <t>002</t>
    <phoneticPr fontId="5" type="noConversion"/>
  </si>
  <si>
    <t>003</t>
    <phoneticPr fontId="5" type="noConversion"/>
  </si>
  <si>
    <t>문의 건</t>
    <phoneticPr fontId="5" type="noConversion"/>
  </si>
  <si>
    <t>월/문의건</t>
    <phoneticPr fontId="5" type="noConversion"/>
  </si>
  <si>
    <t>그 외</t>
    <phoneticPr fontId="5" type="noConversion"/>
  </si>
  <si>
    <t>소개</t>
    <phoneticPr fontId="5" type="noConversion"/>
  </si>
  <si>
    <t>비율</t>
    <phoneticPr fontId="5" type="noConversion"/>
  </si>
  <si>
    <t>목표용량(kW)</t>
    <phoneticPr fontId="5" type="noConversion"/>
  </si>
  <si>
    <t>달성률</t>
    <phoneticPr fontId="5" type="noConversion"/>
  </si>
  <si>
    <t>직영</t>
    <phoneticPr fontId="5" type="noConversion"/>
  </si>
  <si>
    <t>입찰</t>
    <phoneticPr fontId="5" type="noConversion"/>
  </si>
  <si>
    <t>외주</t>
    <phoneticPr fontId="5" type="noConversion"/>
  </si>
  <si>
    <t>달성률(%)</t>
    <phoneticPr fontId="5" type="noConversion"/>
  </si>
  <si>
    <t>4월</t>
  </si>
  <si>
    <t>5월</t>
  </si>
  <si>
    <t>6월</t>
  </si>
  <si>
    <t>7월</t>
  </si>
  <si>
    <t>8월</t>
  </si>
  <si>
    <t>목표용량(MW)</t>
    <phoneticPr fontId="5" type="noConversion"/>
  </si>
  <si>
    <t>계약용량(MW)</t>
    <phoneticPr fontId="5" type="noConversion"/>
  </si>
  <si>
    <t>2월 계약내용</t>
    <phoneticPr fontId="5" type="noConversion"/>
  </si>
  <si>
    <t>3월 계약내용</t>
    <phoneticPr fontId="5" type="noConversion"/>
  </si>
  <si>
    <t>4월 계약내용</t>
    <phoneticPr fontId="5" type="noConversion"/>
  </si>
  <si>
    <t>5월 계약내용</t>
    <phoneticPr fontId="5" type="noConversion"/>
  </si>
  <si>
    <t>6월 계약내용</t>
    <phoneticPr fontId="5" type="noConversion"/>
  </si>
  <si>
    <t>7월 계약내용</t>
    <phoneticPr fontId="5" type="noConversion"/>
  </si>
  <si>
    <t>8월 계약내용</t>
    <phoneticPr fontId="5" type="noConversion"/>
  </si>
  <si>
    <t>9월 계약내용</t>
    <phoneticPr fontId="5" type="noConversion"/>
  </si>
  <si>
    <t>10월 계약내용</t>
    <phoneticPr fontId="5" type="noConversion"/>
  </si>
  <si>
    <t>11월 계약내용</t>
    <phoneticPr fontId="5" type="noConversion"/>
  </si>
  <si>
    <t>12월 계약내용</t>
    <phoneticPr fontId="5" type="noConversion"/>
  </si>
  <si>
    <t xml:space="preserve">★★ 월간보고는 무조건 계약일자 기준으로 작성(엑셀파일) </t>
    <phoneticPr fontId="5" type="noConversion"/>
  </si>
  <si>
    <t>★★ 주간보고는 엑셀스프레드 시트 기준으로 작성(한글파일)</t>
    <phoneticPr fontId="5" type="noConversion"/>
  </si>
  <si>
    <t>발전사업(A)</t>
    <phoneticPr fontId="5" type="noConversion"/>
  </si>
  <si>
    <t>자가소비(B)</t>
    <phoneticPr fontId="5" type="noConversion"/>
  </si>
  <si>
    <t>PPA 사업(C)</t>
    <phoneticPr fontId="5" type="noConversion"/>
  </si>
  <si>
    <t>리스사업(D)</t>
    <phoneticPr fontId="5" type="noConversion"/>
  </si>
  <si>
    <t>임대사업(E)</t>
    <phoneticPr fontId="5" type="noConversion"/>
  </si>
  <si>
    <t>환경부사업(F)</t>
    <phoneticPr fontId="5" type="noConversion"/>
  </si>
  <si>
    <t>프로젝트(G)</t>
    <phoneticPr fontId="5" type="noConversion"/>
  </si>
  <si>
    <t>협력사 EPC(H)</t>
    <phoneticPr fontId="5" type="noConversion"/>
  </si>
  <si>
    <t>협력사 하도(I)</t>
    <phoneticPr fontId="5" type="noConversion"/>
  </si>
  <si>
    <t>기타(Z)</t>
    <phoneticPr fontId="5" type="noConversion"/>
  </si>
  <si>
    <t>장광수</t>
    <phoneticPr fontId="5" type="noConversion"/>
  </si>
  <si>
    <t>정규진</t>
    <phoneticPr fontId="5" type="noConversion"/>
  </si>
  <si>
    <t>25년 계약상황</t>
    <phoneticPr fontId="5" type="noConversion"/>
  </si>
  <si>
    <t>25.01.03</t>
    <phoneticPr fontId="5" type="noConversion"/>
  </si>
  <si>
    <t>이태호</t>
    <phoneticPr fontId="5" type="noConversion"/>
  </si>
  <si>
    <t>에이테크</t>
    <phoneticPr fontId="5" type="noConversion"/>
  </si>
  <si>
    <t>충남 아산시 둔포면 아산밸리북로 111-39</t>
    <phoneticPr fontId="5" type="noConversion"/>
  </si>
  <si>
    <t>12-1902</t>
    <phoneticPr fontId="5" type="noConversion"/>
  </si>
  <si>
    <t>그 외</t>
  </si>
  <si>
    <t>외주영업자 전근식</t>
    <phoneticPr fontId="5" type="noConversion"/>
  </si>
  <si>
    <t>총합산</t>
    <phoneticPr fontId="5" type="noConversion"/>
  </si>
  <si>
    <t>004</t>
    <phoneticPr fontId="5" type="noConversion"/>
  </si>
  <si>
    <t>25.01.08</t>
    <phoneticPr fontId="5" type="noConversion"/>
  </si>
  <si>
    <t>부산 강서구 송정동 1629-10,11</t>
    <phoneticPr fontId="5" type="noConversion"/>
  </si>
  <si>
    <t>10-1402</t>
    <phoneticPr fontId="5" type="noConversion"/>
  </si>
  <si>
    <t>25.01.09</t>
    <phoneticPr fontId="5" type="noConversion"/>
  </si>
  <si>
    <t>서강중공업</t>
    <phoneticPr fontId="5" type="noConversion"/>
  </si>
  <si>
    <t>경남 김해시 대동면 대동산단2로 255</t>
    <phoneticPr fontId="5" type="noConversion"/>
  </si>
  <si>
    <t>(주)그랜드썬기술단</t>
    <phoneticPr fontId="5" type="noConversion"/>
  </si>
  <si>
    <t>G10-2903</t>
    <phoneticPr fontId="5" type="noConversion"/>
  </si>
  <si>
    <t>외주영업자 김재철</t>
    <phoneticPr fontId="5" type="noConversion"/>
  </si>
  <si>
    <t>KUMSOO</t>
    <phoneticPr fontId="5" type="noConversion"/>
  </si>
  <si>
    <t>25.01.17</t>
    <phoneticPr fontId="5" type="noConversion"/>
  </si>
  <si>
    <t>삼화제닉스</t>
    <phoneticPr fontId="5" type="noConversion"/>
  </si>
  <si>
    <t>부산 기장군 장안읍 오리산단 5로 28</t>
    <phoneticPr fontId="5" type="noConversion"/>
  </si>
  <si>
    <t>G11-1505</t>
    <phoneticPr fontId="5" type="noConversion"/>
  </si>
  <si>
    <t>외주영업자 하강우</t>
    <phoneticPr fontId="5" type="noConversion"/>
  </si>
  <si>
    <t>25.01.21</t>
    <phoneticPr fontId="5" type="noConversion"/>
  </si>
  <si>
    <t>눈작은오리</t>
    <phoneticPr fontId="5" type="noConversion"/>
  </si>
  <si>
    <t>01-0304</t>
    <phoneticPr fontId="5" type="noConversion"/>
  </si>
  <si>
    <t>엄무용</t>
    <phoneticPr fontId="5" type="noConversion"/>
  </si>
  <si>
    <t>005</t>
    <phoneticPr fontId="5" type="noConversion"/>
  </si>
  <si>
    <t>25.01.24</t>
    <phoneticPr fontId="5" type="noConversion"/>
  </si>
  <si>
    <t>신광브이텍</t>
    <phoneticPr fontId="5" type="noConversion"/>
  </si>
  <si>
    <t>G12-0201</t>
    <phoneticPr fontId="5" type="noConversion"/>
  </si>
  <si>
    <t>외주영업자 김대곤</t>
    <phoneticPr fontId="5" type="noConversion"/>
  </si>
  <si>
    <t>006</t>
    <phoneticPr fontId="5" type="noConversion"/>
  </si>
  <si>
    <t>종연</t>
    <phoneticPr fontId="5" type="noConversion"/>
  </si>
  <si>
    <t>울산 울주군 언양읍 반천리 1104-5</t>
    <phoneticPr fontId="5" type="noConversion"/>
  </si>
  <si>
    <t>08-2706</t>
    <phoneticPr fontId="5" type="noConversion"/>
  </si>
  <si>
    <t>기존시설물(A)</t>
    <phoneticPr fontId="5" type="noConversion"/>
  </si>
  <si>
    <t>25.02.06</t>
    <phoneticPr fontId="5" type="noConversion"/>
  </si>
  <si>
    <t>대성</t>
    <phoneticPr fontId="5" type="noConversion"/>
  </si>
  <si>
    <t>경북 경주시 외동읍 구어들밑길 132-77</t>
    <phoneticPr fontId="5" type="noConversion"/>
  </si>
  <si>
    <t>G12-2402</t>
    <phoneticPr fontId="5" type="noConversion"/>
  </si>
  <si>
    <t>외주영업자 코스모컴퍼니</t>
    <phoneticPr fontId="5" type="noConversion"/>
  </si>
  <si>
    <t>007</t>
    <phoneticPr fontId="5" type="noConversion"/>
  </si>
  <si>
    <t>25.02.05</t>
    <phoneticPr fontId="5" type="noConversion"/>
  </si>
  <si>
    <t>최창민</t>
    <phoneticPr fontId="5" type="noConversion"/>
  </si>
  <si>
    <t>최창민</t>
    <phoneticPr fontId="5" type="noConversion"/>
  </si>
  <si>
    <t>디와이씨㈜</t>
    <phoneticPr fontId="5" type="noConversion"/>
  </si>
  <si>
    <t>01-0302</t>
    <phoneticPr fontId="5" type="noConversion"/>
  </si>
  <si>
    <t>008</t>
    <phoneticPr fontId="5" type="noConversion"/>
  </si>
  <si>
    <t>25.02.13</t>
    <phoneticPr fontId="5" type="noConversion"/>
  </si>
  <si>
    <t>박근호</t>
    <phoneticPr fontId="5" type="noConversion"/>
  </si>
  <si>
    <t>헤세드6호</t>
    <phoneticPr fontId="5" type="noConversion"/>
  </si>
  <si>
    <t>경북 경주시 외동읍 석계리 2066-6</t>
    <phoneticPr fontId="5" type="noConversion"/>
  </si>
  <si>
    <t>01-1703</t>
    <phoneticPr fontId="5" type="noConversion"/>
  </si>
  <si>
    <t>기존사업주 추가진행</t>
    <phoneticPr fontId="5" type="noConversion"/>
  </si>
  <si>
    <t>009</t>
    <phoneticPr fontId="5" type="noConversion"/>
  </si>
  <si>
    <t>헤세드7호</t>
    <phoneticPr fontId="5" type="noConversion"/>
  </si>
  <si>
    <t>010</t>
    <phoneticPr fontId="5" type="noConversion"/>
  </si>
  <si>
    <t>25.02.14</t>
    <phoneticPr fontId="5" type="noConversion"/>
  </si>
  <si>
    <t>신화</t>
    <phoneticPr fontId="5" type="noConversion"/>
  </si>
  <si>
    <t>경남 진주시 사봉면 산업단지로 44번길 55-11</t>
    <phoneticPr fontId="5" type="noConversion"/>
  </si>
  <si>
    <t>01-0903</t>
    <phoneticPr fontId="5" type="noConversion"/>
  </si>
  <si>
    <t>진으뜸책임</t>
    <phoneticPr fontId="5" type="noConversion"/>
  </si>
  <si>
    <t>위치</t>
    <phoneticPr fontId="5" type="noConversion"/>
  </si>
  <si>
    <t>개수</t>
    <phoneticPr fontId="5" type="noConversion"/>
  </si>
  <si>
    <t>산단</t>
  </si>
  <si>
    <t>공장</t>
  </si>
  <si>
    <t>창고</t>
  </si>
  <si>
    <t>축사</t>
  </si>
  <si>
    <t>근생</t>
  </si>
  <si>
    <t>자원순환</t>
  </si>
  <si>
    <t>토지</t>
    <phoneticPr fontId="5" type="noConversion"/>
  </si>
  <si>
    <t>업무시설</t>
    <phoneticPr fontId="5" type="noConversion"/>
  </si>
  <si>
    <t>총합</t>
    <phoneticPr fontId="5" type="noConversion"/>
  </si>
  <si>
    <t>경남 양산시 상북면 소토리 551-7</t>
    <phoneticPr fontId="5" type="noConversion"/>
  </si>
  <si>
    <t>부산 사하구 신산로 72-1</t>
    <phoneticPr fontId="5" type="noConversion"/>
  </si>
  <si>
    <t>부산 강서구 식만로 51-8</t>
    <phoneticPr fontId="5" type="noConversion"/>
  </si>
  <si>
    <t>산단</t>
    <phoneticPr fontId="5" type="noConversion"/>
  </si>
  <si>
    <t>상태</t>
    <phoneticPr fontId="5" type="noConversion"/>
  </si>
  <si>
    <t>유지</t>
  </si>
  <si>
    <t>25년 총 계약 현황</t>
    <phoneticPr fontId="5" type="noConversion"/>
  </si>
  <si>
    <t>용량 (kW)</t>
    <phoneticPr fontId="5" type="noConversion"/>
  </si>
  <si>
    <t>금액 (VAT제외)</t>
    <phoneticPr fontId="5" type="noConversion"/>
  </si>
  <si>
    <t>25년 총 유지 현황</t>
    <phoneticPr fontId="5" type="noConversion"/>
  </si>
  <si>
    <t>25년 총 취소 현황</t>
    <phoneticPr fontId="5" type="noConversion"/>
  </si>
  <si>
    <t>25년 총 보류 현황</t>
    <phoneticPr fontId="5" type="noConversion"/>
  </si>
  <si>
    <t>유지</t>
    <phoneticPr fontId="5" type="noConversion"/>
  </si>
  <si>
    <t>취소</t>
    <phoneticPr fontId="5" type="noConversion"/>
  </si>
  <si>
    <t>보류</t>
    <phoneticPr fontId="5" type="noConversion"/>
  </si>
  <si>
    <t>25.02.20</t>
    <phoneticPr fontId="5" type="noConversion"/>
  </si>
  <si>
    <t>경북 경산시 진량읍 공단4로 40길 14</t>
    <phoneticPr fontId="5" type="noConversion"/>
  </si>
  <si>
    <t>G01-2311</t>
    <phoneticPr fontId="5" type="noConversion"/>
  </si>
  <si>
    <t>외주영업자 장준규</t>
    <phoneticPr fontId="5" type="noConversion"/>
  </si>
  <si>
    <t>씨앤제이</t>
    <phoneticPr fontId="5" type="noConversion"/>
  </si>
  <si>
    <t>015</t>
    <phoneticPr fontId="5" type="noConversion"/>
  </si>
  <si>
    <t>011</t>
    <phoneticPr fontId="5" type="noConversion"/>
  </si>
  <si>
    <t>012</t>
    <phoneticPr fontId="5" type="noConversion"/>
  </si>
  <si>
    <t>013</t>
    <phoneticPr fontId="5" type="noConversion"/>
  </si>
  <si>
    <t>014</t>
    <phoneticPr fontId="5" type="noConversion"/>
  </si>
  <si>
    <t>25.02.24</t>
    <phoneticPr fontId="5" type="noConversion"/>
  </si>
  <si>
    <t>016</t>
    <phoneticPr fontId="5" type="noConversion"/>
  </si>
  <si>
    <t>태한</t>
    <phoneticPr fontId="5" type="noConversion"/>
  </si>
  <si>
    <t>대동1호</t>
    <phoneticPr fontId="5" type="noConversion"/>
  </si>
  <si>
    <t>대동2호</t>
    <phoneticPr fontId="5" type="noConversion"/>
  </si>
  <si>
    <t>경북 경산시 진량읍 신상리 1190-12</t>
    <phoneticPr fontId="5" type="noConversion"/>
  </si>
  <si>
    <t>경남 김해시 대동면 월촌리 1297-2</t>
    <phoneticPr fontId="5" type="noConversion"/>
  </si>
  <si>
    <t>02-1404</t>
    <phoneticPr fontId="5" type="noConversion"/>
  </si>
  <si>
    <t>02-0603</t>
    <phoneticPr fontId="5" type="noConversion"/>
  </si>
  <si>
    <t>녹산,미음 추가사업지</t>
    <phoneticPr fontId="5" type="noConversion"/>
  </si>
  <si>
    <t>신흥제과</t>
    <phoneticPr fontId="5" type="noConversion"/>
  </si>
  <si>
    <t>일반부지(B)</t>
  </si>
  <si>
    <t>001</t>
    <phoneticPr fontId="5" type="noConversion"/>
  </si>
  <si>
    <t>002</t>
  </si>
  <si>
    <t>003</t>
  </si>
  <si>
    <t>25.02.25</t>
    <phoneticPr fontId="5" type="noConversion"/>
  </si>
  <si>
    <t>금상영천 3호</t>
    <phoneticPr fontId="5" type="noConversion"/>
  </si>
  <si>
    <t>금상영천 4호</t>
  </si>
  <si>
    <t>금상영천 5호</t>
  </si>
  <si>
    <t xml:space="preserve">경북 영천시 화산면 대기리 114, 115, 116 </t>
    <phoneticPr fontId="5" type="noConversion"/>
  </si>
  <si>
    <t>경북 영천시 화산면 대기리 111, 114</t>
    <phoneticPr fontId="5" type="noConversion"/>
  </si>
  <si>
    <t>경북 영천시 화산면 대기리 114, 115, 116, 118</t>
    <phoneticPr fontId="5" type="noConversion"/>
  </si>
  <si>
    <t>02-1801</t>
    <phoneticPr fontId="5" type="noConversion"/>
  </si>
  <si>
    <t>토지</t>
  </si>
  <si>
    <t>추가사업지</t>
    <phoneticPr fontId="5" type="noConversion"/>
  </si>
  <si>
    <t>추가사업지</t>
    <phoneticPr fontId="5" type="noConversion"/>
  </si>
  <si>
    <t>25.02.17</t>
    <phoneticPr fontId="5" type="noConversion"/>
  </si>
  <si>
    <t>진으뜸</t>
    <phoneticPr fontId="5" type="noConversion"/>
  </si>
  <si>
    <t>동일1호</t>
    <phoneticPr fontId="5" type="noConversion"/>
  </si>
  <si>
    <t>경기 안성시 대덕면 중앙대학로 27-8</t>
    <phoneticPr fontId="5" type="noConversion"/>
  </si>
  <si>
    <t>02-1013</t>
    <phoneticPr fontId="5" type="noConversion"/>
  </si>
  <si>
    <t>승일정밀</t>
    <phoneticPr fontId="5" type="noConversion"/>
  </si>
  <si>
    <t>02-0604</t>
    <phoneticPr fontId="5" type="noConversion"/>
  </si>
  <si>
    <t>경기 화성시 마도면 송정로210번길 28-9</t>
    <phoneticPr fontId="5" type="noConversion"/>
  </si>
  <si>
    <t>25.02.21</t>
    <phoneticPr fontId="5" type="noConversion"/>
  </si>
  <si>
    <t>허영준</t>
    <phoneticPr fontId="5" type="noConversion"/>
  </si>
  <si>
    <t>원스템</t>
    <phoneticPr fontId="5" type="noConversion"/>
  </si>
  <si>
    <t>02-0701</t>
    <phoneticPr fontId="5" type="noConversion"/>
  </si>
  <si>
    <t>경기 포천시 신북면 청신로 2014-55</t>
    <phoneticPr fontId="5" type="noConversion"/>
  </si>
  <si>
    <t>직접유입</t>
    <phoneticPr fontId="5" type="noConversion"/>
  </si>
  <si>
    <t>기존시설물</t>
    <phoneticPr fontId="5" type="noConversion"/>
  </si>
  <si>
    <t>25.02.26</t>
    <phoneticPr fontId="5" type="noConversion"/>
  </si>
  <si>
    <t>HD현대건설기계</t>
    <phoneticPr fontId="5" type="noConversion"/>
  </si>
  <si>
    <t>HD현대중공업</t>
    <phoneticPr fontId="5" type="noConversion"/>
  </si>
  <si>
    <t>울산광역시 동구 방어진순환도로 1000</t>
    <phoneticPr fontId="5" type="noConversion"/>
  </si>
  <si>
    <t>울산광역시 동구 고늘로 77</t>
    <phoneticPr fontId="5" type="noConversion"/>
  </si>
  <si>
    <t>017</t>
    <phoneticPr fontId="5" type="noConversion"/>
  </si>
  <si>
    <t>김영민</t>
    <phoneticPr fontId="5" type="noConversion"/>
  </si>
  <si>
    <t>세진산업</t>
    <phoneticPr fontId="5" type="noConversion"/>
  </si>
  <si>
    <t>경기 포천시 가산면 시우동2길 55-32</t>
    <phoneticPr fontId="5" type="noConversion"/>
  </si>
  <si>
    <t>11-1403</t>
    <phoneticPr fontId="5" type="noConversion"/>
  </si>
  <si>
    <t>김영민이사</t>
    <phoneticPr fontId="5" type="noConversion"/>
  </si>
  <si>
    <t>계약 건</t>
    <phoneticPr fontId="5" type="noConversion"/>
  </si>
  <si>
    <t>25.02.27</t>
    <phoneticPr fontId="5" type="noConversion"/>
  </si>
  <si>
    <t>재우정공</t>
    <phoneticPr fontId="5" type="noConversion"/>
  </si>
  <si>
    <t>경남 김해시 진영읍 하계로 240번길 211-25</t>
    <phoneticPr fontId="5" type="noConversion"/>
  </si>
  <si>
    <t>G02-0703</t>
    <phoneticPr fontId="5" type="noConversion"/>
  </si>
  <si>
    <t>외주영업자 권성주</t>
    <phoneticPr fontId="5" type="noConversion"/>
  </si>
  <si>
    <t>공장</t>
    <phoneticPr fontId="5" type="noConversion"/>
  </si>
  <si>
    <t>입찰(다)</t>
  </si>
  <si>
    <t>25.02.28</t>
    <phoneticPr fontId="5" type="noConversion"/>
  </si>
  <si>
    <t>롯데웰푸드 평택공장</t>
    <phoneticPr fontId="5" type="noConversion"/>
  </si>
  <si>
    <t>경기 평택시 진위면 경기대로 1952</t>
    <phoneticPr fontId="5" type="noConversion"/>
  </si>
  <si>
    <t>25.03.05</t>
    <phoneticPr fontId="5" type="noConversion"/>
  </si>
  <si>
    <t>이화</t>
    <phoneticPr fontId="5" type="noConversion"/>
  </si>
  <si>
    <t>경남 김해시 화목로 148-34</t>
    <phoneticPr fontId="5" type="noConversion"/>
  </si>
  <si>
    <t>G01-2004</t>
    <phoneticPr fontId="5" type="noConversion"/>
  </si>
  <si>
    <t>외주영업자 오윤모</t>
    <phoneticPr fontId="5" type="noConversion"/>
  </si>
  <si>
    <t>근생</t>
    <phoneticPr fontId="5" type="noConversion"/>
  </si>
  <si>
    <t>018</t>
    <phoneticPr fontId="5" type="noConversion"/>
  </si>
  <si>
    <t>이효</t>
    <phoneticPr fontId="5" type="noConversion"/>
  </si>
  <si>
    <t>부산 강서구 상더로 119번길 16</t>
    <phoneticPr fontId="5" type="noConversion"/>
  </si>
  <si>
    <t>02-1723</t>
    <phoneticPr fontId="5" type="noConversion"/>
  </si>
  <si>
    <t>김민범책임</t>
    <phoneticPr fontId="5" type="noConversion"/>
  </si>
  <si>
    <t>부산 강서구 녹산산업중로 61번길 16</t>
    <phoneticPr fontId="5" type="noConversion"/>
  </si>
  <si>
    <t>부산 강서구 녹산산단 261로 59번길 23</t>
    <phoneticPr fontId="5" type="noConversion"/>
  </si>
  <si>
    <t>02-2001</t>
    <phoneticPr fontId="5" type="noConversion"/>
  </si>
  <si>
    <t>강수철실장</t>
    <phoneticPr fontId="5" type="noConversion"/>
  </si>
  <si>
    <t>019</t>
    <phoneticPr fontId="5" type="noConversion"/>
  </si>
  <si>
    <t>조일공업 효문공장</t>
    <phoneticPr fontId="5" type="noConversion"/>
  </si>
  <si>
    <t>01-1701</t>
    <phoneticPr fontId="5" type="noConversion"/>
  </si>
  <si>
    <t>성우솔루텍 소개</t>
    <phoneticPr fontId="5" type="noConversion"/>
  </si>
  <si>
    <t>020</t>
    <phoneticPr fontId="5" type="noConversion"/>
  </si>
  <si>
    <t>25.03.04</t>
    <phoneticPr fontId="5" type="noConversion"/>
  </si>
  <si>
    <t>조일공업 연암공장</t>
    <phoneticPr fontId="5" type="noConversion"/>
  </si>
  <si>
    <t>021</t>
    <phoneticPr fontId="5" type="noConversion"/>
  </si>
  <si>
    <t>25.03.06</t>
    <phoneticPr fontId="5" type="noConversion"/>
  </si>
  <si>
    <t>서정</t>
    <phoneticPr fontId="5" type="noConversion"/>
  </si>
  <si>
    <t>경남 진주시 금산면 송백리 414-1,410</t>
    <phoneticPr fontId="5" type="noConversion"/>
  </si>
  <si>
    <t>03-0414</t>
    <phoneticPr fontId="5" type="noConversion"/>
  </si>
  <si>
    <t>25.03.12</t>
    <phoneticPr fontId="5" type="noConversion"/>
  </si>
  <si>
    <t>남일테크</t>
    <phoneticPr fontId="5" type="noConversion"/>
  </si>
  <si>
    <t>경남 김해시 생림면 안양로 276-36</t>
    <phoneticPr fontId="5" type="noConversion"/>
  </si>
  <si>
    <t>G02-2605</t>
  </si>
  <si>
    <t>외주영업자 박정우</t>
    <phoneticPr fontId="5" type="noConversion"/>
  </si>
  <si>
    <t>022</t>
    <phoneticPr fontId="5" type="noConversion"/>
  </si>
  <si>
    <t>25.03.14</t>
    <phoneticPr fontId="5" type="noConversion"/>
  </si>
  <si>
    <t>미진</t>
    <phoneticPr fontId="5" type="noConversion"/>
  </si>
  <si>
    <t>경남 양산시 상북면 석계리 1125-6</t>
    <phoneticPr fontId="5" type="noConversion"/>
  </si>
  <si>
    <t>02-2607</t>
    <phoneticPr fontId="5" type="noConversion"/>
  </si>
  <si>
    <t>023</t>
    <phoneticPr fontId="5" type="noConversion"/>
  </si>
  <si>
    <t>25.03.18</t>
    <phoneticPr fontId="5" type="noConversion"/>
  </si>
  <si>
    <t>순금농장</t>
    <phoneticPr fontId="5" type="noConversion"/>
  </si>
  <si>
    <t>경남 의령군 궁류면 압곡리 361</t>
    <phoneticPr fontId="5" type="noConversion"/>
  </si>
  <si>
    <t>창진eng소개</t>
    <phoneticPr fontId="5" type="noConversion"/>
  </si>
  <si>
    <t>초원대표소개</t>
    <phoneticPr fontId="5" type="noConversion"/>
  </si>
  <si>
    <t>25.03.19</t>
    <phoneticPr fontId="5" type="noConversion"/>
  </si>
  <si>
    <t>아주상사</t>
    <phoneticPr fontId="5" type="noConversion"/>
  </si>
  <si>
    <t>부산 강서구 대저1동 458-10</t>
    <phoneticPr fontId="5" type="noConversion"/>
  </si>
  <si>
    <t>G11-0507</t>
    <phoneticPr fontId="5" type="noConversion"/>
  </si>
  <si>
    <t>외주영업자 백주용</t>
    <phoneticPr fontId="5" type="noConversion"/>
  </si>
  <si>
    <t>024</t>
    <phoneticPr fontId="5" type="noConversion"/>
  </si>
  <si>
    <t>25.03.20</t>
    <phoneticPr fontId="5" type="noConversion"/>
  </si>
  <si>
    <t>최성환</t>
    <phoneticPr fontId="5" type="noConversion"/>
  </si>
  <si>
    <t>제이엠테크</t>
    <phoneticPr fontId="5" type="noConversion"/>
  </si>
  <si>
    <t>경기 김포시 대곶면 쇄암로 156-11</t>
    <phoneticPr fontId="5" type="noConversion"/>
  </si>
  <si>
    <t>01-2204</t>
    <phoneticPr fontId="5" type="noConversion"/>
  </si>
  <si>
    <t>025</t>
    <phoneticPr fontId="5" type="noConversion"/>
  </si>
  <si>
    <t>25.03.25</t>
    <phoneticPr fontId="5" type="noConversion"/>
  </si>
  <si>
    <t>영동산업사</t>
    <phoneticPr fontId="5" type="noConversion"/>
  </si>
  <si>
    <t>부산 사하구 신평동 645-3</t>
    <phoneticPr fontId="5" type="noConversion"/>
  </si>
  <si>
    <t>08-2701</t>
    <phoneticPr fontId="5" type="noConversion"/>
  </si>
  <si>
    <t>에스엠이제훈-&gt;남훈</t>
    <phoneticPr fontId="5" type="noConversion"/>
  </si>
  <si>
    <t>25.03.27</t>
    <phoneticPr fontId="5" type="noConversion"/>
  </si>
  <si>
    <t>비엔테크</t>
    <phoneticPr fontId="5" type="noConversion"/>
  </si>
  <si>
    <t>경남 김해시 진례면 평지길 39</t>
    <phoneticPr fontId="5" type="noConversion"/>
  </si>
  <si>
    <t>G12-2603</t>
    <phoneticPr fontId="5" type="noConversion"/>
  </si>
  <si>
    <t>026</t>
    <phoneticPr fontId="5" type="noConversion"/>
  </si>
  <si>
    <t>25.03.28</t>
    <phoneticPr fontId="5" type="noConversion"/>
  </si>
  <si>
    <t>동영4호</t>
    <phoneticPr fontId="5" type="noConversion"/>
  </si>
  <si>
    <t>경남 김해시 한림면 용덕로 39</t>
    <phoneticPr fontId="5" type="noConversion"/>
  </si>
  <si>
    <t>03-2002</t>
    <phoneticPr fontId="5" type="noConversion"/>
  </si>
  <si>
    <t>에이치앤티글로벌</t>
    <phoneticPr fontId="5" type="noConversion"/>
  </si>
  <si>
    <t>인천 남동구 논현고잔로 127-11</t>
    <phoneticPr fontId="5" type="noConversion"/>
  </si>
  <si>
    <t>02-2401</t>
    <phoneticPr fontId="5" type="noConversion"/>
  </si>
  <si>
    <t>네오그라피 사업주 → 진으뜸책임</t>
    <phoneticPr fontId="5" type="noConversion"/>
  </si>
  <si>
    <t>028</t>
    <phoneticPr fontId="5" type="noConversion"/>
  </si>
  <si>
    <t>25.04.01</t>
    <phoneticPr fontId="5" type="noConversion"/>
  </si>
  <si>
    <t>스페이스프로</t>
    <phoneticPr fontId="5" type="noConversion"/>
  </si>
  <si>
    <t>경남 밀양시 부북면 춘화로 85</t>
    <phoneticPr fontId="5" type="noConversion"/>
  </si>
  <si>
    <t>11-1501</t>
    <phoneticPr fontId="5" type="noConversion"/>
  </si>
  <si>
    <t>027</t>
    <phoneticPr fontId="5" type="noConversion"/>
  </si>
  <si>
    <t>25.03.31</t>
    <phoneticPr fontId="5" type="noConversion"/>
  </si>
  <si>
    <t>029</t>
    <phoneticPr fontId="5" type="noConversion"/>
  </si>
  <si>
    <t>25.04.03</t>
    <phoneticPr fontId="5" type="noConversion"/>
  </si>
  <si>
    <t>렉스틸㈜</t>
    <phoneticPr fontId="5" type="noConversion"/>
  </si>
  <si>
    <t>경남 함안군 함안면 파수리 465-7</t>
    <phoneticPr fontId="5" type="noConversion"/>
  </si>
  <si>
    <t>01-0609</t>
    <phoneticPr fontId="5" type="noConversion"/>
  </si>
  <si>
    <t>030</t>
    <phoneticPr fontId="5" type="noConversion"/>
  </si>
  <si>
    <t>031</t>
    <phoneticPr fontId="5" type="noConversion"/>
  </si>
  <si>
    <t>032</t>
    <phoneticPr fontId="5" type="noConversion"/>
  </si>
  <si>
    <t>033</t>
    <phoneticPr fontId="5" type="noConversion"/>
  </si>
  <si>
    <t>25.04.04</t>
    <phoneticPr fontId="5" type="noConversion"/>
  </si>
  <si>
    <t>25.04.08</t>
    <phoneticPr fontId="5" type="noConversion"/>
  </si>
  <si>
    <t>코스메디슨</t>
    <phoneticPr fontId="5" type="noConversion"/>
  </si>
  <si>
    <t>제일하이텍</t>
    <phoneticPr fontId="5" type="noConversion"/>
  </si>
  <si>
    <t>태창기계</t>
    <phoneticPr fontId="5" type="noConversion"/>
  </si>
  <si>
    <t>유니버셜푸드</t>
    <phoneticPr fontId="5" type="noConversion"/>
  </si>
  <si>
    <t>경남 김해시 주촌면 내삼리 636</t>
    <phoneticPr fontId="5" type="noConversion"/>
  </si>
  <si>
    <t>대구 북구 팔달북로 18길 29-6</t>
    <phoneticPr fontId="5" type="noConversion"/>
  </si>
  <si>
    <t>경남 창원시 성산구 반월로 67번길 30</t>
    <phoneticPr fontId="5" type="noConversion"/>
  </si>
  <si>
    <t>경남 창원시 마산회원구 봉암공단 14길 15</t>
    <phoneticPr fontId="5" type="noConversion"/>
  </si>
  <si>
    <t>03-1113</t>
    <phoneticPr fontId="5" type="noConversion"/>
  </si>
  <si>
    <t>02-1904</t>
    <phoneticPr fontId="5" type="noConversion"/>
  </si>
  <si>
    <t>눈작은오리 사업주</t>
    <phoneticPr fontId="5" type="noConversion"/>
  </si>
  <si>
    <t>그린솔 이현탁이사</t>
    <phoneticPr fontId="5" type="noConversion"/>
  </si>
  <si>
    <t>이형로이사</t>
    <phoneticPr fontId="5" type="noConversion"/>
  </si>
  <si>
    <t>04-0101</t>
    <phoneticPr fontId="5" type="noConversion"/>
  </si>
  <si>
    <t>03-1404</t>
    <phoneticPr fontId="5" type="noConversion"/>
  </si>
  <si>
    <t>034</t>
    <phoneticPr fontId="5" type="noConversion"/>
  </si>
  <si>
    <t>25.04.09</t>
    <phoneticPr fontId="5" type="noConversion"/>
  </si>
  <si>
    <t>씨에이오토</t>
    <phoneticPr fontId="5" type="noConversion"/>
  </si>
  <si>
    <t>경남 양산시 유산공단3길 37</t>
    <phoneticPr fontId="5" type="noConversion"/>
  </si>
  <si>
    <t>07-2205</t>
    <phoneticPr fontId="5" type="noConversion"/>
  </si>
  <si>
    <t>중앙브레인 소개</t>
    <phoneticPr fontId="5" type="noConversion"/>
  </si>
  <si>
    <t>035</t>
    <phoneticPr fontId="5" type="noConversion"/>
  </si>
  <si>
    <t>25.04.10</t>
    <phoneticPr fontId="5" type="noConversion"/>
  </si>
  <si>
    <t>건문</t>
    <phoneticPr fontId="5" type="noConversion"/>
  </si>
  <si>
    <t>경남 김해시 진례면 테크노밸리1로 133</t>
    <phoneticPr fontId="5" type="noConversion"/>
  </si>
  <si>
    <t>04-0403</t>
    <phoneticPr fontId="5" type="noConversion"/>
  </si>
  <si>
    <t>우리기업 소개</t>
    <phoneticPr fontId="5" type="noConversion"/>
  </si>
  <si>
    <t>036</t>
    <phoneticPr fontId="5" type="noConversion"/>
  </si>
  <si>
    <t>25.04.14</t>
    <phoneticPr fontId="5" type="noConversion"/>
  </si>
  <si>
    <t>소산3호</t>
    <phoneticPr fontId="5" type="noConversion"/>
  </si>
  <si>
    <t>경북 안동시 풍산읍 소산리 748-1,748-4,749-8</t>
    <phoneticPr fontId="5" type="noConversion"/>
  </si>
  <si>
    <t>03-2701</t>
    <phoneticPr fontId="5" type="noConversion"/>
  </si>
  <si>
    <t>2025.04.17</t>
    <phoneticPr fontId="5" type="noConversion"/>
  </si>
  <si>
    <t>경남 김해시 생림면 생림대로 519-69</t>
    <phoneticPr fontId="5" type="noConversion"/>
  </si>
  <si>
    <t>장광수</t>
  </si>
  <si>
    <t>G03-0506</t>
  </si>
  <si>
    <t>외주영업자 박정우</t>
  </si>
  <si>
    <t>그랜드썬 28 화성물산</t>
    <phoneticPr fontId="5" type="noConversion"/>
  </si>
  <si>
    <t>037</t>
    <phoneticPr fontId="5" type="noConversion"/>
  </si>
  <si>
    <t>25.04.21</t>
    <phoneticPr fontId="5" type="noConversion"/>
  </si>
  <si>
    <t>신한코리아1호</t>
    <phoneticPr fontId="5" type="noConversion"/>
  </si>
  <si>
    <t>경남 창녕군 남지읍 낙동로 325</t>
    <phoneticPr fontId="5" type="noConversion"/>
  </si>
  <si>
    <t>U10-2910</t>
    <phoneticPr fontId="5" type="noConversion"/>
  </si>
  <si>
    <t>038</t>
    <phoneticPr fontId="5" type="noConversion"/>
  </si>
  <si>
    <t>신한코리아2호</t>
    <phoneticPr fontId="5" type="noConversion"/>
  </si>
  <si>
    <t>경남 창녕군 남지공단길 23</t>
    <phoneticPr fontId="5" type="noConversion"/>
  </si>
  <si>
    <t>그랜드썬 28</t>
    <phoneticPr fontId="5" type="noConversion"/>
  </si>
  <si>
    <t>인천 남동구 고잔동 686-6</t>
    <phoneticPr fontId="5" type="noConversion"/>
  </si>
  <si>
    <t>11-2807</t>
    <phoneticPr fontId="5" type="noConversion"/>
  </si>
  <si>
    <t>임준길</t>
    <phoneticPr fontId="5" type="noConversion"/>
  </si>
  <si>
    <t>골드리버</t>
    <phoneticPr fontId="5" type="noConversion"/>
  </si>
  <si>
    <t>세종 금남면 두만리 537-4</t>
    <phoneticPr fontId="5" type="noConversion"/>
  </si>
  <si>
    <t>03-2107</t>
    <phoneticPr fontId="5" type="noConversion"/>
  </si>
  <si>
    <t>늘푸른</t>
    <phoneticPr fontId="5" type="noConversion"/>
  </si>
  <si>
    <t>경기 포천시 가산면 가산리 169-40</t>
    <phoneticPr fontId="5" type="noConversion"/>
  </si>
  <si>
    <t>10-2205</t>
    <phoneticPr fontId="5" type="noConversion"/>
  </si>
  <si>
    <t>김영민 이사</t>
    <phoneticPr fontId="5" type="noConversion"/>
  </si>
  <si>
    <t>신우테크</t>
    <phoneticPr fontId="5" type="noConversion"/>
  </si>
  <si>
    <t>경기 평택시 안중읍 용성길 148-24</t>
    <phoneticPr fontId="5" type="noConversion"/>
  </si>
  <si>
    <t>03-2603</t>
    <phoneticPr fontId="5" type="noConversion"/>
  </si>
  <si>
    <t>25.04.23</t>
    <phoneticPr fontId="5" type="noConversion"/>
  </si>
  <si>
    <t>25.04.28</t>
    <phoneticPr fontId="5" type="noConversion"/>
  </si>
  <si>
    <t>정관</t>
    <phoneticPr fontId="5" type="noConversion"/>
  </si>
  <si>
    <t>수경산업</t>
    <phoneticPr fontId="5" type="noConversion"/>
  </si>
  <si>
    <t>부산 강서구 입소정관길 208-1</t>
    <phoneticPr fontId="5" type="noConversion"/>
  </si>
  <si>
    <t>G04-0803</t>
    <phoneticPr fontId="5" type="noConversion"/>
  </si>
  <si>
    <t>G12-1807</t>
    <phoneticPr fontId="5" type="noConversion"/>
  </si>
  <si>
    <t>외주영업자 박성현</t>
    <phoneticPr fontId="5" type="noConversion"/>
  </si>
  <si>
    <t>039</t>
    <phoneticPr fontId="5" type="noConversion"/>
  </si>
  <si>
    <t>040</t>
    <phoneticPr fontId="5" type="noConversion"/>
  </si>
  <si>
    <t>041</t>
    <phoneticPr fontId="5" type="noConversion"/>
  </si>
  <si>
    <t>25.04.24</t>
    <phoneticPr fontId="5" type="noConversion"/>
  </si>
  <si>
    <t>권진영</t>
    <phoneticPr fontId="5" type="noConversion"/>
  </si>
  <si>
    <t>코리아에너지 17호기</t>
    <phoneticPr fontId="5" type="noConversion"/>
  </si>
  <si>
    <t>전남 여수시 율촌면 율촌산단6로 115</t>
    <phoneticPr fontId="5" type="noConversion"/>
  </si>
  <si>
    <t>25.04.15</t>
    <phoneticPr fontId="5" type="noConversion"/>
  </si>
  <si>
    <t xml:space="preserve">김정민 </t>
    <phoneticPr fontId="5" type="noConversion"/>
  </si>
  <si>
    <t>25.04.25</t>
    <phoneticPr fontId="5" type="noConversion"/>
  </si>
  <si>
    <t>최창민</t>
    <phoneticPr fontId="5" type="noConversion"/>
  </si>
  <si>
    <t>㈜거화</t>
    <phoneticPr fontId="5" type="noConversion"/>
  </si>
  <si>
    <t>경기 화성시 팔탄면 창곡리 1030-2</t>
    <phoneticPr fontId="5" type="noConversion"/>
  </si>
  <si>
    <t>U03-1901</t>
    <phoneticPr fontId="5" type="noConversion"/>
  </si>
  <si>
    <t>공장</t>
    <phoneticPr fontId="5" type="noConversion"/>
  </si>
  <si>
    <t>유지</t>
    <phoneticPr fontId="5" type="noConversion"/>
  </si>
  <si>
    <t>042</t>
    <phoneticPr fontId="5" type="noConversion"/>
  </si>
  <si>
    <t>25.04.28</t>
    <phoneticPr fontId="5" type="noConversion"/>
  </si>
  <si>
    <t>정규진</t>
    <phoneticPr fontId="5" type="noConversion"/>
  </si>
  <si>
    <t>진으뜸</t>
    <phoneticPr fontId="5" type="noConversion"/>
  </si>
  <si>
    <t>제이미크론</t>
    <phoneticPr fontId="5" type="noConversion"/>
  </si>
  <si>
    <t>경기 안산시 단원구 해봉로273번길 12</t>
    <phoneticPr fontId="5" type="noConversion"/>
  </si>
  <si>
    <t>직접유입</t>
    <phoneticPr fontId="5" type="noConversion"/>
  </si>
  <si>
    <t>25.04.29</t>
    <phoneticPr fontId="5" type="noConversion"/>
  </si>
  <si>
    <t>김동호</t>
    <phoneticPr fontId="5" type="noConversion"/>
  </si>
  <si>
    <t>조성현</t>
    <phoneticPr fontId="5" type="noConversion"/>
  </si>
  <si>
    <t>코렌스</t>
    <phoneticPr fontId="5" type="noConversion"/>
  </si>
  <si>
    <t>경남 양산시 어곡공단로 116</t>
    <phoneticPr fontId="5" type="noConversion"/>
  </si>
  <si>
    <t>09-0610</t>
    <phoneticPr fontId="5" type="noConversion"/>
  </si>
  <si>
    <t>기후박람회</t>
    <phoneticPr fontId="5" type="noConversion"/>
  </si>
  <si>
    <t>기존시설물(A)</t>
    <phoneticPr fontId="5" type="noConversion"/>
  </si>
  <si>
    <t>25.04.30</t>
    <phoneticPr fontId="5" type="noConversion"/>
  </si>
  <si>
    <t>김동호</t>
    <phoneticPr fontId="5" type="noConversion"/>
  </si>
  <si>
    <t>조성현</t>
    <phoneticPr fontId="5" type="noConversion"/>
  </si>
  <si>
    <t>상일철강</t>
    <phoneticPr fontId="5" type="noConversion"/>
  </si>
  <si>
    <t>경남 밀양시 부북면 사포산단1길 74</t>
    <phoneticPr fontId="5" type="noConversion"/>
  </si>
  <si>
    <t>(주)그랜드썬기술단</t>
    <phoneticPr fontId="5" type="noConversion"/>
  </si>
  <si>
    <t>03-1702</t>
    <phoneticPr fontId="5" type="noConversion"/>
  </si>
  <si>
    <t>그 외</t>
    <phoneticPr fontId="5" type="noConversion"/>
  </si>
  <si>
    <t>추가사업지</t>
    <phoneticPr fontId="5" type="noConversion"/>
  </si>
  <si>
    <t>스페이스랩</t>
    <phoneticPr fontId="5" type="noConversion"/>
  </si>
  <si>
    <t>25.04.30</t>
    <phoneticPr fontId="5" type="noConversion"/>
  </si>
  <si>
    <t>정규진</t>
    <phoneticPr fontId="5" type="noConversion"/>
  </si>
  <si>
    <t>진으뜸</t>
    <phoneticPr fontId="5" type="noConversion"/>
  </si>
  <si>
    <t>아이에스피</t>
    <phoneticPr fontId="5" type="noConversion"/>
  </si>
  <si>
    <t>경기 화성시 우정읍 매바위로 79-12</t>
    <phoneticPr fontId="5" type="noConversion"/>
  </si>
  <si>
    <t>04-1413</t>
    <phoneticPr fontId="5" type="noConversion"/>
  </si>
  <si>
    <t>진으뜸책임</t>
    <phoneticPr fontId="5" type="noConversion"/>
  </si>
  <si>
    <t>25.04.30</t>
    <phoneticPr fontId="5" type="noConversion"/>
  </si>
  <si>
    <t>장광수</t>
    <phoneticPr fontId="5" type="noConversion"/>
  </si>
  <si>
    <t>울산특수강(신축)</t>
    <phoneticPr fontId="5" type="noConversion"/>
  </si>
  <si>
    <t>울산 북구 달천동 산 2-5</t>
    <phoneticPr fontId="5" type="noConversion"/>
  </si>
  <si>
    <t>G01-2103</t>
    <phoneticPr fontId="5" type="noConversion"/>
  </si>
  <si>
    <t>외주영업자 신선수</t>
    <phoneticPr fontId="5" type="noConversion"/>
  </si>
  <si>
    <t>25.05.07</t>
    <phoneticPr fontId="5" type="noConversion"/>
  </si>
  <si>
    <t>아이앤씨스틸2호</t>
    <phoneticPr fontId="5" type="noConversion"/>
  </si>
  <si>
    <t>부산 강서구 유통단지1로97번길 12</t>
    <phoneticPr fontId="5" type="noConversion"/>
  </si>
  <si>
    <t>01-1502</t>
    <phoneticPr fontId="5" type="noConversion"/>
  </si>
  <si>
    <t>지평건설 소개</t>
    <phoneticPr fontId="5" type="noConversion"/>
  </si>
  <si>
    <t>업무시설</t>
  </si>
  <si>
    <t>049</t>
    <phoneticPr fontId="5" type="noConversion"/>
  </si>
  <si>
    <t>043</t>
    <phoneticPr fontId="5" type="noConversion"/>
  </si>
  <si>
    <t>044</t>
    <phoneticPr fontId="5" type="noConversion"/>
  </si>
  <si>
    <t>045</t>
    <phoneticPr fontId="5" type="noConversion"/>
  </si>
  <si>
    <t>046</t>
    <phoneticPr fontId="5" type="noConversion"/>
  </si>
  <si>
    <t>047</t>
    <phoneticPr fontId="5" type="noConversion"/>
  </si>
  <si>
    <t>048</t>
    <phoneticPr fontId="5" type="noConversion"/>
  </si>
  <si>
    <t>25.05.08</t>
    <phoneticPr fontId="5" type="noConversion"/>
  </si>
  <si>
    <t>허영준</t>
    <phoneticPr fontId="5" type="noConversion"/>
  </si>
  <si>
    <t>조성현</t>
    <phoneticPr fontId="5" type="noConversion"/>
  </si>
  <si>
    <t>동진정공</t>
    <phoneticPr fontId="5" type="noConversion"/>
  </si>
  <si>
    <t>경남 김해시 서김해산단안길 55</t>
    <phoneticPr fontId="5" type="noConversion"/>
  </si>
  <si>
    <t>04-0732</t>
    <phoneticPr fontId="5" type="noConversion"/>
  </si>
  <si>
    <t>25.04.21</t>
    <phoneticPr fontId="5" type="noConversion"/>
  </si>
  <si>
    <t>015</t>
    <phoneticPr fontId="5" type="noConversion"/>
  </si>
  <si>
    <t>25.05.08</t>
    <phoneticPr fontId="5" type="noConversion"/>
  </si>
  <si>
    <t>김정민</t>
    <phoneticPr fontId="5" type="noConversion"/>
  </si>
  <si>
    <t>장광수</t>
    <phoneticPr fontId="5" type="noConversion"/>
  </si>
  <si>
    <t>한솔에스앤피</t>
    <phoneticPr fontId="5" type="noConversion"/>
  </si>
  <si>
    <t>경남 김해시 한림면 명동산단로 52-4</t>
    <phoneticPr fontId="5" type="noConversion"/>
  </si>
  <si>
    <t>G01-2401</t>
    <phoneticPr fontId="5" type="noConversion"/>
  </si>
  <si>
    <t>외주영업자 신선수</t>
    <phoneticPr fontId="5" type="noConversion"/>
  </si>
  <si>
    <t>050</t>
    <phoneticPr fontId="5" type="noConversion"/>
  </si>
  <si>
    <t>25.05.12</t>
    <phoneticPr fontId="5" type="noConversion"/>
  </si>
  <si>
    <t>허영준</t>
    <phoneticPr fontId="5" type="noConversion"/>
  </si>
  <si>
    <t>박도훈</t>
    <phoneticPr fontId="5" type="noConversion"/>
  </si>
  <si>
    <t>엠에스에프</t>
    <phoneticPr fontId="5" type="noConversion"/>
  </si>
  <si>
    <t>부산 강서구 화전산업대로 272-27</t>
    <phoneticPr fontId="5" type="noConversion"/>
  </si>
  <si>
    <t>(주)그랜드썬기술단</t>
    <phoneticPr fontId="5" type="noConversion"/>
  </si>
  <si>
    <t>04-1711</t>
    <phoneticPr fontId="5" type="noConversion"/>
  </si>
  <si>
    <t>창고</t>
    <phoneticPr fontId="5" type="noConversion"/>
  </si>
  <si>
    <t>유지</t>
    <phoneticPr fontId="5" type="noConversion"/>
  </si>
  <si>
    <t>엠에스에프 법인, 인허가 선진행</t>
    <phoneticPr fontId="5" type="noConversion"/>
  </si>
  <si>
    <t>051</t>
    <phoneticPr fontId="5" type="noConversion"/>
  </si>
  <si>
    <t>25.05.08</t>
    <phoneticPr fontId="5" type="noConversion"/>
  </si>
  <si>
    <t>허영준</t>
    <phoneticPr fontId="5" type="noConversion"/>
  </si>
  <si>
    <t>김영민</t>
    <phoneticPr fontId="5" type="noConversion"/>
  </si>
  <si>
    <t>나경</t>
    <phoneticPr fontId="5" type="noConversion"/>
  </si>
  <si>
    <t>04-1712</t>
    <phoneticPr fontId="5" type="noConversion"/>
  </si>
  <si>
    <t>김영민 이사</t>
    <phoneticPr fontId="5" type="noConversion"/>
  </si>
  <si>
    <t>그랜드썬 31 에이치아이테크</t>
    <phoneticPr fontId="5" type="noConversion"/>
  </si>
  <si>
    <t>경남 김해시 진례면 테크노밸리로 78-13</t>
    <phoneticPr fontId="5" type="noConversion"/>
  </si>
  <si>
    <t>G05-1401</t>
  </si>
  <si>
    <t>25.05.15</t>
    <phoneticPr fontId="5" type="noConversion"/>
  </si>
  <si>
    <t>한진부산컨테이너터미널</t>
    <phoneticPr fontId="5" type="noConversion"/>
  </si>
  <si>
    <t>경남 창원시 진해구 신항로 433</t>
    <phoneticPr fontId="5" type="noConversion"/>
  </si>
  <si>
    <t>052</t>
    <phoneticPr fontId="5" type="noConversion"/>
  </si>
  <si>
    <t>25.05.16</t>
    <phoneticPr fontId="5" type="noConversion"/>
  </si>
  <si>
    <t>허영준</t>
    <phoneticPr fontId="5" type="noConversion"/>
  </si>
  <si>
    <t>진으뜸</t>
    <phoneticPr fontId="5" type="noConversion"/>
  </si>
  <si>
    <t>하랑2호</t>
    <phoneticPr fontId="5" type="noConversion"/>
  </si>
  <si>
    <t>진으뜸 책임</t>
    <phoneticPr fontId="5" type="noConversion"/>
  </si>
  <si>
    <t>053</t>
    <phoneticPr fontId="5" type="noConversion"/>
  </si>
  <si>
    <t>25.05.21</t>
    <phoneticPr fontId="5" type="noConversion"/>
  </si>
  <si>
    <t>허영준</t>
    <phoneticPr fontId="5" type="noConversion"/>
  </si>
  <si>
    <t>진으뜸</t>
    <phoneticPr fontId="5" type="noConversion"/>
  </si>
  <si>
    <t>이노</t>
    <phoneticPr fontId="5" type="noConversion"/>
  </si>
  <si>
    <t>04-1414</t>
    <phoneticPr fontId="5" type="noConversion"/>
  </si>
  <si>
    <t>진으뜸 책임</t>
    <phoneticPr fontId="5" type="noConversion"/>
  </si>
  <si>
    <t>054</t>
    <phoneticPr fontId="5" type="noConversion"/>
  </si>
  <si>
    <t>25.05.21</t>
    <phoneticPr fontId="5" type="noConversion"/>
  </si>
  <si>
    <t>허영준</t>
    <phoneticPr fontId="5" type="noConversion"/>
  </si>
  <si>
    <t>진으뜸</t>
    <phoneticPr fontId="5" type="noConversion"/>
  </si>
  <si>
    <t>이노2호</t>
    <phoneticPr fontId="5" type="noConversion"/>
  </si>
  <si>
    <t>04-1414</t>
    <phoneticPr fontId="5" type="noConversion"/>
  </si>
  <si>
    <t>진으뜸 책임</t>
    <phoneticPr fontId="5" type="noConversion"/>
  </si>
  <si>
    <t>055</t>
    <phoneticPr fontId="5" type="noConversion"/>
  </si>
  <si>
    <t>25.05.22</t>
    <phoneticPr fontId="5" type="noConversion"/>
  </si>
  <si>
    <t>김동호</t>
    <phoneticPr fontId="5" type="noConversion"/>
  </si>
  <si>
    <t>조성현</t>
    <phoneticPr fontId="5" type="noConversion"/>
  </si>
  <si>
    <t>제이에스플랜트</t>
    <phoneticPr fontId="5" type="noConversion"/>
  </si>
  <si>
    <t>부산 기장군 장안읍 장안산단2로 61</t>
    <phoneticPr fontId="5" type="noConversion"/>
  </si>
  <si>
    <t>08-1906</t>
    <phoneticPr fontId="5" type="noConversion"/>
  </si>
  <si>
    <t>소개</t>
    <phoneticPr fontId="5" type="noConversion"/>
  </si>
  <si>
    <t>태광</t>
    <phoneticPr fontId="5" type="noConversion"/>
  </si>
  <si>
    <t>공장</t>
    <phoneticPr fontId="5" type="noConversion"/>
  </si>
  <si>
    <t>유지</t>
    <phoneticPr fontId="5" type="noConversion"/>
  </si>
  <si>
    <t>25.05.26</t>
    <phoneticPr fontId="5" type="noConversion"/>
  </si>
  <si>
    <t>덴소코리아 창원공장 2차</t>
    <phoneticPr fontId="5" type="noConversion"/>
  </si>
  <si>
    <t>경남 창원시 성산구 웅남로 630</t>
    <phoneticPr fontId="5" type="noConversion"/>
  </si>
  <si>
    <t>056</t>
    <phoneticPr fontId="5" type="noConversion"/>
  </si>
  <si>
    <t>25.05.26</t>
    <phoneticPr fontId="5" type="noConversion"/>
  </si>
  <si>
    <t>057</t>
    <phoneticPr fontId="5" type="noConversion"/>
  </si>
  <si>
    <t>김동호</t>
    <phoneticPr fontId="5" type="noConversion"/>
  </si>
  <si>
    <t>최성환</t>
    <phoneticPr fontId="5" type="noConversion"/>
  </si>
  <si>
    <t>기태</t>
    <phoneticPr fontId="5" type="noConversion"/>
  </si>
  <si>
    <t>에이트썬</t>
    <phoneticPr fontId="5" type="noConversion"/>
  </si>
  <si>
    <t>경남 남해군 서면 연죽리 788-1</t>
    <phoneticPr fontId="5" type="noConversion"/>
  </si>
  <si>
    <t>경북 청도군 청도읍 월곡2길 35</t>
    <phoneticPr fontId="5" type="noConversion"/>
  </si>
  <si>
    <t>11-1301</t>
    <phoneticPr fontId="5" type="noConversion"/>
  </si>
  <si>
    <t>05-2307</t>
    <phoneticPr fontId="5" type="noConversion"/>
  </si>
  <si>
    <t>그 외</t>
    <phoneticPr fontId="5" type="noConversion"/>
  </si>
  <si>
    <t>축사</t>
    <phoneticPr fontId="5" type="noConversion"/>
  </si>
  <si>
    <t>유지</t>
    <phoneticPr fontId="5" type="noConversion"/>
  </si>
  <si>
    <t>공장</t>
    <phoneticPr fontId="5" type="noConversion"/>
  </si>
  <si>
    <t>058</t>
    <phoneticPr fontId="5" type="noConversion"/>
  </si>
  <si>
    <t>25.05.27</t>
    <phoneticPr fontId="5" type="noConversion"/>
  </si>
  <si>
    <t>25.05.28</t>
    <phoneticPr fontId="5" type="noConversion"/>
  </si>
  <si>
    <t>임준길</t>
    <phoneticPr fontId="5" type="noConversion"/>
  </si>
  <si>
    <t>조성현</t>
    <phoneticPr fontId="5" type="noConversion"/>
  </si>
  <si>
    <t>HJ</t>
    <phoneticPr fontId="5" type="noConversion"/>
  </si>
  <si>
    <t>경남 양산시 산막공단북9길 106</t>
    <phoneticPr fontId="5" type="noConversion"/>
  </si>
  <si>
    <t>05-0903</t>
    <phoneticPr fontId="5" type="noConversion"/>
  </si>
  <si>
    <t>그 외</t>
    <phoneticPr fontId="5" type="noConversion"/>
  </si>
  <si>
    <t>공장</t>
    <phoneticPr fontId="5" type="noConversion"/>
  </si>
  <si>
    <t>유지</t>
    <phoneticPr fontId="5" type="noConversion"/>
  </si>
  <si>
    <t>059</t>
    <phoneticPr fontId="5" type="noConversion"/>
  </si>
  <si>
    <t>JH</t>
    <phoneticPr fontId="5" type="noConversion"/>
  </si>
  <si>
    <t>그랜드썬 34 김해상공회의소</t>
    <phoneticPr fontId="5" type="noConversion"/>
  </si>
  <si>
    <t>경남 김해시 호계로422번길 24</t>
    <phoneticPr fontId="5" type="noConversion"/>
  </si>
  <si>
    <t>03-2502</t>
    <phoneticPr fontId="5" type="noConversion"/>
  </si>
  <si>
    <t>김해상공회의소</t>
    <phoneticPr fontId="5" type="noConversion"/>
  </si>
  <si>
    <t>그랜드썬 33 성원테크</t>
    <phoneticPr fontId="5" type="noConversion"/>
  </si>
  <si>
    <t xml:space="preserve">경북 경주시 외동읍 모화산단길 100 </t>
    <phoneticPr fontId="5" type="noConversion"/>
  </si>
  <si>
    <t>G05-2601</t>
    <phoneticPr fontId="5" type="noConversion"/>
  </si>
  <si>
    <t>그랜드썬 32 현대유통</t>
    <phoneticPr fontId="5" type="noConversion"/>
  </si>
  <si>
    <t>경남 창원시 의창구 북면 화천리 905-5</t>
    <phoneticPr fontId="5" type="noConversion"/>
  </si>
  <si>
    <t>G05-1202</t>
  </si>
  <si>
    <t>외주영업자 송민철</t>
    <phoneticPr fontId="5" type="noConversion"/>
  </si>
  <si>
    <t>060</t>
    <phoneticPr fontId="5" type="noConversion"/>
  </si>
  <si>
    <t>061</t>
    <phoneticPr fontId="5" type="noConversion"/>
  </si>
  <si>
    <t>25.06.02</t>
    <phoneticPr fontId="5" type="noConversion"/>
  </si>
  <si>
    <t>정규진</t>
    <phoneticPr fontId="5" type="noConversion"/>
  </si>
  <si>
    <t>조성현</t>
    <phoneticPr fontId="5" type="noConversion"/>
  </si>
  <si>
    <t>아크1호</t>
    <phoneticPr fontId="5" type="noConversion"/>
  </si>
  <si>
    <t>경남 양산시 상북면 석계산단6길87</t>
    <phoneticPr fontId="5" type="noConversion"/>
  </si>
  <si>
    <t>05-2107</t>
    <phoneticPr fontId="5" type="noConversion"/>
  </si>
  <si>
    <t>경남 양산시 상북면 석계산단6길143</t>
    <phoneticPr fontId="5" type="noConversion"/>
  </si>
  <si>
    <t>아크2호</t>
    <phoneticPr fontId="5" type="noConversion"/>
  </si>
  <si>
    <t>016</t>
    <phoneticPr fontId="5" type="noConversion"/>
  </si>
  <si>
    <t>25.06.04</t>
    <phoneticPr fontId="5" type="noConversion"/>
  </si>
  <si>
    <t>장광수</t>
    <phoneticPr fontId="5" type="noConversion"/>
  </si>
  <si>
    <t>바른</t>
    <phoneticPr fontId="5" type="noConversion"/>
  </si>
  <si>
    <t>울산 울주군 웅촌면 고연리 425-3</t>
    <phoneticPr fontId="5" type="noConversion"/>
  </si>
  <si>
    <t>G05-1902</t>
    <phoneticPr fontId="5" type="noConversion"/>
  </si>
  <si>
    <t>062</t>
    <phoneticPr fontId="5" type="noConversion"/>
  </si>
  <si>
    <t>25.06.11</t>
    <phoneticPr fontId="5" type="noConversion"/>
  </si>
  <si>
    <t>허영준</t>
    <phoneticPr fontId="5" type="noConversion"/>
  </si>
  <si>
    <t>조성현</t>
    <phoneticPr fontId="5" type="noConversion"/>
  </si>
  <si>
    <t>AB텍스</t>
    <phoneticPr fontId="5" type="noConversion"/>
  </si>
  <si>
    <t>경북 고령군 다산면 상곡리 148-81,17</t>
    <phoneticPr fontId="5" type="noConversion"/>
  </si>
  <si>
    <t>05-1503</t>
    <phoneticPr fontId="5" type="noConversion"/>
  </si>
  <si>
    <t>소개</t>
    <phoneticPr fontId="5" type="noConversion"/>
  </si>
  <si>
    <t>쌍림텍스</t>
    <phoneticPr fontId="5" type="noConversion"/>
  </si>
  <si>
    <t>공장</t>
    <phoneticPr fontId="5" type="noConversion"/>
  </si>
  <si>
    <t>유지</t>
    <phoneticPr fontId="5" type="noConversion"/>
  </si>
  <si>
    <t>25.06.16</t>
    <phoneticPr fontId="5" type="noConversion"/>
  </si>
  <si>
    <t>시에스텍</t>
    <phoneticPr fontId="5" type="noConversion"/>
  </si>
  <si>
    <t>부산 강서구 녹산산단261로87번길7</t>
    <phoneticPr fontId="5" type="noConversion"/>
  </si>
  <si>
    <t>05-2707</t>
    <phoneticPr fontId="5" type="noConversion"/>
  </si>
  <si>
    <t>064</t>
    <phoneticPr fontId="5" type="noConversion"/>
  </si>
  <si>
    <t>25.16.13</t>
    <phoneticPr fontId="5" type="noConversion"/>
  </si>
  <si>
    <t>허영준</t>
    <phoneticPr fontId="5" type="noConversion"/>
  </si>
  <si>
    <t>진으뜸</t>
    <phoneticPr fontId="5" type="noConversion"/>
  </si>
  <si>
    <t>충북 청주시 청원구 북이면 대율내추길 217-46</t>
    <phoneticPr fontId="5" type="noConversion"/>
  </si>
  <si>
    <t>063</t>
    <phoneticPr fontId="5" type="noConversion"/>
  </si>
  <si>
    <t>065</t>
    <phoneticPr fontId="5" type="noConversion"/>
  </si>
  <si>
    <t>무지개2호</t>
    <phoneticPr fontId="5" type="noConversion"/>
  </si>
  <si>
    <t>무지개1호</t>
    <phoneticPr fontId="5" type="noConversion"/>
  </si>
  <si>
    <t>05-1603</t>
    <phoneticPr fontId="5" type="noConversion"/>
  </si>
  <si>
    <t>이승훈 대표</t>
    <phoneticPr fontId="5" type="noConversion"/>
  </si>
  <si>
    <t>25.06.13</t>
    <phoneticPr fontId="5" type="noConversion"/>
  </si>
  <si>
    <t>삼한정공(에자자)</t>
    <phoneticPr fontId="5" type="noConversion"/>
  </si>
  <si>
    <t>미래금속테크(에자자)</t>
    <phoneticPr fontId="5" type="noConversion"/>
  </si>
  <si>
    <t>부산 강서구 송정동 1473-8</t>
    <phoneticPr fontId="5" type="noConversion"/>
  </si>
  <si>
    <t>03-0503</t>
    <phoneticPr fontId="5" type="noConversion"/>
  </si>
  <si>
    <t>삼한정공</t>
    <phoneticPr fontId="5" type="noConversion"/>
  </si>
  <si>
    <t>대영금속(에자자)</t>
    <phoneticPr fontId="5" type="noConversion"/>
  </si>
  <si>
    <t>부산 강서구 녹산산업북로 33</t>
    <phoneticPr fontId="5" type="noConversion"/>
  </si>
  <si>
    <t>03-0504</t>
    <phoneticPr fontId="5" type="noConversion"/>
  </si>
  <si>
    <t>004</t>
  </si>
  <si>
    <t>25.06.17</t>
    <phoneticPr fontId="5" type="noConversion"/>
  </si>
  <si>
    <t>세아제강 군산,창원,포항</t>
    <phoneticPr fontId="5" type="noConversion"/>
  </si>
  <si>
    <t>전북특별자치도 군산시 오식도동 876
경북 포항시 남구 장흥동 14-1
경남 창원시 성산구 웅남동 50</t>
    <phoneticPr fontId="5" type="noConversion"/>
  </si>
  <si>
    <t>066</t>
    <phoneticPr fontId="5" type="noConversion"/>
  </si>
  <si>
    <t>25.06.18</t>
    <phoneticPr fontId="5" type="noConversion"/>
  </si>
  <si>
    <t>정규진</t>
    <phoneticPr fontId="5" type="noConversion"/>
  </si>
  <si>
    <t>박도훈</t>
    <phoneticPr fontId="5" type="noConversion"/>
  </si>
  <si>
    <t>경남 창원시 성산구 연덕로27번길 84</t>
    <phoneticPr fontId="5" type="noConversion"/>
  </si>
  <si>
    <t>(주)그랜드썬기술단</t>
    <phoneticPr fontId="5" type="noConversion"/>
  </si>
  <si>
    <t>05-2807</t>
    <phoneticPr fontId="5" type="noConversion"/>
  </si>
  <si>
    <t>그 외</t>
    <phoneticPr fontId="5" type="noConversion"/>
  </si>
  <si>
    <t>전단지</t>
    <phoneticPr fontId="5" type="noConversion"/>
  </si>
  <si>
    <t>산단</t>
    <phoneticPr fontId="5" type="noConversion"/>
  </si>
  <si>
    <t>유지</t>
    <phoneticPr fontId="5" type="noConversion"/>
  </si>
  <si>
    <t>경기 화성시 양감면 초록로 497-34</t>
    <phoneticPr fontId="5" type="noConversion"/>
  </si>
  <si>
    <t>경기 화성시 향남읍 발안로 705-45</t>
    <phoneticPr fontId="5" type="noConversion"/>
  </si>
  <si>
    <t>04-2101</t>
    <phoneticPr fontId="5" type="noConversion"/>
  </si>
  <si>
    <t>017</t>
    <phoneticPr fontId="5" type="noConversion"/>
  </si>
  <si>
    <t>25.06.18</t>
    <phoneticPr fontId="5" type="noConversion"/>
  </si>
  <si>
    <t>장광수</t>
    <phoneticPr fontId="5" type="noConversion"/>
  </si>
  <si>
    <t>이혜인</t>
    <phoneticPr fontId="5" type="noConversion"/>
  </si>
  <si>
    <t>정봉근 책임(LG전자)</t>
    <phoneticPr fontId="5" type="noConversion"/>
  </si>
  <si>
    <t>G04-1505</t>
    <phoneticPr fontId="5" type="noConversion"/>
  </si>
  <si>
    <t>25.06.19</t>
    <phoneticPr fontId="5" type="noConversion"/>
  </si>
  <si>
    <t>김정민</t>
    <phoneticPr fontId="5" type="noConversion"/>
  </si>
  <si>
    <t>장광수</t>
    <phoneticPr fontId="5" type="noConversion"/>
  </si>
  <si>
    <t>진우화학</t>
    <phoneticPr fontId="5" type="noConversion"/>
  </si>
  <si>
    <t>경상남도 진주시 대곡면 와룡리 444-1</t>
    <phoneticPr fontId="5" type="noConversion"/>
  </si>
  <si>
    <t>그 외</t>
    <phoneticPr fontId="5" type="noConversion"/>
  </si>
  <si>
    <t>G03-1703</t>
    <phoneticPr fontId="5" type="noConversion"/>
  </si>
  <si>
    <t>유원 JPC (팩토링 3자계약)</t>
    <phoneticPr fontId="5" type="noConversion"/>
  </si>
  <si>
    <t>067</t>
    <phoneticPr fontId="5" type="noConversion"/>
  </si>
  <si>
    <t>25.06.23</t>
    <phoneticPr fontId="5" type="noConversion"/>
  </si>
  <si>
    <t>김동호</t>
    <phoneticPr fontId="5" type="noConversion"/>
  </si>
  <si>
    <t>조성현</t>
    <phoneticPr fontId="5" type="noConversion"/>
  </si>
  <si>
    <t>보양</t>
    <phoneticPr fontId="5" type="noConversion"/>
  </si>
  <si>
    <t>경남 김해시 한림면 장재로 220</t>
    <phoneticPr fontId="5" type="noConversion"/>
  </si>
  <si>
    <t>04-2104</t>
    <phoneticPr fontId="5" type="noConversion"/>
  </si>
  <si>
    <t>그 외</t>
    <phoneticPr fontId="5" type="noConversion"/>
  </si>
  <si>
    <t>창고</t>
    <phoneticPr fontId="5" type="noConversion"/>
  </si>
  <si>
    <t>유지</t>
    <phoneticPr fontId="5" type="noConversion"/>
  </si>
  <si>
    <t>배현지</t>
    <phoneticPr fontId="5" type="noConversion"/>
  </si>
  <si>
    <t>부산 강서구 녹산산단261로 77</t>
    <phoneticPr fontId="5" type="noConversion"/>
  </si>
  <si>
    <t>G06-1706</t>
    <phoneticPr fontId="5" type="noConversion"/>
  </si>
  <si>
    <t>외주영업자 배병수</t>
    <phoneticPr fontId="5" type="noConversion"/>
  </si>
  <si>
    <t>지에스엠(에자자)</t>
    <phoneticPr fontId="5" type="noConversion"/>
  </si>
  <si>
    <t>선광PSP(에자자)</t>
    <phoneticPr fontId="5" type="noConversion"/>
  </si>
  <si>
    <t>부산 강서구 녹산산단261로74번길 42</t>
    <phoneticPr fontId="5" type="noConversion"/>
  </si>
  <si>
    <t>G05-2806</t>
    <phoneticPr fontId="5" type="noConversion"/>
  </si>
  <si>
    <t>070</t>
    <phoneticPr fontId="5" type="noConversion"/>
  </si>
  <si>
    <t>25.06.25</t>
    <phoneticPr fontId="5" type="noConversion"/>
  </si>
  <si>
    <t>임준길</t>
    <phoneticPr fontId="5" type="noConversion"/>
  </si>
  <si>
    <t>조성현</t>
    <phoneticPr fontId="5" type="noConversion"/>
  </si>
  <si>
    <t>BMT</t>
    <phoneticPr fontId="5" type="noConversion"/>
  </si>
  <si>
    <t>경남 김해시 진례면 송현리 845-7</t>
    <phoneticPr fontId="5" type="noConversion"/>
  </si>
  <si>
    <t>06-1704</t>
    <phoneticPr fontId="5" type="noConversion"/>
  </si>
  <si>
    <t>소개</t>
    <phoneticPr fontId="5" type="noConversion"/>
  </si>
  <si>
    <t>세중전기김창남대표</t>
    <phoneticPr fontId="5" type="noConversion"/>
  </si>
  <si>
    <t>071</t>
    <phoneticPr fontId="5" type="noConversion"/>
  </si>
  <si>
    <t>HJP</t>
    <phoneticPr fontId="5" type="noConversion"/>
  </si>
  <si>
    <t>068</t>
    <phoneticPr fontId="5" type="noConversion"/>
  </si>
  <si>
    <t>069</t>
    <phoneticPr fontId="5" type="noConversion"/>
  </si>
  <si>
    <t>25.06.25</t>
    <phoneticPr fontId="5" type="noConversion"/>
  </si>
  <si>
    <t>진으뜸</t>
    <phoneticPr fontId="5" type="noConversion"/>
  </si>
  <si>
    <t>남경</t>
    <phoneticPr fontId="5" type="noConversion"/>
  </si>
  <si>
    <t>경기 화성시 양감면 초록로 497-48</t>
    <phoneticPr fontId="5" type="noConversion"/>
  </si>
  <si>
    <t>남경이앤지</t>
    <phoneticPr fontId="5" type="noConversion"/>
  </si>
  <si>
    <t>경기 화성시 양감면 초록로 497-49</t>
    <phoneticPr fontId="5" type="noConversion"/>
  </si>
  <si>
    <t>005</t>
  </si>
  <si>
    <t>25.06.26</t>
    <phoneticPr fontId="5" type="noConversion"/>
  </si>
  <si>
    <t>롯데물산 안성CDC 물류센터</t>
    <phoneticPr fontId="5" type="noConversion"/>
  </si>
  <si>
    <t>경기도 안성시 서운면 현매리 229-3</t>
    <phoneticPr fontId="5" type="noConversion"/>
  </si>
  <si>
    <t>04-1416</t>
    <phoneticPr fontId="5" type="noConversion"/>
  </si>
  <si>
    <t>직접유입</t>
    <phoneticPr fontId="5" type="noConversion"/>
  </si>
  <si>
    <t>정규진</t>
    <phoneticPr fontId="5" type="noConversion"/>
  </si>
  <si>
    <t>007</t>
    <phoneticPr fontId="5" type="noConversion"/>
  </si>
  <si>
    <t>배현지</t>
    <phoneticPr fontId="5" type="noConversion"/>
  </si>
  <si>
    <t>장광수</t>
    <phoneticPr fontId="5" type="noConversion"/>
  </si>
  <si>
    <t>그랜드썬 36 (태양상사)</t>
    <phoneticPr fontId="5" type="noConversion"/>
  </si>
  <si>
    <t>부산 강서구 공항로1347번길 102-1</t>
    <phoneticPr fontId="5" type="noConversion"/>
  </si>
  <si>
    <t>G06-1301</t>
    <phoneticPr fontId="5" type="noConversion"/>
  </si>
  <si>
    <t>007</t>
    <phoneticPr fontId="5" type="noConversion"/>
  </si>
  <si>
    <t>008</t>
    <phoneticPr fontId="5" type="noConversion"/>
  </si>
  <si>
    <t>조성현</t>
    <phoneticPr fontId="5" type="noConversion"/>
  </si>
  <si>
    <t>동아흥업(에자자)</t>
    <phoneticPr fontId="5" type="noConversion"/>
  </si>
  <si>
    <t>케이티엠텍(에자자)</t>
    <phoneticPr fontId="5" type="noConversion"/>
  </si>
  <si>
    <t>영화케이스틸(에자자)</t>
    <phoneticPr fontId="5" type="noConversion"/>
  </si>
  <si>
    <t>009</t>
    <phoneticPr fontId="5" type="noConversion"/>
  </si>
  <si>
    <t>허영준</t>
    <phoneticPr fontId="5" type="noConversion"/>
  </si>
  <si>
    <t>임준길</t>
    <phoneticPr fontId="5" type="noConversion"/>
  </si>
  <si>
    <t>부산 강서구 녹산산단 165로 86-19</t>
    <phoneticPr fontId="5" type="noConversion"/>
  </si>
  <si>
    <t>부산 강서구 송정동 1573-14</t>
    <phoneticPr fontId="5" type="noConversion"/>
  </si>
  <si>
    <t>부산 강서구 송정동 1760-2</t>
    <phoneticPr fontId="5" type="noConversion"/>
  </si>
  <si>
    <t>06-0411</t>
    <phoneticPr fontId="5" type="noConversion"/>
  </si>
  <si>
    <t>06-1620</t>
    <phoneticPr fontId="5" type="noConversion"/>
  </si>
  <si>
    <t>06-1629</t>
    <phoneticPr fontId="5" type="noConversion"/>
  </si>
  <si>
    <t>에자자 현수막</t>
    <phoneticPr fontId="5" type="noConversion"/>
  </si>
  <si>
    <t>전화유입</t>
    <phoneticPr fontId="5" type="noConversion"/>
  </si>
  <si>
    <t>그 외</t>
    <phoneticPr fontId="5" type="noConversion"/>
  </si>
  <si>
    <t>010</t>
    <phoneticPr fontId="5" type="noConversion"/>
  </si>
  <si>
    <t>배현지</t>
    <phoneticPr fontId="5" type="noConversion"/>
  </si>
  <si>
    <t>장광수</t>
    <phoneticPr fontId="5" type="noConversion"/>
  </si>
  <si>
    <t>성안AP(에자자)</t>
    <phoneticPr fontId="5" type="noConversion"/>
  </si>
  <si>
    <t>부산 강서구 녹산산단27로 84</t>
    <phoneticPr fontId="5" type="noConversion"/>
  </si>
  <si>
    <t>G06-1705</t>
    <phoneticPr fontId="5" type="noConversion"/>
  </si>
  <si>
    <t>011</t>
    <phoneticPr fontId="5" type="noConversion"/>
  </si>
  <si>
    <t>김동호</t>
    <phoneticPr fontId="5" type="noConversion"/>
  </si>
  <si>
    <t>김종식</t>
    <phoneticPr fontId="5" type="noConversion"/>
  </si>
  <si>
    <t>그랜드썬32 지티엘</t>
    <phoneticPr fontId="5" type="noConversion"/>
  </si>
  <si>
    <t>경기 화성시 마도면 청원로231번길 62-17</t>
    <phoneticPr fontId="5" type="noConversion"/>
  </si>
  <si>
    <t>04-2520</t>
    <phoneticPr fontId="5" type="noConversion"/>
  </si>
  <si>
    <t>김종식 전무</t>
    <phoneticPr fontId="5" type="noConversion"/>
  </si>
  <si>
    <t>018</t>
    <phoneticPr fontId="5" type="noConversion"/>
  </si>
  <si>
    <t>김정민</t>
    <phoneticPr fontId="5" type="noConversion"/>
  </si>
  <si>
    <t>장광수</t>
    <phoneticPr fontId="5" type="noConversion"/>
  </si>
  <si>
    <t>에이치아이테크</t>
    <phoneticPr fontId="5" type="noConversion"/>
  </si>
  <si>
    <t>G05-1401</t>
    <phoneticPr fontId="5" type="noConversion"/>
  </si>
  <si>
    <t>외주영업자 신선수</t>
    <phoneticPr fontId="5" type="noConversion"/>
  </si>
  <si>
    <t>취소</t>
  </si>
  <si>
    <t>072</t>
    <phoneticPr fontId="5" type="noConversion"/>
  </si>
  <si>
    <t>김동호</t>
    <phoneticPr fontId="5" type="noConversion"/>
  </si>
  <si>
    <t>진으뜸</t>
    <phoneticPr fontId="5" type="noConversion"/>
  </si>
  <si>
    <t>㈜제이원 글로벌</t>
    <phoneticPr fontId="5" type="noConversion"/>
  </si>
  <si>
    <t>경기 이천시 백사면 이여로 378</t>
    <phoneticPr fontId="5" type="noConversion"/>
  </si>
  <si>
    <t>05-1506</t>
    <phoneticPr fontId="5" type="noConversion"/>
  </si>
  <si>
    <t>직접유입</t>
    <phoneticPr fontId="5" type="noConversion"/>
  </si>
  <si>
    <t>011</t>
    <phoneticPr fontId="5" type="noConversion"/>
  </si>
  <si>
    <t>배현지</t>
    <phoneticPr fontId="5" type="noConversion"/>
  </si>
  <si>
    <t>장광수</t>
    <phoneticPr fontId="5" type="noConversion"/>
  </si>
  <si>
    <t>부산 강서구 녹산산업중로 293</t>
    <phoneticPr fontId="5" type="noConversion"/>
  </si>
  <si>
    <t>G06-1704</t>
  </si>
  <si>
    <t>외주영업자 이인재</t>
    <phoneticPr fontId="5" type="noConversion"/>
  </si>
  <si>
    <t>기존시설물(A)</t>
    <phoneticPr fontId="5" type="noConversion"/>
  </si>
  <si>
    <t>012</t>
    <phoneticPr fontId="5" type="noConversion"/>
  </si>
  <si>
    <t>임준길</t>
    <phoneticPr fontId="5" type="noConversion"/>
  </si>
  <si>
    <t>박도훈</t>
    <phoneticPr fontId="5" type="noConversion"/>
  </si>
  <si>
    <t>해동</t>
    <phoneticPr fontId="5" type="noConversion"/>
  </si>
  <si>
    <t>부산 강서구 녹산산업북로 295</t>
    <phoneticPr fontId="5" type="noConversion"/>
  </si>
  <si>
    <t>(주)그랜드썬기술단</t>
    <phoneticPr fontId="5" type="noConversion"/>
  </si>
  <si>
    <t>06-2318</t>
    <phoneticPr fontId="5" type="noConversion"/>
  </si>
  <si>
    <t>그 외</t>
    <phoneticPr fontId="5" type="noConversion"/>
  </si>
  <si>
    <t>직접유입_현수막, 우편DM</t>
    <phoneticPr fontId="5" type="noConversion"/>
  </si>
  <si>
    <t>유지</t>
    <phoneticPr fontId="5" type="noConversion"/>
  </si>
  <si>
    <t>074</t>
    <phoneticPr fontId="5" type="noConversion"/>
  </si>
  <si>
    <t>허영준</t>
    <phoneticPr fontId="5" type="noConversion"/>
  </si>
  <si>
    <t>박도훈</t>
    <phoneticPr fontId="5" type="noConversion"/>
  </si>
  <si>
    <t>퓨마</t>
    <phoneticPr fontId="5" type="noConversion"/>
  </si>
  <si>
    <t>경남 김해시 대동면 산단중앙로 190-10</t>
    <phoneticPr fontId="5" type="noConversion"/>
  </si>
  <si>
    <t>(주)그랜드썬기술단</t>
    <phoneticPr fontId="5" type="noConversion"/>
  </si>
  <si>
    <t>05-1301</t>
    <phoneticPr fontId="5" type="noConversion"/>
  </si>
  <si>
    <t>소개</t>
    <phoneticPr fontId="5" type="noConversion"/>
  </si>
  <si>
    <t>공장</t>
    <phoneticPr fontId="5" type="noConversion"/>
  </si>
  <si>
    <t>유지</t>
    <phoneticPr fontId="5" type="noConversion"/>
  </si>
  <si>
    <t>한미아큐패스트(에자자)</t>
    <phoneticPr fontId="5" type="noConversion"/>
  </si>
  <si>
    <t>008</t>
    <phoneticPr fontId="5" type="noConversion"/>
  </si>
  <si>
    <t>김동호</t>
    <phoneticPr fontId="5" type="noConversion"/>
  </si>
  <si>
    <t>조성현</t>
    <phoneticPr fontId="5" type="noConversion"/>
  </si>
  <si>
    <t>그랜드썬 37 (우진콘트롤)</t>
    <phoneticPr fontId="5" type="noConversion"/>
  </si>
  <si>
    <t>경남 김해시 한림면 김해대로 1102-57</t>
    <phoneticPr fontId="5" type="noConversion"/>
  </si>
  <si>
    <t>06-2315</t>
    <phoneticPr fontId="5" type="noConversion"/>
  </si>
  <si>
    <t>그 외</t>
    <phoneticPr fontId="5" type="noConversion"/>
  </si>
  <si>
    <t>직접유입</t>
    <phoneticPr fontId="5" type="noConversion"/>
  </si>
  <si>
    <t>유지</t>
    <phoneticPr fontId="5" type="noConversion"/>
  </si>
  <si>
    <t>075</t>
    <phoneticPr fontId="5" type="noConversion"/>
  </si>
  <si>
    <t>정규진</t>
    <phoneticPr fontId="5" type="noConversion"/>
  </si>
  <si>
    <t>박도훈</t>
    <phoneticPr fontId="5" type="noConversion"/>
  </si>
  <si>
    <t>㈜승건이엔지</t>
    <phoneticPr fontId="5" type="noConversion"/>
  </si>
  <si>
    <t>(주)그랜드썬기술단</t>
    <phoneticPr fontId="5" type="noConversion"/>
  </si>
  <si>
    <t>07-0208</t>
    <phoneticPr fontId="5" type="noConversion"/>
  </si>
  <si>
    <t>직접유입,</t>
    <phoneticPr fontId="5" type="noConversion"/>
  </si>
  <si>
    <t>공장</t>
    <phoneticPr fontId="5" type="noConversion"/>
  </si>
  <si>
    <t>유지</t>
    <phoneticPr fontId="5" type="noConversion"/>
  </si>
  <si>
    <t>김정민</t>
    <phoneticPr fontId="5" type="noConversion"/>
  </si>
  <si>
    <t>장광수</t>
    <phoneticPr fontId="5" type="noConversion"/>
  </si>
  <si>
    <t>경주 불국 발전소</t>
    <phoneticPr fontId="5" type="noConversion"/>
  </si>
  <si>
    <t>G04-3003</t>
    <phoneticPr fontId="5" type="noConversion"/>
  </si>
  <si>
    <t>019</t>
    <phoneticPr fontId="5" type="noConversion"/>
  </si>
  <si>
    <t>그 외</t>
    <phoneticPr fontId="5" type="noConversion"/>
  </si>
  <si>
    <t>외주영업 하강우</t>
    <phoneticPr fontId="5" type="noConversion"/>
  </si>
  <si>
    <t>축사</t>
    <phoneticPr fontId="5" type="noConversion"/>
  </si>
  <si>
    <t>유지</t>
    <phoneticPr fontId="5" type="noConversion"/>
  </si>
  <si>
    <t>외주(나)</t>
    <phoneticPr fontId="5" type="noConversion"/>
  </si>
  <si>
    <t>배현지</t>
    <phoneticPr fontId="5" type="noConversion"/>
  </si>
  <si>
    <t>장광수</t>
    <phoneticPr fontId="5" type="noConversion"/>
  </si>
  <si>
    <t>그랜드썬35 (풍진식품기계)</t>
    <phoneticPr fontId="5" type="noConversion"/>
  </si>
  <si>
    <t>G06-0502</t>
    <phoneticPr fontId="5" type="noConversion"/>
  </si>
  <si>
    <t>경북 경주시 마동큰마을1길 59</t>
    <phoneticPr fontId="5" type="noConversion"/>
  </si>
  <si>
    <t>076</t>
    <phoneticPr fontId="5" type="noConversion"/>
  </si>
  <si>
    <t>25.07.10</t>
    <phoneticPr fontId="5" type="noConversion"/>
  </si>
  <si>
    <t>정규진</t>
    <phoneticPr fontId="5" type="noConversion"/>
  </si>
  <si>
    <t>조성현</t>
    <phoneticPr fontId="5" type="noConversion"/>
  </si>
  <si>
    <t>장재</t>
    <phoneticPr fontId="5" type="noConversion"/>
  </si>
  <si>
    <t>경남 김해시 한림면 장재로 146-8</t>
    <phoneticPr fontId="5" type="noConversion"/>
  </si>
  <si>
    <t>05-2319</t>
    <phoneticPr fontId="5" type="noConversion"/>
  </si>
  <si>
    <t>직접유입</t>
    <phoneticPr fontId="5" type="noConversion"/>
  </si>
  <si>
    <t>창고</t>
    <phoneticPr fontId="5" type="noConversion"/>
  </si>
  <si>
    <t>유지</t>
    <phoneticPr fontId="5" type="noConversion"/>
  </si>
  <si>
    <t>009</t>
    <phoneticPr fontId="5" type="noConversion"/>
  </si>
  <si>
    <t>김정민</t>
    <phoneticPr fontId="5" type="noConversion"/>
  </si>
  <si>
    <t>장광수</t>
    <phoneticPr fontId="5" type="noConversion"/>
  </si>
  <si>
    <t>그랜드썬39 (빅스틸)</t>
    <phoneticPr fontId="5" type="noConversion"/>
  </si>
  <si>
    <t>경남 김해시 한림면 명동산단로 42</t>
    <phoneticPr fontId="5" type="noConversion"/>
  </si>
  <si>
    <t>G06-0201</t>
    <phoneticPr fontId="5" type="noConversion"/>
  </si>
  <si>
    <t>직영(가)</t>
    <phoneticPr fontId="5" type="noConversion"/>
  </si>
  <si>
    <t>기존시설물(A)</t>
    <phoneticPr fontId="5" type="noConversion"/>
  </si>
  <si>
    <t>013</t>
    <phoneticPr fontId="5" type="noConversion"/>
  </si>
  <si>
    <t>임준길</t>
    <phoneticPr fontId="5" type="noConversion"/>
  </si>
  <si>
    <t>박도훈</t>
    <phoneticPr fontId="5" type="noConversion"/>
  </si>
  <si>
    <t>에스엠테크</t>
    <phoneticPr fontId="5" type="noConversion"/>
  </si>
  <si>
    <t>(주)그랜드썬기술단</t>
    <phoneticPr fontId="5" type="noConversion"/>
  </si>
  <si>
    <t>07-0212</t>
    <phoneticPr fontId="5" type="noConversion"/>
  </si>
  <si>
    <t>그 외</t>
    <phoneticPr fontId="5" type="noConversion"/>
  </si>
  <si>
    <t>직접유입_현수막</t>
    <phoneticPr fontId="5" type="noConversion"/>
  </si>
  <si>
    <t>기존시설물(A)</t>
    <phoneticPr fontId="5" type="noConversion"/>
  </si>
  <si>
    <t>021</t>
    <phoneticPr fontId="5" type="noConversion"/>
  </si>
  <si>
    <t>김정민</t>
    <phoneticPr fontId="5" type="noConversion"/>
  </si>
  <si>
    <t>박도훈</t>
    <phoneticPr fontId="5" type="noConversion"/>
  </si>
  <si>
    <t>용호테크</t>
    <phoneticPr fontId="5" type="noConversion"/>
  </si>
  <si>
    <t>경남 김해시 진례면 고모로 216번길 151</t>
    <phoneticPr fontId="5" type="noConversion"/>
  </si>
  <si>
    <t>(주)그랜드썬기술단</t>
    <phoneticPr fontId="5" type="noConversion"/>
  </si>
  <si>
    <t>G06-0901</t>
    <phoneticPr fontId="5" type="noConversion"/>
  </si>
  <si>
    <t>정창동 이사 소개</t>
    <phoneticPr fontId="5" type="noConversion"/>
  </si>
  <si>
    <t>공장</t>
    <phoneticPr fontId="5" type="noConversion"/>
  </si>
  <si>
    <t>유지</t>
    <phoneticPr fontId="5" type="noConversion"/>
  </si>
  <si>
    <t>077</t>
    <phoneticPr fontId="5" type="noConversion"/>
  </si>
  <si>
    <t>25.07.16</t>
    <phoneticPr fontId="5" type="noConversion"/>
  </si>
  <si>
    <t>김동호</t>
    <phoneticPr fontId="5" type="noConversion"/>
  </si>
  <si>
    <t>진으뜸</t>
    <phoneticPr fontId="5" type="noConversion"/>
  </si>
  <si>
    <t>충북 청주시 서원구 죽림동 77-18</t>
    <phoneticPr fontId="5" type="noConversion"/>
  </si>
  <si>
    <t>03-2511</t>
    <phoneticPr fontId="5" type="noConversion"/>
  </si>
  <si>
    <t>진으뜸 책임</t>
    <phoneticPr fontId="5" type="noConversion"/>
  </si>
  <si>
    <t>엘에이치온</t>
    <phoneticPr fontId="5" type="noConversion"/>
  </si>
  <si>
    <t>05-1501</t>
    <phoneticPr fontId="5" type="noConversion"/>
  </si>
  <si>
    <t>03-1301</t>
    <phoneticPr fontId="5" type="noConversion"/>
  </si>
  <si>
    <t>03-0704</t>
    <phoneticPr fontId="5" type="noConversion"/>
  </si>
  <si>
    <t>스프레드시트 계약체크함</t>
    <phoneticPr fontId="5" type="noConversion"/>
  </si>
  <si>
    <t>배현지</t>
    <phoneticPr fontId="5" type="noConversion"/>
  </si>
  <si>
    <t>장광수</t>
    <phoneticPr fontId="5" type="noConversion"/>
  </si>
  <si>
    <t>리오기업(에자자)</t>
    <phoneticPr fontId="5" type="noConversion"/>
  </si>
  <si>
    <t>부산 강서구 녹산산업중로 51-20</t>
    <phoneticPr fontId="5" type="noConversion"/>
  </si>
  <si>
    <t>G07-0304</t>
    <phoneticPr fontId="5" type="noConversion"/>
  </si>
  <si>
    <t>078</t>
    <phoneticPr fontId="5" type="noConversion"/>
  </si>
  <si>
    <t>25.07.17</t>
    <phoneticPr fontId="5" type="noConversion"/>
  </si>
  <si>
    <t>허영준</t>
    <phoneticPr fontId="5" type="noConversion"/>
  </si>
  <si>
    <t>조성현</t>
    <phoneticPr fontId="5" type="noConversion"/>
  </si>
  <si>
    <t>㈜대원정공</t>
    <phoneticPr fontId="5" type="noConversion"/>
  </si>
  <si>
    <t>경남 양산시 북정공단2길 119</t>
    <phoneticPr fontId="5" type="noConversion"/>
  </si>
  <si>
    <t>06-0912</t>
    <phoneticPr fontId="5" type="noConversion"/>
  </si>
  <si>
    <t>소개</t>
    <phoneticPr fontId="5" type="noConversion"/>
  </si>
  <si>
    <t>동진볼트 전무소개</t>
    <phoneticPr fontId="5" type="noConversion"/>
  </si>
  <si>
    <t>공장</t>
    <phoneticPr fontId="5" type="noConversion"/>
  </si>
  <si>
    <t>유지</t>
    <phoneticPr fontId="5" type="noConversion"/>
  </si>
  <si>
    <t>079</t>
    <phoneticPr fontId="5" type="noConversion"/>
  </si>
  <si>
    <t>25.06.23</t>
    <phoneticPr fontId="5" type="noConversion"/>
  </si>
  <si>
    <t>정규진</t>
    <phoneticPr fontId="5" type="noConversion"/>
  </si>
  <si>
    <t>박도훈</t>
    <phoneticPr fontId="5" type="noConversion"/>
  </si>
  <si>
    <t>오케이테크3</t>
    <phoneticPr fontId="5" type="noConversion"/>
  </si>
  <si>
    <t>경북 구미시 산동읍 5공단중앙로 117</t>
    <phoneticPr fontId="5" type="noConversion"/>
  </si>
  <si>
    <t>(주)그랜드썬기술단</t>
    <phoneticPr fontId="5" type="noConversion"/>
  </si>
  <si>
    <t>04-1604</t>
    <phoneticPr fontId="5" type="noConversion"/>
  </si>
  <si>
    <t>그 외</t>
    <phoneticPr fontId="5" type="noConversion"/>
  </si>
  <si>
    <t>직접유입, 대동산단, 프리미엄보고서</t>
    <phoneticPr fontId="5" type="noConversion"/>
  </si>
  <si>
    <t>직접유입, 구미5국가산단, 프리미엄보고서</t>
    <phoneticPr fontId="5" type="noConversion"/>
  </si>
  <si>
    <t>공장</t>
    <phoneticPr fontId="5" type="noConversion"/>
  </si>
  <si>
    <t>유지</t>
    <phoneticPr fontId="5" type="noConversion"/>
  </si>
  <si>
    <t>081</t>
    <phoneticPr fontId="5" type="noConversion"/>
  </si>
  <si>
    <t>25.07.22</t>
    <phoneticPr fontId="5" type="noConversion"/>
  </si>
  <si>
    <t>김동호</t>
    <phoneticPr fontId="5" type="noConversion"/>
  </si>
  <si>
    <t>조성현</t>
    <phoneticPr fontId="5" type="noConversion"/>
  </si>
  <si>
    <t>대한</t>
    <phoneticPr fontId="5" type="noConversion"/>
  </si>
  <si>
    <t>울산 울주군 청량읍 처용산업3길 74</t>
    <phoneticPr fontId="5" type="noConversion"/>
  </si>
  <si>
    <t>06-1108</t>
    <phoneticPr fontId="5" type="noConversion"/>
  </si>
  <si>
    <t>소개</t>
    <phoneticPr fontId="5" type="noConversion"/>
  </si>
  <si>
    <t>피유테크 양주영실장소개</t>
    <phoneticPr fontId="5" type="noConversion"/>
  </si>
  <si>
    <t>080</t>
    <phoneticPr fontId="5" type="noConversion"/>
  </si>
  <si>
    <t>그랜드썬안성</t>
    <phoneticPr fontId="5" type="noConversion"/>
  </si>
  <si>
    <t>경기 안성시 삼죽면 삼죽로 205-41</t>
    <phoneticPr fontId="5" type="noConversion"/>
  </si>
  <si>
    <t>04-0902</t>
    <phoneticPr fontId="5" type="noConversion"/>
  </si>
  <si>
    <t>안성지사 지붕태양광설치</t>
    <phoneticPr fontId="5" type="noConversion"/>
  </si>
  <si>
    <t>김동호</t>
    <phoneticPr fontId="5" type="noConversion"/>
  </si>
  <si>
    <t>조성현</t>
    <phoneticPr fontId="5" type="noConversion"/>
  </si>
  <si>
    <t>진으뜸</t>
    <phoneticPr fontId="5" type="noConversion"/>
  </si>
  <si>
    <t>성민티에프</t>
    <phoneticPr fontId="5" type="noConversion"/>
  </si>
  <si>
    <t>084</t>
    <phoneticPr fontId="5" type="noConversion"/>
  </si>
  <si>
    <t>임준길</t>
    <phoneticPr fontId="5" type="noConversion"/>
  </si>
  <si>
    <t>07-1001</t>
    <phoneticPr fontId="5" type="noConversion"/>
  </si>
  <si>
    <t>직접유입</t>
    <phoneticPr fontId="5" type="noConversion"/>
  </si>
  <si>
    <t>082</t>
    <phoneticPr fontId="5" type="noConversion"/>
  </si>
  <si>
    <t>083</t>
    <phoneticPr fontId="5" type="noConversion"/>
  </si>
  <si>
    <t>25.07.24</t>
    <phoneticPr fontId="5" type="noConversion"/>
  </si>
  <si>
    <t>대동</t>
    <phoneticPr fontId="5" type="noConversion"/>
  </si>
  <si>
    <t>대동3호</t>
    <phoneticPr fontId="5" type="noConversion"/>
  </si>
  <si>
    <t>경남 김해시 대동면 괴정리 319</t>
    <phoneticPr fontId="5" type="noConversion"/>
  </si>
  <si>
    <t>경남 김해시 대동면 월촌리 1296-7</t>
    <phoneticPr fontId="5" type="noConversion"/>
  </si>
  <si>
    <t>07-0102</t>
    <phoneticPr fontId="5" type="noConversion"/>
  </si>
  <si>
    <t>07-2102</t>
    <phoneticPr fontId="5" type="noConversion"/>
  </si>
  <si>
    <t>소개</t>
    <phoneticPr fontId="5" type="noConversion"/>
  </si>
  <si>
    <t>미음,녹산1~3호,대동1~2호 사업주 추가건</t>
    <phoneticPr fontId="5" type="noConversion"/>
  </si>
  <si>
    <t>022</t>
    <phoneticPr fontId="5" type="noConversion"/>
  </si>
  <si>
    <t>023</t>
    <phoneticPr fontId="5" type="noConversion"/>
  </si>
  <si>
    <t>김정민</t>
    <phoneticPr fontId="5" type="noConversion"/>
  </si>
  <si>
    <t>장광수</t>
    <phoneticPr fontId="5" type="noConversion"/>
  </si>
  <si>
    <t>SJ</t>
    <phoneticPr fontId="5" type="noConversion"/>
  </si>
  <si>
    <t>SJY</t>
    <phoneticPr fontId="5" type="noConversion"/>
  </si>
  <si>
    <t>울산 울주군 서생면 에너지산업4로 11</t>
    <phoneticPr fontId="5" type="noConversion"/>
  </si>
  <si>
    <t>울산 남구 테크노산업로 55번길 45</t>
    <phoneticPr fontId="5" type="noConversion"/>
  </si>
  <si>
    <t>G07-0405</t>
    <phoneticPr fontId="5" type="noConversion"/>
  </si>
  <si>
    <t>G07-1011</t>
    <phoneticPr fontId="5" type="noConversion"/>
  </si>
  <si>
    <t>경기 광주시 초월읍 신월리572, 574</t>
    <phoneticPr fontId="5" type="noConversion"/>
  </si>
  <si>
    <t>25.07.22</t>
    <phoneticPr fontId="5" type="noConversion"/>
  </si>
  <si>
    <t>25.07.16</t>
    <phoneticPr fontId="5" type="noConversion"/>
  </si>
  <si>
    <t>25.07.10</t>
    <phoneticPr fontId="5" type="noConversion"/>
  </si>
  <si>
    <t>25.07.09</t>
    <phoneticPr fontId="5" type="noConversion"/>
  </si>
  <si>
    <t>25.07.03</t>
    <phoneticPr fontId="5" type="noConversion"/>
  </si>
  <si>
    <t>25.07.02</t>
    <phoneticPr fontId="5" type="noConversion"/>
  </si>
  <si>
    <t>25.07.23</t>
    <phoneticPr fontId="5" type="noConversion"/>
  </si>
  <si>
    <t>전체 합계</t>
    <phoneticPr fontId="5" type="noConversion"/>
  </si>
  <si>
    <t xml:space="preserve"> 전체</t>
    <phoneticPr fontId="5" type="noConversion"/>
  </si>
  <si>
    <t>전체 계약 건수</t>
    <phoneticPr fontId="5" type="noConversion"/>
  </si>
  <si>
    <t>전체 계약 용량</t>
    <phoneticPr fontId="5" type="noConversion"/>
  </si>
  <si>
    <t>마케팅 계약 용량</t>
    <phoneticPr fontId="5" type="noConversion"/>
  </si>
  <si>
    <t>마케팅 계약 건수</t>
    <phoneticPr fontId="5" type="noConversion"/>
  </si>
  <si>
    <t>소개 계약 용량</t>
    <phoneticPr fontId="5" type="noConversion"/>
  </si>
  <si>
    <t>소개 계약 건수</t>
    <phoneticPr fontId="5" type="noConversion"/>
  </si>
  <si>
    <t>전체</t>
    <phoneticPr fontId="5" type="noConversion"/>
  </si>
  <si>
    <t>085</t>
    <phoneticPr fontId="5" type="noConversion"/>
  </si>
  <si>
    <t>25.08.04</t>
    <phoneticPr fontId="5" type="noConversion"/>
  </si>
  <si>
    <t>예다움</t>
    <phoneticPr fontId="5" type="noConversion"/>
  </si>
  <si>
    <t>대구 달성군 구지면 창리서로 82</t>
    <phoneticPr fontId="5" type="noConversion"/>
  </si>
  <si>
    <t>07-0711</t>
    <phoneticPr fontId="5" type="noConversion"/>
  </si>
  <si>
    <t>직접 유입</t>
    <phoneticPr fontId="5" type="noConversion"/>
  </si>
  <si>
    <t>그랜드썬41 (녹갈)</t>
    <phoneticPr fontId="5" type="noConversion"/>
  </si>
  <si>
    <t>울산 울주군 언양읍 태기길 40</t>
    <phoneticPr fontId="5" type="noConversion"/>
  </si>
  <si>
    <t>07-1812</t>
    <phoneticPr fontId="5" type="noConversion"/>
  </si>
  <si>
    <t>086</t>
    <phoneticPr fontId="5" type="noConversion"/>
  </si>
  <si>
    <t>087</t>
    <phoneticPr fontId="5" type="noConversion"/>
  </si>
  <si>
    <t>(주)엠씨에스</t>
    <phoneticPr fontId="5" type="noConversion"/>
  </si>
  <si>
    <t>㈜동지디앤비</t>
    <phoneticPr fontId="5" type="noConversion"/>
  </si>
  <si>
    <t>경남 김해시 상동면 우계리 78</t>
    <phoneticPr fontId="5" type="noConversion"/>
  </si>
  <si>
    <t>충북 괴산군 사리면 모래재로 843</t>
    <phoneticPr fontId="5" type="noConversion"/>
  </si>
  <si>
    <t>06-1310</t>
    <phoneticPr fontId="5" type="noConversion"/>
  </si>
  <si>
    <t>07-1002</t>
    <phoneticPr fontId="5" type="noConversion"/>
  </si>
  <si>
    <t>25.08.05</t>
    <phoneticPr fontId="5" type="noConversion"/>
  </si>
  <si>
    <t>범일</t>
    <phoneticPr fontId="5" type="noConversion"/>
  </si>
  <si>
    <t>부산 동구 범상로 42</t>
    <phoneticPr fontId="5" type="noConversion"/>
  </si>
  <si>
    <t>G07-2310</t>
    <phoneticPr fontId="5" type="noConversion"/>
  </si>
  <si>
    <t>088</t>
    <phoneticPr fontId="5" type="noConversion"/>
  </si>
  <si>
    <t>배기태</t>
    <phoneticPr fontId="5" type="noConversion"/>
  </si>
  <si>
    <t>현대</t>
    <phoneticPr fontId="5" type="noConversion"/>
  </si>
  <si>
    <t>07-1114</t>
    <phoneticPr fontId="5" type="noConversion"/>
  </si>
  <si>
    <t>25.08.01</t>
    <phoneticPr fontId="5" type="noConversion"/>
  </si>
  <si>
    <t>신주신축</t>
    <phoneticPr fontId="5" type="noConversion"/>
  </si>
  <si>
    <t>G06-1801</t>
    <phoneticPr fontId="5" type="noConversion"/>
  </si>
  <si>
    <t>25.08.08</t>
    <phoneticPr fontId="5" type="noConversion"/>
  </si>
  <si>
    <t>임준길</t>
    <phoneticPr fontId="5" type="noConversion"/>
  </si>
  <si>
    <t>정규진</t>
    <phoneticPr fontId="5" type="noConversion"/>
  </si>
  <si>
    <t>해오름2</t>
    <phoneticPr fontId="5" type="noConversion"/>
  </si>
  <si>
    <t>부산 강서구 가락대로1283번길 9</t>
    <phoneticPr fontId="5" type="noConversion"/>
  </si>
  <si>
    <t>08-0431</t>
    <phoneticPr fontId="5" type="noConversion"/>
  </si>
  <si>
    <t>최창민수석</t>
    <phoneticPr fontId="5" type="noConversion"/>
  </si>
  <si>
    <t>090</t>
    <phoneticPr fontId="5" type="noConversion"/>
  </si>
  <si>
    <t>허영준</t>
    <phoneticPr fontId="5" type="noConversion"/>
  </si>
  <si>
    <t>김영민</t>
    <phoneticPr fontId="5" type="noConversion"/>
  </si>
  <si>
    <t>대정</t>
    <phoneticPr fontId="5" type="noConversion"/>
  </si>
  <si>
    <t>충북 진천군 진천읍 장수로 172-1</t>
    <phoneticPr fontId="5" type="noConversion"/>
  </si>
  <si>
    <t>04-0102</t>
    <phoneticPr fontId="5" type="noConversion"/>
  </si>
  <si>
    <t>김재완</t>
    <phoneticPr fontId="5" type="noConversion"/>
  </si>
  <si>
    <t>25.07.17</t>
    <phoneticPr fontId="5" type="noConversion"/>
  </si>
  <si>
    <t>091</t>
    <phoneticPr fontId="5" type="noConversion"/>
  </si>
  <si>
    <t>25.08.12</t>
    <phoneticPr fontId="5" type="noConversion"/>
  </si>
  <si>
    <t>정규진</t>
    <phoneticPr fontId="5" type="noConversion"/>
  </si>
  <si>
    <t>박도훈</t>
    <phoneticPr fontId="5" type="noConversion"/>
  </si>
  <si>
    <t>티씨티</t>
    <phoneticPr fontId="5" type="noConversion"/>
  </si>
  <si>
    <t>경남 김해시 진례면 테크노밸리로 20</t>
    <phoneticPr fontId="5" type="noConversion"/>
  </si>
  <si>
    <t>(주)그랜드썬기술단</t>
    <phoneticPr fontId="5" type="noConversion"/>
  </si>
  <si>
    <t>06-2606</t>
    <phoneticPr fontId="5" type="noConversion"/>
  </si>
  <si>
    <t>그 외</t>
    <phoneticPr fontId="5" type="noConversion"/>
  </si>
  <si>
    <t>직접유입 (KP항공 옆 부지) 시공 현장 보고 문의</t>
    <phoneticPr fontId="5" type="noConversion"/>
  </si>
  <si>
    <t>공장</t>
    <phoneticPr fontId="5" type="noConversion"/>
  </si>
  <si>
    <t>유지</t>
    <phoneticPr fontId="5" type="noConversion"/>
  </si>
  <si>
    <t>092</t>
    <phoneticPr fontId="5" type="noConversion"/>
  </si>
  <si>
    <t>25.08.12</t>
    <phoneticPr fontId="5" type="noConversion"/>
  </si>
  <si>
    <t>허영준</t>
    <phoneticPr fontId="5" type="noConversion"/>
  </si>
  <si>
    <t>진으뜸</t>
    <phoneticPr fontId="5" type="noConversion"/>
  </si>
  <si>
    <t>장재</t>
    <phoneticPr fontId="5" type="noConversion"/>
  </si>
  <si>
    <t>경기 용인시 처인구 백암면 장평리 267-2</t>
    <phoneticPr fontId="5" type="noConversion"/>
  </si>
  <si>
    <t>07-2803</t>
    <phoneticPr fontId="5" type="noConversion"/>
  </si>
  <si>
    <t>직접유입</t>
    <phoneticPr fontId="5" type="noConversion"/>
  </si>
  <si>
    <t>093</t>
    <phoneticPr fontId="5" type="noConversion"/>
  </si>
  <si>
    <t>장재 2호</t>
    <phoneticPr fontId="5" type="noConversion"/>
  </si>
  <si>
    <t>경기 용인시 처인구 백암면 장평리 280-4</t>
    <phoneticPr fontId="5" type="noConversion"/>
  </si>
  <si>
    <t>08-0801</t>
    <phoneticPr fontId="5" type="noConversion"/>
  </si>
  <si>
    <t>089</t>
    <phoneticPr fontId="5" type="noConversion"/>
  </si>
  <si>
    <t>026</t>
    <phoneticPr fontId="5" type="noConversion"/>
  </si>
  <si>
    <t>배현지</t>
    <phoneticPr fontId="5" type="noConversion"/>
  </si>
  <si>
    <t>장광수</t>
    <phoneticPr fontId="5" type="noConversion"/>
  </si>
  <si>
    <t>현숙</t>
    <phoneticPr fontId="5" type="noConversion"/>
  </si>
  <si>
    <t>경북 칠곡군 지천면 송정도당길 109</t>
    <phoneticPr fontId="5" type="noConversion"/>
  </si>
  <si>
    <t>G07-0901</t>
    <phoneticPr fontId="5" type="noConversion"/>
  </si>
  <si>
    <t>외주영업자 조병휘</t>
    <phoneticPr fontId="5" type="noConversion"/>
  </si>
  <si>
    <t>유지</t>
    <phoneticPr fontId="5" type="noConversion"/>
  </si>
  <si>
    <t>창고</t>
    <phoneticPr fontId="5" type="noConversion"/>
  </si>
  <si>
    <t>김정민</t>
    <phoneticPr fontId="5" type="noConversion"/>
  </si>
  <si>
    <t>장광수</t>
    <phoneticPr fontId="5" type="noConversion"/>
  </si>
  <si>
    <t>027</t>
    <phoneticPr fontId="5" type="noConversion"/>
  </si>
  <si>
    <t>25.08.14</t>
    <phoneticPr fontId="5" type="noConversion"/>
  </si>
  <si>
    <t>지엠아이</t>
    <phoneticPr fontId="5" type="noConversion"/>
  </si>
  <si>
    <t>부산 기장군 정관읍 산단4로 55</t>
    <phoneticPr fontId="5" type="noConversion"/>
  </si>
  <si>
    <t>G08-0605</t>
    <phoneticPr fontId="5" type="noConversion"/>
  </si>
  <si>
    <t>그 외</t>
    <phoneticPr fontId="5" type="noConversion"/>
  </si>
  <si>
    <t>외주영업자 김성환</t>
    <phoneticPr fontId="5" type="noConversion"/>
  </si>
  <si>
    <t>공장</t>
    <phoneticPr fontId="5" type="noConversion"/>
  </si>
  <si>
    <t>유지</t>
    <phoneticPr fontId="5" type="noConversion"/>
  </si>
  <si>
    <t>변경 목표</t>
    <phoneticPr fontId="5" type="noConversion"/>
  </si>
  <si>
    <t>기존</t>
    <phoneticPr fontId="5" type="noConversion"/>
  </si>
  <si>
    <t xml:space="preserve">2025년 8월에 비율변경 하여 1~12월 </t>
    <phoneticPr fontId="5" type="noConversion"/>
  </si>
  <si>
    <t>최종합계가 맞지않음</t>
    <phoneticPr fontId="5" type="noConversion"/>
  </si>
  <si>
    <t>094</t>
    <phoneticPr fontId="5" type="noConversion"/>
  </si>
  <si>
    <t>25.08.18</t>
    <phoneticPr fontId="5" type="noConversion"/>
  </si>
  <si>
    <t>배기태</t>
    <phoneticPr fontId="5" type="noConversion"/>
  </si>
  <si>
    <t>박도훈</t>
    <phoneticPr fontId="5" type="noConversion"/>
  </si>
  <si>
    <t>AK에너지</t>
    <phoneticPr fontId="5" type="noConversion"/>
  </si>
  <si>
    <t>경남 김해시 한림면 가동로 9-46</t>
    <phoneticPr fontId="5" type="noConversion"/>
  </si>
  <si>
    <t>08-0803</t>
    <phoneticPr fontId="5" type="noConversion"/>
  </si>
  <si>
    <t>그 외</t>
    <phoneticPr fontId="5" type="noConversion"/>
  </si>
  <si>
    <t>직접유입</t>
    <phoneticPr fontId="5" type="noConversion"/>
  </si>
  <si>
    <t>공장</t>
    <phoneticPr fontId="5" type="noConversion"/>
  </si>
  <si>
    <t>유지</t>
    <phoneticPr fontId="5" type="noConversion"/>
  </si>
  <si>
    <t>002</t>
    <phoneticPr fontId="5" type="noConversion"/>
  </si>
  <si>
    <t>25.08.18</t>
    <phoneticPr fontId="5" type="noConversion"/>
  </si>
  <si>
    <t>이태호</t>
    <phoneticPr fontId="5" type="noConversion"/>
  </si>
  <si>
    <t>박지훈</t>
    <phoneticPr fontId="5" type="noConversion"/>
  </si>
  <si>
    <t>부경원예농협(화훼공판장, APC)</t>
    <phoneticPr fontId="5" type="noConversion"/>
  </si>
  <si>
    <t>영업자 김노입</t>
    <phoneticPr fontId="5" type="noConversion"/>
  </si>
  <si>
    <t>창고 및 판매시설</t>
  </si>
  <si>
    <t>028</t>
    <phoneticPr fontId="5" type="noConversion"/>
  </si>
  <si>
    <t>김정민</t>
    <phoneticPr fontId="5" type="noConversion"/>
  </si>
  <si>
    <t>장광수</t>
    <phoneticPr fontId="5" type="noConversion"/>
  </si>
  <si>
    <t>흥진</t>
    <phoneticPr fontId="5" type="noConversion"/>
  </si>
  <si>
    <t>부산 사하구 다산로 81</t>
    <phoneticPr fontId="5" type="noConversion"/>
  </si>
  <si>
    <t>G03-1201</t>
    <phoneticPr fontId="5" type="noConversion"/>
  </si>
  <si>
    <t>외주영업자 신선수</t>
    <phoneticPr fontId="5" type="noConversion"/>
  </si>
  <si>
    <t>공장</t>
    <phoneticPr fontId="5" type="noConversion"/>
  </si>
  <si>
    <t>095</t>
    <phoneticPr fontId="5" type="noConversion"/>
  </si>
  <si>
    <t>25.08.20</t>
    <phoneticPr fontId="5" type="noConversion"/>
  </si>
  <si>
    <t>임준길</t>
    <phoneticPr fontId="5" type="noConversion"/>
  </si>
  <si>
    <t>조성현</t>
    <phoneticPr fontId="5" type="noConversion"/>
  </si>
  <si>
    <t>화진테크</t>
    <phoneticPr fontId="5" type="noConversion"/>
  </si>
  <si>
    <t>경남 함안군 군북면 효자골길 26</t>
    <phoneticPr fontId="5" type="noConversion"/>
  </si>
  <si>
    <t>06-3008</t>
    <phoneticPr fontId="5" type="noConversion"/>
  </si>
  <si>
    <t>미음산단 화진기업에서 남훈책임 소개</t>
    <phoneticPr fontId="5" type="noConversion"/>
  </si>
  <si>
    <t>25.08.21</t>
    <phoneticPr fontId="5" type="noConversion"/>
  </si>
  <si>
    <t>096</t>
    <phoneticPr fontId="5" type="noConversion"/>
  </si>
  <si>
    <t>25.08.21</t>
    <phoneticPr fontId="5" type="noConversion"/>
  </si>
  <si>
    <t>임준길</t>
    <phoneticPr fontId="5" type="noConversion"/>
  </si>
  <si>
    <t>성은테크</t>
    <phoneticPr fontId="5" type="noConversion"/>
  </si>
  <si>
    <t>경남 김해시 한림면 병동산단로 28</t>
    <phoneticPr fontId="5" type="noConversion"/>
  </si>
  <si>
    <t>06-2702</t>
    <phoneticPr fontId="5" type="noConversion"/>
  </si>
  <si>
    <t>22-0213 미팅건</t>
    <phoneticPr fontId="5" type="noConversion"/>
  </si>
  <si>
    <t>097</t>
    <phoneticPr fontId="5" type="noConversion"/>
  </si>
  <si>
    <t>25.08.22</t>
    <phoneticPr fontId="5" type="noConversion"/>
  </si>
  <si>
    <t>임준길</t>
    <phoneticPr fontId="5" type="noConversion"/>
  </si>
  <si>
    <t>조성현</t>
    <phoneticPr fontId="5" type="noConversion"/>
  </si>
  <si>
    <t>진성시엔티</t>
    <phoneticPr fontId="5" type="noConversion"/>
  </si>
  <si>
    <t>경남 김해시 진례면 하이테크로 68</t>
    <phoneticPr fontId="5" type="noConversion"/>
  </si>
  <si>
    <t>07-2402</t>
    <phoneticPr fontId="5" type="noConversion"/>
  </si>
  <si>
    <t>소개</t>
    <phoneticPr fontId="5" type="noConversion"/>
  </si>
  <si>
    <t>국민은행덕천점 백재호 지점장</t>
    <phoneticPr fontId="5" type="noConversion"/>
  </si>
  <si>
    <t>산단</t>
    <phoneticPr fontId="5" type="noConversion"/>
  </si>
  <si>
    <t>유지</t>
    <phoneticPr fontId="5" type="noConversion"/>
  </si>
  <si>
    <t>029</t>
    <phoneticPr fontId="5" type="noConversion"/>
  </si>
  <si>
    <t>25.08.22</t>
    <phoneticPr fontId="5" type="noConversion"/>
  </si>
  <si>
    <t>김정민</t>
    <phoneticPr fontId="5" type="noConversion"/>
  </si>
  <si>
    <t>장광수</t>
    <phoneticPr fontId="5" type="noConversion"/>
  </si>
  <si>
    <t>카팀스</t>
    <phoneticPr fontId="5" type="noConversion"/>
  </si>
  <si>
    <t>경기 포천시 가산면 정금로 356-16</t>
    <phoneticPr fontId="5" type="noConversion"/>
  </si>
  <si>
    <t>G08-1401</t>
    <phoneticPr fontId="5" type="noConversion"/>
  </si>
  <si>
    <t>외주영업자 이웅희</t>
    <phoneticPr fontId="5" type="noConversion"/>
  </si>
  <si>
    <t>098</t>
    <phoneticPr fontId="5" type="noConversion"/>
  </si>
  <si>
    <t>25.08.26</t>
    <phoneticPr fontId="5" type="noConversion"/>
  </si>
  <si>
    <t>임준길</t>
    <phoneticPr fontId="5" type="noConversion"/>
  </si>
  <si>
    <t>조성현</t>
    <phoneticPr fontId="5" type="noConversion"/>
  </si>
  <si>
    <t>BMT</t>
    <phoneticPr fontId="5" type="noConversion"/>
  </si>
  <si>
    <t>울산 울주군 온양읍 지더블유산업로 60</t>
    <phoneticPr fontId="5" type="noConversion"/>
  </si>
  <si>
    <t>07-2307</t>
    <phoneticPr fontId="5" type="noConversion"/>
  </si>
  <si>
    <t>소개</t>
    <phoneticPr fontId="5" type="noConversion"/>
  </si>
  <si>
    <t>099</t>
    <phoneticPr fontId="5" type="noConversion"/>
  </si>
  <si>
    <t>25.08.27</t>
    <phoneticPr fontId="5" type="noConversion"/>
  </si>
  <si>
    <t>온유림4호</t>
    <phoneticPr fontId="5" type="noConversion"/>
  </si>
  <si>
    <t>경남 김해시 진례면 테크노밸리1로 128</t>
  </si>
  <si>
    <t>07-2212</t>
    <phoneticPr fontId="5" type="noConversion"/>
  </si>
  <si>
    <t>그 외</t>
    <phoneticPr fontId="5" type="noConversion"/>
  </si>
  <si>
    <t>온유림 1호 ~3호 사업주</t>
    <phoneticPr fontId="5" type="noConversion"/>
  </si>
  <si>
    <t>대구 북구 조야동 181</t>
    <phoneticPr fontId="5" type="noConversion"/>
  </si>
  <si>
    <t>경북 경산시 공단 7로 42</t>
    <phoneticPr fontId="5" type="noConversion"/>
  </si>
  <si>
    <t>울산 북구 효문동 712-1, 711-2</t>
    <phoneticPr fontId="5" type="noConversion"/>
  </si>
  <si>
    <t>울산 북구 연암동 1405</t>
    <phoneticPr fontId="5" type="noConversion"/>
  </si>
  <si>
    <t>부산 강서구 상덕로97번길 21-1</t>
    <phoneticPr fontId="5" type="noConversion"/>
  </si>
  <si>
    <t>경기 포천시 가산면 가산리 34</t>
    <phoneticPr fontId="5" type="noConversion"/>
  </si>
  <si>
    <t>경기 이천시 모가면 사실로1026번길 13-26</t>
    <phoneticPr fontId="5" type="noConversion"/>
  </si>
  <si>
    <t>경기 안성시 일죽면 국동길 73-28</t>
    <phoneticPr fontId="5" type="noConversion"/>
  </si>
  <si>
    <t>경기 안성시 일죽면 국동길 73-26</t>
    <phoneticPr fontId="5" type="noConversion"/>
  </si>
  <si>
    <t>부산 강서구 미음국제5로 85</t>
    <phoneticPr fontId="5" type="noConversion"/>
  </si>
  <si>
    <t>경기 파주시 야동동 246-22</t>
    <phoneticPr fontId="5" type="noConversion"/>
  </si>
  <si>
    <t>경기 화성시 장안면 석포리 784-28</t>
    <phoneticPr fontId="5" type="noConversion"/>
  </si>
  <si>
    <t>부산 강서구 강동동 491-162, 
부산 강서구 강동동 2390번지</t>
    <phoneticPr fontId="5" type="noConversion"/>
  </si>
  <si>
    <t>부산 강서구 미음산단로199번길 47</t>
    <phoneticPr fontId="5" type="noConversion"/>
  </si>
  <si>
    <t>100</t>
    <phoneticPr fontId="5" type="noConversion"/>
  </si>
  <si>
    <t>102</t>
    <phoneticPr fontId="5" type="noConversion"/>
  </si>
  <si>
    <t>103</t>
    <phoneticPr fontId="5" type="noConversion"/>
  </si>
  <si>
    <t>104</t>
    <phoneticPr fontId="5" type="noConversion"/>
  </si>
  <si>
    <t>101</t>
    <phoneticPr fontId="5" type="noConversion"/>
  </si>
  <si>
    <t>25.08.28</t>
    <phoneticPr fontId="5" type="noConversion"/>
  </si>
  <si>
    <t>삼락75</t>
    <phoneticPr fontId="5" type="noConversion"/>
  </si>
  <si>
    <t>전사포리92</t>
    <phoneticPr fontId="5" type="noConversion"/>
  </si>
  <si>
    <t>가곡동318</t>
    <phoneticPr fontId="5" type="noConversion"/>
  </si>
  <si>
    <t>전사포리39</t>
    <phoneticPr fontId="5" type="noConversion"/>
  </si>
  <si>
    <t>가곡동311</t>
    <phoneticPr fontId="5" type="noConversion"/>
  </si>
  <si>
    <t>부산 사상구 삼락동 75-6</t>
    <phoneticPr fontId="5" type="noConversion"/>
  </si>
  <si>
    <t>경남 밀양시 부북면 전사포리 92-4</t>
    <phoneticPr fontId="5" type="noConversion"/>
  </si>
  <si>
    <t>경남 밀양시 가곡동 318-1</t>
    <phoneticPr fontId="5" type="noConversion"/>
  </si>
  <si>
    <t>경남 밀양시 부북면 전사포리 39-12</t>
    <phoneticPr fontId="5" type="noConversion"/>
  </si>
  <si>
    <t>08-2104</t>
    <phoneticPr fontId="5" type="noConversion"/>
  </si>
  <si>
    <t>08-1403</t>
    <phoneticPr fontId="5" type="noConversion"/>
  </si>
  <si>
    <t>양산아크 사업주</t>
    <phoneticPr fontId="5" type="noConversion"/>
  </si>
  <si>
    <t>25.08.25</t>
    <phoneticPr fontId="5" type="noConversion"/>
  </si>
  <si>
    <t>준성</t>
    <phoneticPr fontId="5" type="noConversion"/>
  </si>
  <si>
    <t>경기 화성시 마도면 청원산단7길 19</t>
    <phoneticPr fontId="5" type="noConversion"/>
  </si>
  <si>
    <t>G08-1910</t>
    <phoneticPr fontId="5" type="noConversion"/>
  </si>
  <si>
    <t>외주영업자 최영주</t>
    <phoneticPr fontId="5" type="noConversion"/>
  </si>
  <si>
    <t>30</t>
    <phoneticPr fontId="5" type="noConversion"/>
  </si>
  <si>
    <t>25.08.29</t>
  </si>
  <si>
    <t>25.08.29</t>
    <phoneticPr fontId="5" type="noConversion"/>
  </si>
  <si>
    <t>대호에이엘</t>
    <phoneticPr fontId="5" type="noConversion"/>
  </si>
  <si>
    <t>티씨케이</t>
    <phoneticPr fontId="5" type="noConversion"/>
  </si>
  <si>
    <t>에어퍼스트</t>
    <phoneticPr fontId="5" type="noConversion"/>
  </si>
  <si>
    <t>경기 안성시 미양면 개정산업단지1로 6</t>
    <phoneticPr fontId="5" type="noConversion"/>
  </si>
  <si>
    <t>경기 평택시 지제중앙로 149-12</t>
    <phoneticPr fontId="5" type="noConversion"/>
  </si>
  <si>
    <t>105</t>
    <phoneticPr fontId="5" type="noConversion"/>
  </si>
  <si>
    <t>25.09.04</t>
    <phoneticPr fontId="5" type="noConversion"/>
  </si>
  <si>
    <t>김동호</t>
    <phoneticPr fontId="5" type="noConversion"/>
  </si>
  <si>
    <t>최창민</t>
    <phoneticPr fontId="5" type="noConversion"/>
  </si>
  <si>
    <t>㈜에너지온</t>
    <phoneticPr fontId="5" type="noConversion"/>
  </si>
  <si>
    <t>경남 함안군 법수면 장백로 528-68</t>
    <phoneticPr fontId="5" type="noConversion"/>
  </si>
  <si>
    <t>08-2609</t>
    <phoneticPr fontId="5" type="noConversion"/>
  </si>
  <si>
    <t>케이이엠 사업주</t>
    <phoneticPr fontId="5" type="noConversion"/>
  </si>
  <si>
    <t>31</t>
    <phoneticPr fontId="5" type="noConversion"/>
  </si>
  <si>
    <t>25.09.04</t>
    <phoneticPr fontId="5" type="noConversion"/>
  </si>
  <si>
    <t>김정민</t>
    <phoneticPr fontId="5" type="noConversion"/>
  </si>
  <si>
    <t>장광수</t>
    <phoneticPr fontId="5" type="noConversion"/>
  </si>
  <si>
    <t>화경</t>
    <phoneticPr fontId="5" type="noConversion"/>
  </si>
  <si>
    <t>경북 경주시 건천읍 천포리 485-4</t>
    <phoneticPr fontId="5" type="noConversion"/>
  </si>
  <si>
    <t>G08-0506</t>
    <phoneticPr fontId="5" type="noConversion"/>
  </si>
  <si>
    <t>그 외</t>
    <phoneticPr fontId="5" type="noConversion"/>
  </si>
  <si>
    <t>외주영업 하강우</t>
    <phoneticPr fontId="5" type="noConversion"/>
  </si>
  <si>
    <t>32</t>
    <phoneticPr fontId="5" type="noConversion"/>
  </si>
  <si>
    <t>한미에너지</t>
    <phoneticPr fontId="5" type="noConversion"/>
  </si>
  <si>
    <t>부산 사상구 감전동 154-1</t>
    <phoneticPr fontId="5" type="noConversion"/>
  </si>
  <si>
    <t>G06-2303</t>
    <phoneticPr fontId="5" type="noConversion"/>
  </si>
  <si>
    <t>외주영업 이인재</t>
    <phoneticPr fontId="5" type="noConversion"/>
  </si>
  <si>
    <t>공장</t>
    <phoneticPr fontId="5" type="noConversion"/>
  </si>
  <si>
    <t>유지</t>
    <phoneticPr fontId="5" type="noConversion"/>
  </si>
  <si>
    <t>3</t>
    <phoneticPr fontId="5" type="noConversion"/>
  </si>
  <si>
    <t>25.09.02</t>
    <phoneticPr fontId="5" type="noConversion"/>
  </si>
  <si>
    <t>허성욱</t>
    <phoneticPr fontId="5" type="noConversion"/>
  </si>
  <si>
    <t>남형석</t>
    <phoneticPr fontId="5" type="noConversion"/>
  </si>
  <si>
    <t>울산축산농협</t>
    <phoneticPr fontId="5" type="noConversion"/>
  </si>
  <si>
    <t>울산 울주군 두서면 활천산업1길 104</t>
    <phoneticPr fontId="5" type="noConversion"/>
  </si>
  <si>
    <t>나라장터 입찰</t>
    <phoneticPr fontId="5" type="noConversion"/>
  </si>
  <si>
    <t>106</t>
    <phoneticPr fontId="5" type="noConversion"/>
  </si>
  <si>
    <t>25.09.04</t>
    <phoneticPr fontId="5" type="noConversion"/>
  </si>
  <si>
    <t>허영준</t>
    <phoneticPr fontId="5" type="noConversion"/>
  </si>
  <si>
    <t>진으뜸</t>
    <phoneticPr fontId="5" type="noConversion"/>
  </si>
  <si>
    <t>대한상사</t>
    <phoneticPr fontId="5" type="noConversion"/>
  </si>
  <si>
    <t>경기 김포시 하성면 하성로357번길 20</t>
    <phoneticPr fontId="5" type="noConversion"/>
  </si>
  <si>
    <t>08-1416</t>
    <phoneticPr fontId="5" type="noConversion"/>
  </si>
  <si>
    <t>직접유입</t>
    <phoneticPr fontId="5" type="noConversion"/>
  </si>
  <si>
    <t>직영(가)</t>
    <phoneticPr fontId="5" type="noConversion"/>
  </si>
  <si>
    <t>기존시설물(A)</t>
    <phoneticPr fontId="5" type="noConversion"/>
  </si>
  <si>
    <t>107</t>
    <phoneticPr fontId="5" type="noConversion"/>
  </si>
  <si>
    <t>25.09.05</t>
    <phoneticPr fontId="5" type="noConversion"/>
  </si>
  <si>
    <t>허영준</t>
    <phoneticPr fontId="5" type="noConversion"/>
  </si>
  <si>
    <t>진으뜸</t>
    <phoneticPr fontId="5" type="noConversion"/>
  </si>
  <si>
    <t>SE CHARGER</t>
    <phoneticPr fontId="5" type="noConversion"/>
  </si>
  <si>
    <t>충북 음성군 맹동면 이수로 138</t>
    <phoneticPr fontId="5" type="noConversion"/>
  </si>
  <si>
    <t>07-3121</t>
    <phoneticPr fontId="5" type="noConversion"/>
  </si>
  <si>
    <t>그 외</t>
    <phoneticPr fontId="5" type="noConversion"/>
  </si>
  <si>
    <t>직접유입</t>
    <phoneticPr fontId="5" type="noConversion"/>
  </si>
  <si>
    <t>유지</t>
    <phoneticPr fontId="5" type="noConversion"/>
  </si>
  <si>
    <t>108</t>
    <phoneticPr fontId="5" type="noConversion"/>
  </si>
  <si>
    <t>25.09.03</t>
    <phoneticPr fontId="5" type="noConversion"/>
  </si>
  <si>
    <t>이성훈</t>
    <phoneticPr fontId="5" type="noConversion"/>
  </si>
  <si>
    <t>김영민</t>
    <phoneticPr fontId="5" type="noConversion"/>
  </si>
  <si>
    <t>와이에스창호</t>
    <phoneticPr fontId="5" type="noConversion"/>
  </si>
  <si>
    <t>08-2803</t>
    <phoneticPr fontId="5" type="noConversion"/>
  </si>
  <si>
    <t>김영민 이사</t>
    <phoneticPr fontId="5" type="noConversion"/>
  </si>
  <si>
    <t>기존시설물(A)</t>
    <phoneticPr fontId="5" type="noConversion"/>
  </si>
  <si>
    <t>109</t>
    <phoneticPr fontId="5" type="noConversion"/>
  </si>
  <si>
    <t>25.09.08</t>
    <phoneticPr fontId="5" type="noConversion"/>
  </si>
  <si>
    <t>허영준</t>
    <phoneticPr fontId="5" type="noConversion"/>
  </si>
  <si>
    <t>박도훈</t>
    <phoneticPr fontId="5" type="noConversion"/>
  </si>
  <si>
    <t>SW</t>
    <phoneticPr fontId="5" type="noConversion"/>
  </si>
  <si>
    <t>부산 강서구 녹산산단290로 8</t>
    <phoneticPr fontId="5" type="noConversion"/>
  </si>
  <si>
    <t>09-0131</t>
    <phoneticPr fontId="5" type="noConversion"/>
  </si>
  <si>
    <t>그 외</t>
    <phoneticPr fontId="5" type="noConversion"/>
  </si>
  <si>
    <t>JW(하상완) 사업주 동생, 흥일폴리켐</t>
    <phoneticPr fontId="5" type="noConversion"/>
  </si>
  <si>
    <t>유지</t>
    <phoneticPr fontId="5" type="noConversion"/>
  </si>
  <si>
    <t>110</t>
    <phoneticPr fontId="5" type="noConversion"/>
  </si>
  <si>
    <t>25.09.09</t>
    <phoneticPr fontId="5" type="noConversion"/>
  </si>
  <si>
    <t>용현무</t>
    <phoneticPr fontId="5" type="noConversion"/>
  </si>
  <si>
    <t>정규진</t>
    <phoneticPr fontId="5" type="noConversion"/>
  </si>
  <si>
    <t>포항수산</t>
    <phoneticPr fontId="5" type="noConversion"/>
  </si>
  <si>
    <t>경북 포항시 남구 연일읍 철강로 141번길 67</t>
    <phoneticPr fontId="5" type="noConversion"/>
  </si>
  <si>
    <t>08-2807</t>
    <phoneticPr fontId="5" type="noConversion"/>
  </si>
  <si>
    <t>직접유입</t>
    <phoneticPr fontId="5" type="noConversion"/>
  </si>
  <si>
    <t>111</t>
    <phoneticPr fontId="5" type="noConversion"/>
  </si>
  <si>
    <t>112</t>
    <phoneticPr fontId="5" type="noConversion"/>
  </si>
  <si>
    <t>김동호</t>
    <phoneticPr fontId="5" type="noConversion"/>
  </si>
  <si>
    <t>조성현</t>
    <phoneticPr fontId="5" type="noConversion"/>
  </si>
  <si>
    <t>성내리59-2</t>
    <phoneticPr fontId="5" type="noConversion"/>
  </si>
  <si>
    <t>경남 산청군 단성면 성내리 59-2,7</t>
    <phoneticPr fontId="5" type="noConversion"/>
  </si>
  <si>
    <t>경기 이천시 백사면 보인산로 55</t>
    <phoneticPr fontId="5" type="noConversion"/>
  </si>
  <si>
    <t>경기 화성시 마도면 청원산단7길 13</t>
    <phoneticPr fontId="5" type="noConversion"/>
  </si>
  <si>
    <t>08-1905</t>
    <phoneticPr fontId="5" type="noConversion"/>
  </si>
  <si>
    <t>소개</t>
    <phoneticPr fontId="5" type="noConversion"/>
  </si>
  <si>
    <t>네오플러스</t>
    <phoneticPr fontId="5" type="noConversion"/>
  </si>
  <si>
    <t>유지</t>
    <phoneticPr fontId="5" type="noConversion"/>
  </si>
  <si>
    <t>하정리565</t>
    <phoneticPr fontId="5" type="noConversion"/>
  </si>
  <si>
    <t>경남 산청군 신안면 하정리 565</t>
    <phoneticPr fontId="5" type="noConversion"/>
  </si>
  <si>
    <t>113</t>
    <phoneticPr fontId="5" type="noConversion"/>
  </si>
  <si>
    <t>25.09.10</t>
    <phoneticPr fontId="5" type="noConversion"/>
  </si>
  <si>
    <t>김동호</t>
    <phoneticPr fontId="5" type="noConversion"/>
  </si>
  <si>
    <t>진으뜸</t>
    <phoneticPr fontId="5" type="noConversion"/>
  </si>
  <si>
    <t>진푸드시스템</t>
    <phoneticPr fontId="5" type="noConversion"/>
  </si>
  <si>
    <t>경기 포천시 군내면 포천로 1039</t>
    <phoneticPr fontId="5" type="noConversion"/>
  </si>
  <si>
    <t>07-1611</t>
    <phoneticPr fontId="5" type="noConversion"/>
  </si>
  <si>
    <t>양문123사업주 소개 건</t>
    <phoneticPr fontId="5" type="noConversion"/>
  </si>
  <si>
    <t>외주(나)</t>
    <phoneticPr fontId="5" type="noConversion"/>
  </si>
  <si>
    <t>기존시설물(A)</t>
    <phoneticPr fontId="5" type="noConversion"/>
  </si>
  <si>
    <t>33</t>
    <phoneticPr fontId="5" type="noConversion"/>
  </si>
  <si>
    <t>25.09.10</t>
    <phoneticPr fontId="5" type="noConversion"/>
  </si>
  <si>
    <t>김정민</t>
    <phoneticPr fontId="5" type="noConversion"/>
  </si>
  <si>
    <t>장광수</t>
    <phoneticPr fontId="5" type="noConversion"/>
  </si>
  <si>
    <t>제이더블유코리아</t>
    <phoneticPr fontId="5" type="noConversion"/>
  </si>
  <si>
    <t>경북 경주시 외동읍 문산공단안길 35</t>
    <phoneticPr fontId="5" type="noConversion"/>
  </si>
  <si>
    <t>G08-1109</t>
    <phoneticPr fontId="5" type="noConversion"/>
  </si>
  <si>
    <t>소개</t>
    <phoneticPr fontId="5" type="noConversion"/>
  </si>
  <si>
    <t xml:space="preserve">외주영업자 이현아 </t>
    <phoneticPr fontId="5" type="noConversion"/>
  </si>
  <si>
    <t>공장</t>
    <phoneticPr fontId="5" type="noConversion"/>
  </si>
  <si>
    <t>유지</t>
    <phoneticPr fontId="5" type="noConversion"/>
  </si>
  <si>
    <t>34</t>
    <phoneticPr fontId="5" type="noConversion"/>
  </si>
  <si>
    <t>35</t>
    <phoneticPr fontId="5" type="noConversion"/>
  </si>
  <si>
    <t>동남</t>
    <phoneticPr fontId="5" type="noConversion"/>
  </si>
  <si>
    <t>영광</t>
    <phoneticPr fontId="5" type="noConversion"/>
  </si>
  <si>
    <t>외주영업자 코스모</t>
    <phoneticPr fontId="5" type="noConversion"/>
  </si>
  <si>
    <t>G05-2501</t>
    <phoneticPr fontId="5" type="noConversion"/>
  </si>
  <si>
    <t>경주시 외동읍 관문로 893-65</t>
    <phoneticPr fontId="5" type="noConversion"/>
  </si>
  <si>
    <t>울산광역시 북구 무룡로 34</t>
    <phoneticPr fontId="5" type="noConversion"/>
  </si>
  <si>
    <t>G07-2305</t>
    <phoneticPr fontId="5" type="noConversion"/>
  </si>
  <si>
    <t>자동차관련시설</t>
  </si>
  <si>
    <t>영진아이앤디㈜</t>
    <phoneticPr fontId="5" type="noConversion"/>
  </si>
  <si>
    <t>경기도 이천시 마장면 중부대로 617</t>
    <phoneticPr fontId="5" type="noConversion"/>
  </si>
  <si>
    <t>G07-3105</t>
    <phoneticPr fontId="5" type="noConversion"/>
  </si>
  <si>
    <t>25.09.15</t>
    <phoneticPr fontId="5" type="noConversion"/>
  </si>
  <si>
    <t>롯데웰푸드 부산공장</t>
    <phoneticPr fontId="5" type="noConversion"/>
  </si>
  <si>
    <t>부산 기장군 정관읍 산단2로 11</t>
    <phoneticPr fontId="5" type="noConversion"/>
  </si>
  <si>
    <t>36</t>
    <phoneticPr fontId="5" type="noConversion"/>
  </si>
  <si>
    <t>25.09.15</t>
    <phoneticPr fontId="5" type="noConversion"/>
  </si>
  <si>
    <t>김정민</t>
    <phoneticPr fontId="5" type="noConversion"/>
  </si>
  <si>
    <t>장광수</t>
    <phoneticPr fontId="5" type="noConversion"/>
  </si>
  <si>
    <t>성경엔에스티</t>
    <phoneticPr fontId="5" type="noConversion"/>
  </si>
  <si>
    <t>경남 밀양시 산외면 산외강변로 57</t>
    <phoneticPr fontId="5" type="noConversion"/>
  </si>
  <si>
    <t>G09-0113</t>
    <phoneticPr fontId="5" type="noConversion"/>
  </si>
  <si>
    <t xml:space="preserve">외주영업자 이현아 </t>
    <phoneticPr fontId="5" type="noConversion"/>
  </si>
  <si>
    <t>공장</t>
    <phoneticPr fontId="5" type="noConversion"/>
  </si>
  <si>
    <t>유지</t>
    <phoneticPr fontId="5" type="noConversion"/>
  </si>
  <si>
    <t>그랜드썬 29 와일드웨스트1</t>
    <phoneticPr fontId="5" type="noConversion"/>
  </si>
  <si>
    <t>그랜드썬 30 와일드웨스트2</t>
    <phoneticPr fontId="5" type="noConversion"/>
  </si>
  <si>
    <t>114</t>
    <phoneticPr fontId="5" type="noConversion"/>
  </si>
  <si>
    <t>용현무</t>
    <phoneticPr fontId="5" type="noConversion"/>
  </si>
  <si>
    <t>최창민</t>
    <phoneticPr fontId="5" type="noConversion"/>
  </si>
  <si>
    <t>오늘도맑음</t>
    <phoneticPr fontId="5" type="noConversion"/>
  </si>
  <si>
    <t>충북 음성군 생극면 임곡길 168-60, 672, 19, 19-1, 24</t>
    <phoneticPr fontId="5" type="noConversion"/>
  </si>
  <si>
    <t>08-1102</t>
    <phoneticPr fontId="5" type="noConversion"/>
  </si>
  <si>
    <t>외주(나)</t>
    <phoneticPr fontId="5" type="noConversion"/>
  </si>
  <si>
    <t>37</t>
    <phoneticPr fontId="5" type="noConversion"/>
  </si>
  <si>
    <t>38</t>
    <phoneticPr fontId="5" type="noConversion"/>
  </si>
  <si>
    <t>25.09.16</t>
    <phoneticPr fontId="5" type="noConversion"/>
  </si>
  <si>
    <t>장광수</t>
    <phoneticPr fontId="5" type="noConversion"/>
  </si>
  <si>
    <t>하늬통상틀린에너지</t>
    <phoneticPr fontId="5" type="noConversion"/>
  </si>
  <si>
    <t>(가칭)동성조명</t>
    <phoneticPr fontId="5" type="noConversion"/>
  </si>
  <si>
    <t xml:space="preserve">부산 강서구 녹산산단 361로 12 </t>
    <phoneticPr fontId="5" type="noConversion"/>
  </si>
  <si>
    <t>경기 이천시 마장면 서이천로 611</t>
    <phoneticPr fontId="5" type="noConversion"/>
  </si>
  <si>
    <t>G08-0401</t>
    <phoneticPr fontId="5" type="noConversion"/>
  </si>
  <si>
    <t>G07-1704</t>
  </si>
  <si>
    <t>외주영업자 송민철</t>
    <phoneticPr fontId="5" type="noConversion"/>
  </si>
  <si>
    <t>외주영업자 한세수</t>
    <phoneticPr fontId="5" type="noConversion"/>
  </si>
  <si>
    <t>창고</t>
    <phoneticPr fontId="5" type="noConversion"/>
  </si>
  <si>
    <t>유지</t>
    <phoneticPr fontId="5" type="noConversion"/>
  </si>
  <si>
    <t>공장</t>
    <phoneticPr fontId="5" type="noConversion"/>
  </si>
  <si>
    <t>김지훈</t>
    <phoneticPr fontId="5" type="noConversion"/>
  </si>
  <si>
    <t>115</t>
    <phoneticPr fontId="5" type="noConversion"/>
  </si>
  <si>
    <t>116</t>
    <phoneticPr fontId="5" type="noConversion"/>
  </si>
  <si>
    <t>25.09.16</t>
    <phoneticPr fontId="5" type="noConversion"/>
  </si>
  <si>
    <t>허영준</t>
    <phoneticPr fontId="5" type="noConversion"/>
  </si>
  <si>
    <t>진으뜸</t>
    <phoneticPr fontId="5" type="noConversion"/>
  </si>
  <si>
    <t>한국종묘</t>
    <phoneticPr fontId="5" type="noConversion"/>
  </si>
  <si>
    <t>LK산업</t>
    <phoneticPr fontId="5" type="noConversion"/>
  </si>
  <si>
    <t>경기 과천시 문원동 537-12</t>
    <phoneticPr fontId="5" type="noConversion"/>
  </si>
  <si>
    <t>경기 용인시 처인구 백암면 장평리 743</t>
    <phoneticPr fontId="5" type="noConversion"/>
  </si>
  <si>
    <t>07-2909</t>
    <phoneticPr fontId="5" type="noConversion"/>
  </si>
  <si>
    <t>09-0407</t>
    <phoneticPr fontId="5" type="noConversion"/>
  </si>
  <si>
    <t>김학진 사업주</t>
    <phoneticPr fontId="5" type="noConversion"/>
  </si>
  <si>
    <t>직접유입</t>
    <phoneticPr fontId="5" type="noConversion"/>
  </si>
  <si>
    <t>117</t>
    <phoneticPr fontId="5" type="noConversion"/>
  </si>
  <si>
    <t>25.09.16</t>
    <phoneticPr fontId="5" type="noConversion"/>
  </si>
  <si>
    <t>김동호</t>
    <phoneticPr fontId="5" type="noConversion"/>
  </si>
  <si>
    <t>조성현</t>
    <phoneticPr fontId="5" type="noConversion"/>
  </si>
  <si>
    <t>선테크</t>
    <phoneticPr fontId="5" type="noConversion"/>
  </si>
  <si>
    <t>경남 김해시 대동면 월촌리 1281-6</t>
    <phoneticPr fontId="5" type="noConversion"/>
  </si>
  <si>
    <t>08-1404</t>
    <phoneticPr fontId="5" type="noConversion"/>
  </si>
  <si>
    <t>그 외</t>
    <phoneticPr fontId="5" type="noConversion"/>
  </si>
  <si>
    <t>유지</t>
    <phoneticPr fontId="5" type="noConversion"/>
  </si>
  <si>
    <t>119</t>
    <phoneticPr fontId="5" type="noConversion"/>
  </si>
  <si>
    <t>25.09.17</t>
    <phoneticPr fontId="5" type="noConversion"/>
  </si>
  <si>
    <t>진으뜸</t>
    <phoneticPr fontId="5" type="noConversion"/>
  </si>
  <si>
    <t>리노</t>
    <phoneticPr fontId="5" type="noConversion"/>
  </si>
  <si>
    <t>경기 포천시 설운동 536</t>
    <phoneticPr fontId="5" type="noConversion"/>
  </si>
  <si>
    <t>05-3010</t>
    <phoneticPr fontId="5" type="noConversion"/>
  </si>
  <si>
    <t>직접유입</t>
    <phoneticPr fontId="5" type="noConversion"/>
  </si>
  <si>
    <t>118</t>
    <phoneticPr fontId="5" type="noConversion"/>
  </si>
  <si>
    <t>25.09.17</t>
    <phoneticPr fontId="5" type="noConversion"/>
  </si>
  <si>
    <t>임준길</t>
    <phoneticPr fontId="5" type="noConversion"/>
  </si>
  <si>
    <t>조성현</t>
    <phoneticPr fontId="5" type="noConversion"/>
  </si>
  <si>
    <t>울티모팩</t>
    <phoneticPr fontId="5" type="noConversion"/>
  </si>
  <si>
    <t>경남 산청군 생비량면 진산로 2106번길 21</t>
    <phoneticPr fontId="5" type="noConversion"/>
  </si>
  <si>
    <t>09-0406</t>
    <phoneticPr fontId="5" type="noConversion"/>
  </si>
  <si>
    <t>kytec사업주 소개</t>
    <phoneticPr fontId="5" type="noConversion"/>
  </si>
  <si>
    <t>120</t>
    <phoneticPr fontId="5" type="noConversion"/>
  </si>
  <si>
    <t>용현무</t>
    <phoneticPr fontId="5" type="noConversion"/>
  </si>
  <si>
    <t>최창민</t>
    <phoneticPr fontId="5" type="noConversion"/>
  </si>
  <si>
    <t>㈜세나코</t>
    <phoneticPr fontId="5" type="noConversion"/>
  </si>
  <si>
    <t>경남 함안군 산인면 산인로 346-2</t>
    <phoneticPr fontId="5" type="noConversion"/>
  </si>
  <si>
    <t>08-2913</t>
    <phoneticPr fontId="5" type="noConversion"/>
  </si>
  <si>
    <t>온유림 사업주 소개건 kw당 2만원</t>
    <phoneticPr fontId="5" type="noConversion"/>
  </si>
  <si>
    <t>25.09.18</t>
    <phoneticPr fontId="5" type="noConversion"/>
  </si>
  <si>
    <t>121</t>
    <phoneticPr fontId="5" type="noConversion"/>
  </si>
  <si>
    <t>25.09.18</t>
    <phoneticPr fontId="5" type="noConversion"/>
  </si>
  <si>
    <t>정규진</t>
    <phoneticPr fontId="5" type="noConversion"/>
  </si>
  <si>
    <t>조성현</t>
    <phoneticPr fontId="5" type="noConversion"/>
  </si>
  <si>
    <t>다원</t>
    <phoneticPr fontId="5" type="noConversion"/>
  </si>
  <si>
    <t>경남 경산시 하양읍 남하리 486</t>
    <phoneticPr fontId="5" type="noConversion"/>
  </si>
  <si>
    <t>04-2810</t>
    <phoneticPr fontId="5" type="noConversion"/>
  </si>
  <si>
    <t>직접유입</t>
    <phoneticPr fontId="5" type="noConversion"/>
  </si>
  <si>
    <t>창고</t>
    <phoneticPr fontId="5" type="noConversion"/>
  </si>
  <si>
    <t>유지</t>
    <phoneticPr fontId="5" type="noConversion"/>
  </si>
  <si>
    <t>122</t>
    <phoneticPr fontId="5" type="noConversion"/>
  </si>
  <si>
    <t>김동호</t>
    <phoneticPr fontId="5" type="noConversion"/>
  </si>
  <si>
    <t>최창민</t>
    <phoneticPr fontId="5" type="noConversion"/>
  </si>
  <si>
    <t>㈜라현코일센터</t>
    <phoneticPr fontId="5" type="noConversion"/>
  </si>
  <si>
    <t>경남 양산시 동면 가산산단 1로 31</t>
    <phoneticPr fontId="5" type="noConversion"/>
  </si>
  <si>
    <t>08-2701</t>
    <phoneticPr fontId="5" type="noConversion"/>
  </si>
  <si>
    <t>라현 태양광 기존 사업주</t>
    <phoneticPr fontId="5" type="noConversion"/>
  </si>
  <si>
    <t>25.09.19</t>
    <phoneticPr fontId="5" type="noConversion"/>
  </si>
  <si>
    <t>123</t>
    <phoneticPr fontId="5" type="noConversion"/>
  </si>
  <si>
    <t>25.09.22</t>
    <phoneticPr fontId="5" type="noConversion"/>
  </si>
  <si>
    <t>용현무</t>
    <phoneticPr fontId="5" type="noConversion"/>
  </si>
  <si>
    <t>조성현</t>
    <phoneticPr fontId="5" type="noConversion"/>
  </si>
  <si>
    <t>성일</t>
    <phoneticPr fontId="5" type="noConversion"/>
  </si>
  <si>
    <t>부산 사하구 다산로 78번길 32</t>
    <phoneticPr fontId="5" type="noConversion"/>
  </si>
  <si>
    <t>09-0201</t>
    <phoneticPr fontId="5" type="noConversion"/>
  </si>
  <si>
    <t>그 외</t>
    <phoneticPr fontId="5" type="noConversion"/>
  </si>
  <si>
    <t>직접유입</t>
    <phoneticPr fontId="5" type="noConversion"/>
  </si>
  <si>
    <t>125</t>
    <phoneticPr fontId="5" type="noConversion"/>
  </si>
  <si>
    <t>25.09.23</t>
    <phoneticPr fontId="5" type="noConversion"/>
  </si>
  <si>
    <t>경기 파주시 파주읍 우계로 251-24</t>
    <phoneticPr fontId="5" type="noConversion"/>
  </si>
  <si>
    <t>09-0232</t>
    <phoneticPr fontId="5" type="noConversion"/>
  </si>
  <si>
    <t>직접유입</t>
    <phoneticPr fontId="5" type="noConversion"/>
  </si>
  <si>
    <t>허영준</t>
    <phoneticPr fontId="5" type="noConversion"/>
  </si>
  <si>
    <t>진으뜸</t>
    <phoneticPr fontId="5" type="noConversion"/>
  </si>
  <si>
    <t>피앤티</t>
    <phoneticPr fontId="5" type="noConversion"/>
  </si>
  <si>
    <t>124</t>
    <phoneticPr fontId="5" type="noConversion"/>
  </si>
  <si>
    <t>25.09.22</t>
    <phoneticPr fontId="5" type="noConversion"/>
  </si>
  <si>
    <t>박도훈</t>
    <phoneticPr fontId="5" type="noConversion"/>
  </si>
  <si>
    <t>태진중공업</t>
    <phoneticPr fontId="5" type="noConversion"/>
  </si>
  <si>
    <t>경남 창원시 진해구 죽곡로 146</t>
    <phoneticPr fontId="5" type="noConversion"/>
  </si>
  <si>
    <t>07-0903</t>
    <phoneticPr fontId="5" type="noConversion"/>
  </si>
  <si>
    <t>소개건</t>
    <phoneticPr fontId="5" type="noConversion"/>
  </si>
  <si>
    <t>허영준</t>
    <phoneticPr fontId="5" type="noConversion"/>
  </si>
  <si>
    <t>그랜드썬42(남강이피씨)</t>
    <phoneticPr fontId="5" type="noConversion"/>
  </si>
  <si>
    <t>경북 경주시 외동읍 석계산업단지길 66-100</t>
    <phoneticPr fontId="5" type="noConversion"/>
  </si>
  <si>
    <t>G09-2212</t>
    <phoneticPr fontId="5" type="noConversion"/>
  </si>
  <si>
    <t>외주영업자 신선수(코스모)</t>
    <phoneticPr fontId="5" type="noConversion"/>
  </si>
  <si>
    <t>39</t>
    <phoneticPr fontId="5" type="noConversion"/>
  </si>
  <si>
    <t>25.09.24</t>
    <phoneticPr fontId="5" type="noConversion"/>
  </si>
  <si>
    <t>김지훈</t>
    <phoneticPr fontId="5" type="noConversion"/>
  </si>
  <si>
    <t>장광수</t>
    <phoneticPr fontId="5" type="noConversion"/>
  </si>
  <si>
    <t>경기도 화성시 마도면 청원로 133</t>
    <phoneticPr fontId="5" type="noConversion"/>
  </si>
  <si>
    <t>G09-1006</t>
    <phoneticPr fontId="5" type="noConversion"/>
  </si>
  <si>
    <t>외주영업자 최영주</t>
    <phoneticPr fontId="5" type="noConversion"/>
  </si>
  <si>
    <t>40</t>
    <phoneticPr fontId="5" type="noConversion"/>
  </si>
  <si>
    <t>25.10.01</t>
    <phoneticPr fontId="5" type="noConversion"/>
  </si>
  <si>
    <t>김정민</t>
    <phoneticPr fontId="5" type="noConversion"/>
  </si>
  <si>
    <t>장광수</t>
    <phoneticPr fontId="5" type="noConversion"/>
  </si>
  <si>
    <t>샤이니</t>
    <phoneticPr fontId="5" type="noConversion"/>
  </si>
  <si>
    <t>경남 김해시 진레면 테크노밸리1로 20-26</t>
    <phoneticPr fontId="5" type="noConversion"/>
  </si>
  <si>
    <t>G08-1810</t>
    <phoneticPr fontId="5" type="noConversion"/>
  </si>
  <si>
    <t>그 외</t>
    <phoneticPr fontId="5" type="noConversion"/>
  </si>
  <si>
    <t>외주영업자 박정우</t>
    <phoneticPr fontId="5" type="noConversion"/>
  </si>
  <si>
    <t>공장</t>
    <phoneticPr fontId="5" type="noConversion"/>
  </si>
  <si>
    <t>유지</t>
    <phoneticPr fontId="5" type="noConversion"/>
  </si>
  <si>
    <t>제이엔제이</t>
    <phoneticPr fontId="5" type="noConversion"/>
  </si>
  <si>
    <t>그랜드썬43(대원테크)</t>
    <phoneticPr fontId="5" type="noConversion"/>
  </si>
  <si>
    <t>경남 김해시 한림면 가동로 62-42</t>
    <phoneticPr fontId="5" type="noConversion"/>
  </si>
  <si>
    <t>G09-1012</t>
    <phoneticPr fontId="5" type="noConversion"/>
  </si>
  <si>
    <t>최창민</t>
    <phoneticPr fontId="5" type="noConversion"/>
  </si>
  <si>
    <t>김동호</t>
    <phoneticPr fontId="5" type="noConversion"/>
  </si>
  <si>
    <t>경남 김해시 생림면 상동로 30-82</t>
    <phoneticPr fontId="5" type="noConversion"/>
  </si>
  <si>
    <t>09-1515</t>
    <phoneticPr fontId="5" type="noConversion"/>
  </si>
  <si>
    <t>126</t>
    <phoneticPr fontId="5" type="noConversion"/>
  </si>
  <si>
    <t>(가칭)케이산업</t>
    <phoneticPr fontId="5" type="noConversion"/>
  </si>
  <si>
    <t>41</t>
    <phoneticPr fontId="5" type="noConversion"/>
  </si>
  <si>
    <t>42</t>
    <phoneticPr fontId="5" type="noConversion"/>
  </si>
  <si>
    <t>정수</t>
    <phoneticPr fontId="5" type="noConversion"/>
  </si>
  <si>
    <t>한진</t>
    <phoneticPr fontId="5" type="noConversion"/>
  </si>
  <si>
    <t>부산 강서구 미음산단로 409</t>
    <phoneticPr fontId="5" type="noConversion"/>
  </si>
  <si>
    <t>부산 강서구 미음산단3로 166</t>
    <phoneticPr fontId="5" type="noConversion"/>
  </si>
  <si>
    <t>그 외</t>
    <phoneticPr fontId="5" type="noConversion"/>
  </si>
  <si>
    <t>외주영업자 이인재</t>
    <phoneticPr fontId="5" type="noConversion"/>
  </si>
  <si>
    <t>G09-1603</t>
    <phoneticPr fontId="5" type="noConversion"/>
  </si>
  <si>
    <t>G09-0801</t>
    <phoneticPr fontId="5" type="noConversion"/>
  </si>
  <si>
    <t>직영(가)</t>
    <phoneticPr fontId="5" type="noConversion"/>
  </si>
  <si>
    <t>기존시설물(A)</t>
    <phoneticPr fontId="5" type="noConversion"/>
  </si>
  <si>
    <t>127</t>
    <phoneticPr fontId="5" type="noConversion"/>
  </si>
  <si>
    <t>25.10.01</t>
    <phoneticPr fontId="5" type="noConversion"/>
  </si>
  <si>
    <t>용현무</t>
    <phoneticPr fontId="5" type="noConversion"/>
  </si>
  <si>
    <t>박도훈</t>
    <phoneticPr fontId="5" type="noConversion"/>
  </si>
  <si>
    <t>나우진례</t>
    <phoneticPr fontId="5" type="noConversion"/>
  </si>
  <si>
    <t>경남 김해시 진례면 테크노밸리1로 20-20</t>
    <phoneticPr fontId="5" type="noConversion"/>
  </si>
  <si>
    <t>(주)그랜드썬기술단</t>
    <phoneticPr fontId="5" type="noConversion"/>
  </si>
  <si>
    <t>09-1610</t>
    <phoneticPr fontId="5" type="noConversion"/>
  </si>
  <si>
    <t>직접유입</t>
    <phoneticPr fontId="5" type="noConversion"/>
  </si>
  <si>
    <t>유지</t>
    <phoneticPr fontId="5" type="noConversion"/>
  </si>
  <si>
    <t>128</t>
    <phoneticPr fontId="5" type="noConversion"/>
  </si>
  <si>
    <t>나우고모</t>
    <phoneticPr fontId="5" type="noConversion"/>
  </si>
  <si>
    <t>경남 김해시 한림면 고모로 782-31</t>
    <phoneticPr fontId="5" type="noConversion"/>
  </si>
  <si>
    <t>09-2503</t>
    <phoneticPr fontId="5" type="noConversion"/>
  </si>
  <si>
    <t>그 외</t>
    <phoneticPr fontId="5" type="noConversion"/>
  </si>
  <si>
    <t>공장</t>
    <phoneticPr fontId="5" type="noConversion"/>
  </si>
  <si>
    <t>외주(나)</t>
    <phoneticPr fontId="5" type="noConversion"/>
  </si>
  <si>
    <t>기존시설물(A)</t>
    <phoneticPr fontId="5" type="noConversion"/>
  </si>
  <si>
    <t>43</t>
    <phoneticPr fontId="5" type="noConversion"/>
  </si>
  <si>
    <t>김정민</t>
    <phoneticPr fontId="5" type="noConversion"/>
  </si>
  <si>
    <t>장광수</t>
    <phoneticPr fontId="5" type="noConversion"/>
  </si>
  <si>
    <t>YH</t>
    <phoneticPr fontId="5" type="noConversion"/>
  </si>
  <si>
    <t>경북 경주시 외동읍 문산2산단1로 45</t>
    <phoneticPr fontId="5" type="noConversion"/>
  </si>
  <si>
    <t>G09-0505</t>
  </si>
  <si>
    <t>그 외</t>
    <phoneticPr fontId="5" type="noConversion"/>
  </si>
  <si>
    <t>외주영업자 코스모</t>
    <phoneticPr fontId="5" type="noConversion"/>
  </si>
  <si>
    <t>44</t>
    <phoneticPr fontId="5" type="noConversion"/>
  </si>
  <si>
    <t>25.10.02</t>
    <phoneticPr fontId="5" type="noConversion"/>
  </si>
  <si>
    <t>배현지</t>
    <phoneticPr fontId="5" type="noConversion"/>
  </si>
  <si>
    <t>장광수</t>
    <phoneticPr fontId="5" type="noConversion"/>
  </si>
  <si>
    <t>화영</t>
    <phoneticPr fontId="5" type="noConversion"/>
  </si>
  <si>
    <t>경남 창원시 진해구 남의로21번길 79</t>
    <phoneticPr fontId="5" type="noConversion"/>
  </si>
  <si>
    <t>G09-1007</t>
    <phoneticPr fontId="5" type="noConversion"/>
  </si>
  <si>
    <t>외주영업자 배병수</t>
    <phoneticPr fontId="5" type="noConversion"/>
  </si>
  <si>
    <t>G07-0404</t>
    <phoneticPr fontId="5" type="noConversion"/>
  </si>
  <si>
    <t>45</t>
    <phoneticPr fontId="5" type="noConversion"/>
  </si>
  <si>
    <t>에스피아이앤티</t>
    <phoneticPr fontId="5" type="noConversion"/>
  </si>
  <si>
    <t>부산 강서구 가달2로 16번길 26</t>
    <phoneticPr fontId="5" type="noConversion"/>
  </si>
  <si>
    <t>129</t>
    <phoneticPr fontId="5" type="noConversion"/>
  </si>
  <si>
    <t>25.10.01</t>
    <phoneticPr fontId="5" type="noConversion"/>
  </si>
  <si>
    <t>허영준</t>
    <phoneticPr fontId="5" type="noConversion"/>
  </si>
  <si>
    <t>제트코리아</t>
    <phoneticPr fontId="5" type="noConversion"/>
  </si>
  <si>
    <t>부산 금정구 체육공원로 615</t>
    <phoneticPr fontId="5" type="noConversion"/>
  </si>
  <si>
    <t>SP09-2404</t>
    <phoneticPr fontId="5" type="noConversion"/>
  </si>
  <si>
    <t>직접유입</t>
    <phoneticPr fontId="5" type="noConversion"/>
  </si>
  <si>
    <t>130</t>
    <phoneticPr fontId="5" type="noConversion"/>
  </si>
  <si>
    <t>25.10.02</t>
    <phoneticPr fontId="5" type="noConversion"/>
  </si>
  <si>
    <t>김동호</t>
    <phoneticPr fontId="5" type="noConversion"/>
  </si>
  <si>
    <t>조성현</t>
    <phoneticPr fontId="5" type="noConversion"/>
  </si>
  <si>
    <t>모토필1호</t>
    <phoneticPr fontId="5" type="noConversion"/>
  </si>
  <si>
    <t>경북 경주시 외동읍 문산공단길 151-8</t>
    <phoneticPr fontId="5" type="noConversion"/>
  </si>
  <si>
    <t>(주)그랜드썬기술단</t>
    <phoneticPr fontId="5" type="noConversion"/>
  </si>
  <si>
    <t>09-2204</t>
    <phoneticPr fontId="5" type="noConversion"/>
  </si>
  <si>
    <t>한국금속 이쌍구전무</t>
    <phoneticPr fontId="5" type="noConversion"/>
  </si>
  <si>
    <t>131</t>
    <phoneticPr fontId="5" type="noConversion"/>
  </si>
  <si>
    <t>모토필2호</t>
    <phoneticPr fontId="5" type="noConversion"/>
  </si>
  <si>
    <t>경북 경주시 외동읍 문산리 913</t>
    <phoneticPr fontId="5" type="noConversion"/>
  </si>
  <si>
    <t>직영(가)</t>
    <phoneticPr fontId="5" type="noConversion"/>
  </si>
  <si>
    <t>기존시설물(A)</t>
    <phoneticPr fontId="5" type="noConversion"/>
  </si>
  <si>
    <t>132</t>
    <phoneticPr fontId="5" type="noConversion"/>
  </si>
  <si>
    <t>25.10.10</t>
    <phoneticPr fontId="5" type="noConversion"/>
  </si>
  <si>
    <t>용현무</t>
    <phoneticPr fontId="5" type="noConversion"/>
  </si>
  <si>
    <t>박도훈</t>
    <phoneticPr fontId="5" type="noConversion"/>
  </si>
  <si>
    <t>플렛디스</t>
    <phoneticPr fontId="5" type="noConversion"/>
  </si>
  <si>
    <t>경남 김해시 한림면 명동산단안길 33</t>
    <phoneticPr fontId="5" type="noConversion"/>
  </si>
  <si>
    <t>(주)그랜드썬기술단</t>
    <phoneticPr fontId="5" type="noConversion"/>
  </si>
  <si>
    <t>09-1508</t>
    <phoneticPr fontId="5" type="noConversion"/>
  </si>
  <si>
    <t>그 외</t>
    <phoneticPr fontId="5" type="noConversion"/>
  </si>
  <si>
    <t>직접유입</t>
    <phoneticPr fontId="5" type="noConversion"/>
  </si>
  <si>
    <t>산단</t>
    <phoneticPr fontId="5" type="noConversion"/>
  </si>
  <si>
    <t>유지</t>
    <phoneticPr fontId="5" type="noConversion"/>
  </si>
  <si>
    <t>임준길</t>
    <phoneticPr fontId="5" type="noConversion"/>
  </si>
  <si>
    <t>최창민</t>
    <phoneticPr fontId="5" type="noConversion"/>
  </si>
  <si>
    <t>부산 강서구 녹산산단17로14번길 33</t>
    <phoneticPr fontId="5" type="noConversion"/>
  </si>
  <si>
    <t>09-2221</t>
    <phoneticPr fontId="5" type="noConversion"/>
  </si>
  <si>
    <t>다옴금속 사업주 소개</t>
    <phoneticPr fontId="5" type="noConversion"/>
  </si>
  <si>
    <t>133</t>
    <phoneticPr fontId="5" type="noConversion"/>
  </si>
  <si>
    <t>(가칭)모아산업 1호</t>
    <phoneticPr fontId="5" type="noConversion"/>
  </si>
  <si>
    <t>(가칭)모아산업 2호</t>
  </si>
  <si>
    <t>울산 남구 처용로487번길 28</t>
    <phoneticPr fontId="5" type="noConversion"/>
  </si>
  <si>
    <t>135</t>
    <phoneticPr fontId="5" type="noConversion"/>
  </si>
  <si>
    <t>25.10.13</t>
    <phoneticPr fontId="5" type="noConversion"/>
  </si>
  <si>
    <t>임준길</t>
    <phoneticPr fontId="5" type="noConversion"/>
  </si>
  <si>
    <t>조성현</t>
    <phoneticPr fontId="5" type="noConversion"/>
  </si>
  <si>
    <t>아진티엘에스</t>
    <phoneticPr fontId="5" type="noConversion"/>
  </si>
  <si>
    <t>경남 김해시 상동면 우계리 104-1</t>
    <phoneticPr fontId="5" type="noConversion"/>
  </si>
  <si>
    <t>(주)그랜드썬기술단</t>
    <phoneticPr fontId="5" type="noConversion"/>
  </si>
  <si>
    <t>09-2309</t>
    <phoneticPr fontId="5" type="noConversion"/>
  </si>
  <si>
    <t>직</t>
    <phoneticPr fontId="5" type="noConversion"/>
  </si>
  <si>
    <t>유지</t>
    <phoneticPr fontId="5" type="noConversion"/>
  </si>
  <si>
    <t>외주(나)</t>
    <phoneticPr fontId="5" type="noConversion"/>
  </si>
  <si>
    <t>46</t>
    <phoneticPr fontId="5" type="noConversion"/>
  </si>
  <si>
    <t>25.10.14</t>
    <phoneticPr fontId="5" type="noConversion"/>
  </si>
  <si>
    <t>김정민</t>
    <phoneticPr fontId="5" type="noConversion"/>
  </si>
  <si>
    <t>장광수</t>
    <phoneticPr fontId="5" type="noConversion"/>
  </si>
  <si>
    <t>한국실린더테크1호</t>
    <phoneticPr fontId="5" type="noConversion"/>
  </si>
  <si>
    <t>경남 김해시 한림면 용덕로 302번길 75</t>
    <phoneticPr fontId="5" type="noConversion"/>
  </si>
  <si>
    <t>G08-2601</t>
    <phoneticPr fontId="5" type="noConversion"/>
  </si>
  <si>
    <t>그 외</t>
    <phoneticPr fontId="5" type="noConversion"/>
  </si>
  <si>
    <t>외주영업자 김성환</t>
    <phoneticPr fontId="5" type="noConversion"/>
  </si>
  <si>
    <t>136</t>
    <phoneticPr fontId="5" type="noConversion"/>
  </si>
  <si>
    <t>25.10.14</t>
    <phoneticPr fontId="5" type="noConversion"/>
  </si>
  <si>
    <t>허영준</t>
    <phoneticPr fontId="5" type="noConversion"/>
  </si>
  <si>
    <t>정규진</t>
    <phoneticPr fontId="5" type="noConversion"/>
  </si>
  <si>
    <t>한별햇빛2</t>
    <phoneticPr fontId="5" type="noConversion"/>
  </si>
  <si>
    <t>경남 창원시 진해구 진해대로 2507</t>
    <phoneticPr fontId="5" type="noConversion"/>
  </si>
  <si>
    <t>09-1609</t>
    <phoneticPr fontId="5" type="noConversion"/>
  </si>
  <si>
    <t>직접유입</t>
    <phoneticPr fontId="5" type="noConversion"/>
  </si>
  <si>
    <t>충북 충주시 달천동 548-12</t>
    <phoneticPr fontId="5" type="noConversion"/>
  </si>
  <si>
    <t>09-0309</t>
    <phoneticPr fontId="5" type="noConversion"/>
  </si>
  <si>
    <t>137</t>
    <phoneticPr fontId="5" type="noConversion"/>
  </si>
  <si>
    <t>25.10.14</t>
    <phoneticPr fontId="5" type="noConversion"/>
  </si>
  <si>
    <t>09-1901</t>
    <phoneticPr fontId="5" type="noConversion"/>
  </si>
  <si>
    <t>임준길</t>
    <phoneticPr fontId="5" type="noConversion"/>
  </si>
  <si>
    <t>진으뜸</t>
    <phoneticPr fontId="5" type="noConversion"/>
  </si>
  <si>
    <t>선진</t>
    <phoneticPr fontId="5" type="noConversion"/>
  </si>
  <si>
    <t>경기 안성시 미양면 이박골길 73</t>
    <phoneticPr fontId="5" type="noConversion"/>
  </si>
  <si>
    <t>진으뜸 책임</t>
    <phoneticPr fontId="5" type="noConversion"/>
  </si>
  <si>
    <t>138</t>
    <phoneticPr fontId="5" type="noConversion"/>
  </si>
  <si>
    <t>드림</t>
    <phoneticPr fontId="5" type="noConversion"/>
  </si>
  <si>
    <t>경기 용인시 처인구 백암면 근곡로107번길 28</t>
    <phoneticPr fontId="5" type="noConversion"/>
  </si>
  <si>
    <t>08-0525</t>
    <phoneticPr fontId="5" type="noConversion"/>
  </si>
  <si>
    <t>직접유입</t>
    <phoneticPr fontId="5" type="noConversion"/>
  </si>
  <si>
    <t>영일특수강</t>
    <phoneticPr fontId="5" type="noConversion"/>
  </si>
  <si>
    <t>47</t>
    <phoneticPr fontId="5" type="noConversion"/>
  </si>
  <si>
    <t>25.10.14</t>
    <phoneticPr fontId="5" type="noConversion"/>
  </si>
  <si>
    <t>김정민</t>
    <phoneticPr fontId="5" type="noConversion"/>
  </si>
  <si>
    <t>장광수</t>
    <phoneticPr fontId="5" type="noConversion"/>
  </si>
  <si>
    <t>한국실린더테크2호</t>
    <phoneticPr fontId="5" type="noConversion"/>
  </si>
  <si>
    <t>경남 김해시 한림면 용덕로 302번길 70</t>
    <phoneticPr fontId="5" type="noConversion"/>
  </si>
  <si>
    <t>외주영업자 김성환</t>
    <phoneticPr fontId="5" type="noConversion"/>
  </si>
  <si>
    <t>139</t>
    <phoneticPr fontId="5" type="noConversion"/>
  </si>
  <si>
    <t>25.10.14</t>
    <phoneticPr fontId="5" type="noConversion"/>
  </si>
  <si>
    <t>임준길</t>
    <phoneticPr fontId="5" type="noConversion"/>
  </si>
  <si>
    <t>진으뜸</t>
    <phoneticPr fontId="5" type="noConversion"/>
  </si>
  <si>
    <t>수민</t>
    <phoneticPr fontId="5" type="noConversion"/>
  </si>
  <si>
    <t>경기 광주시 초월읍 무갑길124번길 28-1</t>
    <phoneticPr fontId="5" type="noConversion"/>
  </si>
  <si>
    <t>08-0709</t>
    <phoneticPr fontId="5" type="noConversion"/>
  </si>
  <si>
    <t>직접유입</t>
    <phoneticPr fontId="5" type="noConversion"/>
  </si>
  <si>
    <t>김동호</t>
    <phoneticPr fontId="5" type="noConversion"/>
  </si>
  <si>
    <t>조성현</t>
    <phoneticPr fontId="5" type="noConversion"/>
  </si>
  <si>
    <t>PNS</t>
    <phoneticPr fontId="5" type="noConversion"/>
  </si>
  <si>
    <t>경남 김해시 진례면 테크노밸리길 187-22</t>
    <phoneticPr fontId="5" type="noConversion"/>
  </si>
  <si>
    <t>09-2404</t>
    <phoneticPr fontId="5" type="noConversion"/>
  </si>
  <si>
    <t>소개</t>
    <phoneticPr fontId="5" type="noConversion"/>
  </si>
  <si>
    <t>김진철수석</t>
    <phoneticPr fontId="5" type="noConversion"/>
  </si>
  <si>
    <t>산단</t>
    <phoneticPr fontId="5" type="noConversion"/>
  </si>
  <si>
    <t>141</t>
    <phoneticPr fontId="5" type="noConversion"/>
  </si>
  <si>
    <t>25.10.15</t>
    <phoneticPr fontId="5" type="noConversion"/>
  </si>
  <si>
    <t>용현무</t>
    <phoneticPr fontId="5" type="noConversion"/>
  </si>
  <si>
    <t>진으뜸</t>
    <phoneticPr fontId="5" type="noConversion"/>
  </si>
  <si>
    <t>파인앤로즈</t>
    <phoneticPr fontId="5" type="noConversion"/>
  </si>
  <si>
    <t xml:space="preserve">인천 강화군 하점면 강화대로 1008 </t>
    <phoneticPr fontId="5" type="noConversion"/>
  </si>
  <si>
    <t>08-1304</t>
    <phoneticPr fontId="5" type="noConversion"/>
  </si>
  <si>
    <t>직접유입</t>
    <phoneticPr fontId="5" type="noConversion"/>
  </si>
  <si>
    <t>142</t>
    <phoneticPr fontId="5" type="noConversion"/>
  </si>
  <si>
    <t>25.10.15</t>
    <phoneticPr fontId="5" type="noConversion"/>
  </si>
  <si>
    <t>진으뜸</t>
    <phoneticPr fontId="5" type="noConversion"/>
  </si>
  <si>
    <t>으뜸</t>
    <phoneticPr fontId="5" type="noConversion"/>
  </si>
  <si>
    <t>경기 고양시 일산동구 문봉동 15-1</t>
    <phoneticPr fontId="5" type="noConversion"/>
  </si>
  <si>
    <t>09-2321</t>
    <phoneticPr fontId="5" type="noConversion"/>
  </si>
  <si>
    <t>임준길</t>
    <phoneticPr fontId="5" type="noConversion"/>
  </si>
  <si>
    <t>직접유입</t>
    <phoneticPr fontId="5" type="noConversion"/>
  </si>
  <si>
    <t>143</t>
    <phoneticPr fontId="5" type="noConversion"/>
  </si>
  <si>
    <t>25.10.15</t>
    <phoneticPr fontId="5" type="noConversion"/>
  </si>
  <si>
    <t>임준길</t>
    <phoneticPr fontId="5" type="noConversion"/>
  </si>
  <si>
    <t>진으뜸</t>
    <phoneticPr fontId="5" type="noConversion"/>
  </si>
  <si>
    <t>아카시아리빙</t>
    <phoneticPr fontId="5" type="noConversion"/>
  </si>
  <si>
    <t>경기 포천시 군내면 용정경제로1길 94-16</t>
    <phoneticPr fontId="5" type="noConversion"/>
  </si>
  <si>
    <t>09-0207</t>
    <phoneticPr fontId="5" type="noConversion"/>
  </si>
  <si>
    <t>직접유입</t>
    <phoneticPr fontId="5" type="noConversion"/>
  </si>
  <si>
    <t>140</t>
    <phoneticPr fontId="5" type="noConversion"/>
  </si>
  <si>
    <t>144</t>
    <phoneticPr fontId="5" type="noConversion"/>
  </si>
  <si>
    <t>145</t>
    <phoneticPr fontId="5" type="noConversion"/>
  </si>
  <si>
    <t>146</t>
    <phoneticPr fontId="5" type="noConversion"/>
  </si>
  <si>
    <t>25.10.15</t>
    <phoneticPr fontId="5" type="noConversion"/>
  </si>
  <si>
    <t>임준길</t>
    <phoneticPr fontId="5" type="noConversion"/>
  </si>
  <si>
    <t>조성현</t>
    <phoneticPr fontId="5" type="noConversion"/>
  </si>
  <si>
    <t>신대이엔지1호</t>
    <phoneticPr fontId="5" type="noConversion"/>
  </si>
  <si>
    <t>경남 함안군 대산면 이산로 100-16</t>
    <phoneticPr fontId="5" type="noConversion"/>
  </si>
  <si>
    <t>경남 함안군 대산면 이산로 100-92</t>
    <phoneticPr fontId="5" type="noConversion"/>
  </si>
  <si>
    <t>경남 함안군 대산면 이산로 100-91</t>
    <phoneticPr fontId="5" type="noConversion"/>
  </si>
  <si>
    <t>07-1106</t>
    <phoneticPr fontId="5" type="noConversion"/>
  </si>
  <si>
    <t>산단</t>
    <phoneticPr fontId="5" type="noConversion"/>
  </si>
  <si>
    <t>유지</t>
    <phoneticPr fontId="5" type="noConversion"/>
  </si>
  <si>
    <t>신대이엔지2호</t>
    <phoneticPr fontId="5" type="noConversion"/>
  </si>
  <si>
    <t>신대</t>
    <phoneticPr fontId="5" type="noConversion"/>
  </si>
  <si>
    <t>48</t>
    <phoneticPr fontId="5" type="noConversion"/>
  </si>
  <si>
    <t>김정민</t>
    <phoneticPr fontId="5" type="noConversion"/>
  </si>
  <si>
    <t>장광수</t>
    <phoneticPr fontId="5" type="noConversion"/>
  </si>
  <si>
    <t>대성</t>
    <phoneticPr fontId="5" type="noConversion"/>
  </si>
  <si>
    <t>G07-1012</t>
    <phoneticPr fontId="5" type="noConversion"/>
  </si>
  <si>
    <t>외주영업자 코스모</t>
    <phoneticPr fontId="5" type="noConversion"/>
  </si>
  <si>
    <t>경남 김해시 진영읍 서부로 346번길 28-4</t>
    <phoneticPr fontId="5" type="noConversion"/>
  </si>
  <si>
    <t>입찰</t>
  </si>
  <si>
    <t>명천공업사</t>
    <phoneticPr fontId="5" type="noConversion"/>
  </si>
  <si>
    <t>경남 사천시 사남면 공단1로 59-37</t>
    <phoneticPr fontId="5" type="noConversion"/>
  </si>
  <si>
    <t>대구광역시 달성군 논공읍 논공중앙로 211</t>
    <phoneticPr fontId="5" type="noConversion"/>
  </si>
  <si>
    <t>147</t>
    <phoneticPr fontId="5" type="noConversion"/>
  </si>
  <si>
    <t>25.10.16</t>
    <phoneticPr fontId="5" type="noConversion"/>
  </si>
  <si>
    <t>김동호</t>
    <phoneticPr fontId="5" type="noConversion"/>
  </si>
  <si>
    <t>진으뜸</t>
    <phoneticPr fontId="5" type="noConversion"/>
  </si>
  <si>
    <t>금아산업</t>
    <phoneticPr fontId="5" type="noConversion"/>
  </si>
  <si>
    <t>인천 남동구 고잔동 651-2</t>
    <phoneticPr fontId="5" type="noConversion"/>
  </si>
  <si>
    <t>08-2601</t>
    <phoneticPr fontId="5" type="noConversion"/>
  </si>
  <si>
    <t>에이치앤티글로벌 사업주 소개</t>
    <phoneticPr fontId="5" type="noConversion"/>
  </si>
  <si>
    <t>148</t>
    <phoneticPr fontId="5" type="noConversion"/>
  </si>
  <si>
    <t>25.10.16</t>
    <phoneticPr fontId="5" type="noConversion"/>
  </si>
  <si>
    <t>김동호</t>
    <phoneticPr fontId="5" type="noConversion"/>
  </si>
  <si>
    <t>조성현</t>
    <phoneticPr fontId="5" type="noConversion"/>
  </si>
  <si>
    <t>대서저온창고</t>
    <phoneticPr fontId="5" type="noConversion"/>
  </si>
  <si>
    <t>전남 고흥군 대서면 송림리 4-11,12</t>
    <phoneticPr fontId="5" type="noConversion"/>
  </si>
  <si>
    <t>SP10-1302</t>
    <phoneticPr fontId="5" type="noConversion"/>
  </si>
  <si>
    <t>추가사업 해람씨엔비</t>
    <phoneticPr fontId="5" type="noConversion"/>
  </si>
  <si>
    <t>49</t>
    <phoneticPr fontId="5" type="noConversion"/>
  </si>
  <si>
    <t>50</t>
    <phoneticPr fontId="5" type="noConversion"/>
  </si>
  <si>
    <t>25.10.17</t>
    <phoneticPr fontId="5" type="noConversion"/>
  </si>
  <si>
    <t>김정민</t>
    <phoneticPr fontId="5" type="noConversion"/>
  </si>
  <si>
    <t>장광수</t>
    <phoneticPr fontId="5" type="noConversion"/>
  </si>
  <si>
    <t>화성</t>
    <phoneticPr fontId="5" type="noConversion"/>
  </si>
  <si>
    <t>G07-1012</t>
    <phoneticPr fontId="5" type="noConversion"/>
  </si>
  <si>
    <t>그 외</t>
    <phoneticPr fontId="5" type="noConversion"/>
  </si>
  <si>
    <t>외주영업 신선수</t>
    <phoneticPr fontId="5" type="noConversion"/>
  </si>
  <si>
    <t>대림제지 오산공장</t>
    <phoneticPr fontId="5" type="noConversion"/>
  </si>
  <si>
    <t>대림제지 파주공장</t>
    <phoneticPr fontId="5" type="noConversion"/>
  </si>
  <si>
    <t>경기 오산시 황새로 169</t>
    <phoneticPr fontId="5" type="noConversion"/>
  </si>
  <si>
    <t>경기 파주시 적성면 적성산단1로 24</t>
    <phoneticPr fontId="5" type="noConversion"/>
  </si>
  <si>
    <t>건강100세</t>
    <phoneticPr fontId="5" type="noConversion"/>
  </si>
  <si>
    <t>김정민</t>
    <phoneticPr fontId="5" type="noConversion"/>
  </si>
  <si>
    <t>장광수</t>
    <phoneticPr fontId="5" type="noConversion"/>
  </si>
  <si>
    <t>경상남도 김해시 주촌면 금관대로775번길 74-56</t>
    <phoneticPr fontId="5" type="noConversion"/>
  </si>
  <si>
    <t>G07-1503</t>
    <phoneticPr fontId="5" type="noConversion"/>
  </si>
  <si>
    <t>그 외</t>
    <phoneticPr fontId="5" type="noConversion"/>
  </si>
  <si>
    <t>외주영업 이성주</t>
    <phoneticPr fontId="5" type="noConversion"/>
  </si>
  <si>
    <t>149</t>
    <phoneticPr fontId="5" type="noConversion"/>
  </si>
  <si>
    <t>25.10.17</t>
    <phoneticPr fontId="5" type="noConversion"/>
  </si>
  <si>
    <t>김동호</t>
    <phoneticPr fontId="5" type="noConversion"/>
  </si>
  <si>
    <t>조성현</t>
    <phoneticPr fontId="5" type="noConversion"/>
  </si>
  <si>
    <t>나연</t>
    <phoneticPr fontId="5" type="noConversion"/>
  </si>
  <si>
    <t>경북 경주시 외동읍 석계산업단지길 66-58</t>
    <phoneticPr fontId="5" type="noConversion"/>
  </si>
  <si>
    <t>09-1801</t>
    <phoneticPr fontId="5" type="noConversion"/>
  </si>
  <si>
    <t>소개</t>
    <phoneticPr fontId="5" type="noConversion"/>
  </si>
  <si>
    <t>`이형로이사</t>
    <phoneticPr fontId="5" type="noConversion"/>
  </si>
  <si>
    <t xml:space="preserve">  </t>
    <phoneticPr fontId="5" type="noConversion"/>
  </si>
  <si>
    <t>150</t>
    <phoneticPr fontId="5" type="noConversion"/>
  </si>
  <si>
    <t>25.10.16</t>
    <phoneticPr fontId="5" type="noConversion"/>
  </si>
  <si>
    <t>용현무</t>
    <phoneticPr fontId="5" type="noConversion"/>
  </si>
  <si>
    <t>박도훈</t>
    <phoneticPr fontId="5" type="noConversion"/>
  </si>
  <si>
    <t>삼정ENG</t>
    <phoneticPr fontId="5" type="noConversion"/>
  </si>
  <si>
    <t>경북 구미시 지주중류1길 2</t>
    <phoneticPr fontId="5" type="noConversion"/>
  </si>
  <si>
    <t>(주)그랜드썬기술단</t>
    <phoneticPr fontId="5" type="noConversion"/>
  </si>
  <si>
    <t>09-2207</t>
    <phoneticPr fontId="5" type="noConversion"/>
  </si>
  <si>
    <t>소개</t>
    <phoneticPr fontId="5" type="noConversion"/>
  </si>
  <si>
    <t>오케이테크 소개</t>
    <phoneticPr fontId="5" type="noConversion"/>
  </si>
  <si>
    <t>그랜드썬44(해피컴퍼니)</t>
    <phoneticPr fontId="5" type="noConversion"/>
  </si>
  <si>
    <t>151</t>
    <phoneticPr fontId="5" type="noConversion"/>
  </si>
  <si>
    <t>25.10.20</t>
    <phoneticPr fontId="5" type="noConversion"/>
  </si>
  <si>
    <t>임준길</t>
    <phoneticPr fontId="5" type="noConversion"/>
  </si>
  <si>
    <t>최창민</t>
    <phoneticPr fontId="5" type="noConversion"/>
  </si>
  <si>
    <t>에스로직㈜</t>
    <phoneticPr fontId="5" type="noConversion"/>
  </si>
  <si>
    <t>충북 음성군 대소면 오류리 801</t>
    <phoneticPr fontId="5" type="noConversion"/>
  </si>
  <si>
    <t>08-0410</t>
    <phoneticPr fontId="5" type="noConversion"/>
  </si>
  <si>
    <t>152</t>
    <phoneticPr fontId="5" type="noConversion"/>
  </si>
  <si>
    <t>25.10.22</t>
    <phoneticPr fontId="5" type="noConversion"/>
  </si>
  <si>
    <t>김동호</t>
    <phoneticPr fontId="5" type="noConversion"/>
  </si>
  <si>
    <t>정규진</t>
    <phoneticPr fontId="5" type="noConversion"/>
  </si>
  <si>
    <t>대진테크</t>
    <phoneticPr fontId="5" type="noConversion"/>
  </si>
  <si>
    <t>경남 진주시 도동로 99</t>
    <phoneticPr fontId="5" type="noConversion"/>
  </si>
  <si>
    <t>09-3012</t>
    <phoneticPr fontId="5" type="noConversion"/>
  </si>
  <si>
    <t>이명수 수석</t>
    <phoneticPr fontId="5" type="noConversion"/>
  </si>
  <si>
    <t>51</t>
    <phoneticPr fontId="5" type="noConversion"/>
  </si>
  <si>
    <t>25.10.24</t>
    <phoneticPr fontId="5" type="noConversion"/>
  </si>
  <si>
    <t>김정민</t>
    <phoneticPr fontId="5" type="noConversion"/>
  </si>
  <si>
    <t>장광수</t>
    <phoneticPr fontId="5" type="noConversion"/>
  </si>
  <si>
    <t>화성</t>
    <phoneticPr fontId="5" type="noConversion"/>
  </si>
  <si>
    <t>경남 함안군 법수면 장백로 528-32</t>
    <phoneticPr fontId="5" type="noConversion"/>
  </si>
  <si>
    <t>G10-0102</t>
    <phoneticPr fontId="5" type="noConversion"/>
  </si>
  <si>
    <t>외주영업 이인재</t>
    <phoneticPr fontId="5" type="noConversion"/>
  </si>
  <si>
    <t>공장</t>
    <phoneticPr fontId="5" type="noConversion"/>
  </si>
  <si>
    <t>유지</t>
    <phoneticPr fontId="5" type="noConversion"/>
  </si>
  <si>
    <t>153</t>
    <phoneticPr fontId="5" type="noConversion"/>
  </si>
  <si>
    <t>25.10.24</t>
    <phoneticPr fontId="5" type="noConversion"/>
  </si>
  <si>
    <t>허영준</t>
    <phoneticPr fontId="5" type="noConversion"/>
  </si>
  <si>
    <t>조성현</t>
    <phoneticPr fontId="5" type="noConversion"/>
  </si>
  <si>
    <t>덕신엔지니어링</t>
    <phoneticPr fontId="5" type="noConversion"/>
  </si>
  <si>
    <t>경남 김해시 대동면 대동산단7로 96</t>
    <phoneticPr fontId="5" type="noConversion"/>
  </si>
  <si>
    <t>10-2015</t>
    <phoneticPr fontId="5" type="noConversion"/>
  </si>
  <si>
    <t>직접유입</t>
    <phoneticPr fontId="5" type="noConversion"/>
  </si>
  <si>
    <t>공장</t>
    <phoneticPr fontId="5" type="noConversion"/>
  </si>
  <si>
    <t>유지</t>
    <phoneticPr fontId="5" type="noConversion"/>
  </si>
  <si>
    <t>산단</t>
    <phoneticPr fontId="5" type="noConversion"/>
  </si>
  <si>
    <t>울산 북구 중산산업3길 25</t>
    <phoneticPr fontId="5" type="noConversion"/>
  </si>
  <si>
    <t>유지</t>
    <phoneticPr fontId="5" type="noConversion"/>
  </si>
  <si>
    <t>154</t>
    <phoneticPr fontId="5" type="noConversion"/>
  </si>
  <si>
    <t>25.10.27</t>
    <phoneticPr fontId="5" type="noConversion"/>
  </si>
  <si>
    <t>김동호</t>
    <phoneticPr fontId="5" type="noConversion"/>
  </si>
  <si>
    <t>최창민</t>
    <phoneticPr fontId="5" type="noConversion"/>
  </si>
  <si>
    <t>경남 창원시 진해구 장천동 782-52</t>
    <phoneticPr fontId="5" type="noConversion"/>
  </si>
  <si>
    <t>10-1706</t>
    <phoneticPr fontId="5" type="noConversion"/>
  </si>
  <si>
    <t>소개</t>
    <phoneticPr fontId="5" type="noConversion"/>
  </si>
  <si>
    <t>공장</t>
    <phoneticPr fontId="5" type="noConversion"/>
  </si>
  <si>
    <t>유지</t>
    <phoneticPr fontId="5" type="noConversion"/>
  </si>
  <si>
    <t>155</t>
    <phoneticPr fontId="5" type="noConversion"/>
  </si>
  <si>
    <t>25.10.28</t>
    <phoneticPr fontId="5" type="noConversion"/>
  </si>
  <si>
    <t>진으뜸</t>
    <phoneticPr fontId="5" type="noConversion"/>
  </si>
  <si>
    <t>수민2호</t>
    <phoneticPr fontId="5" type="noConversion"/>
  </si>
  <si>
    <t>임준길</t>
    <phoneticPr fontId="5" type="noConversion"/>
  </si>
  <si>
    <t>경기 광주시 초월읍 동막골길 197-9</t>
    <phoneticPr fontId="5" type="noConversion"/>
  </si>
  <si>
    <t>08-0709</t>
    <phoneticPr fontId="5" type="noConversion"/>
  </si>
  <si>
    <t>156</t>
    <phoneticPr fontId="5" type="noConversion"/>
  </si>
  <si>
    <t>25.10.30</t>
    <phoneticPr fontId="5" type="noConversion"/>
  </si>
  <si>
    <t>허영준</t>
    <phoneticPr fontId="5" type="noConversion"/>
  </si>
  <si>
    <t>조성현</t>
    <phoneticPr fontId="5" type="noConversion"/>
  </si>
  <si>
    <t>덕신엔지니어링2호</t>
    <phoneticPr fontId="5" type="noConversion"/>
  </si>
  <si>
    <t>부산 사상구 낙동대로 1390번길35</t>
    <phoneticPr fontId="5" type="noConversion"/>
  </si>
  <si>
    <t>10-2402</t>
    <phoneticPr fontId="5" type="noConversion"/>
  </si>
  <si>
    <t>그 외</t>
    <phoneticPr fontId="5" type="noConversion"/>
  </si>
  <si>
    <t>직접유입</t>
    <phoneticPr fontId="5" type="noConversion"/>
  </si>
  <si>
    <t>유지</t>
    <phoneticPr fontId="5" type="noConversion"/>
  </si>
  <si>
    <t>157</t>
    <phoneticPr fontId="5" type="noConversion"/>
  </si>
  <si>
    <t>25.10.30</t>
    <phoneticPr fontId="5" type="noConversion"/>
  </si>
  <si>
    <t>허영준</t>
    <phoneticPr fontId="5" type="noConversion"/>
  </si>
  <si>
    <t>진으뜸</t>
    <phoneticPr fontId="5" type="noConversion"/>
  </si>
  <si>
    <t>에스씨바이오</t>
    <phoneticPr fontId="5" type="noConversion"/>
  </si>
  <si>
    <t>대전 유성구 관평동 700</t>
    <phoneticPr fontId="5" type="noConversion"/>
  </si>
  <si>
    <t>05-2802</t>
    <phoneticPr fontId="5" type="noConversion"/>
  </si>
  <si>
    <t>직접유입</t>
    <phoneticPr fontId="5" type="noConversion"/>
  </si>
  <si>
    <t>공장</t>
    <phoneticPr fontId="5" type="noConversion"/>
  </si>
  <si>
    <t>유지</t>
    <phoneticPr fontId="5" type="noConversion"/>
  </si>
  <si>
    <t>158</t>
  </si>
  <si>
    <t>159</t>
  </si>
  <si>
    <t>160</t>
  </si>
  <si>
    <t>25.10.31</t>
    <phoneticPr fontId="5" type="noConversion"/>
  </si>
  <si>
    <t>25.11.01</t>
    <phoneticPr fontId="5" type="noConversion"/>
  </si>
  <si>
    <t>김동호</t>
    <phoneticPr fontId="5" type="noConversion"/>
  </si>
  <si>
    <t>최창민</t>
    <phoneticPr fontId="5" type="noConversion"/>
  </si>
  <si>
    <t>용현무</t>
    <phoneticPr fontId="5" type="noConversion"/>
  </si>
  <si>
    <t>GL</t>
    <phoneticPr fontId="5" type="noConversion"/>
  </si>
  <si>
    <t>DK1호</t>
    <phoneticPr fontId="5" type="noConversion"/>
  </si>
  <si>
    <t>DK2호</t>
  </si>
  <si>
    <t>10-1704</t>
    <phoneticPr fontId="5" type="noConversion"/>
  </si>
  <si>
    <t>10-2101</t>
    <phoneticPr fontId="5" type="noConversion"/>
  </si>
  <si>
    <t>10-2705</t>
    <phoneticPr fontId="5" type="noConversion"/>
  </si>
  <si>
    <t>홍진 김동하 대표님 소개</t>
    <phoneticPr fontId="5" type="noConversion"/>
  </si>
  <si>
    <t>유진이엔택 이사 소개(계약고객 아님)</t>
    <phoneticPr fontId="5" type="noConversion"/>
  </si>
  <si>
    <t>경남 김해시 생림면 나전로 385</t>
    <phoneticPr fontId="5" type="noConversion"/>
  </si>
  <si>
    <t>경남 김해시 생림면 생림대로928번길 36</t>
    <phoneticPr fontId="5" type="noConversion"/>
  </si>
  <si>
    <t>경남 양산시 동면 가산리 1333-7</t>
    <phoneticPr fontId="5" type="noConversion"/>
  </si>
  <si>
    <t>161</t>
    <phoneticPr fontId="5" type="noConversion"/>
  </si>
  <si>
    <t>162</t>
    <phoneticPr fontId="5" type="noConversion"/>
  </si>
  <si>
    <t>163</t>
    <phoneticPr fontId="5" type="noConversion"/>
  </si>
  <si>
    <t>25.11.03</t>
    <phoneticPr fontId="5" type="noConversion"/>
  </si>
  <si>
    <t>임준길</t>
    <phoneticPr fontId="5" type="noConversion"/>
  </si>
  <si>
    <t>조성현</t>
    <phoneticPr fontId="5" type="noConversion"/>
  </si>
  <si>
    <t>하나토솔루션</t>
    <phoneticPr fontId="5" type="noConversion"/>
  </si>
  <si>
    <t>세영1호</t>
    <phoneticPr fontId="5" type="noConversion"/>
  </si>
  <si>
    <t>세영2호</t>
    <phoneticPr fontId="5" type="noConversion"/>
  </si>
  <si>
    <t>경북 김천시 대광동 1000-32,30</t>
    <phoneticPr fontId="5" type="noConversion"/>
  </si>
  <si>
    <t>충남 서천군 마서면 남전리 384-20</t>
    <phoneticPr fontId="5" type="noConversion"/>
  </si>
  <si>
    <t>경남 창원시 마산합포구 진북면 신촌리 374</t>
    <phoneticPr fontId="5" type="noConversion"/>
  </si>
  <si>
    <t>10-1610</t>
    <phoneticPr fontId="5" type="noConversion"/>
  </si>
  <si>
    <t>08-0415</t>
    <phoneticPr fontId="5" type="noConversion"/>
  </si>
  <si>
    <t>직접유입</t>
    <phoneticPr fontId="5" type="noConversion"/>
  </si>
  <si>
    <t>누계 건수</t>
    <phoneticPr fontId="5" type="noConversion"/>
  </si>
  <si>
    <t>164</t>
    <phoneticPr fontId="5" type="noConversion"/>
  </si>
  <si>
    <t>25.11.04</t>
    <phoneticPr fontId="5" type="noConversion"/>
  </si>
  <si>
    <t>배기태</t>
    <phoneticPr fontId="5" type="noConversion"/>
  </si>
  <si>
    <t>대구 달성군 논공읍 상리 759-3</t>
    <phoneticPr fontId="5" type="noConversion"/>
  </si>
  <si>
    <t>08-2512</t>
    <phoneticPr fontId="5" type="noConversion"/>
  </si>
  <si>
    <t>직접유입</t>
    <phoneticPr fontId="5" type="noConversion"/>
  </si>
  <si>
    <t>165</t>
    <phoneticPr fontId="5" type="noConversion"/>
  </si>
  <si>
    <t>25.11.05</t>
  </si>
  <si>
    <t>김동호</t>
    <phoneticPr fontId="5" type="noConversion"/>
  </si>
  <si>
    <t>최창민</t>
    <phoneticPr fontId="5" type="noConversion"/>
  </si>
  <si>
    <t>창녕 3호</t>
    <phoneticPr fontId="5" type="noConversion"/>
  </si>
  <si>
    <t>경남 창녕군 대합면 대합산업단지로 38-51</t>
    <phoneticPr fontId="5" type="noConversion"/>
  </si>
  <si>
    <t>10-2702</t>
    <phoneticPr fontId="5" type="noConversion"/>
  </si>
  <si>
    <t>창녕 1호. 2호 사업주</t>
    <phoneticPr fontId="5" type="noConversion"/>
  </si>
  <si>
    <t>25.11.05</t>
    <phoneticPr fontId="5" type="noConversion"/>
  </si>
  <si>
    <t>김지훈</t>
    <phoneticPr fontId="5" type="noConversion"/>
  </si>
  <si>
    <t>장광수</t>
    <phoneticPr fontId="5" type="noConversion"/>
  </si>
  <si>
    <t>거성</t>
    <phoneticPr fontId="5" type="noConversion"/>
  </si>
  <si>
    <t>경남 함안군 산인면 신산로 146</t>
    <phoneticPr fontId="5" type="noConversion"/>
  </si>
  <si>
    <t>G10-2401</t>
    <phoneticPr fontId="5" type="noConversion"/>
  </si>
  <si>
    <t>공장</t>
    <phoneticPr fontId="5" type="noConversion"/>
  </si>
  <si>
    <t>유지</t>
    <phoneticPr fontId="5" type="noConversion"/>
  </si>
  <si>
    <t>52</t>
    <phoneticPr fontId="5" type="noConversion"/>
  </si>
  <si>
    <t>53</t>
    <phoneticPr fontId="5" type="noConversion"/>
  </si>
  <si>
    <t>김정민</t>
    <phoneticPr fontId="5" type="noConversion"/>
  </si>
  <si>
    <t>장광수</t>
    <phoneticPr fontId="5" type="noConversion"/>
  </si>
  <si>
    <t>대진섬유</t>
    <phoneticPr fontId="5" type="noConversion"/>
  </si>
  <si>
    <t>대구 달성군 논공읍 금포리 945</t>
    <phoneticPr fontId="5" type="noConversion"/>
  </si>
  <si>
    <t>G09-2208</t>
    <phoneticPr fontId="5" type="noConversion"/>
  </si>
  <si>
    <t>그 외</t>
    <phoneticPr fontId="5" type="noConversion"/>
  </si>
  <si>
    <t>외주영업 장준규</t>
    <phoneticPr fontId="5" type="noConversion"/>
  </si>
  <si>
    <t>공장</t>
    <phoneticPr fontId="5" type="noConversion"/>
  </si>
  <si>
    <t>유지</t>
    <phoneticPr fontId="5" type="noConversion"/>
  </si>
  <si>
    <t>대구상리</t>
    <phoneticPr fontId="5" type="noConversion"/>
  </si>
  <si>
    <t>166</t>
    <phoneticPr fontId="5" type="noConversion"/>
  </si>
  <si>
    <t>허영준</t>
    <phoneticPr fontId="5" type="noConversion"/>
  </si>
  <si>
    <t>박도훈</t>
    <phoneticPr fontId="5" type="noConversion"/>
  </si>
  <si>
    <t>우림정밀</t>
    <phoneticPr fontId="5" type="noConversion"/>
  </si>
  <si>
    <t>경남 김해시 대동면 대동산단6로41-15</t>
    <phoneticPr fontId="5" type="noConversion"/>
  </si>
  <si>
    <t>10-2806</t>
    <phoneticPr fontId="5" type="noConversion"/>
  </si>
  <si>
    <t>직접유입(경남도산단설명회)</t>
    <phoneticPr fontId="5" type="noConversion"/>
  </si>
  <si>
    <t>공장</t>
    <phoneticPr fontId="5" type="noConversion"/>
  </si>
  <si>
    <t>유지</t>
    <phoneticPr fontId="5" type="noConversion"/>
  </si>
  <si>
    <t>167</t>
    <phoneticPr fontId="5" type="noConversion"/>
  </si>
  <si>
    <t>25.11.06</t>
    <phoneticPr fontId="5" type="noConversion"/>
  </si>
  <si>
    <t>임준길</t>
    <phoneticPr fontId="5" type="noConversion"/>
  </si>
  <si>
    <t>진으뜸</t>
    <phoneticPr fontId="5" type="noConversion"/>
  </si>
  <si>
    <t>제티아</t>
    <phoneticPr fontId="5" type="noConversion"/>
  </si>
  <si>
    <t>경기 화성시 우정읍 주곡리 740-6</t>
    <phoneticPr fontId="5" type="noConversion"/>
  </si>
  <si>
    <t>SP10-2301</t>
    <phoneticPr fontId="5" type="noConversion"/>
  </si>
  <si>
    <t>직접유입</t>
    <phoneticPr fontId="5" type="noConversion"/>
  </si>
  <si>
    <t>전승표</t>
    <phoneticPr fontId="5" type="noConversion"/>
  </si>
  <si>
    <t>참프레 군산공장</t>
    <phoneticPr fontId="5" type="noConversion"/>
  </si>
  <si>
    <t>참프레 부안공장</t>
    <phoneticPr fontId="5" type="noConversion"/>
  </si>
  <si>
    <t>전북특별자치도 부안군 행안면 옥여길 32-29</t>
    <phoneticPr fontId="5" type="noConversion"/>
  </si>
  <si>
    <t>전북특별자치도 군산시 자유무역로 165-19</t>
    <phoneticPr fontId="5" type="noConversion"/>
  </si>
  <si>
    <t>004</t>
    <phoneticPr fontId="5" type="noConversion"/>
  </si>
  <si>
    <t>25.11.10</t>
    <phoneticPr fontId="5" type="noConversion"/>
  </si>
  <si>
    <t>김동호</t>
    <phoneticPr fontId="5" type="noConversion"/>
  </si>
  <si>
    <t>진으뜸</t>
    <phoneticPr fontId="5" type="noConversion"/>
  </si>
  <si>
    <t>미래파워</t>
    <phoneticPr fontId="5" type="noConversion"/>
  </si>
  <si>
    <t>경기 여주시 가남읍 대신리 142-10</t>
    <phoneticPr fontId="5" type="noConversion"/>
  </si>
  <si>
    <t>10-1005</t>
    <phoneticPr fontId="5" type="noConversion"/>
  </si>
  <si>
    <t>직접유입</t>
    <phoneticPr fontId="5" type="noConversion"/>
  </si>
  <si>
    <t>168</t>
    <phoneticPr fontId="5" type="noConversion"/>
  </si>
  <si>
    <t>25.11.10</t>
    <phoneticPr fontId="5" type="noConversion"/>
  </si>
  <si>
    <t>허영준</t>
    <phoneticPr fontId="5" type="noConversion"/>
  </si>
  <si>
    <t>진으뜸</t>
    <phoneticPr fontId="5" type="noConversion"/>
  </si>
  <si>
    <t>원쏠라</t>
    <phoneticPr fontId="5" type="noConversion"/>
  </si>
  <si>
    <t>경기 이천시 진상미로 1044번길 170-9</t>
    <phoneticPr fontId="5" type="noConversion"/>
  </si>
  <si>
    <t>11-0303</t>
    <phoneticPr fontId="5" type="noConversion"/>
  </si>
  <si>
    <t>그 외</t>
    <phoneticPr fontId="5" type="noConversion"/>
  </si>
  <si>
    <t>다성테크 2호</t>
    <phoneticPr fontId="5" type="noConversion"/>
  </si>
  <si>
    <t>태도리소스</t>
    <phoneticPr fontId="5" type="noConversion"/>
  </si>
  <si>
    <t>대동씨엠</t>
    <phoneticPr fontId="5" type="noConversion"/>
  </si>
  <si>
    <t>54</t>
    <phoneticPr fontId="5" type="noConversion"/>
  </si>
  <si>
    <t>55</t>
    <phoneticPr fontId="5" type="noConversion"/>
  </si>
  <si>
    <t>56</t>
    <phoneticPr fontId="5" type="noConversion"/>
  </si>
  <si>
    <t>25.11.11</t>
    <phoneticPr fontId="5" type="noConversion"/>
  </si>
  <si>
    <t>김지훈</t>
    <phoneticPr fontId="5" type="noConversion"/>
  </si>
  <si>
    <t>장광수</t>
    <phoneticPr fontId="5" type="noConversion"/>
  </si>
  <si>
    <t>경기 이천시 마장면 이치리 253</t>
    <phoneticPr fontId="5" type="noConversion"/>
  </si>
  <si>
    <t>외주영업 한세수</t>
    <phoneticPr fontId="5" type="noConversion"/>
  </si>
  <si>
    <t>25.11.10</t>
    <phoneticPr fontId="5" type="noConversion"/>
  </si>
  <si>
    <t>바른태양광 사업주 소개</t>
    <phoneticPr fontId="5" type="noConversion"/>
  </si>
  <si>
    <t>외주영업 배병수</t>
    <phoneticPr fontId="5" type="noConversion"/>
  </si>
  <si>
    <t>G10-1604</t>
    <phoneticPr fontId="5" type="noConversion"/>
  </si>
  <si>
    <t>G08-1812</t>
    <phoneticPr fontId="5" type="noConversion"/>
  </si>
  <si>
    <t>G10-2701</t>
    <phoneticPr fontId="5" type="noConversion"/>
  </si>
  <si>
    <t>울산 울주군 웅촌면 갓골길 11</t>
    <phoneticPr fontId="5" type="noConversion"/>
  </si>
  <si>
    <t>부산 강서구 녹산산단382로59번길 27, 33</t>
    <phoneticPr fontId="5" type="noConversion"/>
  </si>
  <si>
    <t>공장</t>
    <phoneticPr fontId="5" type="noConversion"/>
  </si>
  <si>
    <t>산단</t>
    <phoneticPr fontId="5" type="noConversion"/>
  </si>
  <si>
    <t>직영(가)</t>
    <phoneticPr fontId="5" type="noConversion"/>
  </si>
  <si>
    <t>기존시설물(A)</t>
    <phoneticPr fontId="5" type="noConversion"/>
  </si>
  <si>
    <t>169</t>
    <phoneticPr fontId="5" type="noConversion"/>
  </si>
  <si>
    <t>25.11.12</t>
    <phoneticPr fontId="5" type="noConversion"/>
  </si>
  <si>
    <t>정규진</t>
    <phoneticPr fontId="5" type="noConversion"/>
  </si>
  <si>
    <t>박도훈</t>
    <phoneticPr fontId="5" type="noConversion"/>
  </si>
  <si>
    <t>인디안아울렛</t>
    <phoneticPr fontId="5" type="noConversion"/>
  </si>
  <si>
    <t>경남 김해시 금관대로 866</t>
    <phoneticPr fontId="5" type="noConversion"/>
  </si>
  <si>
    <t>03-1008</t>
    <phoneticPr fontId="5" type="noConversion"/>
  </si>
  <si>
    <t>직접유입</t>
    <phoneticPr fontId="5" type="noConversion"/>
  </si>
  <si>
    <t>170</t>
    <phoneticPr fontId="5" type="noConversion"/>
  </si>
  <si>
    <t>25.11.13</t>
    <phoneticPr fontId="5" type="noConversion"/>
  </si>
  <si>
    <t>용현무</t>
    <phoneticPr fontId="5" type="noConversion"/>
  </si>
  <si>
    <t>최창민</t>
    <phoneticPr fontId="5" type="noConversion"/>
  </si>
  <si>
    <t>삼진로푸</t>
    <phoneticPr fontId="5" type="noConversion"/>
  </si>
  <si>
    <t>경기 시흥시 소망공원로 260</t>
    <phoneticPr fontId="5" type="noConversion"/>
  </si>
  <si>
    <t>10-2810</t>
    <phoneticPr fontId="5" type="noConversion"/>
  </si>
  <si>
    <t>171</t>
    <phoneticPr fontId="5" type="noConversion"/>
  </si>
  <si>
    <t>25.11.18</t>
    <phoneticPr fontId="5" type="noConversion"/>
  </si>
  <si>
    <t>박도훈</t>
    <phoneticPr fontId="5" type="noConversion"/>
  </si>
  <si>
    <t>동화SUN</t>
    <phoneticPr fontId="5" type="noConversion"/>
  </si>
  <si>
    <t>부산 강서구 화전산단5로98번길 21</t>
    <phoneticPr fontId="5" type="noConversion"/>
  </si>
  <si>
    <t>11-0508</t>
    <phoneticPr fontId="5" type="noConversion"/>
  </si>
  <si>
    <t>소개</t>
    <phoneticPr fontId="5" type="noConversion"/>
  </si>
  <si>
    <t>YJ(창신테크) 사업주 소개</t>
    <phoneticPr fontId="5" type="noConversion"/>
  </si>
  <si>
    <t>(법인)시원</t>
    <phoneticPr fontId="5" type="noConversion"/>
  </si>
  <si>
    <t>충남 홍성군 갈산면 갈산로 227-63</t>
    <phoneticPr fontId="5" type="noConversion"/>
  </si>
  <si>
    <t>10-0208</t>
    <phoneticPr fontId="5" type="noConversion"/>
  </si>
  <si>
    <t>(개인)신선냉동산업</t>
    <phoneticPr fontId="5" type="noConversion"/>
  </si>
  <si>
    <t>충남 홍성군 갈산면 갈산로 227-67</t>
    <phoneticPr fontId="5" type="noConversion"/>
  </si>
  <si>
    <t>그랜드썬46(이상철강)</t>
    <phoneticPr fontId="5" type="noConversion"/>
  </si>
  <si>
    <t>부산 강서구 봉죽길 238번길 142,144</t>
    <phoneticPr fontId="5" type="noConversion"/>
  </si>
  <si>
    <t>G09-2909</t>
    <phoneticPr fontId="5" type="noConversion"/>
  </si>
  <si>
    <t>172</t>
    <phoneticPr fontId="5" type="noConversion"/>
  </si>
  <si>
    <t>173</t>
    <phoneticPr fontId="5" type="noConversion"/>
  </si>
  <si>
    <t>25.11.19</t>
    <phoneticPr fontId="5" type="noConversion"/>
  </si>
  <si>
    <t>허영준</t>
    <phoneticPr fontId="5" type="noConversion"/>
  </si>
  <si>
    <t>용현무</t>
    <phoneticPr fontId="5" type="noConversion"/>
  </si>
  <si>
    <t>진으뜸</t>
    <phoneticPr fontId="5" type="noConversion"/>
  </si>
  <si>
    <t>삼남화성</t>
    <phoneticPr fontId="5" type="noConversion"/>
  </si>
  <si>
    <t>양기</t>
    <phoneticPr fontId="5" type="noConversion"/>
  </si>
  <si>
    <t>경기 화성시 우정읍 쌍봉로 501-30</t>
    <phoneticPr fontId="5" type="noConversion"/>
  </si>
  <si>
    <t>경기 광주시 목동24</t>
    <phoneticPr fontId="5" type="noConversion"/>
  </si>
  <si>
    <t>SP10-2001</t>
    <phoneticPr fontId="5" type="noConversion"/>
  </si>
  <si>
    <t>10-20-27</t>
    <phoneticPr fontId="5" type="noConversion"/>
  </si>
  <si>
    <t>직접유입</t>
    <phoneticPr fontId="5" type="noConversion"/>
  </si>
  <si>
    <t>그랜드썬45(디엠모티브)</t>
    <phoneticPr fontId="5" type="noConversion"/>
  </si>
  <si>
    <t>경남 창원시 진해구 남영로 527번길 16,18</t>
    <phoneticPr fontId="5" type="noConversion"/>
  </si>
  <si>
    <t>G09-2401</t>
    <phoneticPr fontId="5" type="noConversion"/>
  </si>
  <si>
    <t>174</t>
    <phoneticPr fontId="5" type="noConversion"/>
  </si>
  <si>
    <t>25.11.19</t>
    <phoneticPr fontId="5" type="noConversion"/>
  </si>
  <si>
    <t>에스씨컴퍼니</t>
    <phoneticPr fontId="5" type="noConversion"/>
  </si>
  <si>
    <t>경남 김해시 진영ㅇ읍 본산1로 56번길 84</t>
    <phoneticPr fontId="5" type="noConversion"/>
  </si>
  <si>
    <t>25.11.19</t>
    <phoneticPr fontId="5" type="noConversion"/>
  </si>
  <si>
    <t>김정민</t>
    <phoneticPr fontId="5" type="noConversion"/>
  </si>
  <si>
    <t>장광수</t>
    <phoneticPr fontId="5" type="noConversion"/>
  </si>
  <si>
    <t>선윤</t>
    <phoneticPr fontId="5" type="noConversion"/>
  </si>
  <si>
    <t>울산 울주군 상북면 길천산업1길 30-9</t>
    <phoneticPr fontId="5" type="noConversion"/>
  </si>
  <si>
    <t>G05-2803</t>
    <phoneticPr fontId="5" type="noConversion"/>
  </si>
  <si>
    <t>그 외</t>
    <phoneticPr fontId="5" type="noConversion"/>
  </si>
  <si>
    <t>외주영업 신선수</t>
    <phoneticPr fontId="5" type="noConversion"/>
  </si>
  <si>
    <t>유지</t>
    <phoneticPr fontId="5" type="noConversion"/>
  </si>
  <si>
    <t>산단</t>
    <phoneticPr fontId="5" type="noConversion"/>
  </si>
  <si>
    <t>57</t>
    <phoneticPr fontId="5" type="noConversion"/>
  </si>
  <si>
    <t>175</t>
    <phoneticPr fontId="5" type="noConversion"/>
  </si>
  <si>
    <t>25.11.24</t>
    <phoneticPr fontId="5" type="noConversion"/>
  </si>
  <si>
    <t>허영준</t>
    <phoneticPr fontId="5" type="noConversion"/>
  </si>
  <si>
    <t>진으뜸</t>
    <phoneticPr fontId="5" type="noConversion"/>
  </si>
  <si>
    <t>성창</t>
    <phoneticPr fontId="5" type="noConversion"/>
  </si>
  <si>
    <t>충남 천안시 서북구 성환읍 왕림리 301-27</t>
    <phoneticPr fontId="5" type="noConversion"/>
  </si>
  <si>
    <t>176</t>
    <phoneticPr fontId="5" type="noConversion"/>
  </si>
  <si>
    <t>177</t>
    <phoneticPr fontId="5" type="noConversion"/>
  </si>
  <si>
    <t>178</t>
    <phoneticPr fontId="5" type="noConversion"/>
  </si>
  <si>
    <t>25.11.25</t>
    <phoneticPr fontId="5" type="noConversion"/>
  </si>
  <si>
    <t>디제이티</t>
    <phoneticPr fontId="5" type="noConversion"/>
  </si>
  <si>
    <t>우성해상</t>
    <phoneticPr fontId="5" type="noConversion"/>
  </si>
  <si>
    <t>부산 강서구 과학산단2로 19번길 100-88</t>
    <phoneticPr fontId="5" type="noConversion"/>
  </si>
  <si>
    <t>부산 강서구 미음동 1651-1</t>
    <phoneticPr fontId="5" type="noConversion"/>
  </si>
  <si>
    <t>06-2709</t>
    <phoneticPr fontId="5" type="noConversion"/>
  </si>
  <si>
    <t>09-0135</t>
    <phoneticPr fontId="5" type="noConversion"/>
  </si>
  <si>
    <t>케이원글로벌 김덕주이사</t>
    <phoneticPr fontId="5" type="noConversion"/>
  </si>
  <si>
    <t>인천 남동구 남촌동 626-1</t>
    <phoneticPr fontId="5" type="noConversion"/>
  </si>
  <si>
    <t>현대화스너</t>
    <phoneticPr fontId="5" type="noConversion"/>
  </si>
  <si>
    <t>10-2803</t>
    <phoneticPr fontId="5" type="noConversion"/>
  </si>
  <si>
    <t>부산 강서구 송정동 1737-20</t>
    <phoneticPr fontId="5" type="noConversion"/>
  </si>
  <si>
    <t>경남 밀양시 가곡동 311</t>
    <phoneticPr fontId="5" type="noConversion"/>
  </si>
  <si>
    <t xml:space="preserve"> </t>
    <phoneticPr fontId="5" type="noConversion"/>
  </si>
  <si>
    <t>58</t>
    <phoneticPr fontId="5" type="noConversion"/>
  </si>
  <si>
    <t>25.11.26</t>
    <phoneticPr fontId="5" type="noConversion"/>
  </si>
  <si>
    <t>김정민</t>
    <phoneticPr fontId="5" type="noConversion"/>
  </si>
  <si>
    <t>장광수</t>
    <phoneticPr fontId="5" type="noConversion"/>
  </si>
  <si>
    <t>73boy</t>
    <phoneticPr fontId="5" type="noConversion"/>
  </si>
  <si>
    <t>경남 김해시 진례면 고모로 364번길 2-1</t>
    <phoneticPr fontId="5" type="noConversion"/>
  </si>
  <si>
    <t>G10-0103</t>
    <phoneticPr fontId="5" type="noConversion"/>
  </si>
  <si>
    <t>그 외</t>
    <phoneticPr fontId="5" type="noConversion"/>
  </si>
  <si>
    <t>외주영업 신선수</t>
    <phoneticPr fontId="5" type="noConversion"/>
  </si>
  <si>
    <t>서울</t>
  </si>
  <si>
    <t>인천</t>
  </si>
  <si>
    <t>대전</t>
  </si>
  <si>
    <t>세종</t>
  </si>
  <si>
    <t>안성지사</t>
  </si>
  <si>
    <t>부산</t>
  </si>
  <si>
    <t>대구</t>
  </si>
  <si>
    <t>울산</t>
  </si>
  <si>
    <t>제주</t>
  </si>
  <si>
    <t>광주</t>
  </si>
  <si>
    <t xml:space="preserve"> 지역별통계</t>
    <phoneticPr fontId="5" type="noConversion"/>
  </si>
  <si>
    <t>경기</t>
  </si>
  <si>
    <t>경기</t>
    <phoneticPr fontId="5" type="noConversion"/>
  </si>
  <si>
    <t>강원</t>
    <phoneticPr fontId="5" type="noConversion"/>
  </si>
  <si>
    <t>충남</t>
  </si>
  <si>
    <t>충남</t>
    <phoneticPr fontId="5" type="noConversion"/>
  </si>
  <si>
    <t>충북</t>
  </si>
  <si>
    <t>충북</t>
    <phoneticPr fontId="5" type="noConversion"/>
  </si>
  <si>
    <t>경남</t>
  </si>
  <si>
    <t>경남</t>
    <phoneticPr fontId="5" type="noConversion"/>
  </si>
  <si>
    <t>경북</t>
  </si>
  <si>
    <t>경북</t>
    <phoneticPr fontId="5" type="noConversion"/>
  </si>
  <si>
    <t>전북</t>
  </si>
  <si>
    <t>전북</t>
    <phoneticPr fontId="5" type="noConversion"/>
  </si>
  <si>
    <t>전남</t>
    <phoneticPr fontId="5" type="noConversion"/>
  </si>
  <si>
    <t>부산지사</t>
    <phoneticPr fontId="5" type="noConversion"/>
  </si>
  <si>
    <r>
      <rPr>
        <b/>
        <sz val="11"/>
        <color rgb="FF0000FF"/>
        <rFont val="맑은 고딕"/>
        <family val="3"/>
        <charset val="129"/>
      </rPr>
      <t>전체</t>
    </r>
    <r>
      <rPr>
        <b/>
        <sz val="11"/>
        <color rgb="FF0000FF"/>
        <rFont val="Calibri"/>
        <family val="2"/>
      </rPr>
      <t xml:space="preserve"> </t>
    </r>
    <r>
      <rPr>
        <b/>
        <sz val="11"/>
        <color rgb="FF0000FF"/>
        <rFont val="맑은 고딕"/>
        <family val="3"/>
        <charset val="129"/>
      </rPr>
      <t>문의</t>
    </r>
    <phoneticPr fontId="5" type="noConversion"/>
  </si>
  <si>
    <t>지역</t>
    <phoneticPr fontId="5" type="noConversion"/>
  </si>
  <si>
    <t>합계 용량 / 건수</t>
    <phoneticPr fontId="5" type="noConversion"/>
  </si>
  <si>
    <t>경기</t>
    <phoneticPr fontId="5" type="noConversion"/>
  </si>
  <si>
    <t>부산</t>
    <phoneticPr fontId="5" type="noConversion"/>
  </si>
  <si>
    <t>전남</t>
    <phoneticPr fontId="5" type="noConversion"/>
  </si>
  <si>
    <t>경남</t>
    <phoneticPr fontId="5" type="noConversion"/>
  </si>
  <si>
    <t>경북</t>
    <phoneticPr fontId="5" type="noConversion"/>
  </si>
  <si>
    <t>울산</t>
    <phoneticPr fontId="5" type="noConversion"/>
  </si>
  <si>
    <t>충북</t>
    <phoneticPr fontId="5" type="noConversion"/>
  </si>
  <si>
    <t>대구</t>
    <phoneticPr fontId="5" type="noConversion"/>
  </si>
  <si>
    <t>충남</t>
    <phoneticPr fontId="5" type="noConversion"/>
  </si>
  <si>
    <t>대전</t>
    <phoneticPr fontId="5" type="noConversion"/>
  </si>
  <si>
    <t>인천</t>
    <phoneticPr fontId="5" type="noConversion"/>
  </si>
  <si>
    <t>179</t>
    <phoneticPr fontId="5" type="noConversion"/>
  </si>
  <si>
    <t>25.11.28</t>
    <phoneticPr fontId="5" type="noConversion"/>
  </si>
  <si>
    <t>임준길</t>
    <phoneticPr fontId="5" type="noConversion"/>
  </si>
  <si>
    <t>민</t>
    <phoneticPr fontId="5" type="noConversion"/>
  </si>
  <si>
    <t>부산 강서구 대저중앙로 394번가길 131</t>
    <phoneticPr fontId="5" type="noConversion"/>
  </si>
  <si>
    <t>08-0612</t>
    <phoneticPr fontId="5" type="noConversion"/>
  </si>
  <si>
    <t>직접유입</t>
    <phoneticPr fontId="5" type="noConversion"/>
  </si>
  <si>
    <t>180</t>
    <phoneticPr fontId="5" type="noConversion"/>
  </si>
  <si>
    <t>181</t>
    <phoneticPr fontId="5" type="noConversion"/>
  </si>
  <si>
    <t>25.12.02</t>
    <phoneticPr fontId="5" type="noConversion"/>
  </si>
  <si>
    <t>진으뜸</t>
    <phoneticPr fontId="5" type="noConversion"/>
  </si>
  <si>
    <t>허영준</t>
    <phoneticPr fontId="5" type="noConversion"/>
  </si>
  <si>
    <t>제이피텍스</t>
    <phoneticPr fontId="5" type="noConversion"/>
  </si>
  <si>
    <t>피알컵</t>
    <phoneticPr fontId="5" type="noConversion"/>
  </si>
  <si>
    <t>경기</t>
    <phoneticPr fontId="5" type="noConversion"/>
  </si>
  <si>
    <t>경기 포천시 송선로 199-100</t>
    <phoneticPr fontId="5" type="noConversion"/>
  </si>
  <si>
    <t>경기 남양주시 진전읍 진벌리 243-2,243-3</t>
    <phoneticPr fontId="5" type="noConversion"/>
  </si>
  <si>
    <t>11-1706</t>
    <phoneticPr fontId="5" type="noConversion"/>
  </si>
  <si>
    <t>11-0408</t>
    <phoneticPr fontId="5" type="noConversion"/>
  </si>
  <si>
    <t>직접유입</t>
    <phoneticPr fontId="5" type="noConversion"/>
  </si>
  <si>
    <t>182</t>
    <phoneticPr fontId="5" type="noConversion"/>
  </si>
  <si>
    <t>25.12.02</t>
    <phoneticPr fontId="5" type="noConversion"/>
  </si>
  <si>
    <t>선진</t>
    <phoneticPr fontId="5" type="noConversion"/>
  </si>
  <si>
    <t>인천</t>
    <phoneticPr fontId="5" type="noConversion"/>
  </si>
  <si>
    <t>인천 서구 오류동 225</t>
    <phoneticPr fontId="5" type="noConversion"/>
  </si>
  <si>
    <t>11-0610</t>
    <phoneticPr fontId="5" type="noConversion"/>
  </si>
  <si>
    <t>직접유입</t>
    <phoneticPr fontId="5" type="noConversion"/>
  </si>
  <si>
    <t>59</t>
    <phoneticPr fontId="5" type="noConversion"/>
  </si>
  <si>
    <t>25.12.03</t>
    <phoneticPr fontId="5" type="noConversion"/>
  </si>
  <si>
    <t>정규진</t>
    <phoneticPr fontId="5" type="noConversion"/>
  </si>
  <si>
    <t>장광수</t>
    <phoneticPr fontId="5" type="noConversion"/>
  </si>
  <si>
    <t>우리</t>
    <phoneticPr fontId="5" type="noConversion"/>
  </si>
  <si>
    <t>경남 통영시 안평동 502-4</t>
    <phoneticPr fontId="5" type="noConversion"/>
  </si>
  <si>
    <t>경남</t>
    <phoneticPr fontId="5" type="noConversion"/>
  </si>
  <si>
    <t>G11-0503</t>
    <phoneticPr fontId="5" type="noConversion"/>
  </si>
  <si>
    <t>외주영업자 강재기</t>
    <phoneticPr fontId="5" type="noConversion"/>
  </si>
  <si>
    <t>근생</t>
    <phoneticPr fontId="5" type="noConversion"/>
  </si>
  <si>
    <t>유지</t>
    <phoneticPr fontId="5" type="noConversion"/>
  </si>
  <si>
    <t>코텍</t>
    <phoneticPr fontId="5" type="noConversion"/>
  </si>
  <si>
    <t>인천 연수구 벤처로24번길 26</t>
    <phoneticPr fontId="5" type="noConversion"/>
  </si>
  <si>
    <t>08-2205</t>
    <phoneticPr fontId="5" type="noConversion"/>
  </si>
  <si>
    <t>60</t>
    <phoneticPr fontId="5" type="noConversion"/>
  </si>
  <si>
    <t>25.12.04</t>
    <phoneticPr fontId="5" type="noConversion"/>
  </si>
  <si>
    <t>장광수</t>
    <phoneticPr fontId="5" type="noConversion"/>
  </si>
  <si>
    <t>정호</t>
    <phoneticPr fontId="5" type="noConversion"/>
  </si>
  <si>
    <t>부산</t>
    <phoneticPr fontId="5" type="noConversion"/>
  </si>
  <si>
    <t>부산 강서구 과학산단2로 19번길 136</t>
    <phoneticPr fontId="5" type="noConversion"/>
  </si>
  <si>
    <t>G07-2805</t>
    <phoneticPr fontId="5" type="noConversion"/>
  </si>
  <si>
    <t>외주영업자 배병수</t>
    <phoneticPr fontId="5" type="noConversion"/>
  </si>
  <si>
    <t>산단</t>
    <phoneticPr fontId="5" type="noConversion"/>
  </si>
  <si>
    <t>유지</t>
    <phoneticPr fontId="5" type="noConversion"/>
  </si>
  <si>
    <t>183</t>
    <phoneticPr fontId="5" type="noConversion"/>
  </si>
  <si>
    <t>용현무</t>
    <phoneticPr fontId="5" type="noConversion"/>
  </si>
  <si>
    <t>조성현</t>
    <phoneticPr fontId="5" type="noConversion"/>
  </si>
  <si>
    <t>중일유화</t>
    <phoneticPr fontId="5" type="noConversion"/>
  </si>
  <si>
    <t>경남</t>
    <phoneticPr fontId="5" type="noConversion"/>
  </si>
  <si>
    <t>경남 김해시 대동산단3로 83</t>
    <phoneticPr fontId="5" type="noConversion"/>
  </si>
  <si>
    <t>11-2805</t>
    <phoneticPr fontId="5" type="noConversion"/>
  </si>
  <si>
    <t>직접유입</t>
    <phoneticPr fontId="5" type="noConversion"/>
  </si>
  <si>
    <t>184</t>
    <phoneticPr fontId="5" type="noConversion"/>
  </si>
  <si>
    <t>25.12.05</t>
    <phoneticPr fontId="5" type="noConversion"/>
  </si>
  <si>
    <t>(가칭)이앤제이 5호</t>
    <phoneticPr fontId="5" type="noConversion"/>
  </si>
  <si>
    <t xml:space="preserve">경남 김해시 한림면 용덕로236번길 3 </t>
    <phoneticPr fontId="5" type="noConversion"/>
  </si>
  <si>
    <t>11-2410</t>
    <phoneticPr fontId="5" type="noConversion"/>
  </si>
  <si>
    <t>기존사업주(이앤제이 1호~ 4호고객)</t>
    <phoneticPr fontId="5" type="noConversion"/>
  </si>
  <si>
    <t>25.12.01</t>
    <phoneticPr fontId="5" type="noConversion"/>
  </si>
  <si>
    <t>185</t>
    <phoneticPr fontId="5" type="noConversion"/>
  </si>
  <si>
    <t>25.12.08</t>
    <phoneticPr fontId="5" type="noConversion"/>
  </si>
  <si>
    <t>파트너</t>
    <phoneticPr fontId="5" type="noConversion"/>
  </si>
  <si>
    <t>경기 포천시 가산면 우금6길 59,64</t>
    <phoneticPr fontId="5" type="noConversion"/>
  </si>
  <si>
    <t>11-2612</t>
    <phoneticPr fontId="5" type="noConversion"/>
  </si>
  <si>
    <t>박원철 소개 건</t>
    <phoneticPr fontId="5" type="noConversion"/>
  </si>
  <si>
    <t>61</t>
    <phoneticPr fontId="5" type="noConversion"/>
  </si>
  <si>
    <t>25.12.09</t>
    <phoneticPr fontId="5" type="noConversion"/>
  </si>
  <si>
    <t>㈜디와이에스</t>
    <phoneticPr fontId="5" type="noConversion"/>
  </si>
  <si>
    <t>충청북도 음성군 삼성면 대성로 380번길 208</t>
    <phoneticPr fontId="5" type="noConversion"/>
  </si>
  <si>
    <t>G09-3002</t>
    <phoneticPr fontId="5" type="noConversion"/>
  </si>
  <si>
    <t>외주영업자 남가경</t>
    <phoneticPr fontId="5" type="noConversion"/>
  </si>
  <si>
    <t>62</t>
    <phoneticPr fontId="5" type="noConversion"/>
  </si>
  <si>
    <t>청호</t>
    <phoneticPr fontId="5" type="noConversion"/>
  </si>
  <si>
    <t>울산 북구 농공단지5길 22</t>
    <phoneticPr fontId="5" type="noConversion"/>
  </si>
  <si>
    <t>G12-0301</t>
    <phoneticPr fontId="5" type="noConversion"/>
  </si>
  <si>
    <t>63</t>
    <phoneticPr fontId="5" type="noConversion"/>
  </si>
  <si>
    <t>㈜제이에스</t>
    <phoneticPr fontId="5" type="noConversion"/>
  </si>
  <si>
    <t>충북 음성군 삼성면 대성로 380번길 204</t>
    <phoneticPr fontId="5" type="noConversion"/>
  </si>
  <si>
    <t>G10-3008</t>
    <phoneticPr fontId="5" type="noConversion"/>
  </si>
  <si>
    <t>186</t>
    <phoneticPr fontId="5" type="noConversion"/>
  </si>
  <si>
    <t>25.12.11</t>
    <phoneticPr fontId="5" type="noConversion"/>
  </si>
  <si>
    <t>케이엠아이</t>
    <phoneticPr fontId="5" type="noConversion"/>
  </si>
  <si>
    <t>경남 김해시 진례면 고모로134번길 40-4</t>
    <phoneticPr fontId="5" type="noConversion"/>
  </si>
  <si>
    <t>02-2405</t>
    <phoneticPr fontId="5" type="noConversion"/>
  </si>
  <si>
    <t>직접유입, 기존사업주 추가분</t>
    <phoneticPr fontId="5" type="noConversion"/>
  </si>
  <si>
    <t>64</t>
    <phoneticPr fontId="5" type="noConversion"/>
  </si>
  <si>
    <t>25.12.15</t>
    <phoneticPr fontId="5" type="noConversion"/>
  </si>
  <si>
    <t>YJ1</t>
    <phoneticPr fontId="5" type="noConversion"/>
  </si>
  <si>
    <t>울산 울주군 삼남읍 공암공단 1길 63-17</t>
    <phoneticPr fontId="5" type="noConversion"/>
  </si>
  <si>
    <t>G12-0802</t>
    <phoneticPr fontId="5" type="noConversion"/>
  </si>
  <si>
    <t>187</t>
  </si>
  <si>
    <t>25.12.17</t>
  </si>
  <si>
    <t>임준길</t>
  </si>
  <si>
    <t>최창민</t>
  </si>
  <si>
    <t>㈜코스리거</t>
  </si>
  <si>
    <t>경기 시흥시 공단1대로 295 (주)코스리거</t>
  </si>
  <si>
    <t>11-1808</t>
  </si>
  <si>
    <t>직접유입</t>
  </si>
  <si>
    <t>188</t>
  </si>
  <si>
    <t>25.12.18</t>
  </si>
  <si>
    <t>용현무</t>
  </si>
  <si>
    <t>(가칭)제이와이큐</t>
  </si>
  <si>
    <t>경기 화성시 향남읍 초록로693번길 3-53</t>
  </si>
  <si>
    <t>11-1709</t>
  </si>
  <si>
    <t>장광수</t>
    <phoneticPr fontId="5" type="noConversion"/>
  </si>
  <si>
    <t>대원프라스틱(에자자)</t>
    <phoneticPr fontId="5" type="noConversion"/>
  </si>
  <si>
    <t>부산</t>
    <phoneticPr fontId="5" type="noConversion"/>
  </si>
  <si>
    <t>부산 강서구 송정동 1650-9</t>
    <phoneticPr fontId="5" type="noConversion"/>
  </si>
  <si>
    <t>G11-2704</t>
    <phoneticPr fontId="5" type="noConversion"/>
  </si>
  <si>
    <t>그 외</t>
    <phoneticPr fontId="5" type="noConversion"/>
  </si>
  <si>
    <t xml:space="preserve">외주영업자 배병수 </t>
    <phoneticPr fontId="5" type="noConversion"/>
  </si>
  <si>
    <t>유지</t>
    <phoneticPr fontId="5" type="noConversion"/>
  </si>
  <si>
    <t>공장</t>
    <phoneticPr fontId="5" type="noConversion"/>
  </si>
  <si>
    <t>189</t>
    <phoneticPr fontId="5" type="noConversion"/>
  </si>
  <si>
    <t>25.12.18</t>
    <phoneticPr fontId="5" type="noConversion"/>
  </si>
  <si>
    <t>부산 강서구 대저1동 2904-26</t>
    <phoneticPr fontId="5" type="noConversion"/>
  </si>
  <si>
    <t>11-2703</t>
    <phoneticPr fontId="5" type="noConversion"/>
  </si>
  <si>
    <t>천자봉</t>
    <phoneticPr fontId="5" type="noConversion"/>
  </si>
  <si>
    <t>25.12.23</t>
    <phoneticPr fontId="5" type="noConversion"/>
  </si>
  <si>
    <t>화신 봉동</t>
    <phoneticPr fontId="5" type="noConversion"/>
  </si>
  <si>
    <t>화신 하이테크</t>
    <phoneticPr fontId="5" type="noConversion"/>
  </si>
  <si>
    <t>경북 영천시 도남공단길 94-2</t>
    <phoneticPr fontId="5" type="noConversion"/>
  </si>
  <si>
    <t>경북 영천시 화산면 하이테크로 263</t>
    <phoneticPr fontId="5" type="noConversion"/>
  </si>
  <si>
    <t>25.12.22</t>
    <phoneticPr fontId="5" type="noConversion"/>
  </si>
  <si>
    <t>농심 포승공장</t>
    <phoneticPr fontId="5" type="noConversion"/>
  </si>
  <si>
    <t>경기도 평택시 포승읍 포승공단순환로 245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</si>
</sst>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00_-;\-* #,##0.000_-;_-* &quot;-&quot;???_-;_-@_-"/>
    <numFmt numFmtId="178" formatCode="#,##0\ &quot;kW&quot;"/>
    <numFmt numFmtId="179" formatCode="#,##0\ &quot;건&quot;"/>
    <numFmt numFmtId="180" formatCode="#,##0.00\ &quot;억원&quot;"/>
    <numFmt numFmtId="181" formatCode="0\ &quot;월&quot;"/>
    <numFmt numFmtId="182" formatCode="#,##0\ &quot;원&quot;"/>
    <numFmt numFmtId="183" formatCode="#,##0.000\ &quot;kW&quot;"/>
    <numFmt numFmtId="184" formatCode="mm&quot;월&quot;\ dd&quot;일&quot;"/>
    <numFmt numFmtId="185" formatCode="0_);[Red]\(0\)"/>
    <numFmt numFmtId="186" formatCode="#,##0\ &quot;kW&quot;;&quot;-&quot;;&quot;-&quot;"/>
    <numFmt numFmtId="187" formatCode="#,##0\ &quot;건&quot;;&quot;-&quot;;&quot;-&quot;"/>
    <numFmt numFmtId="188" formatCode="#,##0.00\ &quot;억원&quot;;&quot;-&quot;;&quot;-&quot;"/>
    <numFmt numFmtId="189" formatCode="General\ &quot;년&quot;"/>
    <numFmt numFmtId="190" formatCode="General\ &quot;건&quot;"/>
    <numFmt numFmtId="191" formatCode="_-* #,##0_-;\-* #,##0_-;_-* &quot;-&quot;???_-;_-@_-"/>
    <numFmt numFmtId="192" formatCode="#,##0\ &quot;월&quot;"/>
    <numFmt numFmtId="193" formatCode="0.0%"/>
    <numFmt numFmtId="194" formatCode="#,##0_ "/>
    <numFmt numFmtId="195" formatCode="#,##0_);[Red]\(#,##0\)"/>
    <numFmt numFmtId="196" formatCode="_-* #,##0.000_-;\-* #,##0.000_-;_-* &quot;-&quot;_-;_-@_-"/>
    <numFmt numFmtId="197" formatCode="#,##0.##\ &quot;kW&quot;"/>
    <numFmt numFmtId="198" formatCode="0\ &quot;년&quot;"/>
  </numFmts>
  <fonts count="55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12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u/>
      <sz val="36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rgb="FFC00000"/>
      <name val="맑은 고딕"/>
      <family val="3"/>
      <charset val="129"/>
      <scheme val="minor"/>
    </font>
    <font>
      <b/>
      <sz val="16"/>
      <color rgb="FF0070C0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b/>
      <sz val="11"/>
      <color rgb="FF0000FF"/>
      <name val="Calibri"/>
      <family val="2"/>
    </font>
    <font>
      <sz val="11"/>
      <color theme="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color rgb="FF0000FF"/>
      <name val="Calibri"/>
      <family val="3"/>
      <charset val="129"/>
    </font>
    <font>
      <sz val="12"/>
      <color rgb="FFFF0000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>
      <alignment horizontal="center" vertical="center"/>
    </xf>
    <xf numFmtId="41" fontId="6" fillId="0" borderId="0" applyFont="0" applyFill="0" applyBorder="0" applyAlignment="0" applyProtection="0">
      <alignment vertical="center"/>
    </xf>
    <xf numFmtId="0" fontId="11" fillId="2" borderId="0" applyNumberFormat="0" applyBorder="0" applyProtection="0">
      <alignment horizontal="center" vertical="center"/>
    </xf>
    <xf numFmtId="0" fontId="12" fillId="0" borderId="0"/>
    <xf numFmtId="9" fontId="10" fillId="0" borderId="0" applyFont="0" applyFill="0" applyBorder="0" applyAlignment="0" applyProtection="0">
      <alignment vertical="center"/>
    </xf>
  </cellStyleXfs>
  <cellXfs count="426">
    <xf numFmtId="0" fontId="0" fillId="0" borderId="0" xfId="0">
      <alignment horizontal="center" vertical="center"/>
    </xf>
    <xf numFmtId="41" fontId="14" fillId="3" borderId="4" xfId="1" applyFont="1" applyFill="1" applyBorder="1" applyAlignment="1">
      <alignment horizontal="center" vertical="center"/>
    </xf>
    <xf numFmtId="0" fontId="14" fillId="3" borderId="5" xfId="0" applyFont="1" applyFill="1" applyBorder="1">
      <alignment horizontal="center" vertical="center"/>
    </xf>
    <xf numFmtId="41" fontId="0" fillId="0" borderId="0" xfId="0" applyNumberFormat="1">
      <alignment horizontal="center" vertical="center"/>
    </xf>
    <xf numFmtId="0" fontId="14" fillId="3" borderId="4" xfId="0" applyFont="1" applyFill="1" applyBorder="1">
      <alignment horizontal="center" vertical="center"/>
    </xf>
    <xf numFmtId="177" fontId="0" fillId="0" borderId="0" xfId="0" applyNumberFormat="1">
      <alignment horizontal="center" vertical="center"/>
    </xf>
    <xf numFmtId="41" fontId="0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>
      <alignment horizontal="center" vertical="center"/>
    </xf>
    <xf numFmtId="41" fontId="13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1" fontId="0" fillId="0" borderId="0" xfId="0" applyNumberFormat="1" applyAlignment="1">
      <alignment horizontal="center" vertical="center" wrapText="1"/>
    </xf>
    <xf numFmtId="0" fontId="7" fillId="0" borderId="19" xfId="0" applyFont="1" applyBorder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41" fontId="7" fillId="0" borderId="19" xfId="1" applyFont="1" applyFill="1" applyBorder="1" applyAlignment="1">
      <alignment horizontal="center" vertical="center" wrapText="1"/>
    </xf>
    <xf numFmtId="0" fontId="7" fillId="0" borderId="20" xfId="0" applyFont="1" applyBorder="1">
      <alignment horizontal="center" vertical="center"/>
    </xf>
    <xf numFmtId="0" fontId="7" fillId="0" borderId="26" xfId="0" applyFont="1" applyBorder="1">
      <alignment horizontal="center" vertical="center"/>
    </xf>
    <xf numFmtId="0" fontId="0" fillId="0" borderId="28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>
      <alignment horizontal="center" vertical="center"/>
    </xf>
    <xf numFmtId="14" fontId="7" fillId="0" borderId="27" xfId="0" applyNumberFormat="1" applyFont="1" applyBorder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7" fillId="0" borderId="30" xfId="0" applyFont="1" applyBorder="1">
      <alignment horizontal="center" vertical="center"/>
    </xf>
    <xf numFmtId="0" fontId="0" fillId="0" borderId="28" xfId="0" applyBorder="1" applyAlignment="1">
      <alignment horizontal="left" vertical="center" wrapText="1"/>
    </xf>
    <xf numFmtId="0" fontId="14" fillId="3" borderId="3" xfId="0" applyFont="1" applyFill="1" applyBorder="1">
      <alignment horizontal="center" vertical="center"/>
    </xf>
    <xf numFmtId="0" fontId="17" fillId="0" borderId="15" xfId="0" applyFont="1" applyBorder="1" applyAlignment="1">
      <alignment vertical="center"/>
    </xf>
    <xf numFmtId="0" fontId="17" fillId="0" borderId="0" xfId="0" applyFont="1" applyAlignment="1">
      <alignment vertical="center"/>
    </xf>
    <xf numFmtId="41" fontId="17" fillId="0" borderId="0" xfId="1" applyFont="1" applyAlignment="1">
      <alignment vertical="center"/>
    </xf>
    <xf numFmtId="0" fontId="20" fillId="0" borderId="28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21" fillId="0" borderId="0" xfId="0" applyFont="1">
      <alignment horizontal="center" vertical="center"/>
    </xf>
    <xf numFmtId="0" fontId="0" fillId="6" borderId="38" xfId="0" applyFill="1" applyBorder="1">
      <alignment horizontal="center" vertical="center"/>
    </xf>
    <xf numFmtId="176" fontId="13" fillId="0" borderId="0" xfId="1" applyNumberFormat="1" applyFont="1" applyFill="1" applyBorder="1" applyAlignment="1">
      <alignment horizontal="center" vertical="center"/>
    </xf>
    <xf numFmtId="176" fontId="7" fillId="0" borderId="19" xfId="1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6" fontId="0" fillId="0" borderId="0" xfId="1" applyNumberFormat="1" applyFont="1" applyFill="1" applyBorder="1" applyAlignment="1">
      <alignment horizontal="center" vertical="center"/>
    </xf>
    <xf numFmtId="41" fontId="7" fillId="0" borderId="19" xfId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77" fontId="0" fillId="6" borderId="6" xfId="1" applyNumberFormat="1" applyFont="1" applyFill="1" applyBorder="1" applyAlignment="1">
      <alignment horizontal="center" vertical="center"/>
    </xf>
    <xf numFmtId="0" fontId="25" fillId="0" borderId="0" xfId="0" applyFont="1">
      <alignment horizontal="center" vertical="center"/>
    </xf>
    <xf numFmtId="0" fontId="26" fillId="0" borderId="0" xfId="0" applyFont="1">
      <alignment horizontal="center" vertical="center"/>
    </xf>
    <xf numFmtId="0" fontId="14" fillId="3" borderId="44" xfId="0" applyFont="1" applyFill="1" applyBorder="1">
      <alignment horizontal="center" vertical="center"/>
    </xf>
    <xf numFmtId="0" fontId="0" fillId="6" borderId="45" xfId="0" applyFill="1" applyBorder="1">
      <alignment horizontal="center" vertical="center"/>
    </xf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8" fillId="0" borderId="28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8" xfId="0" applyBorder="1">
      <alignment horizontal="center" vertical="center"/>
    </xf>
    <xf numFmtId="0" fontId="0" fillId="0" borderId="15" xfId="0" applyBorder="1">
      <alignment horizontal="center" vertical="center"/>
    </xf>
    <xf numFmtId="0" fontId="0" fillId="0" borderId="59" xfId="0" applyBorder="1">
      <alignment horizontal="center" vertical="center"/>
    </xf>
    <xf numFmtId="0" fontId="0" fillId="0" borderId="49" xfId="0" applyBorder="1">
      <alignment horizontal="center" vertical="center"/>
    </xf>
    <xf numFmtId="0" fontId="0" fillId="0" borderId="28" xfId="0" applyBorder="1">
      <alignment horizontal="center" vertical="center"/>
    </xf>
    <xf numFmtId="183" fontId="0" fillId="0" borderId="0" xfId="0" applyNumberFormat="1">
      <alignment horizontal="center" vertical="center"/>
    </xf>
    <xf numFmtId="190" fontId="0" fillId="0" borderId="0" xfId="0" applyNumberFormat="1">
      <alignment horizontal="center" vertical="center"/>
    </xf>
    <xf numFmtId="190" fontId="0" fillId="0" borderId="24" xfId="0" applyNumberFormat="1" applyBorder="1">
      <alignment horizontal="center" vertical="center"/>
    </xf>
    <xf numFmtId="190" fontId="0" fillId="0" borderId="59" xfId="0" applyNumberFormat="1" applyBorder="1">
      <alignment horizontal="center" vertical="center"/>
    </xf>
    <xf numFmtId="183" fontId="0" fillId="0" borderId="31" xfId="0" applyNumberFormat="1" applyBorder="1">
      <alignment horizontal="center" vertical="center"/>
    </xf>
    <xf numFmtId="182" fontId="0" fillId="0" borderId="31" xfId="0" applyNumberFormat="1" applyBorder="1">
      <alignment horizontal="center" vertical="center"/>
    </xf>
    <xf numFmtId="190" fontId="0" fillId="0" borderId="31" xfId="0" applyNumberFormat="1" applyBorder="1">
      <alignment horizontal="center" vertical="center"/>
    </xf>
    <xf numFmtId="190" fontId="0" fillId="0" borderId="30" xfId="0" applyNumberFormat="1" applyBorder="1">
      <alignment horizontal="center" vertical="center"/>
    </xf>
    <xf numFmtId="183" fontId="0" fillId="0" borderId="54" xfId="0" applyNumberFormat="1" applyBorder="1">
      <alignment horizontal="center" vertical="center"/>
    </xf>
    <xf numFmtId="190" fontId="0" fillId="0" borderId="56" xfId="0" applyNumberFormat="1" applyBorder="1">
      <alignment horizontal="center" vertical="center"/>
    </xf>
    <xf numFmtId="183" fontId="0" fillId="0" borderId="57" xfId="0" applyNumberFormat="1" applyBorder="1">
      <alignment horizontal="center" vertical="center"/>
    </xf>
    <xf numFmtId="183" fontId="0" fillId="0" borderId="58" xfId="0" applyNumberFormat="1" applyBorder="1">
      <alignment horizontal="center" vertical="center"/>
    </xf>
    <xf numFmtId="183" fontId="0" fillId="0" borderId="49" xfId="0" applyNumberFormat="1" applyBorder="1">
      <alignment horizontal="center" vertical="center"/>
    </xf>
    <xf numFmtId="177" fontId="33" fillId="6" borderId="2" xfId="1" applyNumberFormat="1" applyFont="1" applyFill="1" applyBorder="1" applyAlignment="1">
      <alignment horizontal="center" vertical="center"/>
    </xf>
    <xf numFmtId="0" fontId="7" fillId="0" borderId="31" xfId="0" applyFont="1" applyBorder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21" fillId="0" borderId="0" xfId="0" applyNumberFormat="1" applyFont="1">
      <alignment horizontal="center" vertical="center"/>
    </xf>
    <xf numFmtId="49" fontId="7" fillId="0" borderId="31" xfId="0" applyNumberFormat="1" applyFont="1" applyBorder="1">
      <alignment horizontal="center" vertical="center"/>
    </xf>
    <xf numFmtId="49" fontId="0" fillId="0" borderId="0" xfId="0" applyNumberFormat="1">
      <alignment horizontal="center" vertical="center"/>
    </xf>
    <xf numFmtId="177" fontId="25" fillId="4" borderId="13" xfId="0" applyNumberFormat="1" applyFont="1" applyFill="1" applyBorder="1" applyAlignment="1">
      <alignment horizontal="center" vertical="center" wrapText="1"/>
    </xf>
    <xf numFmtId="177" fontId="25" fillId="8" borderId="13" xfId="0" applyNumberFormat="1" applyFont="1" applyFill="1" applyBorder="1" applyAlignment="1">
      <alignment horizontal="center" vertical="center" wrapText="1"/>
    </xf>
    <xf numFmtId="177" fontId="25" fillId="7" borderId="13" xfId="0" applyNumberFormat="1" applyFont="1" applyFill="1" applyBorder="1" applyAlignment="1">
      <alignment horizontal="center" vertical="center" wrapText="1"/>
    </xf>
    <xf numFmtId="41" fontId="13" fillId="0" borderId="0" xfId="1" applyFont="1" applyAlignment="1">
      <alignment horizontal="left" vertical="center"/>
    </xf>
    <xf numFmtId="177" fontId="34" fillId="0" borderId="0" xfId="0" applyNumberFormat="1" applyFont="1" applyAlignment="1">
      <alignment horizontal="left" vertical="center"/>
    </xf>
    <xf numFmtId="0" fontId="0" fillId="6" borderId="62" xfId="0" applyFill="1" applyBorder="1" applyAlignment="1">
      <alignment horizontal="center" vertical="center" wrapText="1"/>
    </xf>
    <xf numFmtId="0" fontId="0" fillId="6" borderId="62" xfId="0" applyFill="1" applyBorder="1">
      <alignment horizontal="center" vertical="center"/>
    </xf>
    <xf numFmtId="0" fontId="0" fillId="0" borderId="60" xfId="0" applyBorder="1" applyAlignment="1">
      <alignment horizontal="left" vertical="center" wrapText="1"/>
    </xf>
    <xf numFmtId="0" fontId="0" fillId="0" borderId="28" xfId="0" applyBorder="1" applyAlignment="1">
      <alignment horizontal="left" vertical="center"/>
    </xf>
    <xf numFmtId="0" fontId="0" fillId="6" borderId="63" xfId="0" applyFill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184" fontId="8" fillId="0" borderId="28" xfId="0" applyNumberFormat="1" applyFont="1" applyBorder="1" applyAlignment="1">
      <alignment horizontal="center" vertical="center" wrapText="1"/>
    </xf>
    <xf numFmtId="0" fontId="12" fillId="0" borderId="28" xfId="0" applyFont="1" applyBorder="1">
      <alignment horizontal="center" vertical="center"/>
    </xf>
    <xf numFmtId="0" fontId="28" fillId="0" borderId="0" xfId="0" applyFont="1">
      <alignment horizontal="center" vertical="center"/>
    </xf>
    <xf numFmtId="177" fontId="4" fillId="0" borderId="31" xfId="0" applyNumberFormat="1" applyFont="1" applyBorder="1">
      <alignment horizontal="center" vertical="center"/>
    </xf>
    <xf numFmtId="185" fontId="4" fillId="0" borderId="31" xfId="0" applyNumberFormat="1" applyFont="1" applyBorder="1">
      <alignment horizontal="center" vertical="center"/>
    </xf>
    <xf numFmtId="43" fontId="4" fillId="0" borderId="31" xfId="0" applyNumberFormat="1" applyFont="1" applyBorder="1">
      <alignment horizontal="center" vertical="center"/>
    </xf>
    <xf numFmtId="43" fontId="4" fillId="0" borderId="30" xfId="0" applyNumberFormat="1" applyFont="1" applyBorder="1">
      <alignment horizontal="center" vertical="center"/>
    </xf>
    <xf numFmtId="0" fontId="0" fillId="0" borderId="35" xfId="0" applyBorder="1">
      <alignment horizontal="center" vertical="center"/>
    </xf>
    <xf numFmtId="0" fontId="0" fillId="0" borderId="41" xfId="0" applyBorder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4" borderId="64" xfId="0" applyFill="1" applyBorder="1" applyAlignment="1">
      <alignment horizontal="center" vertical="center" wrapText="1"/>
    </xf>
    <xf numFmtId="0" fontId="0" fillId="0" borderId="40" xfId="0" applyBorder="1">
      <alignment horizontal="center" vertical="center"/>
    </xf>
    <xf numFmtId="177" fontId="0" fillId="4" borderId="39" xfId="1" applyNumberFormat="1" applyFont="1" applyFill="1" applyBorder="1" applyAlignment="1">
      <alignment horizontal="center" vertical="center"/>
    </xf>
    <xf numFmtId="0" fontId="0" fillId="0" borderId="52" xfId="0" applyBorder="1">
      <alignment horizontal="center" vertical="center"/>
    </xf>
    <xf numFmtId="184" fontId="0" fillId="0" borderId="51" xfId="0" applyNumberFormat="1" applyBorder="1">
      <alignment horizontal="center" vertical="center"/>
    </xf>
    <xf numFmtId="0" fontId="0" fillId="0" borderId="51" xfId="0" applyBorder="1">
      <alignment horizontal="center" vertical="center"/>
    </xf>
    <xf numFmtId="0" fontId="0" fillId="4" borderId="65" xfId="0" applyFill="1" applyBorder="1">
      <alignment horizontal="center" vertical="center"/>
    </xf>
    <xf numFmtId="0" fontId="3" fillId="0" borderId="52" xfId="0" applyFont="1" applyBorder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4" borderId="65" xfId="0" applyFill="1" applyBorder="1" applyAlignment="1">
      <alignment horizontal="center" vertical="center" wrapText="1"/>
    </xf>
    <xf numFmtId="0" fontId="0" fillId="0" borderId="50" xfId="0" applyBorder="1">
      <alignment horizontal="center" vertical="center"/>
    </xf>
    <xf numFmtId="0" fontId="0" fillId="0" borderId="26" xfId="0" applyBorder="1">
      <alignment horizontal="center" vertical="center"/>
    </xf>
    <xf numFmtId="177" fontId="33" fillId="6" borderId="40" xfId="1" applyNumberFormat="1" applyFont="1" applyFill="1" applyBorder="1" applyAlignment="1">
      <alignment horizontal="center" vertical="center"/>
    </xf>
    <xf numFmtId="177" fontId="0" fillId="4" borderId="69" xfId="1" applyNumberFormat="1" applyFont="1" applyFill="1" applyBorder="1" applyAlignment="1">
      <alignment horizontal="center" vertical="center"/>
    </xf>
    <xf numFmtId="0" fontId="18" fillId="0" borderId="61" xfId="0" applyFont="1" applyBorder="1">
      <alignment horizontal="center" vertical="center"/>
    </xf>
    <xf numFmtId="177" fontId="35" fillId="4" borderId="32" xfId="0" applyNumberFormat="1" applyFont="1" applyFill="1" applyBorder="1" applyAlignment="1">
      <alignment horizontal="center" vertical="center" wrapText="1"/>
    </xf>
    <xf numFmtId="177" fontId="25" fillId="4" borderId="53" xfId="0" applyNumberFormat="1" applyFont="1" applyFill="1" applyBorder="1" applyAlignment="1">
      <alignment horizontal="center" vertical="center" wrapText="1"/>
    </xf>
    <xf numFmtId="177" fontId="25" fillId="4" borderId="70" xfId="0" applyNumberFormat="1" applyFont="1" applyFill="1" applyBorder="1" applyAlignment="1">
      <alignment horizontal="center" vertical="center" wrapText="1"/>
    </xf>
    <xf numFmtId="177" fontId="36" fillId="7" borderId="32" xfId="0" applyNumberFormat="1" applyFont="1" applyFill="1" applyBorder="1" applyAlignment="1">
      <alignment horizontal="center" vertical="center" wrapText="1"/>
    </xf>
    <xf numFmtId="177" fontId="25" fillId="7" borderId="53" xfId="0" applyNumberFormat="1" applyFont="1" applyFill="1" applyBorder="1" applyAlignment="1">
      <alignment horizontal="center" vertical="center" wrapText="1"/>
    </xf>
    <xf numFmtId="191" fontId="35" fillId="8" borderId="33" xfId="0" applyNumberFormat="1" applyFont="1" applyFill="1" applyBorder="1" applyAlignment="1">
      <alignment horizontal="center" vertical="center" wrapText="1"/>
    </xf>
    <xf numFmtId="191" fontId="25" fillId="8" borderId="53" xfId="0" applyNumberFormat="1" applyFont="1" applyFill="1" applyBorder="1" applyAlignment="1">
      <alignment horizontal="center" vertical="center" wrapText="1"/>
    </xf>
    <xf numFmtId="191" fontId="25" fillId="8" borderId="34" xfId="0" applyNumberFormat="1" applyFont="1" applyFill="1" applyBorder="1" applyAlignment="1">
      <alignment horizontal="center" vertical="center" wrapText="1"/>
    </xf>
    <xf numFmtId="191" fontId="0" fillId="6" borderId="17" xfId="1" applyNumberFormat="1" applyFont="1" applyFill="1" applyBorder="1" applyAlignment="1">
      <alignment horizontal="center" vertical="center"/>
    </xf>
    <xf numFmtId="191" fontId="33" fillId="6" borderId="2" xfId="1" applyNumberFormat="1" applyFont="1" applyFill="1" applyBorder="1" applyAlignment="1">
      <alignment horizontal="center" vertical="center"/>
    </xf>
    <xf numFmtId="191" fontId="33" fillId="6" borderId="7" xfId="1" applyNumberFormat="1" applyFont="1" applyFill="1" applyBorder="1" applyAlignment="1">
      <alignment horizontal="center" vertical="center"/>
    </xf>
    <xf numFmtId="191" fontId="0" fillId="4" borderId="12" xfId="1" applyNumberFormat="1" applyFont="1" applyFill="1" applyBorder="1" applyAlignment="1">
      <alignment horizontal="center" vertical="center"/>
    </xf>
    <xf numFmtId="191" fontId="0" fillId="4" borderId="39" xfId="1" applyNumberFormat="1" applyFont="1" applyFill="1" applyBorder="1" applyAlignment="1">
      <alignment horizontal="center" vertical="center"/>
    </xf>
    <xf numFmtId="191" fontId="0" fillId="4" borderId="67" xfId="1" applyNumberFormat="1" applyFont="1" applyFill="1" applyBorder="1" applyAlignment="1">
      <alignment horizontal="center" vertical="center"/>
    </xf>
    <xf numFmtId="191" fontId="4" fillId="0" borderId="49" xfId="0" applyNumberFormat="1" applyFont="1" applyBorder="1">
      <alignment horizontal="center" vertical="center"/>
    </xf>
    <xf numFmtId="191" fontId="4" fillId="0" borderId="31" xfId="0" applyNumberFormat="1" applyFont="1" applyBorder="1">
      <alignment horizontal="center" vertical="center"/>
    </xf>
    <xf numFmtId="191" fontId="4" fillId="0" borderId="30" xfId="0" applyNumberFormat="1" applyFont="1" applyBorder="1">
      <alignment horizontal="center" vertical="center"/>
    </xf>
    <xf numFmtId="191" fontId="0" fillId="0" borderId="0" xfId="0" applyNumberFormat="1">
      <alignment horizontal="center" vertical="center"/>
    </xf>
    <xf numFmtId="177" fontId="0" fillId="6" borderId="29" xfId="1" applyNumberFormat="1" applyFont="1" applyFill="1" applyBorder="1" applyAlignment="1">
      <alignment horizontal="center" vertical="center"/>
    </xf>
    <xf numFmtId="177" fontId="16" fillId="7" borderId="39" xfId="0" applyNumberFormat="1" applyFont="1" applyFill="1" applyBorder="1" applyAlignment="1">
      <alignment horizontal="center" vertical="center" wrapText="1"/>
    </xf>
    <xf numFmtId="177" fontId="18" fillId="8" borderId="12" xfId="0" applyNumberFormat="1" applyFont="1" applyFill="1" applyBorder="1" applyAlignment="1">
      <alignment horizontal="center" vertical="center" wrapText="1"/>
    </xf>
    <xf numFmtId="177" fontId="25" fillId="8" borderId="14" xfId="0" applyNumberFormat="1" applyFont="1" applyFill="1" applyBorder="1" applyAlignment="1">
      <alignment horizontal="center" vertical="center" wrapText="1"/>
    </xf>
    <xf numFmtId="177" fontId="0" fillId="6" borderId="17" xfId="1" applyNumberFormat="1" applyFont="1" applyFill="1" applyBorder="1" applyAlignment="1">
      <alignment horizontal="center" vertical="center"/>
    </xf>
    <xf numFmtId="177" fontId="0" fillId="6" borderId="71" xfId="1" applyNumberFormat="1" applyFont="1" applyFill="1" applyBorder="1" applyAlignment="1">
      <alignment horizontal="center" vertical="center"/>
    </xf>
    <xf numFmtId="177" fontId="18" fillId="4" borderId="12" xfId="0" applyNumberFormat="1" applyFont="1" applyFill="1" applyBorder="1" applyAlignment="1">
      <alignment horizontal="center" vertical="center" wrapText="1"/>
    </xf>
    <xf numFmtId="177" fontId="25" fillId="4" borderId="14" xfId="0" applyNumberFormat="1" applyFont="1" applyFill="1" applyBorder="1" applyAlignment="1">
      <alignment horizontal="center" vertical="center" wrapText="1"/>
    </xf>
    <xf numFmtId="0" fontId="18" fillId="0" borderId="65" xfId="0" applyFont="1" applyBorder="1">
      <alignment horizontal="center" vertical="center"/>
    </xf>
    <xf numFmtId="177" fontId="0" fillId="4" borderId="25" xfId="1" applyNumberFormat="1" applyFont="1" applyFill="1" applyBorder="1" applyAlignment="1">
      <alignment horizontal="center" vertical="center"/>
    </xf>
    <xf numFmtId="177" fontId="0" fillId="4" borderId="0" xfId="1" applyNumberFormat="1" applyFont="1" applyFill="1" applyBorder="1" applyAlignment="1">
      <alignment horizontal="center" vertical="center"/>
    </xf>
    <xf numFmtId="177" fontId="0" fillId="4" borderId="24" xfId="1" applyNumberFormat="1" applyFont="1" applyFill="1" applyBorder="1" applyAlignment="1">
      <alignment horizontal="center" vertical="center"/>
    </xf>
    <xf numFmtId="177" fontId="0" fillId="6" borderId="21" xfId="1" applyNumberFormat="1" applyFont="1" applyFill="1" applyBorder="1" applyAlignment="1">
      <alignment horizontal="center" vertical="center"/>
    </xf>
    <xf numFmtId="177" fontId="0" fillId="6" borderId="37" xfId="1" applyNumberFormat="1" applyFont="1" applyFill="1" applyBorder="1" applyAlignment="1">
      <alignment horizontal="center" vertical="center"/>
    </xf>
    <xf numFmtId="177" fontId="0" fillId="6" borderId="36" xfId="1" applyNumberFormat="1" applyFont="1" applyFill="1" applyBorder="1" applyAlignment="1">
      <alignment horizontal="center" vertical="center"/>
    </xf>
    <xf numFmtId="177" fontId="0" fillId="6" borderId="66" xfId="1" applyNumberFormat="1" applyFont="1" applyFill="1" applyBorder="1" applyAlignment="1">
      <alignment horizontal="center" vertical="center"/>
    </xf>
    <xf numFmtId="177" fontId="0" fillId="4" borderId="33" xfId="1" applyNumberFormat="1" applyFont="1" applyFill="1" applyBorder="1" applyAlignment="1">
      <alignment horizontal="center" vertical="center"/>
    </xf>
    <xf numFmtId="177" fontId="0" fillId="4" borderId="32" xfId="1" applyNumberFormat="1" applyFont="1" applyFill="1" applyBorder="1" applyAlignment="1">
      <alignment horizontal="center" vertical="center"/>
    </xf>
    <xf numFmtId="177" fontId="0" fillId="4" borderId="15" xfId="1" applyNumberFormat="1" applyFont="1" applyFill="1" applyBorder="1" applyAlignment="1">
      <alignment horizontal="center" vertical="center"/>
    </xf>
    <xf numFmtId="177" fontId="0" fillId="4" borderId="59" xfId="1" applyNumberFormat="1" applyFont="1" applyFill="1" applyBorder="1" applyAlignment="1">
      <alignment horizontal="center" vertical="center"/>
    </xf>
    <xf numFmtId="177" fontId="25" fillId="7" borderId="14" xfId="0" applyNumberFormat="1" applyFont="1" applyFill="1" applyBorder="1" applyAlignment="1">
      <alignment horizontal="center" vertical="center" wrapText="1"/>
    </xf>
    <xf numFmtId="0" fontId="0" fillId="0" borderId="73" xfId="0" applyBorder="1">
      <alignment horizontal="center" vertical="center"/>
    </xf>
    <xf numFmtId="0" fontId="0" fillId="0" borderId="74" xfId="0" applyBorder="1">
      <alignment horizontal="center" vertical="center"/>
    </xf>
    <xf numFmtId="0" fontId="0" fillId="0" borderId="75" xfId="0" applyBorder="1">
      <alignment horizontal="center" vertical="center"/>
    </xf>
    <xf numFmtId="0" fontId="0" fillId="0" borderId="76" xfId="0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192" fontId="0" fillId="0" borderId="78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 wrapText="1"/>
    </xf>
    <xf numFmtId="192" fontId="0" fillId="0" borderId="80" xfId="0" applyNumberFormat="1" applyBorder="1" applyAlignment="1">
      <alignment horizontal="center" vertical="center" wrapText="1"/>
    </xf>
    <xf numFmtId="181" fontId="0" fillId="0" borderId="26" xfId="0" applyNumberFormat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9" fontId="0" fillId="4" borderId="26" xfId="4" applyFont="1" applyFill="1" applyBorder="1" applyAlignment="1">
      <alignment horizontal="center" vertical="center" wrapText="1"/>
    </xf>
    <xf numFmtId="9" fontId="0" fillId="0" borderId="26" xfId="4" applyFont="1" applyBorder="1" applyAlignment="1">
      <alignment horizontal="center" vertical="center" wrapText="1"/>
    </xf>
    <xf numFmtId="0" fontId="0" fillId="4" borderId="46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78" fontId="0" fillId="0" borderId="0" xfId="0" applyNumberFormat="1">
      <alignment horizontal="center" vertical="center"/>
    </xf>
    <xf numFmtId="177" fontId="0" fillId="4" borderId="12" xfId="1" applyNumberFormat="1" applyFont="1" applyFill="1" applyBorder="1" applyAlignment="1">
      <alignment horizontal="center" vertical="center"/>
    </xf>
    <xf numFmtId="0" fontId="14" fillId="4" borderId="42" xfId="0" applyFont="1" applyFill="1" applyBorder="1">
      <alignment horizontal="center" vertical="center"/>
    </xf>
    <xf numFmtId="178" fontId="14" fillId="4" borderId="81" xfId="0" applyNumberFormat="1" applyFont="1" applyFill="1" applyBorder="1">
      <alignment horizontal="center" vertical="center"/>
    </xf>
    <xf numFmtId="0" fontId="37" fillId="0" borderId="0" xfId="0" applyFont="1">
      <alignment horizontal="center" vertical="center"/>
    </xf>
    <xf numFmtId="0" fontId="29" fillId="0" borderId="0" xfId="0" applyFont="1">
      <alignment horizontal="center" vertical="center"/>
    </xf>
    <xf numFmtId="3" fontId="37" fillId="0" borderId="0" xfId="0" applyNumberFormat="1" applyFont="1">
      <alignment horizontal="center" vertical="center"/>
    </xf>
    <xf numFmtId="41" fontId="0" fillId="0" borderId="0" xfId="1" applyFont="1" applyBorder="1" applyAlignment="1">
      <alignment horizontal="left" vertical="center"/>
    </xf>
    <xf numFmtId="0" fontId="0" fillId="0" borderId="60" xfId="0" applyBorder="1">
      <alignment horizontal="center" vertical="center"/>
    </xf>
    <xf numFmtId="0" fontId="0" fillId="0" borderId="61" xfId="0" applyBorder="1">
      <alignment horizontal="center" vertical="center"/>
    </xf>
    <xf numFmtId="180" fontId="0" fillId="0" borderId="0" xfId="0" applyNumberFormat="1">
      <alignment horizontal="center" vertical="center"/>
    </xf>
    <xf numFmtId="180" fontId="0" fillId="0" borderId="31" xfId="0" applyNumberFormat="1" applyBorder="1">
      <alignment horizontal="center" vertical="center"/>
    </xf>
    <xf numFmtId="10" fontId="19" fillId="0" borderId="26" xfId="4" applyNumberFormat="1" applyFont="1" applyBorder="1" applyAlignment="1">
      <alignment horizontal="center" vertical="center"/>
    </xf>
    <xf numFmtId="180" fontId="0" fillId="0" borderId="55" xfId="0" applyNumberFormat="1" applyBorder="1">
      <alignment horizontal="center" vertical="center"/>
    </xf>
    <xf numFmtId="180" fontId="0" fillId="0" borderId="15" xfId="0" applyNumberFormat="1" applyBorder="1">
      <alignment horizontal="center" vertical="center"/>
    </xf>
    <xf numFmtId="0" fontId="38" fillId="4" borderId="26" xfId="0" applyFont="1" applyFill="1" applyBorder="1">
      <alignment horizontal="center" vertical="center"/>
    </xf>
    <xf numFmtId="10" fontId="39" fillId="0" borderId="26" xfId="0" applyNumberFormat="1" applyFont="1" applyBorder="1">
      <alignment horizontal="center" vertical="center"/>
    </xf>
    <xf numFmtId="191" fontId="0" fillId="6" borderId="6" xfId="1" applyNumberFormat="1" applyFont="1" applyFill="1" applyBorder="1" applyAlignment="1">
      <alignment horizontal="center" vertical="center"/>
    </xf>
    <xf numFmtId="191" fontId="0" fillId="6" borderId="71" xfId="1" applyNumberFormat="1" applyFont="1" applyFill="1" applyBorder="1" applyAlignment="1">
      <alignment horizontal="center" vertical="center"/>
    </xf>
    <xf numFmtId="191" fontId="0" fillId="4" borderId="72" xfId="1" applyNumberFormat="1" applyFont="1" applyFill="1" applyBorder="1" applyAlignment="1">
      <alignment horizontal="center" vertical="center"/>
    </xf>
    <xf numFmtId="191" fontId="0" fillId="4" borderId="25" xfId="1" applyNumberFormat="1" applyFont="1" applyFill="1" applyBorder="1" applyAlignment="1">
      <alignment horizontal="center" vertical="center"/>
    </xf>
    <xf numFmtId="191" fontId="0" fillId="4" borderId="24" xfId="1" applyNumberFormat="1" applyFont="1" applyFill="1" applyBorder="1" applyAlignment="1">
      <alignment horizontal="center" vertical="center"/>
    </xf>
    <xf numFmtId="191" fontId="0" fillId="6" borderId="21" xfId="1" applyNumberFormat="1" applyFont="1" applyFill="1" applyBorder="1" applyAlignment="1">
      <alignment horizontal="center" vertical="center"/>
    </xf>
    <xf numFmtId="191" fontId="0" fillId="6" borderId="37" xfId="1" applyNumberFormat="1" applyFont="1" applyFill="1" applyBorder="1" applyAlignment="1">
      <alignment horizontal="center" vertical="center"/>
    </xf>
    <xf numFmtId="191" fontId="0" fillId="6" borderId="66" xfId="1" applyNumberFormat="1" applyFont="1" applyFill="1" applyBorder="1" applyAlignment="1">
      <alignment horizontal="center" vertical="center"/>
    </xf>
    <xf numFmtId="191" fontId="0" fillId="4" borderId="33" xfId="1" applyNumberFormat="1" applyFont="1" applyFill="1" applyBorder="1" applyAlignment="1">
      <alignment horizontal="center" vertical="center"/>
    </xf>
    <xf numFmtId="191" fontId="0" fillId="4" borderId="32" xfId="1" applyNumberFormat="1" applyFont="1" applyFill="1" applyBorder="1" applyAlignment="1">
      <alignment horizontal="center" vertical="center"/>
    </xf>
    <xf numFmtId="191" fontId="0" fillId="4" borderId="59" xfId="1" applyNumberFormat="1" applyFont="1" applyFill="1" applyBorder="1" applyAlignment="1">
      <alignment horizontal="center" vertical="center"/>
    </xf>
    <xf numFmtId="0" fontId="0" fillId="6" borderId="83" xfId="0" applyFill="1" applyBorder="1" applyAlignment="1">
      <alignment horizontal="center" vertical="center" wrapText="1"/>
    </xf>
    <xf numFmtId="0" fontId="0" fillId="6" borderId="84" xfId="0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4" applyFont="1" applyBorder="1" applyAlignment="1">
      <alignment horizontal="center" vertical="center" wrapText="1"/>
    </xf>
    <xf numFmtId="9" fontId="19" fillId="0" borderId="1" xfId="4" applyFont="1" applyBorder="1" applyAlignment="1">
      <alignment horizontal="center" vertical="center" wrapText="1"/>
    </xf>
    <xf numFmtId="0" fontId="16" fillId="6" borderId="26" xfId="0" applyFont="1" applyFill="1" applyBorder="1">
      <alignment horizontal="center" vertical="center"/>
    </xf>
    <xf numFmtId="0" fontId="40" fillId="6" borderId="26" xfId="0" applyFont="1" applyFill="1" applyBorder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83" xfId="0" applyBorder="1" applyAlignment="1">
      <alignment horizontal="center" vertical="center" wrapText="1"/>
    </xf>
    <xf numFmtId="195" fontId="0" fillId="0" borderId="0" xfId="1" applyNumberFormat="1" applyFont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0" fillId="9" borderId="0" xfId="0" applyFill="1">
      <alignment horizontal="center" vertical="center"/>
    </xf>
    <xf numFmtId="0" fontId="18" fillId="8" borderId="0" xfId="0" applyFont="1" applyFill="1" applyAlignment="1">
      <alignment horizontal="left" vertical="center"/>
    </xf>
    <xf numFmtId="0" fontId="0" fillId="8" borderId="0" xfId="0" applyFill="1">
      <alignment horizontal="center" vertical="center"/>
    </xf>
    <xf numFmtId="0" fontId="18" fillId="10" borderId="0" xfId="0" applyFont="1" applyFill="1" applyAlignment="1">
      <alignment horizontal="left" vertical="center"/>
    </xf>
    <xf numFmtId="0" fontId="0" fillId="10" borderId="0" xfId="0" applyFill="1">
      <alignment horizontal="center" vertical="center"/>
    </xf>
    <xf numFmtId="0" fontId="18" fillId="11" borderId="0" xfId="0" applyFont="1" applyFill="1" applyAlignment="1">
      <alignment horizontal="left" vertical="center"/>
    </xf>
    <xf numFmtId="0" fontId="0" fillId="11" borderId="0" xfId="0" applyFill="1">
      <alignment horizontal="center" vertical="center"/>
    </xf>
    <xf numFmtId="0" fontId="0" fillId="0" borderId="1" xfId="0" applyBorder="1">
      <alignment horizontal="center" vertical="center"/>
    </xf>
    <xf numFmtId="194" fontId="0" fillId="0" borderId="1" xfId="1" applyNumberFormat="1" applyFont="1" applyBorder="1" applyAlignment="1">
      <alignment horizontal="center" vertical="center"/>
    </xf>
    <xf numFmtId="0" fontId="0" fillId="12" borderId="1" xfId="0" applyFill="1" applyBorder="1">
      <alignment horizontal="center" vertical="center"/>
    </xf>
    <xf numFmtId="194" fontId="0" fillId="12" borderId="1" xfId="1" applyNumberFormat="1" applyFont="1" applyFill="1" applyBorder="1" applyAlignment="1">
      <alignment horizontal="center" vertical="center"/>
    </xf>
    <xf numFmtId="0" fontId="0" fillId="4" borderId="11" xfId="0" applyFill="1" applyBorder="1">
      <alignment horizontal="center" vertical="center"/>
    </xf>
    <xf numFmtId="0" fontId="0" fillId="12" borderId="9" xfId="0" applyFill="1" applyBorder="1">
      <alignment horizontal="center" vertical="center"/>
    </xf>
    <xf numFmtId="194" fontId="0" fillId="12" borderId="9" xfId="1" applyNumberFormat="1" applyFont="1" applyFill="1" applyBorder="1" applyAlignment="1">
      <alignment horizontal="center" vertical="center"/>
    </xf>
    <xf numFmtId="0" fontId="0" fillId="4" borderId="12" xfId="0" applyFill="1" applyBorder="1">
      <alignment horizontal="center" vertical="center"/>
    </xf>
    <xf numFmtId="0" fontId="0" fillId="0" borderId="13" xfId="0" applyBorder="1">
      <alignment horizontal="center" vertical="center"/>
    </xf>
    <xf numFmtId="194" fontId="0" fillId="0" borderId="13" xfId="0" applyNumberFormat="1" applyBorder="1">
      <alignment horizontal="center" vertical="center"/>
    </xf>
    <xf numFmtId="0" fontId="0" fillId="12" borderId="13" xfId="0" applyFill="1" applyBorder="1">
      <alignment horizontal="center" vertical="center"/>
    </xf>
    <xf numFmtId="194" fontId="0" fillId="12" borderId="13" xfId="0" applyNumberFormat="1" applyFill="1" applyBorder="1">
      <alignment horizontal="center" vertical="center"/>
    </xf>
    <xf numFmtId="194" fontId="0" fillId="12" borderId="14" xfId="0" applyNumberFormat="1" applyFill="1" applyBorder="1">
      <alignment horizontal="center" vertical="center"/>
    </xf>
    <xf numFmtId="0" fontId="16" fillId="0" borderId="13" xfId="0" applyFont="1" applyBorder="1">
      <alignment horizontal="center" vertical="center"/>
    </xf>
    <xf numFmtId="194" fontId="16" fillId="0" borderId="13" xfId="0" applyNumberFormat="1" applyFont="1" applyBorder="1">
      <alignment horizontal="center" vertical="center"/>
    </xf>
    <xf numFmtId="0" fontId="16" fillId="12" borderId="13" xfId="0" applyFont="1" applyFill="1" applyBorder="1">
      <alignment horizontal="center" vertical="center"/>
    </xf>
    <xf numFmtId="194" fontId="16" fillId="12" borderId="13" xfId="0" applyNumberFormat="1" applyFont="1" applyFill="1" applyBorder="1">
      <alignment horizontal="center" vertical="center"/>
    </xf>
    <xf numFmtId="194" fontId="16" fillId="12" borderId="14" xfId="0" applyNumberFormat="1" applyFont="1" applyFill="1" applyBorder="1">
      <alignment horizontal="center" vertical="center"/>
    </xf>
    <xf numFmtId="176" fontId="4" fillId="0" borderId="31" xfId="1" applyNumberFormat="1" applyFont="1" applyBorder="1" applyAlignment="1">
      <alignment horizontal="center" vertical="center"/>
    </xf>
    <xf numFmtId="196" fontId="4" fillId="0" borderId="31" xfId="1" applyNumberFormat="1" applyFont="1" applyBorder="1" applyAlignment="1">
      <alignment horizontal="center" vertical="center"/>
    </xf>
    <xf numFmtId="193" fontId="17" fillId="0" borderId="15" xfId="4" applyNumberFormat="1" applyFont="1" applyBorder="1" applyAlignment="1">
      <alignment vertical="center"/>
    </xf>
    <xf numFmtId="0" fontId="14" fillId="4" borderId="11" xfId="0" applyFont="1" applyFill="1" applyBorder="1">
      <alignment horizontal="center" vertical="center"/>
    </xf>
    <xf numFmtId="178" fontId="2" fillId="0" borderId="1" xfId="0" applyNumberFormat="1" applyFont="1" applyBorder="1">
      <alignment horizontal="center" vertical="center"/>
    </xf>
    <xf numFmtId="0" fontId="14" fillId="4" borderId="85" xfId="0" applyFont="1" applyFill="1" applyBorder="1">
      <alignment horizontal="center" vertical="center"/>
    </xf>
    <xf numFmtId="178" fontId="2" fillId="0" borderId="46" xfId="0" applyNumberFormat="1" applyFont="1" applyBorder="1">
      <alignment horizontal="center" vertical="center"/>
    </xf>
    <xf numFmtId="178" fontId="14" fillId="4" borderId="10" xfId="0" applyNumberFormat="1" applyFont="1" applyFill="1" applyBorder="1">
      <alignment horizontal="center" vertical="center"/>
    </xf>
    <xf numFmtId="0" fontId="14" fillId="9" borderId="21" xfId="0" applyFont="1" applyFill="1" applyBorder="1">
      <alignment horizontal="center" vertical="center"/>
    </xf>
    <xf numFmtId="178" fontId="14" fillId="4" borderId="43" xfId="0" applyNumberFormat="1" applyFont="1" applyFill="1" applyBorder="1">
      <alignment horizontal="center" vertical="center"/>
    </xf>
    <xf numFmtId="186" fontId="14" fillId="9" borderId="37" xfId="1" applyNumberFormat="1" applyFont="1" applyFill="1" applyBorder="1" applyAlignment="1">
      <alignment horizontal="right" vertical="center"/>
    </xf>
    <xf numFmtId="186" fontId="14" fillId="9" borderId="23" xfId="1" applyNumberFormat="1" applyFont="1" applyFill="1" applyBorder="1" applyAlignment="1">
      <alignment horizontal="right" vertical="center"/>
    </xf>
    <xf numFmtId="0" fontId="14" fillId="9" borderId="11" xfId="0" applyFont="1" applyFill="1" applyBorder="1">
      <alignment horizontal="center" vertical="center"/>
    </xf>
    <xf numFmtId="186" fontId="15" fillId="0" borderId="1" xfId="1" applyNumberFormat="1" applyFont="1" applyBorder="1" applyAlignment="1">
      <alignment horizontal="right" vertical="center"/>
    </xf>
    <xf numFmtId="186" fontId="14" fillId="0" borderId="9" xfId="1" applyNumberFormat="1" applyFont="1" applyBorder="1" applyAlignment="1">
      <alignment horizontal="right" vertical="center"/>
    </xf>
    <xf numFmtId="0" fontId="14" fillId="9" borderId="12" xfId="0" applyFont="1" applyFill="1" applyBorder="1">
      <alignment horizontal="center" vertical="center"/>
    </xf>
    <xf numFmtId="186" fontId="15" fillId="0" borderId="13" xfId="1" applyNumberFormat="1" applyFont="1" applyBorder="1" applyAlignment="1">
      <alignment horizontal="right" vertical="center"/>
    </xf>
    <xf numFmtId="186" fontId="14" fillId="0" borderId="14" xfId="1" applyNumberFormat="1" applyFont="1" applyBorder="1" applyAlignment="1">
      <alignment horizontal="right" vertical="center"/>
    </xf>
    <xf numFmtId="187" fontId="14" fillId="9" borderId="9" xfId="1" applyNumberFormat="1" applyFont="1" applyFill="1" applyBorder="1" applyAlignment="1">
      <alignment horizontal="right" vertical="center"/>
    </xf>
    <xf numFmtId="0" fontId="14" fillId="9" borderId="12" xfId="0" applyFont="1" applyFill="1" applyBorder="1" applyAlignment="1">
      <alignment horizontal="center" vertical="center" wrapText="1"/>
    </xf>
    <xf numFmtId="188" fontId="14" fillId="9" borderId="14" xfId="1" applyNumberFormat="1" applyFont="1" applyFill="1" applyBorder="1" applyAlignment="1">
      <alignment horizontal="right" vertical="center"/>
    </xf>
    <xf numFmtId="187" fontId="14" fillId="9" borderId="8" xfId="1" applyNumberFormat="1" applyFont="1" applyFill="1" applyBorder="1" applyAlignment="1">
      <alignment horizontal="right" vertical="center"/>
    </xf>
    <xf numFmtId="187" fontId="14" fillId="9" borderId="1" xfId="1" applyNumberFormat="1" applyFont="1" applyFill="1" applyBorder="1" applyAlignment="1">
      <alignment horizontal="right" vertical="center"/>
    </xf>
    <xf numFmtId="188" fontId="14" fillId="9" borderId="39" xfId="1" applyNumberFormat="1" applyFont="1" applyFill="1" applyBorder="1" applyAlignment="1">
      <alignment horizontal="right" vertical="center"/>
    </xf>
    <xf numFmtId="14" fontId="8" fillId="0" borderId="28" xfId="0" applyNumberFormat="1" applyFont="1" applyBorder="1" applyAlignment="1">
      <alignment horizontal="center" vertical="center" wrapText="1"/>
    </xf>
    <xf numFmtId="193" fontId="14" fillId="8" borderId="4" xfId="4" applyNumberFormat="1" applyFont="1" applyFill="1" applyBorder="1" applyAlignment="1">
      <alignment horizontal="center" vertical="center"/>
    </xf>
    <xf numFmtId="193" fontId="14" fillId="8" borderId="5" xfId="4" applyNumberFormat="1" applyFont="1" applyFill="1" applyBorder="1" applyAlignment="1">
      <alignment horizontal="center" vertical="center"/>
    </xf>
    <xf numFmtId="193" fontId="14" fillId="8" borderId="87" xfId="4" applyNumberFormat="1" applyFont="1" applyFill="1" applyBorder="1" applyAlignment="1">
      <alignment horizontal="center" vertical="center"/>
    </xf>
    <xf numFmtId="193" fontId="14" fillId="8" borderId="88" xfId="4" applyNumberFormat="1" applyFont="1" applyFill="1" applyBorder="1" applyAlignment="1">
      <alignment horizontal="center" vertical="center"/>
    </xf>
    <xf numFmtId="193" fontId="14" fillId="8" borderId="89" xfId="4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 wrapText="1"/>
    </xf>
    <xf numFmtId="0" fontId="41" fillId="0" borderId="0" xfId="0" applyFont="1">
      <alignment horizontal="center" vertical="center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center" vertical="center" wrapText="1"/>
    </xf>
    <xf numFmtId="0" fontId="39" fillId="8" borderId="0" xfId="0" applyFont="1" applyFill="1">
      <alignment horizontal="center" vertical="center"/>
    </xf>
    <xf numFmtId="0" fontId="39" fillId="10" borderId="0" xfId="0" applyFont="1" applyFill="1">
      <alignment horizontal="center" vertical="center"/>
    </xf>
    <xf numFmtId="0" fontId="39" fillId="11" borderId="0" xfId="0" applyFont="1" applyFill="1">
      <alignment horizontal="center" vertical="center"/>
    </xf>
    <xf numFmtId="0" fontId="0" fillId="13" borderId="1" xfId="0" applyFill="1" applyBorder="1">
      <alignment horizontal="center" vertical="center"/>
    </xf>
    <xf numFmtId="195" fontId="0" fillId="13" borderId="1" xfId="0" applyNumberFormat="1" applyFill="1" applyBorder="1">
      <alignment horizontal="center" vertical="center"/>
    </xf>
    <xf numFmtId="195" fontId="16" fillId="13" borderId="13" xfId="0" applyNumberFormat="1" applyFont="1" applyFill="1" applyBorder="1">
      <alignment horizontal="center" vertical="center"/>
    </xf>
    <xf numFmtId="197" fontId="0" fillId="0" borderId="1" xfId="0" applyNumberFormat="1" applyBorder="1">
      <alignment horizontal="center" vertical="center"/>
    </xf>
    <xf numFmtId="179" fontId="0" fillId="0" borderId="1" xfId="0" applyNumberFormat="1" applyBorder="1">
      <alignment horizontal="center" vertical="center"/>
    </xf>
    <xf numFmtId="192" fontId="45" fillId="9" borderId="1" xfId="0" applyNumberFormat="1" applyFont="1" applyFill="1" applyBorder="1">
      <alignment horizontal="center" vertical="center"/>
    </xf>
    <xf numFmtId="0" fontId="15" fillId="8" borderId="1" xfId="0" applyFont="1" applyFill="1" applyBorder="1">
      <alignment horizontal="center" vertical="center"/>
    </xf>
    <xf numFmtId="0" fontId="15" fillId="7" borderId="1" xfId="0" applyFont="1" applyFill="1" applyBorder="1">
      <alignment horizontal="center" vertical="center"/>
    </xf>
    <xf numFmtId="0" fontId="15" fillId="4" borderId="1" xfId="0" applyFont="1" applyFill="1" applyBorder="1">
      <alignment horizontal="center" vertical="center"/>
    </xf>
    <xf numFmtId="197" fontId="15" fillId="8" borderId="1" xfId="0" applyNumberFormat="1" applyFont="1" applyFill="1" applyBorder="1">
      <alignment horizontal="center" vertical="center"/>
    </xf>
    <xf numFmtId="179" fontId="15" fillId="8" borderId="1" xfId="0" applyNumberFormat="1" applyFont="1" applyFill="1" applyBorder="1">
      <alignment horizontal="center" vertical="center"/>
    </xf>
    <xf numFmtId="197" fontId="15" fillId="7" borderId="1" xfId="0" applyNumberFormat="1" applyFont="1" applyFill="1" applyBorder="1">
      <alignment horizontal="center" vertical="center"/>
    </xf>
    <xf numFmtId="179" fontId="15" fillId="7" borderId="1" xfId="0" applyNumberFormat="1" applyFont="1" applyFill="1" applyBorder="1">
      <alignment horizontal="center" vertical="center"/>
    </xf>
    <xf numFmtId="197" fontId="15" fillId="4" borderId="1" xfId="0" applyNumberFormat="1" applyFont="1" applyFill="1" applyBorder="1">
      <alignment horizontal="center" vertical="center"/>
    </xf>
    <xf numFmtId="179" fontId="15" fillId="4" borderId="1" xfId="0" applyNumberFormat="1" applyFont="1" applyFill="1" applyBorder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2" fontId="0" fillId="0" borderId="0" xfId="0" applyNumberFormat="1">
      <alignment horizontal="center" vertical="center"/>
    </xf>
    <xf numFmtId="178" fontId="14" fillId="4" borderId="1" xfId="0" applyNumberFormat="1" applyFont="1" applyFill="1" applyBorder="1">
      <alignment horizontal="center" vertical="center"/>
    </xf>
    <xf numFmtId="186" fontId="0" fillId="0" borderId="0" xfId="0" applyNumberFormat="1">
      <alignment horizontal="center" vertical="center"/>
    </xf>
    <xf numFmtId="41" fontId="0" fillId="0" borderId="0" xfId="1" applyFont="1" applyAlignment="1">
      <alignment horizontal="center" vertical="center"/>
    </xf>
    <xf numFmtId="41" fontId="34" fillId="0" borderId="15" xfId="1" applyFont="1" applyBorder="1" applyAlignment="1">
      <alignment vertical="center"/>
    </xf>
    <xf numFmtId="0" fontId="46" fillId="0" borderId="0" xfId="0" applyFont="1" applyAlignment="1">
      <alignment vertical="center" wrapText="1"/>
    </xf>
    <xf numFmtId="0" fontId="0" fillId="0" borderId="60" xfId="0" applyBorder="1" applyAlignment="1">
      <alignment horizontal="center" vertical="center" wrapText="1"/>
    </xf>
    <xf numFmtId="0" fontId="47" fillId="0" borderId="26" xfId="0" applyFont="1" applyBorder="1">
      <alignment horizontal="center" vertical="center"/>
    </xf>
    <xf numFmtId="0" fontId="48" fillId="4" borderId="31" xfId="0" applyFont="1" applyFill="1" applyBorder="1">
      <alignment horizontal="center" vertical="center"/>
    </xf>
    <xf numFmtId="41" fontId="48" fillId="4" borderId="48" xfId="1" applyFont="1" applyFill="1" applyBorder="1" applyAlignment="1">
      <alignment horizontal="center" vertical="center"/>
    </xf>
    <xf numFmtId="0" fontId="48" fillId="4" borderId="20" xfId="0" applyFont="1" applyFill="1" applyBorder="1">
      <alignment horizontal="center" vertical="center"/>
    </xf>
    <xf numFmtId="0" fontId="47" fillId="0" borderId="50" xfId="0" applyFont="1" applyBorder="1">
      <alignment horizontal="center" vertical="center"/>
    </xf>
    <xf numFmtId="178" fontId="47" fillId="0" borderId="29" xfId="0" applyNumberFormat="1" applyFont="1" applyBorder="1" applyAlignment="1">
      <alignment vertical="center"/>
    </xf>
    <xf numFmtId="179" fontId="47" fillId="0" borderId="40" xfId="1" applyNumberFormat="1" applyFont="1" applyBorder="1" applyAlignment="1">
      <alignment horizontal="center" vertical="center"/>
    </xf>
    <xf numFmtId="180" fontId="47" fillId="0" borderId="7" xfId="0" applyNumberFormat="1" applyFont="1" applyBorder="1" applyAlignment="1">
      <alignment vertical="center"/>
    </xf>
    <xf numFmtId="0" fontId="47" fillId="0" borderId="51" xfId="0" applyFont="1" applyBorder="1">
      <alignment horizontal="center" vertical="center"/>
    </xf>
    <xf numFmtId="178" fontId="47" fillId="0" borderId="47" xfId="0" applyNumberFormat="1" applyFont="1" applyBorder="1" applyAlignment="1">
      <alignment vertical="center"/>
    </xf>
    <xf numFmtId="179" fontId="47" fillId="0" borderId="41" xfId="1" applyNumberFormat="1" applyFont="1" applyBorder="1" applyAlignment="1">
      <alignment horizontal="center" vertical="center"/>
    </xf>
    <xf numFmtId="180" fontId="47" fillId="0" borderId="9" xfId="0" applyNumberFormat="1" applyFont="1" applyBorder="1" applyAlignment="1">
      <alignment vertical="center"/>
    </xf>
    <xf numFmtId="178" fontId="47" fillId="4" borderId="31" xfId="0" applyNumberFormat="1" applyFont="1" applyFill="1" applyBorder="1" applyAlignment="1">
      <alignment vertical="center"/>
    </xf>
    <xf numFmtId="179" fontId="47" fillId="4" borderId="48" xfId="1" applyNumberFormat="1" applyFont="1" applyFill="1" applyBorder="1" applyAlignment="1">
      <alignment horizontal="center" vertical="center"/>
    </xf>
    <xf numFmtId="180" fontId="47" fillId="4" borderId="20" xfId="0" applyNumberFormat="1" applyFont="1" applyFill="1" applyBorder="1" applyAlignment="1">
      <alignment vertical="center"/>
    </xf>
    <xf numFmtId="0" fontId="47" fillId="0" borderId="0" xfId="0" applyFont="1">
      <alignment horizontal="center" vertical="center"/>
    </xf>
    <xf numFmtId="0" fontId="48" fillId="3" borderId="26" xfId="0" applyFont="1" applyFill="1" applyBorder="1" applyAlignment="1">
      <alignment horizontal="center" vertical="center" wrapText="1"/>
    </xf>
    <xf numFmtId="0" fontId="48" fillId="3" borderId="27" xfId="0" applyFont="1" applyFill="1" applyBorder="1">
      <alignment horizontal="center" vertical="center"/>
    </xf>
    <xf numFmtId="0" fontId="48" fillId="3" borderId="19" xfId="0" applyFont="1" applyFill="1" applyBorder="1">
      <alignment horizontal="center" vertical="center"/>
    </xf>
    <xf numFmtId="41" fontId="48" fillId="3" borderId="19" xfId="1" applyFont="1" applyFill="1" applyBorder="1" applyAlignment="1">
      <alignment horizontal="center" vertical="center"/>
    </xf>
    <xf numFmtId="0" fontId="48" fillId="3" borderId="20" xfId="0" applyFont="1" applyFill="1" applyBorder="1">
      <alignment horizontal="center" vertical="center"/>
    </xf>
    <xf numFmtId="0" fontId="48" fillId="4" borderId="50" xfId="0" applyFont="1" applyFill="1" applyBorder="1">
      <alignment horizontal="center" vertical="center"/>
    </xf>
    <xf numFmtId="186" fontId="47" fillId="0" borderId="6" xfId="1" applyNumberFormat="1" applyFont="1" applyBorder="1" applyAlignment="1">
      <alignment horizontal="right" vertical="center"/>
    </xf>
    <xf numFmtId="186" fontId="47" fillId="0" borderId="2" xfId="1" applyNumberFormat="1" applyFont="1" applyBorder="1" applyAlignment="1">
      <alignment horizontal="right" vertical="center"/>
    </xf>
    <xf numFmtId="186" fontId="47" fillId="0" borderId="7" xfId="1" applyNumberFormat="1" applyFont="1" applyBorder="1" applyAlignment="1">
      <alignment horizontal="right" vertical="center"/>
    </xf>
    <xf numFmtId="0" fontId="48" fillId="4" borderId="51" xfId="0" applyFont="1" applyFill="1" applyBorder="1">
      <alignment horizontal="center" vertical="center"/>
    </xf>
    <xf numFmtId="9" fontId="47" fillId="0" borderId="8" xfId="1" applyNumberFormat="1" applyFont="1" applyBorder="1" applyAlignment="1">
      <alignment horizontal="right" vertical="center"/>
    </xf>
    <xf numFmtId="9" fontId="47" fillId="0" borderId="1" xfId="1" applyNumberFormat="1" applyFont="1" applyBorder="1" applyAlignment="1">
      <alignment horizontal="right" vertical="center"/>
    </xf>
    <xf numFmtId="9" fontId="47" fillId="0" borderId="9" xfId="1" applyNumberFormat="1" applyFont="1" applyBorder="1" applyAlignment="1">
      <alignment horizontal="right" vertical="center"/>
    </xf>
    <xf numFmtId="0" fontId="48" fillId="0" borderId="51" xfId="0" applyFont="1" applyBorder="1" applyAlignment="1">
      <alignment horizontal="center" vertical="center" wrapText="1"/>
    </xf>
    <xf numFmtId="186" fontId="47" fillId="0" borderId="8" xfId="1" applyNumberFormat="1" applyFont="1" applyBorder="1" applyAlignment="1">
      <alignment horizontal="right" vertical="center"/>
    </xf>
    <xf numFmtId="186" fontId="47" fillId="0" borderId="1" xfId="1" applyNumberFormat="1" applyFont="1" applyBorder="1" applyAlignment="1">
      <alignment horizontal="right" vertical="center"/>
    </xf>
    <xf numFmtId="186" fontId="47" fillId="0" borderId="9" xfId="1" applyNumberFormat="1" applyFont="1" applyBorder="1" applyAlignment="1">
      <alignment horizontal="right" vertical="center"/>
    </xf>
    <xf numFmtId="187" fontId="47" fillId="0" borderId="8" xfId="1" applyNumberFormat="1" applyFont="1" applyBorder="1" applyAlignment="1">
      <alignment horizontal="right" vertical="center"/>
    </xf>
    <xf numFmtId="187" fontId="47" fillId="0" borderId="1" xfId="1" applyNumberFormat="1" applyFont="1" applyBorder="1" applyAlignment="1">
      <alignment horizontal="right" vertical="center"/>
    </xf>
    <xf numFmtId="187" fontId="47" fillId="0" borderId="9" xfId="1" applyNumberFormat="1" applyFont="1" applyBorder="1" applyAlignment="1">
      <alignment horizontal="right" vertical="center"/>
    </xf>
    <xf numFmtId="0" fontId="48" fillId="0" borderId="82" xfId="0" applyFont="1" applyBorder="1" applyAlignment="1">
      <alignment horizontal="center" vertical="center" wrapText="1"/>
    </xf>
    <xf numFmtId="188" fontId="47" fillId="0" borderId="16" xfId="1" applyNumberFormat="1" applyFont="1" applyBorder="1" applyAlignment="1">
      <alignment horizontal="right" vertical="center"/>
    </xf>
    <xf numFmtId="188" fontId="47" fillId="0" borderId="46" xfId="1" applyNumberFormat="1" applyFont="1" applyBorder="1" applyAlignment="1">
      <alignment horizontal="right" vertical="center"/>
    </xf>
    <xf numFmtId="188" fontId="47" fillId="0" borderId="10" xfId="1" applyNumberFormat="1" applyFont="1" applyBorder="1" applyAlignment="1">
      <alignment horizontal="right" vertical="center"/>
    </xf>
    <xf numFmtId="9" fontId="47" fillId="0" borderId="8" xfId="4" applyFont="1" applyBorder="1" applyAlignment="1">
      <alignment horizontal="right" vertical="center"/>
    </xf>
    <xf numFmtId="9" fontId="47" fillId="0" borderId="1" xfId="4" applyFont="1" applyBorder="1" applyAlignment="1">
      <alignment horizontal="right" vertical="center"/>
    </xf>
    <xf numFmtId="9" fontId="47" fillId="0" borderId="9" xfId="4" applyFont="1" applyBorder="1" applyAlignment="1">
      <alignment horizontal="right" vertical="center"/>
    </xf>
    <xf numFmtId="0" fontId="48" fillId="0" borderId="65" xfId="0" applyFont="1" applyBorder="1" applyAlignment="1">
      <alignment horizontal="center" vertical="center" wrapText="1"/>
    </xf>
    <xf numFmtId="188" fontId="47" fillId="0" borderId="39" xfId="1" applyNumberFormat="1" applyFont="1" applyBorder="1" applyAlignment="1">
      <alignment horizontal="right" vertical="center"/>
    </xf>
    <xf numFmtId="188" fontId="47" fillId="0" borderId="13" xfId="1" applyNumberFormat="1" applyFont="1" applyBorder="1" applyAlignment="1">
      <alignment horizontal="right" vertical="center"/>
    </xf>
    <xf numFmtId="188" fontId="47" fillId="0" borderId="14" xfId="1" applyNumberFormat="1" applyFont="1" applyBorder="1" applyAlignment="1">
      <alignment horizontal="right" vertical="center"/>
    </xf>
    <xf numFmtId="0" fontId="48" fillId="4" borderId="48" xfId="0" applyFont="1" applyFill="1" applyBorder="1">
      <alignment horizontal="center" vertical="center"/>
    </xf>
    <xf numFmtId="180" fontId="47" fillId="0" borderId="40" xfId="0" applyNumberFormat="1" applyFont="1" applyBorder="1" applyAlignment="1">
      <alignment vertical="center"/>
    </xf>
    <xf numFmtId="178" fontId="47" fillId="0" borderId="17" xfId="0" applyNumberFormat="1" applyFont="1" applyBorder="1" applyAlignment="1">
      <alignment vertical="center"/>
    </xf>
    <xf numFmtId="180" fontId="47" fillId="0" borderId="41" xfId="0" applyNumberFormat="1" applyFont="1" applyBorder="1" applyAlignment="1">
      <alignment vertical="center"/>
    </xf>
    <xf numFmtId="178" fontId="47" fillId="0" borderId="11" xfId="0" applyNumberFormat="1" applyFont="1" applyBorder="1" applyAlignment="1">
      <alignment vertical="center"/>
    </xf>
    <xf numFmtId="0" fontId="47" fillId="0" borderId="65" xfId="0" applyFont="1" applyBorder="1">
      <alignment horizontal="center" vertical="center"/>
    </xf>
    <xf numFmtId="178" fontId="47" fillId="0" borderId="69" xfId="0" applyNumberFormat="1" applyFont="1" applyBorder="1" applyAlignment="1">
      <alignment vertical="center"/>
    </xf>
    <xf numFmtId="179" fontId="47" fillId="0" borderId="64" xfId="1" applyNumberFormat="1" applyFont="1" applyBorder="1" applyAlignment="1">
      <alignment horizontal="center" vertical="center"/>
    </xf>
    <xf numFmtId="180" fontId="47" fillId="0" borderId="64" xfId="0" applyNumberFormat="1" applyFont="1" applyBorder="1" applyAlignment="1">
      <alignment vertical="center"/>
    </xf>
    <xf numFmtId="178" fontId="47" fillId="0" borderId="12" xfId="0" applyNumberFormat="1" applyFont="1" applyBorder="1" applyAlignment="1">
      <alignment vertical="center"/>
    </xf>
    <xf numFmtId="180" fontId="47" fillId="0" borderId="14" xfId="0" applyNumberFormat="1" applyFont="1" applyBorder="1" applyAlignment="1">
      <alignment vertical="center"/>
    </xf>
    <xf numFmtId="0" fontId="48" fillId="14" borderId="31" xfId="0" applyFont="1" applyFill="1" applyBorder="1">
      <alignment horizontal="center" vertical="center"/>
    </xf>
    <xf numFmtId="0" fontId="48" fillId="14" borderId="19" xfId="0" applyFont="1" applyFill="1" applyBorder="1">
      <alignment horizontal="center" vertical="center"/>
    </xf>
    <xf numFmtId="0" fontId="48" fillId="14" borderId="20" xfId="0" applyFont="1" applyFill="1" applyBorder="1">
      <alignment horizontal="center" vertical="center"/>
    </xf>
    <xf numFmtId="178" fontId="47" fillId="14" borderId="27" xfId="0" applyNumberFormat="1" applyFont="1" applyFill="1" applyBorder="1" applyAlignment="1">
      <alignment vertical="center"/>
    </xf>
    <xf numFmtId="179" fontId="47" fillId="14" borderId="19" xfId="0" applyNumberFormat="1" applyFont="1" applyFill="1" applyBorder="1">
      <alignment horizontal="center" vertical="center"/>
    </xf>
    <xf numFmtId="180" fontId="47" fillId="14" borderId="20" xfId="0" applyNumberFormat="1" applyFont="1" applyFill="1" applyBorder="1" applyAlignment="1">
      <alignment horizontal="right" vertical="center"/>
    </xf>
    <xf numFmtId="0" fontId="48" fillId="14" borderId="49" xfId="0" applyFont="1" applyFill="1" applyBorder="1">
      <alignment horizontal="center" vertical="center"/>
    </xf>
    <xf numFmtId="198" fontId="54" fillId="0" borderId="0" xfId="0" applyNumberFormat="1" applyFont="1">
      <alignment horizontal="center" vertical="center"/>
    </xf>
    <xf numFmtId="198" fontId="54" fillId="0" borderId="93" xfId="0" applyNumberFormat="1" applyFont="1" applyBorder="1">
      <alignment horizontal="center" vertical="center"/>
    </xf>
    <xf numFmtId="179" fontId="0" fillId="0" borderId="90" xfId="0" applyNumberFormat="1" applyBorder="1">
      <alignment horizontal="center" vertical="center"/>
    </xf>
    <xf numFmtId="179" fontId="0" fillId="0" borderId="98" xfId="0" applyNumberFormat="1" applyBorder="1">
      <alignment horizontal="center" vertical="center"/>
    </xf>
    <xf numFmtId="197" fontId="0" fillId="0" borderId="100" xfId="0" applyNumberFormat="1" applyBorder="1">
      <alignment horizontal="center" vertical="center"/>
    </xf>
    <xf numFmtId="179" fontId="0" fillId="0" borderId="100" xfId="0" applyNumberFormat="1" applyBorder="1">
      <alignment horizontal="center" vertical="center"/>
    </xf>
    <xf numFmtId="179" fontId="0" fillId="0" borderId="101" xfId="0" applyNumberFormat="1" applyBorder="1">
      <alignment horizontal="center" vertical="center"/>
    </xf>
    <xf numFmtId="0" fontId="50" fillId="0" borderId="104" xfId="0" applyFont="1" applyBorder="1" applyAlignment="1">
      <alignment horizontal="center" vertical="center" wrapText="1"/>
    </xf>
    <xf numFmtId="197" fontId="0" fillId="0" borderId="106" xfId="0" applyNumberFormat="1" applyBorder="1">
      <alignment horizontal="center" vertical="center"/>
    </xf>
    <xf numFmtId="197" fontId="0" fillId="0" borderId="97" xfId="0" applyNumberFormat="1" applyBorder="1">
      <alignment horizontal="center" vertical="center"/>
    </xf>
    <xf numFmtId="197" fontId="0" fillId="0" borderId="99" xfId="0" applyNumberFormat="1" applyBorder="1">
      <alignment horizontal="center" vertical="center"/>
    </xf>
    <xf numFmtId="179" fontId="0" fillId="0" borderId="95" xfId="0" applyNumberFormat="1" applyBorder="1">
      <alignment horizontal="center" vertical="center"/>
    </xf>
    <xf numFmtId="179" fontId="0" fillId="0" borderId="96" xfId="0" applyNumberFormat="1" applyBorder="1">
      <alignment horizontal="center" vertical="center"/>
    </xf>
    <xf numFmtId="0" fontId="52" fillId="0" borderId="104" xfId="0" applyFont="1" applyBorder="1" applyAlignment="1">
      <alignment horizontal="center" vertical="center" wrapText="1"/>
    </xf>
    <xf numFmtId="197" fontId="0" fillId="0" borderId="105" xfId="0" applyNumberFormat="1" applyBorder="1">
      <alignment horizontal="center" vertical="center"/>
    </xf>
    <xf numFmtId="197" fontId="0" fillId="0" borderId="94" xfId="0" applyNumberFormat="1" applyBorder="1">
      <alignment horizontal="center" vertical="center"/>
    </xf>
    <xf numFmtId="0" fontId="53" fillId="0" borderId="107" xfId="0" applyFont="1" applyBorder="1" applyAlignment="1">
      <alignment horizontal="center" vertical="center" wrapText="1"/>
    </xf>
    <xf numFmtId="197" fontId="0" fillId="0" borderId="108" xfId="0" applyNumberFormat="1" applyBorder="1">
      <alignment horizontal="center" vertical="center"/>
    </xf>
    <xf numFmtId="179" fontId="0" fillId="0" borderId="109" xfId="0" applyNumberFormat="1" applyBorder="1">
      <alignment horizontal="center" vertical="center"/>
    </xf>
    <xf numFmtId="197" fontId="0" fillId="0" borderId="111" xfId="0" applyNumberFormat="1" applyBorder="1">
      <alignment horizontal="center" vertical="center"/>
    </xf>
    <xf numFmtId="179" fontId="0" fillId="0" borderId="112" xfId="0" applyNumberFormat="1" applyBorder="1">
      <alignment horizontal="center" vertical="center"/>
    </xf>
    <xf numFmtId="197" fontId="0" fillId="0" borderId="92" xfId="0" applyNumberFormat="1" applyBorder="1">
      <alignment horizontal="center" vertical="center"/>
    </xf>
    <xf numFmtId="179" fontId="0" fillId="0" borderId="91" xfId="0" applyNumberFormat="1" applyBorder="1">
      <alignment horizontal="center" vertical="center"/>
    </xf>
    <xf numFmtId="0" fontId="1" fillId="4" borderId="113" xfId="0" applyFont="1" applyFill="1" applyBorder="1">
      <alignment horizontal="center" vertical="center"/>
    </xf>
    <xf numFmtId="0" fontId="51" fillId="13" borderId="110" xfId="0" applyFont="1" applyFill="1" applyBorder="1" applyAlignment="1">
      <alignment horizontal="center" vertical="center" wrapText="1"/>
    </xf>
    <xf numFmtId="0" fontId="51" fillId="13" borderId="103" xfId="0" applyFont="1" applyFill="1" applyBorder="1" applyAlignment="1">
      <alignment horizontal="center" vertical="center" wrapText="1"/>
    </xf>
    <xf numFmtId="0" fontId="49" fillId="13" borderId="103" xfId="0" applyFont="1" applyFill="1" applyBorder="1" applyAlignment="1">
      <alignment horizontal="center" vertical="center" wrapText="1"/>
    </xf>
    <xf numFmtId="0" fontId="51" fillId="13" borderId="102" xfId="0" applyFont="1" applyFill="1" applyBorder="1" applyAlignment="1">
      <alignment horizontal="center" vertical="center" wrapText="1"/>
    </xf>
    <xf numFmtId="181" fontId="0" fillId="4" borderId="108" xfId="0" applyNumberFormat="1" applyFill="1" applyBorder="1">
      <alignment horizontal="center" vertical="center"/>
    </xf>
    <xf numFmtId="181" fontId="0" fillId="4" borderId="109" xfId="0" applyNumberFormat="1" applyFill="1" applyBorder="1">
      <alignment horizontal="center" vertical="center"/>
    </xf>
    <xf numFmtId="0" fontId="0" fillId="4" borderId="107" xfId="0" applyFill="1" applyBorder="1">
      <alignment horizontal="center" vertical="center"/>
    </xf>
    <xf numFmtId="0" fontId="0" fillId="4" borderId="109" xfId="0" applyFill="1" applyBorder="1">
      <alignment horizontal="center" vertical="center"/>
    </xf>
    <xf numFmtId="181" fontId="0" fillId="4" borderId="114" xfId="0" applyNumberFormat="1" applyFill="1" applyBorder="1">
      <alignment horizontal="center" vertical="center"/>
    </xf>
    <xf numFmtId="0" fontId="0" fillId="12" borderId="22" xfId="0" applyFill="1" applyBorder="1">
      <alignment horizontal="center" vertical="center"/>
    </xf>
    <xf numFmtId="0" fontId="0" fillId="12" borderId="23" xfId="0" applyFill="1" applyBorder="1">
      <alignment horizontal="center" vertical="center"/>
    </xf>
    <xf numFmtId="0" fontId="0" fillId="0" borderId="22" xfId="0" applyBorder="1">
      <alignment horizontal="center" vertical="center"/>
    </xf>
    <xf numFmtId="0" fontId="0" fillId="4" borderId="21" xfId="0" applyFill="1" applyBorder="1">
      <alignment horizontal="center" vertical="center"/>
    </xf>
    <xf numFmtId="0" fontId="0" fillId="4" borderId="11" xfId="0" applyFill="1" applyBorder="1">
      <alignment horizontal="center" vertical="center"/>
    </xf>
    <xf numFmtId="0" fontId="16" fillId="13" borderId="22" xfId="0" applyFont="1" applyFill="1" applyBorder="1">
      <alignment horizontal="center" vertical="center"/>
    </xf>
    <xf numFmtId="189" fontId="22" fillId="0" borderId="60" xfId="0" applyNumberFormat="1" applyFont="1" applyBorder="1">
      <alignment horizontal="center" vertical="center"/>
    </xf>
    <xf numFmtId="189" fontId="22" fillId="0" borderId="61" xfId="0" applyNumberFormat="1" applyFont="1" applyBorder="1">
      <alignment horizontal="center" vertical="center"/>
    </xf>
    <xf numFmtId="0" fontId="32" fillId="0" borderId="49" xfId="0" applyFont="1" applyBorder="1">
      <alignment horizontal="center" vertical="center"/>
    </xf>
    <xf numFmtId="0" fontId="32" fillId="0" borderId="31" xfId="0" applyFont="1" applyBorder="1">
      <alignment horizontal="center" vertical="center"/>
    </xf>
    <xf numFmtId="0" fontId="32" fillId="0" borderId="30" xfId="0" applyFont="1" applyBorder="1">
      <alignment horizontal="center" vertical="center"/>
    </xf>
    <xf numFmtId="0" fontId="27" fillId="0" borderId="0" xfId="0" applyFont="1">
      <alignment horizontal="center" vertical="center"/>
    </xf>
    <xf numFmtId="0" fontId="14" fillId="8" borderId="86" xfId="0" applyFont="1" applyFill="1" applyBorder="1">
      <alignment horizontal="center" vertical="center"/>
    </xf>
    <xf numFmtId="0" fontId="14" fillId="8" borderId="33" xfId="0" applyFont="1" applyFill="1" applyBorder="1">
      <alignment horizontal="center" vertical="center"/>
    </xf>
    <xf numFmtId="0" fontId="30" fillId="5" borderId="68" xfId="0" applyFont="1" applyFill="1" applyBorder="1">
      <alignment horizontal="center" vertical="center"/>
    </xf>
    <xf numFmtId="0" fontId="30" fillId="5" borderId="36" xfId="0" applyFont="1" applyFill="1" applyBorder="1">
      <alignment horizontal="center" vertical="center"/>
    </xf>
    <xf numFmtId="0" fontId="30" fillId="5" borderId="66" xfId="0" applyFont="1" applyFill="1" applyBorder="1">
      <alignment horizontal="center" vertical="center"/>
    </xf>
    <xf numFmtId="0" fontId="0" fillId="0" borderId="21" xfId="0" applyBorder="1">
      <alignment horizontal="center" vertical="center"/>
    </xf>
    <xf numFmtId="0" fontId="0" fillId="0" borderId="11" xfId="0" applyBorder="1">
      <alignment horizontal="center" vertical="center"/>
    </xf>
    <xf numFmtId="0" fontId="0" fillId="0" borderId="12" xfId="0" applyBorder="1">
      <alignment horizontal="center" vertical="center"/>
    </xf>
    <xf numFmtId="0" fontId="0" fillId="0" borderId="49" xfId="0" applyBorder="1">
      <alignment horizontal="center" vertical="center"/>
    </xf>
    <xf numFmtId="0" fontId="0" fillId="0" borderId="31" xfId="0" applyBorder="1">
      <alignment horizontal="center" vertical="center"/>
    </xf>
    <xf numFmtId="0" fontId="18" fillId="0" borderId="58" xfId="0" applyFont="1" applyBorder="1">
      <alignment horizontal="center" vertical="center"/>
    </xf>
    <xf numFmtId="0" fontId="18" fillId="0" borderId="15" xfId="0" applyFont="1" applyBorder="1">
      <alignment horizontal="center" vertical="center"/>
    </xf>
    <xf numFmtId="0" fontId="0" fillId="0" borderId="17" xfId="0" applyBorder="1">
      <alignment horizontal="center" vertical="center"/>
    </xf>
    <xf numFmtId="0" fontId="30" fillId="5" borderId="49" xfId="0" applyFont="1" applyFill="1" applyBorder="1">
      <alignment horizontal="center" vertical="center"/>
    </xf>
    <xf numFmtId="0" fontId="30" fillId="5" borderId="31" xfId="0" applyFont="1" applyFill="1" applyBorder="1">
      <alignment horizontal="center" vertical="center"/>
    </xf>
    <xf numFmtId="0" fontId="30" fillId="5" borderId="27" xfId="0" applyFont="1" applyFill="1" applyBorder="1">
      <alignment horizontal="center" vertical="center"/>
    </xf>
  </cellXfs>
  <cellStyles count="5">
    <cellStyle name="나쁨" xfId="2" builtinId="27" customBuiltin="1"/>
    <cellStyle name="백분율" xfId="4" builtinId="5"/>
    <cellStyle name="쉼표 [0]" xfId="1" builtinId="6"/>
    <cellStyle name="표준" xfId="0" builtinId="0" customBuiltin="1"/>
    <cellStyle name="표준 2" xfId="3" xr:uid="{00000000-0005-0000-0000-000004000000}"/>
  </cellStyles>
  <dxfs count="2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차트!$F$4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차트!$B$5:$B$14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차트!$F$5:$F$14</c:f>
              <c:numCache>
                <c:formatCode>#,##0\ "kW"</c:formatCode>
                <c:ptCount val="10"/>
                <c:pt idx="0">
                  <c:v>3554.3450000000003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148.47999999999999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B-419F-97D1-9B01815F7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1029248"/>
        <c:axId val="230805440"/>
        <c:extLst/>
      </c:barChart>
      <c:catAx>
        <c:axId val="23102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0805440"/>
        <c:crosses val="autoZero"/>
        <c:auto val="1"/>
        <c:lblAlgn val="ctr"/>
        <c:lblOffset val="100"/>
        <c:noMultiLvlLbl val="0"/>
      </c:catAx>
      <c:valAx>
        <c:axId val="230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102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차트!$E$98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차트!$E$99:$E$110</c:f>
              <c:numCache>
                <c:formatCode>#,##0</c:formatCode>
                <c:ptCount val="12"/>
                <c:pt idx="0">
                  <c:v>37.028250000000007</c:v>
                </c:pt>
                <c:pt idx="1">
                  <c:v>111.43110000000001</c:v>
                </c:pt>
                <c:pt idx="2">
                  <c:v>34.193750000000009</c:v>
                </c:pt>
                <c:pt idx="3">
                  <c:v>52.032549999999993</c:v>
                </c:pt>
                <c:pt idx="4">
                  <c:v>90.659399999999991</c:v>
                </c:pt>
                <c:pt idx="5">
                  <c:v>100.65520000000001</c:v>
                </c:pt>
                <c:pt idx="6">
                  <c:v>64.998400000000004</c:v>
                </c:pt>
                <c:pt idx="7">
                  <c:v>87.545149999999992</c:v>
                </c:pt>
                <c:pt idx="8">
                  <c:v>102.28740000000001</c:v>
                </c:pt>
                <c:pt idx="9">
                  <c:v>139.7766</c:v>
                </c:pt>
                <c:pt idx="10">
                  <c:v>131.59165000000004</c:v>
                </c:pt>
                <c:pt idx="11">
                  <c:v>64.399600000000007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786B-419F-97D1-9B01815F7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0426112"/>
        <c:axId val="230807168"/>
      </c:barChart>
      <c:lineChart>
        <c:grouping val="standard"/>
        <c:varyColors val="0"/>
        <c:ser>
          <c:idx val="0"/>
          <c:order val="0"/>
          <c:tx>
            <c:strRef>
              <c:f>차트!$D$98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차트!$D$99:$D$110</c:f>
              <c:numCache>
                <c:formatCode>#,##0</c:formatCode>
                <c:ptCount val="12"/>
                <c:pt idx="0">
                  <c:v>130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140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B-419F-97D1-9B01815F7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426112"/>
        <c:axId val="230807168"/>
      </c:lineChart>
      <c:catAx>
        <c:axId val="23042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0807168"/>
        <c:crosses val="autoZero"/>
        <c:auto val="1"/>
        <c:lblAlgn val="ctr"/>
        <c:lblOffset val="100"/>
        <c:noMultiLvlLbl val="0"/>
      </c:catAx>
      <c:valAx>
        <c:axId val="2308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042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차트!$O$4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차트!$K$5:$K$14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차트!$O$5:$O$14</c:f>
              <c:numCache>
                <c:formatCode>#,##0\ "kW"</c:formatCode>
                <c:ptCount val="10"/>
                <c:pt idx="0">
                  <c:v>8273.9500000000007</c:v>
                </c:pt>
                <c:pt idx="1">
                  <c:v>499.59</c:v>
                </c:pt>
                <c:pt idx="2">
                  <c:v>5923.915</c:v>
                </c:pt>
                <c:pt idx="3">
                  <c:v>0</c:v>
                </c:pt>
                <c:pt idx="4">
                  <c:v>148.47999999999999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0-4F70-9CD8-25B285BE6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0428160"/>
        <c:axId val="234299392"/>
        <c:extLst/>
      </c:barChart>
      <c:catAx>
        <c:axId val="23042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299392"/>
        <c:crosses val="autoZero"/>
        <c:auto val="1"/>
        <c:lblAlgn val="ctr"/>
        <c:lblOffset val="100"/>
        <c:noMultiLvlLbl val="0"/>
      </c:catAx>
      <c:valAx>
        <c:axId val="2342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042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차트!$E$98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차트!$E$99:$E$110</c:f>
              <c:numCache>
                <c:formatCode>#,##0</c:formatCode>
                <c:ptCount val="12"/>
                <c:pt idx="0">
                  <c:v>37.028250000000007</c:v>
                </c:pt>
                <c:pt idx="1">
                  <c:v>111.43110000000001</c:v>
                </c:pt>
                <c:pt idx="2">
                  <c:v>34.193750000000009</c:v>
                </c:pt>
                <c:pt idx="3">
                  <c:v>52.032549999999993</c:v>
                </c:pt>
                <c:pt idx="4">
                  <c:v>90.659399999999991</c:v>
                </c:pt>
                <c:pt idx="5">
                  <c:v>100.65520000000001</c:v>
                </c:pt>
                <c:pt idx="6">
                  <c:v>64.998400000000004</c:v>
                </c:pt>
                <c:pt idx="7">
                  <c:v>87.545149999999992</c:v>
                </c:pt>
                <c:pt idx="8">
                  <c:v>102.28740000000001</c:v>
                </c:pt>
                <c:pt idx="9">
                  <c:v>139.7766</c:v>
                </c:pt>
                <c:pt idx="10">
                  <c:v>131.59165000000004</c:v>
                </c:pt>
                <c:pt idx="11">
                  <c:v>64.399600000000007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B4F-4106-90C6-2A28433B5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041856"/>
        <c:axId val="234301120"/>
      </c:barChart>
      <c:lineChart>
        <c:grouping val="standard"/>
        <c:varyColors val="0"/>
        <c:ser>
          <c:idx val="0"/>
          <c:order val="0"/>
          <c:tx>
            <c:strRef>
              <c:f>차트!$D$98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차트!$D$99:$D$110</c:f>
              <c:numCache>
                <c:formatCode>#,##0</c:formatCode>
                <c:ptCount val="12"/>
                <c:pt idx="0">
                  <c:v>130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140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4F-4106-90C6-2A28433B5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041856"/>
        <c:axId val="234301120"/>
      </c:lineChart>
      <c:catAx>
        <c:axId val="23404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301120"/>
        <c:crosses val="autoZero"/>
        <c:auto val="1"/>
        <c:lblAlgn val="ctr"/>
        <c:lblOffset val="100"/>
        <c:noMultiLvlLbl val="0"/>
      </c:catAx>
      <c:valAx>
        <c:axId val="2343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04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차트!$X$4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차트!$T$5:$T$14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차트!$X$5:$X$14</c:f>
              <c:numCache>
                <c:formatCode>#,##0\ "kW"</c:formatCode>
                <c:ptCount val="10"/>
                <c:pt idx="0">
                  <c:v>11432.845000000001</c:v>
                </c:pt>
                <c:pt idx="1">
                  <c:v>499.59</c:v>
                </c:pt>
                <c:pt idx="2">
                  <c:v>5923.915</c:v>
                </c:pt>
                <c:pt idx="3">
                  <c:v>0</c:v>
                </c:pt>
                <c:pt idx="4">
                  <c:v>408.96000000000004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8-4C95-9739-B0E3764E0D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042880"/>
        <c:axId val="234303424"/>
        <c:extLst/>
      </c:barChart>
      <c:catAx>
        <c:axId val="23404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303424"/>
        <c:crosses val="autoZero"/>
        <c:auto val="1"/>
        <c:lblAlgn val="ctr"/>
        <c:lblOffset val="100"/>
        <c:noMultiLvlLbl val="0"/>
      </c:catAx>
      <c:valAx>
        <c:axId val="23430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04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차트!$E$98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차트!$E$99:$E$110</c:f>
              <c:numCache>
                <c:formatCode>#,##0</c:formatCode>
                <c:ptCount val="12"/>
                <c:pt idx="0">
                  <c:v>37.028250000000007</c:v>
                </c:pt>
                <c:pt idx="1">
                  <c:v>111.43110000000001</c:v>
                </c:pt>
                <c:pt idx="2">
                  <c:v>34.193750000000009</c:v>
                </c:pt>
                <c:pt idx="3">
                  <c:v>52.032549999999993</c:v>
                </c:pt>
                <c:pt idx="4">
                  <c:v>90.659399999999991</c:v>
                </c:pt>
                <c:pt idx="5">
                  <c:v>100.65520000000001</c:v>
                </c:pt>
                <c:pt idx="6">
                  <c:v>64.998400000000004</c:v>
                </c:pt>
                <c:pt idx="7">
                  <c:v>87.545149999999992</c:v>
                </c:pt>
                <c:pt idx="8">
                  <c:v>102.28740000000001</c:v>
                </c:pt>
                <c:pt idx="9">
                  <c:v>139.7766</c:v>
                </c:pt>
                <c:pt idx="10">
                  <c:v>131.59165000000004</c:v>
                </c:pt>
                <c:pt idx="11">
                  <c:v>64.399600000000007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ECA-43B1-9509-2CAD43A01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043904"/>
        <c:axId val="234305152"/>
      </c:barChart>
      <c:lineChart>
        <c:grouping val="standard"/>
        <c:varyColors val="0"/>
        <c:ser>
          <c:idx val="0"/>
          <c:order val="0"/>
          <c:tx>
            <c:strRef>
              <c:f>차트!$D$98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차트!$D$99:$D$110</c:f>
              <c:numCache>
                <c:formatCode>#,##0</c:formatCode>
                <c:ptCount val="12"/>
                <c:pt idx="0">
                  <c:v>130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140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CA-43B1-9509-2CAD43A01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043904"/>
        <c:axId val="234305152"/>
      </c:lineChart>
      <c:catAx>
        <c:axId val="2340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305152"/>
        <c:crosses val="autoZero"/>
        <c:auto val="1"/>
        <c:lblAlgn val="ctr"/>
        <c:lblOffset val="100"/>
        <c:noMultiLvlLbl val="0"/>
      </c:catAx>
      <c:valAx>
        <c:axId val="2343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04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차트!$AG$4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차트!$AC$5:$AC$14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차트!$AG$5:$AG$14</c:f>
              <c:numCache>
                <c:formatCode>#,##0\ "kW"</c:formatCode>
                <c:ptCount val="10"/>
                <c:pt idx="0">
                  <c:v>16237.405000000001</c:v>
                </c:pt>
                <c:pt idx="1">
                  <c:v>499.59</c:v>
                </c:pt>
                <c:pt idx="2">
                  <c:v>5923.915</c:v>
                </c:pt>
                <c:pt idx="3">
                  <c:v>0</c:v>
                </c:pt>
                <c:pt idx="4">
                  <c:v>807.65500000000009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E-4E8C-828E-75EB393269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393600"/>
        <c:axId val="234217472"/>
        <c:extLst/>
      </c:barChart>
      <c:catAx>
        <c:axId val="23439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217472"/>
        <c:crosses val="autoZero"/>
        <c:auto val="1"/>
        <c:lblAlgn val="ctr"/>
        <c:lblOffset val="100"/>
        <c:noMultiLvlLbl val="0"/>
      </c:catAx>
      <c:valAx>
        <c:axId val="23421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39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차트!$E$98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차트!$E$99:$E$110</c:f>
              <c:numCache>
                <c:formatCode>#,##0</c:formatCode>
                <c:ptCount val="12"/>
                <c:pt idx="0">
                  <c:v>37.028250000000007</c:v>
                </c:pt>
                <c:pt idx="1">
                  <c:v>111.43110000000001</c:v>
                </c:pt>
                <c:pt idx="2">
                  <c:v>34.193750000000009</c:v>
                </c:pt>
                <c:pt idx="3">
                  <c:v>52.032549999999993</c:v>
                </c:pt>
                <c:pt idx="4">
                  <c:v>90.659399999999991</c:v>
                </c:pt>
                <c:pt idx="5">
                  <c:v>100.65520000000001</c:v>
                </c:pt>
                <c:pt idx="6">
                  <c:v>64.998400000000004</c:v>
                </c:pt>
                <c:pt idx="7">
                  <c:v>87.545149999999992</c:v>
                </c:pt>
                <c:pt idx="8">
                  <c:v>102.28740000000001</c:v>
                </c:pt>
                <c:pt idx="9">
                  <c:v>139.7766</c:v>
                </c:pt>
                <c:pt idx="10">
                  <c:v>131.59165000000004</c:v>
                </c:pt>
                <c:pt idx="11">
                  <c:v>64.399600000000007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9F3-4CD3-A185-D6F4E345E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395136"/>
        <c:axId val="234219200"/>
      </c:barChart>
      <c:lineChart>
        <c:grouping val="standard"/>
        <c:varyColors val="0"/>
        <c:ser>
          <c:idx val="0"/>
          <c:order val="0"/>
          <c:tx>
            <c:strRef>
              <c:f>차트!$D$98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차트!$D$99:$D$110</c:f>
              <c:numCache>
                <c:formatCode>#,##0</c:formatCode>
                <c:ptCount val="12"/>
                <c:pt idx="0">
                  <c:v>130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140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F3-4CD3-A185-D6F4E345E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95136"/>
        <c:axId val="234219200"/>
      </c:lineChart>
      <c:catAx>
        <c:axId val="23439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219200"/>
        <c:crosses val="autoZero"/>
        <c:auto val="1"/>
        <c:lblAlgn val="ctr"/>
        <c:lblOffset val="100"/>
        <c:noMultiLvlLbl val="0"/>
      </c:catAx>
      <c:valAx>
        <c:axId val="23421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39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차트!$AP$4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차트!$AL$5:$AL$14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차트!$AP$5:$AP$14</c:f>
              <c:numCache>
                <c:formatCode>#,##0\ "kW"</c:formatCode>
                <c:ptCount val="10"/>
                <c:pt idx="0">
                  <c:v>22351.325000000001</c:v>
                </c:pt>
                <c:pt idx="1">
                  <c:v>2758.4900000000002</c:v>
                </c:pt>
                <c:pt idx="2">
                  <c:v>5923.915</c:v>
                </c:pt>
                <c:pt idx="3">
                  <c:v>0</c:v>
                </c:pt>
                <c:pt idx="4">
                  <c:v>1500.7750000000001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6-486A-8D9D-74C406875E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397184"/>
        <c:axId val="234221504"/>
        <c:extLst/>
      </c:barChart>
      <c:catAx>
        <c:axId val="23439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221504"/>
        <c:crosses val="autoZero"/>
        <c:auto val="1"/>
        <c:lblAlgn val="ctr"/>
        <c:lblOffset val="100"/>
        <c:noMultiLvlLbl val="0"/>
      </c:catAx>
      <c:valAx>
        <c:axId val="23422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39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차트!$E$98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차트!$E$99:$E$110</c:f>
              <c:numCache>
                <c:formatCode>#,##0</c:formatCode>
                <c:ptCount val="12"/>
                <c:pt idx="0">
                  <c:v>37.028250000000007</c:v>
                </c:pt>
                <c:pt idx="1">
                  <c:v>111.43110000000001</c:v>
                </c:pt>
                <c:pt idx="2">
                  <c:v>34.193750000000009</c:v>
                </c:pt>
                <c:pt idx="3">
                  <c:v>52.032549999999993</c:v>
                </c:pt>
                <c:pt idx="4">
                  <c:v>90.659399999999991</c:v>
                </c:pt>
                <c:pt idx="5">
                  <c:v>100.65520000000001</c:v>
                </c:pt>
                <c:pt idx="6">
                  <c:v>64.998400000000004</c:v>
                </c:pt>
                <c:pt idx="7">
                  <c:v>87.545149999999992</c:v>
                </c:pt>
                <c:pt idx="8">
                  <c:v>102.28740000000001</c:v>
                </c:pt>
                <c:pt idx="9">
                  <c:v>139.7766</c:v>
                </c:pt>
                <c:pt idx="10">
                  <c:v>131.59165000000004</c:v>
                </c:pt>
                <c:pt idx="11">
                  <c:v>64.399600000000007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D50-42A9-8AB1-607E6096E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590208"/>
        <c:axId val="234223232"/>
      </c:barChart>
      <c:lineChart>
        <c:grouping val="standard"/>
        <c:varyColors val="0"/>
        <c:ser>
          <c:idx val="0"/>
          <c:order val="0"/>
          <c:tx>
            <c:strRef>
              <c:f>차트!$D$98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차트!$D$99:$D$110</c:f>
              <c:numCache>
                <c:formatCode>#,##0</c:formatCode>
                <c:ptCount val="12"/>
                <c:pt idx="0">
                  <c:v>130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140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50-42A9-8AB1-607E6096E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90208"/>
        <c:axId val="234223232"/>
      </c:lineChart>
      <c:catAx>
        <c:axId val="23459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223232"/>
        <c:crosses val="autoZero"/>
        <c:auto val="1"/>
        <c:lblAlgn val="ctr"/>
        <c:lblOffset val="100"/>
        <c:noMultiLvlLbl val="0"/>
      </c:catAx>
      <c:valAx>
        <c:axId val="23422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5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차트!$AY$4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차트!$AU$5:$AU$14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차트!$AY$5:$AY$14</c:f>
              <c:numCache>
                <c:formatCode>#,##0\ "kW"</c:formatCode>
                <c:ptCount val="10"/>
                <c:pt idx="0">
                  <c:v>26243.165000000001</c:v>
                </c:pt>
                <c:pt idx="1">
                  <c:v>5288.13</c:v>
                </c:pt>
                <c:pt idx="2">
                  <c:v>5923.915</c:v>
                </c:pt>
                <c:pt idx="3">
                  <c:v>0</c:v>
                </c:pt>
                <c:pt idx="4">
                  <c:v>5075.8150000000005</c:v>
                </c:pt>
                <c:pt idx="5">
                  <c:v>0</c:v>
                </c:pt>
                <c:pt idx="6">
                  <c:v>0</c:v>
                </c:pt>
                <c:pt idx="7">
                  <c:v>69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C-44B0-B58B-07FF6FE998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591744"/>
        <c:axId val="234987520"/>
        <c:extLst/>
      </c:barChart>
      <c:catAx>
        <c:axId val="23459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87520"/>
        <c:crosses val="autoZero"/>
        <c:auto val="1"/>
        <c:lblAlgn val="ctr"/>
        <c:lblOffset val="100"/>
        <c:noMultiLvlLbl val="0"/>
      </c:catAx>
      <c:valAx>
        <c:axId val="2349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59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차트!$E$98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차트!$E$99:$E$110</c:f>
              <c:numCache>
                <c:formatCode>#,##0</c:formatCode>
                <c:ptCount val="12"/>
                <c:pt idx="0">
                  <c:v>37.028250000000007</c:v>
                </c:pt>
                <c:pt idx="1">
                  <c:v>111.43110000000001</c:v>
                </c:pt>
                <c:pt idx="2">
                  <c:v>34.193750000000009</c:v>
                </c:pt>
                <c:pt idx="3">
                  <c:v>52.032549999999993</c:v>
                </c:pt>
                <c:pt idx="4">
                  <c:v>90.659399999999991</c:v>
                </c:pt>
                <c:pt idx="5">
                  <c:v>100.65520000000001</c:v>
                </c:pt>
                <c:pt idx="6">
                  <c:v>64.998400000000004</c:v>
                </c:pt>
                <c:pt idx="7">
                  <c:v>87.545149999999992</c:v>
                </c:pt>
                <c:pt idx="8">
                  <c:v>102.28740000000001</c:v>
                </c:pt>
                <c:pt idx="9">
                  <c:v>139.7766</c:v>
                </c:pt>
                <c:pt idx="10">
                  <c:v>131.59165000000004</c:v>
                </c:pt>
                <c:pt idx="11">
                  <c:v>64.399600000000007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F30-4729-8352-FB123623E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592768"/>
        <c:axId val="234989248"/>
      </c:barChart>
      <c:lineChart>
        <c:grouping val="standard"/>
        <c:varyColors val="0"/>
        <c:ser>
          <c:idx val="0"/>
          <c:order val="0"/>
          <c:tx>
            <c:strRef>
              <c:f>차트!$D$98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차트!$D$99:$D$110</c:f>
              <c:numCache>
                <c:formatCode>#,##0</c:formatCode>
                <c:ptCount val="12"/>
                <c:pt idx="0">
                  <c:v>130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140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0-4729-8352-FB123623E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92768"/>
        <c:axId val="234989248"/>
      </c:lineChart>
      <c:catAx>
        <c:axId val="23459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89248"/>
        <c:crosses val="autoZero"/>
        <c:auto val="1"/>
        <c:lblAlgn val="ctr"/>
        <c:lblOffset val="100"/>
        <c:noMultiLvlLbl val="0"/>
      </c:catAx>
      <c:valAx>
        <c:axId val="2349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59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차트!$BH$4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차트!$BD$5:$BD$14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차트!$BH$5:$BH$14</c:f>
              <c:numCache>
                <c:formatCode>#,##0\ "kW"</c:formatCode>
                <c:ptCount val="10"/>
                <c:pt idx="0">
                  <c:v>31032.285</c:v>
                </c:pt>
                <c:pt idx="1">
                  <c:v>5288.13</c:v>
                </c:pt>
                <c:pt idx="2">
                  <c:v>5923.915</c:v>
                </c:pt>
                <c:pt idx="3">
                  <c:v>0</c:v>
                </c:pt>
                <c:pt idx="4">
                  <c:v>6786.5350000000008</c:v>
                </c:pt>
                <c:pt idx="5">
                  <c:v>0</c:v>
                </c:pt>
                <c:pt idx="6">
                  <c:v>0</c:v>
                </c:pt>
                <c:pt idx="7">
                  <c:v>69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7-40B0-AFCD-D15CA62167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593792"/>
        <c:axId val="234991552"/>
        <c:extLst/>
      </c:barChart>
      <c:catAx>
        <c:axId val="2345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91552"/>
        <c:crosses val="autoZero"/>
        <c:auto val="1"/>
        <c:lblAlgn val="ctr"/>
        <c:lblOffset val="100"/>
        <c:noMultiLvlLbl val="0"/>
      </c:catAx>
      <c:valAx>
        <c:axId val="2349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59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차트!$E$98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차트!$E$99:$E$110</c:f>
              <c:numCache>
                <c:formatCode>#,##0</c:formatCode>
                <c:ptCount val="12"/>
                <c:pt idx="0">
                  <c:v>37.028250000000007</c:v>
                </c:pt>
                <c:pt idx="1">
                  <c:v>111.43110000000001</c:v>
                </c:pt>
                <c:pt idx="2">
                  <c:v>34.193750000000009</c:v>
                </c:pt>
                <c:pt idx="3">
                  <c:v>52.032549999999993</c:v>
                </c:pt>
                <c:pt idx="4">
                  <c:v>90.659399999999991</c:v>
                </c:pt>
                <c:pt idx="5">
                  <c:v>100.65520000000001</c:v>
                </c:pt>
                <c:pt idx="6">
                  <c:v>64.998400000000004</c:v>
                </c:pt>
                <c:pt idx="7">
                  <c:v>87.545149999999992</c:v>
                </c:pt>
                <c:pt idx="8">
                  <c:v>102.28740000000001</c:v>
                </c:pt>
                <c:pt idx="9">
                  <c:v>139.7766</c:v>
                </c:pt>
                <c:pt idx="10">
                  <c:v>131.59165000000004</c:v>
                </c:pt>
                <c:pt idx="11">
                  <c:v>64.399600000000007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721-4647-ABAF-F3BC54C68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5275776"/>
        <c:axId val="234993280"/>
      </c:barChart>
      <c:lineChart>
        <c:grouping val="standard"/>
        <c:varyColors val="0"/>
        <c:ser>
          <c:idx val="0"/>
          <c:order val="0"/>
          <c:tx>
            <c:strRef>
              <c:f>차트!$D$98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차트!$D$99:$D$110</c:f>
              <c:numCache>
                <c:formatCode>#,##0</c:formatCode>
                <c:ptCount val="12"/>
                <c:pt idx="0">
                  <c:v>130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140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1-4647-ABAF-F3BC54C68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75776"/>
        <c:axId val="234993280"/>
      </c:lineChart>
      <c:catAx>
        <c:axId val="23527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93280"/>
        <c:crosses val="autoZero"/>
        <c:auto val="1"/>
        <c:lblAlgn val="ctr"/>
        <c:lblOffset val="100"/>
        <c:noMultiLvlLbl val="0"/>
      </c:catAx>
      <c:valAx>
        <c:axId val="2349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27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차트!$BQ$4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차트!$BM$5:$BM$14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차트!$BQ$5:$BQ$14</c:f>
              <c:numCache>
                <c:formatCode>#,##0\ "kW"</c:formatCode>
                <c:ptCount val="10"/>
                <c:pt idx="0">
                  <c:v>38079.699999999997</c:v>
                </c:pt>
                <c:pt idx="1">
                  <c:v>5288.13</c:v>
                </c:pt>
                <c:pt idx="2">
                  <c:v>5923.915</c:v>
                </c:pt>
                <c:pt idx="3">
                  <c:v>0</c:v>
                </c:pt>
                <c:pt idx="4">
                  <c:v>6897.8950000000004</c:v>
                </c:pt>
                <c:pt idx="5">
                  <c:v>1595.74</c:v>
                </c:pt>
                <c:pt idx="6">
                  <c:v>0</c:v>
                </c:pt>
                <c:pt idx="7">
                  <c:v>69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5-484D-B14A-865FB11300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5277312"/>
        <c:axId val="234692608"/>
        <c:extLst/>
      </c:barChart>
      <c:catAx>
        <c:axId val="23527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692608"/>
        <c:crosses val="autoZero"/>
        <c:auto val="1"/>
        <c:lblAlgn val="ctr"/>
        <c:lblOffset val="100"/>
        <c:noMultiLvlLbl val="0"/>
      </c:catAx>
      <c:valAx>
        <c:axId val="23469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27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차트!$E$98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차트!$E$99:$E$110</c:f>
              <c:numCache>
                <c:formatCode>#,##0</c:formatCode>
                <c:ptCount val="12"/>
                <c:pt idx="0">
                  <c:v>37.028250000000007</c:v>
                </c:pt>
                <c:pt idx="1">
                  <c:v>111.43110000000001</c:v>
                </c:pt>
                <c:pt idx="2">
                  <c:v>34.193750000000009</c:v>
                </c:pt>
                <c:pt idx="3">
                  <c:v>52.032549999999993</c:v>
                </c:pt>
                <c:pt idx="4">
                  <c:v>90.659399999999991</c:v>
                </c:pt>
                <c:pt idx="5">
                  <c:v>100.65520000000001</c:v>
                </c:pt>
                <c:pt idx="6">
                  <c:v>64.998400000000004</c:v>
                </c:pt>
                <c:pt idx="7">
                  <c:v>87.545149999999992</c:v>
                </c:pt>
                <c:pt idx="8">
                  <c:v>102.28740000000001</c:v>
                </c:pt>
                <c:pt idx="9">
                  <c:v>139.7766</c:v>
                </c:pt>
                <c:pt idx="10">
                  <c:v>131.59165000000004</c:v>
                </c:pt>
                <c:pt idx="11">
                  <c:v>64.399600000000007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632-4A23-9685-ADD2E6592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5276288"/>
        <c:axId val="234694912"/>
      </c:barChart>
      <c:lineChart>
        <c:grouping val="standard"/>
        <c:varyColors val="0"/>
        <c:ser>
          <c:idx val="0"/>
          <c:order val="0"/>
          <c:tx>
            <c:strRef>
              <c:f>차트!$D$98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차트!$D$99:$D$110</c:f>
              <c:numCache>
                <c:formatCode>#,##0</c:formatCode>
                <c:ptCount val="12"/>
                <c:pt idx="0">
                  <c:v>130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140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32-4A23-9685-ADD2E6592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76288"/>
        <c:axId val="234694912"/>
      </c:lineChart>
      <c:catAx>
        <c:axId val="2352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694912"/>
        <c:crosses val="autoZero"/>
        <c:auto val="1"/>
        <c:lblAlgn val="ctr"/>
        <c:lblOffset val="100"/>
        <c:noMultiLvlLbl val="0"/>
      </c:catAx>
      <c:valAx>
        <c:axId val="23469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27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차트!$BZ$4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차트!$BV$5:$BV$14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차트!$BZ$5:$BZ$14</c:f>
              <c:numCache>
                <c:formatCode>#,##0\ "kW"</c:formatCode>
                <c:ptCount val="10"/>
                <c:pt idx="0">
                  <c:v>47923.799999999996</c:v>
                </c:pt>
                <c:pt idx="1">
                  <c:v>5486.53</c:v>
                </c:pt>
                <c:pt idx="2">
                  <c:v>5923.915</c:v>
                </c:pt>
                <c:pt idx="3">
                  <c:v>0</c:v>
                </c:pt>
                <c:pt idx="4">
                  <c:v>7084.1350000000002</c:v>
                </c:pt>
                <c:pt idx="5">
                  <c:v>1595.74</c:v>
                </c:pt>
                <c:pt idx="6">
                  <c:v>0</c:v>
                </c:pt>
                <c:pt idx="7">
                  <c:v>69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2-420D-9F94-3BE5A91369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832384"/>
        <c:axId val="234697216"/>
        <c:extLst/>
      </c:barChart>
      <c:catAx>
        <c:axId val="23483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697216"/>
        <c:crosses val="autoZero"/>
        <c:auto val="1"/>
        <c:lblAlgn val="ctr"/>
        <c:lblOffset val="100"/>
        <c:noMultiLvlLbl val="0"/>
      </c:catAx>
      <c:valAx>
        <c:axId val="23469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83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차트!$E$98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차트!$E$99:$E$110</c:f>
              <c:numCache>
                <c:formatCode>#,##0</c:formatCode>
                <c:ptCount val="12"/>
                <c:pt idx="0">
                  <c:v>37.028250000000007</c:v>
                </c:pt>
                <c:pt idx="1">
                  <c:v>111.43110000000001</c:v>
                </c:pt>
                <c:pt idx="2">
                  <c:v>34.193750000000009</c:v>
                </c:pt>
                <c:pt idx="3">
                  <c:v>52.032549999999993</c:v>
                </c:pt>
                <c:pt idx="4">
                  <c:v>90.659399999999991</c:v>
                </c:pt>
                <c:pt idx="5">
                  <c:v>100.65520000000001</c:v>
                </c:pt>
                <c:pt idx="6">
                  <c:v>64.998400000000004</c:v>
                </c:pt>
                <c:pt idx="7">
                  <c:v>87.545149999999992</c:v>
                </c:pt>
                <c:pt idx="8">
                  <c:v>102.28740000000001</c:v>
                </c:pt>
                <c:pt idx="9">
                  <c:v>139.7766</c:v>
                </c:pt>
                <c:pt idx="10">
                  <c:v>131.59165000000004</c:v>
                </c:pt>
                <c:pt idx="11">
                  <c:v>64.399600000000007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1D8-471A-AD82-3B628F3E2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833408"/>
        <c:axId val="234698368"/>
      </c:barChart>
      <c:lineChart>
        <c:grouping val="standard"/>
        <c:varyColors val="0"/>
        <c:ser>
          <c:idx val="0"/>
          <c:order val="0"/>
          <c:tx>
            <c:strRef>
              <c:f>차트!$D$98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차트!$D$99:$D$110</c:f>
              <c:numCache>
                <c:formatCode>#,##0</c:formatCode>
                <c:ptCount val="12"/>
                <c:pt idx="0">
                  <c:v>130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140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8-471A-AD82-3B628F3E2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833408"/>
        <c:axId val="234698368"/>
      </c:lineChart>
      <c:catAx>
        <c:axId val="23483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698368"/>
        <c:crosses val="autoZero"/>
        <c:auto val="1"/>
        <c:lblAlgn val="ctr"/>
        <c:lblOffset val="100"/>
        <c:noMultiLvlLbl val="0"/>
      </c:catAx>
      <c:valAx>
        <c:axId val="23469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8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차트!$CI$4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차트!$CE$5:$CE$14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차트!$CI$5:$CI$14</c:f>
              <c:numCache>
                <c:formatCode>#,##0\ "kW"</c:formatCode>
                <c:ptCount val="10"/>
                <c:pt idx="0">
                  <c:v>57521.939999999995</c:v>
                </c:pt>
                <c:pt idx="1">
                  <c:v>5486.53</c:v>
                </c:pt>
                <c:pt idx="2">
                  <c:v>5923.915</c:v>
                </c:pt>
                <c:pt idx="3">
                  <c:v>0</c:v>
                </c:pt>
                <c:pt idx="4">
                  <c:v>7277.415</c:v>
                </c:pt>
                <c:pt idx="5">
                  <c:v>5781.98</c:v>
                </c:pt>
                <c:pt idx="6">
                  <c:v>0</c:v>
                </c:pt>
                <c:pt idx="7">
                  <c:v>69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C-4A3C-B656-7AD5B4BA3E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834944"/>
        <c:axId val="234921984"/>
        <c:extLst/>
      </c:barChart>
      <c:catAx>
        <c:axId val="23483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21984"/>
        <c:crosses val="autoZero"/>
        <c:auto val="1"/>
        <c:lblAlgn val="ctr"/>
        <c:lblOffset val="100"/>
        <c:noMultiLvlLbl val="0"/>
      </c:catAx>
      <c:valAx>
        <c:axId val="23492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8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차트!$E$98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차트!$E$99:$E$110</c:f>
              <c:numCache>
                <c:formatCode>#,##0</c:formatCode>
                <c:ptCount val="12"/>
                <c:pt idx="0">
                  <c:v>37.028250000000007</c:v>
                </c:pt>
                <c:pt idx="1">
                  <c:v>111.43110000000001</c:v>
                </c:pt>
                <c:pt idx="2">
                  <c:v>34.193750000000009</c:v>
                </c:pt>
                <c:pt idx="3">
                  <c:v>52.032549999999993</c:v>
                </c:pt>
                <c:pt idx="4">
                  <c:v>90.659399999999991</c:v>
                </c:pt>
                <c:pt idx="5">
                  <c:v>100.65520000000001</c:v>
                </c:pt>
                <c:pt idx="6">
                  <c:v>64.998400000000004</c:v>
                </c:pt>
                <c:pt idx="7">
                  <c:v>87.545149999999992</c:v>
                </c:pt>
                <c:pt idx="8">
                  <c:v>102.28740000000001</c:v>
                </c:pt>
                <c:pt idx="9">
                  <c:v>139.7766</c:v>
                </c:pt>
                <c:pt idx="10">
                  <c:v>131.59165000000004</c:v>
                </c:pt>
                <c:pt idx="11">
                  <c:v>64.399600000000007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527-45C8-A788-C4D28247F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5475456"/>
        <c:axId val="234923712"/>
      </c:barChart>
      <c:lineChart>
        <c:grouping val="standard"/>
        <c:varyColors val="0"/>
        <c:ser>
          <c:idx val="0"/>
          <c:order val="0"/>
          <c:tx>
            <c:strRef>
              <c:f>차트!$D$98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차트!$D$99:$D$110</c:f>
              <c:numCache>
                <c:formatCode>#,##0</c:formatCode>
                <c:ptCount val="12"/>
                <c:pt idx="0">
                  <c:v>130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140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27-45C8-A788-C4D28247F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75456"/>
        <c:axId val="234923712"/>
      </c:lineChart>
      <c:catAx>
        <c:axId val="23547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23712"/>
        <c:crosses val="autoZero"/>
        <c:auto val="1"/>
        <c:lblAlgn val="ctr"/>
        <c:lblOffset val="100"/>
        <c:noMultiLvlLbl val="0"/>
      </c:catAx>
      <c:valAx>
        <c:axId val="2349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47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차트!$CR$4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차트!$CN$5:$CN$14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차트!$CR$5:$CR$14</c:f>
              <c:numCache>
                <c:formatCode>#,##0\ "kW"</c:formatCode>
                <c:ptCount val="10"/>
                <c:pt idx="0">
                  <c:v>66519.824999999997</c:v>
                </c:pt>
                <c:pt idx="1">
                  <c:v>6111.8099999999995</c:v>
                </c:pt>
                <c:pt idx="2">
                  <c:v>5923.915</c:v>
                </c:pt>
                <c:pt idx="3">
                  <c:v>0</c:v>
                </c:pt>
                <c:pt idx="4">
                  <c:v>7680.6149999999998</c:v>
                </c:pt>
                <c:pt idx="5">
                  <c:v>8914.7799999999988</c:v>
                </c:pt>
                <c:pt idx="6">
                  <c:v>0</c:v>
                </c:pt>
                <c:pt idx="7">
                  <c:v>69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3-4718-A3F9-D3DA49B163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5478528"/>
        <c:axId val="234926016"/>
        <c:extLst/>
      </c:barChart>
      <c:catAx>
        <c:axId val="23547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26016"/>
        <c:crosses val="autoZero"/>
        <c:auto val="1"/>
        <c:lblAlgn val="ctr"/>
        <c:lblOffset val="100"/>
        <c:noMultiLvlLbl val="0"/>
      </c:catAx>
      <c:valAx>
        <c:axId val="23492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4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차트!$E$98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차트!$E$99:$E$110</c:f>
              <c:numCache>
                <c:formatCode>#,##0</c:formatCode>
                <c:ptCount val="12"/>
                <c:pt idx="0">
                  <c:v>37.028250000000007</c:v>
                </c:pt>
                <c:pt idx="1">
                  <c:v>111.43110000000001</c:v>
                </c:pt>
                <c:pt idx="2">
                  <c:v>34.193750000000009</c:v>
                </c:pt>
                <c:pt idx="3">
                  <c:v>52.032549999999993</c:v>
                </c:pt>
                <c:pt idx="4">
                  <c:v>90.659399999999991</c:v>
                </c:pt>
                <c:pt idx="5">
                  <c:v>100.65520000000001</c:v>
                </c:pt>
                <c:pt idx="6">
                  <c:v>64.998400000000004</c:v>
                </c:pt>
                <c:pt idx="7">
                  <c:v>87.545149999999992</c:v>
                </c:pt>
                <c:pt idx="8">
                  <c:v>102.28740000000001</c:v>
                </c:pt>
                <c:pt idx="9">
                  <c:v>139.7766</c:v>
                </c:pt>
                <c:pt idx="10">
                  <c:v>131.59165000000004</c:v>
                </c:pt>
                <c:pt idx="11">
                  <c:v>64.399600000000007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B7B-4C37-8C83-285E8A111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5553280"/>
        <c:axId val="234927744"/>
      </c:barChart>
      <c:lineChart>
        <c:grouping val="standard"/>
        <c:varyColors val="0"/>
        <c:ser>
          <c:idx val="0"/>
          <c:order val="0"/>
          <c:tx>
            <c:strRef>
              <c:f>차트!$D$98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차트!$D$99:$D$110</c:f>
              <c:numCache>
                <c:formatCode>#,##0</c:formatCode>
                <c:ptCount val="12"/>
                <c:pt idx="0">
                  <c:v>130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140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7B-4C37-8C83-285E8A111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53280"/>
        <c:axId val="234927744"/>
      </c:lineChart>
      <c:catAx>
        <c:axId val="23555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27744"/>
        <c:crosses val="autoZero"/>
        <c:auto val="1"/>
        <c:lblAlgn val="ctr"/>
        <c:lblOffset val="100"/>
        <c:noMultiLvlLbl val="0"/>
      </c:catAx>
      <c:valAx>
        <c:axId val="2349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55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차트!$DA$4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차트!$CW$5:$CW$14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차트!$DA$5:$DA$14</c:f>
              <c:numCache>
                <c:formatCode>#,##0\ "kW"</c:formatCode>
                <c:ptCount val="10"/>
                <c:pt idx="0">
                  <c:v>70731.209999999992</c:v>
                </c:pt>
                <c:pt idx="1">
                  <c:v>6540.61</c:v>
                </c:pt>
                <c:pt idx="2">
                  <c:v>7047.1149999999998</c:v>
                </c:pt>
                <c:pt idx="3">
                  <c:v>0</c:v>
                </c:pt>
                <c:pt idx="4">
                  <c:v>7857.99</c:v>
                </c:pt>
                <c:pt idx="5">
                  <c:v>9413.98</c:v>
                </c:pt>
                <c:pt idx="6">
                  <c:v>0</c:v>
                </c:pt>
                <c:pt idx="7">
                  <c:v>69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0-412C-92D6-E276C391FB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5554816"/>
        <c:axId val="235937792"/>
        <c:extLst/>
      </c:barChart>
      <c:catAx>
        <c:axId val="235554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937792"/>
        <c:crosses val="autoZero"/>
        <c:auto val="1"/>
        <c:lblAlgn val="ctr"/>
        <c:lblOffset val="100"/>
        <c:noMultiLvlLbl val="0"/>
      </c:catAx>
      <c:valAx>
        <c:axId val="23593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55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차트!$E$98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차트!$E$99:$E$110</c:f>
              <c:numCache>
                <c:formatCode>#,##0</c:formatCode>
                <c:ptCount val="12"/>
                <c:pt idx="0">
                  <c:v>37.028250000000007</c:v>
                </c:pt>
                <c:pt idx="1">
                  <c:v>111.43110000000001</c:v>
                </c:pt>
                <c:pt idx="2">
                  <c:v>34.193750000000009</c:v>
                </c:pt>
                <c:pt idx="3">
                  <c:v>52.032549999999993</c:v>
                </c:pt>
                <c:pt idx="4">
                  <c:v>90.659399999999991</c:v>
                </c:pt>
                <c:pt idx="5">
                  <c:v>100.65520000000001</c:v>
                </c:pt>
                <c:pt idx="6">
                  <c:v>64.998400000000004</c:v>
                </c:pt>
                <c:pt idx="7">
                  <c:v>87.545149999999992</c:v>
                </c:pt>
                <c:pt idx="8">
                  <c:v>102.28740000000001</c:v>
                </c:pt>
                <c:pt idx="9">
                  <c:v>139.7766</c:v>
                </c:pt>
                <c:pt idx="10">
                  <c:v>131.59165000000004</c:v>
                </c:pt>
                <c:pt idx="11">
                  <c:v>64.399600000000007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2FC-4481-AC6F-5BD820CAA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5556352"/>
        <c:axId val="235939520"/>
      </c:barChart>
      <c:lineChart>
        <c:grouping val="standard"/>
        <c:varyColors val="0"/>
        <c:ser>
          <c:idx val="0"/>
          <c:order val="0"/>
          <c:tx>
            <c:strRef>
              <c:f>차트!$D$98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차트!$C$99:$C$110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차트!$D$99:$D$110</c:f>
              <c:numCache>
                <c:formatCode>#,##0</c:formatCode>
                <c:ptCount val="12"/>
                <c:pt idx="0">
                  <c:v>130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140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FC-4481-AC6F-5BD820CAA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56352"/>
        <c:axId val="235939520"/>
      </c:lineChart>
      <c:catAx>
        <c:axId val="235556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939520"/>
        <c:crosses val="autoZero"/>
        <c:auto val="1"/>
        <c:lblAlgn val="ctr"/>
        <c:lblOffset val="100"/>
        <c:noMultiLvlLbl val="0"/>
      </c:catAx>
      <c:valAx>
        <c:axId val="23593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5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45840</xdr:colOff>
      <xdr:row>34</xdr:row>
      <xdr:rowOff>44924</xdr:rowOff>
    </xdr:from>
    <xdr:to>
      <xdr:col>7</xdr:col>
      <xdr:colOff>1991591</xdr:colOff>
      <xdr:row>63</xdr:row>
      <xdr:rowOff>51954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4863499-ED97-475B-B113-F8687696D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45840</xdr:colOff>
      <xdr:row>64</xdr:row>
      <xdr:rowOff>27605</xdr:rowOff>
    </xdr:from>
    <xdr:to>
      <xdr:col>7</xdr:col>
      <xdr:colOff>1991591</xdr:colOff>
      <xdr:row>93</xdr:row>
      <xdr:rowOff>34634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449972A-8E66-18DF-5E0C-ECB00AF4E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45840</xdr:colOff>
      <xdr:row>34</xdr:row>
      <xdr:rowOff>44924</xdr:rowOff>
    </xdr:from>
    <xdr:to>
      <xdr:col>16</xdr:col>
      <xdr:colOff>1991591</xdr:colOff>
      <xdr:row>63</xdr:row>
      <xdr:rowOff>51954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7C7F384-3120-4926-A563-52664BA39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45840</xdr:colOff>
      <xdr:row>64</xdr:row>
      <xdr:rowOff>27605</xdr:rowOff>
    </xdr:from>
    <xdr:to>
      <xdr:col>16</xdr:col>
      <xdr:colOff>1991591</xdr:colOff>
      <xdr:row>93</xdr:row>
      <xdr:rowOff>34634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86185E3-F763-4132-A8CF-FE4AE1CEC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45840</xdr:colOff>
      <xdr:row>34</xdr:row>
      <xdr:rowOff>44924</xdr:rowOff>
    </xdr:from>
    <xdr:to>
      <xdr:col>25</xdr:col>
      <xdr:colOff>1991591</xdr:colOff>
      <xdr:row>63</xdr:row>
      <xdr:rowOff>51954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85B2AD3-D761-48BB-B8B7-250E80BFE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63158</xdr:colOff>
      <xdr:row>63</xdr:row>
      <xdr:rowOff>148833</xdr:rowOff>
    </xdr:from>
    <xdr:to>
      <xdr:col>25</xdr:col>
      <xdr:colOff>2008909</xdr:colOff>
      <xdr:row>92</xdr:row>
      <xdr:rowOff>155862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FE7491B-A2C2-4D78-8840-6F39A317D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45840</xdr:colOff>
      <xdr:row>34</xdr:row>
      <xdr:rowOff>44924</xdr:rowOff>
    </xdr:from>
    <xdr:to>
      <xdr:col>34</xdr:col>
      <xdr:colOff>1991591</xdr:colOff>
      <xdr:row>63</xdr:row>
      <xdr:rowOff>51954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DA52111-2E85-41D3-AE95-554A3F6B7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45840</xdr:colOff>
      <xdr:row>64</xdr:row>
      <xdr:rowOff>27605</xdr:rowOff>
    </xdr:from>
    <xdr:to>
      <xdr:col>34</xdr:col>
      <xdr:colOff>1991591</xdr:colOff>
      <xdr:row>93</xdr:row>
      <xdr:rowOff>34634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2A27A0C-E7F9-4DCF-90C0-EA8E6C34F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45840</xdr:colOff>
      <xdr:row>34</xdr:row>
      <xdr:rowOff>44924</xdr:rowOff>
    </xdr:from>
    <xdr:to>
      <xdr:col>43</xdr:col>
      <xdr:colOff>1991591</xdr:colOff>
      <xdr:row>63</xdr:row>
      <xdr:rowOff>51954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10BA6E2-217F-46E9-8118-CFDF7B383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45840</xdr:colOff>
      <xdr:row>64</xdr:row>
      <xdr:rowOff>27605</xdr:rowOff>
    </xdr:from>
    <xdr:to>
      <xdr:col>43</xdr:col>
      <xdr:colOff>1991591</xdr:colOff>
      <xdr:row>93</xdr:row>
      <xdr:rowOff>34634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40E1F28D-EA02-4A5C-8EEB-4083D2840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45840</xdr:colOff>
      <xdr:row>34</xdr:row>
      <xdr:rowOff>44924</xdr:rowOff>
    </xdr:from>
    <xdr:to>
      <xdr:col>52</xdr:col>
      <xdr:colOff>1991591</xdr:colOff>
      <xdr:row>63</xdr:row>
      <xdr:rowOff>51954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93B26DDA-978C-49C3-9325-B013B72B2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46</xdr:col>
      <xdr:colOff>45840</xdr:colOff>
      <xdr:row>64</xdr:row>
      <xdr:rowOff>27605</xdr:rowOff>
    </xdr:from>
    <xdr:to>
      <xdr:col>52</xdr:col>
      <xdr:colOff>1991591</xdr:colOff>
      <xdr:row>93</xdr:row>
      <xdr:rowOff>34634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DF1A9983-BF2C-4AE9-9567-25192DCF6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55</xdr:col>
      <xdr:colOff>45840</xdr:colOff>
      <xdr:row>34</xdr:row>
      <xdr:rowOff>44924</xdr:rowOff>
    </xdr:from>
    <xdr:to>
      <xdr:col>61</xdr:col>
      <xdr:colOff>1991591</xdr:colOff>
      <xdr:row>63</xdr:row>
      <xdr:rowOff>51954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D452C21E-1B6D-449C-88CF-DB54BDFD9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55</xdr:col>
      <xdr:colOff>45840</xdr:colOff>
      <xdr:row>64</xdr:row>
      <xdr:rowOff>27605</xdr:rowOff>
    </xdr:from>
    <xdr:to>
      <xdr:col>61</xdr:col>
      <xdr:colOff>1991591</xdr:colOff>
      <xdr:row>93</xdr:row>
      <xdr:rowOff>34634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77E93517-5498-4C05-A216-D0B201D1C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64</xdr:col>
      <xdr:colOff>45840</xdr:colOff>
      <xdr:row>34</xdr:row>
      <xdr:rowOff>44924</xdr:rowOff>
    </xdr:from>
    <xdr:to>
      <xdr:col>70</xdr:col>
      <xdr:colOff>1991591</xdr:colOff>
      <xdr:row>63</xdr:row>
      <xdr:rowOff>51954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15E9EBB3-E0BA-49D0-ACCA-38BC514EE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64</xdr:col>
      <xdr:colOff>45840</xdr:colOff>
      <xdr:row>64</xdr:row>
      <xdr:rowOff>27605</xdr:rowOff>
    </xdr:from>
    <xdr:to>
      <xdr:col>70</xdr:col>
      <xdr:colOff>1991591</xdr:colOff>
      <xdr:row>93</xdr:row>
      <xdr:rowOff>34634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6A9ADF80-DCB9-4B54-826D-3B2183339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73</xdr:col>
      <xdr:colOff>45840</xdr:colOff>
      <xdr:row>34</xdr:row>
      <xdr:rowOff>44924</xdr:rowOff>
    </xdr:from>
    <xdr:to>
      <xdr:col>79</xdr:col>
      <xdr:colOff>1991591</xdr:colOff>
      <xdr:row>63</xdr:row>
      <xdr:rowOff>51954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1EF7668B-4488-4913-A674-6BB8C62A4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73</xdr:col>
      <xdr:colOff>45840</xdr:colOff>
      <xdr:row>64</xdr:row>
      <xdr:rowOff>27605</xdr:rowOff>
    </xdr:from>
    <xdr:to>
      <xdr:col>79</xdr:col>
      <xdr:colOff>1991591</xdr:colOff>
      <xdr:row>93</xdr:row>
      <xdr:rowOff>34634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372EE310-2E81-4945-9269-6CE563D22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82</xdr:col>
      <xdr:colOff>45840</xdr:colOff>
      <xdr:row>34</xdr:row>
      <xdr:rowOff>44924</xdr:rowOff>
    </xdr:from>
    <xdr:to>
      <xdr:col>88</xdr:col>
      <xdr:colOff>1991591</xdr:colOff>
      <xdr:row>63</xdr:row>
      <xdr:rowOff>51954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EFE0FCD3-3F15-41C5-8170-77EAF599E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82</xdr:col>
      <xdr:colOff>45840</xdr:colOff>
      <xdr:row>64</xdr:row>
      <xdr:rowOff>27605</xdr:rowOff>
    </xdr:from>
    <xdr:to>
      <xdr:col>88</xdr:col>
      <xdr:colOff>1991591</xdr:colOff>
      <xdr:row>93</xdr:row>
      <xdr:rowOff>34634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BD268BDC-2BEE-42AF-93BA-D15AE3188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91</xdr:col>
      <xdr:colOff>45840</xdr:colOff>
      <xdr:row>34</xdr:row>
      <xdr:rowOff>44924</xdr:rowOff>
    </xdr:from>
    <xdr:to>
      <xdr:col>97</xdr:col>
      <xdr:colOff>1991591</xdr:colOff>
      <xdr:row>63</xdr:row>
      <xdr:rowOff>51954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BC6121D-CD38-465E-A656-B94F95EBC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91</xdr:col>
      <xdr:colOff>45840</xdr:colOff>
      <xdr:row>64</xdr:row>
      <xdr:rowOff>27605</xdr:rowOff>
    </xdr:from>
    <xdr:to>
      <xdr:col>97</xdr:col>
      <xdr:colOff>1991591</xdr:colOff>
      <xdr:row>93</xdr:row>
      <xdr:rowOff>34634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57CE55B1-A6C4-4750-975E-B9C49E2E0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100</xdr:col>
      <xdr:colOff>45840</xdr:colOff>
      <xdr:row>34</xdr:row>
      <xdr:rowOff>44924</xdr:rowOff>
    </xdr:from>
    <xdr:to>
      <xdr:col>106</xdr:col>
      <xdr:colOff>1991591</xdr:colOff>
      <xdr:row>63</xdr:row>
      <xdr:rowOff>51954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47F0A64A-C547-442D-8DEF-E5425C151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100</xdr:col>
      <xdr:colOff>45840</xdr:colOff>
      <xdr:row>64</xdr:row>
      <xdr:rowOff>27605</xdr:rowOff>
    </xdr:from>
    <xdr:to>
      <xdr:col>106</xdr:col>
      <xdr:colOff>1991591</xdr:colOff>
      <xdr:row>93</xdr:row>
      <xdr:rowOff>34634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AE67B191-DF74-4001-850D-5DFA3461B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56"/>
  <sheetViews>
    <sheetView tabSelected="1" workbookViewId="0">
      <selection activeCell="I14" sqref="I14"/>
    </sheetView>
  </sheetViews>
  <sheetFormatPr defaultRowHeight="13.5" x14ac:dyDescent="0.25"/>
  <cols>
    <col min="2" max="2" width="14" bestFit="1" customWidth="1"/>
    <col min="3" max="8" width="16.7109375" customWidth="1"/>
    <col min="9" max="9" width="9.28515625" customWidth="1"/>
    <col min="10" max="10" width="14" bestFit="1" customWidth="1"/>
    <col min="11" max="36" width="12.7109375" customWidth="1"/>
  </cols>
  <sheetData>
    <row r="1" spans="2:36" ht="18" thickBot="1" x14ac:dyDescent="0.3">
      <c r="C1" t="s">
        <v>150</v>
      </c>
      <c r="D1" t="s">
        <v>151</v>
      </c>
      <c r="E1" s="10" t="s">
        <v>136</v>
      </c>
      <c r="K1" s="366">
        <v>2025</v>
      </c>
      <c r="L1" s="365" t="s">
        <v>102</v>
      </c>
      <c r="O1" s="10"/>
      <c r="P1" s="10"/>
    </row>
    <row r="2" spans="2:36" ht="17.25" thickBot="1" x14ac:dyDescent="0.3">
      <c r="J2" s="388" t="s">
        <v>2141</v>
      </c>
      <c r="K2" s="395" t="s">
        <v>2159</v>
      </c>
      <c r="L2" s="396"/>
      <c r="M2" s="397">
        <v>1</v>
      </c>
      <c r="N2" s="393"/>
      <c r="O2" s="393">
        <v>2</v>
      </c>
      <c r="P2" s="393"/>
      <c r="Q2" s="393">
        <v>3</v>
      </c>
      <c r="R2" s="393"/>
      <c r="S2" s="393">
        <v>4</v>
      </c>
      <c r="T2" s="393"/>
      <c r="U2" s="393">
        <v>5</v>
      </c>
      <c r="V2" s="393"/>
      <c r="W2" s="393">
        <v>6</v>
      </c>
      <c r="X2" s="393"/>
      <c r="Y2" s="393">
        <v>7</v>
      </c>
      <c r="Z2" s="393"/>
      <c r="AA2" s="393">
        <v>8</v>
      </c>
      <c r="AB2" s="393"/>
      <c r="AC2" s="393">
        <v>9</v>
      </c>
      <c r="AD2" s="393"/>
      <c r="AE2" s="393">
        <v>10</v>
      </c>
      <c r="AF2" s="393"/>
      <c r="AG2" s="393">
        <v>11</v>
      </c>
      <c r="AH2" s="393"/>
      <c r="AI2" s="393">
        <v>12</v>
      </c>
      <c r="AJ2" s="394"/>
    </row>
    <row r="3" spans="2:36" ht="17.25" x14ac:dyDescent="0.25">
      <c r="B3" s="282" t="s">
        <v>1069</v>
      </c>
      <c r="C3" s="283" t="s">
        <v>1064</v>
      </c>
      <c r="D3" s="283" t="s">
        <v>1063</v>
      </c>
      <c r="E3" s="284" t="s">
        <v>1065</v>
      </c>
      <c r="F3" s="284" t="s">
        <v>1066</v>
      </c>
      <c r="G3" s="285" t="s">
        <v>1067</v>
      </c>
      <c r="H3" s="285" t="s">
        <v>1068</v>
      </c>
      <c r="J3" s="389" t="s">
        <v>2143</v>
      </c>
      <c r="K3" s="384">
        <f>IF(
  SUM(
    IFERROR(VALUE(SUBSTITUTE(M3,"kW","")),0),
    IFERROR(VALUE(SUBSTITUTE(O3,"kW","")),0),
    IFERROR(VALUE(SUBSTITUTE(Q3,"kW","")),0),
    IFERROR(VALUE(SUBSTITUTE(S3,"kW","")),0),
    IFERROR(VALUE(SUBSTITUTE(U3,"kW","")),0),
    IFERROR(VALUE(SUBSTITUTE(W3,"kW","")),0),
    IFERROR(VALUE(SUBSTITUTE(Y3,"kW","")),0),
    IFERROR(VALUE(SUBSTITUTE(AA3,"kW","")),0),
    IFERROR(VALUE(SUBSTITUTE(AC3,"kW","")),0),
    IFERROR(VALUE(SUBSTITUTE(AE3,"kW","")),0),
    IFERROR(VALUE(SUBSTITUTE(AG3,"kW","")),0),
    IFERROR(VALUE(SUBSTITUTE(AI3,"kW","")),0)
  )=0,
  "",
  SUM(
    IFERROR(VALUE(SUBSTITUTE(M3,"kW","")),0),
    IFERROR(VALUE(SUBSTITUTE(O3,"kW","")),0),
    IFERROR(VALUE(SUBSTITUTE(Q3,"kW","")),0),
    IFERROR(VALUE(SUBSTITUTE(S3,"kW","")),0),
    IFERROR(VALUE(SUBSTITUTE(U3,"kW","")),0),
    IFERROR(VALUE(SUBSTITUTE(W3,"kW","")),0),
    IFERROR(VALUE(SUBSTITUTE(Y3,"kW","")),0),
    IFERROR(VALUE(SUBSTITUTE(AA3,"kW","")),0),
    IFERROR(VALUE(SUBSTITUTE(AC3,"kW","")),0),
    IFERROR(VALUE(SUBSTITUTE(AE3,"kW","")),0),
    IFERROR(VALUE(SUBSTITUTE(AG3,"kW","")),0),
    IFERROR(VALUE(SUBSTITUTE(AI3,"kW","")),0)
  )
)</f>
        <v>11271.284999999998</v>
      </c>
      <c r="L3" s="385">
        <f>IF(
  SUM(
    IFERROR(VALUE(SUBSTITUTE(N3,"건","")),0),
    IFERROR(VALUE(SUBSTITUTE(P3,"건","")),0),
    IFERROR(VALUE(SUBSTITUTE(R3,"건","")),0),
    IFERROR(VALUE(SUBSTITUTE(T3,"건","")),0),
    IFERROR(VALUE(SUBSTITUTE(V3,"건","")),0),
    IFERROR(VALUE(SUBSTITUTE(X3,"건","")),0),
    IFERROR(VALUE(SUBSTITUTE(Z3,"건","")),0),
    IFERROR(VALUE(SUBSTITUTE(AB3,"건","")),0),
    IFERROR(VALUE(SUBSTITUTE(AD3,"건","")),0),
    IFERROR(VALUE(SUBSTITUTE(AF3,"건","")),0),
    IFERROR(VALUE(SUBSTITUTE(AH3,"건","")),0),
    IFERROR(VALUE(SUBSTITUTE(AJ3,"건","")),0)
  )=0,
  "",
  SUM(
    IFERROR(VALUE(SUBSTITUTE(N3,"건","")),0),
    IFERROR(VALUE(SUBSTITUTE(P3,"건","")),0),
    IFERROR(VALUE(SUBSTITUTE(R3,"건","")),0),
    IFERROR(VALUE(SUBSTITUTE(T3,"건","")),0),
    IFERROR(VALUE(SUBSTITUTE(V3,"건","")),0),
    IFERROR(VALUE(SUBSTITUTE(X3,"건","")),0),
    IFERROR(VALUE(SUBSTITUTE(Z3,"건","")),0),
    IFERROR(VALUE(SUBSTITUTE(AB3,"건","")),0),
    IFERROR(VALUE(SUBSTITUTE(AD3,"건","")),0),
    IFERROR(VALUE(SUBSTITUTE(AF3,"건","")),0),
    IFERROR(VALUE(SUBSTITUTE(AH3,"건","")),0),
    IFERROR(VALUE(SUBSTITUTE(AJ3,"건","")),0)
  )
)</f>
        <v>51</v>
      </c>
      <c r="M3" s="386" t="str">
        <f>IF(
  SUM(
    SUMIFS('발전사업(A)'!$I:$I,'발전사업(A)'!$G:$G,M$2,'발전사업(A)'!$Q:$Q,$J3,'발전사업(A)'!$C:$C,$L$1),
    SUMIFS('자가소비(B)'!$I:$I,'자가소비(B)'!$G:$G,M$2,'자가소비(B)'!$Q:$Q,$J3,'자가소비(B)'!$C:$C,$L$1),
    SUMIFS('PPA 사업(C)'!$I:$I,'PPA 사업(C)'!$G:$G,M$2,'PPA 사업(C)'!$Q:$Q,$J3,'PPA 사업(C)'!$C:$C,$L$1),
    SUMIFS('리스사업(D)'!$I:$I,'리스사업(D)'!$G:$G,M$2,'리스사업(D)'!$Q:$Q,$J3,'리스사업(D)'!$C:$C,$L$1),
    SUMIFS('임대사업(E)'!$I:$I,'임대사업(E)'!$G:$G,M$2,'임대사업(E)'!$Q:$Q,$J3,'임대사업(E)'!$C:$C,$L$1),
    SUMIFS('환경부사업(F)'!$I:$I,'환경부사업(F)'!$G:$G,M$2,'환경부사업(F)'!$Q:$Q,$J3,'환경부사업(F)'!$C:$C,$L$1),
    SUMIFS('프로젝트(G)'!$I:$I,'프로젝트(G)'!$G:$G,M$2,'프로젝트(G)'!$Q:$Q,$J3,'프로젝트(G)'!$C:$C,$L$1),
    SUMIFS('협력사 EPC(H)'!$I:$I,'협력사 EPC(H)'!$G:$G,M$2,'협력사 EPC(H)'!$Q:$Q,$J3,'협력사 EPC(H)'!$C:$C,$L$1),
    SUMIFS('기타(Z)'!$I:$I,'기타(Z)'!$G:$G,M$2,'기타(Z)'!$Q:$Q,$J3,'기타(Z)'!$C:$C,$L$1)
  )=0,
  "",
  SUM(
    SUMIFS('발전사업(A)'!$I:$I,'발전사업(A)'!$G:$G,M$2,'발전사업(A)'!$Q:$Q,$J3,'발전사업(A)'!$C:$C,$L$1),
    SUMIFS('자가소비(B)'!$I:$I,'자가소비(B)'!$G:$G,M$2,'자가소비(B)'!$Q:$Q,$J3,'자가소비(B)'!$C:$C,$L$1),
    SUMIFS('PPA 사업(C)'!$I:$I,'PPA 사업(C)'!$G:$G,M$2,'PPA 사업(C)'!$Q:$Q,$J3,'PPA 사업(C)'!$C:$C,$L$1),
    SUMIFS('리스사업(D)'!$I:$I,'리스사업(D)'!$G:$G,M$2,'리스사업(D)'!$Q:$Q,$J3,'리스사업(D)'!$C:$C,$L$1),
    SUMIFS('임대사업(E)'!$I:$I,'임대사업(E)'!$G:$G,M$2,'임대사업(E)'!$Q:$Q,$J3,'임대사업(E)'!$C:$C,$L$1),
    SUMIFS('환경부사업(F)'!$I:$I,'환경부사업(F)'!$G:$G,M$2,'환경부사업(F)'!$Q:$Q,$J3,'환경부사업(F)'!$C:$C,$L$1),
    SUMIFS('프로젝트(G)'!$I:$I,'프로젝트(G)'!$G:$G,M$2,'프로젝트(G)'!$Q:$Q,$J3,'프로젝트(G)'!$C:$C,$L$1),
    SUMIFS('협력사 EPC(H)'!$I:$I,'협력사 EPC(H)'!$G:$G,M$2,'협력사 EPC(H)'!$Q:$Q,$J3,'협력사 EPC(H)'!$C:$C,$L$1),
    SUMIFS('기타(Z)'!$I:$I,'기타(Z)'!$G:$G,M$2,'기타(Z)'!$Q:$Q,$J3,'기타(Z)'!$C:$C,$L$1)
  )
)</f>
        <v/>
      </c>
      <c r="N3" s="387" t="str">
        <f>IF(
  SUM(
    COUNTIFS('발전사업(A)'!$G:$G, M$2, '발전사업(A)'!$Q:$Q, $J3, '발전사업(A)'!$C:$C, $L$1),
    COUNTIFS('자가소비(B)'!$G:$G, M$2, '자가소비(B)'!$Q:$Q, $J3, '자가소비(B)'!$C:$C, $L$1),
    COUNTIFS('PPA 사업(C)'!$G:$G, M$2, 'PPA 사업(C)'!$Q:$Q, $J3, 'PPA 사업(C)'!$C:$C, $L$1),
    COUNTIFS('리스사업(D)'!$G:$G, M$2, '리스사업(D)'!$Q:$Q, $J3, '리스사업(D)'!$C:$C, $L$1),
    COUNTIFS('임대사업(E)'!$G:$G, M$2, '임대사업(E)'!$Q:$Q, $J3, '임대사업(E)'!$C:$C, $L$1),
    COUNTIFS('환경부사업(F)'!$G:$G, M$2, '환경부사업(F)'!$Q:$Q, $J3, '환경부사업(F)'!$C:$C, $L$1),
    COUNTIFS('프로젝트(G)'!$G:$G, M$2, '프로젝트(G)'!$Q:$Q, $J3, '프로젝트(G)'!$C:$C, $L$1),
    COUNTIFS('협력사 EPC(H)'!$G:$G, M$2, '협력사 EPC(H)'!$Q:$Q, $J3, '협력사 EPC(H)'!$C:$C, $L$1),
    COUNTIFS('기타(Z)'!$G:$G, M$2, '기타(Z)'!$Q:$Q, $J3, '기타(Z)'!$C:$C, $L$1)
  ) = 0,
  "",
  COUNTIFS('발전사업(A)'!$G:$G, M$2, '발전사업(A)'!$Q:$Q, $J3, '발전사업(A)'!$C:$C, $L$1)
  + COUNTIFS('자가소비(B)'!$G:$G, M$2, '자가소비(B)'!$Q:$Q, $J3, '자가소비(B)'!$C:$C, $L$1)
  + COUNTIFS('PPA 사업(C)'!$G:$G, M$2, 'PPA 사업(C)'!$Q:$Q, $J3, 'PPA 사업(C)'!$C:$C, $L$1)
  + COUNTIFS('리스사업(D)'!$G:$G, M$2, '리스사업(D)'!$Q:$Q, $J3, '리스사업(D)'!$C:$C, $L$1)
  + COUNTIFS('임대사업(E)'!$G:$G, M$2, '임대사업(E)'!$Q:$Q, $J3, '임대사업(E)'!$C:$C, $L$1)
  + COUNTIFS('환경부사업(F)'!$G:$G, M$2, '환경부사업(F)'!$Q:$Q, $J3, '환경부사업(F)'!$C:$C, $L$1)
  + COUNTIFS('프로젝트(G)'!$G:$G, M$2, '프로젝트(G)'!$Q:$Q, $J3, '프로젝트(G)'!$C:$C, $L$1)
  + COUNTIFS('협력사 EPC(H)'!$G:$G, M$2, '협력사 EPC(H)'!$Q:$Q, $J3, '협력사 EPC(H)'!$C:$C, $L$1)
  + COUNTIFS('기타(Z)'!$G:$G, M$2, '기타(Z)'!$Q:$Q, $J3, '기타(Z)'!$C:$C, $L$1)
)</f>
        <v/>
      </c>
      <c r="O3" s="386">
        <f>IF(
  SUM(
    SUMIFS('발전사업(A)'!$I:$I,'발전사업(A)'!$G:$G,O$2,'발전사업(A)'!$Q:$Q,$J3,'발전사업(A)'!$C:$C,$L$1),
    SUMIFS('자가소비(B)'!$I:$I,'자가소비(B)'!$G:$G,O$2,'자가소비(B)'!$Q:$Q,$J3,'자가소비(B)'!$C:$C,$L$1),
    SUMIFS('PPA 사업(C)'!$I:$I,'PPA 사업(C)'!$G:$G,O$2,'PPA 사업(C)'!$Q:$Q,$J3,'PPA 사업(C)'!$C:$C,$L$1),
    SUMIFS('리스사업(D)'!$I:$I,'리스사업(D)'!$G:$G,O$2,'리스사업(D)'!$Q:$Q,$J3,'리스사업(D)'!$C:$C,$L$1),
    SUMIFS('임대사업(E)'!$I:$I,'임대사업(E)'!$G:$G,O$2,'임대사업(E)'!$Q:$Q,$J3,'임대사업(E)'!$C:$C,$L$1),
    SUMIFS('환경부사업(F)'!$I:$I,'환경부사업(F)'!$G:$G,O$2,'환경부사업(F)'!$Q:$Q,$J3,'환경부사업(F)'!$C:$C,$L$1),
    SUMIFS('프로젝트(G)'!$I:$I,'프로젝트(G)'!$G:$G,O$2,'프로젝트(G)'!$Q:$Q,$J3,'프로젝트(G)'!$C:$C,$L$1),
    SUMIFS('협력사 EPC(H)'!$I:$I,'협력사 EPC(H)'!$G:$G,O$2,'협력사 EPC(H)'!$Q:$Q,$J3,'협력사 EPC(H)'!$C:$C,$L$1),
    SUMIFS('기타(Z)'!$I:$I,'기타(Z)'!$G:$G,O$2,'기타(Z)'!$Q:$Q,$J3,'기타(Z)'!$C:$C,$L$1)
  )=0,
  "",
  SUM(
    SUMIFS('발전사업(A)'!$I:$I,'발전사업(A)'!$G:$G,O$2,'발전사업(A)'!$Q:$Q,$J3,'발전사업(A)'!$C:$C,$L$1),
    SUMIFS('자가소비(B)'!$I:$I,'자가소비(B)'!$G:$G,O$2,'자가소비(B)'!$Q:$Q,$J3,'자가소비(B)'!$C:$C,$L$1),
    SUMIFS('PPA 사업(C)'!$I:$I,'PPA 사업(C)'!$G:$G,O$2,'PPA 사업(C)'!$Q:$Q,$J3,'PPA 사업(C)'!$C:$C,$L$1),
    SUMIFS('리스사업(D)'!$I:$I,'리스사업(D)'!$G:$G,O$2,'리스사업(D)'!$Q:$Q,$J3,'리스사업(D)'!$C:$C,$L$1),
    SUMIFS('임대사업(E)'!$I:$I,'임대사업(E)'!$G:$G,O$2,'임대사업(E)'!$Q:$Q,$J3,'임대사업(E)'!$C:$C,$L$1),
    SUMIFS('환경부사업(F)'!$I:$I,'환경부사업(F)'!$G:$G,O$2,'환경부사업(F)'!$Q:$Q,$J3,'환경부사업(F)'!$C:$C,$L$1),
    SUMIFS('프로젝트(G)'!$I:$I,'프로젝트(G)'!$G:$G,O$2,'프로젝트(G)'!$Q:$Q,$J3,'프로젝트(G)'!$C:$C,$L$1),
    SUMIFS('협력사 EPC(H)'!$I:$I,'협력사 EPC(H)'!$G:$G,O$2,'협력사 EPC(H)'!$Q:$Q,$J3,'협력사 EPC(H)'!$C:$C,$L$1),
    SUMIFS('기타(Z)'!$I:$I,'기타(Z)'!$G:$G,O$2,'기타(Z)'!$Q:$Q,$J3,'기타(Z)'!$C:$C,$L$1)
  )
)</f>
        <v>458.88</v>
      </c>
      <c r="P3" s="387">
        <f>IF(
  SUM(
    COUNTIFS('발전사업(A)'!$G:$G, O$2, '발전사업(A)'!$Q:$Q, $J3, '발전사업(A)'!$C:$C, $L$1),
    COUNTIFS('자가소비(B)'!$G:$G, O$2, '자가소비(B)'!$Q:$Q, $J3, '자가소비(B)'!$C:$C, $L$1),
    COUNTIFS('PPA 사업(C)'!$G:$G, O$2, 'PPA 사업(C)'!$Q:$Q, $J3, 'PPA 사업(C)'!$C:$C, $L$1),
    COUNTIFS('리스사업(D)'!$G:$G, O$2, '리스사업(D)'!$Q:$Q, $J3, '리스사업(D)'!$C:$C, $L$1),
    COUNTIFS('임대사업(E)'!$G:$G, O$2, '임대사업(E)'!$Q:$Q, $J3, '임대사업(E)'!$C:$C, $L$1),
    COUNTIFS('환경부사업(F)'!$G:$G, O$2, '환경부사업(F)'!$Q:$Q, $J3, '환경부사업(F)'!$C:$C, $L$1),
    COUNTIFS('프로젝트(G)'!$G:$G, O$2, '프로젝트(G)'!$Q:$Q, $J3, '프로젝트(G)'!$C:$C, $L$1),
    COUNTIFS('협력사 EPC(H)'!$G:$G, O$2, '협력사 EPC(H)'!$Q:$Q, $J3, '협력사 EPC(H)'!$C:$C, $L$1),
    COUNTIFS('기타(Z)'!$G:$G, O$2, '기타(Z)'!$Q:$Q, $J3, '기타(Z)'!$C:$C, $L$1)
  ) = 0,
  "",
  COUNTIFS('발전사업(A)'!$G:$G, O$2, '발전사업(A)'!$Q:$Q, $J3, '발전사업(A)'!$C:$C, $L$1)
  + COUNTIFS('자가소비(B)'!$G:$G, O$2, '자가소비(B)'!$Q:$Q, $J3, '자가소비(B)'!$C:$C, $L$1)
  + COUNTIFS('PPA 사업(C)'!$G:$G, O$2, 'PPA 사업(C)'!$Q:$Q, $J3, 'PPA 사업(C)'!$C:$C, $L$1)
  + COUNTIFS('리스사업(D)'!$G:$G, O$2, '리스사업(D)'!$Q:$Q, $J3, '리스사업(D)'!$C:$C, $L$1)
  + COUNTIFS('임대사업(E)'!$G:$G, O$2, '임대사업(E)'!$Q:$Q, $J3, '임대사업(E)'!$C:$C, $L$1)
  + COUNTIFS('환경부사업(F)'!$G:$G, O$2, '환경부사업(F)'!$Q:$Q, $J3, '환경부사업(F)'!$C:$C, $L$1)
  + COUNTIFS('프로젝트(G)'!$G:$G, O$2, '프로젝트(G)'!$Q:$Q, $J3, '프로젝트(G)'!$C:$C, $L$1)
  + COUNTIFS('협력사 EPC(H)'!$G:$G, O$2, '협력사 EPC(H)'!$Q:$Q, $J3, '협력사 EPC(H)'!$C:$C, $L$1)
  + COUNTIFS('기타(Z)'!$G:$G, O$2, '기타(Z)'!$Q:$Q, $J3, '기타(Z)'!$C:$C, $L$1)
)</f>
        <v>4</v>
      </c>
      <c r="Q3" s="386">
        <f>IF(
  SUM(
    SUMIFS('발전사업(A)'!$I:$I,'발전사업(A)'!$G:$G,Q$2,'발전사업(A)'!$Q:$Q,$J3,'발전사업(A)'!$C:$C,$L$1),
    SUMIFS('자가소비(B)'!$I:$I,'자가소비(B)'!$G:$G,Q$2,'자가소비(B)'!$Q:$Q,$J3,'자가소비(B)'!$C:$C,$L$1),
    SUMIFS('PPA 사업(C)'!$I:$I,'PPA 사업(C)'!$G:$G,Q$2,'PPA 사업(C)'!$Q:$Q,$J3,'PPA 사업(C)'!$C:$C,$L$1),
    SUMIFS('리스사업(D)'!$I:$I,'리스사업(D)'!$G:$G,Q$2,'리스사업(D)'!$Q:$Q,$J3,'리스사업(D)'!$C:$C,$L$1),
    SUMIFS('임대사업(E)'!$I:$I,'임대사업(E)'!$G:$G,Q$2,'임대사업(E)'!$Q:$Q,$J3,'임대사업(E)'!$C:$C,$L$1),
    SUMIFS('환경부사업(F)'!$I:$I,'환경부사업(F)'!$G:$G,Q$2,'환경부사업(F)'!$Q:$Q,$J3,'환경부사업(F)'!$C:$C,$L$1),
    SUMIFS('프로젝트(G)'!$I:$I,'프로젝트(G)'!$G:$G,Q$2,'프로젝트(G)'!$Q:$Q,$J3,'프로젝트(G)'!$C:$C,$L$1),
    SUMIFS('협력사 EPC(H)'!$I:$I,'협력사 EPC(H)'!$G:$G,Q$2,'협력사 EPC(H)'!$Q:$Q,$J3,'협력사 EPC(H)'!$C:$C,$L$1),
    SUMIFS('기타(Z)'!$I:$I,'기타(Z)'!$G:$G,Q$2,'기타(Z)'!$Q:$Q,$J3,'기타(Z)'!$C:$C,$L$1)
  )=0,
  "",
  SUM(
    SUMIFS('발전사업(A)'!$I:$I,'발전사업(A)'!$G:$G,Q$2,'발전사업(A)'!$Q:$Q,$J3,'발전사업(A)'!$C:$C,$L$1),
    SUMIFS('자가소비(B)'!$I:$I,'자가소비(B)'!$G:$G,Q$2,'자가소비(B)'!$Q:$Q,$J3,'자가소비(B)'!$C:$C,$L$1),
    SUMIFS('PPA 사업(C)'!$I:$I,'PPA 사업(C)'!$G:$G,Q$2,'PPA 사업(C)'!$Q:$Q,$J3,'PPA 사업(C)'!$C:$C,$L$1),
    SUMIFS('리스사업(D)'!$I:$I,'리스사업(D)'!$G:$G,Q$2,'리스사업(D)'!$Q:$Q,$J3,'리스사업(D)'!$C:$C,$L$1),
    SUMIFS('임대사업(E)'!$I:$I,'임대사업(E)'!$G:$G,Q$2,'임대사업(E)'!$Q:$Q,$J3,'임대사업(E)'!$C:$C,$L$1),
    SUMIFS('환경부사업(F)'!$I:$I,'환경부사업(F)'!$G:$G,Q$2,'환경부사업(F)'!$Q:$Q,$J3,'환경부사업(F)'!$C:$C,$L$1),
    SUMIFS('프로젝트(G)'!$I:$I,'프로젝트(G)'!$G:$G,Q$2,'프로젝트(G)'!$Q:$Q,$J3,'프로젝트(G)'!$C:$C,$L$1),
    SUMIFS('협력사 EPC(H)'!$I:$I,'협력사 EPC(H)'!$G:$G,Q$2,'협력사 EPC(H)'!$Q:$Q,$J3,'협력사 EPC(H)'!$C:$C,$L$1),
    SUMIFS('기타(Z)'!$I:$I,'기타(Z)'!$G:$G,Q$2,'기타(Z)'!$Q:$Q,$J3,'기타(Z)'!$C:$C,$L$1)
  )
)</f>
        <v>288.64</v>
      </c>
      <c r="R3" s="387">
        <f>IF(
  SUM(
    COUNTIFS('발전사업(A)'!$G:$G, Q$2, '발전사업(A)'!$Q:$Q, $J3, '발전사업(A)'!$C:$C, $L$1),
    COUNTIFS('자가소비(B)'!$G:$G, Q$2, '자가소비(B)'!$Q:$Q, $J3, '자가소비(B)'!$C:$C, $L$1),
    COUNTIFS('PPA 사업(C)'!$G:$G, Q$2, 'PPA 사업(C)'!$Q:$Q, $J3, 'PPA 사업(C)'!$C:$C, $L$1),
    COUNTIFS('리스사업(D)'!$G:$G, Q$2, '리스사업(D)'!$Q:$Q, $J3, '리스사업(D)'!$C:$C, $L$1),
    COUNTIFS('임대사업(E)'!$G:$G, Q$2, '임대사업(E)'!$Q:$Q, $J3, '임대사업(E)'!$C:$C, $L$1),
    COUNTIFS('환경부사업(F)'!$G:$G, Q$2, '환경부사업(F)'!$Q:$Q, $J3, '환경부사업(F)'!$C:$C, $L$1),
    COUNTIFS('프로젝트(G)'!$G:$G, Q$2, '프로젝트(G)'!$Q:$Q, $J3, '프로젝트(G)'!$C:$C, $L$1),
    COUNTIFS('협력사 EPC(H)'!$G:$G, Q$2, '협력사 EPC(H)'!$Q:$Q, $J3, '협력사 EPC(H)'!$C:$C, $L$1),
    COUNTIFS('기타(Z)'!$G:$G, Q$2, '기타(Z)'!$Q:$Q, $J3, '기타(Z)'!$C:$C, $L$1)
  ) = 0,
  "",
  COUNTIFS('발전사업(A)'!$G:$G, Q$2, '발전사업(A)'!$Q:$Q, $J3, '발전사업(A)'!$C:$C, $L$1)
  + COUNTIFS('자가소비(B)'!$G:$G, Q$2, '자가소비(B)'!$Q:$Q, $J3, '자가소비(B)'!$C:$C, $L$1)
  + COUNTIFS('PPA 사업(C)'!$G:$G, Q$2, 'PPA 사업(C)'!$Q:$Q, $J3, 'PPA 사업(C)'!$C:$C, $L$1)
  + COUNTIFS('리스사업(D)'!$G:$G, Q$2, '리스사업(D)'!$Q:$Q, $J3, '리스사업(D)'!$C:$C, $L$1)
  + COUNTIFS('임대사업(E)'!$G:$G, Q$2, '임대사업(E)'!$Q:$Q, $J3, '임대사업(E)'!$C:$C, $L$1)
  + COUNTIFS('환경부사업(F)'!$G:$G, Q$2, '환경부사업(F)'!$Q:$Q, $J3, '환경부사업(F)'!$C:$C, $L$1)
  + COUNTIFS('프로젝트(G)'!$G:$G, Q$2, '프로젝트(G)'!$Q:$Q, $J3, '프로젝트(G)'!$C:$C, $L$1)
  + COUNTIFS('협력사 EPC(H)'!$G:$G, Q$2, '협력사 EPC(H)'!$Q:$Q, $J3, '협력사 EPC(H)'!$C:$C, $L$1)
  + COUNTIFS('기타(Z)'!$G:$G, Q$2, '기타(Z)'!$Q:$Q, $J3, '기타(Z)'!$C:$C, $L$1)
)</f>
        <v>1</v>
      </c>
      <c r="S3" s="386">
        <f>IF(
  SUM(
    SUMIFS('발전사업(A)'!$I:$I,'발전사업(A)'!$G:$G,S$2,'발전사업(A)'!$Q:$Q,$J3,'발전사업(A)'!$C:$C,$L$1),
    SUMIFS('자가소비(B)'!$I:$I,'자가소비(B)'!$G:$G,S$2,'자가소비(B)'!$Q:$Q,$J3,'자가소비(B)'!$C:$C,$L$1),
    SUMIFS('PPA 사업(C)'!$I:$I,'PPA 사업(C)'!$G:$G,S$2,'PPA 사업(C)'!$Q:$Q,$J3,'PPA 사업(C)'!$C:$C,$L$1),
    SUMIFS('리스사업(D)'!$I:$I,'리스사업(D)'!$G:$G,S$2,'리스사업(D)'!$Q:$Q,$J3,'리스사업(D)'!$C:$C,$L$1),
    SUMIFS('임대사업(E)'!$I:$I,'임대사업(E)'!$G:$G,S$2,'임대사업(E)'!$Q:$Q,$J3,'임대사업(E)'!$C:$C,$L$1),
    SUMIFS('환경부사업(F)'!$I:$I,'환경부사업(F)'!$G:$G,S$2,'환경부사업(F)'!$Q:$Q,$J3,'환경부사업(F)'!$C:$C,$L$1),
    SUMIFS('프로젝트(G)'!$I:$I,'프로젝트(G)'!$G:$G,S$2,'프로젝트(G)'!$Q:$Q,$J3,'프로젝트(G)'!$C:$C,$L$1),
    SUMIFS('협력사 EPC(H)'!$I:$I,'협력사 EPC(H)'!$G:$G,S$2,'협력사 EPC(H)'!$Q:$Q,$J3,'협력사 EPC(H)'!$C:$C,$L$1),
    SUMIFS('기타(Z)'!$I:$I,'기타(Z)'!$G:$G,S$2,'기타(Z)'!$Q:$Q,$J3,'기타(Z)'!$C:$C,$L$1)
  )=0,
  "",
  SUM(
    SUMIFS('발전사업(A)'!$I:$I,'발전사업(A)'!$G:$G,S$2,'발전사업(A)'!$Q:$Q,$J3,'발전사업(A)'!$C:$C,$L$1),
    SUMIFS('자가소비(B)'!$I:$I,'자가소비(B)'!$G:$G,S$2,'자가소비(B)'!$Q:$Q,$J3,'자가소비(B)'!$C:$C,$L$1),
    SUMIFS('PPA 사업(C)'!$I:$I,'PPA 사업(C)'!$G:$G,S$2,'PPA 사업(C)'!$Q:$Q,$J3,'PPA 사업(C)'!$C:$C,$L$1),
    SUMIFS('리스사업(D)'!$I:$I,'리스사업(D)'!$G:$G,S$2,'리스사업(D)'!$Q:$Q,$J3,'리스사업(D)'!$C:$C,$L$1),
    SUMIFS('임대사업(E)'!$I:$I,'임대사업(E)'!$G:$G,S$2,'임대사업(E)'!$Q:$Q,$J3,'임대사업(E)'!$C:$C,$L$1),
    SUMIFS('환경부사업(F)'!$I:$I,'환경부사업(F)'!$G:$G,S$2,'환경부사업(F)'!$Q:$Q,$J3,'환경부사업(F)'!$C:$C,$L$1),
    SUMIFS('프로젝트(G)'!$I:$I,'프로젝트(G)'!$G:$G,S$2,'프로젝트(G)'!$Q:$Q,$J3,'프로젝트(G)'!$C:$C,$L$1),
    SUMIFS('협력사 EPC(H)'!$I:$I,'협력사 EPC(H)'!$G:$G,S$2,'협력사 EPC(H)'!$Q:$Q,$J3,'협력사 EPC(H)'!$C:$C,$L$1),
    SUMIFS('기타(Z)'!$I:$I,'기타(Z)'!$G:$G,S$2,'기타(Z)'!$Q:$Q,$J3,'기타(Z)'!$C:$C,$L$1)
  )
)</f>
        <v>341.12</v>
      </c>
      <c r="T3" s="387">
        <f>IF(
  SUM(
    COUNTIFS('발전사업(A)'!$G:$G, S$2, '발전사업(A)'!$Q:$Q, $J3, '발전사업(A)'!$C:$C, $L$1),
    COUNTIFS('자가소비(B)'!$G:$G, S$2, '자가소비(B)'!$Q:$Q, $J3, '자가소비(B)'!$C:$C, $L$1),
    COUNTIFS('PPA 사업(C)'!$G:$G, S$2, 'PPA 사업(C)'!$Q:$Q, $J3, 'PPA 사업(C)'!$C:$C, $L$1),
    COUNTIFS('리스사업(D)'!$G:$G, S$2, '리스사업(D)'!$Q:$Q, $J3, '리스사업(D)'!$C:$C, $L$1),
    COUNTIFS('임대사업(E)'!$G:$G, S$2, '임대사업(E)'!$Q:$Q, $J3, '임대사업(E)'!$C:$C, $L$1),
    COUNTIFS('환경부사업(F)'!$G:$G, S$2, '환경부사업(F)'!$Q:$Q, $J3, '환경부사업(F)'!$C:$C, $L$1),
    COUNTIFS('프로젝트(G)'!$G:$G, S$2, '프로젝트(G)'!$Q:$Q, $J3, '프로젝트(G)'!$C:$C, $L$1),
    COUNTIFS('협력사 EPC(H)'!$G:$G, S$2, '협력사 EPC(H)'!$Q:$Q, $J3, '협력사 EPC(H)'!$C:$C, $L$1),
    COUNTIFS('기타(Z)'!$G:$G, S$2, '기타(Z)'!$Q:$Q, $J3, '기타(Z)'!$C:$C, $L$1)
  ) = 0,
  "",
  COUNTIFS('발전사업(A)'!$G:$G, S$2, '발전사업(A)'!$Q:$Q, $J3, '발전사업(A)'!$C:$C, $L$1)
  + COUNTIFS('자가소비(B)'!$G:$G, S$2, '자가소비(B)'!$Q:$Q, $J3, '자가소비(B)'!$C:$C, $L$1)
  + COUNTIFS('PPA 사업(C)'!$G:$G, S$2, 'PPA 사업(C)'!$Q:$Q, $J3, 'PPA 사업(C)'!$C:$C, $L$1)
  + COUNTIFS('리스사업(D)'!$G:$G, S$2, '리스사업(D)'!$Q:$Q, $J3, '리스사업(D)'!$C:$C, $L$1)
  + COUNTIFS('임대사업(E)'!$G:$G, S$2, '임대사업(E)'!$Q:$Q, $J3, '임대사업(E)'!$C:$C, $L$1)
  + COUNTIFS('환경부사업(F)'!$G:$G, S$2, '환경부사업(F)'!$Q:$Q, $J3, '환경부사업(F)'!$C:$C, $L$1)
  + COUNTIFS('프로젝트(G)'!$G:$G, S$2, '프로젝트(G)'!$Q:$Q, $J3, '프로젝트(G)'!$C:$C, $L$1)
  + COUNTIFS('협력사 EPC(H)'!$G:$G, S$2, '협력사 EPC(H)'!$Q:$Q, $J3, '협력사 EPC(H)'!$C:$C, $L$1)
  + COUNTIFS('기타(Z)'!$G:$G, S$2, '기타(Z)'!$Q:$Q, $J3, '기타(Z)'!$C:$C, $L$1)
)</f>
        <v>2</v>
      </c>
      <c r="U3" s="386">
        <f>IF(
  SUM(
    SUMIFS('발전사업(A)'!$I:$I,'발전사업(A)'!$G:$G,U$2,'발전사업(A)'!$Q:$Q,$J3,'발전사업(A)'!$C:$C,$L$1),
    SUMIFS('자가소비(B)'!$I:$I,'자가소비(B)'!$G:$G,U$2,'자가소비(B)'!$Q:$Q,$J3,'자가소비(B)'!$C:$C,$L$1),
    SUMIFS('PPA 사업(C)'!$I:$I,'PPA 사업(C)'!$G:$G,U$2,'PPA 사업(C)'!$Q:$Q,$J3,'PPA 사업(C)'!$C:$C,$L$1),
    SUMIFS('리스사업(D)'!$I:$I,'리스사업(D)'!$G:$G,U$2,'리스사업(D)'!$Q:$Q,$J3,'리스사업(D)'!$C:$C,$L$1),
    SUMIFS('임대사업(E)'!$I:$I,'임대사업(E)'!$G:$G,U$2,'임대사업(E)'!$Q:$Q,$J3,'임대사업(E)'!$C:$C,$L$1),
    SUMIFS('환경부사업(F)'!$I:$I,'환경부사업(F)'!$G:$G,U$2,'환경부사업(F)'!$Q:$Q,$J3,'환경부사업(F)'!$C:$C,$L$1),
    SUMIFS('프로젝트(G)'!$I:$I,'프로젝트(G)'!$G:$G,U$2,'프로젝트(G)'!$Q:$Q,$J3,'프로젝트(G)'!$C:$C,$L$1),
    SUMIFS('협력사 EPC(H)'!$I:$I,'협력사 EPC(H)'!$G:$G,U$2,'협력사 EPC(H)'!$Q:$Q,$J3,'협력사 EPC(H)'!$C:$C,$L$1),
    SUMIFS('기타(Z)'!$I:$I,'기타(Z)'!$G:$G,U$2,'기타(Z)'!$Q:$Q,$J3,'기타(Z)'!$C:$C,$L$1)
  )=0,
  "",
  SUM(
    SUMIFS('발전사업(A)'!$I:$I,'발전사업(A)'!$G:$G,U$2,'발전사업(A)'!$Q:$Q,$J3,'발전사업(A)'!$C:$C,$L$1),
    SUMIFS('자가소비(B)'!$I:$I,'자가소비(B)'!$G:$G,U$2,'자가소비(B)'!$Q:$Q,$J3,'자가소비(B)'!$C:$C,$L$1),
    SUMIFS('PPA 사업(C)'!$I:$I,'PPA 사업(C)'!$G:$G,U$2,'PPA 사업(C)'!$Q:$Q,$J3,'PPA 사업(C)'!$C:$C,$L$1),
    SUMIFS('리스사업(D)'!$I:$I,'리스사업(D)'!$G:$G,U$2,'리스사업(D)'!$Q:$Q,$J3,'리스사업(D)'!$C:$C,$L$1),
    SUMIFS('임대사업(E)'!$I:$I,'임대사업(E)'!$G:$G,U$2,'임대사업(E)'!$Q:$Q,$J3,'임대사업(E)'!$C:$C,$L$1),
    SUMIFS('환경부사업(F)'!$I:$I,'환경부사업(F)'!$G:$G,U$2,'환경부사업(F)'!$Q:$Q,$J3,'환경부사업(F)'!$C:$C,$L$1),
    SUMIFS('프로젝트(G)'!$I:$I,'프로젝트(G)'!$G:$G,U$2,'프로젝트(G)'!$Q:$Q,$J3,'프로젝트(G)'!$C:$C,$L$1),
    SUMIFS('협력사 EPC(H)'!$I:$I,'협력사 EPC(H)'!$G:$G,U$2,'협력사 EPC(H)'!$Q:$Q,$J3,'협력사 EPC(H)'!$C:$C,$L$1),
    SUMIFS('기타(Z)'!$I:$I,'기타(Z)'!$G:$G,U$2,'기타(Z)'!$Q:$Q,$J3,'기타(Z)'!$C:$C,$L$1)
  )
)</f>
        <v>2144</v>
      </c>
      <c r="V3" s="387">
        <f>IF(
  SUM(
    COUNTIFS('발전사업(A)'!$G:$G, U$2, '발전사업(A)'!$Q:$Q, $J3, '발전사업(A)'!$C:$C, $L$1),
    COUNTIFS('자가소비(B)'!$G:$G, U$2, '자가소비(B)'!$Q:$Q, $J3, '자가소비(B)'!$C:$C, $L$1),
    COUNTIFS('PPA 사업(C)'!$G:$G, U$2, 'PPA 사업(C)'!$Q:$Q, $J3, 'PPA 사업(C)'!$C:$C, $L$1),
    COUNTIFS('리스사업(D)'!$G:$G, U$2, '리스사업(D)'!$Q:$Q, $J3, '리스사업(D)'!$C:$C, $L$1),
    COUNTIFS('임대사업(E)'!$G:$G, U$2, '임대사업(E)'!$Q:$Q, $J3, '임대사업(E)'!$C:$C, $L$1),
    COUNTIFS('환경부사업(F)'!$G:$G, U$2, '환경부사업(F)'!$Q:$Q, $J3, '환경부사업(F)'!$C:$C, $L$1),
    COUNTIFS('프로젝트(G)'!$G:$G, U$2, '프로젝트(G)'!$Q:$Q, $J3, '프로젝트(G)'!$C:$C, $L$1),
    COUNTIFS('협력사 EPC(H)'!$G:$G, U$2, '협력사 EPC(H)'!$Q:$Q, $J3, '협력사 EPC(H)'!$C:$C, $L$1),
    COUNTIFS('기타(Z)'!$G:$G, U$2, '기타(Z)'!$Q:$Q, $J3, '기타(Z)'!$C:$C, $L$1)
  ) = 0,
  "",
  COUNTIFS('발전사업(A)'!$G:$G, U$2, '발전사업(A)'!$Q:$Q, $J3, '발전사업(A)'!$C:$C, $L$1)
  + COUNTIFS('자가소비(B)'!$G:$G, U$2, '자가소비(B)'!$Q:$Q, $J3, '자가소비(B)'!$C:$C, $L$1)
  + COUNTIFS('PPA 사업(C)'!$G:$G, U$2, 'PPA 사업(C)'!$Q:$Q, $J3, 'PPA 사업(C)'!$C:$C, $L$1)
  + COUNTIFS('리스사업(D)'!$G:$G, U$2, '리스사업(D)'!$Q:$Q, $J3, '리스사업(D)'!$C:$C, $L$1)
  + COUNTIFS('임대사업(E)'!$G:$G, U$2, '임대사업(E)'!$Q:$Q, $J3, '임대사업(E)'!$C:$C, $L$1)
  + COUNTIFS('환경부사업(F)'!$G:$G, U$2, '환경부사업(F)'!$Q:$Q, $J3, '환경부사업(F)'!$C:$C, $L$1)
  + COUNTIFS('프로젝트(G)'!$G:$G, U$2, '프로젝트(G)'!$Q:$Q, $J3, '프로젝트(G)'!$C:$C, $L$1)
  + COUNTIFS('협력사 EPC(H)'!$G:$G, U$2, '협력사 EPC(H)'!$Q:$Q, $J3, '협력사 EPC(H)'!$C:$C, $L$1)
  + COUNTIFS('기타(Z)'!$G:$G, U$2, '기타(Z)'!$Q:$Q, $J3, '기타(Z)'!$C:$C, $L$1)
)</f>
        <v>7</v>
      </c>
      <c r="W3" s="386">
        <f>IF(
  SUM(
    SUMIFS('발전사업(A)'!$I:$I,'발전사업(A)'!$G:$G,W$2,'발전사업(A)'!$Q:$Q,$J3,'발전사업(A)'!$C:$C,$L$1),
    SUMIFS('자가소비(B)'!$I:$I,'자가소비(B)'!$G:$G,W$2,'자가소비(B)'!$Q:$Q,$J3,'자가소비(B)'!$C:$C,$L$1),
    SUMIFS('PPA 사업(C)'!$I:$I,'PPA 사업(C)'!$G:$G,W$2,'PPA 사업(C)'!$Q:$Q,$J3,'PPA 사업(C)'!$C:$C,$L$1),
    SUMIFS('리스사업(D)'!$I:$I,'리스사업(D)'!$G:$G,W$2,'리스사업(D)'!$Q:$Q,$J3,'리스사업(D)'!$C:$C,$L$1),
    SUMIFS('임대사업(E)'!$I:$I,'임대사업(E)'!$G:$G,W$2,'임대사업(E)'!$Q:$Q,$J3,'임대사업(E)'!$C:$C,$L$1),
    SUMIFS('환경부사업(F)'!$I:$I,'환경부사업(F)'!$G:$G,W$2,'환경부사업(F)'!$Q:$Q,$J3,'환경부사업(F)'!$C:$C,$L$1),
    SUMIFS('프로젝트(G)'!$I:$I,'프로젝트(G)'!$G:$G,W$2,'프로젝트(G)'!$Q:$Q,$J3,'프로젝트(G)'!$C:$C,$L$1),
    SUMIFS('협력사 EPC(H)'!$I:$I,'협력사 EPC(H)'!$G:$G,W$2,'협력사 EPC(H)'!$Q:$Q,$J3,'협력사 EPC(H)'!$C:$C,$L$1),
    SUMIFS('기타(Z)'!$I:$I,'기타(Z)'!$G:$G,W$2,'기타(Z)'!$Q:$Q,$J3,'기타(Z)'!$C:$C,$L$1)
  )=0,
  "",
  SUM(
    SUMIFS('발전사업(A)'!$I:$I,'발전사업(A)'!$G:$G,W$2,'발전사업(A)'!$Q:$Q,$J3,'발전사업(A)'!$C:$C,$L$1),
    SUMIFS('자가소비(B)'!$I:$I,'자가소비(B)'!$G:$G,W$2,'자가소비(B)'!$Q:$Q,$J3,'자가소비(B)'!$C:$C,$L$1),
    SUMIFS('PPA 사업(C)'!$I:$I,'PPA 사업(C)'!$G:$G,W$2,'PPA 사업(C)'!$Q:$Q,$J3,'PPA 사업(C)'!$C:$C,$L$1),
    SUMIFS('리스사업(D)'!$I:$I,'리스사업(D)'!$G:$G,W$2,'리스사업(D)'!$Q:$Q,$J3,'리스사업(D)'!$C:$C,$L$1),
    SUMIFS('임대사업(E)'!$I:$I,'임대사업(E)'!$G:$G,W$2,'임대사업(E)'!$Q:$Q,$J3,'임대사업(E)'!$C:$C,$L$1),
    SUMIFS('환경부사업(F)'!$I:$I,'환경부사업(F)'!$G:$G,W$2,'환경부사업(F)'!$Q:$Q,$J3,'환경부사업(F)'!$C:$C,$L$1),
    SUMIFS('프로젝트(G)'!$I:$I,'프로젝트(G)'!$G:$G,W$2,'프로젝트(G)'!$Q:$Q,$J3,'프로젝트(G)'!$C:$C,$L$1),
    SUMIFS('협력사 EPC(H)'!$I:$I,'협력사 EPC(H)'!$G:$G,W$2,'협력사 EPC(H)'!$Q:$Q,$J3,'협력사 EPC(H)'!$C:$C,$L$1),
    SUMIFS('기타(Z)'!$I:$I,'기타(Z)'!$G:$G,W$2,'기타(Z)'!$Q:$Q,$J3,'기타(Z)'!$C:$C,$L$1)
  )
)</f>
        <v>1667.8400000000001</v>
      </c>
      <c r="X3" s="387">
        <f>IF(
  SUM(
    COUNTIFS('발전사업(A)'!$G:$G,W$2,'발전사업(A)'!$Q:$Q,$J3),
    COUNTIFS('자가소비(B)'!$G:$G,W$2,'자가소비(B)'!$Q:$Q,$J3),
    COUNTIFS('PPA 사업(C)'!$G:$G,W$2,'PPA 사업(C)'!$Q:$Q,$J3),
    COUNTIFS('리스사업(D)'!$G:$G,W$2,'리스사업(D)'!$Q:$Q,$J3),
    COUNTIFS('임대사업(E)'!$G:$G,W$2,'임대사업(E)'!$Q:$Q,$J3),
    COUNTIFS('환경부사업(F)'!$G:$G,W$2,'환경부사업(F)'!$Q:$Q,$J3),
    COUNTIFS('프로젝트(G)'!$G:$G,W$2,'프로젝트(G)'!$Q:$Q,$J3),
    COUNTIFS('협력사 EPC(H)'!$G:$G,W$2,'협력사 EPC(H)'!$Q:$Q,$J3),
    COUNTIFS('기타(Z)'!$G:$G,W$2,'기타(Z)'!$Q:$Q,$J3)
  )=0,
  "",
  COUNTIFS('발전사업(A)'!$G:$G,W$2,'발전사업(A)'!$Q:$Q,$J3)
  +COUNTIFS('자가소비(B)'!$G:$G,W$2,'자가소비(B)'!$Q:$Q,$J3)
  +COUNTIFS('PPA 사업(C)'!$G:$G,W$2,'PPA 사업(C)'!$Q:$Q,$J3)
  +COUNTIFS('리스사업(D)'!$G:$G,W$2,'리스사업(D)'!$Q:$Q,$J3)
  +COUNTIFS('임대사업(E)'!$G:$G,W$2,'임대사업(E)'!$Q:$Q,$J3)
  +COUNTIFS('환경부사업(F)'!$G:$G,W$2,'환경부사업(F)'!$Q:$Q,$J3)
  +COUNTIFS('프로젝트(G)'!$G:$G,W$2,'프로젝트(G)'!$Q:$Q,$J3)
  +COUNTIFS('협력사 EPC(H)'!$G:$G,W$2,'협력사 EPC(H)'!$Q:$Q,$J3)
  +COUNTIFS('기타(Z)'!$G:$G,W$2,'기타(Z)'!$Q:$Q,$J3)
)</f>
        <v>7</v>
      </c>
      <c r="Y3" s="386">
        <f>IF(
  SUM(
    SUMIFS('발전사업(A)'!$I:$I,'발전사업(A)'!$G:$G,Y$2,'발전사업(A)'!$Q:$Q,$J3,'발전사업(A)'!$C:$C,$L$1),
    SUMIFS('자가소비(B)'!$I:$I,'자가소비(B)'!$G:$G,Y$2,'자가소비(B)'!$Q:$Q,$J3,'자가소비(B)'!$C:$C,$L$1),
    SUMIFS('PPA 사업(C)'!$I:$I,'PPA 사업(C)'!$G:$G,Y$2,'PPA 사업(C)'!$Q:$Q,$J3,'PPA 사업(C)'!$C:$C,$L$1),
    SUMIFS('리스사업(D)'!$I:$I,'리스사업(D)'!$G:$G,Y$2,'리스사업(D)'!$Q:$Q,$J3,'리스사업(D)'!$C:$C,$L$1),
    SUMIFS('임대사업(E)'!$I:$I,'임대사업(E)'!$G:$G,Y$2,'임대사업(E)'!$Q:$Q,$J3,'임대사업(E)'!$C:$C,$L$1),
    SUMIFS('환경부사업(F)'!$I:$I,'환경부사업(F)'!$G:$G,Y$2,'환경부사업(F)'!$Q:$Q,$J3,'환경부사업(F)'!$C:$C,$L$1),
    SUMIFS('프로젝트(G)'!$I:$I,'프로젝트(G)'!$G:$G,Y$2,'프로젝트(G)'!$Q:$Q,$J3,'프로젝트(G)'!$C:$C,$L$1),
    SUMIFS('협력사 EPC(H)'!$I:$I,'협력사 EPC(H)'!$G:$G,Y$2,'협력사 EPC(H)'!$Q:$Q,$J3,'협력사 EPC(H)'!$C:$C,$L$1),
    SUMIFS('기타(Z)'!$I:$I,'기타(Z)'!$G:$G,Y$2,'기타(Z)'!$Q:$Q,$J3,'기타(Z)'!$C:$C,$L$1)
  )=0,
  "",
  SUM(
    SUMIFS('발전사업(A)'!$I:$I,'발전사업(A)'!$G:$G,Y$2,'발전사업(A)'!$Q:$Q,$J3,'발전사업(A)'!$C:$C,$L$1),
    SUMIFS('자가소비(B)'!$I:$I,'자가소비(B)'!$G:$G,Y$2,'자가소비(B)'!$Q:$Q,$J3,'자가소비(B)'!$C:$C,$L$1),
    SUMIFS('PPA 사업(C)'!$I:$I,'PPA 사업(C)'!$G:$G,Y$2,'PPA 사업(C)'!$Q:$Q,$J3,'PPA 사업(C)'!$C:$C,$L$1),
    SUMIFS('리스사업(D)'!$I:$I,'리스사업(D)'!$G:$G,Y$2,'리스사업(D)'!$Q:$Q,$J3,'리스사업(D)'!$C:$C,$L$1),
    SUMIFS('임대사업(E)'!$I:$I,'임대사업(E)'!$G:$G,Y$2,'임대사업(E)'!$Q:$Q,$J3,'임대사업(E)'!$C:$C,$L$1),
    SUMIFS('환경부사업(F)'!$I:$I,'환경부사업(F)'!$G:$G,Y$2,'환경부사업(F)'!$Q:$Q,$J3,'환경부사업(F)'!$C:$C,$L$1),
    SUMIFS('프로젝트(G)'!$I:$I,'프로젝트(G)'!$G:$G,Y$2,'프로젝트(G)'!$Q:$Q,$J3,'프로젝트(G)'!$C:$C,$L$1),
    SUMIFS('협력사 EPC(H)'!$I:$I,'협력사 EPC(H)'!$G:$G,Y$2,'협력사 EPC(H)'!$Q:$Q,$J3,'협력사 EPC(H)'!$C:$C,$L$1),
    SUMIFS('기타(Z)'!$I:$I,'기타(Z)'!$G:$G,Y$2,'기타(Z)'!$Q:$Q,$J3,'기타(Z)'!$C:$C,$L$1)
  )
)</f>
        <v>927.36000000000013</v>
      </c>
      <c r="Z3" s="387">
        <f>IF(
  SUM(
    COUNTIFS('발전사업(A)'!$G:$G, Y$2, '발전사업(A)'!$Q:$Q, $J3, '발전사업(A)'!$C:$C, $L$1),
    COUNTIFS('자가소비(B)'!$G:$G, Y$2, '자가소비(B)'!$Q:$Q, $J3, '자가소비(B)'!$C:$C, $L$1),
    COUNTIFS('PPA 사업(C)'!$G:$G, Y$2, 'PPA 사업(C)'!$Q:$Q, $J3, 'PPA 사업(C)'!$C:$C, $L$1),
    COUNTIFS('리스사업(D)'!$G:$G, Y$2, '리스사업(D)'!$Q:$Q, $J3, '리스사업(D)'!$C:$C, $L$1),
    COUNTIFS('임대사업(E)'!$G:$G, Y$2, '임대사업(E)'!$Q:$Q, $J3, '임대사업(E)'!$C:$C, $L$1),
    COUNTIFS('환경부사업(F)'!$G:$G, Y$2, '환경부사업(F)'!$Q:$Q, $J3, '환경부사업(F)'!$C:$C, $L$1),
    COUNTIFS('프로젝트(G)'!$G:$G, Y$2, '프로젝트(G)'!$Q:$Q, $J3, '프로젝트(G)'!$C:$C, $L$1),
    COUNTIFS('협력사 EPC(H)'!$G:$G, Y$2, '협력사 EPC(H)'!$Q:$Q, $J3, '협력사 EPC(H)'!$C:$C, $L$1),
    COUNTIFS('기타(Z)'!$G:$G, Y$2, '기타(Z)'!$Q:$Q, $J3, '기타(Z)'!$C:$C, $L$1)
  ) = 0,
  "",
  COUNTIFS('발전사업(A)'!$G:$G, Y$2, '발전사업(A)'!$Q:$Q, $J3, '발전사업(A)'!$C:$C, $L$1)
  + COUNTIFS('자가소비(B)'!$G:$G, Y$2, '자가소비(B)'!$Q:$Q, $J3, '자가소비(B)'!$C:$C, $L$1)
  + COUNTIFS('PPA 사업(C)'!$G:$G, Y$2, 'PPA 사업(C)'!$Q:$Q, $J3, 'PPA 사업(C)'!$C:$C, $L$1)
  + COUNTIFS('리스사업(D)'!$G:$G, Y$2, '리스사업(D)'!$Q:$Q, $J3, '리스사업(D)'!$C:$C, $L$1)
  + COUNTIFS('임대사업(E)'!$G:$G, Y$2, '임대사업(E)'!$Q:$Q, $J3, '임대사업(E)'!$C:$C, $L$1)
  + COUNTIFS('환경부사업(F)'!$G:$G, Y$2, '환경부사업(F)'!$Q:$Q, $J3, '환경부사업(F)'!$C:$C, $L$1)
  + COUNTIFS('프로젝트(G)'!$G:$G, Y$2, '프로젝트(G)'!$Q:$Q, $J3, '프로젝트(G)'!$C:$C, $L$1)
  + COUNTIFS('협력사 EPC(H)'!$G:$G, Y$2, '협력사 EPC(H)'!$Q:$Q, $J3, '협력사 EPC(H)'!$C:$C, $L$1)
  + COUNTIFS('기타(Z)'!$G:$G, Y$2, '기타(Z)'!$Q:$Q, $J3, '기타(Z)'!$C:$C, $L$1)
)</f>
        <v>3</v>
      </c>
      <c r="AA3" s="386">
        <f>IF(
  SUM(
    SUMIFS('발전사업(A)'!$I:$I,'발전사업(A)'!$G:$G,AA$2,'발전사업(A)'!$Q:$Q,$J3,'발전사업(A)'!$C:$C,$L$1),
    SUMIFS('자가소비(B)'!$I:$I,'자가소비(B)'!$G:$G,AA$2,'자가소비(B)'!$Q:$Q,$J3,'자가소비(B)'!$C:$C,$L$1),
    SUMIFS('PPA 사업(C)'!$I:$I,'PPA 사업(C)'!$G:$G,AA$2,'PPA 사업(C)'!$Q:$Q,$J3,'PPA 사업(C)'!$C:$C,$L$1),
    SUMIFS('리스사업(D)'!$I:$I,'리스사업(D)'!$G:$G,AA$2,'리스사업(D)'!$Q:$Q,$J3,'리스사업(D)'!$C:$C,$L$1),
    SUMIFS('임대사업(E)'!$I:$I,'임대사업(E)'!$G:$G,AA$2,'임대사업(E)'!$Q:$Q,$J3,'임대사업(E)'!$C:$C,$L$1),
    SUMIFS('환경부사업(F)'!$I:$I,'환경부사업(F)'!$G:$G,AA$2,'환경부사업(F)'!$Q:$Q,$J3,'환경부사업(F)'!$C:$C,$L$1),
    SUMIFS('프로젝트(G)'!$I:$I,'프로젝트(G)'!$G:$G,AA$2,'프로젝트(G)'!$Q:$Q,$J3,'프로젝트(G)'!$C:$C,$L$1),
    SUMIFS('협력사 EPC(H)'!$I:$I,'협력사 EPC(H)'!$G:$G,AA$2,'협력사 EPC(H)'!$Q:$Q,$J3,'협력사 EPC(H)'!$C:$C,$L$1),
    SUMIFS('기타(Z)'!$I:$I,'기타(Z)'!$G:$G,AA$2,'기타(Z)'!$Q:$Q,$J3,'기타(Z)'!$C:$C,$L$1)
  )=0,
  "",
  SUM(
    SUMIFS('발전사업(A)'!$I:$I,'발전사업(A)'!$G:$G,AA$2,'발전사업(A)'!$Q:$Q,$J3,'발전사업(A)'!$C:$C,$L$1),
    SUMIFS('자가소비(B)'!$I:$I,'자가소비(B)'!$G:$G,AA$2,'자가소비(B)'!$Q:$Q,$J3,'자가소비(B)'!$C:$C,$L$1),
    SUMIFS('PPA 사업(C)'!$I:$I,'PPA 사업(C)'!$G:$G,AA$2,'PPA 사업(C)'!$Q:$Q,$J3,'PPA 사업(C)'!$C:$C,$L$1),
    SUMIFS('리스사업(D)'!$I:$I,'리스사업(D)'!$G:$G,AA$2,'리스사업(D)'!$Q:$Q,$J3,'리스사업(D)'!$C:$C,$L$1),
    SUMIFS('임대사업(E)'!$I:$I,'임대사업(E)'!$G:$G,AA$2,'임대사업(E)'!$Q:$Q,$J3,'임대사업(E)'!$C:$C,$L$1),
    SUMIFS('환경부사업(F)'!$I:$I,'환경부사업(F)'!$G:$G,AA$2,'환경부사업(F)'!$Q:$Q,$J3,'환경부사업(F)'!$C:$C,$L$1),
    SUMIFS('프로젝트(G)'!$I:$I,'프로젝트(G)'!$G:$G,AA$2,'프로젝트(G)'!$Q:$Q,$J3,'프로젝트(G)'!$C:$C,$L$1),
    SUMIFS('협력사 EPC(H)'!$I:$I,'협력사 EPC(H)'!$G:$G,AA$2,'협력사 EPC(H)'!$Q:$Q,$J3,'협력사 EPC(H)'!$C:$C,$L$1),
    SUMIFS('기타(Z)'!$I:$I,'기타(Z)'!$G:$G,AA$2,'기타(Z)'!$Q:$Q,$J3,'기타(Z)'!$C:$C,$L$1)
  )
)</f>
        <v>377.33499999999998</v>
      </c>
      <c r="AB3" s="387">
        <f>IF(
  SUM(
    COUNTIFS('발전사업(A)'!$G:$G, AA$2, '발전사업(A)'!$Q:$Q, $J3, '발전사업(A)'!$C:$C, $L$1),
    COUNTIFS('자가소비(B)'!$G:$G, AA$2, '자가소비(B)'!$Q:$Q, $J3, '자가소비(B)'!$C:$C, $L$1),
    COUNTIFS('PPA 사업(C)'!$G:$G, AA$2, 'PPA 사업(C)'!$Q:$Q, $J3, 'PPA 사업(C)'!$C:$C, $L$1),
    COUNTIFS('리스사업(D)'!$G:$G, AA$2, '리스사업(D)'!$Q:$Q, $J3, '리스사업(D)'!$C:$C, $L$1),
    COUNTIFS('임대사업(E)'!$G:$G, AA$2, '임대사업(E)'!$Q:$Q, $J3, '임대사업(E)'!$C:$C, $L$1),
    COUNTIFS('환경부사업(F)'!$G:$G, AA$2, '환경부사업(F)'!$Q:$Q, $J3, '환경부사업(F)'!$C:$C, $L$1),
    COUNTIFS('프로젝트(G)'!$G:$G, AA$2, '프로젝트(G)'!$Q:$Q, $J3, '프로젝트(G)'!$C:$C, $L$1),
    COUNTIFS('협력사 EPC(H)'!$G:$G, AA$2, '협력사 EPC(H)'!$Q:$Q, $J3, '협력사 EPC(H)'!$C:$C, $L$1),
    COUNTIFS('기타(Z)'!$G:$G, AA$2, '기타(Z)'!$Q:$Q, $J3, '기타(Z)'!$C:$C, $L$1)
  ) = 0,
  "",
  COUNTIFS('발전사업(A)'!$G:$G, AA$2, '발전사업(A)'!$Q:$Q, $J3, '발전사업(A)'!$C:$C, $L$1)
  + COUNTIFS('자가소비(B)'!$G:$G, AA$2, '자가소비(B)'!$Q:$Q, $J3, '자가소비(B)'!$C:$C, $L$1)
  + COUNTIFS('PPA 사업(C)'!$G:$G, AA$2, 'PPA 사업(C)'!$Q:$Q, $J3, 'PPA 사업(C)'!$C:$C, $L$1)
  + COUNTIFS('리스사업(D)'!$G:$G, AA$2, '리스사업(D)'!$Q:$Q, $J3, '리스사업(D)'!$C:$C, $L$1)
  + COUNTIFS('임대사업(E)'!$G:$G, AA$2, '임대사업(E)'!$Q:$Q, $J3, '임대사업(E)'!$C:$C, $L$1)
  + COUNTIFS('환경부사업(F)'!$G:$G, AA$2, '환경부사업(F)'!$Q:$Q, $J3, '환경부사업(F)'!$C:$C, $L$1)
  + COUNTIFS('프로젝트(G)'!$G:$G, AA$2, '프로젝트(G)'!$Q:$Q, $J3, '프로젝트(G)'!$C:$C, $L$1)
  + COUNTIFS('협력사 EPC(H)'!$G:$G, AA$2, '협력사 EPC(H)'!$Q:$Q, $J3, '협력사 EPC(H)'!$C:$C, $L$1)
  + COUNTIFS('기타(Z)'!$G:$G, AA$2, '기타(Z)'!$Q:$Q, $J3, '기타(Z)'!$C:$C, $L$1)
)</f>
        <v>3</v>
      </c>
      <c r="AC3" s="386">
        <f>IF(
  SUM(
    SUMIFS('발전사업(A)'!$I:$I,'발전사업(A)'!$G:$G,AC$2,'발전사업(A)'!$Q:$Q,$J3,'발전사업(A)'!$C:$C,$L$1),
    SUMIFS('자가소비(B)'!$I:$I,'자가소비(B)'!$G:$G,AC$2,'자가소비(B)'!$Q:$Q,$J3,'자가소비(B)'!$C:$C,$L$1),
    SUMIFS('PPA 사업(C)'!$I:$I,'PPA 사업(C)'!$G:$G,AC$2,'PPA 사업(C)'!$Q:$Q,$J3,'PPA 사업(C)'!$C:$C,$L$1),
    SUMIFS('리스사업(D)'!$I:$I,'리스사업(D)'!$G:$G,AC$2,'리스사업(D)'!$Q:$Q,$J3,'리스사업(D)'!$C:$C,$L$1),
    SUMIFS('임대사업(E)'!$I:$I,'임대사업(E)'!$G:$G,AC$2,'임대사업(E)'!$Q:$Q,$J3,'임대사업(E)'!$C:$C,$L$1),
    SUMIFS('환경부사업(F)'!$I:$I,'환경부사업(F)'!$G:$G,AC$2,'환경부사업(F)'!$Q:$Q,$J3,'환경부사업(F)'!$C:$C,$L$1),
    SUMIFS('프로젝트(G)'!$I:$I,'프로젝트(G)'!$G:$G,AC$2,'프로젝트(G)'!$Q:$Q,$J3,'프로젝트(G)'!$C:$C,$L$1),
    SUMIFS('협력사 EPC(H)'!$I:$I,'협력사 EPC(H)'!$G:$G,AC$2,'협력사 EPC(H)'!$Q:$Q,$J3,'협력사 EPC(H)'!$C:$C,$L$1),
    SUMIFS('기타(Z)'!$I:$I,'기타(Z)'!$G:$G,AC$2,'기타(Z)'!$Q:$Q,$J3,'기타(Z)'!$C:$C,$L$1)
  )=0,
  "",
  SUM(
    SUMIFS('발전사업(A)'!$I:$I,'발전사업(A)'!$G:$G,AC$2,'발전사업(A)'!$Q:$Q,$J3,'발전사업(A)'!$C:$C,$L$1),
    SUMIFS('자가소비(B)'!$I:$I,'자가소비(B)'!$G:$G,AC$2,'자가소비(B)'!$Q:$Q,$J3,'자가소비(B)'!$C:$C,$L$1),
    SUMIFS('PPA 사업(C)'!$I:$I,'PPA 사업(C)'!$G:$G,AC$2,'PPA 사업(C)'!$Q:$Q,$J3,'PPA 사업(C)'!$C:$C,$L$1),
    SUMIFS('리스사업(D)'!$I:$I,'리스사업(D)'!$G:$G,AC$2,'리스사업(D)'!$Q:$Q,$J3,'리스사업(D)'!$C:$C,$L$1),
    SUMIFS('임대사업(E)'!$I:$I,'임대사업(E)'!$G:$G,AC$2,'임대사업(E)'!$Q:$Q,$J3,'임대사업(E)'!$C:$C,$L$1),
    SUMIFS('환경부사업(F)'!$I:$I,'환경부사업(F)'!$G:$G,AC$2,'환경부사업(F)'!$Q:$Q,$J3,'환경부사업(F)'!$C:$C,$L$1),
    SUMIFS('프로젝트(G)'!$I:$I,'프로젝트(G)'!$G:$G,AC$2,'프로젝트(G)'!$Q:$Q,$J3,'프로젝트(G)'!$C:$C,$L$1),
    SUMIFS('협력사 EPC(H)'!$I:$I,'협력사 EPC(H)'!$G:$G,AC$2,'협력사 EPC(H)'!$Q:$Q,$J3,'협력사 EPC(H)'!$C:$C,$L$1),
    SUMIFS('기타(Z)'!$I:$I,'기타(Z)'!$G:$G,AC$2,'기타(Z)'!$Q:$Q,$J3,'기타(Z)'!$C:$C,$L$1)
  )
)</f>
        <v>1178.2400000000002</v>
      </c>
      <c r="AD3" s="387">
        <f>IF(
  SUM(
    COUNTIFS('발전사업(A)'!$G:$G, AC$2, '발전사업(A)'!$Q:$Q, $J3, '발전사업(A)'!$C:$C, $L$1),
    COUNTIFS('자가소비(B)'!$G:$G, AC$2, '자가소비(B)'!$Q:$Q, $J3, '자가소비(B)'!$C:$C, $L$1),
    COUNTIFS('PPA 사업(C)'!$G:$G, AC$2, 'PPA 사업(C)'!$Q:$Q, $J3, 'PPA 사업(C)'!$C:$C, $L$1),
    COUNTIFS('리스사업(D)'!$G:$G, AC$2, '리스사업(D)'!$Q:$Q, $J3, '리스사업(D)'!$C:$C, $L$1),
    COUNTIFS('임대사업(E)'!$G:$G, AC$2, '임대사업(E)'!$Q:$Q, $J3, '임대사업(E)'!$C:$C, $L$1),
    COUNTIFS('환경부사업(F)'!$G:$G, AC$2, '환경부사업(F)'!$Q:$Q, $J3, '환경부사업(F)'!$C:$C, $L$1),
    COUNTIFS('프로젝트(G)'!$G:$G, AC$2, '프로젝트(G)'!$Q:$Q, $J3, '프로젝트(G)'!$C:$C, $L$1),
    COUNTIFS('협력사 EPC(H)'!$G:$G, AC$2, '협력사 EPC(H)'!$Q:$Q, $J3, '협력사 EPC(H)'!$C:$C, $L$1),
    COUNTIFS('기타(Z)'!$G:$G, AC$2, '기타(Z)'!$Q:$Q, $J3, '기타(Z)'!$C:$C, $L$1)
  ) = 0,
  "",
  COUNTIFS('발전사업(A)'!$G:$G, AC$2, '발전사업(A)'!$Q:$Q, $J3, '발전사업(A)'!$C:$C, $L$1)
  + COUNTIFS('자가소비(B)'!$G:$G, AC$2, '자가소비(B)'!$Q:$Q, $J3, '자가소비(B)'!$C:$C, $L$1)
  + COUNTIFS('PPA 사업(C)'!$G:$G, AC$2, 'PPA 사업(C)'!$Q:$Q, $J3, 'PPA 사업(C)'!$C:$C, $L$1)
  + COUNTIFS('리스사업(D)'!$G:$G, AC$2, '리스사업(D)'!$Q:$Q, $J3, '리스사업(D)'!$C:$C, $L$1)
  + COUNTIFS('임대사업(E)'!$G:$G, AC$2, '임대사업(E)'!$Q:$Q, $J3, '임대사업(E)'!$C:$C, $L$1)
  + COUNTIFS('환경부사업(F)'!$G:$G, AC$2, '환경부사업(F)'!$Q:$Q, $J3, '환경부사업(F)'!$C:$C, $L$1)
  + COUNTIFS('프로젝트(G)'!$G:$G, AC$2, '프로젝트(G)'!$Q:$Q, $J3, '프로젝트(G)'!$C:$C, $L$1)
  + COUNTIFS('협력사 EPC(H)'!$G:$G, AC$2, '협력사 EPC(H)'!$Q:$Q, $J3, '협력사 EPC(H)'!$C:$C, $L$1)
  + COUNTIFS('기타(Z)'!$G:$G, AC$2, '기타(Z)'!$Q:$Q, $J3, '기타(Z)'!$C:$C, $L$1)
)</f>
        <v>7</v>
      </c>
      <c r="AE3" s="386">
        <f>IF(
  SUM(
    SUMIFS('발전사업(A)'!$I:$I,'발전사업(A)'!$G:$G,AE$2,'발전사업(A)'!$Q:$Q,$J3,'발전사업(A)'!$C:$C,$L$1),
    SUMIFS('자가소비(B)'!$I:$I,'자가소비(B)'!$G:$G,AE$2,'자가소비(B)'!$Q:$Q,$J3,'자가소비(B)'!$C:$C,$L$1),
    SUMIFS('PPA 사업(C)'!$I:$I,'PPA 사업(C)'!$G:$G,AE$2,'PPA 사업(C)'!$Q:$Q,$J3,'PPA 사업(C)'!$C:$C,$L$1),
    SUMIFS('리스사업(D)'!$I:$I,'리스사업(D)'!$G:$G,AE$2,'리스사업(D)'!$Q:$Q,$J3,'리스사업(D)'!$C:$C,$L$1),
    SUMIFS('임대사업(E)'!$I:$I,'임대사업(E)'!$G:$G,AE$2,'임대사업(E)'!$Q:$Q,$J3,'임대사업(E)'!$C:$C,$L$1),
    SUMIFS('환경부사업(F)'!$I:$I,'환경부사업(F)'!$G:$G,AE$2,'환경부사업(F)'!$Q:$Q,$J3,'환경부사업(F)'!$C:$C,$L$1),
    SUMIFS('프로젝트(G)'!$I:$I,'프로젝트(G)'!$G:$G,AE$2,'프로젝트(G)'!$Q:$Q,$J3,'프로젝트(G)'!$C:$C,$L$1),
    SUMIFS('협력사 EPC(H)'!$I:$I,'협력사 EPC(H)'!$G:$G,AE$2,'협력사 EPC(H)'!$Q:$Q,$J3,'협력사 EPC(H)'!$C:$C,$L$1),
    SUMIFS('기타(Z)'!$I:$I,'기타(Z)'!$G:$G,AE$2,'기타(Z)'!$Q:$Q,$J3,'기타(Z)'!$C:$C,$L$1)
  )=0,
  "",
  SUM(
    SUMIFS('발전사업(A)'!$I:$I,'발전사업(A)'!$G:$G,AE$2,'발전사업(A)'!$Q:$Q,$J3,'발전사업(A)'!$C:$C,$L$1),
    SUMIFS('자가소비(B)'!$I:$I,'자가소비(B)'!$G:$G,AE$2,'자가소비(B)'!$Q:$Q,$J3,'자가소비(B)'!$C:$C,$L$1),
    SUMIFS('PPA 사업(C)'!$I:$I,'PPA 사업(C)'!$G:$G,AE$2,'PPA 사업(C)'!$Q:$Q,$J3,'PPA 사업(C)'!$C:$C,$L$1),
    SUMIFS('리스사업(D)'!$I:$I,'리스사업(D)'!$G:$G,AE$2,'리스사업(D)'!$Q:$Q,$J3,'리스사업(D)'!$C:$C,$L$1),
    SUMIFS('임대사업(E)'!$I:$I,'임대사업(E)'!$G:$G,AE$2,'임대사업(E)'!$Q:$Q,$J3,'임대사업(E)'!$C:$C,$L$1),
    SUMIFS('환경부사업(F)'!$I:$I,'환경부사업(F)'!$G:$G,AE$2,'환경부사업(F)'!$Q:$Q,$J3,'환경부사업(F)'!$C:$C,$L$1),
    SUMIFS('프로젝트(G)'!$I:$I,'프로젝트(G)'!$G:$G,AE$2,'프로젝트(G)'!$Q:$Q,$J3,'프로젝트(G)'!$C:$C,$L$1),
    SUMIFS('협력사 EPC(H)'!$I:$I,'협력사 EPC(H)'!$G:$G,AE$2,'협력사 EPC(H)'!$Q:$Q,$J3,'협력사 EPC(H)'!$C:$C,$L$1),
    SUMIFS('기타(Z)'!$I:$I,'기타(Z)'!$G:$G,AE$2,'기타(Z)'!$Q:$Q,$J3,'기타(Z)'!$C:$C,$L$1)
  )
)</f>
        <v>767.36000000000013</v>
      </c>
      <c r="AF3" s="387">
        <f>IF(
  SUM(
    COUNTIFS('발전사업(A)'!$G:$G, AE$2, '발전사업(A)'!$Q:$Q, $J3, '발전사업(A)'!$C:$C, $L$1),
    COUNTIFS('자가소비(B)'!$G:$G, AE$2, '자가소비(B)'!$Q:$Q, $J3, '자가소비(B)'!$C:$C, $L$1),
    COUNTIFS('PPA 사업(C)'!$G:$G, AE$2, 'PPA 사업(C)'!$Q:$Q, $J3, 'PPA 사업(C)'!$C:$C, $L$1),
    COUNTIFS('리스사업(D)'!$G:$G, AE$2, '리스사업(D)'!$Q:$Q, $J3, '리스사업(D)'!$C:$C, $L$1),
    COUNTIFS('임대사업(E)'!$G:$G, AE$2, '임대사업(E)'!$Q:$Q, $J3, '임대사업(E)'!$C:$C, $L$1),
    COUNTIFS('환경부사업(F)'!$G:$G, AE$2, '환경부사업(F)'!$Q:$Q, $J3, '환경부사업(F)'!$C:$C, $L$1),
    COUNTIFS('프로젝트(G)'!$G:$G, AE$2, '프로젝트(G)'!$Q:$Q, $J3, '프로젝트(G)'!$C:$C, $L$1),
    COUNTIFS('협력사 EPC(H)'!$G:$G, AE$2, '협력사 EPC(H)'!$Q:$Q, $J3, '협력사 EPC(H)'!$C:$C, $L$1),
    COUNTIFS('기타(Z)'!$G:$G, AE$2, '기타(Z)'!$Q:$Q, $J3, '기타(Z)'!$C:$C, $L$1)
  ) = 0,
  "",
  COUNTIFS('발전사업(A)'!$G:$G, AE$2, '발전사업(A)'!$Q:$Q, $J3, '발전사업(A)'!$C:$C, $L$1)
  + COUNTIFS('자가소비(B)'!$G:$G, AE$2, '자가소비(B)'!$Q:$Q, $J3, '자가소비(B)'!$C:$C, $L$1)
  + COUNTIFS('PPA 사업(C)'!$G:$G, AE$2, 'PPA 사업(C)'!$Q:$Q, $J3, 'PPA 사업(C)'!$C:$C, $L$1)
  + COUNTIFS('리스사업(D)'!$G:$G, AE$2, '리스사업(D)'!$Q:$Q, $J3, '리스사업(D)'!$C:$C, $L$1)
  + COUNTIFS('임대사업(E)'!$G:$G, AE$2, '임대사업(E)'!$Q:$Q, $J3, '임대사업(E)'!$C:$C, $L$1)
  + COUNTIFS('환경부사업(F)'!$G:$G, AE$2, '환경부사업(F)'!$Q:$Q, $J3, '환경부사업(F)'!$C:$C, $L$1)
  + COUNTIFS('프로젝트(G)'!$G:$G, AE$2, '프로젝트(G)'!$Q:$Q, $J3, '프로젝트(G)'!$C:$C, $L$1)
  + COUNTIFS('협력사 EPC(H)'!$G:$G, AE$2, '협력사 EPC(H)'!$Q:$Q, $J3, '협력사 EPC(H)'!$C:$C, $L$1)
  + COUNTIFS('기타(Z)'!$G:$G, AE$2, '기타(Z)'!$Q:$Q, $J3, '기타(Z)'!$C:$C, $L$1)
)</f>
        <v>6</v>
      </c>
      <c r="AG3" s="386">
        <f>IF(
  SUM(
    SUMIFS('발전사업(A)'!$I:$I,'발전사업(A)'!$G:$G,AG$2,'발전사업(A)'!$Q:$Q,$J3,'발전사업(A)'!$C:$C,$L$1),
    SUMIFS('자가소비(B)'!$I:$I,'자가소비(B)'!$G:$G,AG$2,'자가소비(B)'!$Q:$Q,$J3,'자가소비(B)'!$C:$C,$L$1),
    SUMIFS('PPA 사업(C)'!$I:$I,'PPA 사업(C)'!$G:$G,AG$2,'PPA 사업(C)'!$Q:$Q,$J3,'PPA 사업(C)'!$C:$C,$L$1),
    SUMIFS('리스사업(D)'!$I:$I,'리스사업(D)'!$G:$G,AG$2,'리스사업(D)'!$Q:$Q,$J3,'리스사업(D)'!$C:$C,$L$1),
    SUMIFS('임대사업(E)'!$I:$I,'임대사업(E)'!$G:$G,AG$2,'임대사업(E)'!$Q:$Q,$J3,'임대사업(E)'!$C:$C,$L$1),
    SUMIFS('환경부사업(F)'!$I:$I,'환경부사업(F)'!$G:$G,AG$2,'환경부사업(F)'!$Q:$Q,$J3,'환경부사업(F)'!$C:$C,$L$1),
    SUMIFS('프로젝트(G)'!$I:$I,'프로젝트(G)'!$G:$G,AG$2,'프로젝트(G)'!$Q:$Q,$J3,'프로젝트(G)'!$C:$C,$L$1),
    SUMIFS('협력사 EPC(H)'!$I:$I,'협력사 EPC(H)'!$G:$G,AG$2,'협력사 EPC(H)'!$Q:$Q,$J3,'협력사 EPC(H)'!$C:$C,$L$1),
    SUMIFS('기타(Z)'!$I:$I,'기타(Z)'!$G:$G,AG$2,'기타(Z)'!$Q:$Q,$J3,'기타(Z)'!$C:$C,$L$1)
  )=0,
  "",
  SUM(
    SUMIFS('발전사업(A)'!$I:$I,'발전사업(A)'!$G:$G,AG$2,'발전사업(A)'!$Q:$Q,$J3,'발전사업(A)'!$C:$C,$L$1),
    SUMIFS('자가소비(B)'!$I:$I,'자가소비(B)'!$G:$G,AG$2,'자가소비(B)'!$Q:$Q,$J3,'자가소비(B)'!$C:$C,$L$1),
    SUMIFS('PPA 사업(C)'!$I:$I,'PPA 사업(C)'!$G:$G,AG$2,'PPA 사업(C)'!$Q:$Q,$J3,'PPA 사업(C)'!$C:$C,$L$1),
    SUMIFS('리스사업(D)'!$I:$I,'리스사업(D)'!$G:$G,AG$2,'리스사업(D)'!$Q:$Q,$J3,'리스사업(D)'!$C:$C,$L$1),
    SUMIFS('임대사업(E)'!$I:$I,'임대사업(E)'!$G:$G,AG$2,'임대사업(E)'!$Q:$Q,$J3,'임대사업(E)'!$C:$C,$L$1),
    SUMIFS('환경부사업(F)'!$I:$I,'환경부사업(F)'!$G:$G,AG$2,'환경부사업(F)'!$Q:$Q,$J3,'환경부사업(F)'!$C:$C,$L$1),
    SUMIFS('프로젝트(G)'!$I:$I,'프로젝트(G)'!$G:$G,AG$2,'프로젝트(G)'!$Q:$Q,$J3,'프로젝트(G)'!$C:$C,$L$1),
    SUMIFS('협력사 EPC(H)'!$I:$I,'협력사 EPC(H)'!$G:$G,AG$2,'협력사 EPC(H)'!$Q:$Q,$J3,'협력사 EPC(H)'!$C:$C,$L$1),
    SUMIFS('기타(Z)'!$I:$I,'기타(Z)'!$G:$G,AG$2,'기타(Z)'!$Q:$Q,$J3,'기타(Z)'!$C:$C,$L$1)
  )
)</f>
        <v>1575.0900000000001</v>
      </c>
      <c r="AH3" s="387">
        <f>IF(
  SUM(
    COUNTIFS('발전사업(A)'!$G:$G, AG$2, '발전사업(A)'!$Q:$Q, $J3, '발전사업(A)'!$C:$C, $L$1),
    COUNTIFS('자가소비(B)'!$G:$G, AG$2, '자가소비(B)'!$Q:$Q, $J3, '자가소비(B)'!$C:$C, $L$1),
    COUNTIFS('PPA 사업(C)'!$G:$G, AG$2, 'PPA 사업(C)'!$Q:$Q, $J3, 'PPA 사업(C)'!$C:$C, $L$1),
    COUNTIFS('리스사업(D)'!$G:$G, AG$2, '리스사업(D)'!$Q:$Q, $J3, '리스사업(D)'!$C:$C, $L$1),
    COUNTIFS('임대사업(E)'!$G:$G, AG$2, '임대사업(E)'!$Q:$Q, $J3, '임대사업(E)'!$C:$C, $L$1),
    COUNTIFS('환경부사업(F)'!$G:$G, AG$2, '환경부사업(F)'!$Q:$Q, $J3, '환경부사업(F)'!$C:$C, $L$1),
    COUNTIFS('프로젝트(G)'!$G:$G, AG$2, '프로젝트(G)'!$Q:$Q, $J3, '프로젝트(G)'!$C:$C, $L$1),
    COUNTIFS('협력사 EPC(H)'!$G:$G, AG$2, '협력사 EPC(H)'!$Q:$Q, $J3, '협력사 EPC(H)'!$C:$C, $L$1),
    COUNTIFS('기타(Z)'!$G:$G, AG$2, '기타(Z)'!$Q:$Q, $J3, '기타(Z)'!$C:$C, $L$1)
  ) = 0,
  "",
  COUNTIFS('발전사업(A)'!$G:$G, AG$2, '발전사업(A)'!$Q:$Q, $J3, '발전사업(A)'!$C:$C, $L$1)
  + COUNTIFS('자가소비(B)'!$G:$G, AG$2, '자가소비(B)'!$Q:$Q, $J3, '자가소비(B)'!$C:$C, $L$1)
  + COUNTIFS('PPA 사업(C)'!$G:$G, AG$2, 'PPA 사업(C)'!$Q:$Q, $J3, 'PPA 사업(C)'!$C:$C, $L$1)
  + COUNTIFS('리스사업(D)'!$G:$G, AG$2, '리스사업(D)'!$Q:$Q, $J3, '리스사업(D)'!$C:$C, $L$1)
  + COUNTIFS('임대사업(E)'!$G:$G, AG$2, '임대사업(E)'!$Q:$Q, $J3, '임대사업(E)'!$C:$C, $L$1)
  + COUNTIFS('환경부사업(F)'!$G:$G, AG$2, '환경부사업(F)'!$Q:$Q, $J3, '환경부사업(F)'!$C:$C, $L$1)
  + COUNTIFS('프로젝트(G)'!$G:$G, AG$2, '프로젝트(G)'!$Q:$Q, $J3, '프로젝트(G)'!$C:$C, $L$1)
  + COUNTIFS('협력사 EPC(H)'!$G:$G, AG$2, '협력사 EPC(H)'!$Q:$Q, $J3, '협력사 EPC(H)'!$C:$C, $L$1)
  + COUNTIFS('기타(Z)'!$G:$G, AG$2, '기타(Z)'!$Q:$Q, $J3, '기타(Z)'!$C:$C, $L$1)
)</f>
        <v>6</v>
      </c>
      <c r="AI3" s="386">
        <f>IF(
  SUM(
    SUMIFS('발전사업(A)'!$I:$I,'발전사업(A)'!$G:$G,AI$2,'발전사업(A)'!$Q:$Q,$J3,'발전사업(A)'!$C:$C,$L$1),
    SUMIFS('자가소비(B)'!$I:$I,'자가소비(B)'!$G:$G,AI$2,'자가소비(B)'!$Q:$Q,$J3,'자가소비(B)'!$C:$C,$L$1),
    SUMIFS('PPA 사업(C)'!$I:$I,'PPA 사업(C)'!$G:$G,AI$2,'PPA 사업(C)'!$Q:$Q,$J3,'PPA 사업(C)'!$C:$C,$L$1),
    SUMIFS('리스사업(D)'!$I:$I,'리스사업(D)'!$G:$G,AI$2,'리스사업(D)'!$Q:$Q,$J3,'리스사업(D)'!$C:$C,$L$1),
    SUMIFS('임대사업(E)'!$I:$I,'임대사업(E)'!$G:$G,AI$2,'임대사업(E)'!$Q:$Q,$J3,'임대사업(E)'!$C:$C,$L$1),
    SUMIFS('환경부사업(F)'!$I:$I,'환경부사업(F)'!$G:$G,AI$2,'환경부사업(F)'!$Q:$Q,$J3,'환경부사업(F)'!$C:$C,$L$1),
    SUMIFS('프로젝트(G)'!$I:$I,'프로젝트(G)'!$G:$G,AI$2,'프로젝트(G)'!$Q:$Q,$J3,'프로젝트(G)'!$C:$C,$L$1),
    SUMIFS('협력사 EPC(H)'!$I:$I,'협력사 EPC(H)'!$G:$G,AI$2,'협력사 EPC(H)'!$Q:$Q,$J3,'협력사 EPC(H)'!$C:$C,$L$1),
    SUMIFS('기타(Z)'!$I:$I,'기타(Z)'!$G:$G,AI$2,'기타(Z)'!$Q:$Q,$J3,'기타(Z)'!$C:$C,$L$1)
  )=0,
  "",
  SUM(
    SUMIFS('발전사업(A)'!$I:$I,'발전사업(A)'!$G:$G,AI$2,'발전사업(A)'!$Q:$Q,$J3,'발전사업(A)'!$C:$C,$L$1),
    SUMIFS('자가소비(B)'!$I:$I,'자가소비(B)'!$G:$G,AI$2,'자가소비(B)'!$Q:$Q,$J3,'자가소비(B)'!$C:$C,$L$1),
    SUMIFS('PPA 사업(C)'!$I:$I,'PPA 사업(C)'!$G:$G,AI$2,'PPA 사업(C)'!$Q:$Q,$J3,'PPA 사업(C)'!$C:$C,$L$1),
    SUMIFS('리스사업(D)'!$I:$I,'리스사업(D)'!$G:$G,AI$2,'리스사업(D)'!$Q:$Q,$J3,'리스사업(D)'!$C:$C,$L$1),
    SUMIFS('임대사업(E)'!$I:$I,'임대사업(E)'!$G:$G,AI$2,'임대사업(E)'!$Q:$Q,$J3,'임대사업(E)'!$C:$C,$L$1),
    SUMIFS('환경부사업(F)'!$I:$I,'환경부사업(F)'!$G:$G,AI$2,'환경부사업(F)'!$Q:$Q,$J3,'환경부사업(F)'!$C:$C,$L$1),
    SUMIFS('프로젝트(G)'!$I:$I,'프로젝트(G)'!$G:$G,AI$2,'프로젝트(G)'!$Q:$Q,$J3,'프로젝트(G)'!$C:$C,$L$1),
    SUMIFS('협력사 EPC(H)'!$I:$I,'협력사 EPC(H)'!$G:$G,AI$2,'협력사 EPC(H)'!$Q:$Q,$J3,'협력사 EPC(H)'!$C:$C,$L$1),
    SUMIFS('기타(Z)'!$I:$I,'기타(Z)'!$G:$G,AI$2,'기타(Z)'!$Q:$Q,$J3,'기타(Z)'!$C:$C,$L$1)
  )
)</f>
        <v>1545.42</v>
      </c>
      <c r="AJ3" s="385">
        <f>IF(
  SUM(
    COUNTIFS('발전사업(A)'!$G:$G, AI$2, '발전사업(A)'!$Q:$Q, $J3, '발전사업(A)'!$C:$C, $L$1),
    COUNTIFS('자가소비(B)'!$G:$G, AI$2, '자가소비(B)'!$Q:$Q, $J3, '자가소비(B)'!$C:$C, $L$1),
    COUNTIFS('PPA 사업(C)'!$G:$G, AI$2, 'PPA 사업(C)'!$Q:$Q, $J3, 'PPA 사업(C)'!$C:$C, $L$1),
    COUNTIFS('리스사업(D)'!$G:$G, AI$2, '리스사업(D)'!$Q:$Q, $J3, '리스사업(D)'!$C:$C, $L$1),
    COUNTIFS('임대사업(E)'!$G:$G, AI$2, '임대사업(E)'!$Q:$Q, $J3, '임대사업(E)'!$C:$C, $L$1),
    COUNTIFS('환경부사업(F)'!$G:$G, AI$2, '환경부사업(F)'!$Q:$Q, $J3, '환경부사업(F)'!$C:$C, $L$1),
    COUNTIFS('프로젝트(G)'!$G:$G, AI$2, '프로젝트(G)'!$Q:$Q, $J3, '프로젝트(G)'!$C:$C, $L$1),
    COUNTIFS('협력사 EPC(H)'!$G:$G, AI$2, '협력사 EPC(H)'!$Q:$Q, $J3, '협력사 EPC(H)'!$C:$C, $L$1),
    COUNTIFS('기타(Z)'!$G:$G, AI$2, '기타(Z)'!$Q:$Q, $J3, '기타(Z)'!$C:$C, $L$1)
  ) = 0,
  "",
  COUNTIFS('발전사업(A)'!$G:$G, AI$2, '발전사업(A)'!$Q:$Q, $J3, '발전사업(A)'!$C:$C, $L$1)
  + COUNTIFS('자가소비(B)'!$G:$G, AI$2, '자가소비(B)'!$Q:$Q, $J3, '자가소비(B)'!$C:$C, $L$1)
  + COUNTIFS('PPA 사업(C)'!$G:$G, AI$2, 'PPA 사업(C)'!$Q:$Q, $J3, 'PPA 사업(C)'!$C:$C, $L$1)
  + COUNTIFS('리스사업(D)'!$G:$G, AI$2, '리스사업(D)'!$Q:$Q, $J3, '리스사업(D)'!$C:$C, $L$1)
  + COUNTIFS('임대사업(E)'!$G:$G, AI$2, '임대사업(E)'!$Q:$Q, $J3, '임대사업(E)'!$C:$C, $L$1)
  + COUNTIFS('환경부사업(F)'!$G:$G, AI$2, '환경부사업(F)'!$Q:$Q, $J3, '환경부사업(F)'!$C:$C, $L$1)
  + COUNTIFS('프로젝트(G)'!$G:$G, AI$2, '프로젝트(G)'!$Q:$Q, $J3, '프로젝트(G)'!$C:$C, $L$1)
  + COUNTIFS('협력사 EPC(H)'!$G:$G, AI$2, '협력사 EPC(H)'!$Q:$Q, $J3, '협력사 EPC(H)'!$C:$C, $L$1)
  + COUNTIFS('기타(Z)'!$G:$G, AI$2, '기타(Z)'!$Q:$Q, $J3, '기타(Z)'!$C:$C, $L$1)
)</f>
        <v>5</v>
      </c>
    </row>
    <row r="4" spans="2:36" ht="16.5" x14ac:dyDescent="0.25">
      <c r="B4" s="202" t="s">
        <v>270</v>
      </c>
      <c r="C4" s="280">
        <f>IF(COUNTA(C16,C28,C40,C52,C64,C76,C88,C100,C112,C124,C136,C148)=0,"",
IF(SUM(N(C16),N(C28),N(C40),N(C52),N(C64),N(C76),N(C88),N(C100),N(C112),N(C124),N(C136),N(C148))=0,"",
SUM(N(C16),N(C28),N(C40),N(C52),N(C64),N(C76),N(C88),N(C100),N(C112),N(C124),N(C136),N(C148))
))</f>
        <v>20845.615000000002</v>
      </c>
      <c r="D4" s="281">
        <f>IF(COUNTA(D16,D28,D40,D52,D64,D76,D88,D100,D112,D124,D136,D148)=0,"",
IF(SUM(N(D16),N(D28),N(D40),N(D52),N(D64),N(D76),N(D88),N(D100),N(D112),N(D124),N(D136),N(D148))=0,"",
SUM(N(D16),N(D28),N(D40),N(D52),N(D64),N(D76),N(D88),N(D100),N(D112),N(D124),N(D136),N(D148))
))</f>
        <v>56</v>
      </c>
      <c r="E4" s="280">
        <f>IF(COUNTA(E16,E28,E40,E52,E64,E76,E88,E100,E112,E124,E136,E148)=0,"",
IF(SUM(N(E16),N(E28),N(E40),N(E52),N(E64),N(E76),N(E88),N(E100),N(E112),N(E124),N(E136),N(E148))=0,"",
SUM(N(E16),N(E28),N(E40),N(E52),N(E64),N(E76),N(E88),N(E100),N(E112),N(E124),N(E136),N(E148))
))</f>
        <v>11116.374999999998</v>
      </c>
      <c r="F4" s="281">
        <f>IF(COUNTA(F16,F28,F40,F52,F64,F76,F88,F100,F112,F124,F136,F148)=0,"",
IF(SUM(N(F16),N(F28),N(F40),N(F52),N(F64),N(F76),N(F88),N(F100),N(F112),N(F124),N(F136),N(F148))=0,"",
SUM(N(F16),N(F28),N(F40),N(F52),N(F64),N(F76),N(F88),N(F100),N(F112),N(F124),N(F136),N(F148))
))</f>
        <v>29</v>
      </c>
      <c r="G4" s="280">
        <f>IF(COUNTA(G16,G28,G40,G52,G64,G76,G88,G100,G112,G124,G136,G148)=0,"",
IF(SUM(N(G16),N(G28),N(G40),N(G52),N(G64),N(G76),N(G88),N(G100),N(G112),N(G124),N(G136),N(G148))=0,"",
SUM(N(G16),N(G28),N(G40),N(G52),N(G64),N(G76),N(G88),N(G100),N(G112),N(G124),N(G136),N(G148))
))</f>
        <v>9729.2400000000016</v>
      </c>
      <c r="H4" s="281">
        <f>IF(COUNTA(H16,H28,H40,H52,H64,H76,H88,H100,H112,H124,H136,H148)=0,"",
IF(SUM(N(H16),N(H28),N(H40),N(H52),N(H64),N(H76),N(H88),N(H100),N(H112),N(H124),N(H136),N(H148))=0,"",
SUM(N(H16),N(H28),N(H40),N(H52),N(H64),N(H76),N(H88),N(H100),N(H112),N(H124),N(H136),N(H148))
))</f>
        <v>27</v>
      </c>
      <c r="J4" s="390" t="s">
        <v>2144</v>
      </c>
      <c r="K4" s="374" t="str">
        <f t="shared" ref="K4:K10" si="0">IF(
  SUM(
    IFERROR(VALUE(SUBSTITUTE(M4,"kW","")),0),
    IFERROR(VALUE(SUBSTITUTE(O4,"kW","")),0),
    IFERROR(VALUE(SUBSTITUTE(Q4,"kW","")),0),
    IFERROR(VALUE(SUBSTITUTE(S4,"kW","")),0),
    IFERROR(VALUE(SUBSTITUTE(U4,"kW","")),0),
    IFERROR(VALUE(SUBSTITUTE(W4,"kW","")),0),
    IFERROR(VALUE(SUBSTITUTE(Y4,"kW","")),0),
    IFERROR(VALUE(SUBSTITUTE(AA4,"kW","")),0),
    IFERROR(VALUE(SUBSTITUTE(AC4,"kW","")),0),
    IFERROR(VALUE(SUBSTITUTE(AE4,"kW","")),0),
    IFERROR(VALUE(SUBSTITUTE(AG4,"kW","")),0),
    IFERROR(VALUE(SUBSTITUTE(AI4,"kW","")),0)
  )=0,
  "",
  SUM(
    IFERROR(VALUE(SUBSTITUTE(M4,"kW","")),0),
    IFERROR(VALUE(SUBSTITUTE(O4,"kW","")),0),
    IFERROR(VALUE(SUBSTITUTE(Q4,"kW","")),0),
    IFERROR(VALUE(SUBSTITUTE(S4,"kW","")),0),
    IFERROR(VALUE(SUBSTITUTE(U4,"kW","")),0),
    IFERROR(VALUE(SUBSTITUTE(W4,"kW","")),0),
    IFERROR(VALUE(SUBSTITUTE(Y4,"kW","")),0),
    IFERROR(VALUE(SUBSTITUTE(AA4,"kW","")),0),
    IFERROR(VALUE(SUBSTITUTE(AC4,"kW","")),0),
    IFERROR(VALUE(SUBSTITUTE(AE4,"kW","")),0),
    IFERROR(VALUE(SUBSTITUTE(AG4,"kW","")),0),
    IFERROR(VALUE(SUBSTITUTE(AI4,"kW","")),0)
  )
)</f>
        <v/>
      </c>
      <c r="L4" s="368" t="str">
        <f t="shared" ref="L4:L10" si="1">IF(
  SUM(
    IFERROR(VALUE(SUBSTITUTE(N4,"건","")),0),
    IFERROR(VALUE(SUBSTITUTE(P4,"건","")),0),
    IFERROR(VALUE(SUBSTITUTE(R4,"건","")),0),
    IFERROR(VALUE(SUBSTITUTE(T4,"건","")),0),
    IFERROR(VALUE(SUBSTITUTE(V4,"건","")),0),
    IFERROR(VALUE(SUBSTITUTE(X4,"건","")),0),
    IFERROR(VALUE(SUBSTITUTE(Z4,"건","")),0),
    IFERROR(VALUE(SUBSTITUTE(AB4,"건","")),0),
    IFERROR(VALUE(SUBSTITUTE(AD4,"건","")),0),
    IFERROR(VALUE(SUBSTITUTE(AF4,"건","")),0),
    IFERROR(VALUE(SUBSTITUTE(AH4,"건","")),0),
    IFERROR(VALUE(SUBSTITUTE(AJ4,"건","")),0)
  )=0,
  "",
  SUM(
    IFERROR(VALUE(SUBSTITUTE(N4,"건","")),0),
    IFERROR(VALUE(SUBSTITUTE(P4,"건","")),0),
    IFERROR(VALUE(SUBSTITUTE(R4,"건","")),0),
    IFERROR(VALUE(SUBSTITUTE(T4,"건","")),0),
    IFERROR(VALUE(SUBSTITUTE(V4,"건","")),0),
    IFERROR(VALUE(SUBSTITUTE(X4,"건","")),0),
    IFERROR(VALUE(SUBSTITUTE(Z4,"건","")),0),
    IFERROR(VALUE(SUBSTITUTE(AB4,"건","")),0),
    IFERROR(VALUE(SUBSTITUTE(AD4,"건","")),0),
    IFERROR(VALUE(SUBSTITUTE(AF4,"건","")),0),
    IFERROR(VALUE(SUBSTITUTE(AH4,"건","")),0),
    IFERROR(VALUE(SUBSTITUTE(AJ4,"건","")),0)
  )
)</f>
        <v/>
      </c>
      <c r="M4" s="386" t="str">
        <f>IF(
  SUM(
    SUMIFS('발전사업(A)'!$I:$I,'발전사업(A)'!$G:$G,M$2,'발전사업(A)'!$Q:$Q,$J4,'발전사업(A)'!$C:$C,$L$1),
    SUMIFS('자가소비(B)'!$I:$I,'자가소비(B)'!$G:$G,M$2,'자가소비(B)'!$Q:$Q,$J4,'자가소비(B)'!$C:$C,$L$1),
    SUMIFS('PPA 사업(C)'!$I:$I,'PPA 사업(C)'!$G:$G,M$2,'PPA 사업(C)'!$Q:$Q,$J4,'PPA 사업(C)'!$C:$C,$L$1),
    SUMIFS('리스사업(D)'!$I:$I,'리스사업(D)'!$G:$G,M$2,'리스사업(D)'!$Q:$Q,$J4,'리스사업(D)'!$C:$C,$L$1),
    SUMIFS('임대사업(E)'!$I:$I,'임대사업(E)'!$G:$G,M$2,'임대사업(E)'!$Q:$Q,$J4,'임대사업(E)'!$C:$C,$L$1),
    SUMIFS('환경부사업(F)'!$I:$I,'환경부사업(F)'!$G:$G,M$2,'환경부사업(F)'!$Q:$Q,$J4,'환경부사업(F)'!$C:$C,$L$1),
    SUMIFS('프로젝트(G)'!$I:$I,'프로젝트(G)'!$G:$G,M$2,'프로젝트(G)'!$Q:$Q,$J4,'프로젝트(G)'!$C:$C,$L$1),
    SUMIFS('협력사 EPC(H)'!$I:$I,'협력사 EPC(H)'!$G:$G,M$2,'협력사 EPC(H)'!$Q:$Q,$J4,'협력사 EPC(H)'!$C:$C,$L$1),
    SUMIFS('기타(Z)'!$I:$I,'기타(Z)'!$G:$G,M$2,'기타(Z)'!$Q:$Q,$J4,'기타(Z)'!$C:$C,$L$1)
  )=0,
  "",
  SUM(
    SUMIFS('발전사업(A)'!$I:$I,'발전사업(A)'!$G:$G,M$2,'발전사업(A)'!$Q:$Q,$J4,'발전사업(A)'!$C:$C,$L$1),
    SUMIFS('자가소비(B)'!$I:$I,'자가소비(B)'!$G:$G,M$2,'자가소비(B)'!$Q:$Q,$J4,'자가소비(B)'!$C:$C,$L$1),
    SUMIFS('PPA 사업(C)'!$I:$I,'PPA 사업(C)'!$G:$G,M$2,'PPA 사업(C)'!$Q:$Q,$J4,'PPA 사업(C)'!$C:$C,$L$1),
    SUMIFS('리스사업(D)'!$I:$I,'리스사업(D)'!$G:$G,M$2,'리스사업(D)'!$Q:$Q,$J4,'리스사업(D)'!$C:$C,$L$1),
    SUMIFS('임대사업(E)'!$I:$I,'임대사업(E)'!$G:$G,M$2,'임대사업(E)'!$Q:$Q,$J4,'임대사업(E)'!$C:$C,$L$1),
    SUMIFS('환경부사업(F)'!$I:$I,'환경부사업(F)'!$G:$G,M$2,'환경부사업(F)'!$Q:$Q,$J4,'환경부사업(F)'!$C:$C,$L$1),
    SUMIFS('프로젝트(G)'!$I:$I,'프로젝트(G)'!$G:$G,M$2,'프로젝트(G)'!$Q:$Q,$J4,'프로젝트(G)'!$C:$C,$L$1),
    SUMIFS('협력사 EPC(H)'!$I:$I,'협력사 EPC(H)'!$G:$G,M$2,'협력사 EPC(H)'!$Q:$Q,$J4,'협력사 EPC(H)'!$C:$C,$L$1),
    SUMIFS('기타(Z)'!$I:$I,'기타(Z)'!$G:$G,M$2,'기타(Z)'!$Q:$Q,$J4,'기타(Z)'!$C:$C,$L$1)
  )
)</f>
        <v/>
      </c>
      <c r="N4" s="387" t="str">
        <f>IF(
  SUM(
    COUNTIFS('발전사업(A)'!$G:$G, M$2, '발전사업(A)'!$Q:$Q, $J4, '발전사업(A)'!$C:$C, $L$1),
    COUNTIFS('자가소비(B)'!$G:$G, M$2, '자가소비(B)'!$Q:$Q, $J4, '자가소비(B)'!$C:$C, $L$1),
    COUNTIFS('PPA 사업(C)'!$G:$G, M$2, 'PPA 사업(C)'!$Q:$Q, $J4, 'PPA 사업(C)'!$C:$C, $L$1),
    COUNTIFS('리스사업(D)'!$G:$G, M$2, '리스사업(D)'!$Q:$Q, $J4, '리스사업(D)'!$C:$C, $L$1),
    COUNTIFS('임대사업(E)'!$G:$G, M$2, '임대사업(E)'!$Q:$Q, $J4, '임대사업(E)'!$C:$C, $L$1),
    COUNTIFS('환경부사업(F)'!$G:$G, M$2, '환경부사업(F)'!$Q:$Q, $J4, '환경부사업(F)'!$C:$C, $L$1),
    COUNTIFS('프로젝트(G)'!$G:$G, M$2, '프로젝트(G)'!$Q:$Q, $J4, '프로젝트(G)'!$C:$C, $L$1),
    COUNTIFS('협력사 EPC(H)'!$G:$G, M$2, '협력사 EPC(H)'!$Q:$Q, $J4, '협력사 EPC(H)'!$C:$C, $L$1),
    COUNTIFS('기타(Z)'!$G:$G, M$2, '기타(Z)'!$Q:$Q, $J4, '기타(Z)'!$C:$C, $L$1)
  ) = 0,
  "",
  COUNTIFS('발전사업(A)'!$G:$G, M$2, '발전사업(A)'!$Q:$Q, $J4, '발전사업(A)'!$C:$C, $L$1)
  + COUNTIFS('자가소비(B)'!$G:$G, M$2, '자가소비(B)'!$Q:$Q, $J4, '자가소비(B)'!$C:$C, $L$1)
  + COUNTIFS('PPA 사업(C)'!$G:$G, M$2, 'PPA 사업(C)'!$Q:$Q, $J4, 'PPA 사업(C)'!$C:$C, $L$1)
  + COUNTIFS('리스사업(D)'!$G:$G, M$2, '리스사업(D)'!$Q:$Q, $J4, '리스사업(D)'!$C:$C, $L$1)
  + COUNTIFS('임대사업(E)'!$G:$G, M$2, '임대사업(E)'!$Q:$Q, $J4, '임대사업(E)'!$C:$C, $L$1)
  + COUNTIFS('환경부사업(F)'!$G:$G, M$2, '환경부사업(F)'!$Q:$Q, $J4, '환경부사업(F)'!$C:$C, $L$1)
  + COUNTIFS('프로젝트(G)'!$G:$G, M$2, '프로젝트(G)'!$Q:$Q, $J4, '프로젝트(G)'!$C:$C, $L$1)
  + COUNTIFS('협력사 EPC(H)'!$G:$G, M$2, '협력사 EPC(H)'!$Q:$Q, $J4, '협력사 EPC(H)'!$C:$C, $L$1)
  + COUNTIFS('기타(Z)'!$G:$G, M$2, '기타(Z)'!$Q:$Q, $J4, '기타(Z)'!$C:$C, $L$1)
)</f>
        <v/>
      </c>
      <c r="O4" s="386" t="str">
        <f>IF(
  SUM(
    SUMIFS('발전사업(A)'!$I:$I,'발전사업(A)'!$G:$G,O$2,'발전사업(A)'!$Q:$Q,$J4,'발전사업(A)'!$C:$C,$L$1),
    SUMIFS('자가소비(B)'!$I:$I,'자가소비(B)'!$G:$G,O$2,'자가소비(B)'!$Q:$Q,$J4,'자가소비(B)'!$C:$C,$L$1),
    SUMIFS('PPA 사업(C)'!$I:$I,'PPA 사업(C)'!$G:$G,O$2,'PPA 사업(C)'!$Q:$Q,$J4,'PPA 사업(C)'!$C:$C,$L$1),
    SUMIFS('리스사업(D)'!$I:$I,'리스사업(D)'!$G:$G,O$2,'리스사업(D)'!$Q:$Q,$J4,'리스사업(D)'!$C:$C,$L$1),
    SUMIFS('임대사업(E)'!$I:$I,'임대사업(E)'!$G:$G,O$2,'임대사업(E)'!$Q:$Q,$J4,'임대사업(E)'!$C:$C,$L$1),
    SUMIFS('환경부사업(F)'!$I:$I,'환경부사업(F)'!$G:$G,O$2,'환경부사업(F)'!$Q:$Q,$J4,'환경부사업(F)'!$C:$C,$L$1),
    SUMIFS('프로젝트(G)'!$I:$I,'프로젝트(G)'!$G:$G,O$2,'프로젝트(G)'!$Q:$Q,$J4,'프로젝트(G)'!$C:$C,$L$1),
    SUMIFS('협력사 EPC(H)'!$I:$I,'협력사 EPC(H)'!$G:$G,O$2,'협력사 EPC(H)'!$Q:$Q,$J4,'협력사 EPC(H)'!$C:$C,$L$1),
    SUMIFS('기타(Z)'!$I:$I,'기타(Z)'!$G:$G,O$2,'기타(Z)'!$Q:$Q,$J4,'기타(Z)'!$C:$C,$L$1)
  )=0,
  "",
  SUM(
    SUMIFS('발전사업(A)'!$I:$I,'발전사업(A)'!$G:$G,O$2,'발전사업(A)'!$Q:$Q,$J4,'발전사업(A)'!$C:$C,$L$1),
    SUMIFS('자가소비(B)'!$I:$I,'자가소비(B)'!$G:$G,O$2,'자가소비(B)'!$Q:$Q,$J4,'자가소비(B)'!$C:$C,$L$1),
    SUMIFS('PPA 사업(C)'!$I:$I,'PPA 사업(C)'!$G:$G,O$2,'PPA 사업(C)'!$Q:$Q,$J4,'PPA 사업(C)'!$C:$C,$L$1),
    SUMIFS('리스사업(D)'!$I:$I,'리스사업(D)'!$G:$G,O$2,'리스사업(D)'!$Q:$Q,$J4,'리스사업(D)'!$C:$C,$L$1),
    SUMIFS('임대사업(E)'!$I:$I,'임대사업(E)'!$G:$G,O$2,'임대사업(E)'!$Q:$Q,$J4,'임대사업(E)'!$C:$C,$L$1),
    SUMIFS('환경부사업(F)'!$I:$I,'환경부사업(F)'!$G:$G,O$2,'환경부사업(F)'!$Q:$Q,$J4,'환경부사업(F)'!$C:$C,$L$1),
    SUMIFS('프로젝트(G)'!$I:$I,'프로젝트(G)'!$G:$G,O$2,'프로젝트(G)'!$Q:$Q,$J4,'프로젝트(G)'!$C:$C,$L$1),
    SUMIFS('협력사 EPC(H)'!$I:$I,'협력사 EPC(H)'!$G:$G,O$2,'협력사 EPC(H)'!$Q:$Q,$J4,'협력사 EPC(H)'!$C:$C,$L$1),
    SUMIFS('기타(Z)'!$I:$I,'기타(Z)'!$G:$G,O$2,'기타(Z)'!$Q:$Q,$J4,'기타(Z)'!$C:$C,$L$1)
  )
)</f>
        <v/>
      </c>
      <c r="P4" s="387" t="str">
        <f>IF(
  SUM(
    COUNTIFS('발전사업(A)'!$G:$G, O$2, '발전사업(A)'!$Q:$Q, $J4, '발전사업(A)'!$C:$C, $L$1),
    COUNTIFS('자가소비(B)'!$G:$G, O$2, '자가소비(B)'!$Q:$Q, $J4, '자가소비(B)'!$C:$C, $L$1),
    COUNTIFS('PPA 사업(C)'!$G:$G, O$2, 'PPA 사업(C)'!$Q:$Q, $J4, 'PPA 사업(C)'!$C:$C, $L$1),
    COUNTIFS('리스사업(D)'!$G:$G, O$2, '리스사업(D)'!$Q:$Q, $J4, '리스사업(D)'!$C:$C, $L$1),
    COUNTIFS('임대사업(E)'!$G:$G, O$2, '임대사업(E)'!$Q:$Q, $J4, '임대사업(E)'!$C:$C, $L$1),
    COUNTIFS('환경부사업(F)'!$G:$G, O$2, '환경부사업(F)'!$Q:$Q, $J4, '환경부사업(F)'!$C:$C, $L$1),
    COUNTIFS('프로젝트(G)'!$G:$G, O$2, '프로젝트(G)'!$Q:$Q, $J4, '프로젝트(G)'!$C:$C, $L$1),
    COUNTIFS('협력사 EPC(H)'!$G:$G, O$2, '협력사 EPC(H)'!$Q:$Q, $J4, '협력사 EPC(H)'!$C:$C, $L$1),
    COUNTIFS('기타(Z)'!$G:$G, O$2, '기타(Z)'!$Q:$Q, $J4, '기타(Z)'!$C:$C, $L$1)
  ) = 0,
  "",
  COUNTIFS('발전사업(A)'!$G:$G, O$2, '발전사업(A)'!$Q:$Q, $J4, '발전사업(A)'!$C:$C, $L$1)
  + COUNTIFS('자가소비(B)'!$G:$G, O$2, '자가소비(B)'!$Q:$Q, $J4, '자가소비(B)'!$C:$C, $L$1)
  + COUNTIFS('PPA 사업(C)'!$G:$G, O$2, 'PPA 사업(C)'!$Q:$Q, $J4, 'PPA 사업(C)'!$C:$C, $L$1)
  + COUNTIFS('리스사업(D)'!$G:$G, O$2, '리스사업(D)'!$Q:$Q, $J4, '리스사업(D)'!$C:$C, $L$1)
  + COUNTIFS('임대사업(E)'!$G:$G, O$2, '임대사업(E)'!$Q:$Q, $J4, '임대사업(E)'!$C:$C, $L$1)
  + COUNTIFS('환경부사업(F)'!$G:$G, O$2, '환경부사업(F)'!$Q:$Q, $J4, '환경부사업(F)'!$C:$C, $L$1)
  + COUNTIFS('프로젝트(G)'!$G:$G, O$2, '프로젝트(G)'!$Q:$Q, $J4, '프로젝트(G)'!$C:$C, $L$1)
  + COUNTIFS('협력사 EPC(H)'!$G:$G, O$2, '협력사 EPC(H)'!$Q:$Q, $J4, '협력사 EPC(H)'!$C:$C, $L$1)
  + COUNTIFS('기타(Z)'!$G:$G, O$2, '기타(Z)'!$Q:$Q, $J4, '기타(Z)'!$C:$C, $L$1)
)</f>
        <v/>
      </c>
      <c r="Q4" s="386" t="str">
        <f>IF(
  SUM(
    SUMIFS('발전사업(A)'!$I:$I,'발전사업(A)'!$G:$G,Q$2,'발전사업(A)'!$Q:$Q,$J4,'발전사업(A)'!$C:$C,$L$1),
    SUMIFS('자가소비(B)'!$I:$I,'자가소비(B)'!$G:$G,Q$2,'자가소비(B)'!$Q:$Q,$J4,'자가소비(B)'!$C:$C,$L$1),
    SUMIFS('PPA 사업(C)'!$I:$I,'PPA 사업(C)'!$G:$G,Q$2,'PPA 사업(C)'!$Q:$Q,$J4,'PPA 사업(C)'!$C:$C,$L$1),
    SUMIFS('리스사업(D)'!$I:$I,'리스사업(D)'!$G:$G,Q$2,'리스사업(D)'!$Q:$Q,$J4,'리스사업(D)'!$C:$C,$L$1),
    SUMIFS('임대사업(E)'!$I:$I,'임대사업(E)'!$G:$G,Q$2,'임대사업(E)'!$Q:$Q,$J4,'임대사업(E)'!$C:$C,$L$1),
    SUMIFS('환경부사업(F)'!$I:$I,'환경부사업(F)'!$G:$G,Q$2,'환경부사업(F)'!$Q:$Q,$J4,'환경부사업(F)'!$C:$C,$L$1),
    SUMIFS('프로젝트(G)'!$I:$I,'프로젝트(G)'!$G:$G,Q$2,'프로젝트(G)'!$Q:$Q,$J4,'프로젝트(G)'!$C:$C,$L$1),
    SUMIFS('협력사 EPC(H)'!$I:$I,'협력사 EPC(H)'!$G:$G,Q$2,'협력사 EPC(H)'!$Q:$Q,$J4,'협력사 EPC(H)'!$C:$C,$L$1),
    SUMIFS('기타(Z)'!$I:$I,'기타(Z)'!$G:$G,Q$2,'기타(Z)'!$Q:$Q,$J4,'기타(Z)'!$C:$C,$L$1)
  )=0,
  "",
  SUM(
    SUMIFS('발전사업(A)'!$I:$I,'발전사업(A)'!$G:$G,Q$2,'발전사업(A)'!$Q:$Q,$J4,'발전사업(A)'!$C:$C,$L$1),
    SUMIFS('자가소비(B)'!$I:$I,'자가소비(B)'!$G:$G,Q$2,'자가소비(B)'!$Q:$Q,$J4,'자가소비(B)'!$C:$C,$L$1),
    SUMIFS('PPA 사업(C)'!$I:$I,'PPA 사업(C)'!$G:$G,Q$2,'PPA 사업(C)'!$Q:$Q,$J4,'PPA 사업(C)'!$C:$C,$L$1),
    SUMIFS('리스사업(D)'!$I:$I,'리스사업(D)'!$G:$G,Q$2,'리스사업(D)'!$Q:$Q,$J4,'리스사업(D)'!$C:$C,$L$1),
    SUMIFS('임대사업(E)'!$I:$I,'임대사업(E)'!$G:$G,Q$2,'임대사업(E)'!$Q:$Q,$J4,'임대사업(E)'!$C:$C,$L$1),
    SUMIFS('환경부사업(F)'!$I:$I,'환경부사업(F)'!$G:$G,Q$2,'환경부사업(F)'!$Q:$Q,$J4,'환경부사업(F)'!$C:$C,$L$1),
    SUMIFS('프로젝트(G)'!$I:$I,'프로젝트(G)'!$G:$G,Q$2,'프로젝트(G)'!$Q:$Q,$J4,'프로젝트(G)'!$C:$C,$L$1),
    SUMIFS('협력사 EPC(H)'!$I:$I,'협력사 EPC(H)'!$G:$G,Q$2,'협력사 EPC(H)'!$Q:$Q,$J4,'협력사 EPC(H)'!$C:$C,$L$1),
    SUMIFS('기타(Z)'!$I:$I,'기타(Z)'!$G:$G,Q$2,'기타(Z)'!$Q:$Q,$J4,'기타(Z)'!$C:$C,$L$1)
  )
)</f>
        <v/>
      </c>
      <c r="R4" s="387" t="str">
        <f>IF(
  SUM(
    COUNTIFS('발전사업(A)'!$G:$G, Q$2, '발전사업(A)'!$Q:$Q, $J4, '발전사업(A)'!$C:$C, $L$1),
    COUNTIFS('자가소비(B)'!$G:$G, Q$2, '자가소비(B)'!$Q:$Q, $J4, '자가소비(B)'!$C:$C, $L$1),
    COUNTIFS('PPA 사업(C)'!$G:$G, Q$2, 'PPA 사업(C)'!$Q:$Q, $J4, 'PPA 사업(C)'!$C:$C, $L$1),
    COUNTIFS('리스사업(D)'!$G:$G, Q$2, '리스사업(D)'!$Q:$Q, $J4, '리스사업(D)'!$C:$C, $L$1),
    COUNTIFS('임대사업(E)'!$G:$G, Q$2, '임대사업(E)'!$Q:$Q, $J4, '임대사업(E)'!$C:$C, $L$1),
    COUNTIFS('환경부사업(F)'!$G:$G, Q$2, '환경부사업(F)'!$Q:$Q, $J4, '환경부사업(F)'!$C:$C, $L$1),
    COUNTIFS('프로젝트(G)'!$G:$G, Q$2, '프로젝트(G)'!$Q:$Q, $J4, '프로젝트(G)'!$C:$C, $L$1),
    COUNTIFS('협력사 EPC(H)'!$G:$G, Q$2, '협력사 EPC(H)'!$Q:$Q, $J4, '협력사 EPC(H)'!$C:$C, $L$1),
    COUNTIFS('기타(Z)'!$G:$G, Q$2, '기타(Z)'!$Q:$Q, $J4, '기타(Z)'!$C:$C, $L$1)
  ) = 0,
  "",
  COUNTIFS('발전사업(A)'!$G:$G, Q$2, '발전사업(A)'!$Q:$Q, $J4, '발전사업(A)'!$C:$C, $L$1)
  + COUNTIFS('자가소비(B)'!$G:$G, Q$2, '자가소비(B)'!$Q:$Q, $J4, '자가소비(B)'!$C:$C, $L$1)
  + COUNTIFS('PPA 사업(C)'!$G:$G, Q$2, 'PPA 사업(C)'!$Q:$Q, $J4, 'PPA 사업(C)'!$C:$C, $L$1)
  + COUNTIFS('리스사업(D)'!$G:$G, Q$2, '리스사업(D)'!$Q:$Q, $J4, '리스사업(D)'!$C:$C, $L$1)
  + COUNTIFS('임대사업(E)'!$G:$G, Q$2, '임대사업(E)'!$Q:$Q, $J4, '임대사업(E)'!$C:$C, $L$1)
  + COUNTIFS('환경부사업(F)'!$G:$G, Q$2, '환경부사업(F)'!$Q:$Q, $J4, '환경부사업(F)'!$C:$C, $L$1)
  + COUNTIFS('프로젝트(G)'!$G:$G, Q$2, '프로젝트(G)'!$Q:$Q, $J4, '프로젝트(G)'!$C:$C, $L$1)
  + COUNTIFS('협력사 EPC(H)'!$G:$G, Q$2, '협력사 EPC(H)'!$Q:$Q, $J4, '협력사 EPC(H)'!$C:$C, $L$1)
  + COUNTIFS('기타(Z)'!$G:$G, Q$2, '기타(Z)'!$Q:$Q, $J4, '기타(Z)'!$C:$C, $L$1)
)</f>
        <v/>
      </c>
      <c r="S4" s="386" t="str">
        <f>IF(
  SUM(
    SUMIFS('발전사업(A)'!$I:$I,'발전사업(A)'!$G:$G,S$2,'발전사업(A)'!$Q:$Q,$J4,'발전사업(A)'!$C:$C,$L$1),
    SUMIFS('자가소비(B)'!$I:$I,'자가소비(B)'!$G:$G,S$2,'자가소비(B)'!$Q:$Q,$J4,'자가소비(B)'!$C:$C,$L$1),
    SUMIFS('PPA 사업(C)'!$I:$I,'PPA 사업(C)'!$G:$G,S$2,'PPA 사업(C)'!$Q:$Q,$J4,'PPA 사업(C)'!$C:$C,$L$1),
    SUMIFS('리스사업(D)'!$I:$I,'리스사업(D)'!$G:$G,S$2,'리스사업(D)'!$Q:$Q,$J4,'리스사업(D)'!$C:$C,$L$1),
    SUMIFS('임대사업(E)'!$I:$I,'임대사업(E)'!$G:$G,S$2,'임대사업(E)'!$Q:$Q,$J4,'임대사업(E)'!$C:$C,$L$1),
    SUMIFS('환경부사업(F)'!$I:$I,'환경부사업(F)'!$G:$G,S$2,'환경부사업(F)'!$Q:$Q,$J4,'환경부사업(F)'!$C:$C,$L$1),
    SUMIFS('프로젝트(G)'!$I:$I,'프로젝트(G)'!$G:$G,S$2,'프로젝트(G)'!$Q:$Q,$J4,'프로젝트(G)'!$C:$C,$L$1),
    SUMIFS('협력사 EPC(H)'!$I:$I,'협력사 EPC(H)'!$G:$G,S$2,'협력사 EPC(H)'!$Q:$Q,$J4,'협력사 EPC(H)'!$C:$C,$L$1),
    SUMIFS('기타(Z)'!$I:$I,'기타(Z)'!$G:$G,S$2,'기타(Z)'!$Q:$Q,$J4,'기타(Z)'!$C:$C,$L$1)
  )=0,
  "",
  SUM(
    SUMIFS('발전사업(A)'!$I:$I,'발전사업(A)'!$G:$G,S$2,'발전사업(A)'!$Q:$Q,$J4,'발전사업(A)'!$C:$C,$L$1),
    SUMIFS('자가소비(B)'!$I:$I,'자가소비(B)'!$G:$G,S$2,'자가소비(B)'!$Q:$Q,$J4,'자가소비(B)'!$C:$C,$L$1),
    SUMIFS('PPA 사업(C)'!$I:$I,'PPA 사업(C)'!$G:$G,S$2,'PPA 사업(C)'!$Q:$Q,$J4,'PPA 사업(C)'!$C:$C,$L$1),
    SUMIFS('리스사업(D)'!$I:$I,'리스사업(D)'!$G:$G,S$2,'리스사업(D)'!$Q:$Q,$J4,'리스사업(D)'!$C:$C,$L$1),
    SUMIFS('임대사업(E)'!$I:$I,'임대사업(E)'!$G:$G,S$2,'임대사업(E)'!$Q:$Q,$J4,'임대사업(E)'!$C:$C,$L$1),
    SUMIFS('환경부사업(F)'!$I:$I,'환경부사업(F)'!$G:$G,S$2,'환경부사업(F)'!$Q:$Q,$J4,'환경부사업(F)'!$C:$C,$L$1),
    SUMIFS('프로젝트(G)'!$I:$I,'프로젝트(G)'!$G:$G,S$2,'프로젝트(G)'!$Q:$Q,$J4,'프로젝트(G)'!$C:$C,$L$1),
    SUMIFS('협력사 EPC(H)'!$I:$I,'협력사 EPC(H)'!$G:$G,S$2,'협력사 EPC(H)'!$Q:$Q,$J4,'협력사 EPC(H)'!$C:$C,$L$1),
    SUMIFS('기타(Z)'!$I:$I,'기타(Z)'!$G:$G,S$2,'기타(Z)'!$Q:$Q,$J4,'기타(Z)'!$C:$C,$L$1)
  )
)</f>
        <v/>
      </c>
      <c r="T4" s="387" t="str">
        <f>IF(
  SUM(
    COUNTIFS('발전사업(A)'!$G:$G, S$2, '발전사업(A)'!$Q:$Q, $J4, '발전사업(A)'!$C:$C, $L$1),
    COUNTIFS('자가소비(B)'!$G:$G, S$2, '자가소비(B)'!$Q:$Q, $J4, '자가소비(B)'!$C:$C, $L$1),
    COUNTIFS('PPA 사업(C)'!$G:$G, S$2, 'PPA 사업(C)'!$Q:$Q, $J4, 'PPA 사업(C)'!$C:$C, $L$1),
    COUNTIFS('리스사업(D)'!$G:$G, S$2, '리스사업(D)'!$Q:$Q, $J4, '리스사업(D)'!$C:$C, $L$1),
    COUNTIFS('임대사업(E)'!$G:$G, S$2, '임대사업(E)'!$Q:$Q, $J4, '임대사업(E)'!$C:$C, $L$1),
    COUNTIFS('환경부사업(F)'!$G:$G, S$2, '환경부사업(F)'!$Q:$Q, $J4, '환경부사업(F)'!$C:$C, $L$1),
    COUNTIFS('프로젝트(G)'!$G:$G, S$2, '프로젝트(G)'!$Q:$Q, $J4, '프로젝트(G)'!$C:$C, $L$1),
    COUNTIFS('협력사 EPC(H)'!$G:$G, S$2, '협력사 EPC(H)'!$Q:$Q, $J4, '협력사 EPC(H)'!$C:$C, $L$1),
    COUNTIFS('기타(Z)'!$G:$G, S$2, '기타(Z)'!$Q:$Q, $J4, '기타(Z)'!$C:$C, $L$1)
  ) = 0,
  "",
  COUNTIFS('발전사업(A)'!$G:$G, S$2, '발전사업(A)'!$Q:$Q, $J4, '발전사업(A)'!$C:$C, $L$1)
  + COUNTIFS('자가소비(B)'!$G:$G, S$2, '자가소비(B)'!$Q:$Q, $J4, '자가소비(B)'!$C:$C, $L$1)
  + COUNTIFS('PPA 사업(C)'!$G:$G, S$2, 'PPA 사업(C)'!$Q:$Q, $J4, 'PPA 사업(C)'!$C:$C, $L$1)
  + COUNTIFS('리스사업(D)'!$G:$G, S$2, '리스사업(D)'!$Q:$Q, $J4, '리스사업(D)'!$C:$C, $L$1)
  + COUNTIFS('임대사업(E)'!$G:$G, S$2, '임대사업(E)'!$Q:$Q, $J4, '임대사업(E)'!$C:$C, $L$1)
  + COUNTIFS('환경부사업(F)'!$G:$G, S$2, '환경부사업(F)'!$Q:$Q, $J4, '환경부사업(F)'!$C:$C, $L$1)
  + COUNTIFS('프로젝트(G)'!$G:$G, S$2, '프로젝트(G)'!$Q:$Q, $J4, '프로젝트(G)'!$C:$C, $L$1)
  + COUNTIFS('협력사 EPC(H)'!$G:$G, S$2, '협력사 EPC(H)'!$Q:$Q, $J4, '협력사 EPC(H)'!$C:$C, $L$1)
  + COUNTIFS('기타(Z)'!$G:$G, S$2, '기타(Z)'!$Q:$Q, $J4, '기타(Z)'!$C:$C, $L$1)
)</f>
        <v/>
      </c>
      <c r="U4" s="386" t="str">
        <f>IF(
  SUM(
    SUMIFS('발전사업(A)'!$I:$I,'발전사업(A)'!$G:$G,U$2,'발전사업(A)'!$Q:$Q,$J4,'발전사업(A)'!$C:$C,$L$1),
    SUMIFS('자가소비(B)'!$I:$I,'자가소비(B)'!$G:$G,U$2,'자가소비(B)'!$Q:$Q,$J4,'자가소비(B)'!$C:$C,$L$1),
    SUMIFS('PPA 사업(C)'!$I:$I,'PPA 사업(C)'!$G:$G,U$2,'PPA 사업(C)'!$Q:$Q,$J4,'PPA 사업(C)'!$C:$C,$L$1),
    SUMIFS('리스사업(D)'!$I:$I,'리스사업(D)'!$G:$G,U$2,'리스사업(D)'!$Q:$Q,$J4,'리스사업(D)'!$C:$C,$L$1),
    SUMIFS('임대사업(E)'!$I:$I,'임대사업(E)'!$G:$G,U$2,'임대사업(E)'!$Q:$Q,$J4,'임대사업(E)'!$C:$C,$L$1),
    SUMIFS('환경부사업(F)'!$I:$I,'환경부사업(F)'!$G:$G,U$2,'환경부사업(F)'!$Q:$Q,$J4,'환경부사업(F)'!$C:$C,$L$1),
    SUMIFS('프로젝트(G)'!$I:$I,'프로젝트(G)'!$G:$G,U$2,'프로젝트(G)'!$Q:$Q,$J4,'프로젝트(G)'!$C:$C,$L$1),
    SUMIFS('협력사 EPC(H)'!$I:$I,'협력사 EPC(H)'!$G:$G,U$2,'협력사 EPC(H)'!$Q:$Q,$J4,'협력사 EPC(H)'!$C:$C,$L$1),
    SUMIFS('기타(Z)'!$I:$I,'기타(Z)'!$G:$G,U$2,'기타(Z)'!$Q:$Q,$J4,'기타(Z)'!$C:$C,$L$1)
  )=0,
  "",
  SUM(
    SUMIFS('발전사업(A)'!$I:$I,'발전사업(A)'!$G:$G,U$2,'발전사업(A)'!$Q:$Q,$J4,'발전사업(A)'!$C:$C,$L$1),
    SUMIFS('자가소비(B)'!$I:$I,'자가소비(B)'!$G:$G,U$2,'자가소비(B)'!$Q:$Q,$J4,'자가소비(B)'!$C:$C,$L$1),
    SUMIFS('PPA 사업(C)'!$I:$I,'PPA 사업(C)'!$G:$G,U$2,'PPA 사업(C)'!$Q:$Q,$J4,'PPA 사업(C)'!$C:$C,$L$1),
    SUMIFS('리스사업(D)'!$I:$I,'리스사업(D)'!$G:$G,U$2,'리스사업(D)'!$Q:$Q,$J4,'리스사업(D)'!$C:$C,$L$1),
    SUMIFS('임대사업(E)'!$I:$I,'임대사업(E)'!$G:$G,U$2,'임대사업(E)'!$Q:$Q,$J4,'임대사업(E)'!$C:$C,$L$1),
    SUMIFS('환경부사업(F)'!$I:$I,'환경부사업(F)'!$G:$G,U$2,'환경부사업(F)'!$Q:$Q,$J4,'환경부사업(F)'!$C:$C,$L$1),
    SUMIFS('프로젝트(G)'!$I:$I,'프로젝트(G)'!$G:$G,U$2,'프로젝트(G)'!$Q:$Q,$J4,'프로젝트(G)'!$C:$C,$L$1),
    SUMIFS('협력사 EPC(H)'!$I:$I,'협력사 EPC(H)'!$G:$G,U$2,'협력사 EPC(H)'!$Q:$Q,$J4,'협력사 EPC(H)'!$C:$C,$L$1),
    SUMIFS('기타(Z)'!$I:$I,'기타(Z)'!$G:$G,U$2,'기타(Z)'!$Q:$Q,$J4,'기타(Z)'!$C:$C,$L$1)
  )
)</f>
        <v/>
      </c>
      <c r="V4" s="387" t="str">
        <f>IF(
  SUM(
    COUNTIFS('발전사업(A)'!$G:$G, U$2, '발전사업(A)'!$Q:$Q, $J4, '발전사업(A)'!$C:$C, $L$1),
    COUNTIFS('자가소비(B)'!$G:$G, U$2, '자가소비(B)'!$Q:$Q, $J4, '자가소비(B)'!$C:$C, $L$1),
    COUNTIFS('PPA 사업(C)'!$G:$G, U$2, 'PPA 사업(C)'!$Q:$Q, $J4, 'PPA 사업(C)'!$C:$C, $L$1),
    COUNTIFS('리스사업(D)'!$G:$G, U$2, '리스사업(D)'!$Q:$Q, $J4, '리스사업(D)'!$C:$C, $L$1),
    COUNTIFS('임대사업(E)'!$G:$G, U$2, '임대사업(E)'!$Q:$Q, $J4, '임대사업(E)'!$C:$C, $L$1),
    COUNTIFS('환경부사업(F)'!$G:$G, U$2, '환경부사업(F)'!$Q:$Q, $J4, '환경부사업(F)'!$C:$C, $L$1),
    COUNTIFS('프로젝트(G)'!$G:$G, U$2, '프로젝트(G)'!$Q:$Q, $J4, '프로젝트(G)'!$C:$C, $L$1),
    COUNTIFS('협력사 EPC(H)'!$G:$G, U$2, '협력사 EPC(H)'!$Q:$Q, $J4, '협력사 EPC(H)'!$C:$C, $L$1),
    COUNTIFS('기타(Z)'!$G:$G, U$2, '기타(Z)'!$Q:$Q, $J4, '기타(Z)'!$C:$C, $L$1)
  ) = 0,
  "",
  COUNTIFS('발전사업(A)'!$G:$G, U$2, '발전사업(A)'!$Q:$Q, $J4, '발전사업(A)'!$C:$C, $L$1)
  + COUNTIFS('자가소비(B)'!$G:$G, U$2, '자가소비(B)'!$Q:$Q, $J4, '자가소비(B)'!$C:$C, $L$1)
  + COUNTIFS('PPA 사업(C)'!$G:$G, U$2, 'PPA 사업(C)'!$Q:$Q, $J4, 'PPA 사업(C)'!$C:$C, $L$1)
  + COUNTIFS('리스사업(D)'!$G:$G, U$2, '리스사업(D)'!$Q:$Q, $J4, '리스사업(D)'!$C:$C, $L$1)
  + COUNTIFS('임대사업(E)'!$G:$G, U$2, '임대사업(E)'!$Q:$Q, $J4, '임대사업(E)'!$C:$C, $L$1)
  + COUNTIFS('환경부사업(F)'!$G:$G, U$2, '환경부사업(F)'!$Q:$Q, $J4, '환경부사업(F)'!$C:$C, $L$1)
  + COUNTIFS('프로젝트(G)'!$G:$G, U$2, '프로젝트(G)'!$Q:$Q, $J4, '프로젝트(G)'!$C:$C, $L$1)
  + COUNTIFS('협력사 EPC(H)'!$G:$G, U$2, '협력사 EPC(H)'!$Q:$Q, $J4, '협력사 EPC(H)'!$C:$C, $L$1)
  + COUNTIFS('기타(Z)'!$G:$G, U$2, '기타(Z)'!$Q:$Q, $J4, '기타(Z)'!$C:$C, $L$1)
)</f>
        <v/>
      </c>
      <c r="W4" s="386" t="str">
        <f>IF(
  SUM(
    SUMIFS('발전사업(A)'!$I:$I,'발전사업(A)'!$G:$G,W$2,'발전사업(A)'!$Q:$Q,$J4,'발전사업(A)'!$C:$C,$L$1),
    SUMIFS('자가소비(B)'!$I:$I,'자가소비(B)'!$G:$G,W$2,'자가소비(B)'!$Q:$Q,$J4,'자가소비(B)'!$C:$C,$L$1),
    SUMIFS('PPA 사업(C)'!$I:$I,'PPA 사업(C)'!$G:$G,W$2,'PPA 사업(C)'!$Q:$Q,$J4,'PPA 사업(C)'!$C:$C,$L$1),
    SUMIFS('리스사업(D)'!$I:$I,'리스사업(D)'!$G:$G,W$2,'리스사업(D)'!$Q:$Q,$J4,'리스사업(D)'!$C:$C,$L$1),
    SUMIFS('임대사업(E)'!$I:$I,'임대사업(E)'!$G:$G,W$2,'임대사업(E)'!$Q:$Q,$J4,'임대사업(E)'!$C:$C,$L$1),
    SUMIFS('환경부사업(F)'!$I:$I,'환경부사업(F)'!$G:$G,W$2,'환경부사업(F)'!$Q:$Q,$J4,'환경부사업(F)'!$C:$C,$L$1),
    SUMIFS('프로젝트(G)'!$I:$I,'프로젝트(G)'!$G:$G,W$2,'프로젝트(G)'!$Q:$Q,$J4,'프로젝트(G)'!$C:$C,$L$1),
    SUMIFS('협력사 EPC(H)'!$I:$I,'협력사 EPC(H)'!$G:$G,W$2,'협력사 EPC(H)'!$Q:$Q,$J4,'협력사 EPC(H)'!$C:$C,$L$1),
    SUMIFS('기타(Z)'!$I:$I,'기타(Z)'!$G:$G,W$2,'기타(Z)'!$Q:$Q,$J4,'기타(Z)'!$C:$C,$L$1)
  )=0,
  "",
  SUM(
    SUMIFS('발전사업(A)'!$I:$I,'발전사업(A)'!$G:$G,W$2,'발전사업(A)'!$Q:$Q,$J4,'발전사업(A)'!$C:$C,$L$1),
    SUMIFS('자가소비(B)'!$I:$I,'자가소비(B)'!$G:$G,W$2,'자가소비(B)'!$Q:$Q,$J4,'자가소비(B)'!$C:$C,$L$1),
    SUMIFS('PPA 사업(C)'!$I:$I,'PPA 사업(C)'!$G:$G,W$2,'PPA 사업(C)'!$Q:$Q,$J4,'PPA 사업(C)'!$C:$C,$L$1),
    SUMIFS('리스사업(D)'!$I:$I,'리스사업(D)'!$G:$G,W$2,'리스사업(D)'!$Q:$Q,$J4,'리스사업(D)'!$C:$C,$L$1),
    SUMIFS('임대사업(E)'!$I:$I,'임대사업(E)'!$G:$G,W$2,'임대사업(E)'!$Q:$Q,$J4,'임대사업(E)'!$C:$C,$L$1),
    SUMIFS('환경부사업(F)'!$I:$I,'환경부사업(F)'!$G:$G,W$2,'환경부사업(F)'!$Q:$Q,$J4,'환경부사업(F)'!$C:$C,$L$1),
    SUMIFS('프로젝트(G)'!$I:$I,'프로젝트(G)'!$G:$G,W$2,'프로젝트(G)'!$Q:$Q,$J4,'프로젝트(G)'!$C:$C,$L$1),
    SUMIFS('협력사 EPC(H)'!$I:$I,'협력사 EPC(H)'!$G:$G,W$2,'협력사 EPC(H)'!$Q:$Q,$J4,'협력사 EPC(H)'!$C:$C,$L$1),
    SUMIFS('기타(Z)'!$I:$I,'기타(Z)'!$G:$G,W$2,'기타(Z)'!$Q:$Q,$J4,'기타(Z)'!$C:$C,$L$1)
  )
)</f>
        <v/>
      </c>
      <c r="X4" s="367" t="str">
        <f>IF(
  SUM(
    COUNTIFS('발전사업(A)'!$G:$G,W$2,'발전사업(A)'!$Q:$Q,$J4),
    COUNTIFS('자가소비(B)'!$G:$G,W$2,'자가소비(B)'!$Q:$Q,$J4),
    COUNTIFS('PPA 사업(C)'!$G:$G,W$2,'PPA 사업(C)'!$Q:$Q,$J4),
    COUNTIFS('리스사업(D)'!$G:$G,W$2,'리스사업(D)'!$Q:$Q,$J4),
    COUNTIFS('임대사업(E)'!$G:$G,W$2,'임대사업(E)'!$Q:$Q,$J4),
    COUNTIFS('환경부사업(F)'!$G:$G,W$2,'환경부사업(F)'!$Q:$Q,$J4),
    COUNTIFS('프로젝트(G)'!$G:$G,W$2,'프로젝트(G)'!$Q:$Q,$J4),
    COUNTIFS('협력사 EPC(H)'!$G:$G,W$2,'협력사 EPC(H)'!$Q:$Q,$J4),
    COUNTIFS('기타(Z)'!$G:$G,W$2,'기타(Z)'!$Q:$Q,$J4)
  )=0,
  "",
  COUNTIFS('발전사업(A)'!$G:$G,W$2,'발전사업(A)'!$Q:$Q,$J4)
  +COUNTIFS('자가소비(B)'!$G:$G,W$2,'자가소비(B)'!$Q:$Q,$J4)
  +COUNTIFS('PPA 사업(C)'!$G:$G,W$2,'PPA 사업(C)'!$Q:$Q,$J4)
  +COUNTIFS('리스사업(D)'!$G:$G,W$2,'리스사업(D)'!$Q:$Q,$J4)
  +COUNTIFS('임대사업(E)'!$G:$G,W$2,'임대사업(E)'!$Q:$Q,$J4)
  +COUNTIFS('환경부사업(F)'!$G:$G,W$2,'환경부사업(F)'!$Q:$Q,$J4)
  +COUNTIFS('프로젝트(G)'!$G:$G,W$2,'프로젝트(G)'!$Q:$Q,$J4)
  +COUNTIFS('협력사 EPC(H)'!$G:$G,W$2,'협력사 EPC(H)'!$Q:$Q,$J4)
  +COUNTIFS('기타(Z)'!$G:$G,W$2,'기타(Z)'!$Q:$Q,$J4)
)</f>
        <v/>
      </c>
      <c r="Y4" s="386" t="str">
        <f>IF(
  SUM(
    SUMIFS('발전사업(A)'!$I:$I,'발전사업(A)'!$G:$G,Y$2,'발전사업(A)'!$Q:$Q,$J4,'발전사업(A)'!$C:$C,$L$1),
    SUMIFS('자가소비(B)'!$I:$I,'자가소비(B)'!$G:$G,Y$2,'자가소비(B)'!$Q:$Q,$J4,'자가소비(B)'!$C:$C,$L$1),
    SUMIFS('PPA 사업(C)'!$I:$I,'PPA 사업(C)'!$G:$G,Y$2,'PPA 사업(C)'!$Q:$Q,$J4,'PPA 사업(C)'!$C:$C,$L$1),
    SUMIFS('리스사업(D)'!$I:$I,'리스사업(D)'!$G:$G,Y$2,'리스사업(D)'!$Q:$Q,$J4,'리스사업(D)'!$C:$C,$L$1),
    SUMIFS('임대사업(E)'!$I:$I,'임대사업(E)'!$G:$G,Y$2,'임대사업(E)'!$Q:$Q,$J4,'임대사업(E)'!$C:$C,$L$1),
    SUMIFS('환경부사업(F)'!$I:$I,'환경부사업(F)'!$G:$G,Y$2,'환경부사업(F)'!$Q:$Q,$J4,'환경부사업(F)'!$C:$C,$L$1),
    SUMIFS('프로젝트(G)'!$I:$I,'프로젝트(G)'!$G:$G,Y$2,'프로젝트(G)'!$Q:$Q,$J4,'프로젝트(G)'!$C:$C,$L$1),
    SUMIFS('협력사 EPC(H)'!$I:$I,'협력사 EPC(H)'!$G:$G,Y$2,'협력사 EPC(H)'!$Q:$Q,$J4,'협력사 EPC(H)'!$C:$C,$L$1),
    SUMIFS('기타(Z)'!$I:$I,'기타(Z)'!$G:$G,Y$2,'기타(Z)'!$Q:$Q,$J4,'기타(Z)'!$C:$C,$L$1)
  )=0,
  "",
  SUM(
    SUMIFS('발전사업(A)'!$I:$I,'발전사업(A)'!$G:$G,Y$2,'발전사업(A)'!$Q:$Q,$J4,'발전사업(A)'!$C:$C,$L$1),
    SUMIFS('자가소비(B)'!$I:$I,'자가소비(B)'!$G:$G,Y$2,'자가소비(B)'!$Q:$Q,$J4,'자가소비(B)'!$C:$C,$L$1),
    SUMIFS('PPA 사업(C)'!$I:$I,'PPA 사업(C)'!$G:$G,Y$2,'PPA 사업(C)'!$Q:$Q,$J4,'PPA 사업(C)'!$C:$C,$L$1),
    SUMIFS('리스사업(D)'!$I:$I,'리스사업(D)'!$G:$G,Y$2,'리스사업(D)'!$Q:$Q,$J4,'리스사업(D)'!$C:$C,$L$1),
    SUMIFS('임대사업(E)'!$I:$I,'임대사업(E)'!$G:$G,Y$2,'임대사업(E)'!$Q:$Q,$J4,'임대사업(E)'!$C:$C,$L$1),
    SUMIFS('환경부사업(F)'!$I:$I,'환경부사업(F)'!$G:$G,Y$2,'환경부사업(F)'!$Q:$Q,$J4,'환경부사업(F)'!$C:$C,$L$1),
    SUMIFS('프로젝트(G)'!$I:$I,'프로젝트(G)'!$G:$G,Y$2,'프로젝트(G)'!$Q:$Q,$J4,'프로젝트(G)'!$C:$C,$L$1),
    SUMIFS('협력사 EPC(H)'!$I:$I,'협력사 EPC(H)'!$G:$G,Y$2,'협력사 EPC(H)'!$Q:$Q,$J4,'협력사 EPC(H)'!$C:$C,$L$1),
    SUMIFS('기타(Z)'!$I:$I,'기타(Z)'!$G:$G,Y$2,'기타(Z)'!$Q:$Q,$J4,'기타(Z)'!$C:$C,$L$1)
  )
)</f>
        <v/>
      </c>
      <c r="Z4" s="387" t="str">
        <f>IF(
  SUM(
    COUNTIFS('발전사업(A)'!$G:$G, Y$2, '발전사업(A)'!$Q:$Q, $J4, '발전사업(A)'!$C:$C, $L$1),
    COUNTIFS('자가소비(B)'!$G:$G, Y$2, '자가소비(B)'!$Q:$Q, $J4, '자가소비(B)'!$C:$C, $L$1),
    COUNTIFS('PPA 사업(C)'!$G:$G, Y$2, 'PPA 사업(C)'!$Q:$Q, $J4, 'PPA 사업(C)'!$C:$C, $L$1),
    COUNTIFS('리스사업(D)'!$G:$G, Y$2, '리스사업(D)'!$Q:$Q, $J4, '리스사업(D)'!$C:$C, $L$1),
    COUNTIFS('임대사업(E)'!$G:$G, Y$2, '임대사업(E)'!$Q:$Q, $J4, '임대사업(E)'!$C:$C, $L$1),
    COUNTIFS('환경부사업(F)'!$G:$G, Y$2, '환경부사업(F)'!$Q:$Q, $J4, '환경부사업(F)'!$C:$C, $L$1),
    COUNTIFS('프로젝트(G)'!$G:$G, Y$2, '프로젝트(G)'!$Q:$Q, $J4, '프로젝트(G)'!$C:$C, $L$1),
    COUNTIFS('협력사 EPC(H)'!$G:$G, Y$2, '협력사 EPC(H)'!$Q:$Q, $J4, '협력사 EPC(H)'!$C:$C, $L$1),
    COUNTIFS('기타(Z)'!$G:$G, Y$2, '기타(Z)'!$Q:$Q, $J4, '기타(Z)'!$C:$C, $L$1)
  ) = 0,
  "",
  COUNTIFS('발전사업(A)'!$G:$G, Y$2, '발전사업(A)'!$Q:$Q, $J4, '발전사업(A)'!$C:$C, $L$1)
  + COUNTIFS('자가소비(B)'!$G:$G, Y$2, '자가소비(B)'!$Q:$Q, $J4, '자가소비(B)'!$C:$C, $L$1)
  + COUNTIFS('PPA 사업(C)'!$G:$G, Y$2, 'PPA 사업(C)'!$Q:$Q, $J4, 'PPA 사업(C)'!$C:$C, $L$1)
  + COUNTIFS('리스사업(D)'!$G:$G, Y$2, '리스사업(D)'!$Q:$Q, $J4, '리스사업(D)'!$C:$C, $L$1)
  + COUNTIFS('임대사업(E)'!$G:$G, Y$2, '임대사업(E)'!$Q:$Q, $J4, '임대사업(E)'!$C:$C, $L$1)
  + COUNTIFS('환경부사업(F)'!$G:$G, Y$2, '환경부사업(F)'!$Q:$Q, $J4, '환경부사업(F)'!$C:$C, $L$1)
  + COUNTIFS('프로젝트(G)'!$G:$G, Y$2, '프로젝트(G)'!$Q:$Q, $J4, '프로젝트(G)'!$C:$C, $L$1)
  + COUNTIFS('협력사 EPC(H)'!$G:$G, Y$2, '협력사 EPC(H)'!$Q:$Q, $J4, '협력사 EPC(H)'!$C:$C, $L$1)
  + COUNTIFS('기타(Z)'!$G:$G, Y$2, '기타(Z)'!$Q:$Q, $J4, '기타(Z)'!$C:$C, $L$1)
)</f>
        <v/>
      </c>
      <c r="AA4" s="386" t="str">
        <f>IF(
  SUM(
    SUMIFS('발전사업(A)'!$I:$I,'발전사업(A)'!$G:$G,AA$2,'발전사업(A)'!$Q:$Q,$J4,'발전사업(A)'!$C:$C,$L$1),
    SUMIFS('자가소비(B)'!$I:$I,'자가소비(B)'!$G:$G,AA$2,'자가소비(B)'!$Q:$Q,$J4,'자가소비(B)'!$C:$C,$L$1),
    SUMIFS('PPA 사업(C)'!$I:$I,'PPA 사업(C)'!$G:$G,AA$2,'PPA 사업(C)'!$Q:$Q,$J4,'PPA 사업(C)'!$C:$C,$L$1),
    SUMIFS('리스사업(D)'!$I:$I,'리스사업(D)'!$G:$G,AA$2,'리스사업(D)'!$Q:$Q,$J4,'리스사업(D)'!$C:$C,$L$1),
    SUMIFS('임대사업(E)'!$I:$I,'임대사업(E)'!$G:$G,AA$2,'임대사업(E)'!$Q:$Q,$J4,'임대사업(E)'!$C:$C,$L$1),
    SUMIFS('환경부사업(F)'!$I:$I,'환경부사업(F)'!$G:$G,AA$2,'환경부사업(F)'!$Q:$Q,$J4,'환경부사업(F)'!$C:$C,$L$1),
    SUMIFS('프로젝트(G)'!$I:$I,'프로젝트(G)'!$G:$G,AA$2,'프로젝트(G)'!$Q:$Q,$J4,'프로젝트(G)'!$C:$C,$L$1),
    SUMIFS('협력사 EPC(H)'!$I:$I,'협력사 EPC(H)'!$G:$G,AA$2,'협력사 EPC(H)'!$Q:$Q,$J4,'협력사 EPC(H)'!$C:$C,$L$1),
    SUMIFS('기타(Z)'!$I:$I,'기타(Z)'!$G:$G,AA$2,'기타(Z)'!$Q:$Q,$J4,'기타(Z)'!$C:$C,$L$1)
  )=0,
  "",
  SUM(
    SUMIFS('발전사업(A)'!$I:$I,'발전사업(A)'!$G:$G,AA$2,'발전사업(A)'!$Q:$Q,$J4,'발전사업(A)'!$C:$C,$L$1),
    SUMIFS('자가소비(B)'!$I:$I,'자가소비(B)'!$G:$G,AA$2,'자가소비(B)'!$Q:$Q,$J4,'자가소비(B)'!$C:$C,$L$1),
    SUMIFS('PPA 사업(C)'!$I:$I,'PPA 사업(C)'!$G:$G,AA$2,'PPA 사업(C)'!$Q:$Q,$J4,'PPA 사업(C)'!$C:$C,$L$1),
    SUMIFS('리스사업(D)'!$I:$I,'리스사업(D)'!$G:$G,AA$2,'리스사업(D)'!$Q:$Q,$J4,'리스사업(D)'!$C:$C,$L$1),
    SUMIFS('임대사업(E)'!$I:$I,'임대사업(E)'!$G:$G,AA$2,'임대사업(E)'!$Q:$Q,$J4,'임대사업(E)'!$C:$C,$L$1),
    SUMIFS('환경부사업(F)'!$I:$I,'환경부사업(F)'!$G:$G,AA$2,'환경부사업(F)'!$Q:$Q,$J4,'환경부사업(F)'!$C:$C,$L$1),
    SUMIFS('프로젝트(G)'!$I:$I,'프로젝트(G)'!$G:$G,AA$2,'프로젝트(G)'!$Q:$Q,$J4,'프로젝트(G)'!$C:$C,$L$1),
    SUMIFS('협력사 EPC(H)'!$I:$I,'협력사 EPC(H)'!$G:$G,AA$2,'협력사 EPC(H)'!$Q:$Q,$J4,'협력사 EPC(H)'!$C:$C,$L$1),
    SUMIFS('기타(Z)'!$I:$I,'기타(Z)'!$G:$G,AA$2,'기타(Z)'!$Q:$Q,$J4,'기타(Z)'!$C:$C,$L$1)
  )
)</f>
        <v/>
      </c>
      <c r="AB4" s="387" t="str">
        <f>IF(
  SUM(
    COUNTIFS('발전사업(A)'!$G:$G, AA$2, '발전사업(A)'!$Q:$Q, $J4, '발전사업(A)'!$C:$C, $L$1),
    COUNTIFS('자가소비(B)'!$G:$G, AA$2, '자가소비(B)'!$Q:$Q, $J4, '자가소비(B)'!$C:$C, $L$1),
    COUNTIFS('PPA 사업(C)'!$G:$G, AA$2, 'PPA 사업(C)'!$Q:$Q, $J4, 'PPA 사업(C)'!$C:$C, $L$1),
    COUNTIFS('리스사업(D)'!$G:$G, AA$2, '리스사업(D)'!$Q:$Q, $J4, '리스사업(D)'!$C:$C, $L$1),
    COUNTIFS('임대사업(E)'!$G:$G, AA$2, '임대사업(E)'!$Q:$Q, $J4, '임대사업(E)'!$C:$C, $L$1),
    COUNTIFS('환경부사업(F)'!$G:$G, AA$2, '환경부사업(F)'!$Q:$Q, $J4, '환경부사업(F)'!$C:$C, $L$1),
    COUNTIFS('프로젝트(G)'!$G:$G, AA$2, '프로젝트(G)'!$Q:$Q, $J4, '프로젝트(G)'!$C:$C, $L$1),
    COUNTIFS('협력사 EPC(H)'!$G:$G, AA$2, '협력사 EPC(H)'!$Q:$Q, $J4, '협력사 EPC(H)'!$C:$C, $L$1),
    COUNTIFS('기타(Z)'!$G:$G, AA$2, '기타(Z)'!$Q:$Q, $J4, '기타(Z)'!$C:$C, $L$1)
  ) = 0,
  "",
  COUNTIFS('발전사업(A)'!$G:$G, AA$2, '발전사업(A)'!$Q:$Q, $J4, '발전사업(A)'!$C:$C, $L$1)
  + COUNTIFS('자가소비(B)'!$G:$G, AA$2, '자가소비(B)'!$Q:$Q, $J4, '자가소비(B)'!$C:$C, $L$1)
  + COUNTIFS('PPA 사업(C)'!$G:$G, AA$2, 'PPA 사업(C)'!$Q:$Q, $J4, 'PPA 사업(C)'!$C:$C, $L$1)
  + COUNTIFS('리스사업(D)'!$G:$G, AA$2, '리스사업(D)'!$Q:$Q, $J4, '리스사업(D)'!$C:$C, $L$1)
  + COUNTIFS('임대사업(E)'!$G:$G, AA$2, '임대사업(E)'!$Q:$Q, $J4, '임대사업(E)'!$C:$C, $L$1)
  + COUNTIFS('환경부사업(F)'!$G:$G, AA$2, '환경부사업(F)'!$Q:$Q, $J4, '환경부사업(F)'!$C:$C, $L$1)
  + COUNTIFS('프로젝트(G)'!$G:$G, AA$2, '프로젝트(G)'!$Q:$Q, $J4, '프로젝트(G)'!$C:$C, $L$1)
  + COUNTIFS('협력사 EPC(H)'!$G:$G, AA$2, '협력사 EPC(H)'!$Q:$Q, $J4, '협력사 EPC(H)'!$C:$C, $L$1)
  + COUNTIFS('기타(Z)'!$G:$G, AA$2, '기타(Z)'!$Q:$Q, $J4, '기타(Z)'!$C:$C, $L$1)
)</f>
        <v/>
      </c>
      <c r="AC4" s="386" t="str">
        <f>IF(
  SUM(
    SUMIFS('발전사업(A)'!$I:$I,'발전사업(A)'!$G:$G,AC$2,'발전사업(A)'!$Q:$Q,$J4,'발전사업(A)'!$C:$C,$L$1),
    SUMIFS('자가소비(B)'!$I:$I,'자가소비(B)'!$G:$G,AC$2,'자가소비(B)'!$Q:$Q,$J4,'자가소비(B)'!$C:$C,$L$1),
    SUMIFS('PPA 사업(C)'!$I:$I,'PPA 사업(C)'!$G:$G,AC$2,'PPA 사업(C)'!$Q:$Q,$J4,'PPA 사업(C)'!$C:$C,$L$1),
    SUMIFS('리스사업(D)'!$I:$I,'리스사업(D)'!$G:$G,AC$2,'리스사업(D)'!$Q:$Q,$J4,'리스사업(D)'!$C:$C,$L$1),
    SUMIFS('임대사업(E)'!$I:$I,'임대사업(E)'!$G:$G,AC$2,'임대사업(E)'!$Q:$Q,$J4,'임대사업(E)'!$C:$C,$L$1),
    SUMIFS('환경부사업(F)'!$I:$I,'환경부사업(F)'!$G:$G,AC$2,'환경부사업(F)'!$Q:$Q,$J4,'환경부사업(F)'!$C:$C,$L$1),
    SUMIFS('프로젝트(G)'!$I:$I,'프로젝트(G)'!$G:$G,AC$2,'프로젝트(G)'!$Q:$Q,$J4,'프로젝트(G)'!$C:$C,$L$1),
    SUMIFS('협력사 EPC(H)'!$I:$I,'협력사 EPC(H)'!$G:$G,AC$2,'협력사 EPC(H)'!$Q:$Q,$J4,'협력사 EPC(H)'!$C:$C,$L$1),
    SUMIFS('기타(Z)'!$I:$I,'기타(Z)'!$G:$G,AC$2,'기타(Z)'!$Q:$Q,$J4,'기타(Z)'!$C:$C,$L$1)
  )=0,
  "",
  SUM(
    SUMIFS('발전사업(A)'!$I:$I,'발전사업(A)'!$G:$G,AC$2,'발전사업(A)'!$Q:$Q,$J4,'발전사업(A)'!$C:$C,$L$1),
    SUMIFS('자가소비(B)'!$I:$I,'자가소비(B)'!$G:$G,AC$2,'자가소비(B)'!$Q:$Q,$J4,'자가소비(B)'!$C:$C,$L$1),
    SUMIFS('PPA 사업(C)'!$I:$I,'PPA 사업(C)'!$G:$G,AC$2,'PPA 사업(C)'!$Q:$Q,$J4,'PPA 사업(C)'!$C:$C,$L$1),
    SUMIFS('리스사업(D)'!$I:$I,'리스사업(D)'!$G:$G,AC$2,'리스사업(D)'!$Q:$Q,$J4,'리스사업(D)'!$C:$C,$L$1),
    SUMIFS('임대사업(E)'!$I:$I,'임대사업(E)'!$G:$G,AC$2,'임대사업(E)'!$Q:$Q,$J4,'임대사업(E)'!$C:$C,$L$1),
    SUMIFS('환경부사업(F)'!$I:$I,'환경부사업(F)'!$G:$G,AC$2,'환경부사업(F)'!$Q:$Q,$J4,'환경부사업(F)'!$C:$C,$L$1),
    SUMIFS('프로젝트(G)'!$I:$I,'프로젝트(G)'!$G:$G,AC$2,'프로젝트(G)'!$Q:$Q,$J4,'프로젝트(G)'!$C:$C,$L$1),
    SUMIFS('협력사 EPC(H)'!$I:$I,'협력사 EPC(H)'!$G:$G,AC$2,'협력사 EPC(H)'!$Q:$Q,$J4,'협력사 EPC(H)'!$C:$C,$L$1),
    SUMIFS('기타(Z)'!$I:$I,'기타(Z)'!$G:$G,AC$2,'기타(Z)'!$Q:$Q,$J4,'기타(Z)'!$C:$C,$L$1)
  )
)</f>
        <v/>
      </c>
      <c r="AD4" s="387" t="str">
        <f>IF(
  SUM(
    COUNTIFS('발전사업(A)'!$G:$G, AC$2, '발전사업(A)'!$Q:$Q, $J4, '발전사업(A)'!$C:$C, $L$1),
    COUNTIFS('자가소비(B)'!$G:$G, AC$2, '자가소비(B)'!$Q:$Q, $J4, '자가소비(B)'!$C:$C, $L$1),
    COUNTIFS('PPA 사업(C)'!$G:$G, AC$2, 'PPA 사업(C)'!$Q:$Q, $J4, 'PPA 사업(C)'!$C:$C, $L$1),
    COUNTIFS('리스사업(D)'!$G:$G, AC$2, '리스사업(D)'!$Q:$Q, $J4, '리스사업(D)'!$C:$C, $L$1),
    COUNTIFS('임대사업(E)'!$G:$G, AC$2, '임대사업(E)'!$Q:$Q, $J4, '임대사업(E)'!$C:$C, $L$1),
    COUNTIFS('환경부사업(F)'!$G:$G, AC$2, '환경부사업(F)'!$Q:$Q, $J4, '환경부사업(F)'!$C:$C, $L$1),
    COUNTIFS('프로젝트(G)'!$G:$G, AC$2, '프로젝트(G)'!$Q:$Q, $J4, '프로젝트(G)'!$C:$C, $L$1),
    COUNTIFS('협력사 EPC(H)'!$G:$G, AC$2, '협력사 EPC(H)'!$Q:$Q, $J4, '협력사 EPC(H)'!$C:$C, $L$1),
    COUNTIFS('기타(Z)'!$G:$G, AC$2, '기타(Z)'!$Q:$Q, $J4, '기타(Z)'!$C:$C, $L$1)
  ) = 0,
  "",
  COUNTIFS('발전사업(A)'!$G:$G, AC$2, '발전사업(A)'!$Q:$Q, $J4, '발전사업(A)'!$C:$C, $L$1)
  + COUNTIFS('자가소비(B)'!$G:$G, AC$2, '자가소비(B)'!$Q:$Q, $J4, '자가소비(B)'!$C:$C, $L$1)
  + COUNTIFS('PPA 사업(C)'!$G:$G, AC$2, 'PPA 사업(C)'!$Q:$Q, $J4, 'PPA 사업(C)'!$C:$C, $L$1)
  + COUNTIFS('리스사업(D)'!$G:$G, AC$2, '리스사업(D)'!$Q:$Q, $J4, '리스사업(D)'!$C:$C, $L$1)
  + COUNTIFS('임대사업(E)'!$G:$G, AC$2, '임대사업(E)'!$Q:$Q, $J4, '임대사업(E)'!$C:$C, $L$1)
  + COUNTIFS('환경부사업(F)'!$G:$G, AC$2, '환경부사업(F)'!$Q:$Q, $J4, '환경부사업(F)'!$C:$C, $L$1)
  + COUNTIFS('프로젝트(G)'!$G:$G, AC$2, '프로젝트(G)'!$Q:$Q, $J4, '프로젝트(G)'!$C:$C, $L$1)
  + COUNTIFS('협력사 EPC(H)'!$G:$G, AC$2, '협력사 EPC(H)'!$Q:$Q, $J4, '협력사 EPC(H)'!$C:$C, $L$1)
  + COUNTIFS('기타(Z)'!$G:$G, AC$2, '기타(Z)'!$Q:$Q, $J4, '기타(Z)'!$C:$C, $L$1)
)</f>
        <v/>
      </c>
      <c r="AE4" s="386" t="str">
        <f>IF(
  SUM(
    SUMIFS('발전사업(A)'!$I:$I,'발전사업(A)'!$G:$G,AE$2,'발전사업(A)'!$Q:$Q,$J4,'발전사업(A)'!$C:$C,$L$1),
    SUMIFS('자가소비(B)'!$I:$I,'자가소비(B)'!$G:$G,AE$2,'자가소비(B)'!$Q:$Q,$J4,'자가소비(B)'!$C:$C,$L$1),
    SUMIFS('PPA 사업(C)'!$I:$I,'PPA 사업(C)'!$G:$G,AE$2,'PPA 사업(C)'!$Q:$Q,$J4,'PPA 사업(C)'!$C:$C,$L$1),
    SUMIFS('리스사업(D)'!$I:$I,'리스사업(D)'!$G:$G,AE$2,'리스사업(D)'!$Q:$Q,$J4,'리스사업(D)'!$C:$C,$L$1),
    SUMIFS('임대사업(E)'!$I:$I,'임대사업(E)'!$G:$G,AE$2,'임대사업(E)'!$Q:$Q,$J4,'임대사업(E)'!$C:$C,$L$1),
    SUMIFS('환경부사업(F)'!$I:$I,'환경부사업(F)'!$G:$G,AE$2,'환경부사업(F)'!$Q:$Q,$J4,'환경부사업(F)'!$C:$C,$L$1),
    SUMIFS('프로젝트(G)'!$I:$I,'프로젝트(G)'!$G:$G,AE$2,'프로젝트(G)'!$Q:$Q,$J4,'프로젝트(G)'!$C:$C,$L$1),
    SUMIFS('협력사 EPC(H)'!$I:$I,'협력사 EPC(H)'!$G:$G,AE$2,'협력사 EPC(H)'!$Q:$Q,$J4,'협력사 EPC(H)'!$C:$C,$L$1),
    SUMIFS('기타(Z)'!$I:$I,'기타(Z)'!$G:$G,AE$2,'기타(Z)'!$Q:$Q,$J4,'기타(Z)'!$C:$C,$L$1)
  )=0,
  "",
  SUM(
    SUMIFS('발전사업(A)'!$I:$I,'발전사업(A)'!$G:$G,AE$2,'발전사업(A)'!$Q:$Q,$J4,'발전사업(A)'!$C:$C,$L$1),
    SUMIFS('자가소비(B)'!$I:$I,'자가소비(B)'!$G:$G,AE$2,'자가소비(B)'!$Q:$Q,$J4,'자가소비(B)'!$C:$C,$L$1),
    SUMIFS('PPA 사업(C)'!$I:$I,'PPA 사업(C)'!$G:$G,AE$2,'PPA 사업(C)'!$Q:$Q,$J4,'PPA 사업(C)'!$C:$C,$L$1),
    SUMIFS('리스사업(D)'!$I:$I,'리스사업(D)'!$G:$G,AE$2,'리스사업(D)'!$Q:$Q,$J4,'리스사업(D)'!$C:$C,$L$1),
    SUMIFS('임대사업(E)'!$I:$I,'임대사업(E)'!$G:$G,AE$2,'임대사업(E)'!$Q:$Q,$J4,'임대사업(E)'!$C:$C,$L$1),
    SUMIFS('환경부사업(F)'!$I:$I,'환경부사업(F)'!$G:$G,AE$2,'환경부사업(F)'!$Q:$Q,$J4,'환경부사업(F)'!$C:$C,$L$1),
    SUMIFS('프로젝트(G)'!$I:$I,'프로젝트(G)'!$G:$G,AE$2,'프로젝트(G)'!$Q:$Q,$J4,'프로젝트(G)'!$C:$C,$L$1),
    SUMIFS('협력사 EPC(H)'!$I:$I,'협력사 EPC(H)'!$G:$G,AE$2,'협력사 EPC(H)'!$Q:$Q,$J4,'협력사 EPC(H)'!$C:$C,$L$1),
    SUMIFS('기타(Z)'!$I:$I,'기타(Z)'!$G:$G,AE$2,'기타(Z)'!$Q:$Q,$J4,'기타(Z)'!$C:$C,$L$1)
  )
)</f>
        <v/>
      </c>
      <c r="AF4" s="387" t="str">
        <f>IF(
  SUM(
    COUNTIFS('발전사업(A)'!$G:$G, AE$2, '발전사업(A)'!$Q:$Q, $J4, '발전사업(A)'!$C:$C, $L$1),
    COUNTIFS('자가소비(B)'!$G:$G, AE$2, '자가소비(B)'!$Q:$Q, $J4, '자가소비(B)'!$C:$C, $L$1),
    COUNTIFS('PPA 사업(C)'!$G:$G, AE$2, 'PPA 사업(C)'!$Q:$Q, $J4, 'PPA 사업(C)'!$C:$C, $L$1),
    COUNTIFS('리스사업(D)'!$G:$G, AE$2, '리스사업(D)'!$Q:$Q, $J4, '리스사업(D)'!$C:$C, $L$1),
    COUNTIFS('임대사업(E)'!$G:$G, AE$2, '임대사업(E)'!$Q:$Q, $J4, '임대사업(E)'!$C:$C, $L$1),
    COUNTIFS('환경부사업(F)'!$G:$G, AE$2, '환경부사업(F)'!$Q:$Q, $J4, '환경부사업(F)'!$C:$C, $L$1),
    COUNTIFS('프로젝트(G)'!$G:$G, AE$2, '프로젝트(G)'!$Q:$Q, $J4, '프로젝트(G)'!$C:$C, $L$1),
    COUNTIFS('협력사 EPC(H)'!$G:$G, AE$2, '협력사 EPC(H)'!$Q:$Q, $J4, '협력사 EPC(H)'!$C:$C, $L$1),
    COUNTIFS('기타(Z)'!$G:$G, AE$2, '기타(Z)'!$Q:$Q, $J4, '기타(Z)'!$C:$C, $L$1)
  ) = 0,
  "",
  COUNTIFS('발전사업(A)'!$G:$G, AE$2, '발전사업(A)'!$Q:$Q, $J4, '발전사업(A)'!$C:$C, $L$1)
  + COUNTIFS('자가소비(B)'!$G:$G, AE$2, '자가소비(B)'!$Q:$Q, $J4, '자가소비(B)'!$C:$C, $L$1)
  + COUNTIFS('PPA 사업(C)'!$G:$G, AE$2, 'PPA 사업(C)'!$Q:$Q, $J4, 'PPA 사업(C)'!$C:$C, $L$1)
  + COUNTIFS('리스사업(D)'!$G:$G, AE$2, '리스사업(D)'!$Q:$Q, $J4, '리스사업(D)'!$C:$C, $L$1)
  + COUNTIFS('임대사업(E)'!$G:$G, AE$2, '임대사업(E)'!$Q:$Q, $J4, '임대사업(E)'!$C:$C, $L$1)
  + COUNTIFS('환경부사업(F)'!$G:$G, AE$2, '환경부사업(F)'!$Q:$Q, $J4, '환경부사업(F)'!$C:$C, $L$1)
  + COUNTIFS('프로젝트(G)'!$G:$G, AE$2, '프로젝트(G)'!$Q:$Q, $J4, '프로젝트(G)'!$C:$C, $L$1)
  + COUNTIFS('협력사 EPC(H)'!$G:$G, AE$2, '협력사 EPC(H)'!$Q:$Q, $J4, '협력사 EPC(H)'!$C:$C, $L$1)
  + COUNTIFS('기타(Z)'!$G:$G, AE$2, '기타(Z)'!$Q:$Q, $J4, '기타(Z)'!$C:$C, $L$1)
)</f>
        <v/>
      </c>
      <c r="AG4" s="386" t="str">
        <f>IF(
  SUM(
    SUMIFS('발전사업(A)'!$I:$I,'발전사업(A)'!$G:$G,AG$2,'발전사업(A)'!$Q:$Q,$J4,'발전사업(A)'!$C:$C,$L$1),
    SUMIFS('자가소비(B)'!$I:$I,'자가소비(B)'!$G:$G,AG$2,'자가소비(B)'!$Q:$Q,$J4,'자가소비(B)'!$C:$C,$L$1),
    SUMIFS('PPA 사업(C)'!$I:$I,'PPA 사업(C)'!$G:$G,AG$2,'PPA 사업(C)'!$Q:$Q,$J4,'PPA 사업(C)'!$C:$C,$L$1),
    SUMIFS('리스사업(D)'!$I:$I,'리스사업(D)'!$G:$G,AG$2,'리스사업(D)'!$Q:$Q,$J4,'리스사업(D)'!$C:$C,$L$1),
    SUMIFS('임대사업(E)'!$I:$I,'임대사업(E)'!$G:$G,AG$2,'임대사업(E)'!$Q:$Q,$J4,'임대사업(E)'!$C:$C,$L$1),
    SUMIFS('환경부사업(F)'!$I:$I,'환경부사업(F)'!$G:$G,AG$2,'환경부사업(F)'!$Q:$Q,$J4,'환경부사업(F)'!$C:$C,$L$1),
    SUMIFS('프로젝트(G)'!$I:$I,'프로젝트(G)'!$G:$G,AG$2,'프로젝트(G)'!$Q:$Q,$J4,'프로젝트(G)'!$C:$C,$L$1),
    SUMIFS('협력사 EPC(H)'!$I:$I,'협력사 EPC(H)'!$G:$G,AG$2,'협력사 EPC(H)'!$Q:$Q,$J4,'협력사 EPC(H)'!$C:$C,$L$1),
    SUMIFS('기타(Z)'!$I:$I,'기타(Z)'!$G:$G,AG$2,'기타(Z)'!$Q:$Q,$J4,'기타(Z)'!$C:$C,$L$1)
  )=0,
  "",
  SUM(
    SUMIFS('발전사업(A)'!$I:$I,'발전사업(A)'!$G:$G,AG$2,'발전사업(A)'!$Q:$Q,$J4,'발전사업(A)'!$C:$C,$L$1),
    SUMIFS('자가소비(B)'!$I:$I,'자가소비(B)'!$G:$G,AG$2,'자가소비(B)'!$Q:$Q,$J4,'자가소비(B)'!$C:$C,$L$1),
    SUMIFS('PPA 사업(C)'!$I:$I,'PPA 사업(C)'!$G:$G,AG$2,'PPA 사업(C)'!$Q:$Q,$J4,'PPA 사업(C)'!$C:$C,$L$1),
    SUMIFS('리스사업(D)'!$I:$I,'리스사업(D)'!$G:$G,AG$2,'리스사업(D)'!$Q:$Q,$J4,'리스사업(D)'!$C:$C,$L$1),
    SUMIFS('임대사업(E)'!$I:$I,'임대사업(E)'!$G:$G,AG$2,'임대사업(E)'!$Q:$Q,$J4,'임대사업(E)'!$C:$C,$L$1),
    SUMIFS('환경부사업(F)'!$I:$I,'환경부사업(F)'!$G:$G,AG$2,'환경부사업(F)'!$Q:$Q,$J4,'환경부사업(F)'!$C:$C,$L$1),
    SUMIFS('프로젝트(G)'!$I:$I,'프로젝트(G)'!$G:$G,AG$2,'프로젝트(G)'!$Q:$Q,$J4,'프로젝트(G)'!$C:$C,$L$1),
    SUMIFS('협력사 EPC(H)'!$I:$I,'협력사 EPC(H)'!$G:$G,AG$2,'협력사 EPC(H)'!$Q:$Q,$J4,'협력사 EPC(H)'!$C:$C,$L$1),
    SUMIFS('기타(Z)'!$I:$I,'기타(Z)'!$G:$G,AG$2,'기타(Z)'!$Q:$Q,$J4,'기타(Z)'!$C:$C,$L$1)
  )
)</f>
        <v/>
      </c>
      <c r="AH4" s="387" t="str">
        <f>IF(
  SUM(
    COUNTIFS('발전사업(A)'!$G:$G, AG$2, '발전사업(A)'!$Q:$Q, $J4, '발전사업(A)'!$C:$C, $L$1),
    COUNTIFS('자가소비(B)'!$G:$G, AG$2, '자가소비(B)'!$Q:$Q, $J4, '자가소비(B)'!$C:$C, $L$1),
    COUNTIFS('PPA 사업(C)'!$G:$G, AG$2, 'PPA 사업(C)'!$Q:$Q, $J4, 'PPA 사업(C)'!$C:$C, $L$1),
    COUNTIFS('리스사업(D)'!$G:$G, AG$2, '리스사업(D)'!$Q:$Q, $J4, '리스사업(D)'!$C:$C, $L$1),
    COUNTIFS('임대사업(E)'!$G:$G, AG$2, '임대사업(E)'!$Q:$Q, $J4, '임대사업(E)'!$C:$C, $L$1),
    COUNTIFS('환경부사업(F)'!$G:$G, AG$2, '환경부사업(F)'!$Q:$Q, $J4, '환경부사업(F)'!$C:$C, $L$1),
    COUNTIFS('프로젝트(G)'!$G:$G, AG$2, '프로젝트(G)'!$Q:$Q, $J4, '프로젝트(G)'!$C:$C, $L$1),
    COUNTIFS('협력사 EPC(H)'!$G:$G, AG$2, '협력사 EPC(H)'!$Q:$Q, $J4, '협력사 EPC(H)'!$C:$C, $L$1),
    COUNTIFS('기타(Z)'!$G:$G, AG$2, '기타(Z)'!$Q:$Q, $J4, '기타(Z)'!$C:$C, $L$1)
  ) = 0,
  "",
  COUNTIFS('발전사업(A)'!$G:$G, AG$2, '발전사업(A)'!$Q:$Q, $J4, '발전사업(A)'!$C:$C, $L$1)
  + COUNTIFS('자가소비(B)'!$G:$G, AG$2, '자가소비(B)'!$Q:$Q, $J4, '자가소비(B)'!$C:$C, $L$1)
  + COUNTIFS('PPA 사업(C)'!$G:$G, AG$2, 'PPA 사업(C)'!$Q:$Q, $J4, 'PPA 사업(C)'!$C:$C, $L$1)
  + COUNTIFS('리스사업(D)'!$G:$G, AG$2, '리스사업(D)'!$Q:$Q, $J4, '리스사업(D)'!$C:$C, $L$1)
  + COUNTIFS('임대사업(E)'!$G:$G, AG$2, '임대사업(E)'!$Q:$Q, $J4, '임대사업(E)'!$C:$C, $L$1)
  + COUNTIFS('환경부사업(F)'!$G:$G, AG$2, '환경부사업(F)'!$Q:$Q, $J4, '환경부사업(F)'!$C:$C, $L$1)
  + COUNTIFS('프로젝트(G)'!$G:$G, AG$2, '프로젝트(G)'!$Q:$Q, $J4, '프로젝트(G)'!$C:$C, $L$1)
  + COUNTIFS('협력사 EPC(H)'!$G:$G, AG$2, '협력사 EPC(H)'!$Q:$Q, $J4, '협력사 EPC(H)'!$C:$C, $L$1)
  + COUNTIFS('기타(Z)'!$G:$G, AG$2, '기타(Z)'!$Q:$Q, $J4, '기타(Z)'!$C:$C, $L$1)
)</f>
        <v/>
      </c>
      <c r="AI4" s="386" t="str">
        <f>IF(
  SUM(
    SUMIFS('발전사업(A)'!$I:$I,'발전사업(A)'!$G:$G,AI$2,'발전사업(A)'!$Q:$Q,$J4,'발전사업(A)'!$C:$C,$L$1),
    SUMIFS('자가소비(B)'!$I:$I,'자가소비(B)'!$G:$G,AI$2,'자가소비(B)'!$Q:$Q,$J4,'자가소비(B)'!$C:$C,$L$1),
    SUMIFS('PPA 사업(C)'!$I:$I,'PPA 사업(C)'!$G:$G,AI$2,'PPA 사업(C)'!$Q:$Q,$J4,'PPA 사업(C)'!$C:$C,$L$1),
    SUMIFS('리스사업(D)'!$I:$I,'리스사업(D)'!$G:$G,AI$2,'리스사업(D)'!$Q:$Q,$J4,'리스사업(D)'!$C:$C,$L$1),
    SUMIFS('임대사업(E)'!$I:$I,'임대사업(E)'!$G:$G,AI$2,'임대사업(E)'!$Q:$Q,$J4,'임대사업(E)'!$C:$C,$L$1),
    SUMIFS('환경부사업(F)'!$I:$I,'환경부사업(F)'!$G:$G,AI$2,'환경부사업(F)'!$Q:$Q,$J4,'환경부사업(F)'!$C:$C,$L$1),
    SUMIFS('프로젝트(G)'!$I:$I,'프로젝트(G)'!$G:$G,AI$2,'프로젝트(G)'!$Q:$Q,$J4,'프로젝트(G)'!$C:$C,$L$1),
    SUMIFS('협력사 EPC(H)'!$I:$I,'협력사 EPC(H)'!$G:$G,AI$2,'협력사 EPC(H)'!$Q:$Q,$J4,'협력사 EPC(H)'!$C:$C,$L$1),
    SUMIFS('기타(Z)'!$I:$I,'기타(Z)'!$G:$G,AI$2,'기타(Z)'!$Q:$Q,$J4,'기타(Z)'!$C:$C,$L$1)
  )=0,
  "",
  SUM(
    SUMIFS('발전사업(A)'!$I:$I,'발전사업(A)'!$G:$G,AI$2,'발전사업(A)'!$Q:$Q,$J4,'발전사업(A)'!$C:$C,$L$1),
    SUMIFS('자가소비(B)'!$I:$I,'자가소비(B)'!$G:$G,AI$2,'자가소비(B)'!$Q:$Q,$J4,'자가소비(B)'!$C:$C,$L$1),
    SUMIFS('PPA 사업(C)'!$I:$I,'PPA 사업(C)'!$G:$G,AI$2,'PPA 사업(C)'!$Q:$Q,$J4,'PPA 사업(C)'!$C:$C,$L$1),
    SUMIFS('리스사업(D)'!$I:$I,'리스사업(D)'!$G:$G,AI$2,'리스사업(D)'!$Q:$Q,$J4,'리스사업(D)'!$C:$C,$L$1),
    SUMIFS('임대사업(E)'!$I:$I,'임대사업(E)'!$G:$G,AI$2,'임대사업(E)'!$Q:$Q,$J4,'임대사업(E)'!$C:$C,$L$1),
    SUMIFS('환경부사업(F)'!$I:$I,'환경부사업(F)'!$G:$G,AI$2,'환경부사업(F)'!$Q:$Q,$J4,'환경부사업(F)'!$C:$C,$L$1),
    SUMIFS('프로젝트(G)'!$I:$I,'프로젝트(G)'!$G:$G,AI$2,'프로젝트(G)'!$Q:$Q,$J4,'프로젝트(G)'!$C:$C,$L$1),
    SUMIFS('협력사 EPC(H)'!$I:$I,'협력사 EPC(H)'!$G:$G,AI$2,'협력사 EPC(H)'!$Q:$Q,$J4,'협력사 EPC(H)'!$C:$C,$L$1),
    SUMIFS('기타(Z)'!$I:$I,'기타(Z)'!$G:$G,AI$2,'기타(Z)'!$Q:$Q,$J4,'기타(Z)'!$C:$C,$L$1)
  )
)</f>
        <v/>
      </c>
      <c r="AJ4" s="385" t="str">
        <f>IF(
  SUM(
    COUNTIFS('발전사업(A)'!$G:$G, AI$2, '발전사업(A)'!$Q:$Q, $J4, '발전사업(A)'!$C:$C, $L$1),
    COUNTIFS('자가소비(B)'!$G:$G, AI$2, '자가소비(B)'!$Q:$Q, $J4, '자가소비(B)'!$C:$C, $L$1),
    COUNTIFS('PPA 사업(C)'!$G:$G, AI$2, 'PPA 사업(C)'!$Q:$Q, $J4, 'PPA 사업(C)'!$C:$C, $L$1),
    COUNTIFS('리스사업(D)'!$G:$G, AI$2, '리스사업(D)'!$Q:$Q, $J4, '리스사업(D)'!$C:$C, $L$1),
    COUNTIFS('임대사업(E)'!$G:$G, AI$2, '임대사업(E)'!$Q:$Q, $J4, '임대사업(E)'!$C:$C, $L$1),
    COUNTIFS('환경부사업(F)'!$G:$G, AI$2, '환경부사업(F)'!$Q:$Q, $J4, '환경부사업(F)'!$C:$C, $L$1),
    COUNTIFS('프로젝트(G)'!$G:$G, AI$2, '프로젝트(G)'!$Q:$Q, $J4, '프로젝트(G)'!$C:$C, $L$1),
    COUNTIFS('협력사 EPC(H)'!$G:$G, AI$2, '협력사 EPC(H)'!$Q:$Q, $J4, '협력사 EPC(H)'!$C:$C, $L$1),
    COUNTIFS('기타(Z)'!$G:$G, AI$2, '기타(Z)'!$Q:$Q, $J4, '기타(Z)'!$C:$C, $L$1)
  ) = 0,
  "",
  COUNTIFS('발전사업(A)'!$G:$G, AI$2, '발전사업(A)'!$Q:$Q, $J4, '발전사업(A)'!$C:$C, $L$1)
  + COUNTIFS('자가소비(B)'!$G:$G, AI$2, '자가소비(B)'!$Q:$Q, $J4, '자가소비(B)'!$C:$C, $L$1)
  + COUNTIFS('PPA 사업(C)'!$G:$G, AI$2, 'PPA 사업(C)'!$Q:$Q, $J4, 'PPA 사업(C)'!$C:$C, $L$1)
  + COUNTIFS('리스사업(D)'!$G:$G, AI$2, '리스사업(D)'!$Q:$Q, $J4, '리스사업(D)'!$C:$C, $L$1)
  + COUNTIFS('임대사업(E)'!$G:$G, AI$2, '임대사업(E)'!$Q:$Q, $J4, '임대사업(E)'!$C:$C, $L$1)
  + COUNTIFS('환경부사업(F)'!$G:$G, AI$2, '환경부사업(F)'!$Q:$Q, $J4, '환경부사업(F)'!$C:$C, $L$1)
  + COUNTIFS('프로젝트(G)'!$G:$G, AI$2, '프로젝트(G)'!$Q:$Q, $J4, '프로젝트(G)'!$C:$C, $L$1)
  + COUNTIFS('협력사 EPC(H)'!$G:$G, AI$2, '협력사 EPC(H)'!$Q:$Q, $J4, '협력사 EPC(H)'!$C:$C, $L$1)
  + COUNTIFS('기타(Z)'!$G:$G, AI$2, '기타(Z)'!$Q:$Q, $J4, '기타(Z)'!$C:$C, $L$1)
)</f>
        <v/>
      </c>
    </row>
    <row r="5" spans="2:36" ht="16.5" x14ac:dyDescent="0.25">
      <c r="B5" s="202" t="s">
        <v>259</v>
      </c>
      <c r="C5" s="280">
        <f t="shared" ref="C5:D11" si="2">IF(COUNTA(C17,C29,C41,C53,C65,C77,C89,C101,C113,C125,C137,C149)=0,"",
IF(SUM(N(C17),N(C29),N(C41),N(C53),N(C65),N(C77),N(C89),N(C101),N(C113),N(C125),N(C137),N(C149))=0,"",
SUM(N(C17),N(C29),N(C41),N(C53),N(C65),N(C77),N(C89),N(C101),N(C113),N(C125),N(C137),N(C149))
))</f>
        <v>27878.11</v>
      </c>
      <c r="D5" s="281">
        <f t="shared" si="2"/>
        <v>93</v>
      </c>
      <c r="E5" s="280">
        <f t="shared" ref="E5:F11" si="3">IF(COUNTA(E17,E29,E41,E53,E65,E77,E89,E101,E113,E125,E137,E149)=0,"",
IF(SUM(N(E17),N(E29),N(E41),N(E53),N(E65),N(E77),N(E89),N(E101),N(E113),N(E125),N(E137),N(E149))=0,"",
SUM(N(E17),N(E29),N(E41),N(E53),N(E65),N(E77),N(E89),N(E101),N(E113),N(E125),N(E137),N(E149))
))</f>
        <v>19974.895</v>
      </c>
      <c r="F5" s="281">
        <f t="shared" si="3"/>
        <v>62</v>
      </c>
      <c r="G5" s="280">
        <f t="shared" ref="G5:H11" si="4">IF(COUNTA(G17,G29,G41,G53,G65,G77,G89,G101,G113,G125,G137,G149)=0,"",
IF(SUM(N(G17),N(G29),N(G41),N(G53),N(G65),N(G77),N(G89),N(G101),N(G113),N(G125),N(G137),N(G149))=0,"",
SUM(N(G17),N(G29),N(G41),N(G53),N(G65),N(G77),N(G89),N(G101),N(G113),N(G125),N(G137),N(G149))
))</f>
        <v>7903.2150000000001</v>
      </c>
      <c r="H5" s="281">
        <f t="shared" si="4"/>
        <v>31</v>
      </c>
      <c r="J5" s="390" t="s">
        <v>2146</v>
      </c>
      <c r="K5" s="374">
        <f t="shared" si="0"/>
        <v>1201.2650000000001</v>
      </c>
      <c r="L5" s="368">
        <f t="shared" si="1"/>
        <v>4</v>
      </c>
      <c r="M5" s="386" t="str">
        <f>IF(
  SUM(
    SUMIFS('발전사업(A)'!$I:$I,'발전사업(A)'!$G:$G,M$2,'발전사업(A)'!$Q:$Q,$J5,'발전사업(A)'!$C:$C,$L$1),
    SUMIFS('자가소비(B)'!$I:$I,'자가소비(B)'!$G:$G,M$2,'자가소비(B)'!$Q:$Q,$J5,'자가소비(B)'!$C:$C,$L$1),
    SUMIFS('PPA 사업(C)'!$I:$I,'PPA 사업(C)'!$G:$G,M$2,'PPA 사업(C)'!$Q:$Q,$J5,'PPA 사업(C)'!$C:$C,$L$1),
    SUMIFS('리스사업(D)'!$I:$I,'리스사업(D)'!$G:$G,M$2,'리스사업(D)'!$Q:$Q,$J5,'리스사업(D)'!$C:$C,$L$1),
    SUMIFS('임대사업(E)'!$I:$I,'임대사업(E)'!$G:$G,M$2,'임대사업(E)'!$Q:$Q,$J5,'임대사업(E)'!$C:$C,$L$1),
    SUMIFS('환경부사업(F)'!$I:$I,'환경부사업(F)'!$G:$G,M$2,'환경부사업(F)'!$Q:$Q,$J5,'환경부사업(F)'!$C:$C,$L$1),
    SUMIFS('프로젝트(G)'!$I:$I,'프로젝트(G)'!$G:$G,M$2,'프로젝트(G)'!$Q:$Q,$J5,'프로젝트(G)'!$C:$C,$L$1),
    SUMIFS('협력사 EPC(H)'!$I:$I,'협력사 EPC(H)'!$G:$G,M$2,'협력사 EPC(H)'!$Q:$Q,$J5,'협력사 EPC(H)'!$C:$C,$L$1),
    SUMIFS('기타(Z)'!$I:$I,'기타(Z)'!$G:$G,M$2,'기타(Z)'!$Q:$Q,$J5,'기타(Z)'!$C:$C,$L$1)
  )=0,
  "",
  SUM(
    SUMIFS('발전사업(A)'!$I:$I,'발전사업(A)'!$G:$G,M$2,'발전사업(A)'!$Q:$Q,$J5,'발전사업(A)'!$C:$C,$L$1),
    SUMIFS('자가소비(B)'!$I:$I,'자가소비(B)'!$G:$G,M$2,'자가소비(B)'!$Q:$Q,$J5,'자가소비(B)'!$C:$C,$L$1),
    SUMIFS('PPA 사업(C)'!$I:$I,'PPA 사업(C)'!$G:$G,M$2,'PPA 사업(C)'!$Q:$Q,$J5,'PPA 사업(C)'!$C:$C,$L$1),
    SUMIFS('리스사업(D)'!$I:$I,'리스사업(D)'!$G:$G,M$2,'리스사업(D)'!$Q:$Q,$J5,'리스사업(D)'!$C:$C,$L$1),
    SUMIFS('임대사업(E)'!$I:$I,'임대사업(E)'!$G:$G,M$2,'임대사업(E)'!$Q:$Q,$J5,'임대사업(E)'!$C:$C,$L$1),
    SUMIFS('환경부사업(F)'!$I:$I,'환경부사업(F)'!$G:$G,M$2,'환경부사업(F)'!$Q:$Q,$J5,'환경부사업(F)'!$C:$C,$L$1),
    SUMIFS('프로젝트(G)'!$I:$I,'프로젝트(G)'!$G:$G,M$2,'프로젝트(G)'!$Q:$Q,$J5,'프로젝트(G)'!$C:$C,$L$1),
    SUMIFS('협력사 EPC(H)'!$I:$I,'협력사 EPC(H)'!$G:$G,M$2,'협력사 EPC(H)'!$Q:$Q,$J5,'협력사 EPC(H)'!$C:$C,$L$1),
    SUMIFS('기타(Z)'!$I:$I,'기타(Z)'!$G:$G,M$2,'기타(Z)'!$Q:$Q,$J5,'기타(Z)'!$C:$C,$L$1)
  )
)</f>
        <v/>
      </c>
      <c r="N5" s="387" t="str">
        <f>IF(
  SUM(
    COUNTIFS('발전사업(A)'!$G:$G, M$2, '발전사업(A)'!$Q:$Q, $J5, '발전사업(A)'!$C:$C, $L$1),
    COUNTIFS('자가소비(B)'!$G:$G, M$2, '자가소비(B)'!$Q:$Q, $J5, '자가소비(B)'!$C:$C, $L$1),
    COUNTIFS('PPA 사업(C)'!$G:$G, M$2, 'PPA 사업(C)'!$Q:$Q, $J5, 'PPA 사업(C)'!$C:$C, $L$1),
    COUNTIFS('리스사업(D)'!$G:$G, M$2, '리스사업(D)'!$Q:$Q, $J5, '리스사업(D)'!$C:$C, $L$1),
    COUNTIFS('임대사업(E)'!$G:$G, M$2, '임대사업(E)'!$Q:$Q, $J5, '임대사업(E)'!$C:$C, $L$1),
    COUNTIFS('환경부사업(F)'!$G:$G, M$2, '환경부사업(F)'!$Q:$Q, $J5, '환경부사업(F)'!$C:$C, $L$1),
    COUNTIFS('프로젝트(G)'!$G:$G, M$2, '프로젝트(G)'!$Q:$Q, $J5, '프로젝트(G)'!$C:$C, $L$1),
    COUNTIFS('협력사 EPC(H)'!$G:$G, M$2, '협력사 EPC(H)'!$Q:$Q, $J5, '협력사 EPC(H)'!$C:$C, $L$1),
    COUNTIFS('기타(Z)'!$G:$G, M$2, '기타(Z)'!$Q:$Q, $J5, '기타(Z)'!$C:$C, $L$1)
  ) = 0,
  "",
  COUNTIFS('발전사업(A)'!$G:$G, M$2, '발전사업(A)'!$Q:$Q, $J5, '발전사업(A)'!$C:$C, $L$1)
  + COUNTIFS('자가소비(B)'!$G:$G, M$2, '자가소비(B)'!$Q:$Q, $J5, '자가소비(B)'!$C:$C, $L$1)
  + COUNTIFS('PPA 사업(C)'!$G:$G, M$2, 'PPA 사업(C)'!$Q:$Q, $J5, 'PPA 사업(C)'!$C:$C, $L$1)
  + COUNTIFS('리스사업(D)'!$G:$G, M$2, '리스사업(D)'!$Q:$Q, $J5, '리스사업(D)'!$C:$C, $L$1)
  + COUNTIFS('임대사업(E)'!$G:$G, M$2, '임대사업(E)'!$Q:$Q, $J5, '임대사업(E)'!$C:$C, $L$1)
  + COUNTIFS('환경부사업(F)'!$G:$G, M$2, '환경부사업(F)'!$Q:$Q, $J5, '환경부사업(F)'!$C:$C, $L$1)
  + COUNTIFS('프로젝트(G)'!$G:$G, M$2, '프로젝트(G)'!$Q:$Q, $J5, '프로젝트(G)'!$C:$C, $L$1)
  + COUNTIFS('협력사 EPC(H)'!$G:$G, M$2, '협력사 EPC(H)'!$Q:$Q, $J5, '협력사 EPC(H)'!$C:$C, $L$1)
  + COUNTIFS('기타(Z)'!$G:$G, M$2, '기타(Z)'!$Q:$Q, $J5, '기타(Z)'!$C:$C, $L$1)
)</f>
        <v/>
      </c>
      <c r="O5" s="386" t="str">
        <f>IF(
  SUM(
    SUMIFS('발전사업(A)'!$I:$I,'발전사업(A)'!$G:$G,O$2,'발전사업(A)'!$Q:$Q,$J5,'발전사업(A)'!$C:$C,$L$1),
    SUMIFS('자가소비(B)'!$I:$I,'자가소비(B)'!$G:$G,O$2,'자가소비(B)'!$Q:$Q,$J5,'자가소비(B)'!$C:$C,$L$1),
    SUMIFS('PPA 사업(C)'!$I:$I,'PPA 사업(C)'!$G:$G,O$2,'PPA 사업(C)'!$Q:$Q,$J5,'PPA 사업(C)'!$C:$C,$L$1),
    SUMIFS('리스사업(D)'!$I:$I,'리스사업(D)'!$G:$G,O$2,'리스사업(D)'!$Q:$Q,$J5,'리스사업(D)'!$C:$C,$L$1),
    SUMIFS('임대사업(E)'!$I:$I,'임대사업(E)'!$G:$G,O$2,'임대사업(E)'!$Q:$Q,$J5,'임대사업(E)'!$C:$C,$L$1),
    SUMIFS('환경부사업(F)'!$I:$I,'환경부사업(F)'!$G:$G,O$2,'환경부사업(F)'!$Q:$Q,$J5,'환경부사업(F)'!$C:$C,$L$1),
    SUMIFS('프로젝트(G)'!$I:$I,'프로젝트(G)'!$G:$G,O$2,'프로젝트(G)'!$Q:$Q,$J5,'프로젝트(G)'!$C:$C,$L$1),
    SUMIFS('협력사 EPC(H)'!$I:$I,'협력사 EPC(H)'!$G:$G,O$2,'협력사 EPC(H)'!$Q:$Q,$J5,'협력사 EPC(H)'!$C:$C,$L$1),
    SUMIFS('기타(Z)'!$I:$I,'기타(Z)'!$G:$G,O$2,'기타(Z)'!$Q:$Q,$J5,'기타(Z)'!$C:$C,$L$1)
  )=0,
  "",
  SUM(
    SUMIFS('발전사업(A)'!$I:$I,'발전사업(A)'!$G:$G,O$2,'발전사업(A)'!$Q:$Q,$J5,'발전사업(A)'!$C:$C,$L$1),
    SUMIFS('자가소비(B)'!$I:$I,'자가소비(B)'!$G:$G,O$2,'자가소비(B)'!$Q:$Q,$J5,'자가소비(B)'!$C:$C,$L$1),
    SUMIFS('PPA 사업(C)'!$I:$I,'PPA 사업(C)'!$G:$G,O$2,'PPA 사업(C)'!$Q:$Q,$J5,'PPA 사업(C)'!$C:$C,$L$1),
    SUMIFS('리스사업(D)'!$I:$I,'리스사업(D)'!$G:$G,O$2,'리스사업(D)'!$Q:$Q,$J5,'리스사업(D)'!$C:$C,$L$1),
    SUMIFS('임대사업(E)'!$I:$I,'임대사업(E)'!$G:$G,O$2,'임대사업(E)'!$Q:$Q,$J5,'임대사업(E)'!$C:$C,$L$1),
    SUMIFS('환경부사업(F)'!$I:$I,'환경부사업(F)'!$G:$G,O$2,'환경부사업(F)'!$Q:$Q,$J5,'환경부사업(F)'!$C:$C,$L$1),
    SUMIFS('프로젝트(G)'!$I:$I,'프로젝트(G)'!$G:$G,O$2,'프로젝트(G)'!$Q:$Q,$J5,'프로젝트(G)'!$C:$C,$L$1),
    SUMIFS('협력사 EPC(H)'!$I:$I,'협력사 EPC(H)'!$G:$G,O$2,'협력사 EPC(H)'!$Q:$Q,$J5,'협력사 EPC(H)'!$C:$C,$L$1),
    SUMIFS('기타(Z)'!$I:$I,'기타(Z)'!$G:$G,O$2,'기타(Z)'!$Q:$Q,$J5,'기타(Z)'!$C:$C,$L$1)
  )
)</f>
        <v/>
      </c>
      <c r="P5" s="387" t="str">
        <f>IF(
  SUM(
    COUNTIFS('발전사업(A)'!$G:$G, O$2, '발전사업(A)'!$Q:$Q, $J5, '발전사업(A)'!$C:$C, $L$1),
    COUNTIFS('자가소비(B)'!$G:$G, O$2, '자가소비(B)'!$Q:$Q, $J5, '자가소비(B)'!$C:$C, $L$1),
    COUNTIFS('PPA 사업(C)'!$G:$G, O$2, 'PPA 사업(C)'!$Q:$Q, $J5, 'PPA 사업(C)'!$C:$C, $L$1),
    COUNTIFS('리스사업(D)'!$G:$G, O$2, '리스사업(D)'!$Q:$Q, $J5, '리스사업(D)'!$C:$C, $L$1),
    COUNTIFS('임대사업(E)'!$G:$G, O$2, '임대사업(E)'!$Q:$Q, $J5, '임대사업(E)'!$C:$C, $L$1),
    COUNTIFS('환경부사업(F)'!$G:$G, O$2, '환경부사업(F)'!$Q:$Q, $J5, '환경부사업(F)'!$C:$C, $L$1),
    COUNTIFS('프로젝트(G)'!$G:$G, O$2, '프로젝트(G)'!$Q:$Q, $J5, '프로젝트(G)'!$C:$C, $L$1),
    COUNTIFS('협력사 EPC(H)'!$G:$G, O$2, '협력사 EPC(H)'!$Q:$Q, $J5, '협력사 EPC(H)'!$C:$C, $L$1),
    COUNTIFS('기타(Z)'!$G:$G, O$2, '기타(Z)'!$Q:$Q, $J5, '기타(Z)'!$C:$C, $L$1)
  ) = 0,
  "",
  COUNTIFS('발전사업(A)'!$G:$G, O$2, '발전사업(A)'!$Q:$Q, $J5, '발전사업(A)'!$C:$C, $L$1)
  + COUNTIFS('자가소비(B)'!$G:$G, O$2, '자가소비(B)'!$Q:$Q, $J5, '자가소비(B)'!$C:$C, $L$1)
  + COUNTIFS('PPA 사업(C)'!$G:$G, O$2, 'PPA 사업(C)'!$Q:$Q, $J5, 'PPA 사업(C)'!$C:$C, $L$1)
  + COUNTIFS('리스사업(D)'!$G:$G, O$2, '리스사업(D)'!$Q:$Q, $J5, '리스사업(D)'!$C:$C, $L$1)
  + COUNTIFS('임대사업(E)'!$G:$G, O$2, '임대사업(E)'!$Q:$Q, $J5, '임대사업(E)'!$C:$C, $L$1)
  + COUNTIFS('환경부사업(F)'!$G:$G, O$2, '환경부사업(F)'!$Q:$Q, $J5, '환경부사업(F)'!$C:$C, $L$1)
  + COUNTIFS('프로젝트(G)'!$G:$G, O$2, '프로젝트(G)'!$Q:$Q, $J5, '프로젝트(G)'!$C:$C, $L$1)
  + COUNTIFS('협력사 EPC(H)'!$G:$G, O$2, '협력사 EPC(H)'!$Q:$Q, $J5, '협력사 EPC(H)'!$C:$C, $L$1)
  + COUNTIFS('기타(Z)'!$G:$G, O$2, '기타(Z)'!$Q:$Q, $J5, '기타(Z)'!$C:$C, $L$1)
)</f>
        <v/>
      </c>
      <c r="Q5" s="386" t="str">
        <f>IF(
  SUM(
    SUMIFS('발전사업(A)'!$I:$I,'발전사업(A)'!$G:$G,Q$2,'발전사업(A)'!$Q:$Q,$J5,'발전사업(A)'!$C:$C,$L$1),
    SUMIFS('자가소비(B)'!$I:$I,'자가소비(B)'!$G:$G,Q$2,'자가소비(B)'!$Q:$Q,$J5,'자가소비(B)'!$C:$C,$L$1),
    SUMIFS('PPA 사업(C)'!$I:$I,'PPA 사업(C)'!$G:$G,Q$2,'PPA 사업(C)'!$Q:$Q,$J5,'PPA 사업(C)'!$C:$C,$L$1),
    SUMIFS('리스사업(D)'!$I:$I,'리스사업(D)'!$G:$G,Q$2,'리스사업(D)'!$Q:$Q,$J5,'리스사업(D)'!$C:$C,$L$1),
    SUMIFS('임대사업(E)'!$I:$I,'임대사업(E)'!$G:$G,Q$2,'임대사업(E)'!$Q:$Q,$J5,'임대사업(E)'!$C:$C,$L$1),
    SUMIFS('환경부사업(F)'!$I:$I,'환경부사업(F)'!$G:$G,Q$2,'환경부사업(F)'!$Q:$Q,$J5,'환경부사업(F)'!$C:$C,$L$1),
    SUMIFS('프로젝트(G)'!$I:$I,'프로젝트(G)'!$G:$G,Q$2,'프로젝트(G)'!$Q:$Q,$J5,'프로젝트(G)'!$C:$C,$L$1),
    SUMIFS('협력사 EPC(H)'!$I:$I,'협력사 EPC(H)'!$G:$G,Q$2,'협력사 EPC(H)'!$Q:$Q,$J5,'협력사 EPC(H)'!$C:$C,$L$1),
    SUMIFS('기타(Z)'!$I:$I,'기타(Z)'!$G:$G,Q$2,'기타(Z)'!$Q:$Q,$J5,'기타(Z)'!$C:$C,$L$1)
  )=0,
  "",
  SUM(
    SUMIFS('발전사업(A)'!$I:$I,'발전사업(A)'!$G:$G,Q$2,'발전사업(A)'!$Q:$Q,$J5,'발전사업(A)'!$C:$C,$L$1),
    SUMIFS('자가소비(B)'!$I:$I,'자가소비(B)'!$G:$G,Q$2,'자가소비(B)'!$Q:$Q,$J5,'자가소비(B)'!$C:$C,$L$1),
    SUMIFS('PPA 사업(C)'!$I:$I,'PPA 사업(C)'!$G:$G,Q$2,'PPA 사업(C)'!$Q:$Q,$J5,'PPA 사업(C)'!$C:$C,$L$1),
    SUMIFS('리스사업(D)'!$I:$I,'리스사업(D)'!$G:$G,Q$2,'리스사업(D)'!$Q:$Q,$J5,'리스사업(D)'!$C:$C,$L$1),
    SUMIFS('임대사업(E)'!$I:$I,'임대사업(E)'!$G:$G,Q$2,'임대사업(E)'!$Q:$Q,$J5,'임대사업(E)'!$C:$C,$L$1),
    SUMIFS('환경부사업(F)'!$I:$I,'환경부사업(F)'!$G:$G,Q$2,'환경부사업(F)'!$Q:$Q,$J5,'환경부사업(F)'!$C:$C,$L$1),
    SUMIFS('프로젝트(G)'!$I:$I,'프로젝트(G)'!$G:$G,Q$2,'프로젝트(G)'!$Q:$Q,$J5,'프로젝트(G)'!$C:$C,$L$1),
    SUMIFS('협력사 EPC(H)'!$I:$I,'협력사 EPC(H)'!$G:$G,Q$2,'협력사 EPC(H)'!$Q:$Q,$J5,'협력사 EPC(H)'!$C:$C,$L$1),
    SUMIFS('기타(Z)'!$I:$I,'기타(Z)'!$G:$G,Q$2,'기타(Z)'!$Q:$Q,$J5,'기타(Z)'!$C:$C,$L$1)
  )
)</f>
        <v/>
      </c>
      <c r="R5" s="387" t="str">
        <f>IF(
  SUM(
    COUNTIFS('발전사업(A)'!$G:$G, Q$2, '발전사업(A)'!$Q:$Q, $J5, '발전사업(A)'!$C:$C, $L$1),
    COUNTIFS('자가소비(B)'!$G:$G, Q$2, '자가소비(B)'!$Q:$Q, $J5, '자가소비(B)'!$C:$C, $L$1),
    COUNTIFS('PPA 사업(C)'!$G:$G, Q$2, 'PPA 사업(C)'!$Q:$Q, $J5, 'PPA 사업(C)'!$C:$C, $L$1),
    COUNTIFS('리스사업(D)'!$G:$G, Q$2, '리스사업(D)'!$Q:$Q, $J5, '리스사업(D)'!$C:$C, $L$1),
    COUNTIFS('임대사업(E)'!$G:$G, Q$2, '임대사업(E)'!$Q:$Q, $J5, '임대사업(E)'!$C:$C, $L$1),
    COUNTIFS('환경부사업(F)'!$G:$G, Q$2, '환경부사업(F)'!$Q:$Q, $J5, '환경부사업(F)'!$C:$C, $L$1),
    COUNTIFS('프로젝트(G)'!$G:$G, Q$2, '프로젝트(G)'!$Q:$Q, $J5, '프로젝트(G)'!$C:$C, $L$1),
    COUNTIFS('협력사 EPC(H)'!$G:$G, Q$2, '협력사 EPC(H)'!$Q:$Q, $J5, '협력사 EPC(H)'!$C:$C, $L$1),
    COUNTIFS('기타(Z)'!$G:$G, Q$2, '기타(Z)'!$Q:$Q, $J5, '기타(Z)'!$C:$C, $L$1)
  ) = 0,
  "",
  COUNTIFS('발전사업(A)'!$G:$G, Q$2, '발전사업(A)'!$Q:$Q, $J5, '발전사업(A)'!$C:$C, $L$1)
  + COUNTIFS('자가소비(B)'!$G:$G, Q$2, '자가소비(B)'!$Q:$Q, $J5, '자가소비(B)'!$C:$C, $L$1)
  + COUNTIFS('PPA 사업(C)'!$G:$G, Q$2, 'PPA 사업(C)'!$Q:$Q, $J5, 'PPA 사업(C)'!$C:$C, $L$1)
  + COUNTIFS('리스사업(D)'!$G:$G, Q$2, '리스사업(D)'!$Q:$Q, $J5, '리스사업(D)'!$C:$C, $L$1)
  + COUNTIFS('임대사업(E)'!$G:$G, Q$2, '임대사업(E)'!$Q:$Q, $J5, '임대사업(E)'!$C:$C, $L$1)
  + COUNTIFS('환경부사업(F)'!$G:$G, Q$2, '환경부사업(F)'!$Q:$Q, $J5, '환경부사업(F)'!$C:$C, $L$1)
  + COUNTIFS('프로젝트(G)'!$G:$G, Q$2, '프로젝트(G)'!$Q:$Q, $J5, '프로젝트(G)'!$C:$C, $L$1)
  + COUNTIFS('협력사 EPC(H)'!$G:$G, Q$2, '협력사 EPC(H)'!$Q:$Q, $J5, '협력사 EPC(H)'!$C:$C, $L$1)
  + COUNTIFS('기타(Z)'!$G:$G, Q$2, '기타(Z)'!$Q:$Q, $J5, '기타(Z)'!$C:$C, $L$1)
)</f>
        <v/>
      </c>
      <c r="S5" s="386" t="str">
        <f>IF(
  SUM(
    SUMIFS('발전사업(A)'!$I:$I,'발전사업(A)'!$G:$G,S$2,'발전사업(A)'!$Q:$Q,$J5,'발전사업(A)'!$C:$C,$L$1),
    SUMIFS('자가소비(B)'!$I:$I,'자가소비(B)'!$G:$G,S$2,'자가소비(B)'!$Q:$Q,$J5,'자가소비(B)'!$C:$C,$L$1),
    SUMIFS('PPA 사업(C)'!$I:$I,'PPA 사업(C)'!$G:$G,S$2,'PPA 사업(C)'!$Q:$Q,$J5,'PPA 사업(C)'!$C:$C,$L$1),
    SUMIFS('리스사업(D)'!$I:$I,'리스사업(D)'!$G:$G,S$2,'리스사업(D)'!$Q:$Q,$J5,'리스사업(D)'!$C:$C,$L$1),
    SUMIFS('임대사업(E)'!$I:$I,'임대사업(E)'!$G:$G,S$2,'임대사업(E)'!$Q:$Q,$J5,'임대사업(E)'!$C:$C,$L$1),
    SUMIFS('환경부사업(F)'!$I:$I,'환경부사업(F)'!$G:$G,S$2,'환경부사업(F)'!$Q:$Q,$J5,'환경부사업(F)'!$C:$C,$L$1),
    SUMIFS('프로젝트(G)'!$I:$I,'프로젝트(G)'!$G:$G,S$2,'프로젝트(G)'!$Q:$Q,$J5,'프로젝트(G)'!$C:$C,$L$1),
    SUMIFS('협력사 EPC(H)'!$I:$I,'협력사 EPC(H)'!$G:$G,S$2,'협력사 EPC(H)'!$Q:$Q,$J5,'협력사 EPC(H)'!$C:$C,$L$1),
    SUMIFS('기타(Z)'!$I:$I,'기타(Z)'!$G:$G,S$2,'기타(Z)'!$Q:$Q,$J5,'기타(Z)'!$C:$C,$L$1)
  )=0,
  "",
  SUM(
    SUMIFS('발전사업(A)'!$I:$I,'발전사업(A)'!$G:$G,S$2,'발전사업(A)'!$Q:$Q,$J5,'발전사업(A)'!$C:$C,$L$1),
    SUMIFS('자가소비(B)'!$I:$I,'자가소비(B)'!$G:$G,S$2,'자가소비(B)'!$Q:$Q,$J5,'자가소비(B)'!$C:$C,$L$1),
    SUMIFS('PPA 사업(C)'!$I:$I,'PPA 사업(C)'!$G:$G,S$2,'PPA 사업(C)'!$Q:$Q,$J5,'PPA 사업(C)'!$C:$C,$L$1),
    SUMIFS('리스사업(D)'!$I:$I,'리스사업(D)'!$G:$G,S$2,'리스사업(D)'!$Q:$Q,$J5,'리스사업(D)'!$C:$C,$L$1),
    SUMIFS('임대사업(E)'!$I:$I,'임대사업(E)'!$G:$G,S$2,'임대사업(E)'!$Q:$Q,$J5,'임대사업(E)'!$C:$C,$L$1),
    SUMIFS('환경부사업(F)'!$I:$I,'환경부사업(F)'!$G:$G,S$2,'환경부사업(F)'!$Q:$Q,$J5,'환경부사업(F)'!$C:$C,$L$1),
    SUMIFS('프로젝트(G)'!$I:$I,'프로젝트(G)'!$G:$G,S$2,'프로젝트(G)'!$Q:$Q,$J5,'프로젝트(G)'!$C:$C,$L$1),
    SUMIFS('협력사 EPC(H)'!$I:$I,'협력사 EPC(H)'!$G:$G,S$2,'협력사 EPC(H)'!$Q:$Q,$J5,'협력사 EPC(H)'!$C:$C,$L$1),
    SUMIFS('기타(Z)'!$I:$I,'기타(Z)'!$G:$G,S$2,'기타(Z)'!$Q:$Q,$J5,'기타(Z)'!$C:$C,$L$1)
  )
)</f>
        <v/>
      </c>
      <c r="T5" s="387" t="str">
        <f>IF(
  SUM(
    COUNTIFS('발전사업(A)'!$G:$G, S$2, '발전사업(A)'!$Q:$Q, $J5, '발전사업(A)'!$C:$C, $L$1),
    COUNTIFS('자가소비(B)'!$G:$G, S$2, '자가소비(B)'!$Q:$Q, $J5, '자가소비(B)'!$C:$C, $L$1),
    COUNTIFS('PPA 사업(C)'!$G:$G, S$2, 'PPA 사업(C)'!$Q:$Q, $J5, 'PPA 사업(C)'!$C:$C, $L$1),
    COUNTIFS('리스사업(D)'!$G:$G, S$2, '리스사업(D)'!$Q:$Q, $J5, '리스사업(D)'!$C:$C, $L$1),
    COUNTIFS('임대사업(E)'!$G:$G, S$2, '임대사업(E)'!$Q:$Q, $J5, '임대사업(E)'!$C:$C, $L$1),
    COUNTIFS('환경부사업(F)'!$G:$G, S$2, '환경부사업(F)'!$Q:$Q, $J5, '환경부사업(F)'!$C:$C, $L$1),
    COUNTIFS('프로젝트(G)'!$G:$G, S$2, '프로젝트(G)'!$Q:$Q, $J5, '프로젝트(G)'!$C:$C, $L$1),
    COUNTIFS('협력사 EPC(H)'!$G:$G, S$2, '협력사 EPC(H)'!$Q:$Q, $J5, '협력사 EPC(H)'!$C:$C, $L$1),
    COUNTIFS('기타(Z)'!$G:$G, S$2, '기타(Z)'!$Q:$Q, $J5, '기타(Z)'!$C:$C, $L$1)
  ) = 0,
  "",
  COUNTIFS('발전사업(A)'!$G:$G, S$2, '발전사업(A)'!$Q:$Q, $J5, '발전사업(A)'!$C:$C, $L$1)
  + COUNTIFS('자가소비(B)'!$G:$G, S$2, '자가소비(B)'!$Q:$Q, $J5, '자가소비(B)'!$C:$C, $L$1)
  + COUNTIFS('PPA 사업(C)'!$G:$G, S$2, 'PPA 사업(C)'!$Q:$Q, $J5, 'PPA 사업(C)'!$C:$C, $L$1)
  + COUNTIFS('리스사업(D)'!$G:$G, S$2, '리스사업(D)'!$Q:$Q, $J5, '리스사업(D)'!$C:$C, $L$1)
  + COUNTIFS('임대사업(E)'!$G:$G, S$2, '임대사업(E)'!$Q:$Q, $J5, '임대사업(E)'!$C:$C, $L$1)
  + COUNTIFS('환경부사업(F)'!$G:$G, S$2, '환경부사업(F)'!$Q:$Q, $J5, '환경부사업(F)'!$C:$C, $L$1)
  + COUNTIFS('프로젝트(G)'!$G:$G, S$2, '프로젝트(G)'!$Q:$Q, $J5, '프로젝트(G)'!$C:$C, $L$1)
  + COUNTIFS('협력사 EPC(H)'!$G:$G, S$2, '협력사 EPC(H)'!$Q:$Q, $J5, '협력사 EPC(H)'!$C:$C, $L$1)
  + COUNTIFS('기타(Z)'!$G:$G, S$2, '기타(Z)'!$Q:$Q, $J5, '기타(Z)'!$C:$C, $L$1)
)</f>
        <v/>
      </c>
      <c r="U5" s="386" t="str">
        <f>IF(
  SUM(
    SUMIFS('발전사업(A)'!$I:$I,'발전사업(A)'!$G:$G,U$2,'발전사업(A)'!$Q:$Q,$J5,'발전사업(A)'!$C:$C,$L$1),
    SUMIFS('자가소비(B)'!$I:$I,'자가소비(B)'!$G:$G,U$2,'자가소비(B)'!$Q:$Q,$J5,'자가소비(B)'!$C:$C,$L$1),
    SUMIFS('PPA 사업(C)'!$I:$I,'PPA 사업(C)'!$G:$G,U$2,'PPA 사업(C)'!$Q:$Q,$J5,'PPA 사업(C)'!$C:$C,$L$1),
    SUMIFS('리스사업(D)'!$I:$I,'리스사업(D)'!$G:$G,U$2,'리스사업(D)'!$Q:$Q,$J5,'리스사업(D)'!$C:$C,$L$1),
    SUMIFS('임대사업(E)'!$I:$I,'임대사업(E)'!$G:$G,U$2,'임대사업(E)'!$Q:$Q,$J5,'임대사업(E)'!$C:$C,$L$1),
    SUMIFS('환경부사업(F)'!$I:$I,'환경부사업(F)'!$G:$G,U$2,'환경부사업(F)'!$Q:$Q,$J5,'환경부사업(F)'!$C:$C,$L$1),
    SUMIFS('프로젝트(G)'!$I:$I,'프로젝트(G)'!$G:$G,U$2,'프로젝트(G)'!$Q:$Q,$J5,'프로젝트(G)'!$C:$C,$L$1),
    SUMIFS('협력사 EPC(H)'!$I:$I,'협력사 EPC(H)'!$G:$G,U$2,'협력사 EPC(H)'!$Q:$Q,$J5,'협력사 EPC(H)'!$C:$C,$L$1),
    SUMIFS('기타(Z)'!$I:$I,'기타(Z)'!$G:$G,U$2,'기타(Z)'!$Q:$Q,$J5,'기타(Z)'!$C:$C,$L$1)
  )=0,
  "",
  SUM(
    SUMIFS('발전사업(A)'!$I:$I,'발전사업(A)'!$G:$G,U$2,'발전사업(A)'!$Q:$Q,$J5,'발전사업(A)'!$C:$C,$L$1),
    SUMIFS('자가소비(B)'!$I:$I,'자가소비(B)'!$G:$G,U$2,'자가소비(B)'!$Q:$Q,$J5,'자가소비(B)'!$C:$C,$L$1),
    SUMIFS('PPA 사업(C)'!$I:$I,'PPA 사업(C)'!$G:$G,U$2,'PPA 사업(C)'!$Q:$Q,$J5,'PPA 사업(C)'!$C:$C,$L$1),
    SUMIFS('리스사업(D)'!$I:$I,'리스사업(D)'!$G:$G,U$2,'리스사업(D)'!$Q:$Q,$J5,'리스사업(D)'!$C:$C,$L$1),
    SUMIFS('임대사업(E)'!$I:$I,'임대사업(E)'!$G:$G,U$2,'임대사업(E)'!$Q:$Q,$J5,'임대사업(E)'!$C:$C,$L$1),
    SUMIFS('환경부사업(F)'!$I:$I,'환경부사업(F)'!$G:$G,U$2,'환경부사업(F)'!$Q:$Q,$J5,'환경부사업(F)'!$C:$C,$L$1),
    SUMIFS('프로젝트(G)'!$I:$I,'프로젝트(G)'!$G:$G,U$2,'프로젝트(G)'!$Q:$Q,$J5,'프로젝트(G)'!$C:$C,$L$1),
    SUMIFS('협력사 EPC(H)'!$I:$I,'협력사 EPC(H)'!$G:$G,U$2,'협력사 EPC(H)'!$Q:$Q,$J5,'협력사 EPC(H)'!$C:$C,$L$1),
    SUMIFS('기타(Z)'!$I:$I,'기타(Z)'!$G:$G,U$2,'기타(Z)'!$Q:$Q,$J5,'기타(Z)'!$C:$C,$L$1)
  )
)</f>
        <v/>
      </c>
      <c r="V5" s="387" t="str">
        <f>IF(
  SUM(
    COUNTIFS('발전사업(A)'!$G:$G, U$2, '발전사업(A)'!$Q:$Q, $J5, '발전사업(A)'!$C:$C, $L$1),
    COUNTIFS('자가소비(B)'!$G:$G, U$2, '자가소비(B)'!$Q:$Q, $J5, '자가소비(B)'!$C:$C, $L$1),
    COUNTIFS('PPA 사업(C)'!$G:$G, U$2, 'PPA 사업(C)'!$Q:$Q, $J5, 'PPA 사업(C)'!$C:$C, $L$1),
    COUNTIFS('리스사업(D)'!$G:$G, U$2, '리스사업(D)'!$Q:$Q, $J5, '리스사업(D)'!$C:$C, $L$1),
    COUNTIFS('임대사업(E)'!$G:$G, U$2, '임대사업(E)'!$Q:$Q, $J5, '임대사업(E)'!$C:$C, $L$1),
    COUNTIFS('환경부사업(F)'!$G:$G, U$2, '환경부사업(F)'!$Q:$Q, $J5, '환경부사업(F)'!$C:$C, $L$1),
    COUNTIFS('프로젝트(G)'!$G:$G, U$2, '프로젝트(G)'!$Q:$Q, $J5, '프로젝트(G)'!$C:$C, $L$1),
    COUNTIFS('협력사 EPC(H)'!$G:$G, U$2, '협력사 EPC(H)'!$Q:$Q, $J5, '협력사 EPC(H)'!$C:$C, $L$1),
    COUNTIFS('기타(Z)'!$G:$G, U$2, '기타(Z)'!$Q:$Q, $J5, '기타(Z)'!$C:$C, $L$1)
  ) = 0,
  "",
  COUNTIFS('발전사업(A)'!$G:$G, U$2, '발전사업(A)'!$Q:$Q, $J5, '발전사업(A)'!$C:$C, $L$1)
  + COUNTIFS('자가소비(B)'!$G:$G, U$2, '자가소비(B)'!$Q:$Q, $J5, '자가소비(B)'!$C:$C, $L$1)
  + COUNTIFS('PPA 사업(C)'!$G:$G, U$2, 'PPA 사업(C)'!$Q:$Q, $J5, 'PPA 사업(C)'!$C:$C, $L$1)
  + COUNTIFS('리스사업(D)'!$G:$G, U$2, '리스사업(D)'!$Q:$Q, $J5, '리스사업(D)'!$C:$C, $L$1)
  + COUNTIFS('임대사업(E)'!$G:$G, U$2, '임대사업(E)'!$Q:$Q, $J5, '임대사업(E)'!$C:$C, $L$1)
  + COUNTIFS('환경부사업(F)'!$G:$G, U$2, '환경부사업(F)'!$Q:$Q, $J5, '환경부사업(F)'!$C:$C, $L$1)
  + COUNTIFS('프로젝트(G)'!$G:$G, U$2, '프로젝트(G)'!$Q:$Q, $J5, '프로젝트(G)'!$C:$C, $L$1)
  + COUNTIFS('협력사 EPC(H)'!$G:$G, U$2, '협력사 EPC(H)'!$Q:$Q, $J5, '협력사 EPC(H)'!$C:$C, $L$1)
  + COUNTIFS('기타(Z)'!$G:$G, U$2, '기타(Z)'!$Q:$Q, $J5, '기타(Z)'!$C:$C, $L$1)
)</f>
        <v/>
      </c>
      <c r="W5" s="386" t="str">
        <f>IF(
  SUM(
    SUMIFS('발전사업(A)'!$I:$I,'발전사업(A)'!$G:$G,W$2,'발전사업(A)'!$Q:$Q,$J5,'발전사업(A)'!$C:$C,$L$1),
    SUMIFS('자가소비(B)'!$I:$I,'자가소비(B)'!$G:$G,W$2,'자가소비(B)'!$Q:$Q,$J5,'자가소비(B)'!$C:$C,$L$1),
    SUMIFS('PPA 사업(C)'!$I:$I,'PPA 사업(C)'!$G:$G,W$2,'PPA 사업(C)'!$Q:$Q,$J5,'PPA 사업(C)'!$C:$C,$L$1),
    SUMIFS('리스사업(D)'!$I:$I,'리스사업(D)'!$G:$G,W$2,'리스사업(D)'!$Q:$Q,$J5,'리스사업(D)'!$C:$C,$L$1),
    SUMIFS('임대사업(E)'!$I:$I,'임대사업(E)'!$G:$G,W$2,'임대사업(E)'!$Q:$Q,$J5,'임대사업(E)'!$C:$C,$L$1),
    SUMIFS('환경부사업(F)'!$I:$I,'환경부사업(F)'!$G:$G,W$2,'환경부사업(F)'!$Q:$Q,$J5,'환경부사업(F)'!$C:$C,$L$1),
    SUMIFS('프로젝트(G)'!$I:$I,'프로젝트(G)'!$G:$G,W$2,'프로젝트(G)'!$Q:$Q,$J5,'프로젝트(G)'!$C:$C,$L$1),
    SUMIFS('협력사 EPC(H)'!$I:$I,'협력사 EPC(H)'!$G:$G,W$2,'협력사 EPC(H)'!$Q:$Q,$J5,'협력사 EPC(H)'!$C:$C,$L$1),
    SUMIFS('기타(Z)'!$I:$I,'기타(Z)'!$G:$G,W$2,'기타(Z)'!$Q:$Q,$J5,'기타(Z)'!$C:$C,$L$1)
  )=0,
  "",
  SUM(
    SUMIFS('발전사업(A)'!$I:$I,'발전사업(A)'!$G:$G,W$2,'발전사업(A)'!$Q:$Q,$J5,'발전사업(A)'!$C:$C,$L$1),
    SUMIFS('자가소비(B)'!$I:$I,'자가소비(B)'!$G:$G,W$2,'자가소비(B)'!$Q:$Q,$J5,'자가소비(B)'!$C:$C,$L$1),
    SUMIFS('PPA 사업(C)'!$I:$I,'PPA 사업(C)'!$G:$G,W$2,'PPA 사업(C)'!$Q:$Q,$J5,'PPA 사업(C)'!$C:$C,$L$1),
    SUMIFS('리스사업(D)'!$I:$I,'리스사업(D)'!$G:$G,W$2,'리스사업(D)'!$Q:$Q,$J5,'리스사업(D)'!$C:$C,$L$1),
    SUMIFS('임대사업(E)'!$I:$I,'임대사업(E)'!$G:$G,W$2,'임대사업(E)'!$Q:$Q,$J5,'임대사업(E)'!$C:$C,$L$1),
    SUMIFS('환경부사업(F)'!$I:$I,'환경부사업(F)'!$G:$G,W$2,'환경부사업(F)'!$Q:$Q,$J5,'환경부사업(F)'!$C:$C,$L$1),
    SUMIFS('프로젝트(G)'!$I:$I,'프로젝트(G)'!$G:$G,W$2,'프로젝트(G)'!$Q:$Q,$J5,'프로젝트(G)'!$C:$C,$L$1),
    SUMIFS('협력사 EPC(H)'!$I:$I,'협력사 EPC(H)'!$G:$G,W$2,'협력사 EPC(H)'!$Q:$Q,$J5,'협력사 EPC(H)'!$C:$C,$L$1),
    SUMIFS('기타(Z)'!$I:$I,'기타(Z)'!$G:$G,W$2,'기타(Z)'!$Q:$Q,$J5,'기타(Z)'!$C:$C,$L$1)
  )
)</f>
        <v/>
      </c>
      <c r="X5" s="367" t="str">
        <f>IF(
  SUM(
    COUNTIFS('발전사업(A)'!$G:$G,W$2,'발전사업(A)'!$Q:$Q,$J5),
    COUNTIFS('자가소비(B)'!$G:$G,W$2,'자가소비(B)'!$Q:$Q,$J5),
    COUNTIFS('PPA 사업(C)'!$G:$G,W$2,'PPA 사업(C)'!$Q:$Q,$J5),
    COUNTIFS('리스사업(D)'!$G:$G,W$2,'리스사업(D)'!$Q:$Q,$J5),
    COUNTIFS('임대사업(E)'!$G:$G,W$2,'임대사업(E)'!$Q:$Q,$J5),
    COUNTIFS('환경부사업(F)'!$G:$G,W$2,'환경부사업(F)'!$Q:$Q,$J5),
    COUNTIFS('프로젝트(G)'!$G:$G,W$2,'프로젝트(G)'!$Q:$Q,$J5),
    COUNTIFS('협력사 EPC(H)'!$G:$G,W$2,'협력사 EPC(H)'!$Q:$Q,$J5),
    COUNTIFS('기타(Z)'!$G:$G,W$2,'기타(Z)'!$Q:$Q,$J5)
  )=0,
  "",
  COUNTIFS('발전사업(A)'!$G:$G,W$2,'발전사업(A)'!$Q:$Q,$J5)
  +COUNTIFS('자가소비(B)'!$G:$G,W$2,'자가소비(B)'!$Q:$Q,$J5)
  +COUNTIFS('PPA 사업(C)'!$G:$G,W$2,'PPA 사업(C)'!$Q:$Q,$J5)
  +COUNTIFS('리스사업(D)'!$G:$G,W$2,'리스사업(D)'!$Q:$Q,$J5)
  +COUNTIFS('임대사업(E)'!$G:$G,W$2,'임대사업(E)'!$Q:$Q,$J5)
  +COUNTIFS('환경부사업(F)'!$G:$G,W$2,'환경부사업(F)'!$Q:$Q,$J5)
  +COUNTIFS('프로젝트(G)'!$G:$G,W$2,'프로젝트(G)'!$Q:$Q,$J5)
  +COUNTIFS('협력사 EPC(H)'!$G:$G,W$2,'협력사 EPC(H)'!$Q:$Q,$J5)
  +COUNTIFS('기타(Z)'!$G:$G,W$2,'기타(Z)'!$Q:$Q,$J5)
)</f>
        <v/>
      </c>
      <c r="Y5" s="386" t="str">
        <f>IF(
  SUM(
    SUMIFS('발전사업(A)'!$I:$I,'발전사업(A)'!$G:$G,Y$2,'발전사업(A)'!$Q:$Q,$J5,'발전사업(A)'!$C:$C,$L$1),
    SUMIFS('자가소비(B)'!$I:$I,'자가소비(B)'!$G:$G,Y$2,'자가소비(B)'!$Q:$Q,$J5,'자가소비(B)'!$C:$C,$L$1),
    SUMIFS('PPA 사업(C)'!$I:$I,'PPA 사업(C)'!$G:$G,Y$2,'PPA 사업(C)'!$Q:$Q,$J5,'PPA 사업(C)'!$C:$C,$L$1),
    SUMIFS('리스사업(D)'!$I:$I,'리스사업(D)'!$G:$G,Y$2,'리스사업(D)'!$Q:$Q,$J5,'리스사업(D)'!$C:$C,$L$1),
    SUMIFS('임대사업(E)'!$I:$I,'임대사업(E)'!$G:$G,Y$2,'임대사업(E)'!$Q:$Q,$J5,'임대사업(E)'!$C:$C,$L$1),
    SUMIFS('환경부사업(F)'!$I:$I,'환경부사업(F)'!$G:$G,Y$2,'환경부사업(F)'!$Q:$Q,$J5,'환경부사업(F)'!$C:$C,$L$1),
    SUMIFS('프로젝트(G)'!$I:$I,'프로젝트(G)'!$G:$G,Y$2,'프로젝트(G)'!$Q:$Q,$J5,'프로젝트(G)'!$C:$C,$L$1),
    SUMIFS('협력사 EPC(H)'!$I:$I,'협력사 EPC(H)'!$G:$G,Y$2,'협력사 EPC(H)'!$Q:$Q,$J5,'협력사 EPC(H)'!$C:$C,$L$1),
    SUMIFS('기타(Z)'!$I:$I,'기타(Z)'!$G:$G,Y$2,'기타(Z)'!$Q:$Q,$J5,'기타(Z)'!$C:$C,$L$1)
  )=0,
  "",
  SUM(
    SUMIFS('발전사업(A)'!$I:$I,'발전사업(A)'!$G:$G,Y$2,'발전사업(A)'!$Q:$Q,$J5,'발전사업(A)'!$C:$C,$L$1),
    SUMIFS('자가소비(B)'!$I:$I,'자가소비(B)'!$G:$G,Y$2,'자가소비(B)'!$Q:$Q,$J5,'자가소비(B)'!$C:$C,$L$1),
    SUMIFS('PPA 사업(C)'!$I:$I,'PPA 사업(C)'!$G:$G,Y$2,'PPA 사업(C)'!$Q:$Q,$J5,'PPA 사업(C)'!$C:$C,$L$1),
    SUMIFS('리스사업(D)'!$I:$I,'리스사업(D)'!$G:$G,Y$2,'리스사업(D)'!$Q:$Q,$J5,'리스사업(D)'!$C:$C,$L$1),
    SUMIFS('임대사업(E)'!$I:$I,'임대사업(E)'!$G:$G,Y$2,'임대사업(E)'!$Q:$Q,$J5,'임대사업(E)'!$C:$C,$L$1),
    SUMIFS('환경부사업(F)'!$I:$I,'환경부사업(F)'!$G:$G,Y$2,'환경부사업(F)'!$Q:$Q,$J5,'환경부사업(F)'!$C:$C,$L$1),
    SUMIFS('프로젝트(G)'!$I:$I,'프로젝트(G)'!$G:$G,Y$2,'프로젝트(G)'!$Q:$Q,$J5,'프로젝트(G)'!$C:$C,$L$1),
    SUMIFS('협력사 EPC(H)'!$I:$I,'협력사 EPC(H)'!$G:$G,Y$2,'협력사 EPC(H)'!$Q:$Q,$J5,'협력사 EPC(H)'!$C:$C,$L$1),
    SUMIFS('기타(Z)'!$I:$I,'기타(Z)'!$G:$G,Y$2,'기타(Z)'!$Q:$Q,$J5,'기타(Z)'!$C:$C,$L$1)
  )
)</f>
        <v/>
      </c>
      <c r="Z5" s="387" t="str">
        <f>IF(
  SUM(
    COUNTIFS('발전사업(A)'!$G:$G, Y$2, '발전사업(A)'!$Q:$Q, $J5, '발전사업(A)'!$C:$C, $L$1),
    COUNTIFS('자가소비(B)'!$G:$G, Y$2, '자가소비(B)'!$Q:$Q, $J5, '자가소비(B)'!$C:$C, $L$1),
    COUNTIFS('PPA 사업(C)'!$G:$G, Y$2, 'PPA 사업(C)'!$Q:$Q, $J5, 'PPA 사업(C)'!$C:$C, $L$1),
    COUNTIFS('리스사업(D)'!$G:$G, Y$2, '리스사업(D)'!$Q:$Q, $J5, '리스사업(D)'!$C:$C, $L$1),
    COUNTIFS('임대사업(E)'!$G:$G, Y$2, '임대사업(E)'!$Q:$Q, $J5, '임대사업(E)'!$C:$C, $L$1),
    COUNTIFS('환경부사업(F)'!$G:$G, Y$2, '환경부사업(F)'!$Q:$Q, $J5, '환경부사업(F)'!$C:$C, $L$1),
    COUNTIFS('프로젝트(G)'!$G:$G, Y$2, '프로젝트(G)'!$Q:$Q, $J5, '프로젝트(G)'!$C:$C, $L$1),
    COUNTIFS('협력사 EPC(H)'!$G:$G, Y$2, '협력사 EPC(H)'!$Q:$Q, $J5, '협력사 EPC(H)'!$C:$C, $L$1),
    COUNTIFS('기타(Z)'!$G:$G, Y$2, '기타(Z)'!$Q:$Q, $J5, '기타(Z)'!$C:$C, $L$1)
  ) = 0,
  "",
  COUNTIFS('발전사업(A)'!$G:$G, Y$2, '발전사업(A)'!$Q:$Q, $J5, '발전사업(A)'!$C:$C, $L$1)
  + COUNTIFS('자가소비(B)'!$G:$G, Y$2, '자가소비(B)'!$Q:$Q, $J5, '자가소비(B)'!$C:$C, $L$1)
  + COUNTIFS('PPA 사업(C)'!$G:$G, Y$2, 'PPA 사업(C)'!$Q:$Q, $J5, 'PPA 사업(C)'!$C:$C, $L$1)
  + COUNTIFS('리스사업(D)'!$G:$G, Y$2, '리스사업(D)'!$Q:$Q, $J5, '리스사업(D)'!$C:$C, $L$1)
  + COUNTIFS('임대사업(E)'!$G:$G, Y$2, '임대사업(E)'!$Q:$Q, $J5, '임대사업(E)'!$C:$C, $L$1)
  + COUNTIFS('환경부사업(F)'!$G:$G, Y$2, '환경부사업(F)'!$Q:$Q, $J5, '환경부사업(F)'!$C:$C, $L$1)
  + COUNTIFS('프로젝트(G)'!$G:$G, Y$2, '프로젝트(G)'!$Q:$Q, $J5, '프로젝트(G)'!$C:$C, $L$1)
  + COUNTIFS('협력사 EPC(H)'!$G:$G, Y$2, '협력사 EPC(H)'!$Q:$Q, $J5, '협력사 EPC(H)'!$C:$C, $L$1)
  + COUNTIFS('기타(Z)'!$G:$G, Y$2, '기타(Z)'!$Q:$Q, $J5, '기타(Z)'!$C:$C, $L$1)
)</f>
        <v/>
      </c>
      <c r="AA5" s="386" t="str">
        <f>IF(
  SUM(
    SUMIFS('발전사업(A)'!$I:$I,'발전사업(A)'!$G:$G,AA$2,'발전사업(A)'!$Q:$Q,$J5,'발전사업(A)'!$C:$C,$L$1),
    SUMIFS('자가소비(B)'!$I:$I,'자가소비(B)'!$G:$G,AA$2,'자가소비(B)'!$Q:$Q,$J5,'자가소비(B)'!$C:$C,$L$1),
    SUMIFS('PPA 사업(C)'!$I:$I,'PPA 사업(C)'!$G:$G,AA$2,'PPA 사업(C)'!$Q:$Q,$J5,'PPA 사업(C)'!$C:$C,$L$1),
    SUMIFS('리스사업(D)'!$I:$I,'리스사업(D)'!$G:$G,AA$2,'리스사업(D)'!$Q:$Q,$J5,'리스사업(D)'!$C:$C,$L$1),
    SUMIFS('임대사업(E)'!$I:$I,'임대사업(E)'!$G:$G,AA$2,'임대사업(E)'!$Q:$Q,$J5,'임대사업(E)'!$C:$C,$L$1),
    SUMIFS('환경부사업(F)'!$I:$I,'환경부사업(F)'!$G:$G,AA$2,'환경부사업(F)'!$Q:$Q,$J5,'환경부사업(F)'!$C:$C,$L$1),
    SUMIFS('프로젝트(G)'!$I:$I,'프로젝트(G)'!$G:$G,AA$2,'프로젝트(G)'!$Q:$Q,$J5,'프로젝트(G)'!$C:$C,$L$1),
    SUMIFS('협력사 EPC(H)'!$I:$I,'협력사 EPC(H)'!$G:$G,AA$2,'협력사 EPC(H)'!$Q:$Q,$J5,'협력사 EPC(H)'!$C:$C,$L$1),
    SUMIFS('기타(Z)'!$I:$I,'기타(Z)'!$G:$G,AA$2,'기타(Z)'!$Q:$Q,$J5,'기타(Z)'!$C:$C,$L$1)
  )=0,
  "",
  SUM(
    SUMIFS('발전사업(A)'!$I:$I,'발전사업(A)'!$G:$G,AA$2,'발전사업(A)'!$Q:$Q,$J5,'발전사업(A)'!$C:$C,$L$1),
    SUMIFS('자가소비(B)'!$I:$I,'자가소비(B)'!$G:$G,AA$2,'자가소비(B)'!$Q:$Q,$J5,'자가소비(B)'!$C:$C,$L$1),
    SUMIFS('PPA 사업(C)'!$I:$I,'PPA 사업(C)'!$G:$G,AA$2,'PPA 사업(C)'!$Q:$Q,$J5,'PPA 사업(C)'!$C:$C,$L$1),
    SUMIFS('리스사업(D)'!$I:$I,'리스사업(D)'!$G:$G,AA$2,'리스사업(D)'!$Q:$Q,$J5,'리스사업(D)'!$C:$C,$L$1),
    SUMIFS('임대사업(E)'!$I:$I,'임대사업(E)'!$G:$G,AA$2,'임대사업(E)'!$Q:$Q,$J5,'임대사업(E)'!$C:$C,$L$1),
    SUMIFS('환경부사업(F)'!$I:$I,'환경부사업(F)'!$G:$G,AA$2,'환경부사업(F)'!$Q:$Q,$J5,'환경부사업(F)'!$C:$C,$L$1),
    SUMIFS('프로젝트(G)'!$I:$I,'프로젝트(G)'!$G:$G,AA$2,'프로젝트(G)'!$Q:$Q,$J5,'프로젝트(G)'!$C:$C,$L$1),
    SUMIFS('협력사 EPC(H)'!$I:$I,'협력사 EPC(H)'!$G:$G,AA$2,'협력사 EPC(H)'!$Q:$Q,$J5,'협력사 EPC(H)'!$C:$C,$L$1),
    SUMIFS('기타(Z)'!$I:$I,'기타(Z)'!$G:$G,AA$2,'기타(Z)'!$Q:$Q,$J5,'기타(Z)'!$C:$C,$L$1)
  )
)</f>
        <v/>
      </c>
      <c r="AB5" s="387" t="str">
        <f>IF(
  SUM(
    COUNTIFS('발전사업(A)'!$G:$G, AA$2, '발전사업(A)'!$Q:$Q, $J5, '발전사업(A)'!$C:$C, $L$1),
    COUNTIFS('자가소비(B)'!$G:$G, AA$2, '자가소비(B)'!$Q:$Q, $J5, '자가소비(B)'!$C:$C, $L$1),
    COUNTIFS('PPA 사업(C)'!$G:$G, AA$2, 'PPA 사업(C)'!$Q:$Q, $J5, 'PPA 사업(C)'!$C:$C, $L$1),
    COUNTIFS('리스사업(D)'!$G:$G, AA$2, '리스사업(D)'!$Q:$Q, $J5, '리스사업(D)'!$C:$C, $L$1),
    COUNTIFS('임대사업(E)'!$G:$G, AA$2, '임대사업(E)'!$Q:$Q, $J5, '임대사업(E)'!$C:$C, $L$1),
    COUNTIFS('환경부사업(F)'!$G:$G, AA$2, '환경부사업(F)'!$Q:$Q, $J5, '환경부사업(F)'!$C:$C, $L$1),
    COUNTIFS('프로젝트(G)'!$G:$G, AA$2, '프로젝트(G)'!$Q:$Q, $J5, '프로젝트(G)'!$C:$C, $L$1),
    COUNTIFS('협력사 EPC(H)'!$G:$G, AA$2, '협력사 EPC(H)'!$Q:$Q, $J5, '협력사 EPC(H)'!$C:$C, $L$1),
    COUNTIFS('기타(Z)'!$G:$G, AA$2, '기타(Z)'!$Q:$Q, $J5, '기타(Z)'!$C:$C, $L$1)
  ) = 0,
  "",
  COUNTIFS('발전사업(A)'!$G:$G, AA$2, '발전사업(A)'!$Q:$Q, $J5, '발전사업(A)'!$C:$C, $L$1)
  + COUNTIFS('자가소비(B)'!$G:$G, AA$2, '자가소비(B)'!$Q:$Q, $J5, '자가소비(B)'!$C:$C, $L$1)
  + COUNTIFS('PPA 사업(C)'!$G:$G, AA$2, 'PPA 사업(C)'!$Q:$Q, $J5, 'PPA 사업(C)'!$C:$C, $L$1)
  + COUNTIFS('리스사업(D)'!$G:$G, AA$2, '리스사업(D)'!$Q:$Q, $J5, '리스사업(D)'!$C:$C, $L$1)
  + COUNTIFS('임대사업(E)'!$G:$G, AA$2, '임대사업(E)'!$Q:$Q, $J5, '임대사업(E)'!$C:$C, $L$1)
  + COUNTIFS('환경부사업(F)'!$G:$G, AA$2, '환경부사업(F)'!$Q:$Q, $J5, '환경부사업(F)'!$C:$C, $L$1)
  + COUNTIFS('프로젝트(G)'!$G:$G, AA$2, '프로젝트(G)'!$Q:$Q, $J5, '프로젝트(G)'!$C:$C, $L$1)
  + COUNTIFS('협력사 EPC(H)'!$G:$G, AA$2, '협력사 EPC(H)'!$Q:$Q, $J5, '협력사 EPC(H)'!$C:$C, $L$1)
  + COUNTIFS('기타(Z)'!$G:$G, AA$2, '기타(Z)'!$Q:$Q, $J5, '기타(Z)'!$C:$C, $L$1)
)</f>
        <v/>
      </c>
      <c r="AC5" s="386" t="str">
        <f>IF(
  SUM(
    SUMIFS('발전사업(A)'!$I:$I,'발전사업(A)'!$G:$G,AC$2,'발전사업(A)'!$Q:$Q,$J5,'발전사업(A)'!$C:$C,$L$1),
    SUMIFS('자가소비(B)'!$I:$I,'자가소비(B)'!$G:$G,AC$2,'자가소비(B)'!$Q:$Q,$J5,'자가소비(B)'!$C:$C,$L$1),
    SUMIFS('PPA 사업(C)'!$I:$I,'PPA 사업(C)'!$G:$G,AC$2,'PPA 사업(C)'!$Q:$Q,$J5,'PPA 사업(C)'!$C:$C,$L$1),
    SUMIFS('리스사업(D)'!$I:$I,'리스사업(D)'!$G:$G,AC$2,'리스사업(D)'!$Q:$Q,$J5,'리스사업(D)'!$C:$C,$L$1),
    SUMIFS('임대사업(E)'!$I:$I,'임대사업(E)'!$G:$G,AC$2,'임대사업(E)'!$Q:$Q,$J5,'임대사업(E)'!$C:$C,$L$1),
    SUMIFS('환경부사업(F)'!$I:$I,'환경부사업(F)'!$G:$G,AC$2,'환경부사업(F)'!$Q:$Q,$J5,'환경부사업(F)'!$C:$C,$L$1),
    SUMIFS('프로젝트(G)'!$I:$I,'프로젝트(G)'!$G:$G,AC$2,'프로젝트(G)'!$Q:$Q,$J5,'프로젝트(G)'!$C:$C,$L$1),
    SUMIFS('협력사 EPC(H)'!$I:$I,'협력사 EPC(H)'!$G:$G,AC$2,'협력사 EPC(H)'!$Q:$Q,$J5,'협력사 EPC(H)'!$C:$C,$L$1),
    SUMIFS('기타(Z)'!$I:$I,'기타(Z)'!$G:$G,AC$2,'기타(Z)'!$Q:$Q,$J5,'기타(Z)'!$C:$C,$L$1)
  )=0,
  "",
  SUM(
    SUMIFS('발전사업(A)'!$I:$I,'발전사업(A)'!$G:$G,AC$2,'발전사업(A)'!$Q:$Q,$J5,'발전사업(A)'!$C:$C,$L$1),
    SUMIFS('자가소비(B)'!$I:$I,'자가소비(B)'!$G:$G,AC$2,'자가소비(B)'!$Q:$Q,$J5,'자가소비(B)'!$C:$C,$L$1),
    SUMIFS('PPA 사업(C)'!$I:$I,'PPA 사업(C)'!$G:$G,AC$2,'PPA 사업(C)'!$Q:$Q,$J5,'PPA 사업(C)'!$C:$C,$L$1),
    SUMIFS('리스사업(D)'!$I:$I,'리스사업(D)'!$G:$G,AC$2,'리스사업(D)'!$Q:$Q,$J5,'리스사업(D)'!$C:$C,$L$1),
    SUMIFS('임대사업(E)'!$I:$I,'임대사업(E)'!$G:$G,AC$2,'임대사업(E)'!$Q:$Q,$J5,'임대사업(E)'!$C:$C,$L$1),
    SUMIFS('환경부사업(F)'!$I:$I,'환경부사업(F)'!$G:$G,AC$2,'환경부사업(F)'!$Q:$Q,$J5,'환경부사업(F)'!$C:$C,$L$1),
    SUMIFS('프로젝트(G)'!$I:$I,'프로젝트(G)'!$G:$G,AC$2,'프로젝트(G)'!$Q:$Q,$J5,'프로젝트(G)'!$C:$C,$L$1),
    SUMIFS('협력사 EPC(H)'!$I:$I,'협력사 EPC(H)'!$G:$G,AC$2,'협력사 EPC(H)'!$Q:$Q,$J5,'협력사 EPC(H)'!$C:$C,$L$1),
    SUMIFS('기타(Z)'!$I:$I,'기타(Z)'!$G:$G,AC$2,'기타(Z)'!$Q:$Q,$J5,'기타(Z)'!$C:$C,$L$1)
  )
)</f>
        <v/>
      </c>
      <c r="AD5" s="387" t="str">
        <f>IF(
  SUM(
    COUNTIFS('발전사업(A)'!$G:$G, AC$2, '발전사업(A)'!$Q:$Q, $J5, '발전사업(A)'!$C:$C, $L$1),
    COUNTIFS('자가소비(B)'!$G:$G, AC$2, '자가소비(B)'!$Q:$Q, $J5, '자가소비(B)'!$C:$C, $L$1),
    COUNTIFS('PPA 사업(C)'!$G:$G, AC$2, 'PPA 사업(C)'!$Q:$Q, $J5, 'PPA 사업(C)'!$C:$C, $L$1),
    COUNTIFS('리스사업(D)'!$G:$G, AC$2, '리스사업(D)'!$Q:$Q, $J5, '리스사업(D)'!$C:$C, $L$1),
    COUNTIFS('임대사업(E)'!$G:$G, AC$2, '임대사업(E)'!$Q:$Q, $J5, '임대사업(E)'!$C:$C, $L$1),
    COUNTIFS('환경부사업(F)'!$G:$G, AC$2, '환경부사업(F)'!$Q:$Q, $J5, '환경부사업(F)'!$C:$C, $L$1),
    COUNTIFS('프로젝트(G)'!$G:$G, AC$2, '프로젝트(G)'!$Q:$Q, $J5, '프로젝트(G)'!$C:$C, $L$1),
    COUNTIFS('협력사 EPC(H)'!$G:$G, AC$2, '협력사 EPC(H)'!$Q:$Q, $J5, '협력사 EPC(H)'!$C:$C, $L$1),
    COUNTIFS('기타(Z)'!$G:$G, AC$2, '기타(Z)'!$Q:$Q, $J5, '기타(Z)'!$C:$C, $L$1)
  ) = 0,
  "",
  COUNTIFS('발전사업(A)'!$G:$G, AC$2, '발전사업(A)'!$Q:$Q, $J5, '발전사업(A)'!$C:$C, $L$1)
  + COUNTIFS('자가소비(B)'!$G:$G, AC$2, '자가소비(B)'!$Q:$Q, $J5, '자가소비(B)'!$C:$C, $L$1)
  + COUNTIFS('PPA 사업(C)'!$G:$G, AC$2, 'PPA 사업(C)'!$Q:$Q, $J5, 'PPA 사업(C)'!$C:$C, $L$1)
  + COUNTIFS('리스사업(D)'!$G:$G, AC$2, '리스사업(D)'!$Q:$Q, $J5, '리스사업(D)'!$C:$C, $L$1)
  + COUNTIFS('임대사업(E)'!$G:$G, AC$2, '임대사업(E)'!$Q:$Q, $J5, '임대사업(E)'!$C:$C, $L$1)
  + COUNTIFS('환경부사업(F)'!$G:$G, AC$2, '환경부사업(F)'!$Q:$Q, $J5, '환경부사업(F)'!$C:$C, $L$1)
  + COUNTIFS('프로젝트(G)'!$G:$G, AC$2, '프로젝트(G)'!$Q:$Q, $J5, '프로젝트(G)'!$C:$C, $L$1)
  + COUNTIFS('협력사 EPC(H)'!$G:$G, AC$2, '협력사 EPC(H)'!$Q:$Q, $J5, '협력사 EPC(H)'!$C:$C, $L$1)
  + COUNTIFS('기타(Z)'!$G:$G, AC$2, '기타(Z)'!$Q:$Q, $J5, '기타(Z)'!$C:$C, $L$1)
)</f>
        <v/>
      </c>
      <c r="AE5" s="386" t="str">
        <f>IF(
  SUM(
    SUMIFS('발전사업(A)'!$I:$I,'발전사업(A)'!$G:$G,AE$2,'발전사업(A)'!$Q:$Q,$J5,'발전사업(A)'!$C:$C,$L$1),
    SUMIFS('자가소비(B)'!$I:$I,'자가소비(B)'!$G:$G,AE$2,'자가소비(B)'!$Q:$Q,$J5,'자가소비(B)'!$C:$C,$L$1),
    SUMIFS('PPA 사업(C)'!$I:$I,'PPA 사업(C)'!$G:$G,AE$2,'PPA 사업(C)'!$Q:$Q,$J5,'PPA 사업(C)'!$C:$C,$L$1),
    SUMIFS('리스사업(D)'!$I:$I,'리스사업(D)'!$G:$G,AE$2,'리스사업(D)'!$Q:$Q,$J5,'리스사업(D)'!$C:$C,$L$1),
    SUMIFS('임대사업(E)'!$I:$I,'임대사업(E)'!$G:$G,AE$2,'임대사업(E)'!$Q:$Q,$J5,'임대사업(E)'!$C:$C,$L$1),
    SUMIFS('환경부사업(F)'!$I:$I,'환경부사업(F)'!$G:$G,AE$2,'환경부사업(F)'!$Q:$Q,$J5,'환경부사업(F)'!$C:$C,$L$1),
    SUMIFS('프로젝트(G)'!$I:$I,'프로젝트(G)'!$G:$G,AE$2,'프로젝트(G)'!$Q:$Q,$J5,'프로젝트(G)'!$C:$C,$L$1),
    SUMIFS('협력사 EPC(H)'!$I:$I,'협력사 EPC(H)'!$G:$G,AE$2,'협력사 EPC(H)'!$Q:$Q,$J5,'협력사 EPC(H)'!$C:$C,$L$1),
    SUMIFS('기타(Z)'!$I:$I,'기타(Z)'!$G:$G,AE$2,'기타(Z)'!$Q:$Q,$J5,'기타(Z)'!$C:$C,$L$1)
  )=0,
  "",
  SUM(
    SUMIFS('발전사업(A)'!$I:$I,'발전사업(A)'!$G:$G,AE$2,'발전사업(A)'!$Q:$Q,$J5,'발전사업(A)'!$C:$C,$L$1),
    SUMIFS('자가소비(B)'!$I:$I,'자가소비(B)'!$G:$G,AE$2,'자가소비(B)'!$Q:$Q,$J5,'자가소비(B)'!$C:$C,$L$1),
    SUMIFS('PPA 사업(C)'!$I:$I,'PPA 사업(C)'!$G:$G,AE$2,'PPA 사업(C)'!$Q:$Q,$J5,'PPA 사업(C)'!$C:$C,$L$1),
    SUMIFS('리스사업(D)'!$I:$I,'리스사업(D)'!$G:$G,AE$2,'리스사업(D)'!$Q:$Q,$J5,'리스사업(D)'!$C:$C,$L$1),
    SUMIFS('임대사업(E)'!$I:$I,'임대사업(E)'!$G:$G,AE$2,'임대사업(E)'!$Q:$Q,$J5,'임대사업(E)'!$C:$C,$L$1),
    SUMIFS('환경부사업(F)'!$I:$I,'환경부사업(F)'!$G:$G,AE$2,'환경부사업(F)'!$Q:$Q,$J5,'환경부사업(F)'!$C:$C,$L$1),
    SUMIFS('프로젝트(G)'!$I:$I,'프로젝트(G)'!$G:$G,AE$2,'프로젝트(G)'!$Q:$Q,$J5,'프로젝트(G)'!$C:$C,$L$1),
    SUMIFS('협력사 EPC(H)'!$I:$I,'협력사 EPC(H)'!$G:$G,AE$2,'협력사 EPC(H)'!$Q:$Q,$J5,'협력사 EPC(H)'!$C:$C,$L$1),
    SUMIFS('기타(Z)'!$I:$I,'기타(Z)'!$G:$G,AE$2,'기타(Z)'!$Q:$Q,$J5,'기타(Z)'!$C:$C,$L$1)
  )
)</f>
        <v/>
      </c>
      <c r="AF5" s="387" t="str">
        <f>IF(
  SUM(
    COUNTIFS('발전사업(A)'!$G:$G, AE$2, '발전사업(A)'!$Q:$Q, $J5, '발전사업(A)'!$C:$C, $L$1),
    COUNTIFS('자가소비(B)'!$G:$G, AE$2, '자가소비(B)'!$Q:$Q, $J5, '자가소비(B)'!$C:$C, $L$1),
    COUNTIFS('PPA 사업(C)'!$G:$G, AE$2, 'PPA 사업(C)'!$Q:$Q, $J5, 'PPA 사업(C)'!$C:$C, $L$1),
    COUNTIFS('리스사업(D)'!$G:$G, AE$2, '리스사업(D)'!$Q:$Q, $J5, '리스사업(D)'!$C:$C, $L$1),
    COUNTIFS('임대사업(E)'!$G:$G, AE$2, '임대사업(E)'!$Q:$Q, $J5, '임대사업(E)'!$C:$C, $L$1),
    COUNTIFS('환경부사업(F)'!$G:$G, AE$2, '환경부사업(F)'!$Q:$Q, $J5, '환경부사업(F)'!$C:$C, $L$1),
    COUNTIFS('프로젝트(G)'!$G:$G, AE$2, '프로젝트(G)'!$Q:$Q, $J5, '프로젝트(G)'!$C:$C, $L$1),
    COUNTIFS('협력사 EPC(H)'!$G:$G, AE$2, '협력사 EPC(H)'!$Q:$Q, $J5, '협력사 EPC(H)'!$C:$C, $L$1),
    COUNTIFS('기타(Z)'!$G:$G, AE$2, '기타(Z)'!$Q:$Q, $J5, '기타(Z)'!$C:$C, $L$1)
  ) = 0,
  "",
  COUNTIFS('발전사업(A)'!$G:$G, AE$2, '발전사업(A)'!$Q:$Q, $J5, '발전사업(A)'!$C:$C, $L$1)
  + COUNTIFS('자가소비(B)'!$G:$G, AE$2, '자가소비(B)'!$Q:$Q, $J5, '자가소비(B)'!$C:$C, $L$1)
  + COUNTIFS('PPA 사업(C)'!$G:$G, AE$2, 'PPA 사업(C)'!$Q:$Q, $J5, 'PPA 사업(C)'!$C:$C, $L$1)
  + COUNTIFS('리스사업(D)'!$G:$G, AE$2, '리스사업(D)'!$Q:$Q, $J5, '리스사업(D)'!$C:$C, $L$1)
  + COUNTIFS('임대사업(E)'!$G:$G, AE$2, '임대사업(E)'!$Q:$Q, $J5, '임대사업(E)'!$C:$C, $L$1)
  + COUNTIFS('환경부사업(F)'!$G:$G, AE$2, '환경부사업(F)'!$Q:$Q, $J5, '환경부사업(F)'!$C:$C, $L$1)
  + COUNTIFS('프로젝트(G)'!$G:$G, AE$2, '프로젝트(G)'!$Q:$Q, $J5, '프로젝트(G)'!$C:$C, $L$1)
  + COUNTIFS('협력사 EPC(H)'!$G:$G, AE$2, '협력사 EPC(H)'!$Q:$Q, $J5, '협력사 EPC(H)'!$C:$C, $L$1)
  + COUNTIFS('기타(Z)'!$G:$G, AE$2, '기타(Z)'!$Q:$Q, $J5, '기타(Z)'!$C:$C, $L$1)
)</f>
        <v/>
      </c>
      <c r="AG5" s="386">
        <f>IF(
  SUM(
    SUMIFS('발전사업(A)'!$I:$I,'발전사업(A)'!$G:$G,AG$2,'발전사업(A)'!$Q:$Q,$J5,'발전사업(A)'!$C:$C,$L$1),
    SUMIFS('자가소비(B)'!$I:$I,'자가소비(B)'!$G:$G,AG$2,'자가소비(B)'!$Q:$Q,$J5,'자가소비(B)'!$C:$C,$L$1),
    SUMIFS('PPA 사업(C)'!$I:$I,'PPA 사업(C)'!$G:$G,AG$2,'PPA 사업(C)'!$Q:$Q,$J5,'PPA 사업(C)'!$C:$C,$L$1),
    SUMIFS('리스사업(D)'!$I:$I,'리스사업(D)'!$G:$G,AG$2,'리스사업(D)'!$Q:$Q,$J5,'리스사업(D)'!$C:$C,$L$1),
    SUMIFS('임대사업(E)'!$I:$I,'임대사업(E)'!$G:$G,AG$2,'임대사업(E)'!$Q:$Q,$J5,'임대사업(E)'!$C:$C,$L$1),
    SUMIFS('환경부사업(F)'!$I:$I,'환경부사업(F)'!$G:$G,AG$2,'환경부사업(F)'!$Q:$Q,$J5,'환경부사업(F)'!$C:$C,$L$1),
    SUMIFS('프로젝트(G)'!$I:$I,'프로젝트(G)'!$G:$G,AG$2,'프로젝트(G)'!$Q:$Q,$J5,'프로젝트(G)'!$C:$C,$L$1),
    SUMIFS('협력사 EPC(H)'!$I:$I,'협력사 EPC(H)'!$G:$G,AG$2,'협력사 EPC(H)'!$Q:$Q,$J5,'협력사 EPC(H)'!$C:$C,$L$1),
    SUMIFS('기타(Z)'!$I:$I,'기타(Z)'!$G:$G,AG$2,'기타(Z)'!$Q:$Q,$J5,'기타(Z)'!$C:$C,$L$1)
  )=0,
  "",
  SUM(
    SUMIFS('발전사업(A)'!$I:$I,'발전사업(A)'!$G:$G,AG$2,'발전사업(A)'!$Q:$Q,$J5,'발전사업(A)'!$C:$C,$L$1),
    SUMIFS('자가소비(B)'!$I:$I,'자가소비(B)'!$G:$G,AG$2,'자가소비(B)'!$Q:$Q,$J5,'자가소비(B)'!$C:$C,$L$1),
    SUMIFS('PPA 사업(C)'!$I:$I,'PPA 사업(C)'!$G:$G,AG$2,'PPA 사업(C)'!$Q:$Q,$J5,'PPA 사업(C)'!$C:$C,$L$1),
    SUMIFS('리스사업(D)'!$I:$I,'리스사업(D)'!$G:$G,AG$2,'리스사업(D)'!$Q:$Q,$J5,'리스사업(D)'!$C:$C,$L$1),
    SUMIFS('임대사업(E)'!$I:$I,'임대사업(E)'!$G:$G,AG$2,'임대사업(E)'!$Q:$Q,$J5,'임대사업(E)'!$C:$C,$L$1),
    SUMIFS('환경부사업(F)'!$I:$I,'환경부사업(F)'!$G:$G,AG$2,'환경부사업(F)'!$Q:$Q,$J5,'환경부사업(F)'!$C:$C,$L$1),
    SUMIFS('프로젝트(G)'!$I:$I,'프로젝트(G)'!$G:$G,AG$2,'프로젝트(G)'!$Q:$Q,$J5,'프로젝트(G)'!$C:$C,$L$1),
    SUMIFS('협력사 EPC(H)'!$I:$I,'협력사 EPC(H)'!$G:$G,AG$2,'협력사 EPC(H)'!$Q:$Q,$J5,'협력사 EPC(H)'!$C:$C,$L$1),
    SUMIFS('기타(Z)'!$I:$I,'기타(Z)'!$G:$G,AG$2,'기타(Z)'!$Q:$Q,$J5,'기타(Z)'!$C:$C,$L$1)
  )
)</f>
        <v>1201.2649999999999</v>
      </c>
      <c r="AH5" s="387">
        <f>IF(
  SUM(
    COUNTIFS('발전사업(A)'!$G:$G, AG$2, '발전사업(A)'!$Q:$Q, $J5, '발전사업(A)'!$C:$C, $L$1),
    COUNTIFS('자가소비(B)'!$G:$G, AG$2, '자가소비(B)'!$Q:$Q, $J5, '자가소비(B)'!$C:$C, $L$1),
    COUNTIFS('PPA 사업(C)'!$G:$G, AG$2, 'PPA 사업(C)'!$Q:$Q, $J5, 'PPA 사업(C)'!$C:$C, $L$1),
    COUNTIFS('리스사업(D)'!$G:$G, AG$2, '리스사업(D)'!$Q:$Q, $J5, '리스사업(D)'!$C:$C, $L$1),
    COUNTIFS('임대사업(E)'!$G:$G, AG$2, '임대사업(E)'!$Q:$Q, $J5, '임대사업(E)'!$C:$C, $L$1),
    COUNTIFS('환경부사업(F)'!$G:$G, AG$2, '환경부사업(F)'!$Q:$Q, $J5, '환경부사업(F)'!$C:$C, $L$1),
    COUNTIFS('프로젝트(G)'!$G:$G, AG$2, '프로젝트(G)'!$Q:$Q, $J5, '프로젝트(G)'!$C:$C, $L$1),
    COUNTIFS('협력사 EPC(H)'!$G:$G, AG$2, '협력사 EPC(H)'!$Q:$Q, $J5, '협력사 EPC(H)'!$C:$C, $L$1),
    COUNTIFS('기타(Z)'!$G:$G, AG$2, '기타(Z)'!$Q:$Q, $J5, '기타(Z)'!$C:$C, $L$1)
  ) = 0,
  "",
  COUNTIFS('발전사업(A)'!$G:$G, AG$2, '발전사업(A)'!$Q:$Q, $J5, '발전사업(A)'!$C:$C, $L$1)
  + COUNTIFS('자가소비(B)'!$G:$G, AG$2, '자가소비(B)'!$Q:$Q, $J5, '자가소비(B)'!$C:$C, $L$1)
  + COUNTIFS('PPA 사업(C)'!$G:$G, AG$2, 'PPA 사업(C)'!$Q:$Q, $J5, 'PPA 사업(C)'!$C:$C, $L$1)
  + COUNTIFS('리스사업(D)'!$G:$G, AG$2, '리스사업(D)'!$Q:$Q, $J5, '리스사업(D)'!$C:$C, $L$1)
  + COUNTIFS('임대사업(E)'!$G:$G, AG$2, '임대사업(E)'!$Q:$Q, $J5, '임대사업(E)'!$C:$C, $L$1)
  + COUNTIFS('환경부사업(F)'!$G:$G, AG$2, '환경부사업(F)'!$Q:$Q, $J5, '환경부사업(F)'!$C:$C, $L$1)
  + COUNTIFS('프로젝트(G)'!$G:$G, AG$2, '프로젝트(G)'!$Q:$Q, $J5, '프로젝트(G)'!$C:$C, $L$1)
  + COUNTIFS('협력사 EPC(H)'!$G:$G, AG$2, '협력사 EPC(H)'!$Q:$Q, $J5, '협력사 EPC(H)'!$C:$C, $L$1)
  + COUNTIFS('기타(Z)'!$G:$G, AG$2, '기타(Z)'!$Q:$Q, $J5, '기타(Z)'!$C:$C, $L$1)
)</f>
        <v>4</v>
      </c>
      <c r="AI5" s="386" t="str">
        <f>IF(
  SUM(
    SUMIFS('발전사업(A)'!$I:$I,'발전사업(A)'!$G:$G,AI$2,'발전사업(A)'!$Q:$Q,$J5,'발전사업(A)'!$C:$C,$L$1),
    SUMIFS('자가소비(B)'!$I:$I,'자가소비(B)'!$G:$G,AI$2,'자가소비(B)'!$Q:$Q,$J5,'자가소비(B)'!$C:$C,$L$1),
    SUMIFS('PPA 사업(C)'!$I:$I,'PPA 사업(C)'!$G:$G,AI$2,'PPA 사업(C)'!$Q:$Q,$J5,'PPA 사업(C)'!$C:$C,$L$1),
    SUMIFS('리스사업(D)'!$I:$I,'리스사업(D)'!$G:$G,AI$2,'리스사업(D)'!$Q:$Q,$J5,'리스사업(D)'!$C:$C,$L$1),
    SUMIFS('임대사업(E)'!$I:$I,'임대사업(E)'!$G:$G,AI$2,'임대사업(E)'!$Q:$Q,$J5,'임대사업(E)'!$C:$C,$L$1),
    SUMIFS('환경부사업(F)'!$I:$I,'환경부사업(F)'!$G:$G,AI$2,'환경부사업(F)'!$Q:$Q,$J5,'환경부사업(F)'!$C:$C,$L$1),
    SUMIFS('프로젝트(G)'!$I:$I,'프로젝트(G)'!$G:$G,AI$2,'프로젝트(G)'!$Q:$Q,$J5,'프로젝트(G)'!$C:$C,$L$1),
    SUMIFS('협력사 EPC(H)'!$I:$I,'협력사 EPC(H)'!$G:$G,AI$2,'협력사 EPC(H)'!$Q:$Q,$J5,'협력사 EPC(H)'!$C:$C,$L$1),
    SUMIFS('기타(Z)'!$I:$I,'기타(Z)'!$G:$G,AI$2,'기타(Z)'!$Q:$Q,$J5,'기타(Z)'!$C:$C,$L$1)
  )=0,
  "",
  SUM(
    SUMIFS('발전사업(A)'!$I:$I,'발전사업(A)'!$G:$G,AI$2,'발전사업(A)'!$Q:$Q,$J5,'발전사업(A)'!$C:$C,$L$1),
    SUMIFS('자가소비(B)'!$I:$I,'자가소비(B)'!$G:$G,AI$2,'자가소비(B)'!$Q:$Q,$J5,'자가소비(B)'!$C:$C,$L$1),
    SUMIFS('PPA 사업(C)'!$I:$I,'PPA 사업(C)'!$G:$G,AI$2,'PPA 사업(C)'!$Q:$Q,$J5,'PPA 사업(C)'!$C:$C,$L$1),
    SUMIFS('리스사업(D)'!$I:$I,'리스사업(D)'!$G:$G,AI$2,'리스사업(D)'!$Q:$Q,$J5,'리스사업(D)'!$C:$C,$L$1),
    SUMIFS('임대사업(E)'!$I:$I,'임대사업(E)'!$G:$G,AI$2,'임대사업(E)'!$Q:$Q,$J5,'임대사업(E)'!$C:$C,$L$1),
    SUMIFS('환경부사업(F)'!$I:$I,'환경부사업(F)'!$G:$G,AI$2,'환경부사업(F)'!$Q:$Q,$J5,'환경부사업(F)'!$C:$C,$L$1),
    SUMIFS('프로젝트(G)'!$I:$I,'프로젝트(G)'!$G:$G,AI$2,'프로젝트(G)'!$Q:$Q,$J5,'프로젝트(G)'!$C:$C,$L$1),
    SUMIFS('협력사 EPC(H)'!$I:$I,'협력사 EPC(H)'!$G:$G,AI$2,'협력사 EPC(H)'!$Q:$Q,$J5,'협력사 EPC(H)'!$C:$C,$L$1),
    SUMIFS('기타(Z)'!$I:$I,'기타(Z)'!$G:$G,AI$2,'기타(Z)'!$Q:$Q,$J5,'기타(Z)'!$C:$C,$L$1)
  )
)</f>
        <v/>
      </c>
      <c r="AJ5" s="385" t="str">
        <f>IF(
  SUM(
    COUNTIFS('발전사업(A)'!$G:$G, AI$2, '발전사업(A)'!$Q:$Q, $J5, '발전사업(A)'!$C:$C, $L$1),
    COUNTIFS('자가소비(B)'!$G:$G, AI$2, '자가소비(B)'!$Q:$Q, $J5, '자가소비(B)'!$C:$C, $L$1),
    COUNTIFS('PPA 사업(C)'!$G:$G, AI$2, 'PPA 사업(C)'!$Q:$Q, $J5, 'PPA 사업(C)'!$C:$C, $L$1),
    COUNTIFS('리스사업(D)'!$G:$G, AI$2, '리스사업(D)'!$Q:$Q, $J5, '리스사업(D)'!$C:$C, $L$1),
    COUNTIFS('임대사업(E)'!$G:$G, AI$2, '임대사업(E)'!$Q:$Q, $J5, '임대사업(E)'!$C:$C, $L$1),
    COUNTIFS('환경부사업(F)'!$G:$G, AI$2, '환경부사업(F)'!$Q:$Q, $J5, '환경부사업(F)'!$C:$C, $L$1),
    COUNTIFS('프로젝트(G)'!$G:$G, AI$2, '프로젝트(G)'!$Q:$Q, $J5, '프로젝트(G)'!$C:$C, $L$1),
    COUNTIFS('협력사 EPC(H)'!$G:$G, AI$2, '협력사 EPC(H)'!$Q:$Q, $J5, '협력사 EPC(H)'!$C:$C, $L$1),
    COUNTIFS('기타(Z)'!$G:$G, AI$2, '기타(Z)'!$Q:$Q, $J5, '기타(Z)'!$C:$C, $L$1)
  ) = 0,
  "",
  COUNTIFS('발전사업(A)'!$G:$G, AI$2, '발전사업(A)'!$Q:$Q, $J5, '발전사업(A)'!$C:$C, $L$1)
  + COUNTIFS('자가소비(B)'!$G:$G, AI$2, '자가소비(B)'!$Q:$Q, $J5, '자가소비(B)'!$C:$C, $L$1)
  + COUNTIFS('PPA 사업(C)'!$G:$G, AI$2, 'PPA 사업(C)'!$Q:$Q, $J5, 'PPA 사업(C)'!$C:$C, $L$1)
  + COUNTIFS('리스사업(D)'!$G:$G, AI$2, '리스사업(D)'!$Q:$Q, $J5, '리스사업(D)'!$C:$C, $L$1)
  + COUNTIFS('임대사업(E)'!$G:$G, AI$2, '임대사업(E)'!$Q:$Q, $J5, '임대사업(E)'!$C:$C, $L$1)
  + COUNTIFS('환경부사업(F)'!$G:$G, AI$2, '환경부사업(F)'!$Q:$Q, $J5, '환경부사업(F)'!$C:$C, $L$1)
  + COUNTIFS('프로젝트(G)'!$G:$G, AI$2, '프로젝트(G)'!$Q:$Q, $J5, '프로젝트(G)'!$C:$C, $L$1)
  + COUNTIFS('협력사 EPC(H)'!$G:$G, AI$2, '협력사 EPC(H)'!$Q:$Q, $J5, '협력사 EPC(H)'!$C:$C, $L$1)
  + COUNTIFS('기타(Z)'!$G:$G, AI$2, '기타(Z)'!$Q:$Q, $J5, '기타(Z)'!$C:$C, $L$1)
)</f>
        <v/>
      </c>
    </row>
    <row r="6" spans="2:36" ht="16.5" x14ac:dyDescent="0.25">
      <c r="B6" s="202" t="s">
        <v>260</v>
      </c>
      <c r="C6" s="280">
        <f t="shared" si="2"/>
        <v>4404.4799999999996</v>
      </c>
      <c r="D6" s="281">
        <f t="shared" si="2"/>
        <v>15</v>
      </c>
      <c r="E6" s="280">
        <f t="shared" si="3"/>
        <v>3268.4799999999996</v>
      </c>
      <c r="F6" s="281">
        <f t="shared" si="3"/>
        <v>11</v>
      </c>
      <c r="G6" s="280">
        <f t="shared" si="4"/>
        <v>1136</v>
      </c>
      <c r="H6" s="281">
        <f t="shared" si="4"/>
        <v>4</v>
      </c>
      <c r="J6" s="390" t="s">
        <v>2148</v>
      </c>
      <c r="K6" s="374">
        <f t="shared" si="0"/>
        <v>3370.88</v>
      </c>
      <c r="L6" s="368">
        <f t="shared" si="1"/>
        <v>9</v>
      </c>
      <c r="M6" s="386" t="str">
        <f>IF(
  SUM(
    SUMIFS('발전사업(A)'!$I:$I,'발전사업(A)'!$G:$G,M$2,'발전사업(A)'!$Q:$Q,$J6,'발전사업(A)'!$C:$C,$L$1),
    SUMIFS('자가소비(B)'!$I:$I,'자가소비(B)'!$G:$G,M$2,'자가소비(B)'!$Q:$Q,$J6,'자가소비(B)'!$C:$C,$L$1),
    SUMIFS('PPA 사업(C)'!$I:$I,'PPA 사업(C)'!$G:$G,M$2,'PPA 사업(C)'!$Q:$Q,$J6,'PPA 사업(C)'!$C:$C,$L$1),
    SUMIFS('리스사업(D)'!$I:$I,'리스사업(D)'!$G:$G,M$2,'리스사업(D)'!$Q:$Q,$J6,'리스사업(D)'!$C:$C,$L$1),
    SUMIFS('임대사업(E)'!$I:$I,'임대사업(E)'!$G:$G,M$2,'임대사업(E)'!$Q:$Q,$J6,'임대사업(E)'!$C:$C,$L$1),
    SUMIFS('환경부사업(F)'!$I:$I,'환경부사업(F)'!$G:$G,M$2,'환경부사업(F)'!$Q:$Q,$J6,'환경부사업(F)'!$C:$C,$L$1),
    SUMIFS('프로젝트(G)'!$I:$I,'프로젝트(G)'!$G:$G,M$2,'프로젝트(G)'!$Q:$Q,$J6,'프로젝트(G)'!$C:$C,$L$1),
    SUMIFS('협력사 EPC(H)'!$I:$I,'협력사 EPC(H)'!$G:$G,M$2,'협력사 EPC(H)'!$Q:$Q,$J6,'협력사 EPC(H)'!$C:$C,$L$1),
    SUMIFS('기타(Z)'!$I:$I,'기타(Z)'!$G:$G,M$2,'기타(Z)'!$Q:$Q,$J6,'기타(Z)'!$C:$C,$L$1)
  )=0,
  "",
  SUM(
    SUMIFS('발전사업(A)'!$I:$I,'발전사업(A)'!$G:$G,M$2,'발전사업(A)'!$Q:$Q,$J6,'발전사업(A)'!$C:$C,$L$1),
    SUMIFS('자가소비(B)'!$I:$I,'자가소비(B)'!$G:$G,M$2,'자가소비(B)'!$Q:$Q,$J6,'자가소비(B)'!$C:$C,$L$1),
    SUMIFS('PPA 사업(C)'!$I:$I,'PPA 사업(C)'!$G:$G,M$2,'PPA 사업(C)'!$Q:$Q,$J6,'PPA 사업(C)'!$C:$C,$L$1),
    SUMIFS('리스사업(D)'!$I:$I,'리스사업(D)'!$G:$G,M$2,'리스사업(D)'!$Q:$Q,$J6,'리스사업(D)'!$C:$C,$L$1),
    SUMIFS('임대사업(E)'!$I:$I,'임대사업(E)'!$G:$G,M$2,'임대사업(E)'!$Q:$Q,$J6,'임대사업(E)'!$C:$C,$L$1),
    SUMIFS('환경부사업(F)'!$I:$I,'환경부사업(F)'!$G:$G,M$2,'환경부사업(F)'!$Q:$Q,$J6,'환경부사업(F)'!$C:$C,$L$1),
    SUMIFS('프로젝트(G)'!$I:$I,'프로젝트(G)'!$G:$G,M$2,'프로젝트(G)'!$Q:$Q,$J6,'프로젝트(G)'!$C:$C,$L$1),
    SUMIFS('협력사 EPC(H)'!$I:$I,'협력사 EPC(H)'!$G:$G,M$2,'협력사 EPC(H)'!$Q:$Q,$J6,'협력사 EPC(H)'!$C:$C,$L$1),
    SUMIFS('기타(Z)'!$I:$I,'기타(Z)'!$G:$G,M$2,'기타(Z)'!$Q:$Q,$J6,'기타(Z)'!$C:$C,$L$1)
  )
)</f>
        <v/>
      </c>
      <c r="N6" s="387" t="str">
        <f>IF(
  SUM(
    COUNTIFS('발전사업(A)'!$G:$G, M$2, '발전사업(A)'!$Q:$Q, $J6, '발전사업(A)'!$C:$C, $L$1),
    COUNTIFS('자가소비(B)'!$G:$G, M$2, '자가소비(B)'!$Q:$Q, $J6, '자가소비(B)'!$C:$C, $L$1),
    COUNTIFS('PPA 사업(C)'!$G:$G, M$2, 'PPA 사업(C)'!$Q:$Q, $J6, 'PPA 사업(C)'!$C:$C, $L$1),
    COUNTIFS('리스사업(D)'!$G:$G, M$2, '리스사업(D)'!$Q:$Q, $J6, '리스사업(D)'!$C:$C, $L$1),
    COUNTIFS('임대사업(E)'!$G:$G, M$2, '임대사업(E)'!$Q:$Q, $J6, '임대사업(E)'!$C:$C, $L$1),
    COUNTIFS('환경부사업(F)'!$G:$G, M$2, '환경부사업(F)'!$Q:$Q, $J6, '환경부사업(F)'!$C:$C, $L$1),
    COUNTIFS('프로젝트(G)'!$G:$G, M$2, '프로젝트(G)'!$Q:$Q, $J6, '프로젝트(G)'!$C:$C, $L$1),
    COUNTIFS('협력사 EPC(H)'!$G:$G, M$2, '협력사 EPC(H)'!$Q:$Q, $J6, '협력사 EPC(H)'!$C:$C, $L$1),
    COUNTIFS('기타(Z)'!$G:$G, M$2, '기타(Z)'!$Q:$Q, $J6, '기타(Z)'!$C:$C, $L$1)
  ) = 0,
  "",
  COUNTIFS('발전사업(A)'!$G:$G, M$2, '발전사업(A)'!$Q:$Q, $J6, '발전사업(A)'!$C:$C, $L$1)
  + COUNTIFS('자가소비(B)'!$G:$G, M$2, '자가소비(B)'!$Q:$Q, $J6, '자가소비(B)'!$C:$C, $L$1)
  + COUNTIFS('PPA 사업(C)'!$G:$G, M$2, 'PPA 사업(C)'!$Q:$Q, $J6, 'PPA 사업(C)'!$C:$C, $L$1)
  + COUNTIFS('리스사업(D)'!$G:$G, M$2, '리스사업(D)'!$Q:$Q, $J6, '리스사업(D)'!$C:$C, $L$1)
  + COUNTIFS('임대사업(E)'!$G:$G, M$2, '임대사업(E)'!$Q:$Q, $J6, '임대사업(E)'!$C:$C, $L$1)
  + COUNTIFS('환경부사업(F)'!$G:$G, M$2, '환경부사업(F)'!$Q:$Q, $J6, '환경부사업(F)'!$C:$C, $L$1)
  + COUNTIFS('프로젝트(G)'!$G:$G, M$2, '프로젝트(G)'!$Q:$Q, $J6, '프로젝트(G)'!$C:$C, $L$1)
  + COUNTIFS('협력사 EPC(H)'!$G:$G, M$2, '협력사 EPC(H)'!$Q:$Q, $J6, '협력사 EPC(H)'!$C:$C, $L$1)
  + COUNTIFS('기타(Z)'!$G:$G, M$2, '기타(Z)'!$Q:$Q, $J6, '기타(Z)'!$C:$C, $L$1)
)</f>
        <v/>
      </c>
      <c r="O6" s="386" t="str">
        <f>IF(
  SUM(
    SUMIFS('발전사업(A)'!$I:$I,'발전사업(A)'!$G:$G,O$2,'발전사업(A)'!$Q:$Q,$J6,'발전사업(A)'!$C:$C,$L$1),
    SUMIFS('자가소비(B)'!$I:$I,'자가소비(B)'!$G:$G,O$2,'자가소비(B)'!$Q:$Q,$J6,'자가소비(B)'!$C:$C,$L$1),
    SUMIFS('PPA 사업(C)'!$I:$I,'PPA 사업(C)'!$G:$G,O$2,'PPA 사업(C)'!$Q:$Q,$J6,'PPA 사업(C)'!$C:$C,$L$1),
    SUMIFS('리스사업(D)'!$I:$I,'리스사업(D)'!$G:$G,O$2,'리스사업(D)'!$Q:$Q,$J6,'리스사업(D)'!$C:$C,$L$1),
    SUMIFS('임대사업(E)'!$I:$I,'임대사업(E)'!$G:$G,O$2,'임대사업(E)'!$Q:$Q,$J6,'임대사업(E)'!$C:$C,$L$1),
    SUMIFS('환경부사업(F)'!$I:$I,'환경부사업(F)'!$G:$G,O$2,'환경부사업(F)'!$Q:$Q,$J6,'환경부사업(F)'!$C:$C,$L$1),
    SUMIFS('프로젝트(G)'!$I:$I,'프로젝트(G)'!$G:$G,O$2,'프로젝트(G)'!$Q:$Q,$J6,'프로젝트(G)'!$C:$C,$L$1),
    SUMIFS('협력사 EPC(H)'!$I:$I,'협력사 EPC(H)'!$G:$G,O$2,'협력사 EPC(H)'!$Q:$Q,$J6,'협력사 EPC(H)'!$C:$C,$L$1),
    SUMIFS('기타(Z)'!$I:$I,'기타(Z)'!$G:$G,O$2,'기타(Z)'!$Q:$Q,$J6,'기타(Z)'!$C:$C,$L$1)
  )=0,
  "",
  SUM(
    SUMIFS('발전사업(A)'!$I:$I,'발전사업(A)'!$G:$G,O$2,'발전사업(A)'!$Q:$Q,$J6,'발전사업(A)'!$C:$C,$L$1),
    SUMIFS('자가소비(B)'!$I:$I,'자가소비(B)'!$G:$G,O$2,'자가소비(B)'!$Q:$Q,$J6,'자가소비(B)'!$C:$C,$L$1),
    SUMIFS('PPA 사업(C)'!$I:$I,'PPA 사업(C)'!$G:$G,O$2,'PPA 사업(C)'!$Q:$Q,$J6,'PPA 사업(C)'!$C:$C,$L$1),
    SUMIFS('리스사업(D)'!$I:$I,'리스사업(D)'!$G:$G,O$2,'리스사업(D)'!$Q:$Q,$J6,'리스사업(D)'!$C:$C,$L$1),
    SUMIFS('임대사업(E)'!$I:$I,'임대사업(E)'!$G:$G,O$2,'임대사업(E)'!$Q:$Q,$J6,'임대사업(E)'!$C:$C,$L$1),
    SUMIFS('환경부사업(F)'!$I:$I,'환경부사업(F)'!$G:$G,O$2,'환경부사업(F)'!$Q:$Q,$J6,'환경부사업(F)'!$C:$C,$L$1),
    SUMIFS('프로젝트(G)'!$I:$I,'프로젝트(G)'!$G:$G,O$2,'프로젝트(G)'!$Q:$Q,$J6,'프로젝트(G)'!$C:$C,$L$1),
    SUMIFS('협력사 EPC(H)'!$I:$I,'협력사 EPC(H)'!$G:$G,O$2,'협력사 EPC(H)'!$Q:$Q,$J6,'협력사 EPC(H)'!$C:$C,$L$1),
    SUMIFS('기타(Z)'!$I:$I,'기타(Z)'!$G:$G,O$2,'기타(Z)'!$Q:$Q,$J6,'기타(Z)'!$C:$C,$L$1)
  )
)</f>
        <v/>
      </c>
      <c r="P6" s="387" t="str">
        <f>IF(
  SUM(
    COUNTIFS('발전사업(A)'!$G:$G, O$2, '발전사업(A)'!$Q:$Q, $J6, '발전사업(A)'!$C:$C, $L$1),
    COUNTIFS('자가소비(B)'!$G:$G, O$2, '자가소비(B)'!$Q:$Q, $J6, '자가소비(B)'!$C:$C, $L$1),
    COUNTIFS('PPA 사업(C)'!$G:$G, O$2, 'PPA 사업(C)'!$Q:$Q, $J6, 'PPA 사업(C)'!$C:$C, $L$1),
    COUNTIFS('리스사업(D)'!$G:$G, O$2, '리스사업(D)'!$Q:$Q, $J6, '리스사업(D)'!$C:$C, $L$1),
    COUNTIFS('임대사업(E)'!$G:$G, O$2, '임대사업(E)'!$Q:$Q, $J6, '임대사업(E)'!$C:$C, $L$1),
    COUNTIFS('환경부사업(F)'!$G:$G, O$2, '환경부사업(F)'!$Q:$Q, $J6, '환경부사업(F)'!$C:$C, $L$1),
    COUNTIFS('프로젝트(G)'!$G:$G, O$2, '프로젝트(G)'!$Q:$Q, $J6, '프로젝트(G)'!$C:$C, $L$1),
    COUNTIFS('협력사 EPC(H)'!$G:$G, O$2, '협력사 EPC(H)'!$Q:$Q, $J6, '협력사 EPC(H)'!$C:$C, $L$1),
    COUNTIFS('기타(Z)'!$G:$G, O$2, '기타(Z)'!$Q:$Q, $J6, '기타(Z)'!$C:$C, $L$1)
  ) = 0,
  "",
  COUNTIFS('발전사업(A)'!$G:$G, O$2, '발전사업(A)'!$Q:$Q, $J6, '발전사업(A)'!$C:$C, $L$1)
  + COUNTIFS('자가소비(B)'!$G:$G, O$2, '자가소비(B)'!$Q:$Q, $J6, '자가소비(B)'!$C:$C, $L$1)
  + COUNTIFS('PPA 사업(C)'!$G:$G, O$2, 'PPA 사업(C)'!$Q:$Q, $J6, 'PPA 사업(C)'!$C:$C, $L$1)
  + COUNTIFS('리스사업(D)'!$G:$G, O$2, '리스사업(D)'!$Q:$Q, $J6, '리스사업(D)'!$C:$C, $L$1)
  + COUNTIFS('임대사업(E)'!$G:$G, O$2, '임대사업(E)'!$Q:$Q, $J6, '임대사업(E)'!$C:$C, $L$1)
  + COUNTIFS('환경부사업(F)'!$G:$G, O$2, '환경부사업(F)'!$Q:$Q, $J6, '환경부사업(F)'!$C:$C, $L$1)
  + COUNTIFS('프로젝트(G)'!$G:$G, O$2, '프로젝트(G)'!$Q:$Q, $J6, '프로젝트(G)'!$C:$C, $L$1)
  + COUNTIFS('협력사 EPC(H)'!$G:$G, O$2, '협력사 EPC(H)'!$Q:$Q, $J6, '협력사 EPC(H)'!$C:$C, $L$1)
  + COUNTIFS('기타(Z)'!$G:$G, O$2, '기타(Z)'!$Q:$Q, $J6, '기타(Z)'!$C:$C, $L$1)
)</f>
        <v/>
      </c>
      <c r="Q6" s="386" t="str">
        <f>IF(
  SUM(
    SUMIFS('발전사업(A)'!$I:$I,'발전사업(A)'!$G:$G,Q$2,'발전사업(A)'!$Q:$Q,$J6,'발전사업(A)'!$C:$C,$L$1),
    SUMIFS('자가소비(B)'!$I:$I,'자가소비(B)'!$G:$G,Q$2,'자가소비(B)'!$Q:$Q,$J6,'자가소비(B)'!$C:$C,$L$1),
    SUMIFS('PPA 사업(C)'!$I:$I,'PPA 사업(C)'!$G:$G,Q$2,'PPA 사업(C)'!$Q:$Q,$J6,'PPA 사업(C)'!$C:$C,$L$1),
    SUMIFS('리스사업(D)'!$I:$I,'리스사업(D)'!$G:$G,Q$2,'리스사업(D)'!$Q:$Q,$J6,'리스사업(D)'!$C:$C,$L$1),
    SUMIFS('임대사업(E)'!$I:$I,'임대사업(E)'!$G:$G,Q$2,'임대사업(E)'!$Q:$Q,$J6,'임대사업(E)'!$C:$C,$L$1),
    SUMIFS('환경부사업(F)'!$I:$I,'환경부사업(F)'!$G:$G,Q$2,'환경부사업(F)'!$Q:$Q,$J6,'환경부사업(F)'!$C:$C,$L$1),
    SUMIFS('프로젝트(G)'!$I:$I,'프로젝트(G)'!$G:$G,Q$2,'프로젝트(G)'!$Q:$Q,$J6,'프로젝트(G)'!$C:$C,$L$1),
    SUMIFS('협력사 EPC(H)'!$I:$I,'협력사 EPC(H)'!$G:$G,Q$2,'협력사 EPC(H)'!$Q:$Q,$J6,'협력사 EPC(H)'!$C:$C,$L$1),
    SUMIFS('기타(Z)'!$I:$I,'기타(Z)'!$G:$G,Q$2,'기타(Z)'!$Q:$Q,$J6,'기타(Z)'!$C:$C,$L$1)
  )=0,
  "",
  SUM(
    SUMIFS('발전사업(A)'!$I:$I,'발전사업(A)'!$G:$G,Q$2,'발전사업(A)'!$Q:$Q,$J6,'발전사업(A)'!$C:$C,$L$1),
    SUMIFS('자가소비(B)'!$I:$I,'자가소비(B)'!$G:$G,Q$2,'자가소비(B)'!$Q:$Q,$J6,'자가소비(B)'!$C:$C,$L$1),
    SUMIFS('PPA 사업(C)'!$I:$I,'PPA 사업(C)'!$G:$G,Q$2,'PPA 사업(C)'!$Q:$Q,$J6,'PPA 사업(C)'!$C:$C,$L$1),
    SUMIFS('리스사업(D)'!$I:$I,'리스사업(D)'!$G:$G,Q$2,'리스사업(D)'!$Q:$Q,$J6,'리스사업(D)'!$C:$C,$L$1),
    SUMIFS('임대사업(E)'!$I:$I,'임대사업(E)'!$G:$G,Q$2,'임대사업(E)'!$Q:$Q,$J6,'임대사업(E)'!$C:$C,$L$1),
    SUMIFS('환경부사업(F)'!$I:$I,'환경부사업(F)'!$G:$G,Q$2,'환경부사업(F)'!$Q:$Q,$J6,'환경부사업(F)'!$C:$C,$L$1),
    SUMIFS('프로젝트(G)'!$I:$I,'프로젝트(G)'!$G:$G,Q$2,'프로젝트(G)'!$Q:$Q,$J6,'프로젝트(G)'!$C:$C,$L$1),
    SUMIFS('협력사 EPC(H)'!$I:$I,'협력사 EPC(H)'!$G:$G,Q$2,'협력사 EPC(H)'!$Q:$Q,$J6,'협력사 EPC(H)'!$C:$C,$L$1),
    SUMIFS('기타(Z)'!$I:$I,'기타(Z)'!$G:$G,Q$2,'기타(Z)'!$Q:$Q,$J6,'기타(Z)'!$C:$C,$L$1)
  )
)</f>
        <v/>
      </c>
      <c r="R6" s="387" t="str">
        <f>IF(
  SUM(
    COUNTIFS('발전사업(A)'!$G:$G, Q$2, '발전사업(A)'!$Q:$Q, $J6, '발전사업(A)'!$C:$C, $L$1),
    COUNTIFS('자가소비(B)'!$G:$G, Q$2, '자가소비(B)'!$Q:$Q, $J6, '자가소비(B)'!$C:$C, $L$1),
    COUNTIFS('PPA 사업(C)'!$G:$G, Q$2, 'PPA 사업(C)'!$Q:$Q, $J6, 'PPA 사업(C)'!$C:$C, $L$1),
    COUNTIFS('리스사업(D)'!$G:$G, Q$2, '리스사업(D)'!$Q:$Q, $J6, '리스사업(D)'!$C:$C, $L$1),
    COUNTIFS('임대사업(E)'!$G:$G, Q$2, '임대사업(E)'!$Q:$Q, $J6, '임대사업(E)'!$C:$C, $L$1),
    COUNTIFS('환경부사업(F)'!$G:$G, Q$2, '환경부사업(F)'!$Q:$Q, $J6, '환경부사업(F)'!$C:$C, $L$1),
    COUNTIFS('프로젝트(G)'!$G:$G, Q$2, '프로젝트(G)'!$Q:$Q, $J6, '프로젝트(G)'!$C:$C, $L$1),
    COUNTIFS('협력사 EPC(H)'!$G:$G, Q$2, '협력사 EPC(H)'!$Q:$Q, $J6, '협력사 EPC(H)'!$C:$C, $L$1),
    COUNTIFS('기타(Z)'!$G:$G, Q$2, '기타(Z)'!$Q:$Q, $J6, '기타(Z)'!$C:$C, $L$1)
  ) = 0,
  "",
  COUNTIFS('발전사업(A)'!$G:$G, Q$2, '발전사업(A)'!$Q:$Q, $J6, '발전사업(A)'!$C:$C, $L$1)
  + COUNTIFS('자가소비(B)'!$G:$G, Q$2, '자가소비(B)'!$Q:$Q, $J6, '자가소비(B)'!$C:$C, $L$1)
  + COUNTIFS('PPA 사업(C)'!$G:$G, Q$2, 'PPA 사업(C)'!$Q:$Q, $J6, 'PPA 사업(C)'!$C:$C, $L$1)
  + COUNTIFS('리스사업(D)'!$G:$G, Q$2, '리스사업(D)'!$Q:$Q, $J6, '리스사업(D)'!$C:$C, $L$1)
  + COUNTIFS('임대사업(E)'!$G:$G, Q$2, '임대사업(E)'!$Q:$Q, $J6, '임대사업(E)'!$C:$C, $L$1)
  + COUNTIFS('환경부사업(F)'!$G:$G, Q$2, '환경부사업(F)'!$Q:$Q, $J6, '환경부사업(F)'!$C:$C, $L$1)
  + COUNTIFS('프로젝트(G)'!$G:$G, Q$2, '프로젝트(G)'!$Q:$Q, $J6, '프로젝트(G)'!$C:$C, $L$1)
  + COUNTIFS('협력사 EPC(H)'!$G:$G, Q$2, '협력사 EPC(H)'!$Q:$Q, $J6, '협력사 EPC(H)'!$C:$C, $L$1)
  + COUNTIFS('기타(Z)'!$G:$G, Q$2, '기타(Z)'!$Q:$Q, $J6, '기타(Z)'!$C:$C, $L$1)
)</f>
        <v/>
      </c>
      <c r="S6" s="386" t="str">
        <f>IF(
  SUM(
    SUMIFS('발전사업(A)'!$I:$I,'발전사업(A)'!$G:$G,S$2,'발전사업(A)'!$Q:$Q,$J6,'발전사업(A)'!$C:$C,$L$1),
    SUMIFS('자가소비(B)'!$I:$I,'자가소비(B)'!$G:$G,S$2,'자가소비(B)'!$Q:$Q,$J6,'자가소비(B)'!$C:$C,$L$1),
    SUMIFS('PPA 사업(C)'!$I:$I,'PPA 사업(C)'!$G:$G,S$2,'PPA 사업(C)'!$Q:$Q,$J6,'PPA 사업(C)'!$C:$C,$L$1),
    SUMIFS('리스사업(D)'!$I:$I,'리스사업(D)'!$G:$G,S$2,'리스사업(D)'!$Q:$Q,$J6,'리스사업(D)'!$C:$C,$L$1),
    SUMIFS('임대사업(E)'!$I:$I,'임대사업(E)'!$G:$G,S$2,'임대사업(E)'!$Q:$Q,$J6,'임대사업(E)'!$C:$C,$L$1),
    SUMIFS('환경부사업(F)'!$I:$I,'환경부사업(F)'!$G:$G,S$2,'환경부사업(F)'!$Q:$Q,$J6,'환경부사업(F)'!$C:$C,$L$1),
    SUMIFS('프로젝트(G)'!$I:$I,'프로젝트(G)'!$G:$G,S$2,'프로젝트(G)'!$Q:$Q,$J6,'프로젝트(G)'!$C:$C,$L$1),
    SUMIFS('협력사 EPC(H)'!$I:$I,'협력사 EPC(H)'!$G:$G,S$2,'협력사 EPC(H)'!$Q:$Q,$J6,'협력사 EPC(H)'!$C:$C,$L$1),
    SUMIFS('기타(Z)'!$I:$I,'기타(Z)'!$G:$G,S$2,'기타(Z)'!$Q:$Q,$J6,'기타(Z)'!$C:$C,$L$1)
  )=0,
  "",
  SUM(
    SUMIFS('발전사업(A)'!$I:$I,'발전사업(A)'!$G:$G,S$2,'발전사업(A)'!$Q:$Q,$J6,'발전사업(A)'!$C:$C,$L$1),
    SUMIFS('자가소비(B)'!$I:$I,'자가소비(B)'!$G:$G,S$2,'자가소비(B)'!$Q:$Q,$J6,'자가소비(B)'!$C:$C,$L$1),
    SUMIFS('PPA 사업(C)'!$I:$I,'PPA 사업(C)'!$G:$G,S$2,'PPA 사업(C)'!$Q:$Q,$J6,'PPA 사업(C)'!$C:$C,$L$1),
    SUMIFS('리스사업(D)'!$I:$I,'리스사업(D)'!$G:$G,S$2,'리스사업(D)'!$Q:$Q,$J6,'리스사업(D)'!$C:$C,$L$1),
    SUMIFS('임대사업(E)'!$I:$I,'임대사업(E)'!$G:$G,S$2,'임대사업(E)'!$Q:$Q,$J6,'임대사업(E)'!$C:$C,$L$1),
    SUMIFS('환경부사업(F)'!$I:$I,'환경부사업(F)'!$G:$G,S$2,'환경부사업(F)'!$Q:$Q,$J6,'환경부사업(F)'!$C:$C,$L$1),
    SUMIFS('프로젝트(G)'!$I:$I,'프로젝트(G)'!$G:$G,S$2,'프로젝트(G)'!$Q:$Q,$J6,'프로젝트(G)'!$C:$C,$L$1),
    SUMIFS('협력사 EPC(H)'!$I:$I,'협력사 EPC(H)'!$G:$G,S$2,'협력사 EPC(H)'!$Q:$Q,$J6,'협력사 EPC(H)'!$C:$C,$L$1),
    SUMIFS('기타(Z)'!$I:$I,'기타(Z)'!$G:$G,S$2,'기타(Z)'!$Q:$Q,$J6,'기타(Z)'!$C:$C,$L$1)
  )
)</f>
        <v/>
      </c>
      <c r="T6" s="387" t="str">
        <f>IF(
  SUM(
    COUNTIFS('발전사업(A)'!$G:$G, S$2, '발전사업(A)'!$Q:$Q, $J6, '발전사업(A)'!$C:$C, $L$1),
    COUNTIFS('자가소비(B)'!$G:$G, S$2, '자가소비(B)'!$Q:$Q, $J6, '자가소비(B)'!$C:$C, $L$1),
    COUNTIFS('PPA 사업(C)'!$G:$G, S$2, 'PPA 사업(C)'!$Q:$Q, $J6, 'PPA 사업(C)'!$C:$C, $L$1),
    COUNTIFS('리스사업(D)'!$G:$G, S$2, '리스사업(D)'!$Q:$Q, $J6, '리스사업(D)'!$C:$C, $L$1),
    COUNTIFS('임대사업(E)'!$G:$G, S$2, '임대사업(E)'!$Q:$Q, $J6, '임대사업(E)'!$C:$C, $L$1),
    COUNTIFS('환경부사업(F)'!$G:$G, S$2, '환경부사업(F)'!$Q:$Q, $J6, '환경부사업(F)'!$C:$C, $L$1),
    COUNTIFS('프로젝트(G)'!$G:$G, S$2, '프로젝트(G)'!$Q:$Q, $J6, '프로젝트(G)'!$C:$C, $L$1),
    COUNTIFS('협력사 EPC(H)'!$G:$G, S$2, '협력사 EPC(H)'!$Q:$Q, $J6, '협력사 EPC(H)'!$C:$C, $L$1),
    COUNTIFS('기타(Z)'!$G:$G, S$2, '기타(Z)'!$Q:$Q, $J6, '기타(Z)'!$C:$C, $L$1)
  ) = 0,
  "",
  COUNTIFS('발전사업(A)'!$G:$G, S$2, '발전사업(A)'!$Q:$Q, $J6, '발전사업(A)'!$C:$C, $L$1)
  + COUNTIFS('자가소비(B)'!$G:$G, S$2, '자가소비(B)'!$Q:$Q, $J6, '자가소비(B)'!$C:$C, $L$1)
  + COUNTIFS('PPA 사업(C)'!$G:$G, S$2, 'PPA 사업(C)'!$Q:$Q, $J6, 'PPA 사업(C)'!$C:$C, $L$1)
  + COUNTIFS('리스사업(D)'!$G:$G, S$2, '리스사업(D)'!$Q:$Q, $J6, '리스사업(D)'!$C:$C, $L$1)
  + COUNTIFS('임대사업(E)'!$G:$G, S$2, '임대사업(E)'!$Q:$Q, $J6, '임대사업(E)'!$C:$C, $L$1)
  + COUNTIFS('환경부사업(F)'!$G:$G, S$2, '환경부사업(F)'!$Q:$Q, $J6, '환경부사업(F)'!$C:$C, $L$1)
  + COUNTIFS('프로젝트(G)'!$G:$G, S$2, '프로젝트(G)'!$Q:$Q, $J6, '프로젝트(G)'!$C:$C, $L$1)
  + COUNTIFS('협력사 EPC(H)'!$G:$G, S$2, '협력사 EPC(H)'!$Q:$Q, $J6, '협력사 EPC(H)'!$C:$C, $L$1)
  + COUNTIFS('기타(Z)'!$G:$G, S$2, '기타(Z)'!$Q:$Q, $J6, '기타(Z)'!$C:$C, $L$1)
)</f>
        <v/>
      </c>
      <c r="U6" s="386" t="str">
        <f>IF(
  SUM(
    SUMIFS('발전사업(A)'!$I:$I,'발전사업(A)'!$G:$G,U$2,'발전사업(A)'!$Q:$Q,$J6,'발전사업(A)'!$C:$C,$L$1),
    SUMIFS('자가소비(B)'!$I:$I,'자가소비(B)'!$G:$G,U$2,'자가소비(B)'!$Q:$Q,$J6,'자가소비(B)'!$C:$C,$L$1),
    SUMIFS('PPA 사업(C)'!$I:$I,'PPA 사업(C)'!$G:$G,U$2,'PPA 사업(C)'!$Q:$Q,$J6,'PPA 사업(C)'!$C:$C,$L$1),
    SUMIFS('리스사업(D)'!$I:$I,'리스사업(D)'!$G:$G,U$2,'리스사업(D)'!$Q:$Q,$J6,'리스사업(D)'!$C:$C,$L$1),
    SUMIFS('임대사업(E)'!$I:$I,'임대사업(E)'!$G:$G,U$2,'임대사업(E)'!$Q:$Q,$J6,'임대사업(E)'!$C:$C,$L$1),
    SUMIFS('환경부사업(F)'!$I:$I,'환경부사업(F)'!$G:$G,U$2,'환경부사업(F)'!$Q:$Q,$J6,'환경부사업(F)'!$C:$C,$L$1),
    SUMIFS('프로젝트(G)'!$I:$I,'프로젝트(G)'!$G:$G,U$2,'프로젝트(G)'!$Q:$Q,$J6,'프로젝트(G)'!$C:$C,$L$1),
    SUMIFS('협력사 EPC(H)'!$I:$I,'협력사 EPC(H)'!$G:$G,U$2,'협력사 EPC(H)'!$Q:$Q,$J6,'협력사 EPC(H)'!$C:$C,$L$1),
    SUMIFS('기타(Z)'!$I:$I,'기타(Z)'!$G:$G,U$2,'기타(Z)'!$Q:$Q,$J6,'기타(Z)'!$C:$C,$L$1)
  )=0,
  "",
  SUM(
    SUMIFS('발전사업(A)'!$I:$I,'발전사업(A)'!$G:$G,U$2,'발전사업(A)'!$Q:$Q,$J6,'발전사업(A)'!$C:$C,$L$1),
    SUMIFS('자가소비(B)'!$I:$I,'자가소비(B)'!$G:$G,U$2,'자가소비(B)'!$Q:$Q,$J6,'자가소비(B)'!$C:$C,$L$1),
    SUMIFS('PPA 사업(C)'!$I:$I,'PPA 사업(C)'!$G:$G,U$2,'PPA 사업(C)'!$Q:$Q,$J6,'PPA 사업(C)'!$C:$C,$L$1),
    SUMIFS('리스사업(D)'!$I:$I,'리스사업(D)'!$G:$G,U$2,'리스사업(D)'!$Q:$Q,$J6,'리스사업(D)'!$C:$C,$L$1),
    SUMIFS('임대사업(E)'!$I:$I,'임대사업(E)'!$G:$G,U$2,'임대사업(E)'!$Q:$Q,$J6,'임대사업(E)'!$C:$C,$L$1),
    SUMIFS('환경부사업(F)'!$I:$I,'환경부사업(F)'!$G:$G,U$2,'환경부사업(F)'!$Q:$Q,$J6,'환경부사업(F)'!$C:$C,$L$1),
    SUMIFS('프로젝트(G)'!$I:$I,'프로젝트(G)'!$G:$G,U$2,'프로젝트(G)'!$Q:$Q,$J6,'프로젝트(G)'!$C:$C,$L$1),
    SUMIFS('협력사 EPC(H)'!$I:$I,'협력사 EPC(H)'!$G:$G,U$2,'협력사 EPC(H)'!$Q:$Q,$J6,'협력사 EPC(H)'!$C:$C,$L$1),
    SUMIFS('기타(Z)'!$I:$I,'기타(Z)'!$G:$G,U$2,'기타(Z)'!$Q:$Q,$J6,'기타(Z)'!$C:$C,$L$1)
  )
)</f>
        <v/>
      </c>
      <c r="V6" s="387" t="str">
        <f>IF(
  SUM(
    COUNTIFS('발전사업(A)'!$G:$G, U$2, '발전사업(A)'!$Q:$Q, $J6, '발전사업(A)'!$C:$C, $L$1),
    COUNTIFS('자가소비(B)'!$G:$G, U$2, '자가소비(B)'!$Q:$Q, $J6, '자가소비(B)'!$C:$C, $L$1),
    COUNTIFS('PPA 사업(C)'!$G:$G, U$2, 'PPA 사업(C)'!$Q:$Q, $J6, 'PPA 사업(C)'!$C:$C, $L$1),
    COUNTIFS('리스사업(D)'!$G:$G, U$2, '리스사업(D)'!$Q:$Q, $J6, '리스사업(D)'!$C:$C, $L$1),
    COUNTIFS('임대사업(E)'!$G:$G, U$2, '임대사업(E)'!$Q:$Q, $J6, '임대사업(E)'!$C:$C, $L$1),
    COUNTIFS('환경부사업(F)'!$G:$G, U$2, '환경부사업(F)'!$Q:$Q, $J6, '환경부사업(F)'!$C:$C, $L$1),
    COUNTIFS('프로젝트(G)'!$G:$G, U$2, '프로젝트(G)'!$Q:$Q, $J6, '프로젝트(G)'!$C:$C, $L$1),
    COUNTIFS('협력사 EPC(H)'!$G:$G, U$2, '협력사 EPC(H)'!$Q:$Q, $J6, '협력사 EPC(H)'!$C:$C, $L$1),
    COUNTIFS('기타(Z)'!$G:$G, U$2, '기타(Z)'!$Q:$Q, $J6, '기타(Z)'!$C:$C, $L$1)
  ) = 0,
  "",
  COUNTIFS('발전사업(A)'!$G:$G, U$2, '발전사업(A)'!$Q:$Q, $J6, '발전사업(A)'!$C:$C, $L$1)
  + COUNTIFS('자가소비(B)'!$G:$G, U$2, '자가소비(B)'!$Q:$Q, $J6, '자가소비(B)'!$C:$C, $L$1)
  + COUNTIFS('PPA 사업(C)'!$G:$G, U$2, 'PPA 사업(C)'!$Q:$Q, $J6, 'PPA 사업(C)'!$C:$C, $L$1)
  + COUNTIFS('리스사업(D)'!$G:$G, U$2, '리스사업(D)'!$Q:$Q, $J6, '리스사업(D)'!$C:$C, $L$1)
  + COUNTIFS('임대사업(E)'!$G:$G, U$2, '임대사업(E)'!$Q:$Q, $J6, '임대사업(E)'!$C:$C, $L$1)
  + COUNTIFS('환경부사업(F)'!$G:$G, U$2, '환경부사업(F)'!$Q:$Q, $J6, '환경부사업(F)'!$C:$C, $L$1)
  + COUNTIFS('프로젝트(G)'!$G:$G, U$2, '프로젝트(G)'!$Q:$Q, $J6, '프로젝트(G)'!$C:$C, $L$1)
  + COUNTIFS('협력사 EPC(H)'!$G:$G, U$2, '협력사 EPC(H)'!$Q:$Q, $J6, '협력사 EPC(H)'!$C:$C, $L$1)
  + COUNTIFS('기타(Z)'!$G:$G, U$2, '기타(Z)'!$Q:$Q, $J6, '기타(Z)'!$C:$C, $L$1)
)</f>
        <v/>
      </c>
      <c r="W6" s="386">
        <f>IF(
  SUM(
    SUMIFS('발전사업(A)'!$I:$I,'발전사업(A)'!$G:$G,W$2,'발전사업(A)'!$Q:$Q,$J6,'발전사업(A)'!$C:$C,$L$1),
    SUMIFS('자가소비(B)'!$I:$I,'자가소비(B)'!$G:$G,W$2,'자가소비(B)'!$Q:$Q,$J6,'자가소비(B)'!$C:$C,$L$1),
    SUMIFS('PPA 사업(C)'!$I:$I,'PPA 사업(C)'!$G:$G,W$2,'PPA 사업(C)'!$Q:$Q,$J6,'PPA 사업(C)'!$C:$C,$L$1),
    SUMIFS('리스사업(D)'!$I:$I,'리스사업(D)'!$G:$G,W$2,'리스사업(D)'!$Q:$Q,$J6,'리스사업(D)'!$C:$C,$L$1),
    SUMIFS('임대사업(E)'!$I:$I,'임대사업(E)'!$G:$G,W$2,'임대사업(E)'!$Q:$Q,$J6,'임대사업(E)'!$C:$C,$L$1),
    SUMIFS('환경부사업(F)'!$I:$I,'환경부사업(F)'!$G:$G,W$2,'환경부사업(F)'!$Q:$Q,$J6,'환경부사업(F)'!$C:$C,$L$1),
    SUMIFS('프로젝트(G)'!$I:$I,'프로젝트(G)'!$G:$G,W$2,'프로젝트(G)'!$Q:$Q,$J6,'프로젝트(G)'!$C:$C,$L$1),
    SUMIFS('협력사 EPC(H)'!$I:$I,'협력사 EPC(H)'!$G:$G,W$2,'협력사 EPC(H)'!$Q:$Q,$J6,'협력사 EPC(H)'!$C:$C,$L$1),
    SUMIFS('기타(Z)'!$I:$I,'기타(Z)'!$G:$G,W$2,'기타(Z)'!$Q:$Q,$J6,'기타(Z)'!$C:$C,$L$1)
  )=0,
  "",
  SUM(
    SUMIFS('발전사업(A)'!$I:$I,'발전사업(A)'!$G:$G,W$2,'발전사업(A)'!$Q:$Q,$J6,'발전사업(A)'!$C:$C,$L$1),
    SUMIFS('자가소비(B)'!$I:$I,'자가소비(B)'!$G:$G,W$2,'자가소비(B)'!$Q:$Q,$J6,'자가소비(B)'!$C:$C,$L$1),
    SUMIFS('PPA 사업(C)'!$I:$I,'PPA 사업(C)'!$G:$G,W$2,'PPA 사업(C)'!$Q:$Q,$J6,'PPA 사업(C)'!$C:$C,$L$1),
    SUMIFS('리스사업(D)'!$I:$I,'리스사업(D)'!$G:$G,W$2,'리스사업(D)'!$Q:$Q,$J6,'리스사업(D)'!$C:$C,$L$1),
    SUMIFS('임대사업(E)'!$I:$I,'임대사업(E)'!$G:$G,W$2,'임대사업(E)'!$Q:$Q,$J6,'임대사업(E)'!$C:$C,$L$1),
    SUMIFS('환경부사업(F)'!$I:$I,'환경부사업(F)'!$G:$G,W$2,'환경부사업(F)'!$Q:$Q,$J6,'환경부사업(F)'!$C:$C,$L$1),
    SUMIFS('프로젝트(G)'!$I:$I,'프로젝트(G)'!$G:$G,W$2,'프로젝트(G)'!$Q:$Q,$J6,'프로젝트(G)'!$C:$C,$L$1),
    SUMIFS('협력사 EPC(H)'!$I:$I,'협력사 EPC(H)'!$G:$G,W$2,'협력사 EPC(H)'!$Q:$Q,$J6,'협력사 EPC(H)'!$C:$C,$L$1),
    SUMIFS('기타(Z)'!$I:$I,'기타(Z)'!$G:$G,W$2,'기타(Z)'!$Q:$Q,$J6,'기타(Z)'!$C:$C,$L$1)
  )
)</f>
        <v>641.92000000000007</v>
      </c>
      <c r="X6" s="367">
        <f>IF(
  SUM(
    COUNTIFS('발전사업(A)'!$G:$G,W$2,'발전사업(A)'!$Q:$Q,$J6),
    COUNTIFS('자가소비(B)'!$G:$G,W$2,'자가소비(B)'!$Q:$Q,$J6),
    COUNTIFS('PPA 사업(C)'!$G:$G,W$2,'PPA 사업(C)'!$Q:$Q,$J6),
    COUNTIFS('리스사업(D)'!$G:$G,W$2,'리스사업(D)'!$Q:$Q,$J6),
    COUNTIFS('임대사업(E)'!$G:$G,W$2,'임대사업(E)'!$Q:$Q,$J6),
    COUNTIFS('환경부사업(F)'!$G:$G,W$2,'환경부사업(F)'!$Q:$Q,$J6),
    COUNTIFS('프로젝트(G)'!$G:$G,W$2,'프로젝트(G)'!$Q:$Q,$J6),
    COUNTIFS('협력사 EPC(H)'!$G:$G,W$2,'협력사 EPC(H)'!$Q:$Q,$J6),
    COUNTIFS('기타(Z)'!$G:$G,W$2,'기타(Z)'!$Q:$Q,$J6)
  )=0,
  "",
  COUNTIFS('발전사업(A)'!$G:$G,W$2,'발전사업(A)'!$Q:$Q,$J6)
  +COUNTIFS('자가소비(B)'!$G:$G,W$2,'자가소비(B)'!$Q:$Q,$J6)
  +COUNTIFS('PPA 사업(C)'!$G:$G,W$2,'PPA 사업(C)'!$Q:$Q,$J6)
  +COUNTIFS('리스사업(D)'!$G:$G,W$2,'리스사업(D)'!$Q:$Q,$J6)
  +COUNTIFS('임대사업(E)'!$G:$G,W$2,'임대사업(E)'!$Q:$Q,$J6)
  +COUNTIFS('환경부사업(F)'!$G:$G,W$2,'환경부사업(F)'!$Q:$Q,$J6)
  +COUNTIFS('프로젝트(G)'!$G:$G,W$2,'프로젝트(G)'!$Q:$Q,$J6)
  +COUNTIFS('협력사 EPC(H)'!$G:$G,W$2,'협력사 EPC(H)'!$Q:$Q,$J6)
  +COUNTIFS('기타(Z)'!$G:$G,W$2,'기타(Z)'!$Q:$Q,$J6)
)</f>
        <v>2</v>
      </c>
      <c r="Y6" s="386">
        <f>IF(
  SUM(
    SUMIFS('발전사업(A)'!$I:$I,'발전사업(A)'!$G:$G,Y$2,'발전사업(A)'!$Q:$Q,$J6,'발전사업(A)'!$C:$C,$L$1),
    SUMIFS('자가소비(B)'!$I:$I,'자가소비(B)'!$G:$G,Y$2,'자가소비(B)'!$Q:$Q,$J6,'자가소비(B)'!$C:$C,$L$1),
    SUMIFS('PPA 사업(C)'!$I:$I,'PPA 사업(C)'!$G:$G,Y$2,'PPA 사업(C)'!$Q:$Q,$J6,'PPA 사업(C)'!$C:$C,$L$1),
    SUMIFS('리스사업(D)'!$I:$I,'리스사업(D)'!$G:$G,Y$2,'리스사업(D)'!$Q:$Q,$J6,'리스사업(D)'!$C:$C,$L$1),
    SUMIFS('임대사업(E)'!$I:$I,'임대사업(E)'!$G:$G,Y$2,'임대사업(E)'!$Q:$Q,$J6,'임대사업(E)'!$C:$C,$L$1),
    SUMIFS('환경부사업(F)'!$I:$I,'환경부사업(F)'!$G:$G,Y$2,'환경부사업(F)'!$Q:$Q,$J6,'환경부사업(F)'!$C:$C,$L$1),
    SUMIFS('프로젝트(G)'!$I:$I,'프로젝트(G)'!$G:$G,Y$2,'프로젝트(G)'!$Q:$Q,$J6,'프로젝트(G)'!$C:$C,$L$1),
    SUMIFS('협력사 EPC(H)'!$I:$I,'협력사 EPC(H)'!$G:$G,Y$2,'협력사 EPC(H)'!$Q:$Q,$J6,'협력사 EPC(H)'!$C:$C,$L$1),
    SUMIFS('기타(Z)'!$I:$I,'기타(Z)'!$G:$G,Y$2,'기타(Z)'!$Q:$Q,$J6,'기타(Z)'!$C:$C,$L$1)
  )=0,
  "",
  SUM(
    SUMIFS('발전사업(A)'!$I:$I,'발전사업(A)'!$G:$G,Y$2,'발전사업(A)'!$Q:$Q,$J6,'발전사업(A)'!$C:$C,$L$1),
    SUMIFS('자가소비(B)'!$I:$I,'자가소비(B)'!$G:$G,Y$2,'자가소비(B)'!$Q:$Q,$J6,'자가소비(B)'!$C:$C,$L$1),
    SUMIFS('PPA 사업(C)'!$I:$I,'PPA 사업(C)'!$G:$G,Y$2,'PPA 사업(C)'!$Q:$Q,$J6,'PPA 사업(C)'!$C:$C,$L$1),
    SUMIFS('리스사업(D)'!$I:$I,'리스사업(D)'!$G:$G,Y$2,'리스사업(D)'!$Q:$Q,$J6,'리스사업(D)'!$C:$C,$L$1),
    SUMIFS('임대사업(E)'!$I:$I,'임대사업(E)'!$G:$G,Y$2,'임대사업(E)'!$Q:$Q,$J6,'임대사업(E)'!$C:$C,$L$1),
    SUMIFS('환경부사업(F)'!$I:$I,'환경부사업(F)'!$G:$G,Y$2,'환경부사업(F)'!$Q:$Q,$J6,'환경부사업(F)'!$C:$C,$L$1),
    SUMIFS('프로젝트(G)'!$I:$I,'프로젝트(G)'!$G:$G,Y$2,'프로젝트(G)'!$Q:$Q,$J6,'프로젝트(G)'!$C:$C,$L$1),
    SUMIFS('협력사 EPC(H)'!$I:$I,'협력사 EPC(H)'!$G:$G,Y$2,'협력사 EPC(H)'!$Q:$Q,$J6,'협력사 EPC(H)'!$C:$C,$L$1),
    SUMIFS('기타(Z)'!$I:$I,'기타(Z)'!$G:$G,Y$2,'기타(Z)'!$Q:$Q,$J6,'기타(Z)'!$C:$C,$L$1)
  )
)</f>
        <v>120.32</v>
      </c>
      <c r="Z6" s="387">
        <f>IF(
  SUM(
    COUNTIFS('발전사업(A)'!$G:$G, Y$2, '발전사업(A)'!$Q:$Q, $J6, '발전사업(A)'!$C:$C, $L$1),
    COUNTIFS('자가소비(B)'!$G:$G, Y$2, '자가소비(B)'!$Q:$Q, $J6, '자가소비(B)'!$C:$C, $L$1),
    COUNTIFS('PPA 사업(C)'!$G:$G, Y$2, 'PPA 사업(C)'!$Q:$Q, $J6, 'PPA 사업(C)'!$C:$C, $L$1),
    COUNTIFS('리스사업(D)'!$G:$G, Y$2, '리스사업(D)'!$Q:$Q, $J6, '리스사업(D)'!$C:$C, $L$1),
    COUNTIFS('임대사업(E)'!$G:$G, Y$2, '임대사업(E)'!$Q:$Q, $J6, '임대사업(E)'!$C:$C, $L$1),
    COUNTIFS('환경부사업(F)'!$G:$G, Y$2, '환경부사업(F)'!$Q:$Q, $J6, '환경부사업(F)'!$C:$C, $L$1),
    COUNTIFS('프로젝트(G)'!$G:$G, Y$2, '프로젝트(G)'!$Q:$Q, $J6, '프로젝트(G)'!$C:$C, $L$1),
    COUNTIFS('협력사 EPC(H)'!$G:$G, Y$2, '협력사 EPC(H)'!$Q:$Q, $J6, '협력사 EPC(H)'!$C:$C, $L$1),
    COUNTIFS('기타(Z)'!$G:$G, Y$2, '기타(Z)'!$Q:$Q, $J6, '기타(Z)'!$C:$C, $L$1)
  ) = 0,
  "",
  COUNTIFS('발전사업(A)'!$G:$G, Y$2, '발전사업(A)'!$Q:$Q, $J6, '발전사업(A)'!$C:$C, $L$1)
  + COUNTIFS('자가소비(B)'!$G:$G, Y$2, '자가소비(B)'!$Q:$Q, $J6, '자가소비(B)'!$C:$C, $L$1)
  + COUNTIFS('PPA 사업(C)'!$G:$G, Y$2, 'PPA 사업(C)'!$Q:$Q, $J6, 'PPA 사업(C)'!$C:$C, $L$1)
  + COUNTIFS('리스사업(D)'!$G:$G, Y$2, '리스사업(D)'!$Q:$Q, $J6, '리스사업(D)'!$C:$C, $L$1)
  + COUNTIFS('임대사업(E)'!$G:$G, Y$2, '임대사업(E)'!$Q:$Q, $J6, '임대사업(E)'!$C:$C, $L$1)
  + COUNTIFS('환경부사업(F)'!$G:$G, Y$2, '환경부사업(F)'!$Q:$Q, $J6, '환경부사업(F)'!$C:$C, $L$1)
  + COUNTIFS('프로젝트(G)'!$G:$G, Y$2, '프로젝트(G)'!$Q:$Q, $J6, '프로젝트(G)'!$C:$C, $L$1)
  + COUNTIFS('협력사 EPC(H)'!$G:$G, Y$2, '협력사 EPC(H)'!$Q:$Q, $J6, '협력사 EPC(H)'!$C:$C, $L$1)
  + COUNTIFS('기타(Z)'!$G:$G, Y$2, '기타(Z)'!$Q:$Q, $J6, '기타(Z)'!$C:$C, $L$1)
)</f>
        <v>1</v>
      </c>
      <c r="AA6" s="386">
        <f>IF(
  SUM(
    SUMIFS('발전사업(A)'!$I:$I,'발전사업(A)'!$G:$G,AA$2,'발전사업(A)'!$Q:$Q,$J6,'발전사업(A)'!$C:$C,$L$1),
    SUMIFS('자가소비(B)'!$I:$I,'자가소비(B)'!$G:$G,AA$2,'자가소비(B)'!$Q:$Q,$J6,'자가소비(B)'!$C:$C,$L$1),
    SUMIFS('PPA 사업(C)'!$I:$I,'PPA 사업(C)'!$G:$G,AA$2,'PPA 사업(C)'!$Q:$Q,$J6,'PPA 사업(C)'!$C:$C,$L$1),
    SUMIFS('리스사업(D)'!$I:$I,'리스사업(D)'!$G:$G,AA$2,'리스사업(D)'!$Q:$Q,$J6,'리스사업(D)'!$C:$C,$L$1),
    SUMIFS('임대사업(E)'!$I:$I,'임대사업(E)'!$G:$G,AA$2,'임대사업(E)'!$Q:$Q,$J6,'임대사업(E)'!$C:$C,$L$1),
    SUMIFS('환경부사업(F)'!$I:$I,'환경부사업(F)'!$G:$G,AA$2,'환경부사업(F)'!$Q:$Q,$J6,'환경부사업(F)'!$C:$C,$L$1),
    SUMIFS('프로젝트(G)'!$I:$I,'프로젝트(G)'!$G:$G,AA$2,'프로젝트(G)'!$Q:$Q,$J6,'프로젝트(G)'!$C:$C,$L$1),
    SUMIFS('협력사 EPC(H)'!$I:$I,'협력사 EPC(H)'!$G:$G,AA$2,'협력사 EPC(H)'!$Q:$Q,$J6,'협력사 EPC(H)'!$C:$C,$L$1),
    SUMIFS('기타(Z)'!$I:$I,'기타(Z)'!$G:$G,AA$2,'기타(Z)'!$Q:$Q,$J6,'기타(Z)'!$C:$C,$L$1)
  )=0,
  "",
  SUM(
    SUMIFS('발전사업(A)'!$I:$I,'발전사업(A)'!$G:$G,AA$2,'발전사업(A)'!$Q:$Q,$J6,'발전사업(A)'!$C:$C,$L$1),
    SUMIFS('자가소비(B)'!$I:$I,'자가소비(B)'!$G:$G,AA$2,'자가소비(B)'!$Q:$Q,$J6,'자가소비(B)'!$C:$C,$L$1),
    SUMIFS('PPA 사업(C)'!$I:$I,'PPA 사업(C)'!$G:$G,AA$2,'PPA 사업(C)'!$Q:$Q,$J6,'PPA 사업(C)'!$C:$C,$L$1),
    SUMIFS('리스사업(D)'!$I:$I,'리스사업(D)'!$G:$G,AA$2,'리스사업(D)'!$Q:$Q,$J6,'리스사업(D)'!$C:$C,$L$1),
    SUMIFS('임대사업(E)'!$I:$I,'임대사업(E)'!$G:$G,AA$2,'임대사업(E)'!$Q:$Q,$J6,'임대사업(E)'!$C:$C,$L$1),
    SUMIFS('환경부사업(F)'!$I:$I,'환경부사업(F)'!$G:$G,AA$2,'환경부사업(F)'!$Q:$Q,$J6,'환경부사업(F)'!$C:$C,$L$1),
    SUMIFS('프로젝트(G)'!$I:$I,'프로젝트(G)'!$G:$G,AA$2,'프로젝트(G)'!$Q:$Q,$J6,'프로젝트(G)'!$C:$C,$L$1),
    SUMIFS('협력사 EPC(H)'!$I:$I,'협력사 EPC(H)'!$G:$G,AA$2,'협력사 EPC(H)'!$Q:$Q,$J6,'협력사 EPC(H)'!$C:$C,$L$1),
    SUMIFS('기타(Z)'!$I:$I,'기타(Z)'!$G:$G,AA$2,'기타(Z)'!$Q:$Q,$J6,'기타(Z)'!$C:$C,$L$1)
  )
)</f>
        <v>1031.04</v>
      </c>
      <c r="AB6" s="387">
        <f>IF(
  SUM(
    COUNTIFS('발전사업(A)'!$G:$G, AA$2, '발전사업(A)'!$Q:$Q, $J6, '발전사업(A)'!$C:$C, $L$1),
    COUNTIFS('자가소비(B)'!$G:$G, AA$2, '자가소비(B)'!$Q:$Q, $J6, '자가소비(B)'!$C:$C, $L$1),
    COUNTIFS('PPA 사업(C)'!$G:$G, AA$2, 'PPA 사업(C)'!$Q:$Q, $J6, 'PPA 사업(C)'!$C:$C, $L$1),
    COUNTIFS('리스사업(D)'!$G:$G, AA$2, '리스사업(D)'!$Q:$Q, $J6, '리스사업(D)'!$C:$C, $L$1),
    COUNTIFS('임대사업(E)'!$G:$G, AA$2, '임대사업(E)'!$Q:$Q, $J6, '임대사업(E)'!$C:$C, $L$1),
    COUNTIFS('환경부사업(F)'!$G:$G, AA$2, '환경부사업(F)'!$Q:$Q, $J6, '환경부사업(F)'!$C:$C, $L$1),
    COUNTIFS('프로젝트(G)'!$G:$G, AA$2, '프로젝트(G)'!$Q:$Q, $J6, '프로젝트(G)'!$C:$C, $L$1),
    COUNTIFS('협력사 EPC(H)'!$G:$G, AA$2, '협력사 EPC(H)'!$Q:$Q, $J6, '협력사 EPC(H)'!$C:$C, $L$1),
    COUNTIFS('기타(Z)'!$G:$G, AA$2, '기타(Z)'!$Q:$Q, $J6, '기타(Z)'!$C:$C, $L$1)
  ) = 0,
  "",
  COUNTIFS('발전사업(A)'!$G:$G, AA$2, '발전사업(A)'!$Q:$Q, $J6, '발전사업(A)'!$C:$C, $L$1)
  + COUNTIFS('자가소비(B)'!$G:$G, AA$2, '자가소비(B)'!$Q:$Q, $J6, '자가소비(B)'!$C:$C, $L$1)
  + COUNTIFS('PPA 사업(C)'!$G:$G, AA$2, 'PPA 사업(C)'!$Q:$Q, $J6, 'PPA 사업(C)'!$C:$C, $L$1)
  + COUNTIFS('리스사업(D)'!$G:$G, AA$2, '리스사업(D)'!$Q:$Q, $J6, '리스사업(D)'!$C:$C, $L$1)
  + COUNTIFS('임대사업(E)'!$G:$G, AA$2, '임대사업(E)'!$Q:$Q, $J6, '임대사업(E)'!$C:$C, $L$1)
  + COUNTIFS('환경부사업(F)'!$G:$G, AA$2, '환경부사업(F)'!$Q:$Q, $J6, '환경부사업(F)'!$C:$C, $L$1)
  + COUNTIFS('프로젝트(G)'!$G:$G, AA$2, '프로젝트(G)'!$Q:$Q, $J6, '프로젝트(G)'!$C:$C, $L$1)
  + COUNTIFS('협력사 EPC(H)'!$G:$G, AA$2, '협력사 EPC(H)'!$Q:$Q, $J6, '협력사 EPC(H)'!$C:$C, $L$1)
  + COUNTIFS('기타(Z)'!$G:$G, AA$2, '기타(Z)'!$Q:$Q, $J6, '기타(Z)'!$C:$C, $L$1)
)</f>
        <v>2</v>
      </c>
      <c r="AC6" s="386">
        <f>IF(
  SUM(
    SUMIFS('발전사업(A)'!$I:$I,'발전사업(A)'!$G:$G,AC$2,'발전사업(A)'!$Q:$Q,$J6,'발전사업(A)'!$C:$C,$L$1),
    SUMIFS('자가소비(B)'!$I:$I,'자가소비(B)'!$G:$G,AC$2,'자가소비(B)'!$Q:$Q,$J6,'자가소비(B)'!$C:$C,$L$1),
    SUMIFS('PPA 사업(C)'!$I:$I,'PPA 사업(C)'!$G:$G,AC$2,'PPA 사업(C)'!$Q:$Q,$J6,'PPA 사업(C)'!$C:$C,$L$1),
    SUMIFS('리스사업(D)'!$I:$I,'리스사업(D)'!$G:$G,AC$2,'리스사업(D)'!$Q:$Q,$J6,'리스사업(D)'!$C:$C,$L$1),
    SUMIFS('임대사업(E)'!$I:$I,'임대사업(E)'!$G:$G,AC$2,'임대사업(E)'!$Q:$Q,$J6,'임대사업(E)'!$C:$C,$L$1),
    SUMIFS('환경부사업(F)'!$I:$I,'환경부사업(F)'!$G:$G,AC$2,'환경부사업(F)'!$Q:$Q,$J6,'환경부사업(F)'!$C:$C,$L$1),
    SUMIFS('프로젝트(G)'!$I:$I,'프로젝트(G)'!$G:$G,AC$2,'프로젝트(G)'!$Q:$Q,$J6,'프로젝트(G)'!$C:$C,$L$1),
    SUMIFS('협력사 EPC(H)'!$I:$I,'협력사 EPC(H)'!$G:$G,AC$2,'협력사 EPC(H)'!$Q:$Q,$J6,'협력사 EPC(H)'!$C:$C,$L$1),
    SUMIFS('기타(Z)'!$I:$I,'기타(Z)'!$G:$G,AC$2,'기타(Z)'!$Q:$Q,$J6,'기타(Z)'!$C:$C,$L$1)
  )=0,
  "",
  SUM(
    SUMIFS('발전사업(A)'!$I:$I,'발전사업(A)'!$G:$G,AC$2,'발전사업(A)'!$Q:$Q,$J6,'발전사업(A)'!$C:$C,$L$1),
    SUMIFS('자가소비(B)'!$I:$I,'자가소비(B)'!$G:$G,AC$2,'자가소비(B)'!$Q:$Q,$J6,'자가소비(B)'!$C:$C,$L$1),
    SUMIFS('PPA 사업(C)'!$I:$I,'PPA 사업(C)'!$G:$G,AC$2,'PPA 사업(C)'!$Q:$Q,$J6,'PPA 사업(C)'!$C:$C,$L$1),
    SUMIFS('리스사업(D)'!$I:$I,'리스사업(D)'!$G:$G,AC$2,'리스사업(D)'!$Q:$Q,$J6,'리스사업(D)'!$C:$C,$L$1),
    SUMIFS('임대사업(E)'!$I:$I,'임대사업(E)'!$G:$G,AC$2,'임대사업(E)'!$Q:$Q,$J6,'임대사업(E)'!$C:$C,$L$1),
    SUMIFS('환경부사업(F)'!$I:$I,'환경부사업(F)'!$G:$G,AC$2,'환경부사업(F)'!$Q:$Q,$J6,'환경부사업(F)'!$C:$C,$L$1),
    SUMIFS('프로젝트(G)'!$I:$I,'프로젝트(G)'!$G:$G,AC$2,'프로젝트(G)'!$Q:$Q,$J6,'프로젝트(G)'!$C:$C,$L$1),
    SUMIFS('협력사 EPC(H)'!$I:$I,'협력사 EPC(H)'!$G:$G,AC$2,'협력사 EPC(H)'!$Q:$Q,$J6,'협력사 EPC(H)'!$C:$C,$L$1),
    SUMIFS('기타(Z)'!$I:$I,'기타(Z)'!$G:$G,AC$2,'기타(Z)'!$Q:$Q,$J6,'기타(Z)'!$C:$C,$L$1)
  )
)</f>
        <v>1179.52</v>
      </c>
      <c r="AD6" s="387">
        <f>IF(
  SUM(
    COUNTIFS('발전사업(A)'!$G:$G, AC$2, '발전사업(A)'!$Q:$Q, $J6, '발전사업(A)'!$C:$C, $L$1),
    COUNTIFS('자가소비(B)'!$G:$G, AC$2, '자가소비(B)'!$Q:$Q, $J6, '자가소비(B)'!$C:$C, $L$1),
    COUNTIFS('PPA 사업(C)'!$G:$G, AC$2, 'PPA 사업(C)'!$Q:$Q, $J6, 'PPA 사업(C)'!$C:$C, $L$1),
    COUNTIFS('리스사업(D)'!$G:$G, AC$2, '리스사업(D)'!$Q:$Q, $J6, '리스사업(D)'!$C:$C, $L$1),
    COUNTIFS('임대사업(E)'!$G:$G, AC$2, '임대사업(E)'!$Q:$Q, $J6, '임대사업(E)'!$C:$C, $L$1),
    COUNTIFS('환경부사업(F)'!$G:$G, AC$2, '환경부사업(F)'!$Q:$Q, $J6, '환경부사업(F)'!$C:$C, $L$1),
    COUNTIFS('프로젝트(G)'!$G:$G, AC$2, '프로젝트(G)'!$Q:$Q, $J6, '프로젝트(G)'!$C:$C, $L$1),
    COUNTIFS('협력사 EPC(H)'!$G:$G, AC$2, '협력사 EPC(H)'!$Q:$Q, $J6, '협력사 EPC(H)'!$C:$C, $L$1),
    COUNTIFS('기타(Z)'!$G:$G, AC$2, '기타(Z)'!$Q:$Q, $J6, '기타(Z)'!$C:$C, $L$1)
  ) = 0,
  "",
  COUNTIFS('발전사업(A)'!$G:$G, AC$2, '발전사업(A)'!$Q:$Q, $J6, '발전사업(A)'!$C:$C, $L$1)
  + COUNTIFS('자가소비(B)'!$G:$G, AC$2, '자가소비(B)'!$Q:$Q, $J6, '자가소비(B)'!$C:$C, $L$1)
  + COUNTIFS('PPA 사업(C)'!$G:$G, AC$2, 'PPA 사업(C)'!$Q:$Q, $J6, 'PPA 사업(C)'!$C:$C, $L$1)
  + COUNTIFS('리스사업(D)'!$G:$G, AC$2, '리스사업(D)'!$Q:$Q, $J6, '리스사업(D)'!$C:$C, $L$1)
  + COUNTIFS('임대사업(E)'!$G:$G, AC$2, '임대사업(E)'!$Q:$Q, $J6, '임대사업(E)'!$C:$C, $L$1)
  + COUNTIFS('환경부사업(F)'!$G:$G, AC$2, '환경부사업(F)'!$Q:$Q, $J6, '환경부사업(F)'!$C:$C, $L$1)
  + COUNTIFS('프로젝트(G)'!$G:$G, AC$2, '프로젝트(G)'!$Q:$Q, $J6, '프로젝트(G)'!$C:$C, $L$1)
  + COUNTIFS('협력사 EPC(H)'!$G:$G, AC$2, '협력사 EPC(H)'!$Q:$Q, $J6, '협력사 EPC(H)'!$C:$C, $L$1)
  + COUNTIFS('기타(Z)'!$G:$G, AC$2, '기타(Z)'!$Q:$Q, $J6, '기타(Z)'!$C:$C, $L$1)
)</f>
        <v>2</v>
      </c>
      <c r="AE6" s="386">
        <f>IF(
  SUM(
    SUMIFS('발전사업(A)'!$I:$I,'발전사업(A)'!$G:$G,AE$2,'발전사업(A)'!$Q:$Q,$J6,'발전사업(A)'!$C:$C,$L$1),
    SUMIFS('자가소비(B)'!$I:$I,'자가소비(B)'!$G:$G,AE$2,'자가소비(B)'!$Q:$Q,$J6,'자가소비(B)'!$C:$C,$L$1),
    SUMIFS('PPA 사업(C)'!$I:$I,'PPA 사업(C)'!$G:$G,AE$2,'PPA 사업(C)'!$Q:$Q,$J6,'PPA 사업(C)'!$C:$C,$L$1),
    SUMIFS('리스사업(D)'!$I:$I,'리스사업(D)'!$G:$G,AE$2,'리스사업(D)'!$Q:$Q,$J6,'리스사업(D)'!$C:$C,$L$1),
    SUMIFS('임대사업(E)'!$I:$I,'임대사업(E)'!$G:$G,AE$2,'임대사업(E)'!$Q:$Q,$J6,'임대사업(E)'!$C:$C,$L$1),
    SUMIFS('환경부사업(F)'!$I:$I,'환경부사업(F)'!$G:$G,AE$2,'환경부사업(F)'!$Q:$Q,$J6,'환경부사업(F)'!$C:$C,$L$1),
    SUMIFS('프로젝트(G)'!$I:$I,'프로젝트(G)'!$G:$G,AE$2,'프로젝트(G)'!$Q:$Q,$J6,'프로젝트(G)'!$C:$C,$L$1),
    SUMIFS('협력사 EPC(H)'!$I:$I,'협력사 EPC(H)'!$G:$G,AE$2,'협력사 EPC(H)'!$Q:$Q,$J6,'협력사 EPC(H)'!$C:$C,$L$1),
    SUMIFS('기타(Z)'!$I:$I,'기타(Z)'!$G:$G,AE$2,'기타(Z)'!$Q:$Q,$J6,'기타(Z)'!$C:$C,$L$1)
  )=0,
  "",
  SUM(
    SUMIFS('발전사업(A)'!$I:$I,'발전사업(A)'!$G:$G,AE$2,'발전사업(A)'!$Q:$Q,$J6,'발전사업(A)'!$C:$C,$L$1),
    SUMIFS('자가소비(B)'!$I:$I,'자가소비(B)'!$G:$G,AE$2,'자가소비(B)'!$Q:$Q,$J6,'자가소비(B)'!$C:$C,$L$1),
    SUMIFS('PPA 사업(C)'!$I:$I,'PPA 사업(C)'!$G:$G,AE$2,'PPA 사업(C)'!$Q:$Q,$J6,'PPA 사업(C)'!$C:$C,$L$1),
    SUMIFS('리스사업(D)'!$I:$I,'리스사업(D)'!$G:$G,AE$2,'리스사업(D)'!$Q:$Q,$J6,'리스사업(D)'!$C:$C,$L$1),
    SUMIFS('임대사업(E)'!$I:$I,'임대사업(E)'!$G:$G,AE$2,'임대사업(E)'!$Q:$Q,$J6,'임대사업(E)'!$C:$C,$L$1),
    SUMIFS('환경부사업(F)'!$I:$I,'환경부사업(F)'!$G:$G,AE$2,'환경부사업(F)'!$Q:$Q,$J6,'환경부사업(F)'!$C:$C,$L$1),
    SUMIFS('프로젝트(G)'!$I:$I,'프로젝트(G)'!$G:$G,AE$2,'프로젝트(G)'!$Q:$Q,$J6,'프로젝트(G)'!$C:$C,$L$1),
    SUMIFS('협력사 EPC(H)'!$I:$I,'협력사 EPC(H)'!$G:$G,AE$2,'협력사 EPC(H)'!$Q:$Q,$J6,'협력사 EPC(H)'!$C:$C,$L$1),
    SUMIFS('기타(Z)'!$I:$I,'기타(Z)'!$G:$G,AE$2,'기타(Z)'!$Q:$Q,$J6,'기타(Z)'!$C:$C,$L$1)
  )
)</f>
        <v>398.08</v>
      </c>
      <c r="AF6" s="387">
        <f>IF(
  SUM(
    COUNTIFS('발전사업(A)'!$G:$G, AE$2, '발전사업(A)'!$Q:$Q, $J6, '발전사업(A)'!$C:$C, $L$1),
    COUNTIFS('자가소비(B)'!$G:$G, AE$2, '자가소비(B)'!$Q:$Q, $J6, '자가소비(B)'!$C:$C, $L$1),
    COUNTIFS('PPA 사업(C)'!$G:$G, AE$2, 'PPA 사업(C)'!$Q:$Q, $J6, 'PPA 사업(C)'!$C:$C, $L$1),
    COUNTIFS('리스사업(D)'!$G:$G, AE$2, '리스사업(D)'!$Q:$Q, $J6, '리스사업(D)'!$C:$C, $L$1),
    COUNTIFS('임대사업(E)'!$G:$G, AE$2, '임대사업(E)'!$Q:$Q, $J6, '임대사업(E)'!$C:$C, $L$1),
    COUNTIFS('환경부사업(F)'!$G:$G, AE$2, '환경부사업(F)'!$Q:$Q, $J6, '환경부사업(F)'!$C:$C, $L$1),
    COUNTIFS('프로젝트(G)'!$G:$G, AE$2, '프로젝트(G)'!$Q:$Q, $J6, '프로젝트(G)'!$C:$C, $L$1),
    COUNTIFS('협력사 EPC(H)'!$G:$G, AE$2, '협력사 EPC(H)'!$Q:$Q, $J6, '협력사 EPC(H)'!$C:$C, $L$1),
    COUNTIFS('기타(Z)'!$G:$G, AE$2, '기타(Z)'!$Q:$Q, $J6, '기타(Z)'!$C:$C, $L$1)
  ) = 0,
  "",
  COUNTIFS('발전사업(A)'!$G:$G, AE$2, '발전사업(A)'!$Q:$Q, $J6, '발전사업(A)'!$C:$C, $L$1)
  + COUNTIFS('자가소비(B)'!$G:$G, AE$2, '자가소비(B)'!$Q:$Q, $J6, '자가소비(B)'!$C:$C, $L$1)
  + COUNTIFS('PPA 사업(C)'!$G:$G, AE$2, 'PPA 사업(C)'!$Q:$Q, $J6, 'PPA 사업(C)'!$C:$C, $L$1)
  + COUNTIFS('리스사업(D)'!$G:$G, AE$2, '리스사업(D)'!$Q:$Q, $J6, '리스사업(D)'!$C:$C, $L$1)
  + COUNTIFS('임대사업(E)'!$G:$G, AE$2, '임대사업(E)'!$Q:$Q, $J6, '임대사업(E)'!$C:$C, $L$1)
  + COUNTIFS('환경부사업(F)'!$G:$G, AE$2, '환경부사업(F)'!$Q:$Q, $J6, '환경부사업(F)'!$C:$C, $L$1)
  + COUNTIFS('프로젝트(G)'!$G:$G, AE$2, '프로젝트(G)'!$Q:$Q, $J6, '프로젝트(G)'!$C:$C, $L$1)
  + COUNTIFS('협력사 EPC(H)'!$G:$G, AE$2, '협력사 EPC(H)'!$Q:$Q, $J6, '협력사 EPC(H)'!$C:$C, $L$1)
  + COUNTIFS('기타(Z)'!$G:$G, AE$2, '기타(Z)'!$Q:$Q, $J6, '기타(Z)'!$C:$C, $L$1)
)</f>
        <v>2</v>
      </c>
      <c r="AG6" s="386" t="str">
        <f>IF(
  SUM(
    SUMIFS('발전사업(A)'!$I:$I,'발전사업(A)'!$G:$G,AG$2,'발전사업(A)'!$Q:$Q,$J6,'발전사업(A)'!$C:$C,$L$1),
    SUMIFS('자가소비(B)'!$I:$I,'자가소비(B)'!$G:$G,AG$2,'자가소비(B)'!$Q:$Q,$J6,'자가소비(B)'!$C:$C,$L$1),
    SUMIFS('PPA 사업(C)'!$I:$I,'PPA 사업(C)'!$G:$G,AG$2,'PPA 사업(C)'!$Q:$Q,$J6,'PPA 사업(C)'!$C:$C,$L$1),
    SUMIFS('리스사업(D)'!$I:$I,'리스사업(D)'!$G:$G,AG$2,'리스사업(D)'!$Q:$Q,$J6,'리스사업(D)'!$C:$C,$L$1),
    SUMIFS('임대사업(E)'!$I:$I,'임대사업(E)'!$G:$G,AG$2,'임대사업(E)'!$Q:$Q,$J6,'임대사업(E)'!$C:$C,$L$1),
    SUMIFS('환경부사업(F)'!$I:$I,'환경부사업(F)'!$G:$G,AG$2,'환경부사업(F)'!$Q:$Q,$J6,'환경부사업(F)'!$C:$C,$L$1),
    SUMIFS('프로젝트(G)'!$I:$I,'프로젝트(G)'!$G:$G,AG$2,'프로젝트(G)'!$Q:$Q,$J6,'프로젝트(G)'!$C:$C,$L$1),
    SUMIFS('협력사 EPC(H)'!$I:$I,'협력사 EPC(H)'!$G:$G,AG$2,'협력사 EPC(H)'!$Q:$Q,$J6,'협력사 EPC(H)'!$C:$C,$L$1),
    SUMIFS('기타(Z)'!$I:$I,'기타(Z)'!$G:$G,AG$2,'기타(Z)'!$Q:$Q,$J6,'기타(Z)'!$C:$C,$L$1)
  )=0,
  "",
  SUM(
    SUMIFS('발전사업(A)'!$I:$I,'발전사업(A)'!$G:$G,AG$2,'발전사업(A)'!$Q:$Q,$J6,'발전사업(A)'!$C:$C,$L$1),
    SUMIFS('자가소비(B)'!$I:$I,'자가소비(B)'!$G:$G,AG$2,'자가소비(B)'!$Q:$Q,$J6,'자가소비(B)'!$C:$C,$L$1),
    SUMIFS('PPA 사업(C)'!$I:$I,'PPA 사업(C)'!$G:$G,AG$2,'PPA 사업(C)'!$Q:$Q,$J6,'PPA 사업(C)'!$C:$C,$L$1),
    SUMIFS('리스사업(D)'!$I:$I,'리스사업(D)'!$G:$G,AG$2,'리스사업(D)'!$Q:$Q,$J6,'리스사업(D)'!$C:$C,$L$1),
    SUMIFS('임대사업(E)'!$I:$I,'임대사업(E)'!$G:$G,AG$2,'임대사업(E)'!$Q:$Q,$J6,'임대사업(E)'!$C:$C,$L$1),
    SUMIFS('환경부사업(F)'!$I:$I,'환경부사업(F)'!$G:$G,AG$2,'환경부사업(F)'!$Q:$Q,$J6,'환경부사업(F)'!$C:$C,$L$1),
    SUMIFS('프로젝트(G)'!$I:$I,'프로젝트(G)'!$G:$G,AG$2,'프로젝트(G)'!$Q:$Q,$J6,'프로젝트(G)'!$C:$C,$L$1),
    SUMIFS('협력사 EPC(H)'!$I:$I,'협력사 EPC(H)'!$G:$G,AG$2,'협력사 EPC(H)'!$Q:$Q,$J6,'협력사 EPC(H)'!$C:$C,$L$1),
    SUMIFS('기타(Z)'!$I:$I,'기타(Z)'!$G:$G,AG$2,'기타(Z)'!$Q:$Q,$J6,'기타(Z)'!$C:$C,$L$1)
  )
)</f>
        <v/>
      </c>
      <c r="AH6" s="387" t="str">
        <f>IF(
  SUM(
    COUNTIFS('발전사업(A)'!$G:$G, AG$2, '발전사업(A)'!$Q:$Q, $J6, '발전사업(A)'!$C:$C, $L$1),
    COUNTIFS('자가소비(B)'!$G:$G, AG$2, '자가소비(B)'!$Q:$Q, $J6, '자가소비(B)'!$C:$C, $L$1),
    COUNTIFS('PPA 사업(C)'!$G:$G, AG$2, 'PPA 사업(C)'!$Q:$Q, $J6, 'PPA 사업(C)'!$C:$C, $L$1),
    COUNTIFS('리스사업(D)'!$G:$G, AG$2, '리스사업(D)'!$Q:$Q, $J6, '리스사업(D)'!$C:$C, $L$1),
    COUNTIFS('임대사업(E)'!$G:$G, AG$2, '임대사업(E)'!$Q:$Q, $J6, '임대사업(E)'!$C:$C, $L$1),
    COUNTIFS('환경부사업(F)'!$G:$G, AG$2, '환경부사업(F)'!$Q:$Q, $J6, '환경부사업(F)'!$C:$C, $L$1),
    COUNTIFS('프로젝트(G)'!$G:$G, AG$2, '프로젝트(G)'!$Q:$Q, $J6, '프로젝트(G)'!$C:$C, $L$1),
    COUNTIFS('협력사 EPC(H)'!$G:$G, AG$2, '협력사 EPC(H)'!$Q:$Q, $J6, '협력사 EPC(H)'!$C:$C, $L$1),
    COUNTIFS('기타(Z)'!$G:$G, AG$2, '기타(Z)'!$Q:$Q, $J6, '기타(Z)'!$C:$C, $L$1)
  ) = 0,
  "",
  COUNTIFS('발전사업(A)'!$G:$G, AG$2, '발전사업(A)'!$Q:$Q, $J6, '발전사업(A)'!$C:$C, $L$1)
  + COUNTIFS('자가소비(B)'!$G:$G, AG$2, '자가소비(B)'!$Q:$Q, $J6, '자가소비(B)'!$C:$C, $L$1)
  + COUNTIFS('PPA 사업(C)'!$G:$G, AG$2, 'PPA 사업(C)'!$Q:$Q, $J6, 'PPA 사업(C)'!$C:$C, $L$1)
  + COUNTIFS('리스사업(D)'!$G:$G, AG$2, '리스사업(D)'!$Q:$Q, $J6, '리스사업(D)'!$C:$C, $L$1)
  + COUNTIFS('임대사업(E)'!$G:$G, AG$2, '임대사업(E)'!$Q:$Q, $J6, '임대사업(E)'!$C:$C, $L$1)
  + COUNTIFS('환경부사업(F)'!$G:$G, AG$2, '환경부사업(F)'!$Q:$Q, $J6, '환경부사업(F)'!$C:$C, $L$1)
  + COUNTIFS('프로젝트(G)'!$G:$G, AG$2, '프로젝트(G)'!$Q:$Q, $J6, '프로젝트(G)'!$C:$C, $L$1)
  + COUNTIFS('협력사 EPC(H)'!$G:$G, AG$2, '협력사 EPC(H)'!$Q:$Q, $J6, '협력사 EPC(H)'!$C:$C, $L$1)
  + COUNTIFS('기타(Z)'!$G:$G, AG$2, '기타(Z)'!$Q:$Q, $J6, '기타(Z)'!$C:$C, $L$1)
)</f>
        <v/>
      </c>
      <c r="AI6" s="386" t="str">
        <f>IF(
  SUM(
    SUMIFS('발전사업(A)'!$I:$I,'발전사업(A)'!$G:$G,AI$2,'발전사업(A)'!$Q:$Q,$J6,'발전사업(A)'!$C:$C,$L$1),
    SUMIFS('자가소비(B)'!$I:$I,'자가소비(B)'!$G:$G,AI$2,'자가소비(B)'!$Q:$Q,$J6,'자가소비(B)'!$C:$C,$L$1),
    SUMIFS('PPA 사업(C)'!$I:$I,'PPA 사업(C)'!$G:$G,AI$2,'PPA 사업(C)'!$Q:$Q,$J6,'PPA 사업(C)'!$C:$C,$L$1),
    SUMIFS('리스사업(D)'!$I:$I,'리스사업(D)'!$G:$G,AI$2,'리스사업(D)'!$Q:$Q,$J6,'리스사업(D)'!$C:$C,$L$1),
    SUMIFS('임대사업(E)'!$I:$I,'임대사업(E)'!$G:$G,AI$2,'임대사업(E)'!$Q:$Q,$J6,'임대사업(E)'!$C:$C,$L$1),
    SUMIFS('환경부사업(F)'!$I:$I,'환경부사업(F)'!$G:$G,AI$2,'환경부사업(F)'!$Q:$Q,$J6,'환경부사업(F)'!$C:$C,$L$1),
    SUMIFS('프로젝트(G)'!$I:$I,'프로젝트(G)'!$G:$G,AI$2,'프로젝트(G)'!$Q:$Q,$J6,'프로젝트(G)'!$C:$C,$L$1),
    SUMIFS('협력사 EPC(H)'!$I:$I,'협력사 EPC(H)'!$G:$G,AI$2,'협력사 EPC(H)'!$Q:$Q,$J6,'협력사 EPC(H)'!$C:$C,$L$1),
    SUMIFS('기타(Z)'!$I:$I,'기타(Z)'!$G:$G,AI$2,'기타(Z)'!$Q:$Q,$J6,'기타(Z)'!$C:$C,$L$1)
  )=0,
  "",
  SUM(
    SUMIFS('발전사업(A)'!$I:$I,'발전사업(A)'!$G:$G,AI$2,'발전사업(A)'!$Q:$Q,$J6,'발전사업(A)'!$C:$C,$L$1),
    SUMIFS('자가소비(B)'!$I:$I,'자가소비(B)'!$G:$G,AI$2,'자가소비(B)'!$Q:$Q,$J6,'자가소비(B)'!$C:$C,$L$1),
    SUMIFS('PPA 사업(C)'!$I:$I,'PPA 사업(C)'!$G:$G,AI$2,'PPA 사업(C)'!$Q:$Q,$J6,'PPA 사업(C)'!$C:$C,$L$1),
    SUMIFS('리스사업(D)'!$I:$I,'리스사업(D)'!$G:$G,AI$2,'리스사업(D)'!$Q:$Q,$J6,'리스사업(D)'!$C:$C,$L$1),
    SUMIFS('임대사업(E)'!$I:$I,'임대사업(E)'!$G:$G,AI$2,'임대사업(E)'!$Q:$Q,$J6,'임대사업(E)'!$C:$C,$L$1),
    SUMIFS('환경부사업(F)'!$I:$I,'환경부사업(F)'!$G:$G,AI$2,'환경부사업(F)'!$Q:$Q,$J6,'환경부사업(F)'!$C:$C,$L$1),
    SUMIFS('프로젝트(G)'!$I:$I,'프로젝트(G)'!$G:$G,AI$2,'프로젝트(G)'!$Q:$Q,$J6,'프로젝트(G)'!$C:$C,$L$1),
    SUMIFS('협력사 EPC(H)'!$I:$I,'협력사 EPC(H)'!$G:$G,AI$2,'협력사 EPC(H)'!$Q:$Q,$J6,'협력사 EPC(H)'!$C:$C,$L$1),
    SUMIFS('기타(Z)'!$I:$I,'기타(Z)'!$G:$G,AI$2,'기타(Z)'!$Q:$Q,$J6,'기타(Z)'!$C:$C,$L$1)
  )
)</f>
        <v/>
      </c>
      <c r="AJ6" s="385" t="str">
        <f>IF(
  SUM(
    COUNTIFS('발전사업(A)'!$G:$G, AI$2, '발전사업(A)'!$Q:$Q, $J6, '발전사업(A)'!$C:$C, $L$1),
    COUNTIFS('자가소비(B)'!$G:$G, AI$2, '자가소비(B)'!$Q:$Q, $J6, '자가소비(B)'!$C:$C, $L$1),
    COUNTIFS('PPA 사업(C)'!$G:$G, AI$2, 'PPA 사업(C)'!$Q:$Q, $J6, 'PPA 사업(C)'!$C:$C, $L$1),
    COUNTIFS('리스사업(D)'!$G:$G, AI$2, '리스사업(D)'!$Q:$Q, $J6, '리스사업(D)'!$C:$C, $L$1),
    COUNTIFS('임대사업(E)'!$G:$G, AI$2, '임대사업(E)'!$Q:$Q, $J6, '임대사업(E)'!$C:$C, $L$1),
    COUNTIFS('환경부사업(F)'!$G:$G, AI$2, '환경부사업(F)'!$Q:$Q, $J6, '환경부사업(F)'!$C:$C, $L$1),
    COUNTIFS('프로젝트(G)'!$G:$G, AI$2, '프로젝트(G)'!$Q:$Q, $J6, '프로젝트(G)'!$C:$C, $L$1),
    COUNTIFS('협력사 EPC(H)'!$G:$G, AI$2, '협력사 EPC(H)'!$Q:$Q, $J6, '협력사 EPC(H)'!$C:$C, $L$1),
    COUNTIFS('기타(Z)'!$G:$G, AI$2, '기타(Z)'!$Q:$Q, $J6, '기타(Z)'!$C:$C, $L$1)
  ) = 0,
  "",
  COUNTIFS('발전사업(A)'!$G:$G, AI$2, '발전사업(A)'!$Q:$Q, $J6, '발전사업(A)'!$C:$C, $L$1)
  + COUNTIFS('자가소비(B)'!$G:$G, AI$2, '자가소비(B)'!$Q:$Q, $J6, '자가소비(B)'!$C:$C, $L$1)
  + COUNTIFS('PPA 사업(C)'!$G:$G, AI$2, 'PPA 사업(C)'!$Q:$Q, $J6, 'PPA 사업(C)'!$C:$C, $L$1)
  + COUNTIFS('리스사업(D)'!$G:$G, AI$2, '리스사업(D)'!$Q:$Q, $J6, '리스사업(D)'!$C:$C, $L$1)
  + COUNTIFS('임대사업(E)'!$G:$G, AI$2, '임대사업(E)'!$Q:$Q, $J6, '임대사업(E)'!$C:$C, $L$1)
  + COUNTIFS('환경부사업(F)'!$G:$G, AI$2, '환경부사업(F)'!$Q:$Q, $J6, '환경부사업(F)'!$C:$C, $L$1)
  + COUNTIFS('프로젝트(G)'!$G:$G, AI$2, '프로젝트(G)'!$Q:$Q, $J6, '프로젝트(G)'!$C:$C, $L$1)
  + COUNTIFS('협력사 EPC(H)'!$G:$G, AI$2, '협력사 EPC(H)'!$Q:$Q, $J6, '협력사 EPC(H)'!$C:$C, $L$1)
  + COUNTIFS('기타(Z)'!$G:$G, AI$2, '기타(Z)'!$Q:$Q, $J6, '기타(Z)'!$C:$C, $L$1)
)</f>
        <v/>
      </c>
    </row>
    <row r="7" spans="2:36" ht="15" x14ac:dyDescent="0.25">
      <c r="B7" s="202" t="s">
        <v>261</v>
      </c>
      <c r="C7" s="280">
        <f t="shared" si="2"/>
        <v>1503.0700000000002</v>
      </c>
      <c r="D7" s="281">
        <f t="shared" si="2"/>
        <v>9</v>
      </c>
      <c r="E7" s="280">
        <f t="shared" si="3"/>
        <v>612.83000000000004</v>
      </c>
      <c r="F7" s="281">
        <f t="shared" si="3"/>
        <v>4</v>
      </c>
      <c r="G7" s="280">
        <f t="shared" si="4"/>
        <v>890.24</v>
      </c>
      <c r="H7" s="281">
        <f t="shared" si="4"/>
        <v>5</v>
      </c>
      <c r="J7" s="391" t="s">
        <v>2131</v>
      </c>
      <c r="K7" s="374" t="str">
        <f t="shared" si="0"/>
        <v/>
      </c>
      <c r="L7" s="368" t="str">
        <f t="shared" si="1"/>
        <v/>
      </c>
      <c r="M7" s="386" t="str">
        <f>IF(
  SUM(
    SUMIFS('발전사업(A)'!$I:$I,'발전사업(A)'!$G:$G,M$2,'발전사업(A)'!$Q:$Q,$J7,'발전사업(A)'!$C:$C,$L$1),
    SUMIFS('자가소비(B)'!$I:$I,'자가소비(B)'!$G:$G,M$2,'자가소비(B)'!$Q:$Q,$J7,'자가소비(B)'!$C:$C,$L$1),
    SUMIFS('PPA 사업(C)'!$I:$I,'PPA 사업(C)'!$G:$G,M$2,'PPA 사업(C)'!$Q:$Q,$J7,'PPA 사업(C)'!$C:$C,$L$1),
    SUMIFS('리스사업(D)'!$I:$I,'리스사업(D)'!$G:$G,M$2,'리스사업(D)'!$Q:$Q,$J7,'리스사업(D)'!$C:$C,$L$1),
    SUMIFS('임대사업(E)'!$I:$I,'임대사업(E)'!$G:$G,M$2,'임대사업(E)'!$Q:$Q,$J7,'임대사업(E)'!$C:$C,$L$1),
    SUMIFS('환경부사업(F)'!$I:$I,'환경부사업(F)'!$G:$G,M$2,'환경부사업(F)'!$Q:$Q,$J7,'환경부사업(F)'!$C:$C,$L$1),
    SUMIFS('프로젝트(G)'!$I:$I,'프로젝트(G)'!$G:$G,M$2,'프로젝트(G)'!$Q:$Q,$J7,'프로젝트(G)'!$C:$C,$L$1),
    SUMIFS('협력사 EPC(H)'!$I:$I,'협력사 EPC(H)'!$G:$G,M$2,'협력사 EPC(H)'!$Q:$Q,$J7,'협력사 EPC(H)'!$C:$C,$L$1),
    SUMIFS('기타(Z)'!$I:$I,'기타(Z)'!$G:$G,M$2,'기타(Z)'!$Q:$Q,$J7,'기타(Z)'!$C:$C,$L$1)
  )=0,
  "",
  SUM(
    SUMIFS('발전사업(A)'!$I:$I,'발전사업(A)'!$G:$G,M$2,'발전사업(A)'!$Q:$Q,$J7,'발전사업(A)'!$C:$C,$L$1),
    SUMIFS('자가소비(B)'!$I:$I,'자가소비(B)'!$G:$G,M$2,'자가소비(B)'!$Q:$Q,$J7,'자가소비(B)'!$C:$C,$L$1),
    SUMIFS('PPA 사업(C)'!$I:$I,'PPA 사업(C)'!$G:$G,M$2,'PPA 사업(C)'!$Q:$Q,$J7,'PPA 사업(C)'!$C:$C,$L$1),
    SUMIFS('리스사업(D)'!$I:$I,'리스사업(D)'!$G:$G,M$2,'리스사업(D)'!$Q:$Q,$J7,'리스사업(D)'!$C:$C,$L$1),
    SUMIFS('임대사업(E)'!$I:$I,'임대사업(E)'!$G:$G,M$2,'임대사업(E)'!$Q:$Q,$J7,'임대사업(E)'!$C:$C,$L$1),
    SUMIFS('환경부사업(F)'!$I:$I,'환경부사업(F)'!$G:$G,M$2,'환경부사업(F)'!$Q:$Q,$J7,'환경부사업(F)'!$C:$C,$L$1),
    SUMIFS('프로젝트(G)'!$I:$I,'프로젝트(G)'!$G:$G,M$2,'프로젝트(G)'!$Q:$Q,$J7,'프로젝트(G)'!$C:$C,$L$1),
    SUMIFS('협력사 EPC(H)'!$I:$I,'협력사 EPC(H)'!$G:$G,M$2,'협력사 EPC(H)'!$Q:$Q,$J7,'협력사 EPC(H)'!$C:$C,$L$1),
    SUMIFS('기타(Z)'!$I:$I,'기타(Z)'!$G:$G,M$2,'기타(Z)'!$Q:$Q,$J7,'기타(Z)'!$C:$C,$L$1)
  )
)</f>
        <v/>
      </c>
      <c r="N7" s="387" t="str">
        <f>IF(
  SUM(
    COUNTIFS('발전사업(A)'!$G:$G, M$2, '발전사업(A)'!$Q:$Q, $J7, '발전사업(A)'!$C:$C, $L$1),
    COUNTIFS('자가소비(B)'!$G:$G, M$2, '자가소비(B)'!$Q:$Q, $J7, '자가소비(B)'!$C:$C, $L$1),
    COUNTIFS('PPA 사업(C)'!$G:$G, M$2, 'PPA 사업(C)'!$Q:$Q, $J7, 'PPA 사업(C)'!$C:$C, $L$1),
    COUNTIFS('리스사업(D)'!$G:$G, M$2, '리스사업(D)'!$Q:$Q, $J7, '리스사업(D)'!$C:$C, $L$1),
    COUNTIFS('임대사업(E)'!$G:$G, M$2, '임대사업(E)'!$Q:$Q, $J7, '임대사업(E)'!$C:$C, $L$1),
    COUNTIFS('환경부사업(F)'!$G:$G, M$2, '환경부사업(F)'!$Q:$Q, $J7, '환경부사업(F)'!$C:$C, $L$1),
    COUNTIFS('프로젝트(G)'!$G:$G, M$2, '프로젝트(G)'!$Q:$Q, $J7, '프로젝트(G)'!$C:$C, $L$1),
    COUNTIFS('협력사 EPC(H)'!$G:$G, M$2, '협력사 EPC(H)'!$Q:$Q, $J7, '협력사 EPC(H)'!$C:$C, $L$1),
    COUNTIFS('기타(Z)'!$G:$G, M$2, '기타(Z)'!$Q:$Q, $J7, '기타(Z)'!$C:$C, $L$1)
  ) = 0,
  "",
  COUNTIFS('발전사업(A)'!$G:$G, M$2, '발전사업(A)'!$Q:$Q, $J7, '발전사업(A)'!$C:$C, $L$1)
  + COUNTIFS('자가소비(B)'!$G:$G, M$2, '자가소비(B)'!$Q:$Q, $J7, '자가소비(B)'!$C:$C, $L$1)
  + COUNTIFS('PPA 사업(C)'!$G:$G, M$2, 'PPA 사업(C)'!$Q:$Q, $J7, 'PPA 사업(C)'!$C:$C, $L$1)
  + COUNTIFS('리스사업(D)'!$G:$G, M$2, '리스사업(D)'!$Q:$Q, $J7, '리스사업(D)'!$C:$C, $L$1)
  + COUNTIFS('임대사업(E)'!$G:$G, M$2, '임대사업(E)'!$Q:$Q, $J7, '임대사업(E)'!$C:$C, $L$1)
  + COUNTIFS('환경부사업(F)'!$G:$G, M$2, '환경부사업(F)'!$Q:$Q, $J7, '환경부사업(F)'!$C:$C, $L$1)
  + COUNTIFS('프로젝트(G)'!$G:$G, M$2, '프로젝트(G)'!$Q:$Q, $J7, '프로젝트(G)'!$C:$C, $L$1)
  + COUNTIFS('협력사 EPC(H)'!$G:$G, M$2, '협력사 EPC(H)'!$Q:$Q, $J7, '협력사 EPC(H)'!$C:$C, $L$1)
  + COUNTIFS('기타(Z)'!$G:$G, M$2, '기타(Z)'!$Q:$Q, $J7, '기타(Z)'!$C:$C, $L$1)
)</f>
        <v/>
      </c>
      <c r="O7" s="386" t="str">
        <f>IF(
  SUM(
    SUMIFS('발전사업(A)'!$I:$I,'발전사업(A)'!$G:$G,O$2,'발전사업(A)'!$Q:$Q,$J7,'발전사업(A)'!$C:$C,$L$1),
    SUMIFS('자가소비(B)'!$I:$I,'자가소비(B)'!$G:$G,O$2,'자가소비(B)'!$Q:$Q,$J7,'자가소비(B)'!$C:$C,$L$1),
    SUMIFS('PPA 사업(C)'!$I:$I,'PPA 사업(C)'!$G:$G,O$2,'PPA 사업(C)'!$Q:$Q,$J7,'PPA 사업(C)'!$C:$C,$L$1),
    SUMIFS('리스사업(D)'!$I:$I,'리스사업(D)'!$G:$G,O$2,'리스사업(D)'!$Q:$Q,$J7,'리스사업(D)'!$C:$C,$L$1),
    SUMIFS('임대사업(E)'!$I:$I,'임대사업(E)'!$G:$G,O$2,'임대사업(E)'!$Q:$Q,$J7,'임대사업(E)'!$C:$C,$L$1),
    SUMIFS('환경부사업(F)'!$I:$I,'환경부사업(F)'!$G:$G,O$2,'환경부사업(F)'!$Q:$Q,$J7,'환경부사업(F)'!$C:$C,$L$1),
    SUMIFS('프로젝트(G)'!$I:$I,'프로젝트(G)'!$G:$G,O$2,'프로젝트(G)'!$Q:$Q,$J7,'프로젝트(G)'!$C:$C,$L$1),
    SUMIFS('협력사 EPC(H)'!$I:$I,'협력사 EPC(H)'!$G:$G,O$2,'협력사 EPC(H)'!$Q:$Q,$J7,'협력사 EPC(H)'!$C:$C,$L$1),
    SUMIFS('기타(Z)'!$I:$I,'기타(Z)'!$G:$G,O$2,'기타(Z)'!$Q:$Q,$J7,'기타(Z)'!$C:$C,$L$1)
  )=0,
  "",
  SUM(
    SUMIFS('발전사업(A)'!$I:$I,'발전사업(A)'!$G:$G,O$2,'발전사업(A)'!$Q:$Q,$J7,'발전사업(A)'!$C:$C,$L$1),
    SUMIFS('자가소비(B)'!$I:$I,'자가소비(B)'!$G:$G,O$2,'자가소비(B)'!$Q:$Q,$J7,'자가소비(B)'!$C:$C,$L$1),
    SUMIFS('PPA 사업(C)'!$I:$I,'PPA 사업(C)'!$G:$G,O$2,'PPA 사업(C)'!$Q:$Q,$J7,'PPA 사업(C)'!$C:$C,$L$1),
    SUMIFS('리스사업(D)'!$I:$I,'리스사업(D)'!$G:$G,O$2,'리스사업(D)'!$Q:$Q,$J7,'리스사업(D)'!$C:$C,$L$1),
    SUMIFS('임대사업(E)'!$I:$I,'임대사업(E)'!$G:$G,O$2,'임대사업(E)'!$Q:$Q,$J7,'임대사업(E)'!$C:$C,$L$1),
    SUMIFS('환경부사업(F)'!$I:$I,'환경부사업(F)'!$G:$G,O$2,'환경부사업(F)'!$Q:$Q,$J7,'환경부사업(F)'!$C:$C,$L$1),
    SUMIFS('프로젝트(G)'!$I:$I,'프로젝트(G)'!$G:$G,O$2,'프로젝트(G)'!$Q:$Q,$J7,'프로젝트(G)'!$C:$C,$L$1),
    SUMIFS('협력사 EPC(H)'!$I:$I,'협력사 EPC(H)'!$G:$G,O$2,'협력사 EPC(H)'!$Q:$Q,$J7,'협력사 EPC(H)'!$C:$C,$L$1),
    SUMIFS('기타(Z)'!$I:$I,'기타(Z)'!$G:$G,O$2,'기타(Z)'!$Q:$Q,$J7,'기타(Z)'!$C:$C,$L$1)
  )
)</f>
        <v/>
      </c>
      <c r="P7" s="387" t="str">
        <f>IF(
  SUM(
    COUNTIFS('발전사업(A)'!$G:$G, O$2, '발전사업(A)'!$Q:$Q, $J7, '발전사업(A)'!$C:$C, $L$1),
    COUNTIFS('자가소비(B)'!$G:$G, O$2, '자가소비(B)'!$Q:$Q, $J7, '자가소비(B)'!$C:$C, $L$1),
    COUNTIFS('PPA 사업(C)'!$G:$G, O$2, 'PPA 사업(C)'!$Q:$Q, $J7, 'PPA 사업(C)'!$C:$C, $L$1),
    COUNTIFS('리스사업(D)'!$G:$G, O$2, '리스사업(D)'!$Q:$Q, $J7, '리스사업(D)'!$C:$C, $L$1),
    COUNTIFS('임대사업(E)'!$G:$G, O$2, '임대사업(E)'!$Q:$Q, $J7, '임대사업(E)'!$C:$C, $L$1),
    COUNTIFS('환경부사업(F)'!$G:$G, O$2, '환경부사업(F)'!$Q:$Q, $J7, '환경부사업(F)'!$C:$C, $L$1),
    COUNTIFS('프로젝트(G)'!$G:$G, O$2, '프로젝트(G)'!$Q:$Q, $J7, '프로젝트(G)'!$C:$C, $L$1),
    COUNTIFS('협력사 EPC(H)'!$G:$G, O$2, '협력사 EPC(H)'!$Q:$Q, $J7, '협력사 EPC(H)'!$C:$C, $L$1),
    COUNTIFS('기타(Z)'!$G:$G, O$2, '기타(Z)'!$Q:$Q, $J7, '기타(Z)'!$C:$C, $L$1)
  ) = 0,
  "",
  COUNTIFS('발전사업(A)'!$G:$G, O$2, '발전사업(A)'!$Q:$Q, $J7, '발전사업(A)'!$C:$C, $L$1)
  + COUNTIFS('자가소비(B)'!$G:$G, O$2, '자가소비(B)'!$Q:$Q, $J7, '자가소비(B)'!$C:$C, $L$1)
  + COUNTIFS('PPA 사업(C)'!$G:$G, O$2, 'PPA 사업(C)'!$Q:$Q, $J7, 'PPA 사업(C)'!$C:$C, $L$1)
  + COUNTIFS('리스사업(D)'!$G:$G, O$2, '리스사업(D)'!$Q:$Q, $J7, '리스사업(D)'!$C:$C, $L$1)
  + COUNTIFS('임대사업(E)'!$G:$G, O$2, '임대사업(E)'!$Q:$Q, $J7, '임대사업(E)'!$C:$C, $L$1)
  + COUNTIFS('환경부사업(F)'!$G:$G, O$2, '환경부사업(F)'!$Q:$Q, $J7, '환경부사업(F)'!$C:$C, $L$1)
  + COUNTIFS('프로젝트(G)'!$G:$G, O$2, '프로젝트(G)'!$Q:$Q, $J7, '프로젝트(G)'!$C:$C, $L$1)
  + COUNTIFS('협력사 EPC(H)'!$G:$G, O$2, '협력사 EPC(H)'!$Q:$Q, $J7, '협력사 EPC(H)'!$C:$C, $L$1)
  + COUNTIFS('기타(Z)'!$G:$G, O$2, '기타(Z)'!$Q:$Q, $J7, '기타(Z)'!$C:$C, $L$1)
)</f>
        <v/>
      </c>
      <c r="Q7" s="386" t="str">
        <f>IF(
  SUM(
    SUMIFS('발전사업(A)'!$I:$I,'발전사업(A)'!$G:$G,Q$2,'발전사업(A)'!$Q:$Q,$J7,'발전사업(A)'!$C:$C,$L$1),
    SUMIFS('자가소비(B)'!$I:$I,'자가소비(B)'!$G:$G,Q$2,'자가소비(B)'!$Q:$Q,$J7,'자가소비(B)'!$C:$C,$L$1),
    SUMIFS('PPA 사업(C)'!$I:$I,'PPA 사업(C)'!$G:$G,Q$2,'PPA 사업(C)'!$Q:$Q,$J7,'PPA 사업(C)'!$C:$C,$L$1),
    SUMIFS('리스사업(D)'!$I:$I,'리스사업(D)'!$G:$G,Q$2,'리스사업(D)'!$Q:$Q,$J7,'리스사업(D)'!$C:$C,$L$1),
    SUMIFS('임대사업(E)'!$I:$I,'임대사업(E)'!$G:$G,Q$2,'임대사업(E)'!$Q:$Q,$J7,'임대사업(E)'!$C:$C,$L$1),
    SUMIFS('환경부사업(F)'!$I:$I,'환경부사업(F)'!$G:$G,Q$2,'환경부사업(F)'!$Q:$Q,$J7,'환경부사업(F)'!$C:$C,$L$1),
    SUMIFS('프로젝트(G)'!$I:$I,'프로젝트(G)'!$G:$G,Q$2,'프로젝트(G)'!$Q:$Q,$J7,'프로젝트(G)'!$C:$C,$L$1),
    SUMIFS('협력사 EPC(H)'!$I:$I,'협력사 EPC(H)'!$G:$G,Q$2,'협력사 EPC(H)'!$Q:$Q,$J7,'협력사 EPC(H)'!$C:$C,$L$1),
    SUMIFS('기타(Z)'!$I:$I,'기타(Z)'!$G:$G,Q$2,'기타(Z)'!$Q:$Q,$J7,'기타(Z)'!$C:$C,$L$1)
  )=0,
  "",
  SUM(
    SUMIFS('발전사업(A)'!$I:$I,'발전사업(A)'!$G:$G,Q$2,'발전사업(A)'!$Q:$Q,$J7,'발전사업(A)'!$C:$C,$L$1),
    SUMIFS('자가소비(B)'!$I:$I,'자가소비(B)'!$G:$G,Q$2,'자가소비(B)'!$Q:$Q,$J7,'자가소비(B)'!$C:$C,$L$1),
    SUMIFS('PPA 사업(C)'!$I:$I,'PPA 사업(C)'!$G:$G,Q$2,'PPA 사업(C)'!$Q:$Q,$J7,'PPA 사업(C)'!$C:$C,$L$1),
    SUMIFS('리스사업(D)'!$I:$I,'리스사업(D)'!$G:$G,Q$2,'리스사업(D)'!$Q:$Q,$J7,'리스사업(D)'!$C:$C,$L$1),
    SUMIFS('임대사업(E)'!$I:$I,'임대사업(E)'!$G:$G,Q$2,'임대사업(E)'!$Q:$Q,$J7,'임대사업(E)'!$C:$C,$L$1),
    SUMIFS('환경부사업(F)'!$I:$I,'환경부사업(F)'!$G:$G,Q$2,'환경부사업(F)'!$Q:$Q,$J7,'환경부사업(F)'!$C:$C,$L$1),
    SUMIFS('프로젝트(G)'!$I:$I,'프로젝트(G)'!$G:$G,Q$2,'프로젝트(G)'!$Q:$Q,$J7,'프로젝트(G)'!$C:$C,$L$1),
    SUMIFS('협력사 EPC(H)'!$I:$I,'협력사 EPC(H)'!$G:$G,Q$2,'협력사 EPC(H)'!$Q:$Q,$J7,'협력사 EPC(H)'!$C:$C,$L$1),
    SUMIFS('기타(Z)'!$I:$I,'기타(Z)'!$G:$G,Q$2,'기타(Z)'!$Q:$Q,$J7,'기타(Z)'!$C:$C,$L$1)
  )
)</f>
        <v/>
      </c>
      <c r="R7" s="387" t="str">
        <f>IF(
  SUM(
    COUNTIFS('발전사업(A)'!$G:$G, Q$2, '발전사업(A)'!$Q:$Q, $J7, '발전사업(A)'!$C:$C, $L$1),
    COUNTIFS('자가소비(B)'!$G:$G, Q$2, '자가소비(B)'!$Q:$Q, $J7, '자가소비(B)'!$C:$C, $L$1),
    COUNTIFS('PPA 사업(C)'!$G:$G, Q$2, 'PPA 사업(C)'!$Q:$Q, $J7, 'PPA 사업(C)'!$C:$C, $L$1),
    COUNTIFS('리스사업(D)'!$G:$G, Q$2, '리스사업(D)'!$Q:$Q, $J7, '리스사업(D)'!$C:$C, $L$1),
    COUNTIFS('임대사업(E)'!$G:$G, Q$2, '임대사업(E)'!$Q:$Q, $J7, '임대사업(E)'!$C:$C, $L$1),
    COUNTIFS('환경부사업(F)'!$G:$G, Q$2, '환경부사업(F)'!$Q:$Q, $J7, '환경부사업(F)'!$C:$C, $L$1),
    COUNTIFS('프로젝트(G)'!$G:$G, Q$2, '프로젝트(G)'!$Q:$Q, $J7, '프로젝트(G)'!$C:$C, $L$1),
    COUNTIFS('협력사 EPC(H)'!$G:$G, Q$2, '협력사 EPC(H)'!$Q:$Q, $J7, '협력사 EPC(H)'!$C:$C, $L$1),
    COUNTIFS('기타(Z)'!$G:$G, Q$2, '기타(Z)'!$Q:$Q, $J7, '기타(Z)'!$C:$C, $L$1)
  ) = 0,
  "",
  COUNTIFS('발전사업(A)'!$G:$G, Q$2, '발전사업(A)'!$Q:$Q, $J7, '발전사업(A)'!$C:$C, $L$1)
  + COUNTIFS('자가소비(B)'!$G:$G, Q$2, '자가소비(B)'!$Q:$Q, $J7, '자가소비(B)'!$C:$C, $L$1)
  + COUNTIFS('PPA 사업(C)'!$G:$G, Q$2, 'PPA 사업(C)'!$Q:$Q, $J7, 'PPA 사업(C)'!$C:$C, $L$1)
  + COUNTIFS('리스사업(D)'!$G:$G, Q$2, '리스사업(D)'!$Q:$Q, $J7, '리스사업(D)'!$C:$C, $L$1)
  + COUNTIFS('임대사업(E)'!$G:$G, Q$2, '임대사업(E)'!$Q:$Q, $J7, '임대사업(E)'!$C:$C, $L$1)
  + COUNTIFS('환경부사업(F)'!$G:$G, Q$2, '환경부사업(F)'!$Q:$Q, $J7, '환경부사업(F)'!$C:$C, $L$1)
  + COUNTIFS('프로젝트(G)'!$G:$G, Q$2, '프로젝트(G)'!$Q:$Q, $J7, '프로젝트(G)'!$C:$C, $L$1)
  + COUNTIFS('협력사 EPC(H)'!$G:$G, Q$2, '협력사 EPC(H)'!$Q:$Q, $J7, '협력사 EPC(H)'!$C:$C, $L$1)
  + COUNTIFS('기타(Z)'!$G:$G, Q$2, '기타(Z)'!$Q:$Q, $J7, '기타(Z)'!$C:$C, $L$1)
)</f>
        <v/>
      </c>
      <c r="S7" s="386" t="str">
        <f>IF(
  SUM(
    SUMIFS('발전사업(A)'!$I:$I,'발전사업(A)'!$G:$G,S$2,'발전사업(A)'!$Q:$Q,$J7,'발전사업(A)'!$C:$C,$L$1),
    SUMIFS('자가소비(B)'!$I:$I,'자가소비(B)'!$G:$G,S$2,'자가소비(B)'!$Q:$Q,$J7,'자가소비(B)'!$C:$C,$L$1),
    SUMIFS('PPA 사업(C)'!$I:$I,'PPA 사업(C)'!$G:$G,S$2,'PPA 사업(C)'!$Q:$Q,$J7,'PPA 사업(C)'!$C:$C,$L$1),
    SUMIFS('리스사업(D)'!$I:$I,'리스사업(D)'!$G:$G,S$2,'리스사업(D)'!$Q:$Q,$J7,'리스사업(D)'!$C:$C,$L$1),
    SUMIFS('임대사업(E)'!$I:$I,'임대사업(E)'!$G:$G,S$2,'임대사업(E)'!$Q:$Q,$J7,'임대사업(E)'!$C:$C,$L$1),
    SUMIFS('환경부사업(F)'!$I:$I,'환경부사업(F)'!$G:$G,S$2,'환경부사업(F)'!$Q:$Q,$J7,'환경부사업(F)'!$C:$C,$L$1),
    SUMIFS('프로젝트(G)'!$I:$I,'프로젝트(G)'!$G:$G,S$2,'프로젝트(G)'!$Q:$Q,$J7,'프로젝트(G)'!$C:$C,$L$1),
    SUMIFS('협력사 EPC(H)'!$I:$I,'협력사 EPC(H)'!$G:$G,S$2,'협력사 EPC(H)'!$Q:$Q,$J7,'협력사 EPC(H)'!$C:$C,$L$1),
    SUMIFS('기타(Z)'!$I:$I,'기타(Z)'!$G:$G,S$2,'기타(Z)'!$Q:$Q,$J7,'기타(Z)'!$C:$C,$L$1)
  )=0,
  "",
  SUM(
    SUMIFS('발전사업(A)'!$I:$I,'발전사업(A)'!$G:$G,S$2,'발전사업(A)'!$Q:$Q,$J7,'발전사업(A)'!$C:$C,$L$1),
    SUMIFS('자가소비(B)'!$I:$I,'자가소비(B)'!$G:$G,S$2,'자가소비(B)'!$Q:$Q,$J7,'자가소비(B)'!$C:$C,$L$1),
    SUMIFS('PPA 사업(C)'!$I:$I,'PPA 사업(C)'!$G:$G,S$2,'PPA 사업(C)'!$Q:$Q,$J7,'PPA 사업(C)'!$C:$C,$L$1),
    SUMIFS('리스사업(D)'!$I:$I,'리스사업(D)'!$G:$G,S$2,'리스사업(D)'!$Q:$Q,$J7,'리스사업(D)'!$C:$C,$L$1),
    SUMIFS('임대사업(E)'!$I:$I,'임대사업(E)'!$G:$G,S$2,'임대사업(E)'!$Q:$Q,$J7,'임대사업(E)'!$C:$C,$L$1),
    SUMIFS('환경부사업(F)'!$I:$I,'환경부사업(F)'!$G:$G,S$2,'환경부사업(F)'!$Q:$Q,$J7,'환경부사업(F)'!$C:$C,$L$1),
    SUMIFS('프로젝트(G)'!$I:$I,'프로젝트(G)'!$G:$G,S$2,'프로젝트(G)'!$Q:$Q,$J7,'프로젝트(G)'!$C:$C,$L$1),
    SUMIFS('협력사 EPC(H)'!$I:$I,'협력사 EPC(H)'!$G:$G,S$2,'협력사 EPC(H)'!$Q:$Q,$J7,'협력사 EPC(H)'!$C:$C,$L$1),
    SUMIFS('기타(Z)'!$I:$I,'기타(Z)'!$G:$G,S$2,'기타(Z)'!$Q:$Q,$J7,'기타(Z)'!$C:$C,$L$1)
  )
)</f>
        <v/>
      </c>
      <c r="T7" s="387" t="str">
        <f>IF(
  SUM(
    COUNTIFS('발전사업(A)'!$G:$G, S$2, '발전사업(A)'!$Q:$Q, $J7, '발전사업(A)'!$C:$C, $L$1),
    COUNTIFS('자가소비(B)'!$G:$G, S$2, '자가소비(B)'!$Q:$Q, $J7, '자가소비(B)'!$C:$C, $L$1),
    COUNTIFS('PPA 사업(C)'!$G:$G, S$2, 'PPA 사업(C)'!$Q:$Q, $J7, 'PPA 사업(C)'!$C:$C, $L$1),
    COUNTIFS('리스사업(D)'!$G:$G, S$2, '리스사업(D)'!$Q:$Q, $J7, '리스사업(D)'!$C:$C, $L$1),
    COUNTIFS('임대사업(E)'!$G:$G, S$2, '임대사업(E)'!$Q:$Q, $J7, '임대사업(E)'!$C:$C, $L$1),
    COUNTIFS('환경부사업(F)'!$G:$G, S$2, '환경부사업(F)'!$Q:$Q, $J7, '환경부사업(F)'!$C:$C, $L$1),
    COUNTIFS('프로젝트(G)'!$G:$G, S$2, '프로젝트(G)'!$Q:$Q, $J7, '프로젝트(G)'!$C:$C, $L$1),
    COUNTIFS('협력사 EPC(H)'!$G:$G, S$2, '협력사 EPC(H)'!$Q:$Q, $J7, '협력사 EPC(H)'!$C:$C, $L$1),
    COUNTIFS('기타(Z)'!$G:$G, S$2, '기타(Z)'!$Q:$Q, $J7, '기타(Z)'!$C:$C, $L$1)
  ) = 0,
  "",
  COUNTIFS('발전사업(A)'!$G:$G, S$2, '발전사업(A)'!$Q:$Q, $J7, '발전사업(A)'!$C:$C, $L$1)
  + COUNTIFS('자가소비(B)'!$G:$G, S$2, '자가소비(B)'!$Q:$Q, $J7, '자가소비(B)'!$C:$C, $L$1)
  + COUNTIFS('PPA 사업(C)'!$G:$G, S$2, 'PPA 사업(C)'!$Q:$Q, $J7, 'PPA 사업(C)'!$C:$C, $L$1)
  + COUNTIFS('리스사업(D)'!$G:$G, S$2, '리스사업(D)'!$Q:$Q, $J7, '리스사업(D)'!$C:$C, $L$1)
  + COUNTIFS('임대사업(E)'!$G:$G, S$2, '임대사업(E)'!$Q:$Q, $J7, '임대사업(E)'!$C:$C, $L$1)
  + COUNTIFS('환경부사업(F)'!$G:$G, S$2, '환경부사업(F)'!$Q:$Q, $J7, '환경부사업(F)'!$C:$C, $L$1)
  + COUNTIFS('프로젝트(G)'!$G:$G, S$2, '프로젝트(G)'!$Q:$Q, $J7, '프로젝트(G)'!$C:$C, $L$1)
  + COUNTIFS('협력사 EPC(H)'!$G:$G, S$2, '협력사 EPC(H)'!$Q:$Q, $J7, '협력사 EPC(H)'!$C:$C, $L$1)
  + COUNTIFS('기타(Z)'!$G:$G, S$2, '기타(Z)'!$Q:$Q, $J7, '기타(Z)'!$C:$C, $L$1)
)</f>
        <v/>
      </c>
      <c r="U7" s="386" t="str">
        <f>IF(
  SUM(
    SUMIFS('발전사업(A)'!$I:$I,'발전사업(A)'!$G:$G,U$2,'발전사업(A)'!$Q:$Q,$J7,'발전사업(A)'!$C:$C,$L$1),
    SUMIFS('자가소비(B)'!$I:$I,'자가소비(B)'!$G:$G,U$2,'자가소비(B)'!$Q:$Q,$J7,'자가소비(B)'!$C:$C,$L$1),
    SUMIFS('PPA 사업(C)'!$I:$I,'PPA 사업(C)'!$G:$G,U$2,'PPA 사업(C)'!$Q:$Q,$J7,'PPA 사업(C)'!$C:$C,$L$1),
    SUMIFS('리스사업(D)'!$I:$I,'리스사업(D)'!$G:$G,U$2,'리스사업(D)'!$Q:$Q,$J7,'리스사업(D)'!$C:$C,$L$1),
    SUMIFS('임대사업(E)'!$I:$I,'임대사업(E)'!$G:$G,U$2,'임대사업(E)'!$Q:$Q,$J7,'임대사업(E)'!$C:$C,$L$1),
    SUMIFS('환경부사업(F)'!$I:$I,'환경부사업(F)'!$G:$G,U$2,'환경부사업(F)'!$Q:$Q,$J7,'환경부사업(F)'!$C:$C,$L$1),
    SUMIFS('프로젝트(G)'!$I:$I,'프로젝트(G)'!$G:$G,U$2,'프로젝트(G)'!$Q:$Q,$J7,'프로젝트(G)'!$C:$C,$L$1),
    SUMIFS('협력사 EPC(H)'!$I:$I,'협력사 EPC(H)'!$G:$G,U$2,'협력사 EPC(H)'!$Q:$Q,$J7,'협력사 EPC(H)'!$C:$C,$L$1),
    SUMIFS('기타(Z)'!$I:$I,'기타(Z)'!$G:$G,U$2,'기타(Z)'!$Q:$Q,$J7,'기타(Z)'!$C:$C,$L$1)
  )=0,
  "",
  SUM(
    SUMIFS('발전사업(A)'!$I:$I,'발전사업(A)'!$G:$G,U$2,'발전사업(A)'!$Q:$Q,$J7,'발전사업(A)'!$C:$C,$L$1),
    SUMIFS('자가소비(B)'!$I:$I,'자가소비(B)'!$G:$G,U$2,'자가소비(B)'!$Q:$Q,$J7,'자가소비(B)'!$C:$C,$L$1),
    SUMIFS('PPA 사업(C)'!$I:$I,'PPA 사업(C)'!$G:$G,U$2,'PPA 사업(C)'!$Q:$Q,$J7,'PPA 사업(C)'!$C:$C,$L$1),
    SUMIFS('리스사업(D)'!$I:$I,'리스사업(D)'!$G:$G,U$2,'리스사업(D)'!$Q:$Q,$J7,'리스사업(D)'!$C:$C,$L$1),
    SUMIFS('임대사업(E)'!$I:$I,'임대사업(E)'!$G:$G,U$2,'임대사업(E)'!$Q:$Q,$J7,'임대사업(E)'!$C:$C,$L$1),
    SUMIFS('환경부사업(F)'!$I:$I,'환경부사업(F)'!$G:$G,U$2,'환경부사업(F)'!$Q:$Q,$J7,'환경부사업(F)'!$C:$C,$L$1),
    SUMIFS('프로젝트(G)'!$I:$I,'프로젝트(G)'!$G:$G,U$2,'프로젝트(G)'!$Q:$Q,$J7,'프로젝트(G)'!$C:$C,$L$1),
    SUMIFS('협력사 EPC(H)'!$I:$I,'협력사 EPC(H)'!$G:$G,U$2,'협력사 EPC(H)'!$Q:$Q,$J7,'협력사 EPC(H)'!$C:$C,$L$1),
    SUMIFS('기타(Z)'!$I:$I,'기타(Z)'!$G:$G,U$2,'기타(Z)'!$Q:$Q,$J7,'기타(Z)'!$C:$C,$L$1)
  )
)</f>
        <v/>
      </c>
      <c r="V7" s="387" t="str">
        <f>IF(
  SUM(
    COUNTIFS('발전사업(A)'!$G:$G, U$2, '발전사업(A)'!$Q:$Q, $J7, '발전사업(A)'!$C:$C, $L$1),
    COUNTIFS('자가소비(B)'!$G:$G, U$2, '자가소비(B)'!$Q:$Q, $J7, '자가소비(B)'!$C:$C, $L$1),
    COUNTIFS('PPA 사업(C)'!$G:$G, U$2, 'PPA 사업(C)'!$Q:$Q, $J7, 'PPA 사업(C)'!$C:$C, $L$1),
    COUNTIFS('리스사업(D)'!$G:$G, U$2, '리스사업(D)'!$Q:$Q, $J7, '리스사업(D)'!$C:$C, $L$1),
    COUNTIFS('임대사업(E)'!$G:$G, U$2, '임대사업(E)'!$Q:$Q, $J7, '임대사업(E)'!$C:$C, $L$1),
    COUNTIFS('환경부사업(F)'!$G:$G, U$2, '환경부사업(F)'!$Q:$Q, $J7, '환경부사업(F)'!$C:$C, $L$1),
    COUNTIFS('프로젝트(G)'!$G:$G, U$2, '프로젝트(G)'!$Q:$Q, $J7, '프로젝트(G)'!$C:$C, $L$1),
    COUNTIFS('협력사 EPC(H)'!$G:$G, U$2, '협력사 EPC(H)'!$Q:$Q, $J7, '협력사 EPC(H)'!$C:$C, $L$1),
    COUNTIFS('기타(Z)'!$G:$G, U$2, '기타(Z)'!$Q:$Q, $J7, '기타(Z)'!$C:$C, $L$1)
  ) = 0,
  "",
  COUNTIFS('발전사업(A)'!$G:$G, U$2, '발전사업(A)'!$Q:$Q, $J7, '발전사업(A)'!$C:$C, $L$1)
  + COUNTIFS('자가소비(B)'!$G:$G, U$2, '자가소비(B)'!$Q:$Q, $J7, '자가소비(B)'!$C:$C, $L$1)
  + COUNTIFS('PPA 사업(C)'!$G:$G, U$2, 'PPA 사업(C)'!$Q:$Q, $J7, 'PPA 사업(C)'!$C:$C, $L$1)
  + COUNTIFS('리스사업(D)'!$G:$G, U$2, '리스사업(D)'!$Q:$Q, $J7, '리스사업(D)'!$C:$C, $L$1)
  + COUNTIFS('임대사업(E)'!$G:$G, U$2, '임대사업(E)'!$Q:$Q, $J7, '임대사업(E)'!$C:$C, $L$1)
  + COUNTIFS('환경부사업(F)'!$G:$G, U$2, '환경부사업(F)'!$Q:$Q, $J7, '환경부사업(F)'!$C:$C, $L$1)
  + COUNTIFS('프로젝트(G)'!$G:$G, U$2, '프로젝트(G)'!$Q:$Q, $J7, '프로젝트(G)'!$C:$C, $L$1)
  + COUNTIFS('협력사 EPC(H)'!$G:$G, U$2, '협력사 EPC(H)'!$Q:$Q, $J7, '협력사 EPC(H)'!$C:$C, $L$1)
  + COUNTIFS('기타(Z)'!$G:$G, U$2, '기타(Z)'!$Q:$Q, $J7, '기타(Z)'!$C:$C, $L$1)
)</f>
        <v/>
      </c>
      <c r="W7" s="386" t="str">
        <f>IF(
  SUM(
    SUMIFS('발전사업(A)'!$I:$I,'발전사업(A)'!$G:$G,W$2,'발전사업(A)'!$Q:$Q,$J7,'발전사업(A)'!$C:$C,$L$1),
    SUMIFS('자가소비(B)'!$I:$I,'자가소비(B)'!$G:$G,W$2,'자가소비(B)'!$Q:$Q,$J7,'자가소비(B)'!$C:$C,$L$1),
    SUMIFS('PPA 사업(C)'!$I:$I,'PPA 사업(C)'!$G:$G,W$2,'PPA 사업(C)'!$Q:$Q,$J7,'PPA 사업(C)'!$C:$C,$L$1),
    SUMIFS('리스사업(D)'!$I:$I,'리스사업(D)'!$G:$G,W$2,'리스사업(D)'!$Q:$Q,$J7,'리스사업(D)'!$C:$C,$L$1),
    SUMIFS('임대사업(E)'!$I:$I,'임대사업(E)'!$G:$G,W$2,'임대사업(E)'!$Q:$Q,$J7,'임대사업(E)'!$C:$C,$L$1),
    SUMIFS('환경부사업(F)'!$I:$I,'환경부사업(F)'!$G:$G,W$2,'환경부사업(F)'!$Q:$Q,$J7,'환경부사업(F)'!$C:$C,$L$1),
    SUMIFS('프로젝트(G)'!$I:$I,'프로젝트(G)'!$G:$G,W$2,'프로젝트(G)'!$Q:$Q,$J7,'프로젝트(G)'!$C:$C,$L$1),
    SUMIFS('협력사 EPC(H)'!$I:$I,'협력사 EPC(H)'!$G:$G,W$2,'협력사 EPC(H)'!$Q:$Q,$J7,'협력사 EPC(H)'!$C:$C,$L$1),
    SUMIFS('기타(Z)'!$I:$I,'기타(Z)'!$G:$G,W$2,'기타(Z)'!$Q:$Q,$J7,'기타(Z)'!$C:$C,$L$1)
  )=0,
  "",
  SUM(
    SUMIFS('발전사업(A)'!$I:$I,'발전사업(A)'!$G:$G,W$2,'발전사업(A)'!$Q:$Q,$J7,'발전사업(A)'!$C:$C,$L$1),
    SUMIFS('자가소비(B)'!$I:$I,'자가소비(B)'!$G:$G,W$2,'자가소비(B)'!$Q:$Q,$J7,'자가소비(B)'!$C:$C,$L$1),
    SUMIFS('PPA 사업(C)'!$I:$I,'PPA 사업(C)'!$G:$G,W$2,'PPA 사업(C)'!$Q:$Q,$J7,'PPA 사업(C)'!$C:$C,$L$1),
    SUMIFS('리스사업(D)'!$I:$I,'리스사업(D)'!$G:$G,W$2,'리스사업(D)'!$Q:$Q,$J7,'리스사업(D)'!$C:$C,$L$1),
    SUMIFS('임대사업(E)'!$I:$I,'임대사업(E)'!$G:$G,W$2,'임대사업(E)'!$Q:$Q,$J7,'임대사업(E)'!$C:$C,$L$1),
    SUMIFS('환경부사업(F)'!$I:$I,'환경부사업(F)'!$G:$G,W$2,'환경부사업(F)'!$Q:$Q,$J7,'환경부사업(F)'!$C:$C,$L$1),
    SUMIFS('프로젝트(G)'!$I:$I,'프로젝트(G)'!$G:$G,W$2,'프로젝트(G)'!$Q:$Q,$J7,'프로젝트(G)'!$C:$C,$L$1),
    SUMIFS('협력사 EPC(H)'!$I:$I,'협력사 EPC(H)'!$G:$G,W$2,'협력사 EPC(H)'!$Q:$Q,$J7,'협력사 EPC(H)'!$C:$C,$L$1),
    SUMIFS('기타(Z)'!$I:$I,'기타(Z)'!$G:$G,W$2,'기타(Z)'!$Q:$Q,$J7,'기타(Z)'!$C:$C,$L$1)
  )
)</f>
        <v/>
      </c>
      <c r="X7" s="367" t="str">
        <f>IF(
  SUM(
    COUNTIFS('발전사업(A)'!$G:$G,W$2,'발전사업(A)'!$Q:$Q,$J7),
    COUNTIFS('자가소비(B)'!$G:$G,W$2,'자가소비(B)'!$Q:$Q,$J7),
    COUNTIFS('PPA 사업(C)'!$G:$G,W$2,'PPA 사업(C)'!$Q:$Q,$J7),
    COUNTIFS('리스사업(D)'!$G:$G,W$2,'리스사업(D)'!$Q:$Q,$J7),
    COUNTIFS('임대사업(E)'!$G:$G,W$2,'임대사업(E)'!$Q:$Q,$J7),
    COUNTIFS('환경부사업(F)'!$G:$G,W$2,'환경부사업(F)'!$Q:$Q,$J7),
    COUNTIFS('프로젝트(G)'!$G:$G,W$2,'프로젝트(G)'!$Q:$Q,$J7),
    COUNTIFS('협력사 EPC(H)'!$G:$G,W$2,'협력사 EPC(H)'!$Q:$Q,$J7),
    COUNTIFS('기타(Z)'!$G:$G,W$2,'기타(Z)'!$Q:$Q,$J7)
  )=0,
  "",
  COUNTIFS('발전사업(A)'!$G:$G,W$2,'발전사업(A)'!$Q:$Q,$J7)
  +COUNTIFS('자가소비(B)'!$G:$G,W$2,'자가소비(B)'!$Q:$Q,$J7)
  +COUNTIFS('PPA 사업(C)'!$G:$G,W$2,'PPA 사업(C)'!$Q:$Q,$J7)
  +COUNTIFS('리스사업(D)'!$G:$G,W$2,'리스사업(D)'!$Q:$Q,$J7)
  +COUNTIFS('임대사업(E)'!$G:$G,W$2,'임대사업(E)'!$Q:$Q,$J7)
  +COUNTIFS('환경부사업(F)'!$G:$G,W$2,'환경부사업(F)'!$Q:$Q,$J7)
  +COUNTIFS('프로젝트(G)'!$G:$G,W$2,'프로젝트(G)'!$Q:$Q,$J7)
  +COUNTIFS('협력사 EPC(H)'!$G:$G,W$2,'협력사 EPC(H)'!$Q:$Q,$J7)
  +COUNTIFS('기타(Z)'!$G:$G,W$2,'기타(Z)'!$Q:$Q,$J7)
)</f>
        <v/>
      </c>
      <c r="Y7" s="386" t="str">
        <f>IF(
  SUM(
    SUMIFS('발전사업(A)'!$I:$I,'발전사업(A)'!$G:$G,Y$2,'발전사업(A)'!$Q:$Q,$J7,'발전사업(A)'!$C:$C,$L$1),
    SUMIFS('자가소비(B)'!$I:$I,'자가소비(B)'!$G:$G,Y$2,'자가소비(B)'!$Q:$Q,$J7,'자가소비(B)'!$C:$C,$L$1),
    SUMIFS('PPA 사업(C)'!$I:$I,'PPA 사업(C)'!$G:$G,Y$2,'PPA 사업(C)'!$Q:$Q,$J7,'PPA 사업(C)'!$C:$C,$L$1),
    SUMIFS('리스사업(D)'!$I:$I,'리스사업(D)'!$G:$G,Y$2,'리스사업(D)'!$Q:$Q,$J7,'리스사업(D)'!$C:$C,$L$1),
    SUMIFS('임대사업(E)'!$I:$I,'임대사업(E)'!$G:$G,Y$2,'임대사업(E)'!$Q:$Q,$J7,'임대사업(E)'!$C:$C,$L$1),
    SUMIFS('환경부사업(F)'!$I:$I,'환경부사업(F)'!$G:$G,Y$2,'환경부사업(F)'!$Q:$Q,$J7,'환경부사업(F)'!$C:$C,$L$1),
    SUMIFS('프로젝트(G)'!$I:$I,'프로젝트(G)'!$G:$G,Y$2,'프로젝트(G)'!$Q:$Q,$J7,'프로젝트(G)'!$C:$C,$L$1),
    SUMIFS('협력사 EPC(H)'!$I:$I,'협력사 EPC(H)'!$G:$G,Y$2,'협력사 EPC(H)'!$Q:$Q,$J7,'협력사 EPC(H)'!$C:$C,$L$1),
    SUMIFS('기타(Z)'!$I:$I,'기타(Z)'!$G:$G,Y$2,'기타(Z)'!$Q:$Q,$J7,'기타(Z)'!$C:$C,$L$1)
  )=0,
  "",
  SUM(
    SUMIFS('발전사업(A)'!$I:$I,'발전사업(A)'!$G:$G,Y$2,'발전사업(A)'!$Q:$Q,$J7,'발전사업(A)'!$C:$C,$L$1),
    SUMIFS('자가소비(B)'!$I:$I,'자가소비(B)'!$G:$G,Y$2,'자가소비(B)'!$Q:$Q,$J7,'자가소비(B)'!$C:$C,$L$1),
    SUMIFS('PPA 사업(C)'!$I:$I,'PPA 사업(C)'!$G:$G,Y$2,'PPA 사업(C)'!$Q:$Q,$J7,'PPA 사업(C)'!$C:$C,$L$1),
    SUMIFS('리스사업(D)'!$I:$I,'리스사업(D)'!$G:$G,Y$2,'리스사업(D)'!$Q:$Q,$J7,'리스사업(D)'!$C:$C,$L$1),
    SUMIFS('임대사업(E)'!$I:$I,'임대사업(E)'!$G:$G,Y$2,'임대사업(E)'!$Q:$Q,$J7,'임대사업(E)'!$C:$C,$L$1),
    SUMIFS('환경부사업(F)'!$I:$I,'환경부사업(F)'!$G:$G,Y$2,'환경부사업(F)'!$Q:$Q,$J7,'환경부사업(F)'!$C:$C,$L$1),
    SUMIFS('프로젝트(G)'!$I:$I,'프로젝트(G)'!$G:$G,Y$2,'프로젝트(G)'!$Q:$Q,$J7,'프로젝트(G)'!$C:$C,$L$1),
    SUMIFS('협력사 EPC(H)'!$I:$I,'협력사 EPC(H)'!$G:$G,Y$2,'협력사 EPC(H)'!$Q:$Q,$J7,'협력사 EPC(H)'!$C:$C,$L$1),
    SUMIFS('기타(Z)'!$I:$I,'기타(Z)'!$G:$G,Y$2,'기타(Z)'!$Q:$Q,$J7,'기타(Z)'!$C:$C,$L$1)
  )
)</f>
        <v/>
      </c>
      <c r="Z7" s="387" t="str">
        <f>IF(
  SUM(
    COUNTIFS('발전사업(A)'!$G:$G, Y$2, '발전사업(A)'!$Q:$Q, $J7, '발전사업(A)'!$C:$C, $L$1),
    COUNTIFS('자가소비(B)'!$G:$G, Y$2, '자가소비(B)'!$Q:$Q, $J7, '자가소비(B)'!$C:$C, $L$1),
    COUNTIFS('PPA 사업(C)'!$G:$G, Y$2, 'PPA 사업(C)'!$Q:$Q, $J7, 'PPA 사업(C)'!$C:$C, $L$1),
    COUNTIFS('리스사업(D)'!$G:$G, Y$2, '리스사업(D)'!$Q:$Q, $J7, '리스사업(D)'!$C:$C, $L$1),
    COUNTIFS('임대사업(E)'!$G:$G, Y$2, '임대사업(E)'!$Q:$Q, $J7, '임대사업(E)'!$C:$C, $L$1),
    COUNTIFS('환경부사업(F)'!$G:$G, Y$2, '환경부사업(F)'!$Q:$Q, $J7, '환경부사업(F)'!$C:$C, $L$1),
    COUNTIFS('프로젝트(G)'!$G:$G, Y$2, '프로젝트(G)'!$Q:$Q, $J7, '프로젝트(G)'!$C:$C, $L$1),
    COUNTIFS('협력사 EPC(H)'!$G:$G, Y$2, '협력사 EPC(H)'!$Q:$Q, $J7, '협력사 EPC(H)'!$C:$C, $L$1),
    COUNTIFS('기타(Z)'!$G:$G, Y$2, '기타(Z)'!$Q:$Q, $J7, '기타(Z)'!$C:$C, $L$1)
  ) = 0,
  "",
  COUNTIFS('발전사업(A)'!$G:$G, Y$2, '발전사업(A)'!$Q:$Q, $J7, '발전사업(A)'!$C:$C, $L$1)
  + COUNTIFS('자가소비(B)'!$G:$G, Y$2, '자가소비(B)'!$Q:$Q, $J7, '자가소비(B)'!$C:$C, $L$1)
  + COUNTIFS('PPA 사업(C)'!$G:$G, Y$2, 'PPA 사업(C)'!$Q:$Q, $J7, 'PPA 사업(C)'!$C:$C, $L$1)
  + COUNTIFS('리스사업(D)'!$G:$G, Y$2, '리스사업(D)'!$Q:$Q, $J7, '리스사업(D)'!$C:$C, $L$1)
  + COUNTIFS('임대사업(E)'!$G:$G, Y$2, '임대사업(E)'!$Q:$Q, $J7, '임대사업(E)'!$C:$C, $L$1)
  + COUNTIFS('환경부사업(F)'!$G:$G, Y$2, '환경부사업(F)'!$Q:$Q, $J7, '환경부사업(F)'!$C:$C, $L$1)
  + COUNTIFS('프로젝트(G)'!$G:$G, Y$2, '프로젝트(G)'!$Q:$Q, $J7, '프로젝트(G)'!$C:$C, $L$1)
  + COUNTIFS('협력사 EPC(H)'!$G:$G, Y$2, '협력사 EPC(H)'!$Q:$Q, $J7, '협력사 EPC(H)'!$C:$C, $L$1)
  + COUNTIFS('기타(Z)'!$G:$G, Y$2, '기타(Z)'!$Q:$Q, $J7, '기타(Z)'!$C:$C, $L$1)
)</f>
        <v/>
      </c>
      <c r="AA7" s="386" t="str">
        <f>IF(
  SUM(
    SUMIFS('발전사업(A)'!$I:$I,'발전사업(A)'!$G:$G,AA$2,'발전사업(A)'!$Q:$Q,$J7,'발전사업(A)'!$C:$C,$L$1),
    SUMIFS('자가소비(B)'!$I:$I,'자가소비(B)'!$G:$G,AA$2,'자가소비(B)'!$Q:$Q,$J7,'자가소비(B)'!$C:$C,$L$1),
    SUMIFS('PPA 사업(C)'!$I:$I,'PPA 사업(C)'!$G:$G,AA$2,'PPA 사업(C)'!$Q:$Q,$J7,'PPA 사업(C)'!$C:$C,$L$1),
    SUMIFS('리스사업(D)'!$I:$I,'리스사업(D)'!$G:$G,AA$2,'리스사업(D)'!$Q:$Q,$J7,'리스사업(D)'!$C:$C,$L$1),
    SUMIFS('임대사업(E)'!$I:$I,'임대사업(E)'!$G:$G,AA$2,'임대사업(E)'!$Q:$Q,$J7,'임대사업(E)'!$C:$C,$L$1),
    SUMIFS('환경부사업(F)'!$I:$I,'환경부사업(F)'!$G:$G,AA$2,'환경부사업(F)'!$Q:$Q,$J7,'환경부사업(F)'!$C:$C,$L$1),
    SUMIFS('프로젝트(G)'!$I:$I,'프로젝트(G)'!$G:$G,AA$2,'프로젝트(G)'!$Q:$Q,$J7,'프로젝트(G)'!$C:$C,$L$1),
    SUMIFS('협력사 EPC(H)'!$I:$I,'협력사 EPC(H)'!$G:$G,AA$2,'협력사 EPC(H)'!$Q:$Q,$J7,'협력사 EPC(H)'!$C:$C,$L$1),
    SUMIFS('기타(Z)'!$I:$I,'기타(Z)'!$G:$G,AA$2,'기타(Z)'!$Q:$Q,$J7,'기타(Z)'!$C:$C,$L$1)
  )=0,
  "",
  SUM(
    SUMIFS('발전사업(A)'!$I:$I,'발전사업(A)'!$G:$G,AA$2,'발전사업(A)'!$Q:$Q,$J7,'발전사업(A)'!$C:$C,$L$1),
    SUMIFS('자가소비(B)'!$I:$I,'자가소비(B)'!$G:$G,AA$2,'자가소비(B)'!$Q:$Q,$J7,'자가소비(B)'!$C:$C,$L$1),
    SUMIFS('PPA 사업(C)'!$I:$I,'PPA 사업(C)'!$G:$G,AA$2,'PPA 사업(C)'!$Q:$Q,$J7,'PPA 사업(C)'!$C:$C,$L$1),
    SUMIFS('리스사업(D)'!$I:$I,'리스사업(D)'!$G:$G,AA$2,'리스사업(D)'!$Q:$Q,$J7,'리스사업(D)'!$C:$C,$L$1),
    SUMIFS('임대사업(E)'!$I:$I,'임대사업(E)'!$G:$G,AA$2,'임대사업(E)'!$Q:$Q,$J7,'임대사업(E)'!$C:$C,$L$1),
    SUMIFS('환경부사업(F)'!$I:$I,'환경부사업(F)'!$G:$G,AA$2,'환경부사업(F)'!$Q:$Q,$J7,'환경부사업(F)'!$C:$C,$L$1),
    SUMIFS('프로젝트(G)'!$I:$I,'프로젝트(G)'!$G:$G,AA$2,'프로젝트(G)'!$Q:$Q,$J7,'프로젝트(G)'!$C:$C,$L$1),
    SUMIFS('협력사 EPC(H)'!$I:$I,'협력사 EPC(H)'!$G:$G,AA$2,'협력사 EPC(H)'!$Q:$Q,$J7,'협력사 EPC(H)'!$C:$C,$L$1),
    SUMIFS('기타(Z)'!$I:$I,'기타(Z)'!$G:$G,AA$2,'기타(Z)'!$Q:$Q,$J7,'기타(Z)'!$C:$C,$L$1)
  )
)</f>
        <v/>
      </c>
      <c r="AB7" s="387" t="str">
        <f>IF(
  SUM(
    COUNTIFS('발전사업(A)'!$G:$G, AA$2, '발전사업(A)'!$Q:$Q, $J7, '발전사업(A)'!$C:$C, $L$1),
    COUNTIFS('자가소비(B)'!$G:$G, AA$2, '자가소비(B)'!$Q:$Q, $J7, '자가소비(B)'!$C:$C, $L$1),
    COUNTIFS('PPA 사업(C)'!$G:$G, AA$2, 'PPA 사업(C)'!$Q:$Q, $J7, 'PPA 사업(C)'!$C:$C, $L$1),
    COUNTIFS('리스사업(D)'!$G:$G, AA$2, '리스사업(D)'!$Q:$Q, $J7, '리스사업(D)'!$C:$C, $L$1),
    COUNTIFS('임대사업(E)'!$G:$G, AA$2, '임대사업(E)'!$Q:$Q, $J7, '임대사업(E)'!$C:$C, $L$1),
    COUNTIFS('환경부사업(F)'!$G:$G, AA$2, '환경부사업(F)'!$Q:$Q, $J7, '환경부사업(F)'!$C:$C, $L$1),
    COUNTIFS('프로젝트(G)'!$G:$G, AA$2, '프로젝트(G)'!$Q:$Q, $J7, '프로젝트(G)'!$C:$C, $L$1),
    COUNTIFS('협력사 EPC(H)'!$G:$G, AA$2, '협력사 EPC(H)'!$Q:$Q, $J7, '협력사 EPC(H)'!$C:$C, $L$1),
    COUNTIFS('기타(Z)'!$G:$G, AA$2, '기타(Z)'!$Q:$Q, $J7, '기타(Z)'!$C:$C, $L$1)
  ) = 0,
  "",
  COUNTIFS('발전사업(A)'!$G:$G, AA$2, '발전사업(A)'!$Q:$Q, $J7, '발전사업(A)'!$C:$C, $L$1)
  + COUNTIFS('자가소비(B)'!$G:$G, AA$2, '자가소비(B)'!$Q:$Q, $J7, '자가소비(B)'!$C:$C, $L$1)
  + COUNTIFS('PPA 사업(C)'!$G:$G, AA$2, 'PPA 사업(C)'!$Q:$Q, $J7, 'PPA 사업(C)'!$C:$C, $L$1)
  + COUNTIFS('리스사업(D)'!$G:$G, AA$2, '리스사업(D)'!$Q:$Q, $J7, '리스사업(D)'!$C:$C, $L$1)
  + COUNTIFS('임대사업(E)'!$G:$G, AA$2, '임대사업(E)'!$Q:$Q, $J7, '임대사업(E)'!$C:$C, $L$1)
  + COUNTIFS('환경부사업(F)'!$G:$G, AA$2, '환경부사업(F)'!$Q:$Q, $J7, '환경부사업(F)'!$C:$C, $L$1)
  + COUNTIFS('프로젝트(G)'!$G:$G, AA$2, '프로젝트(G)'!$Q:$Q, $J7, '프로젝트(G)'!$C:$C, $L$1)
  + COUNTIFS('협력사 EPC(H)'!$G:$G, AA$2, '협력사 EPC(H)'!$Q:$Q, $J7, '협력사 EPC(H)'!$C:$C, $L$1)
  + COUNTIFS('기타(Z)'!$G:$G, AA$2, '기타(Z)'!$Q:$Q, $J7, '기타(Z)'!$C:$C, $L$1)
)</f>
        <v/>
      </c>
      <c r="AC7" s="386" t="str">
        <f>IF(
  SUM(
    SUMIFS('발전사업(A)'!$I:$I,'발전사업(A)'!$G:$G,AC$2,'발전사업(A)'!$Q:$Q,$J7,'발전사업(A)'!$C:$C,$L$1),
    SUMIFS('자가소비(B)'!$I:$I,'자가소비(B)'!$G:$G,AC$2,'자가소비(B)'!$Q:$Q,$J7,'자가소비(B)'!$C:$C,$L$1),
    SUMIFS('PPA 사업(C)'!$I:$I,'PPA 사업(C)'!$G:$G,AC$2,'PPA 사업(C)'!$Q:$Q,$J7,'PPA 사업(C)'!$C:$C,$L$1),
    SUMIFS('리스사업(D)'!$I:$I,'리스사업(D)'!$G:$G,AC$2,'리스사업(D)'!$Q:$Q,$J7,'리스사업(D)'!$C:$C,$L$1),
    SUMIFS('임대사업(E)'!$I:$I,'임대사업(E)'!$G:$G,AC$2,'임대사업(E)'!$Q:$Q,$J7,'임대사업(E)'!$C:$C,$L$1),
    SUMIFS('환경부사업(F)'!$I:$I,'환경부사업(F)'!$G:$G,AC$2,'환경부사업(F)'!$Q:$Q,$J7,'환경부사업(F)'!$C:$C,$L$1),
    SUMIFS('프로젝트(G)'!$I:$I,'프로젝트(G)'!$G:$G,AC$2,'프로젝트(G)'!$Q:$Q,$J7,'프로젝트(G)'!$C:$C,$L$1),
    SUMIFS('협력사 EPC(H)'!$I:$I,'협력사 EPC(H)'!$G:$G,AC$2,'협력사 EPC(H)'!$Q:$Q,$J7,'협력사 EPC(H)'!$C:$C,$L$1),
    SUMIFS('기타(Z)'!$I:$I,'기타(Z)'!$G:$G,AC$2,'기타(Z)'!$Q:$Q,$J7,'기타(Z)'!$C:$C,$L$1)
  )=0,
  "",
  SUM(
    SUMIFS('발전사업(A)'!$I:$I,'발전사업(A)'!$G:$G,AC$2,'발전사업(A)'!$Q:$Q,$J7,'발전사업(A)'!$C:$C,$L$1),
    SUMIFS('자가소비(B)'!$I:$I,'자가소비(B)'!$G:$G,AC$2,'자가소비(B)'!$Q:$Q,$J7,'자가소비(B)'!$C:$C,$L$1),
    SUMIFS('PPA 사업(C)'!$I:$I,'PPA 사업(C)'!$G:$G,AC$2,'PPA 사업(C)'!$Q:$Q,$J7,'PPA 사업(C)'!$C:$C,$L$1),
    SUMIFS('리스사업(D)'!$I:$I,'리스사업(D)'!$G:$G,AC$2,'리스사업(D)'!$Q:$Q,$J7,'리스사업(D)'!$C:$C,$L$1),
    SUMIFS('임대사업(E)'!$I:$I,'임대사업(E)'!$G:$G,AC$2,'임대사업(E)'!$Q:$Q,$J7,'임대사업(E)'!$C:$C,$L$1),
    SUMIFS('환경부사업(F)'!$I:$I,'환경부사업(F)'!$G:$G,AC$2,'환경부사업(F)'!$Q:$Q,$J7,'환경부사업(F)'!$C:$C,$L$1),
    SUMIFS('프로젝트(G)'!$I:$I,'프로젝트(G)'!$G:$G,AC$2,'프로젝트(G)'!$Q:$Q,$J7,'프로젝트(G)'!$C:$C,$L$1),
    SUMIFS('협력사 EPC(H)'!$I:$I,'협력사 EPC(H)'!$G:$G,AC$2,'협력사 EPC(H)'!$Q:$Q,$J7,'협력사 EPC(H)'!$C:$C,$L$1),
    SUMIFS('기타(Z)'!$I:$I,'기타(Z)'!$G:$G,AC$2,'기타(Z)'!$Q:$Q,$J7,'기타(Z)'!$C:$C,$L$1)
  )
)</f>
        <v/>
      </c>
      <c r="AD7" s="387" t="str">
        <f>IF(
  SUM(
    COUNTIFS('발전사업(A)'!$G:$G, AC$2, '발전사업(A)'!$Q:$Q, $J7, '발전사업(A)'!$C:$C, $L$1),
    COUNTIFS('자가소비(B)'!$G:$G, AC$2, '자가소비(B)'!$Q:$Q, $J7, '자가소비(B)'!$C:$C, $L$1),
    COUNTIFS('PPA 사업(C)'!$G:$G, AC$2, 'PPA 사업(C)'!$Q:$Q, $J7, 'PPA 사업(C)'!$C:$C, $L$1),
    COUNTIFS('리스사업(D)'!$G:$G, AC$2, '리스사업(D)'!$Q:$Q, $J7, '리스사업(D)'!$C:$C, $L$1),
    COUNTIFS('임대사업(E)'!$G:$G, AC$2, '임대사업(E)'!$Q:$Q, $J7, '임대사업(E)'!$C:$C, $L$1),
    COUNTIFS('환경부사업(F)'!$G:$G, AC$2, '환경부사업(F)'!$Q:$Q, $J7, '환경부사업(F)'!$C:$C, $L$1),
    COUNTIFS('프로젝트(G)'!$G:$G, AC$2, '프로젝트(G)'!$Q:$Q, $J7, '프로젝트(G)'!$C:$C, $L$1),
    COUNTIFS('협력사 EPC(H)'!$G:$G, AC$2, '협력사 EPC(H)'!$Q:$Q, $J7, '협력사 EPC(H)'!$C:$C, $L$1),
    COUNTIFS('기타(Z)'!$G:$G, AC$2, '기타(Z)'!$Q:$Q, $J7, '기타(Z)'!$C:$C, $L$1)
  ) = 0,
  "",
  COUNTIFS('발전사업(A)'!$G:$G, AC$2, '발전사업(A)'!$Q:$Q, $J7, '발전사업(A)'!$C:$C, $L$1)
  + COUNTIFS('자가소비(B)'!$G:$G, AC$2, '자가소비(B)'!$Q:$Q, $J7, '자가소비(B)'!$C:$C, $L$1)
  + COUNTIFS('PPA 사업(C)'!$G:$G, AC$2, 'PPA 사업(C)'!$Q:$Q, $J7, 'PPA 사업(C)'!$C:$C, $L$1)
  + COUNTIFS('리스사업(D)'!$G:$G, AC$2, '리스사업(D)'!$Q:$Q, $J7, '리스사업(D)'!$C:$C, $L$1)
  + COUNTIFS('임대사업(E)'!$G:$G, AC$2, '임대사업(E)'!$Q:$Q, $J7, '임대사업(E)'!$C:$C, $L$1)
  + COUNTIFS('환경부사업(F)'!$G:$G, AC$2, '환경부사업(F)'!$Q:$Q, $J7, '환경부사업(F)'!$C:$C, $L$1)
  + COUNTIFS('프로젝트(G)'!$G:$G, AC$2, '프로젝트(G)'!$Q:$Q, $J7, '프로젝트(G)'!$C:$C, $L$1)
  + COUNTIFS('협력사 EPC(H)'!$G:$G, AC$2, '협력사 EPC(H)'!$Q:$Q, $J7, '협력사 EPC(H)'!$C:$C, $L$1)
  + COUNTIFS('기타(Z)'!$G:$G, AC$2, '기타(Z)'!$Q:$Q, $J7, '기타(Z)'!$C:$C, $L$1)
)</f>
        <v/>
      </c>
      <c r="AE7" s="386" t="str">
        <f>IF(
  SUM(
    SUMIFS('발전사업(A)'!$I:$I,'발전사업(A)'!$G:$G,AE$2,'발전사업(A)'!$Q:$Q,$J7,'발전사업(A)'!$C:$C,$L$1),
    SUMIFS('자가소비(B)'!$I:$I,'자가소비(B)'!$G:$G,AE$2,'자가소비(B)'!$Q:$Q,$J7,'자가소비(B)'!$C:$C,$L$1),
    SUMIFS('PPA 사업(C)'!$I:$I,'PPA 사업(C)'!$G:$G,AE$2,'PPA 사업(C)'!$Q:$Q,$J7,'PPA 사업(C)'!$C:$C,$L$1),
    SUMIFS('리스사업(D)'!$I:$I,'리스사업(D)'!$G:$G,AE$2,'리스사업(D)'!$Q:$Q,$J7,'리스사업(D)'!$C:$C,$L$1),
    SUMIFS('임대사업(E)'!$I:$I,'임대사업(E)'!$G:$G,AE$2,'임대사업(E)'!$Q:$Q,$J7,'임대사업(E)'!$C:$C,$L$1),
    SUMIFS('환경부사업(F)'!$I:$I,'환경부사업(F)'!$G:$G,AE$2,'환경부사업(F)'!$Q:$Q,$J7,'환경부사업(F)'!$C:$C,$L$1),
    SUMIFS('프로젝트(G)'!$I:$I,'프로젝트(G)'!$G:$G,AE$2,'프로젝트(G)'!$Q:$Q,$J7,'프로젝트(G)'!$C:$C,$L$1),
    SUMIFS('협력사 EPC(H)'!$I:$I,'협력사 EPC(H)'!$G:$G,AE$2,'협력사 EPC(H)'!$Q:$Q,$J7,'협력사 EPC(H)'!$C:$C,$L$1),
    SUMIFS('기타(Z)'!$I:$I,'기타(Z)'!$G:$G,AE$2,'기타(Z)'!$Q:$Q,$J7,'기타(Z)'!$C:$C,$L$1)
  )=0,
  "",
  SUM(
    SUMIFS('발전사업(A)'!$I:$I,'발전사업(A)'!$G:$G,AE$2,'발전사업(A)'!$Q:$Q,$J7,'발전사업(A)'!$C:$C,$L$1),
    SUMIFS('자가소비(B)'!$I:$I,'자가소비(B)'!$G:$G,AE$2,'자가소비(B)'!$Q:$Q,$J7,'자가소비(B)'!$C:$C,$L$1),
    SUMIFS('PPA 사업(C)'!$I:$I,'PPA 사업(C)'!$G:$G,AE$2,'PPA 사업(C)'!$Q:$Q,$J7,'PPA 사업(C)'!$C:$C,$L$1),
    SUMIFS('리스사업(D)'!$I:$I,'리스사업(D)'!$G:$G,AE$2,'리스사업(D)'!$Q:$Q,$J7,'리스사업(D)'!$C:$C,$L$1),
    SUMIFS('임대사업(E)'!$I:$I,'임대사업(E)'!$G:$G,AE$2,'임대사업(E)'!$Q:$Q,$J7,'임대사업(E)'!$C:$C,$L$1),
    SUMIFS('환경부사업(F)'!$I:$I,'환경부사업(F)'!$G:$G,AE$2,'환경부사업(F)'!$Q:$Q,$J7,'환경부사업(F)'!$C:$C,$L$1),
    SUMIFS('프로젝트(G)'!$I:$I,'프로젝트(G)'!$G:$G,AE$2,'프로젝트(G)'!$Q:$Q,$J7,'프로젝트(G)'!$C:$C,$L$1),
    SUMIFS('협력사 EPC(H)'!$I:$I,'협력사 EPC(H)'!$G:$G,AE$2,'협력사 EPC(H)'!$Q:$Q,$J7,'협력사 EPC(H)'!$C:$C,$L$1),
    SUMIFS('기타(Z)'!$I:$I,'기타(Z)'!$G:$G,AE$2,'기타(Z)'!$Q:$Q,$J7,'기타(Z)'!$C:$C,$L$1)
  )
)</f>
        <v/>
      </c>
      <c r="AF7" s="387" t="str">
        <f>IF(
  SUM(
    COUNTIFS('발전사업(A)'!$G:$G, AE$2, '발전사업(A)'!$Q:$Q, $J7, '발전사업(A)'!$C:$C, $L$1),
    COUNTIFS('자가소비(B)'!$G:$G, AE$2, '자가소비(B)'!$Q:$Q, $J7, '자가소비(B)'!$C:$C, $L$1),
    COUNTIFS('PPA 사업(C)'!$G:$G, AE$2, 'PPA 사업(C)'!$Q:$Q, $J7, 'PPA 사업(C)'!$C:$C, $L$1),
    COUNTIFS('리스사업(D)'!$G:$G, AE$2, '리스사업(D)'!$Q:$Q, $J7, '리스사업(D)'!$C:$C, $L$1),
    COUNTIFS('임대사업(E)'!$G:$G, AE$2, '임대사업(E)'!$Q:$Q, $J7, '임대사업(E)'!$C:$C, $L$1),
    COUNTIFS('환경부사업(F)'!$G:$G, AE$2, '환경부사업(F)'!$Q:$Q, $J7, '환경부사업(F)'!$C:$C, $L$1),
    COUNTIFS('프로젝트(G)'!$G:$G, AE$2, '프로젝트(G)'!$Q:$Q, $J7, '프로젝트(G)'!$C:$C, $L$1),
    COUNTIFS('협력사 EPC(H)'!$G:$G, AE$2, '협력사 EPC(H)'!$Q:$Q, $J7, '협력사 EPC(H)'!$C:$C, $L$1),
    COUNTIFS('기타(Z)'!$G:$G, AE$2, '기타(Z)'!$Q:$Q, $J7, '기타(Z)'!$C:$C, $L$1)
  ) = 0,
  "",
  COUNTIFS('발전사업(A)'!$G:$G, AE$2, '발전사업(A)'!$Q:$Q, $J7, '발전사업(A)'!$C:$C, $L$1)
  + COUNTIFS('자가소비(B)'!$G:$G, AE$2, '자가소비(B)'!$Q:$Q, $J7, '자가소비(B)'!$C:$C, $L$1)
  + COUNTIFS('PPA 사업(C)'!$G:$G, AE$2, 'PPA 사업(C)'!$Q:$Q, $J7, 'PPA 사업(C)'!$C:$C, $L$1)
  + COUNTIFS('리스사업(D)'!$G:$G, AE$2, '리스사업(D)'!$Q:$Q, $J7, '리스사업(D)'!$C:$C, $L$1)
  + COUNTIFS('임대사업(E)'!$G:$G, AE$2, '임대사업(E)'!$Q:$Q, $J7, '임대사업(E)'!$C:$C, $L$1)
  + COUNTIFS('환경부사업(F)'!$G:$G, AE$2, '환경부사업(F)'!$Q:$Q, $J7, '환경부사업(F)'!$C:$C, $L$1)
  + COUNTIFS('프로젝트(G)'!$G:$G, AE$2, '프로젝트(G)'!$Q:$Q, $J7, '프로젝트(G)'!$C:$C, $L$1)
  + COUNTIFS('협력사 EPC(H)'!$G:$G, AE$2, '협력사 EPC(H)'!$Q:$Q, $J7, '협력사 EPC(H)'!$C:$C, $L$1)
  + COUNTIFS('기타(Z)'!$G:$G, AE$2, '기타(Z)'!$Q:$Q, $J7, '기타(Z)'!$C:$C, $L$1)
)</f>
        <v/>
      </c>
      <c r="AG7" s="386" t="str">
        <f>IF(
  SUM(
    SUMIFS('발전사업(A)'!$I:$I,'발전사업(A)'!$G:$G,AG$2,'발전사업(A)'!$Q:$Q,$J7,'발전사업(A)'!$C:$C,$L$1),
    SUMIFS('자가소비(B)'!$I:$I,'자가소비(B)'!$G:$G,AG$2,'자가소비(B)'!$Q:$Q,$J7,'자가소비(B)'!$C:$C,$L$1),
    SUMIFS('PPA 사업(C)'!$I:$I,'PPA 사업(C)'!$G:$G,AG$2,'PPA 사업(C)'!$Q:$Q,$J7,'PPA 사업(C)'!$C:$C,$L$1),
    SUMIFS('리스사업(D)'!$I:$I,'리스사업(D)'!$G:$G,AG$2,'리스사업(D)'!$Q:$Q,$J7,'리스사업(D)'!$C:$C,$L$1),
    SUMIFS('임대사업(E)'!$I:$I,'임대사업(E)'!$G:$G,AG$2,'임대사업(E)'!$Q:$Q,$J7,'임대사업(E)'!$C:$C,$L$1),
    SUMIFS('환경부사업(F)'!$I:$I,'환경부사업(F)'!$G:$G,AG$2,'환경부사업(F)'!$Q:$Q,$J7,'환경부사업(F)'!$C:$C,$L$1),
    SUMIFS('프로젝트(G)'!$I:$I,'프로젝트(G)'!$G:$G,AG$2,'프로젝트(G)'!$Q:$Q,$J7,'프로젝트(G)'!$C:$C,$L$1),
    SUMIFS('협력사 EPC(H)'!$I:$I,'협력사 EPC(H)'!$G:$G,AG$2,'협력사 EPC(H)'!$Q:$Q,$J7,'협력사 EPC(H)'!$C:$C,$L$1),
    SUMIFS('기타(Z)'!$I:$I,'기타(Z)'!$G:$G,AG$2,'기타(Z)'!$Q:$Q,$J7,'기타(Z)'!$C:$C,$L$1)
  )=0,
  "",
  SUM(
    SUMIFS('발전사업(A)'!$I:$I,'발전사업(A)'!$G:$G,AG$2,'발전사업(A)'!$Q:$Q,$J7,'발전사업(A)'!$C:$C,$L$1),
    SUMIFS('자가소비(B)'!$I:$I,'자가소비(B)'!$G:$G,AG$2,'자가소비(B)'!$Q:$Q,$J7,'자가소비(B)'!$C:$C,$L$1),
    SUMIFS('PPA 사업(C)'!$I:$I,'PPA 사업(C)'!$G:$G,AG$2,'PPA 사업(C)'!$Q:$Q,$J7,'PPA 사업(C)'!$C:$C,$L$1),
    SUMIFS('리스사업(D)'!$I:$I,'리스사업(D)'!$G:$G,AG$2,'리스사업(D)'!$Q:$Q,$J7,'리스사업(D)'!$C:$C,$L$1),
    SUMIFS('임대사업(E)'!$I:$I,'임대사업(E)'!$G:$G,AG$2,'임대사업(E)'!$Q:$Q,$J7,'임대사업(E)'!$C:$C,$L$1),
    SUMIFS('환경부사업(F)'!$I:$I,'환경부사업(F)'!$G:$G,AG$2,'환경부사업(F)'!$Q:$Q,$J7,'환경부사업(F)'!$C:$C,$L$1),
    SUMIFS('프로젝트(G)'!$I:$I,'프로젝트(G)'!$G:$G,AG$2,'프로젝트(G)'!$Q:$Q,$J7,'프로젝트(G)'!$C:$C,$L$1),
    SUMIFS('협력사 EPC(H)'!$I:$I,'협력사 EPC(H)'!$G:$G,AG$2,'협력사 EPC(H)'!$Q:$Q,$J7,'협력사 EPC(H)'!$C:$C,$L$1),
    SUMIFS('기타(Z)'!$I:$I,'기타(Z)'!$G:$G,AG$2,'기타(Z)'!$Q:$Q,$J7,'기타(Z)'!$C:$C,$L$1)
  )
)</f>
        <v/>
      </c>
      <c r="AH7" s="387" t="str">
        <f>IF(
  SUM(
    COUNTIFS('발전사업(A)'!$G:$G, AG$2, '발전사업(A)'!$Q:$Q, $J7, '발전사업(A)'!$C:$C, $L$1),
    COUNTIFS('자가소비(B)'!$G:$G, AG$2, '자가소비(B)'!$Q:$Q, $J7, '자가소비(B)'!$C:$C, $L$1),
    COUNTIFS('PPA 사업(C)'!$G:$G, AG$2, 'PPA 사업(C)'!$Q:$Q, $J7, 'PPA 사업(C)'!$C:$C, $L$1),
    COUNTIFS('리스사업(D)'!$G:$G, AG$2, '리스사업(D)'!$Q:$Q, $J7, '리스사업(D)'!$C:$C, $L$1),
    COUNTIFS('임대사업(E)'!$G:$G, AG$2, '임대사업(E)'!$Q:$Q, $J7, '임대사업(E)'!$C:$C, $L$1),
    COUNTIFS('환경부사업(F)'!$G:$G, AG$2, '환경부사업(F)'!$Q:$Q, $J7, '환경부사업(F)'!$C:$C, $L$1),
    COUNTIFS('프로젝트(G)'!$G:$G, AG$2, '프로젝트(G)'!$Q:$Q, $J7, '프로젝트(G)'!$C:$C, $L$1),
    COUNTIFS('협력사 EPC(H)'!$G:$G, AG$2, '협력사 EPC(H)'!$Q:$Q, $J7, '협력사 EPC(H)'!$C:$C, $L$1),
    COUNTIFS('기타(Z)'!$G:$G, AG$2, '기타(Z)'!$Q:$Q, $J7, '기타(Z)'!$C:$C, $L$1)
  ) = 0,
  "",
  COUNTIFS('발전사업(A)'!$G:$G, AG$2, '발전사업(A)'!$Q:$Q, $J7, '발전사업(A)'!$C:$C, $L$1)
  + COUNTIFS('자가소비(B)'!$G:$G, AG$2, '자가소비(B)'!$Q:$Q, $J7, '자가소비(B)'!$C:$C, $L$1)
  + COUNTIFS('PPA 사업(C)'!$G:$G, AG$2, 'PPA 사업(C)'!$Q:$Q, $J7, 'PPA 사업(C)'!$C:$C, $L$1)
  + COUNTIFS('리스사업(D)'!$G:$G, AG$2, '리스사업(D)'!$Q:$Q, $J7, '리스사업(D)'!$C:$C, $L$1)
  + COUNTIFS('임대사업(E)'!$G:$G, AG$2, '임대사업(E)'!$Q:$Q, $J7, '임대사업(E)'!$C:$C, $L$1)
  + COUNTIFS('환경부사업(F)'!$G:$G, AG$2, '환경부사업(F)'!$Q:$Q, $J7, '환경부사업(F)'!$C:$C, $L$1)
  + COUNTIFS('프로젝트(G)'!$G:$G, AG$2, '프로젝트(G)'!$Q:$Q, $J7, '프로젝트(G)'!$C:$C, $L$1)
  + COUNTIFS('협력사 EPC(H)'!$G:$G, AG$2, '협력사 EPC(H)'!$Q:$Q, $J7, '협력사 EPC(H)'!$C:$C, $L$1)
  + COUNTIFS('기타(Z)'!$G:$G, AG$2, '기타(Z)'!$Q:$Q, $J7, '기타(Z)'!$C:$C, $L$1)
)</f>
        <v/>
      </c>
      <c r="AI7" s="386" t="str">
        <f>IF(
  SUM(
    SUMIFS('발전사업(A)'!$I:$I,'발전사업(A)'!$G:$G,AI$2,'발전사업(A)'!$Q:$Q,$J7,'발전사업(A)'!$C:$C,$L$1),
    SUMIFS('자가소비(B)'!$I:$I,'자가소비(B)'!$G:$G,AI$2,'자가소비(B)'!$Q:$Q,$J7,'자가소비(B)'!$C:$C,$L$1),
    SUMIFS('PPA 사업(C)'!$I:$I,'PPA 사업(C)'!$G:$G,AI$2,'PPA 사업(C)'!$Q:$Q,$J7,'PPA 사업(C)'!$C:$C,$L$1),
    SUMIFS('리스사업(D)'!$I:$I,'리스사업(D)'!$G:$G,AI$2,'리스사업(D)'!$Q:$Q,$J7,'리스사업(D)'!$C:$C,$L$1),
    SUMIFS('임대사업(E)'!$I:$I,'임대사업(E)'!$G:$G,AI$2,'임대사업(E)'!$Q:$Q,$J7,'임대사업(E)'!$C:$C,$L$1),
    SUMIFS('환경부사업(F)'!$I:$I,'환경부사업(F)'!$G:$G,AI$2,'환경부사업(F)'!$Q:$Q,$J7,'환경부사업(F)'!$C:$C,$L$1),
    SUMIFS('프로젝트(G)'!$I:$I,'프로젝트(G)'!$G:$G,AI$2,'프로젝트(G)'!$Q:$Q,$J7,'프로젝트(G)'!$C:$C,$L$1),
    SUMIFS('협력사 EPC(H)'!$I:$I,'협력사 EPC(H)'!$G:$G,AI$2,'협력사 EPC(H)'!$Q:$Q,$J7,'협력사 EPC(H)'!$C:$C,$L$1),
    SUMIFS('기타(Z)'!$I:$I,'기타(Z)'!$G:$G,AI$2,'기타(Z)'!$Q:$Q,$J7,'기타(Z)'!$C:$C,$L$1)
  )=0,
  "",
  SUM(
    SUMIFS('발전사업(A)'!$I:$I,'발전사업(A)'!$G:$G,AI$2,'발전사업(A)'!$Q:$Q,$J7,'발전사업(A)'!$C:$C,$L$1),
    SUMIFS('자가소비(B)'!$I:$I,'자가소비(B)'!$G:$G,AI$2,'자가소비(B)'!$Q:$Q,$J7,'자가소비(B)'!$C:$C,$L$1),
    SUMIFS('PPA 사업(C)'!$I:$I,'PPA 사업(C)'!$G:$G,AI$2,'PPA 사업(C)'!$Q:$Q,$J7,'PPA 사업(C)'!$C:$C,$L$1),
    SUMIFS('리스사업(D)'!$I:$I,'리스사업(D)'!$G:$G,AI$2,'리스사업(D)'!$Q:$Q,$J7,'리스사업(D)'!$C:$C,$L$1),
    SUMIFS('임대사업(E)'!$I:$I,'임대사업(E)'!$G:$G,AI$2,'임대사업(E)'!$Q:$Q,$J7,'임대사업(E)'!$C:$C,$L$1),
    SUMIFS('환경부사업(F)'!$I:$I,'환경부사업(F)'!$G:$G,AI$2,'환경부사업(F)'!$Q:$Q,$J7,'환경부사업(F)'!$C:$C,$L$1),
    SUMIFS('프로젝트(G)'!$I:$I,'프로젝트(G)'!$G:$G,AI$2,'프로젝트(G)'!$Q:$Q,$J7,'프로젝트(G)'!$C:$C,$L$1),
    SUMIFS('협력사 EPC(H)'!$I:$I,'협력사 EPC(H)'!$G:$G,AI$2,'협력사 EPC(H)'!$Q:$Q,$J7,'협력사 EPC(H)'!$C:$C,$L$1),
    SUMIFS('기타(Z)'!$I:$I,'기타(Z)'!$G:$G,AI$2,'기타(Z)'!$Q:$Q,$J7,'기타(Z)'!$C:$C,$L$1)
  )
)</f>
        <v/>
      </c>
      <c r="AJ7" s="385" t="str">
        <f>IF(
  SUM(
    COUNTIFS('발전사업(A)'!$G:$G, AI$2, '발전사업(A)'!$Q:$Q, $J7, '발전사업(A)'!$C:$C, $L$1),
    COUNTIFS('자가소비(B)'!$G:$G, AI$2, '자가소비(B)'!$Q:$Q, $J7, '자가소비(B)'!$C:$C, $L$1),
    COUNTIFS('PPA 사업(C)'!$G:$G, AI$2, 'PPA 사업(C)'!$Q:$Q, $J7, 'PPA 사업(C)'!$C:$C, $L$1),
    COUNTIFS('리스사업(D)'!$G:$G, AI$2, '리스사업(D)'!$Q:$Q, $J7, '리스사업(D)'!$C:$C, $L$1),
    COUNTIFS('임대사업(E)'!$G:$G, AI$2, '임대사업(E)'!$Q:$Q, $J7, '임대사업(E)'!$C:$C, $L$1),
    COUNTIFS('환경부사업(F)'!$G:$G, AI$2, '환경부사업(F)'!$Q:$Q, $J7, '환경부사업(F)'!$C:$C, $L$1),
    COUNTIFS('프로젝트(G)'!$G:$G, AI$2, '프로젝트(G)'!$Q:$Q, $J7, '프로젝트(G)'!$C:$C, $L$1),
    COUNTIFS('협력사 EPC(H)'!$G:$G, AI$2, '협력사 EPC(H)'!$Q:$Q, $J7, '협력사 EPC(H)'!$C:$C, $L$1),
    COUNTIFS('기타(Z)'!$G:$G, AI$2, '기타(Z)'!$Q:$Q, $J7, '기타(Z)'!$C:$C, $L$1)
  ) = 0,
  "",
  COUNTIFS('발전사업(A)'!$G:$G, AI$2, '발전사업(A)'!$Q:$Q, $J7, '발전사업(A)'!$C:$C, $L$1)
  + COUNTIFS('자가소비(B)'!$G:$G, AI$2, '자가소비(B)'!$Q:$Q, $J7, '자가소비(B)'!$C:$C, $L$1)
  + COUNTIFS('PPA 사업(C)'!$G:$G, AI$2, 'PPA 사업(C)'!$Q:$Q, $J7, 'PPA 사업(C)'!$C:$C, $L$1)
  + COUNTIFS('리스사업(D)'!$G:$G, AI$2, '리스사업(D)'!$Q:$Q, $J7, '리스사업(D)'!$C:$C, $L$1)
  + COUNTIFS('임대사업(E)'!$G:$G, AI$2, '임대사업(E)'!$Q:$Q, $J7, '임대사업(E)'!$C:$C, $L$1)
  + COUNTIFS('환경부사업(F)'!$G:$G, AI$2, '환경부사업(F)'!$Q:$Q, $J7, '환경부사업(F)'!$C:$C, $L$1)
  + COUNTIFS('프로젝트(G)'!$G:$G, AI$2, '프로젝트(G)'!$Q:$Q, $J7, '프로젝트(G)'!$C:$C, $L$1)
  + COUNTIFS('협력사 EPC(H)'!$G:$G, AI$2, '협력사 EPC(H)'!$Q:$Q, $J7, '협력사 EPC(H)'!$C:$C, $L$1)
  + COUNTIFS('기타(Z)'!$G:$G, AI$2, '기타(Z)'!$Q:$Q, $J7, '기타(Z)'!$C:$C, $L$1)
)</f>
        <v/>
      </c>
    </row>
    <row r="8" spans="2:36" ht="15" x14ac:dyDescent="0.25">
      <c r="B8" s="202" t="s">
        <v>262</v>
      </c>
      <c r="C8" s="280">
        <f t="shared" si="2"/>
        <v>1426.7</v>
      </c>
      <c r="D8" s="281">
        <f t="shared" si="2"/>
        <v>17</v>
      </c>
      <c r="E8" s="280">
        <f t="shared" si="3"/>
        <v>1310.49</v>
      </c>
      <c r="F8" s="281">
        <f t="shared" si="3"/>
        <v>15</v>
      </c>
      <c r="G8" s="280">
        <f t="shared" si="4"/>
        <v>116.21000000000001</v>
      </c>
      <c r="H8" s="281">
        <f t="shared" si="4"/>
        <v>2</v>
      </c>
      <c r="J8" s="391" t="s">
        <v>2132</v>
      </c>
      <c r="K8" s="374">
        <f t="shared" si="0"/>
        <v>1588.5050000000001</v>
      </c>
      <c r="L8" s="368">
        <f t="shared" si="1"/>
        <v>7</v>
      </c>
      <c r="M8" s="386" t="str">
        <f>IF(
  SUM(
    SUMIFS('발전사업(A)'!$I:$I,'발전사업(A)'!$G:$G,M$2,'발전사업(A)'!$Q:$Q,$J8,'발전사업(A)'!$C:$C,$L$1),
    SUMIFS('자가소비(B)'!$I:$I,'자가소비(B)'!$G:$G,M$2,'자가소비(B)'!$Q:$Q,$J8,'자가소비(B)'!$C:$C,$L$1),
    SUMIFS('PPA 사업(C)'!$I:$I,'PPA 사업(C)'!$G:$G,M$2,'PPA 사업(C)'!$Q:$Q,$J8,'PPA 사업(C)'!$C:$C,$L$1),
    SUMIFS('리스사업(D)'!$I:$I,'리스사업(D)'!$G:$G,M$2,'리스사업(D)'!$Q:$Q,$J8,'리스사업(D)'!$C:$C,$L$1),
    SUMIFS('임대사업(E)'!$I:$I,'임대사업(E)'!$G:$G,M$2,'임대사업(E)'!$Q:$Q,$J8,'임대사업(E)'!$C:$C,$L$1),
    SUMIFS('환경부사업(F)'!$I:$I,'환경부사업(F)'!$G:$G,M$2,'환경부사업(F)'!$Q:$Q,$J8,'환경부사업(F)'!$C:$C,$L$1),
    SUMIFS('프로젝트(G)'!$I:$I,'프로젝트(G)'!$G:$G,M$2,'프로젝트(G)'!$Q:$Q,$J8,'프로젝트(G)'!$C:$C,$L$1),
    SUMIFS('협력사 EPC(H)'!$I:$I,'협력사 EPC(H)'!$G:$G,M$2,'협력사 EPC(H)'!$Q:$Q,$J8,'협력사 EPC(H)'!$C:$C,$L$1),
    SUMIFS('기타(Z)'!$I:$I,'기타(Z)'!$G:$G,M$2,'기타(Z)'!$Q:$Q,$J8,'기타(Z)'!$C:$C,$L$1)
  )=0,
  "",
  SUM(
    SUMIFS('발전사업(A)'!$I:$I,'발전사업(A)'!$G:$G,M$2,'발전사업(A)'!$Q:$Q,$J8,'발전사업(A)'!$C:$C,$L$1),
    SUMIFS('자가소비(B)'!$I:$I,'자가소비(B)'!$G:$G,M$2,'자가소비(B)'!$Q:$Q,$J8,'자가소비(B)'!$C:$C,$L$1),
    SUMIFS('PPA 사업(C)'!$I:$I,'PPA 사업(C)'!$G:$G,M$2,'PPA 사업(C)'!$Q:$Q,$J8,'PPA 사업(C)'!$C:$C,$L$1),
    SUMIFS('리스사업(D)'!$I:$I,'리스사업(D)'!$G:$G,M$2,'리스사업(D)'!$Q:$Q,$J8,'리스사업(D)'!$C:$C,$L$1),
    SUMIFS('임대사업(E)'!$I:$I,'임대사업(E)'!$G:$G,M$2,'임대사업(E)'!$Q:$Q,$J8,'임대사업(E)'!$C:$C,$L$1),
    SUMIFS('환경부사업(F)'!$I:$I,'환경부사업(F)'!$G:$G,M$2,'환경부사업(F)'!$Q:$Q,$J8,'환경부사업(F)'!$C:$C,$L$1),
    SUMIFS('프로젝트(G)'!$I:$I,'프로젝트(G)'!$G:$G,M$2,'프로젝트(G)'!$Q:$Q,$J8,'프로젝트(G)'!$C:$C,$L$1),
    SUMIFS('협력사 EPC(H)'!$I:$I,'협력사 EPC(H)'!$G:$G,M$2,'협력사 EPC(H)'!$Q:$Q,$J8,'협력사 EPC(H)'!$C:$C,$L$1),
    SUMIFS('기타(Z)'!$I:$I,'기타(Z)'!$G:$G,M$2,'기타(Z)'!$Q:$Q,$J8,'기타(Z)'!$C:$C,$L$1)
  )
)</f>
        <v/>
      </c>
      <c r="N8" s="387" t="str">
        <f>IF(
  SUM(
    COUNTIFS('발전사업(A)'!$G:$G, M$2, '발전사업(A)'!$Q:$Q, $J8, '발전사업(A)'!$C:$C, $L$1),
    COUNTIFS('자가소비(B)'!$G:$G, M$2, '자가소비(B)'!$Q:$Q, $J8, '자가소비(B)'!$C:$C, $L$1),
    COUNTIFS('PPA 사업(C)'!$G:$G, M$2, 'PPA 사업(C)'!$Q:$Q, $J8, 'PPA 사업(C)'!$C:$C, $L$1),
    COUNTIFS('리스사업(D)'!$G:$G, M$2, '리스사업(D)'!$Q:$Q, $J8, '리스사업(D)'!$C:$C, $L$1),
    COUNTIFS('임대사업(E)'!$G:$G, M$2, '임대사업(E)'!$Q:$Q, $J8, '임대사업(E)'!$C:$C, $L$1),
    COUNTIFS('환경부사업(F)'!$G:$G, M$2, '환경부사업(F)'!$Q:$Q, $J8, '환경부사업(F)'!$C:$C, $L$1),
    COUNTIFS('프로젝트(G)'!$G:$G, M$2, '프로젝트(G)'!$Q:$Q, $J8, '프로젝트(G)'!$C:$C, $L$1),
    COUNTIFS('협력사 EPC(H)'!$G:$G, M$2, '협력사 EPC(H)'!$Q:$Q, $J8, '협력사 EPC(H)'!$C:$C, $L$1),
    COUNTIFS('기타(Z)'!$G:$G, M$2, '기타(Z)'!$Q:$Q, $J8, '기타(Z)'!$C:$C, $L$1)
  ) = 0,
  "",
  COUNTIFS('발전사업(A)'!$G:$G, M$2, '발전사업(A)'!$Q:$Q, $J8, '발전사업(A)'!$C:$C, $L$1)
  + COUNTIFS('자가소비(B)'!$G:$G, M$2, '자가소비(B)'!$Q:$Q, $J8, '자가소비(B)'!$C:$C, $L$1)
  + COUNTIFS('PPA 사업(C)'!$G:$G, M$2, 'PPA 사업(C)'!$Q:$Q, $J8, 'PPA 사업(C)'!$C:$C, $L$1)
  + COUNTIFS('리스사업(D)'!$G:$G, M$2, '리스사업(D)'!$Q:$Q, $J8, '리스사업(D)'!$C:$C, $L$1)
  + COUNTIFS('임대사업(E)'!$G:$G, M$2, '임대사업(E)'!$Q:$Q, $J8, '임대사업(E)'!$C:$C, $L$1)
  + COUNTIFS('환경부사업(F)'!$G:$G, M$2, '환경부사업(F)'!$Q:$Q, $J8, '환경부사업(F)'!$C:$C, $L$1)
  + COUNTIFS('프로젝트(G)'!$G:$G, M$2, '프로젝트(G)'!$Q:$Q, $J8, '프로젝트(G)'!$C:$C, $L$1)
  + COUNTIFS('협력사 EPC(H)'!$G:$G, M$2, '협력사 EPC(H)'!$Q:$Q, $J8, '협력사 EPC(H)'!$C:$C, $L$1)
  + COUNTIFS('기타(Z)'!$G:$G, M$2, '기타(Z)'!$Q:$Q, $J8, '기타(Z)'!$C:$C, $L$1)
)</f>
        <v/>
      </c>
      <c r="O8" s="386" t="str">
        <f>IF(
  SUM(
    SUMIFS('발전사업(A)'!$I:$I,'발전사업(A)'!$G:$G,O$2,'발전사업(A)'!$Q:$Q,$J8,'발전사업(A)'!$C:$C,$L$1),
    SUMIFS('자가소비(B)'!$I:$I,'자가소비(B)'!$G:$G,O$2,'자가소비(B)'!$Q:$Q,$J8,'자가소비(B)'!$C:$C,$L$1),
    SUMIFS('PPA 사업(C)'!$I:$I,'PPA 사업(C)'!$G:$G,O$2,'PPA 사업(C)'!$Q:$Q,$J8,'PPA 사업(C)'!$C:$C,$L$1),
    SUMIFS('리스사업(D)'!$I:$I,'리스사업(D)'!$G:$G,O$2,'리스사업(D)'!$Q:$Q,$J8,'리스사업(D)'!$C:$C,$L$1),
    SUMIFS('임대사업(E)'!$I:$I,'임대사업(E)'!$G:$G,O$2,'임대사업(E)'!$Q:$Q,$J8,'임대사업(E)'!$C:$C,$L$1),
    SUMIFS('환경부사업(F)'!$I:$I,'환경부사업(F)'!$G:$G,O$2,'환경부사업(F)'!$Q:$Q,$J8,'환경부사업(F)'!$C:$C,$L$1),
    SUMIFS('프로젝트(G)'!$I:$I,'프로젝트(G)'!$G:$G,O$2,'프로젝트(G)'!$Q:$Q,$J8,'프로젝트(G)'!$C:$C,$L$1),
    SUMIFS('협력사 EPC(H)'!$I:$I,'협력사 EPC(H)'!$G:$G,O$2,'협력사 EPC(H)'!$Q:$Q,$J8,'협력사 EPC(H)'!$C:$C,$L$1),
    SUMIFS('기타(Z)'!$I:$I,'기타(Z)'!$G:$G,O$2,'기타(Z)'!$Q:$Q,$J8,'기타(Z)'!$C:$C,$L$1)
  )=0,
  "",
  SUM(
    SUMIFS('발전사업(A)'!$I:$I,'발전사업(A)'!$G:$G,O$2,'발전사업(A)'!$Q:$Q,$J8,'발전사업(A)'!$C:$C,$L$1),
    SUMIFS('자가소비(B)'!$I:$I,'자가소비(B)'!$G:$G,O$2,'자가소비(B)'!$Q:$Q,$J8,'자가소비(B)'!$C:$C,$L$1),
    SUMIFS('PPA 사업(C)'!$I:$I,'PPA 사업(C)'!$G:$G,O$2,'PPA 사업(C)'!$Q:$Q,$J8,'PPA 사업(C)'!$C:$C,$L$1),
    SUMIFS('리스사업(D)'!$I:$I,'리스사업(D)'!$G:$G,O$2,'리스사업(D)'!$Q:$Q,$J8,'리스사업(D)'!$C:$C,$L$1),
    SUMIFS('임대사업(E)'!$I:$I,'임대사업(E)'!$G:$G,O$2,'임대사업(E)'!$Q:$Q,$J8,'임대사업(E)'!$C:$C,$L$1),
    SUMIFS('환경부사업(F)'!$I:$I,'환경부사업(F)'!$G:$G,O$2,'환경부사업(F)'!$Q:$Q,$J8,'환경부사업(F)'!$C:$C,$L$1),
    SUMIFS('프로젝트(G)'!$I:$I,'프로젝트(G)'!$G:$G,O$2,'프로젝트(G)'!$Q:$Q,$J8,'프로젝트(G)'!$C:$C,$L$1),
    SUMIFS('협력사 EPC(H)'!$I:$I,'협력사 EPC(H)'!$G:$G,O$2,'협력사 EPC(H)'!$Q:$Q,$J8,'협력사 EPC(H)'!$C:$C,$L$1),
    SUMIFS('기타(Z)'!$I:$I,'기타(Z)'!$G:$G,O$2,'기타(Z)'!$Q:$Q,$J8,'기타(Z)'!$C:$C,$L$1)
  )
)</f>
        <v/>
      </c>
      <c r="P8" s="387" t="str">
        <f>IF(
  SUM(
    COUNTIFS('발전사업(A)'!$G:$G, O$2, '발전사업(A)'!$Q:$Q, $J8, '발전사업(A)'!$C:$C, $L$1),
    COUNTIFS('자가소비(B)'!$G:$G, O$2, '자가소비(B)'!$Q:$Q, $J8, '자가소비(B)'!$C:$C, $L$1),
    COUNTIFS('PPA 사업(C)'!$G:$G, O$2, 'PPA 사업(C)'!$Q:$Q, $J8, 'PPA 사업(C)'!$C:$C, $L$1),
    COUNTIFS('리스사업(D)'!$G:$G, O$2, '리스사업(D)'!$Q:$Q, $J8, '리스사업(D)'!$C:$C, $L$1),
    COUNTIFS('임대사업(E)'!$G:$G, O$2, '임대사업(E)'!$Q:$Q, $J8, '임대사업(E)'!$C:$C, $L$1),
    COUNTIFS('환경부사업(F)'!$G:$G, O$2, '환경부사업(F)'!$Q:$Q, $J8, '환경부사업(F)'!$C:$C, $L$1),
    COUNTIFS('프로젝트(G)'!$G:$G, O$2, '프로젝트(G)'!$Q:$Q, $J8, '프로젝트(G)'!$C:$C, $L$1),
    COUNTIFS('협력사 EPC(H)'!$G:$G, O$2, '협력사 EPC(H)'!$Q:$Q, $J8, '협력사 EPC(H)'!$C:$C, $L$1),
    COUNTIFS('기타(Z)'!$G:$G, O$2, '기타(Z)'!$Q:$Q, $J8, '기타(Z)'!$C:$C, $L$1)
  ) = 0,
  "",
  COUNTIFS('발전사업(A)'!$G:$G, O$2, '발전사업(A)'!$Q:$Q, $J8, '발전사업(A)'!$C:$C, $L$1)
  + COUNTIFS('자가소비(B)'!$G:$G, O$2, '자가소비(B)'!$Q:$Q, $J8, '자가소비(B)'!$C:$C, $L$1)
  + COUNTIFS('PPA 사업(C)'!$G:$G, O$2, 'PPA 사업(C)'!$Q:$Q, $J8, 'PPA 사업(C)'!$C:$C, $L$1)
  + COUNTIFS('리스사업(D)'!$G:$G, O$2, '리스사업(D)'!$Q:$Q, $J8, '리스사업(D)'!$C:$C, $L$1)
  + COUNTIFS('임대사업(E)'!$G:$G, O$2, '임대사업(E)'!$Q:$Q, $J8, '임대사업(E)'!$C:$C, $L$1)
  + COUNTIFS('환경부사업(F)'!$G:$G, O$2, '환경부사업(F)'!$Q:$Q, $J8, '환경부사업(F)'!$C:$C, $L$1)
  + COUNTIFS('프로젝트(G)'!$G:$G, O$2, '프로젝트(G)'!$Q:$Q, $J8, '프로젝트(G)'!$C:$C, $L$1)
  + COUNTIFS('협력사 EPC(H)'!$G:$G, O$2, '협력사 EPC(H)'!$Q:$Q, $J8, '협력사 EPC(H)'!$C:$C, $L$1)
  + COUNTIFS('기타(Z)'!$G:$G, O$2, '기타(Z)'!$Q:$Q, $J8, '기타(Z)'!$C:$C, $L$1)
)</f>
        <v/>
      </c>
      <c r="Q8" s="386" t="str">
        <f>IF(
  SUM(
    SUMIFS('발전사업(A)'!$I:$I,'발전사업(A)'!$G:$G,Q$2,'발전사업(A)'!$Q:$Q,$J8,'발전사업(A)'!$C:$C,$L$1),
    SUMIFS('자가소비(B)'!$I:$I,'자가소비(B)'!$G:$G,Q$2,'자가소비(B)'!$Q:$Q,$J8,'자가소비(B)'!$C:$C,$L$1),
    SUMIFS('PPA 사업(C)'!$I:$I,'PPA 사업(C)'!$G:$G,Q$2,'PPA 사업(C)'!$Q:$Q,$J8,'PPA 사업(C)'!$C:$C,$L$1),
    SUMIFS('리스사업(D)'!$I:$I,'리스사업(D)'!$G:$G,Q$2,'리스사업(D)'!$Q:$Q,$J8,'리스사업(D)'!$C:$C,$L$1),
    SUMIFS('임대사업(E)'!$I:$I,'임대사업(E)'!$G:$G,Q$2,'임대사업(E)'!$Q:$Q,$J8,'임대사업(E)'!$C:$C,$L$1),
    SUMIFS('환경부사업(F)'!$I:$I,'환경부사업(F)'!$G:$G,Q$2,'환경부사업(F)'!$Q:$Q,$J8,'환경부사업(F)'!$C:$C,$L$1),
    SUMIFS('프로젝트(G)'!$I:$I,'프로젝트(G)'!$G:$G,Q$2,'프로젝트(G)'!$Q:$Q,$J8,'프로젝트(G)'!$C:$C,$L$1),
    SUMIFS('협력사 EPC(H)'!$I:$I,'협력사 EPC(H)'!$G:$G,Q$2,'협력사 EPC(H)'!$Q:$Q,$J8,'협력사 EPC(H)'!$C:$C,$L$1),
    SUMIFS('기타(Z)'!$I:$I,'기타(Z)'!$G:$G,Q$2,'기타(Z)'!$Q:$Q,$J8,'기타(Z)'!$C:$C,$L$1)
  )=0,
  "",
  SUM(
    SUMIFS('발전사업(A)'!$I:$I,'발전사업(A)'!$G:$G,Q$2,'발전사업(A)'!$Q:$Q,$J8,'발전사업(A)'!$C:$C,$L$1),
    SUMIFS('자가소비(B)'!$I:$I,'자가소비(B)'!$G:$G,Q$2,'자가소비(B)'!$Q:$Q,$J8,'자가소비(B)'!$C:$C,$L$1),
    SUMIFS('PPA 사업(C)'!$I:$I,'PPA 사업(C)'!$G:$G,Q$2,'PPA 사업(C)'!$Q:$Q,$J8,'PPA 사업(C)'!$C:$C,$L$1),
    SUMIFS('리스사업(D)'!$I:$I,'리스사업(D)'!$G:$G,Q$2,'리스사업(D)'!$Q:$Q,$J8,'리스사업(D)'!$C:$C,$L$1),
    SUMIFS('임대사업(E)'!$I:$I,'임대사업(E)'!$G:$G,Q$2,'임대사업(E)'!$Q:$Q,$J8,'임대사업(E)'!$C:$C,$L$1),
    SUMIFS('환경부사업(F)'!$I:$I,'환경부사업(F)'!$G:$G,Q$2,'환경부사업(F)'!$Q:$Q,$J8,'환경부사업(F)'!$C:$C,$L$1),
    SUMIFS('프로젝트(G)'!$I:$I,'프로젝트(G)'!$G:$G,Q$2,'프로젝트(G)'!$Q:$Q,$J8,'프로젝트(G)'!$C:$C,$L$1),
    SUMIFS('협력사 EPC(H)'!$I:$I,'협력사 EPC(H)'!$G:$G,Q$2,'협력사 EPC(H)'!$Q:$Q,$J8,'협력사 EPC(H)'!$C:$C,$L$1),
    SUMIFS('기타(Z)'!$I:$I,'기타(Z)'!$G:$G,Q$2,'기타(Z)'!$Q:$Q,$J8,'기타(Z)'!$C:$C,$L$1)
  )
)</f>
        <v/>
      </c>
      <c r="R8" s="387" t="str">
        <f>IF(
  SUM(
    COUNTIFS('발전사업(A)'!$G:$G, Q$2, '발전사업(A)'!$Q:$Q, $J8, '발전사업(A)'!$C:$C, $L$1),
    COUNTIFS('자가소비(B)'!$G:$G, Q$2, '자가소비(B)'!$Q:$Q, $J8, '자가소비(B)'!$C:$C, $L$1),
    COUNTIFS('PPA 사업(C)'!$G:$G, Q$2, 'PPA 사업(C)'!$Q:$Q, $J8, 'PPA 사업(C)'!$C:$C, $L$1),
    COUNTIFS('리스사업(D)'!$G:$G, Q$2, '리스사업(D)'!$Q:$Q, $J8, '리스사업(D)'!$C:$C, $L$1),
    COUNTIFS('임대사업(E)'!$G:$G, Q$2, '임대사업(E)'!$Q:$Q, $J8, '임대사업(E)'!$C:$C, $L$1),
    COUNTIFS('환경부사업(F)'!$G:$G, Q$2, '환경부사업(F)'!$Q:$Q, $J8, '환경부사업(F)'!$C:$C, $L$1),
    COUNTIFS('프로젝트(G)'!$G:$G, Q$2, '프로젝트(G)'!$Q:$Q, $J8, '프로젝트(G)'!$C:$C, $L$1),
    COUNTIFS('협력사 EPC(H)'!$G:$G, Q$2, '협력사 EPC(H)'!$Q:$Q, $J8, '협력사 EPC(H)'!$C:$C, $L$1),
    COUNTIFS('기타(Z)'!$G:$G, Q$2, '기타(Z)'!$Q:$Q, $J8, '기타(Z)'!$C:$C, $L$1)
  ) = 0,
  "",
  COUNTIFS('발전사업(A)'!$G:$G, Q$2, '발전사업(A)'!$Q:$Q, $J8, '발전사업(A)'!$C:$C, $L$1)
  + COUNTIFS('자가소비(B)'!$G:$G, Q$2, '자가소비(B)'!$Q:$Q, $J8, '자가소비(B)'!$C:$C, $L$1)
  + COUNTIFS('PPA 사업(C)'!$G:$G, Q$2, 'PPA 사업(C)'!$Q:$Q, $J8, 'PPA 사업(C)'!$C:$C, $L$1)
  + COUNTIFS('리스사업(D)'!$G:$G, Q$2, '리스사업(D)'!$Q:$Q, $J8, '리스사업(D)'!$C:$C, $L$1)
  + COUNTIFS('임대사업(E)'!$G:$G, Q$2, '임대사업(E)'!$Q:$Q, $J8, '임대사업(E)'!$C:$C, $L$1)
  + COUNTIFS('환경부사업(F)'!$G:$G, Q$2, '환경부사업(F)'!$Q:$Q, $J8, '환경부사업(F)'!$C:$C, $L$1)
  + COUNTIFS('프로젝트(G)'!$G:$G, Q$2, '프로젝트(G)'!$Q:$Q, $J8, '프로젝트(G)'!$C:$C, $L$1)
  + COUNTIFS('협력사 EPC(H)'!$G:$G, Q$2, '협력사 EPC(H)'!$Q:$Q, $J8, '협력사 EPC(H)'!$C:$C, $L$1)
  + COUNTIFS('기타(Z)'!$G:$G, Q$2, '기타(Z)'!$Q:$Q, $J8, '기타(Z)'!$C:$C, $L$1)
)</f>
        <v/>
      </c>
      <c r="S8" s="386">
        <f>IF(
  SUM(
    SUMIFS('발전사업(A)'!$I:$I,'발전사업(A)'!$G:$G,S$2,'발전사업(A)'!$Q:$Q,$J8,'발전사업(A)'!$C:$C,$L$1),
    SUMIFS('자가소비(B)'!$I:$I,'자가소비(B)'!$G:$G,S$2,'자가소비(B)'!$Q:$Q,$J8,'자가소비(B)'!$C:$C,$L$1),
    SUMIFS('PPA 사업(C)'!$I:$I,'PPA 사업(C)'!$G:$G,S$2,'PPA 사업(C)'!$Q:$Q,$J8,'PPA 사업(C)'!$C:$C,$L$1),
    SUMIFS('리스사업(D)'!$I:$I,'리스사업(D)'!$G:$G,S$2,'리스사업(D)'!$Q:$Q,$J8,'리스사업(D)'!$C:$C,$L$1),
    SUMIFS('임대사업(E)'!$I:$I,'임대사업(E)'!$G:$G,S$2,'임대사업(E)'!$Q:$Q,$J8,'임대사업(E)'!$C:$C,$L$1),
    SUMIFS('환경부사업(F)'!$I:$I,'환경부사업(F)'!$G:$G,S$2,'환경부사업(F)'!$Q:$Q,$J8,'환경부사업(F)'!$C:$C,$L$1),
    SUMIFS('프로젝트(G)'!$I:$I,'프로젝트(G)'!$G:$G,S$2,'프로젝트(G)'!$Q:$Q,$J8,'프로젝트(G)'!$C:$C,$L$1),
    SUMIFS('협력사 EPC(H)'!$I:$I,'협력사 EPC(H)'!$G:$G,S$2,'협력사 EPC(H)'!$Q:$Q,$J8,'협력사 EPC(H)'!$C:$C,$L$1),
    SUMIFS('기타(Z)'!$I:$I,'기타(Z)'!$G:$G,S$2,'기타(Z)'!$Q:$Q,$J8,'기타(Z)'!$C:$C,$L$1)
  )=0,
  "",
  SUM(
    SUMIFS('발전사업(A)'!$I:$I,'발전사업(A)'!$G:$G,S$2,'발전사업(A)'!$Q:$Q,$J8,'발전사업(A)'!$C:$C,$L$1),
    SUMIFS('자가소비(B)'!$I:$I,'자가소비(B)'!$G:$G,S$2,'자가소비(B)'!$Q:$Q,$J8,'자가소비(B)'!$C:$C,$L$1),
    SUMIFS('PPA 사업(C)'!$I:$I,'PPA 사업(C)'!$G:$G,S$2,'PPA 사업(C)'!$Q:$Q,$J8,'PPA 사업(C)'!$C:$C,$L$1),
    SUMIFS('리스사업(D)'!$I:$I,'리스사업(D)'!$G:$G,S$2,'리스사업(D)'!$Q:$Q,$J8,'리스사업(D)'!$C:$C,$L$1),
    SUMIFS('임대사업(E)'!$I:$I,'임대사업(E)'!$G:$G,S$2,'임대사업(E)'!$Q:$Q,$J8,'임대사업(E)'!$C:$C,$L$1),
    SUMIFS('환경부사업(F)'!$I:$I,'환경부사업(F)'!$G:$G,S$2,'환경부사업(F)'!$Q:$Q,$J8,'환경부사업(F)'!$C:$C,$L$1),
    SUMIFS('프로젝트(G)'!$I:$I,'프로젝트(G)'!$G:$G,S$2,'프로젝트(G)'!$Q:$Q,$J8,'프로젝트(G)'!$C:$C,$L$1),
    SUMIFS('협력사 EPC(H)'!$I:$I,'협력사 EPC(H)'!$G:$G,S$2,'협력사 EPC(H)'!$Q:$Q,$J8,'협력사 EPC(H)'!$C:$C,$L$1),
    SUMIFS('기타(Z)'!$I:$I,'기타(Z)'!$G:$G,S$2,'기타(Z)'!$Q:$Q,$J8,'기타(Z)'!$C:$C,$L$1)
  )
)</f>
        <v>451.17500000000001</v>
      </c>
      <c r="T8" s="387">
        <f>IF(
  SUM(
    COUNTIFS('발전사업(A)'!$G:$G, S$2, '발전사업(A)'!$Q:$Q, $J8, '발전사업(A)'!$C:$C, $L$1),
    COUNTIFS('자가소비(B)'!$G:$G, S$2, '자가소비(B)'!$Q:$Q, $J8, '자가소비(B)'!$C:$C, $L$1),
    COUNTIFS('PPA 사업(C)'!$G:$G, S$2, 'PPA 사업(C)'!$Q:$Q, $J8, 'PPA 사업(C)'!$C:$C, $L$1),
    COUNTIFS('리스사업(D)'!$G:$G, S$2, '리스사업(D)'!$Q:$Q, $J8, '리스사업(D)'!$C:$C, $L$1),
    COUNTIFS('임대사업(E)'!$G:$G, S$2, '임대사업(E)'!$Q:$Q, $J8, '임대사업(E)'!$C:$C, $L$1),
    COUNTIFS('환경부사업(F)'!$G:$G, S$2, '환경부사업(F)'!$Q:$Q, $J8, '환경부사업(F)'!$C:$C, $L$1),
    COUNTIFS('프로젝트(G)'!$G:$G, S$2, '프로젝트(G)'!$Q:$Q, $J8, '프로젝트(G)'!$C:$C, $L$1),
    COUNTIFS('협력사 EPC(H)'!$G:$G, S$2, '협력사 EPC(H)'!$Q:$Q, $J8, '협력사 EPC(H)'!$C:$C, $L$1),
    COUNTIFS('기타(Z)'!$G:$G, S$2, '기타(Z)'!$Q:$Q, $J8, '기타(Z)'!$C:$C, $L$1)
  ) = 0,
  "",
  COUNTIFS('발전사업(A)'!$G:$G, S$2, '발전사업(A)'!$Q:$Q, $J8, '발전사업(A)'!$C:$C, $L$1)
  + COUNTIFS('자가소비(B)'!$G:$G, S$2, '자가소비(B)'!$Q:$Q, $J8, '자가소비(B)'!$C:$C, $L$1)
  + COUNTIFS('PPA 사업(C)'!$G:$G, S$2, 'PPA 사업(C)'!$Q:$Q, $J8, 'PPA 사업(C)'!$C:$C, $L$1)
  + COUNTIFS('리스사업(D)'!$G:$G, S$2, '리스사업(D)'!$Q:$Q, $J8, '리스사업(D)'!$C:$C, $L$1)
  + COUNTIFS('임대사업(E)'!$G:$G, S$2, '임대사업(E)'!$Q:$Q, $J8, '임대사업(E)'!$C:$C, $L$1)
  + COUNTIFS('환경부사업(F)'!$G:$G, S$2, '환경부사업(F)'!$Q:$Q, $J8, '환경부사업(F)'!$C:$C, $L$1)
  + COUNTIFS('프로젝트(G)'!$G:$G, S$2, '프로젝트(G)'!$Q:$Q, $J8, '프로젝트(G)'!$C:$C, $L$1)
  + COUNTIFS('협력사 EPC(H)'!$G:$G, S$2, '협력사 EPC(H)'!$Q:$Q, $J8, '협력사 EPC(H)'!$C:$C, $L$1)
  + COUNTIFS('기타(Z)'!$G:$G, S$2, '기타(Z)'!$Q:$Q, $J8, '기타(Z)'!$C:$C, $L$1)
)</f>
        <v>2</v>
      </c>
      <c r="U8" s="386" t="str">
        <f>IF(
  SUM(
    SUMIFS('발전사업(A)'!$I:$I,'발전사업(A)'!$G:$G,U$2,'발전사업(A)'!$Q:$Q,$J8,'발전사업(A)'!$C:$C,$L$1),
    SUMIFS('자가소비(B)'!$I:$I,'자가소비(B)'!$G:$G,U$2,'자가소비(B)'!$Q:$Q,$J8,'자가소비(B)'!$C:$C,$L$1),
    SUMIFS('PPA 사업(C)'!$I:$I,'PPA 사업(C)'!$G:$G,U$2,'PPA 사업(C)'!$Q:$Q,$J8,'PPA 사업(C)'!$C:$C,$L$1),
    SUMIFS('리스사업(D)'!$I:$I,'리스사업(D)'!$G:$G,U$2,'리스사업(D)'!$Q:$Q,$J8,'리스사업(D)'!$C:$C,$L$1),
    SUMIFS('임대사업(E)'!$I:$I,'임대사업(E)'!$G:$G,U$2,'임대사업(E)'!$Q:$Q,$J8,'임대사업(E)'!$C:$C,$L$1),
    SUMIFS('환경부사업(F)'!$I:$I,'환경부사업(F)'!$G:$G,U$2,'환경부사업(F)'!$Q:$Q,$J8,'환경부사업(F)'!$C:$C,$L$1),
    SUMIFS('프로젝트(G)'!$I:$I,'프로젝트(G)'!$G:$G,U$2,'프로젝트(G)'!$Q:$Q,$J8,'프로젝트(G)'!$C:$C,$L$1),
    SUMIFS('협력사 EPC(H)'!$I:$I,'협력사 EPC(H)'!$G:$G,U$2,'협력사 EPC(H)'!$Q:$Q,$J8,'협력사 EPC(H)'!$C:$C,$L$1),
    SUMIFS('기타(Z)'!$I:$I,'기타(Z)'!$G:$G,U$2,'기타(Z)'!$Q:$Q,$J8,'기타(Z)'!$C:$C,$L$1)
  )=0,
  "",
  SUM(
    SUMIFS('발전사업(A)'!$I:$I,'발전사업(A)'!$G:$G,U$2,'발전사업(A)'!$Q:$Q,$J8,'발전사업(A)'!$C:$C,$L$1),
    SUMIFS('자가소비(B)'!$I:$I,'자가소비(B)'!$G:$G,U$2,'자가소비(B)'!$Q:$Q,$J8,'자가소비(B)'!$C:$C,$L$1),
    SUMIFS('PPA 사업(C)'!$I:$I,'PPA 사업(C)'!$G:$G,U$2,'PPA 사업(C)'!$Q:$Q,$J8,'PPA 사업(C)'!$C:$C,$L$1),
    SUMIFS('리스사업(D)'!$I:$I,'리스사업(D)'!$G:$G,U$2,'리스사업(D)'!$Q:$Q,$J8,'리스사업(D)'!$C:$C,$L$1),
    SUMIFS('임대사업(E)'!$I:$I,'임대사업(E)'!$G:$G,U$2,'임대사업(E)'!$Q:$Q,$J8,'임대사업(E)'!$C:$C,$L$1),
    SUMIFS('환경부사업(F)'!$I:$I,'환경부사업(F)'!$G:$G,U$2,'환경부사업(F)'!$Q:$Q,$J8,'환경부사업(F)'!$C:$C,$L$1),
    SUMIFS('프로젝트(G)'!$I:$I,'프로젝트(G)'!$G:$G,U$2,'프로젝트(G)'!$Q:$Q,$J8,'프로젝트(G)'!$C:$C,$L$1),
    SUMIFS('협력사 EPC(H)'!$I:$I,'협력사 EPC(H)'!$G:$G,U$2,'협력사 EPC(H)'!$Q:$Q,$J8,'협력사 EPC(H)'!$C:$C,$L$1),
    SUMIFS('기타(Z)'!$I:$I,'기타(Z)'!$G:$G,U$2,'기타(Z)'!$Q:$Q,$J8,'기타(Z)'!$C:$C,$L$1)
  )
)</f>
        <v/>
      </c>
      <c r="V8" s="387" t="str">
        <f>IF(
  SUM(
    COUNTIFS('발전사업(A)'!$G:$G, U$2, '발전사업(A)'!$Q:$Q, $J8, '발전사업(A)'!$C:$C, $L$1),
    COUNTIFS('자가소비(B)'!$G:$G, U$2, '자가소비(B)'!$Q:$Q, $J8, '자가소비(B)'!$C:$C, $L$1),
    COUNTIFS('PPA 사업(C)'!$G:$G, U$2, 'PPA 사업(C)'!$Q:$Q, $J8, 'PPA 사업(C)'!$C:$C, $L$1),
    COUNTIFS('리스사업(D)'!$G:$G, U$2, '리스사업(D)'!$Q:$Q, $J8, '리스사업(D)'!$C:$C, $L$1),
    COUNTIFS('임대사업(E)'!$G:$G, U$2, '임대사업(E)'!$Q:$Q, $J8, '임대사업(E)'!$C:$C, $L$1),
    COUNTIFS('환경부사업(F)'!$G:$G, U$2, '환경부사업(F)'!$Q:$Q, $J8, '환경부사업(F)'!$C:$C, $L$1),
    COUNTIFS('프로젝트(G)'!$G:$G, U$2, '프로젝트(G)'!$Q:$Q, $J8, '프로젝트(G)'!$C:$C, $L$1),
    COUNTIFS('협력사 EPC(H)'!$G:$G, U$2, '협력사 EPC(H)'!$Q:$Q, $J8, '협력사 EPC(H)'!$C:$C, $L$1),
    COUNTIFS('기타(Z)'!$G:$G, U$2, '기타(Z)'!$Q:$Q, $J8, '기타(Z)'!$C:$C, $L$1)
  ) = 0,
  "",
  COUNTIFS('발전사업(A)'!$G:$G, U$2, '발전사업(A)'!$Q:$Q, $J8, '발전사업(A)'!$C:$C, $L$1)
  + COUNTIFS('자가소비(B)'!$G:$G, U$2, '자가소비(B)'!$Q:$Q, $J8, '자가소비(B)'!$C:$C, $L$1)
  + COUNTIFS('PPA 사업(C)'!$G:$G, U$2, 'PPA 사업(C)'!$Q:$Q, $J8, 'PPA 사업(C)'!$C:$C, $L$1)
  + COUNTIFS('리스사업(D)'!$G:$G, U$2, '리스사업(D)'!$Q:$Q, $J8, '리스사업(D)'!$C:$C, $L$1)
  + COUNTIFS('임대사업(E)'!$G:$G, U$2, '임대사업(E)'!$Q:$Q, $J8, '임대사업(E)'!$C:$C, $L$1)
  + COUNTIFS('환경부사업(F)'!$G:$G, U$2, '환경부사업(F)'!$Q:$Q, $J8, '환경부사업(F)'!$C:$C, $L$1)
  + COUNTIFS('프로젝트(G)'!$G:$G, U$2, '프로젝트(G)'!$Q:$Q, $J8, '프로젝트(G)'!$C:$C, $L$1)
  + COUNTIFS('협력사 EPC(H)'!$G:$G, U$2, '협력사 EPC(H)'!$Q:$Q, $J8, '협력사 EPC(H)'!$C:$C, $L$1)
  + COUNTIFS('기타(Z)'!$G:$G, U$2, '기타(Z)'!$Q:$Q, $J8, '기타(Z)'!$C:$C, $L$1)
)</f>
        <v/>
      </c>
      <c r="W8" s="386" t="str">
        <f>IF(
  SUM(
    SUMIFS('발전사업(A)'!$I:$I,'발전사업(A)'!$G:$G,W$2,'발전사업(A)'!$Q:$Q,$J8,'발전사업(A)'!$C:$C,$L$1),
    SUMIFS('자가소비(B)'!$I:$I,'자가소비(B)'!$G:$G,W$2,'자가소비(B)'!$Q:$Q,$J8,'자가소비(B)'!$C:$C,$L$1),
    SUMIFS('PPA 사업(C)'!$I:$I,'PPA 사업(C)'!$G:$G,W$2,'PPA 사업(C)'!$Q:$Q,$J8,'PPA 사업(C)'!$C:$C,$L$1),
    SUMIFS('리스사업(D)'!$I:$I,'리스사업(D)'!$G:$G,W$2,'리스사업(D)'!$Q:$Q,$J8,'리스사업(D)'!$C:$C,$L$1),
    SUMIFS('임대사업(E)'!$I:$I,'임대사업(E)'!$G:$G,W$2,'임대사업(E)'!$Q:$Q,$J8,'임대사업(E)'!$C:$C,$L$1),
    SUMIFS('환경부사업(F)'!$I:$I,'환경부사업(F)'!$G:$G,W$2,'환경부사업(F)'!$Q:$Q,$J8,'환경부사업(F)'!$C:$C,$L$1),
    SUMIFS('프로젝트(G)'!$I:$I,'프로젝트(G)'!$G:$G,W$2,'프로젝트(G)'!$Q:$Q,$J8,'프로젝트(G)'!$C:$C,$L$1),
    SUMIFS('협력사 EPC(H)'!$I:$I,'협력사 EPC(H)'!$G:$G,W$2,'협력사 EPC(H)'!$Q:$Q,$J8,'협력사 EPC(H)'!$C:$C,$L$1),
    SUMIFS('기타(Z)'!$I:$I,'기타(Z)'!$G:$G,W$2,'기타(Z)'!$Q:$Q,$J8,'기타(Z)'!$C:$C,$L$1)
  )=0,
  "",
  SUM(
    SUMIFS('발전사업(A)'!$I:$I,'발전사업(A)'!$G:$G,W$2,'발전사업(A)'!$Q:$Q,$J8,'발전사업(A)'!$C:$C,$L$1),
    SUMIFS('자가소비(B)'!$I:$I,'자가소비(B)'!$G:$G,W$2,'자가소비(B)'!$Q:$Q,$J8,'자가소비(B)'!$C:$C,$L$1),
    SUMIFS('PPA 사업(C)'!$I:$I,'PPA 사업(C)'!$G:$G,W$2,'PPA 사업(C)'!$Q:$Q,$J8,'PPA 사업(C)'!$C:$C,$L$1),
    SUMIFS('리스사업(D)'!$I:$I,'리스사업(D)'!$G:$G,W$2,'리스사업(D)'!$Q:$Q,$J8,'리스사업(D)'!$C:$C,$L$1),
    SUMIFS('임대사업(E)'!$I:$I,'임대사업(E)'!$G:$G,W$2,'임대사업(E)'!$Q:$Q,$J8,'임대사업(E)'!$C:$C,$L$1),
    SUMIFS('환경부사업(F)'!$I:$I,'환경부사업(F)'!$G:$G,W$2,'환경부사업(F)'!$Q:$Q,$J8,'환경부사업(F)'!$C:$C,$L$1),
    SUMIFS('프로젝트(G)'!$I:$I,'프로젝트(G)'!$G:$G,W$2,'프로젝트(G)'!$Q:$Q,$J8,'프로젝트(G)'!$C:$C,$L$1),
    SUMIFS('협력사 EPC(H)'!$I:$I,'협력사 EPC(H)'!$G:$G,W$2,'협력사 EPC(H)'!$Q:$Q,$J8,'협력사 EPC(H)'!$C:$C,$L$1),
    SUMIFS('기타(Z)'!$I:$I,'기타(Z)'!$G:$G,W$2,'기타(Z)'!$Q:$Q,$J8,'기타(Z)'!$C:$C,$L$1)
  )
)</f>
        <v/>
      </c>
      <c r="X8" s="367" t="str">
        <f>IF(
  SUM(
    COUNTIFS('발전사업(A)'!$G:$G,W$2,'발전사업(A)'!$Q:$Q,$J8),
    COUNTIFS('자가소비(B)'!$G:$G,W$2,'자가소비(B)'!$Q:$Q,$J8),
    COUNTIFS('PPA 사업(C)'!$G:$G,W$2,'PPA 사업(C)'!$Q:$Q,$J8),
    COUNTIFS('리스사업(D)'!$G:$G,W$2,'리스사업(D)'!$Q:$Q,$J8),
    COUNTIFS('임대사업(E)'!$G:$G,W$2,'임대사업(E)'!$Q:$Q,$J8),
    COUNTIFS('환경부사업(F)'!$G:$G,W$2,'환경부사업(F)'!$Q:$Q,$J8),
    COUNTIFS('프로젝트(G)'!$G:$G,W$2,'프로젝트(G)'!$Q:$Q,$J8),
    COUNTIFS('협력사 EPC(H)'!$G:$G,W$2,'협력사 EPC(H)'!$Q:$Q,$J8),
    COUNTIFS('기타(Z)'!$G:$G,W$2,'기타(Z)'!$Q:$Q,$J8)
  )=0,
  "",
  COUNTIFS('발전사업(A)'!$G:$G,W$2,'발전사업(A)'!$Q:$Q,$J8)
  +COUNTIFS('자가소비(B)'!$G:$G,W$2,'자가소비(B)'!$Q:$Q,$J8)
  +COUNTIFS('PPA 사업(C)'!$G:$G,W$2,'PPA 사업(C)'!$Q:$Q,$J8)
  +COUNTIFS('리스사업(D)'!$G:$G,W$2,'리스사업(D)'!$Q:$Q,$J8)
  +COUNTIFS('임대사업(E)'!$G:$G,W$2,'임대사업(E)'!$Q:$Q,$J8)
  +COUNTIFS('환경부사업(F)'!$G:$G,W$2,'환경부사업(F)'!$Q:$Q,$J8)
  +COUNTIFS('프로젝트(G)'!$G:$G,W$2,'프로젝트(G)'!$Q:$Q,$J8)
  +COUNTIFS('협력사 EPC(H)'!$G:$G,W$2,'협력사 EPC(H)'!$Q:$Q,$J8)
  +COUNTIFS('기타(Z)'!$G:$G,W$2,'기타(Z)'!$Q:$Q,$J8)
)</f>
        <v/>
      </c>
      <c r="Y8" s="386" t="str">
        <f>IF(
  SUM(
    SUMIFS('발전사업(A)'!$I:$I,'발전사업(A)'!$G:$G,Y$2,'발전사업(A)'!$Q:$Q,$J8,'발전사업(A)'!$C:$C,$L$1),
    SUMIFS('자가소비(B)'!$I:$I,'자가소비(B)'!$G:$G,Y$2,'자가소비(B)'!$Q:$Q,$J8,'자가소비(B)'!$C:$C,$L$1),
    SUMIFS('PPA 사업(C)'!$I:$I,'PPA 사업(C)'!$G:$G,Y$2,'PPA 사업(C)'!$Q:$Q,$J8,'PPA 사업(C)'!$C:$C,$L$1),
    SUMIFS('리스사업(D)'!$I:$I,'리스사업(D)'!$G:$G,Y$2,'리스사업(D)'!$Q:$Q,$J8,'리스사업(D)'!$C:$C,$L$1),
    SUMIFS('임대사업(E)'!$I:$I,'임대사업(E)'!$G:$G,Y$2,'임대사업(E)'!$Q:$Q,$J8,'임대사업(E)'!$C:$C,$L$1),
    SUMIFS('환경부사업(F)'!$I:$I,'환경부사업(F)'!$G:$G,Y$2,'환경부사업(F)'!$Q:$Q,$J8,'환경부사업(F)'!$C:$C,$L$1),
    SUMIFS('프로젝트(G)'!$I:$I,'프로젝트(G)'!$G:$G,Y$2,'프로젝트(G)'!$Q:$Q,$J8,'프로젝트(G)'!$C:$C,$L$1),
    SUMIFS('협력사 EPC(H)'!$I:$I,'협력사 EPC(H)'!$G:$G,Y$2,'협력사 EPC(H)'!$Q:$Q,$J8,'협력사 EPC(H)'!$C:$C,$L$1),
    SUMIFS('기타(Z)'!$I:$I,'기타(Z)'!$G:$G,Y$2,'기타(Z)'!$Q:$Q,$J8,'기타(Z)'!$C:$C,$L$1)
  )=0,
  "",
  SUM(
    SUMIFS('발전사업(A)'!$I:$I,'발전사업(A)'!$G:$G,Y$2,'발전사업(A)'!$Q:$Q,$J8,'발전사업(A)'!$C:$C,$L$1),
    SUMIFS('자가소비(B)'!$I:$I,'자가소비(B)'!$G:$G,Y$2,'자가소비(B)'!$Q:$Q,$J8,'자가소비(B)'!$C:$C,$L$1),
    SUMIFS('PPA 사업(C)'!$I:$I,'PPA 사업(C)'!$G:$G,Y$2,'PPA 사업(C)'!$Q:$Q,$J8,'PPA 사업(C)'!$C:$C,$L$1),
    SUMIFS('리스사업(D)'!$I:$I,'리스사업(D)'!$G:$G,Y$2,'리스사업(D)'!$Q:$Q,$J8,'리스사업(D)'!$C:$C,$L$1),
    SUMIFS('임대사업(E)'!$I:$I,'임대사업(E)'!$G:$G,Y$2,'임대사업(E)'!$Q:$Q,$J8,'임대사업(E)'!$C:$C,$L$1),
    SUMIFS('환경부사업(F)'!$I:$I,'환경부사업(F)'!$G:$G,Y$2,'환경부사업(F)'!$Q:$Q,$J8,'환경부사업(F)'!$C:$C,$L$1),
    SUMIFS('프로젝트(G)'!$I:$I,'프로젝트(G)'!$G:$G,Y$2,'프로젝트(G)'!$Q:$Q,$J8,'프로젝트(G)'!$C:$C,$L$1),
    SUMIFS('협력사 EPC(H)'!$I:$I,'협력사 EPC(H)'!$G:$G,Y$2,'협력사 EPC(H)'!$Q:$Q,$J8,'협력사 EPC(H)'!$C:$C,$L$1),
    SUMIFS('기타(Z)'!$I:$I,'기타(Z)'!$G:$G,Y$2,'기타(Z)'!$Q:$Q,$J8,'기타(Z)'!$C:$C,$L$1)
  )
)</f>
        <v/>
      </c>
      <c r="Z8" s="387" t="str">
        <f>IF(
  SUM(
    COUNTIFS('발전사업(A)'!$G:$G, Y$2, '발전사업(A)'!$Q:$Q, $J8, '발전사업(A)'!$C:$C, $L$1),
    COUNTIFS('자가소비(B)'!$G:$G, Y$2, '자가소비(B)'!$Q:$Q, $J8, '자가소비(B)'!$C:$C, $L$1),
    COUNTIFS('PPA 사업(C)'!$G:$G, Y$2, 'PPA 사업(C)'!$Q:$Q, $J8, 'PPA 사업(C)'!$C:$C, $L$1),
    COUNTIFS('리스사업(D)'!$G:$G, Y$2, '리스사업(D)'!$Q:$Q, $J8, '리스사업(D)'!$C:$C, $L$1),
    COUNTIFS('임대사업(E)'!$G:$G, Y$2, '임대사업(E)'!$Q:$Q, $J8, '임대사업(E)'!$C:$C, $L$1),
    COUNTIFS('환경부사업(F)'!$G:$G, Y$2, '환경부사업(F)'!$Q:$Q, $J8, '환경부사업(F)'!$C:$C, $L$1),
    COUNTIFS('프로젝트(G)'!$G:$G, Y$2, '프로젝트(G)'!$Q:$Q, $J8, '프로젝트(G)'!$C:$C, $L$1),
    COUNTIFS('협력사 EPC(H)'!$G:$G, Y$2, '협력사 EPC(H)'!$Q:$Q, $J8, '협력사 EPC(H)'!$C:$C, $L$1),
    COUNTIFS('기타(Z)'!$G:$G, Y$2, '기타(Z)'!$Q:$Q, $J8, '기타(Z)'!$C:$C, $L$1)
  ) = 0,
  "",
  COUNTIFS('발전사업(A)'!$G:$G, Y$2, '발전사업(A)'!$Q:$Q, $J8, '발전사업(A)'!$C:$C, $L$1)
  + COUNTIFS('자가소비(B)'!$G:$G, Y$2, '자가소비(B)'!$Q:$Q, $J8, '자가소비(B)'!$C:$C, $L$1)
  + COUNTIFS('PPA 사업(C)'!$G:$G, Y$2, 'PPA 사업(C)'!$Q:$Q, $J8, 'PPA 사업(C)'!$C:$C, $L$1)
  + COUNTIFS('리스사업(D)'!$G:$G, Y$2, '리스사업(D)'!$Q:$Q, $J8, '리스사업(D)'!$C:$C, $L$1)
  + COUNTIFS('임대사업(E)'!$G:$G, Y$2, '임대사업(E)'!$Q:$Q, $J8, '임대사업(E)'!$C:$C, $L$1)
  + COUNTIFS('환경부사업(F)'!$G:$G, Y$2, '환경부사업(F)'!$Q:$Q, $J8, '환경부사업(F)'!$C:$C, $L$1)
  + COUNTIFS('프로젝트(G)'!$G:$G, Y$2, '프로젝트(G)'!$Q:$Q, $J8, '프로젝트(G)'!$C:$C, $L$1)
  + COUNTIFS('협력사 EPC(H)'!$G:$G, Y$2, '협력사 EPC(H)'!$Q:$Q, $J8, '협력사 EPC(H)'!$C:$C, $L$1)
  + COUNTIFS('기타(Z)'!$G:$G, Y$2, '기타(Z)'!$Q:$Q, $J8, '기타(Z)'!$C:$C, $L$1)
)</f>
        <v/>
      </c>
      <c r="AA8" s="386" t="str">
        <f>IF(
  SUM(
    SUMIFS('발전사업(A)'!$I:$I,'발전사업(A)'!$G:$G,AA$2,'발전사업(A)'!$Q:$Q,$J8,'발전사업(A)'!$C:$C,$L$1),
    SUMIFS('자가소비(B)'!$I:$I,'자가소비(B)'!$G:$G,AA$2,'자가소비(B)'!$Q:$Q,$J8,'자가소비(B)'!$C:$C,$L$1),
    SUMIFS('PPA 사업(C)'!$I:$I,'PPA 사업(C)'!$G:$G,AA$2,'PPA 사업(C)'!$Q:$Q,$J8,'PPA 사업(C)'!$C:$C,$L$1),
    SUMIFS('리스사업(D)'!$I:$I,'리스사업(D)'!$G:$G,AA$2,'리스사업(D)'!$Q:$Q,$J8,'리스사업(D)'!$C:$C,$L$1),
    SUMIFS('임대사업(E)'!$I:$I,'임대사업(E)'!$G:$G,AA$2,'임대사업(E)'!$Q:$Q,$J8,'임대사업(E)'!$C:$C,$L$1),
    SUMIFS('환경부사업(F)'!$I:$I,'환경부사업(F)'!$G:$G,AA$2,'환경부사업(F)'!$Q:$Q,$J8,'환경부사업(F)'!$C:$C,$L$1),
    SUMIFS('프로젝트(G)'!$I:$I,'프로젝트(G)'!$G:$G,AA$2,'프로젝트(G)'!$Q:$Q,$J8,'프로젝트(G)'!$C:$C,$L$1),
    SUMIFS('협력사 EPC(H)'!$I:$I,'협력사 EPC(H)'!$G:$G,AA$2,'협력사 EPC(H)'!$Q:$Q,$J8,'협력사 EPC(H)'!$C:$C,$L$1),
    SUMIFS('기타(Z)'!$I:$I,'기타(Z)'!$G:$G,AA$2,'기타(Z)'!$Q:$Q,$J8,'기타(Z)'!$C:$C,$L$1)
  )=0,
  "",
  SUM(
    SUMIFS('발전사업(A)'!$I:$I,'발전사업(A)'!$G:$G,AA$2,'발전사업(A)'!$Q:$Q,$J8,'발전사업(A)'!$C:$C,$L$1),
    SUMIFS('자가소비(B)'!$I:$I,'자가소비(B)'!$G:$G,AA$2,'자가소비(B)'!$Q:$Q,$J8,'자가소비(B)'!$C:$C,$L$1),
    SUMIFS('PPA 사업(C)'!$I:$I,'PPA 사업(C)'!$G:$G,AA$2,'PPA 사업(C)'!$Q:$Q,$J8,'PPA 사업(C)'!$C:$C,$L$1),
    SUMIFS('리스사업(D)'!$I:$I,'리스사업(D)'!$G:$G,AA$2,'리스사업(D)'!$Q:$Q,$J8,'리스사업(D)'!$C:$C,$L$1),
    SUMIFS('임대사업(E)'!$I:$I,'임대사업(E)'!$G:$G,AA$2,'임대사업(E)'!$Q:$Q,$J8,'임대사업(E)'!$C:$C,$L$1),
    SUMIFS('환경부사업(F)'!$I:$I,'환경부사업(F)'!$G:$G,AA$2,'환경부사업(F)'!$Q:$Q,$J8,'환경부사업(F)'!$C:$C,$L$1),
    SUMIFS('프로젝트(G)'!$I:$I,'프로젝트(G)'!$G:$G,AA$2,'프로젝트(G)'!$Q:$Q,$J8,'프로젝트(G)'!$C:$C,$L$1),
    SUMIFS('협력사 EPC(H)'!$I:$I,'협력사 EPC(H)'!$G:$G,AA$2,'협력사 EPC(H)'!$Q:$Q,$J8,'협력사 EPC(H)'!$C:$C,$L$1),
    SUMIFS('기타(Z)'!$I:$I,'기타(Z)'!$G:$G,AA$2,'기타(Z)'!$Q:$Q,$J8,'기타(Z)'!$C:$C,$L$1)
  )
)</f>
        <v/>
      </c>
      <c r="AB8" s="387" t="str">
        <f>IF(
  SUM(
    COUNTIFS('발전사업(A)'!$G:$G, AA$2, '발전사업(A)'!$Q:$Q, $J8, '발전사업(A)'!$C:$C, $L$1),
    COUNTIFS('자가소비(B)'!$G:$G, AA$2, '자가소비(B)'!$Q:$Q, $J8, '자가소비(B)'!$C:$C, $L$1),
    COUNTIFS('PPA 사업(C)'!$G:$G, AA$2, 'PPA 사업(C)'!$Q:$Q, $J8, 'PPA 사업(C)'!$C:$C, $L$1),
    COUNTIFS('리스사업(D)'!$G:$G, AA$2, '리스사업(D)'!$Q:$Q, $J8, '리스사업(D)'!$C:$C, $L$1),
    COUNTIFS('임대사업(E)'!$G:$G, AA$2, '임대사업(E)'!$Q:$Q, $J8, '임대사업(E)'!$C:$C, $L$1),
    COUNTIFS('환경부사업(F)'!$G:$G, AA$2, '환경부사업(F)'!$Q:$Q, $J8, '환경부사업(F)'!$C:$C, $L$1),
    COUNTIFS('프로젝트(G)'!$G:$G, AA$2, '프로젝트(G)'!$Q:$Q, $J8, '프로젝트(G)'!$C:$C, $L$1),
    COUNTIFS('협력사 EPC(H)'!$G:$G, AA$2, '협력사 EPC(H)'!$Q:$Q, $J8, '협력사 EPC(H)'!$C:$C, $L$1),
    COUNTIFS('기타(Z)'!$G:$G, AA$2, '기타(Z)'!$Q:$Q, $J8, '기타(Z)'!$C:$C, $L$1)
  ) = 0,
  "",
  COUNTIFS('발전사업(A)'!$G:$G, AA$2, '발전사업(A)'!$Q:$Q, $J8, '발전사업(A)'!$C:$C, $L$1)
  + COUNTIFS('자가소비(B)'!$G:$G, AA$2, '자가소비(B)'!$Q:$Q, $J8, '자가소비(B)'!$C:$C, $L$1)
  + COUNTIFS('PPA 사업(C)'!$G:$G, AA$2, 'PPA 사업(C)'!$Q:$Q, $J8, 'PPA 사업(C)'!$C:$C, $L$1)
  + COUNTIFS('리스사업(D)'!$G:$G, AA$2, '리스사업(D)'!$Q:$Q, $J8, '리스사업(D)'!$C:$C, $L$1)
  + COUNTIFS('임대사업(E)'!$G:$G, AA$2, '임대사업(E)'!$Q:$Q, $J8, '임대사업(E)'!$C:$C, $L$1)
  + COUNTIFS('환경부사업(F)'!$G:$G, AA$2, '환경부사업(F)'!$Q:$Q, $J8, '환경부사업(F)'!$C:$C, $L$1)
  + COUNTIFS('프로젝트(G)'!$G:$G, AA$2, '프로젝트(G)'!$Q:$Q, $J8, '프로젝트(G)'!$C:$C, $L$1)
  + COUNTIFS('협력사 EPC(H)'!$G:$G, AA$2, '협력사 EPC(H)'!$Q:$Q, $J8, '협력사 EPC(H)'!$C:$C, $L$1)
  + COUNTIFS('기타(Z)'!$G:$G, AA$2, '기타(Z)'!$Q:$Q, $J8, '기타(Z)'!$C:$C, $L$1)
)</f>
        <v/>
      </c>
      <c r="AC8" s="386" t="str">
        <f>IF(
  SUM(
    SUMIFS('발전사업(A)'!$I:$I,'발전사업(A)'!$G:$G,AC$2,'발전사업(A)'!$Q:$Q,$J8,'발전사업(A)'!$C:$C,$L$1),
    SUMIFS('자가소비(B)'!$I:$I,'자가소비(B)'!$G:$G,AC$2,'자가소비(B)'!$Q:$Q,$J8,'자가소비(B)'!$C:$C,$L$1),
    SUMIFS('PPA 사업(C)'!$I:$I,'PPA 사업(C)'!$G:$G,AC$2,'PPA 사업(C)'!$Q:$Q,$J8,'PPA 사업(C)'!$C:$C,$L$1),
    SUMIFS('리스사업(D)'!$I:$I,'리스사업(D)'!$G:$G,AC$2,'리스사업(D)'!$Q:$Q,$J8,'리스사업(D)'!$C:$C,$L$1),
    SUMIFS('임대사업(E)'!$I:$I,'임대사업(E)'!$G:$G,AC$2,'임대사업(E)'!$Q:$Q,$J8,'임대사업(E)'!$C:$C,$L$1),
    SUMIFS('환경부사업(F)'!$I:$I,'환경부사업(F)'!$G:$G,AC$2,'환경부사업(F)'!$Q:$Q,$J8,'환경부사업(F)'!$C:$C,$L$1),
    SUMIFS('프로젝트(G)'!$I:$I,'프로젝트(G)'!$G:$G,AC$2,'프로젝트(G)'!$Q:$Q,$J8,'프로젝트(G)'!$C:$C,$L$1),
    SUMIFS('협력사 EPC(H)'!$I:$I,'협력사 EPC(H)'!$G:$G,AC$2,'협력사 EPC(H)'!$Q:$Q,$J8,'협력사 EPC(H)'!$C:$C,$L$1),
    SUMIFS('기타(Z)'!$I:$I,'기타(Z)'!$G:$G,AC$2,'기타(Z)'!$Q:$Q,$J8,'기타(Z)'!$C:$C,$L$1)
  )=0,
  "",
  SUM(
    SUMIFS('발전사업(A)'!$I:$I,'발전사업(A)'!$G:$G,AC$2,'발전사업(A)'!$Q:$Q,$J8,'발전사업(A)'!$C:$C,$L$1),
    SUMIFS('자가소비(B)'!$I:$I,'자가소비(B)'!$G:$G,AC$2,'자가소비(B)'!$Q:$Q,$J8,'자가소비(B)'!$C:$C,$L$1),
    SUMIFS('PPA 사업(C)'!$I:$I,'PPA 사업(C)'!$G:$G,AC$2,'PPA 사업(C)'!$Q:$Q,$J8,'PPA 사업(C)'!$C:$C,$L$1),
    SUMIFS('리스사업(D)'!$I:$I,'리스사업(D)'!$G:$G,AC$2,'리스사업(D)'!$Q:$Q,$J8,'리스사업(D)'!$C:$C,$L$1),
    SUMIFS('임대사업(E)'!$I:$I,'임대사업(E)'!$G:$G,AC$2,'임대사업(E)'!$Q:$Q,$J8,'임대사업(E)'!$C:$C,$L$1),
    SUMIFS('환경부사업(F)'!$I:$I,'환경부사업(F)'!$G:$G,AC$2,'환경부사업(F)'!$Q:$Q,$J8,'환경부사업(F)'!$C:$C,$L$1),
    SUMIFS('프로젝트(G)'!$I:$I,'프로젝트(G)'!$G:$G,AC$2,'프로젝트(G)'!$Q:$Q,$J8,'프로젝트(G)'!$C:$C,$L$1),
    SUMIFS('협력사 EPC(H)'!$I:$I,'협력사 EPC(H)'!$G:$G,AC$2,'협력사 EPC(H)'!$Q:$Q,$J8,'협력사 EPC(H)'!$C:$C,$L$1),
    SUMIFS('기타(Z)'!$I:$I,'기타(Z)'!$G:$G,AC$2,'기타(Z)'!$Q:$Q,$J8,'기타(Z)'!$C:$C,$L$1)
  )
)</f>
        <v/>
      </c>
      <c r="AD8" s="387" t="str">
        <f>IF(
  SUM(
    COUNTIFS('발전사업(A)'!$G:$G, AC$2, '발전사업(A)'!$Q:$Q, $J8, '발전사업(A)'!$C:$C, $L$1),
    COUNTIFS('자가소비(B)'!$G:$G, AC$2, '자가소비(B)'!$Q:$Q, $J8, '자가소비(B)'!$C:$C, $L$1),
    COUNTIFS('PPA 사업(C)'!$G:$G, AC$2, 'PPA 사업(C)'!$Q:$Q, $J8, 'PPA 사업(C)'!$C:$C, $L$1),
    COUNTIFS('리스사업(D)'!$G:$G, AC$2, '리스사업(D)'!$Q:$Q, $J8, '리스사업(D)'!$C:$C, $L$1),
    COUNTIFS('임대사업(E)'!$G:$G, AC$2, '임대사업(E)'!$Q:$Q, $J8, '임대사업(E)'!$C:$C, $L$1),
    COUNTIFS('환경부사업(F)'!$G:$G, AC$2, '환경부사업(F)'!$Q:$Q, $J8, '환경부사업(F)'!$C:$C, $L$1),
    COUNTIFS('프로젝트(G)'!$G:$G, AC$2, '프로젝트(G)'!$Q:$Q, $J8, '프로젝트(G)'!$C:$C, $L$1),
    COUNTIFS('협력사 EPC(H)'!$G:$G, AC$2, '협력사 EPC(H)'!$Q:$Q, $J8, '협력사 EPC(H)'!$C:$C, $L$1),
    COUNTIFS('기타(Z)'!$G:$G, AC$2, '기타(Z)'!$Q:$Q, $J8, '기타(Z)'!$C:$C, $L$1)
  ) = 0,
  "",
  COUNTIFS('발전사업(A)'!$G:$G, AC$2, '발전사업(A)'!$Q:$Q, $J8, '발전사업(A)'!$C:$C, $L$1)
  + COUNTIFS('자가소비(B)'!$G:$G, AC$2, '자가소비(B)'!$Q:$Q, $J8, '자가소비(B)'!$C:$C, $L$1)
  + COUNTIFS('PPA 사업(C)'!$G:$G, AC$2, 'PPA 사업(C)'!$Q:$Q, $J8, 'PPA 사업(C)'!$C:$C, $L$1)
  + COUNTIFS('리스사업(D)'!$G:$G, AC$2, '리스사업(D)'!$Q:$Q, $J8, '리스사업(D)'!$C:$C, $L$1)
  + COUNTIFS('임대사업(E)'!$G:$G, AC$2, '임대사업(E)'!$Q:$Q, $J8, '임대사업(E)'!$C:$C, $L$1)
  + COUNTIFS('환경부사업(F)'!$G:$G, AC$2, '환경부사업(F)'!$Q:$Q, $J8, '환경부사업(F)'!$C:$C, $L$1)
  + COUNTIFS('프로젝트(G)'!$G:$G, AC$2, '프로젝트(G)'!$Q:$Q, $J8, '프로젝트(G)'!$C:$C, $L$1)
  + COUNTIFS('협력사 EPC(H)'!$G:$G, AC$2, '협력사 EPC(H)'!$Q:$Q, $J8, '협력사 EPC(H)'!$C:$C, $L$1)
  + COUNTIFS('기타(Z)'!$G:$G, AC$2, '기타(Z)'!$Q:$Q, $J8, '기타(Z)'!$C:$C, $L$1)
)</f>
        <v/>
      </c>
      <c r="AE8" s="386">
        <f>IF(
  SUM(
    SUMIFS('발전사업(A)'!$I:$I,'발전사업(A)'!$G:$G,AE$2,'발전사업(A)'!$Q:$Q,$J8,'발전사업(A)'!$C:$C,$L$1),
    SUMIFS('자가소비(B)'!$I:$I,'자가소비(B)'!$G:$G,AE$2,'자가소비(B)'!$Q:$Q,$J8,'자가소비(B)'!$C:$C,$L$1),
    SUMIFS('PPA 사업(C)'!$I:$I,'PPA 사업(C)'!$G:$G,AE$2,'PPA 사업(C)'!$Q:$Q,$J8,'PPA 사업(C)'!$C:$C,$L$1),
    SUMIFS('리스사업(D)'!$I:$I,'리스사업(D)'!$G:$G,AE$2,'리스사업(D)'!$Q:$Q,$J8,'리스사업(D)'!$C:$C,$L$1),
    SUMIFS('임대사업(E)'!$I:$I,'임대사업(E)'!$G:$G,AE$2,'임대사업(E)'!$Q:$Q,$J8,'임대사업(E)'!$C:$C,$L$1),
    SUMIFS('환경부사업(F)'!$I:$I,'환경부사업(F)'!$G:$G,AE$2,'환경부사업(F)'!$Q:$Q,$J8,'환경부사업(F)'!$C:$C,$L$1),
    SUMIFS('프로젝트(G)'!$I:$I,'프로젝트(G)'!$G:$G,AE$2,'프로젝트(G)'!$Q:$Q,$J8,'프로젝트(G)'!$C:$C,$L$1),
    SUMIFS('협력사 EPC(H)'!$I:$I,'협력사 EPC(H)'!$G:$G,AE$2,'협력사 EPC(H)'!$Q:$Q,$J8,'협력사 EPC(H)'!$C:$C,$L$1),
    SUMIFS('기타(Z)'!$I:$I,'기타(Z)'!$G:$G,AE$2,'기타(Z)'!$Q:$Q,$J8,'기타(Z)'!$C:$C,$L$1)
  )=0,
  "",
  SUM(
    SUMIFS('발전사업(A)'!$I:$I,'발전사업(A)'!$G:$G,AE$2,'발전사업(A)'!$Q:$Q,$J8,'발전사업(A)'!$C:$C,$L$1),
    SUMIFS('자가소비(B)'!$I:$I,'자가소비(B)'!$G:$G,AE$2,'자가소비(B)'!$Q:$Q,$J8,'자가소비(B)'!$C:$C,$L$1),
    SUMIFS('PPA 사업(C)'!$I:$I,'PPA 사업(C)'!$G:$G,AE$2,'PPA 사업(C)'!$Q:$Q,$J8,'PPA 사업(C)'!$C:$C,$L$1),
    SUMIFS('리스사업(D)'!$I:$I,'리스사업(D)'!$G:$G,AE$2,'리스사업(D)'!$Q:$Q,$J8,'리스사업(D)'!$C:$C,$L$1),
    SUMIFS('임대사업(E)'!$I:$I,'임대사업(E)'!$G:$G,AE$2,'임대사업(E)'!$Q:$Q,$J8,'임대사업(E)'!$C:$C,$L$1),
    SUMIFS('환경부사업(F)'!$I:$I,'환경부사업(F)'!$G:$G,AE$2,'환경부사업(F)'!$Q:$Q,$J8,'환경부사업(F)'!$C:$C,$L$1),
    SUMIFS('프로젝트(G)'!$I:$I,'프로젝트(G)'!$G:$G,AE$2,'프로젝트(G)'!$Q:$Q,$J8,'프로젝트(G)'!$C:$C,$L$1),
    SUMIFS('협력사 EPC(H)'!$I:$I,'협력사 EPC(H)'!$G:$G,AE$2,'협력사 EPC(H)'!$Q:$Q,$J8,'협력사 EPC(H)'!$C:$C,$L$1),
    SUMIFS('기타(Z)'!$I:$I,'기타(Z)'!$G:$G,AE$2,'기타(Z)'!$Q:$Q,$J8,'기타(Z)'!$C:$C,$L$1)
  )
)</f>
        <v>454.4</v>
      </c>
      <c r="AF8" s="387">
        <f>IF(
  SUM(
    COUNTIFS('발전사업(A)'!$G:$G, AE$2, '발전사업(A)'!$Q:$Q, $J8, '발전사업(A)'!$C:$C, $L$1),
    COUNTIFS('자가소비(B)'!$G:$G, AE$2, '자가소비(B)'!$Q:$Q, $J8, '자가소비(B)'!$C:$C, $L$1),
    COUNTIFS('PPA 사업(C)'!$G:$G, AE$2, 'PPA 사업(C)'!$Q:$Q, $J8, 'PPA 사업(C)'!$C:$C, $L$1),
    COUNTIFS('리스사업(D)'!$G:$G, AE$2, '리스사업(D)'!$Q:$Q, $J8, '리스사업(D)'!$C:$C, $L$1),
    COUNTIFS('임대사업(E)'!$G:$G, AE$2, '임대사업(E)'!$Q:$Q, $J8, '임대사업(E)'!$C:$C, $L$1),
    COUNTIFS('환경부사업(F)'!$G:$G, AE$2, '환경부사업(F)'!$Q:$Q, $J8, '환경부사업(F)'!$C:$C, $L$1),
    COUNTIFS('프로젝트(G)'!$G:$G, AE$2, '프로젝트(G)'!$Q:$Q, $J8, '프로젝트(G)'!$C:$C, $L$1),
    COUNTIFS('협력사 EPC(H)'!$G:$G, AE$2, '협력사 EPC(H)'!$Q:$Q, $J8, '협력사 EPC(H)'!$C:$C, $L$1),
    COUNTIFS('기타(Z)'!$G:$G, AE$2, '기타(Z)'!$Q:$Q, $J8, '기타(Z)'!$C:$C, $L$1)
  ) = 0,
  "",
  COUNTIFS('발전사업(A)'!$G:$G, AE$2, '발전사업(A)'!$Q:$Q, $J8, '발전사업(A)'!$C:$C, $L$1)
  + COUNTIFS('자가소비(B)'!$G:$G, AE$2, '자가소비(B)'!$Q:$Q, $J8, '자가소비(B)'!$C:$C, $L$1)
  + COUNTIFS('PPA 사업(C)'!$G:$G, AE$2, 'PPA 사업(C)'!$Q:$Q, $J8, 'PPA 사업(C)'!$C:$C, $L$1)
  + COUNTIFS('리스사업(D)'!$G:$G, AE$2, '리스사업(D)'!$Q:$Q, $J8, '리스사업(D)'!$C:$C, $L$1)
  + COUNTIFS('임대사업(E)'!$G:$G, AE$2, '임대사업(E)'!$Q:$Q, $J8, '임대사업(E)'!$C:$C, $L$1)
  + COUNTIFS('환경부사업(F)'!$G:$G, AE$2, '환경부사업(F)'!$Q:$Q, $J8, '환경부사업(F)'!$C:$C, $L$1)
  + COUNTIFS('프로젝트(G)'!$G:$G, AE$2, '프로젝트(G)'!$Q:$Q, $J8, '프로젝트(G)'!$C:$C, $L$1)
  + COUNTIFS('협력사 EPC(H)'!$G:$G, AE$2, '협력사 EPC(H)'!$Q:$Q, $J8, '협력사 EPC(H)'!$C:$C, $L$1)
  + COUNTIFS('기타(Z)'!$G:$G, AE$2, '기타(Z)'!$Q:$Q, $J8, '기타(Z)'!$C:$C, $L$1)
)</f>
        <v>2</v>
      </c>
      <c r="AG8" s="386">
        <f>IF(
  SUM(
    SUMIFS('발전사업(A)'!$I:$I,'발전사업(A)'!$G:$G,AG$2,'발전사업(A)'!$Q:$Q,$J8,'발전사업(A)'!$C:$C,$L$1),
    SUMIFS('자가소비(B)'!$I:$I,'자가소비(B)'!$G:$G,AG$2,'자가소비(B)'!$Q:$Q,$J8,'자가소비(B)'!$C:$C,$L$1),
    SUMIFS('PPA 사업(C)'!$I:$I,'PPA 사업(C)'!$G:$G,AG$2,'PPA 사업(C)'!$Q:$Q,$J8,'PPA 사업(C)'!$C:$C,$L$1),
    SUMIFS('리스사업(D)'!$I:$I,'리스사업(D)'!$G:$G,AG$2,'리스사업(D)'!$Q:$Q,$J8,'리스사업(D)'!$C:$C,$L$1),
    SUMIFS('임대사업(E)'!$I:$I,'임대사업(E)'!$G:$G,AG$2,'임대사업(E)'!$Q:$Q,$J8,'임대사업(E)'!$C:$C,$L$1),
    SUMIFS('환경부사업(F)'!$I:$I,'환경부사업(F)'!$G:$G,AG$2,'환경부사업(F)'!$Q:$Q,$J8,'환경부사업(F)'!$C:$C,$L$1),
    SUMIFS('프로젝트(G)'!$I:$I,'프로젝트(G)'!$G:$G,AG$2,'프로젝트(G)'!$Q:$Q,$J8,'프로젝트(G)'!$C:$C,$L$1),
    SUMIFS('협력사 EPC(H)'!$I:$I,'협력사 EPC(H)'!$G:$G,AG$2,'협력사 EPC(H)'!$Q:$Q,$J8,'협력사 EPC(H)'!$C:$C,$L$1),
    SUMIFS('기타(Z)'!$I:$I,'기타(Z)'!$G:$G,AG$2,'기타(Z)'!$Q:$Q,$J8,'기타(Z)'!$C:$C,$L$1)
  )=0,
  "",
  SUM(
    SUMIFS('발전사업(A)'!$I:$I,'발전사업(A)'!$G:$G,AG$2,'발전사업(A)'!$Q:$Q,$J8,'발전사업(A)'!$C:$C,$L$1),
    SUMIFS('자가소비(B)'!$I:$I,'자가소비(B)'!$G:$G,AG$2,'자가소비(B)'!$Q:$Q,$J8,'자가소비(B)'!$C:$C,$L$1),
    SUMIFS('PPA 사업(C)'!$I:$I,'PPA 사업(C)'!$G:$G,AG$2,'PPA 사업(C)'!$Q:$Q,$J8,'PPA 사업(C)'!$C:$C,$L$1),
    SUMIFS('리스사업(D)'!$I:$I,'리스사업(D)'!$G:$G,AG$2,'리스사업(D)'!$Q:$Q,$J8,'리스사업(D)'!$C:$C,$L$1),
    SUMIFS('임대사업(E)'!$I:$I,'임대사업(E)'!$G:$G,AG$2,'임대사업(E)'!$Q:$Q,$J8,'임대사업(E)'!$C:$C,$L$1),
    SUMIFS('환경부사업(F)'!$I:$I,'환경부사업(F)'!$G:$G,AG$2,'환경부사업(F)'!$Q:$Q,$J8,'환경부사업(F)'!$C:$C,$L$1),
    SUMIFS('프로젝트(G)'!$I:$I,'프로젝트(G)'!$G:$G,AG$2,'프로젝트(G)'!$Q:$Q,$J8,'프로젝트(G)'!$C:$C,$L$1),
    SUMIFS('협력사 EPC(H)'!$I:$I,'협력사 EPC(H)'!$G:$G,AG$2,'협력사 EPC(H)'!$Q:$Q,$J8,'협력사 EPC(H)'!$C:$C,$L$1),
    SUMIFS('기타(Z)'!$I:$I,'기타(Z)'!$G:$G,AG$2,'기타(Z)'!$Q:$Q,$J8,'기타(Z)'!$C:$C,$L$1)
  )
)</f>
        <v>181.89</v>
      </c>
      <c r="AH8" s="387">
        <f>IF(
  SUM(
    COUNTIFS('발전사업(A)'!$G:$G, AG$2, '발전사업(A)'!$Q:$Q, $J8, '발전사업(A)'!$C:$C, $L$1),
    COUNTIFS('자가소비(B)'!$G:$G, AG$2, '자가소비(B)'!$Q:$Q, $J8, '자가소비(B)'!$C:$C, $L$1),
    COUNTIFS('PPA 사업(C)'!$G:$G, AG$2, 'PPA 사업(C)'!$Q:$Q, $J8, 'PPA 사업(C)'!$C:$C, $L$1),
    COUNTIFS('리스사업(D)'!$G:$G, AG$2, '리스사업(D)'!$Q:$Q, $J8, '리스사업(D)'!$C:$C, $L$1),
    COUNTIFS('임대사업(E)'!$G:$G, AG$2, '임대사업(E)'!$Q:$Q, $J8, '임대사업(E)'!$C:$C, $L$1),
    COUNTIFS('환경부사업(F)'!$G:$G, AG$2, '환경부사업(F)'!$Q:$Q, $J8, '환경부사업(F)'!$C:$C, $L$1),
    COUNTIFS('프로젝트(G)'!$G:$G, AG$2, '프로젝트(G)'!$Q:$Q, $J8, '프로젝트(G)'!$C:$C, $L$1),
    COUNTIFS('협력사 EPC(H)'!$G:$G, AG$2, '협력사 EPC(H)'!$Q:$Q, $J8, '협력사 EPC(H)'!$C:$C, $L$1),
    COUNTIFS('기타(Z)'!$G:$G, AG$2, '기타(Z)'!$Q:$Q, $J8, '기타(Z)'!$C:$C, $L$1)
  ) = 0,
  "",
  COUNTIFS('발전사업(A)'!$G:$G, AG$2, '발전사업(A)'!$Q:$Q, $J8, '발전사업(A)'!$C:$C, $L$1)
  + COUNTIFS('자가소비(B)'!$G:$G, AG$2, '자가소비(B)'!$Q:$Q, $J8, '자가소비(B)'!$C:$C, $L$1)
  + COUNTIFS('PPA 사업(C)'!$G:$G, AG$2, 'PPA 사업(C)'!$Q:$Q, $J8, 'PPA 사업(C)'!$C:$C, $L$1)
  + COUNTIFS('리스사업(D)'!$G:$G, AG$2, '리스사업(D)'!$Q:$Q, $J8, '리스사업(D)'!$C:$C, $L$1)
  + COUNTIFS('임대사업(E)'!$G:$G, AG$2, '임대사업(E)'!$Q:$Q, $J8, '임대사업(E)'!$C:$C, $L$1)
  + COUNTIFS('환경부사업(F)'!$G:$G, AG$2, '환경부사업(F)'!$Q:$Q, $J8, '환경부사업(F)'!$C:$C, $L$1)
  + COUNTIFS('프로젝트(G)'!$G:$G, AG$2, '프로젝트(G)'!$Q:$Q, $J8, '프로젝트(G)'!$C:$C, $L$1)
  + COUNTIFS('협력사 EPC(H)'!$G:$G, AG$2, '협력사 EPC(H)'!$Q:$Q, $J8, '협력사 EPC(H)'!$C:$C, $L$1)
  + COUNTIFS('기타(Z)'!$G:$G, AG$2, '기타(Z)'!$Q:$Q, $J8, '기타(Z)'!$C:$C, $L$1)
)</f>
        <v>1</v>
      </c>
      <c r="AI8" s="386">
        <f>IF(
  SUM(
    SUMIFS('발전사업(A)'!$I:$I,'발전사업(A)'!$G:$G,AI$2,'발전사업(A)'!$Q:$Q,$J8,'발전사업(A)'!$C:$C,$L$1),
    SUMIFS('자가소비(B)'!$I:$I,'자가소비(B)'!$G:$G,AI$2,'자가소비(B)'!$Q:$Q,$J8,'자가소비(B)'!$C:$C,$L$1),
    SUMIFS('PPA 사업(C)'!$I:$I,'PPA 사업(C)'!$G:$G,AI$2,'PPA 사업(C)'!$Q:$Q,$J8,'PPA 사업(C)'!$C:$C,$L$1),
    SUMIFS('리스사업(D)'!$I:$I,'리스사업(D)'!$G:$G,AI$2,'리스사업(D)'!$Q:$Q,$J8,'리스사업(D)'!$C:$C,$L$1),
    SUMIFS('임대사업(E)'!$I:$I,'임대사업(E)'!$G:$G,AI$2,'임대사업(E)'!$Q:$Q,$J8,'임대사업(E)'!$C:$C,$L$1),
    SUMIFS('환경부사업(F)'!$I:$I,'환경부사업(F)'!$G:$G,AI$2,'환경부사업(F)'!$Q:$Q,$J8,'환경부사업(F)'!$C:$C,$L$1),
    SUMIFS('프로젝트(G)'!$I:$I,'프로젝트(G)'!$G:$G,AI$2,'프로젝트(G)'!$Q:$Q,$J8,'프로젝트(G)'!$C:$C,$L$1),
    SUMIFS('협력사 EPC(H)'!$I:$I,'협력사 EPC(H)'!$G:$G,AI$2,'협력사 EPC(H)'!$Q:$Q,$J8,'협력사 EPC(H)'!$C:$C,$L$1),
    SUMIFS('기타(Z)'!$I:$I,'기타(Z)'!$G:$G,AI$2,'기타(Z)'!$Q:$Q,$J8,'기타(Z)'!$C:$C,$L$1)
  )=0,
  "",
  SUM(
    SUMIFS('발전사업(A)'!$I:$I,'발전사업(A)'!$G:$G,AI$2,'발전사업(A)'!$Q:$Q,$J8,'발전사업(A)'!$C:$C,$L$1),
    SUMIFS('자가소비(B)'!$I:$I,'자가소비(B)'!$G:$G,AI$2,'자가소비(B)'!$Q:$Q,$J8,'자가소비(B)'!$C:$C,$L$1),
    SUMIFS('PPA 사업(C)'!$I:$I,'PPA 사업(C)'!$G:$G,AI$2,'PPA 사업(C)'!$Q:$Q,$J8,'PPA 사업(C)'!$C:$C,$L$1),
    SUMIFS('리스사업(D)'!$I:$I,'리스사업(D)'!$G:$G,AI$2,'리스사업(D)'!$Q:$Q,$J8,'리스사업(D)'!$C:$C,$L$1),
    SUMIFS('임대사업(E)'!$I:$I,'임대사업(E)'!$G:$G,AI$2,'임대사업(E)'!$Q:$Q,$J8,'임대사업(E)'!$C:$C,$L$1),
    SUMIFS('환경부사업(F)'!$I:$I,'환경부사업(F)'!$G:$G,AI$2,'환경부사업(F)'!$Q:$Q,$J8,'환경부사업(F)'!$C:$C,$L$1),
    SUMIFS('프로젝트(G)'!$I:$I,'프로젝트(G)'!$G:$G,AI$2,'프로젝트(G)'!$Q:$Q,$J8,'프로젝트(G)'!$C:$C,$L$1),
    SUMIFS('협력사 EPC(H)'!$I:$I,'협력사 EPC(H)'!$G:$G,AI$2,'협력사 EPC(H)'!$Q:$Q,$J8,'협력사 EPC(H)'!$C:$C,$L$1),
    SUMIFS('기타(Z)'!$I:$I,'기타(Z)'!$G:$G,AI$2,'기타(Z)'!$Q:$Q,$J8,'기타(Z)'!$C:$C,$L$1)
  )
)</f>
        <v>501.04</v>
      </c>
      <c r="AJ8" s="385">
        <f>IF(
  SUM(
    COUNTIFS('발전사업(A)'!$G:$G, AI$2, '발전사업(A)'!$Q:$Q, $J8, '발전사업(A)'!$C:$C, $L$1),
    COUNTIFS('자가소비(B)'!$G:$G, AI$2, '자가소비(B)'!$Q:$Q, $J8, '자가소비(B)'!$C:$C, $L$1),
    COUNTIFS('PPA 사업(C)'!$G:$G, AI$2, 'PPA 사업(C)'!$Q:$Q, $J8, 'PPA 사업(C)'!$C:$C, $L$1),
    COUNTIFS('리스사업(D)'!$G:$G, AI$2, '리스사업(D)'!$Q:$Q, $J8, '리스사업(D)'!$C:$C, $L$1),
    COUNTIFS('임대사업(E)'!$G:$G, AI$2, '임대사업(E)'!$Q:$Q, $J8, '임대사업(E)'!$C:$C, $L$1),
    COUNTIFS('환경부사업(F)'!$G:$G, AI$2, '환경부사업(F)'!$Q:$Q, $J8, '환경부사업(F)'!$C:$C, $L$1),
    COUNTIFS('프로젝트(G)'!$G:$G, AI$2, '프로젝트(G)'!$Q:$Q, $J8, '프로젝트(G)'!$C:$C, $L$1),
    COUNTIFS('협력사 EPC(H)'!$G:$G, AI$2, '협력사 EPC(H)'!$Q:$Q, $J8, '협력사 EPC(H)'!$C:$C, $L$1),
    COUNTIFS('기타(Z)'!$G:$G, AI$2, '기타(Z)'!$Q:$Q, $J8, '기타(Z)'!$C:$C, $L$1)
  ) = 0,
  "",
  COUNTIFS('발전사업(A)'!$G:$G, AI$2, '발전사업(A)'!$Q:$Q, $J8, '발전사업(A)'!$C:$C, $L$1)
  + COUNTIFS('자가소비(B)'!$G:$G, AI$2, '자가소비(B)'!$Q:$Q, $J8, '자가소비(B)'!$C:$C, $L$1)
  + COUNTIFS('PPA 사업(C)'!$G:$G, AI$2, 'PPA 사업(C)'!$Q:$Q, $J8, 'PPA 사업(C)'!$C:$C, $L$1)
  + COUNTIFS('리스사업(D)'!$G:$G, AI$2, '리스사업(D)'!$Q:$Q, $J8, '리스사업(D)'!$C:$C, $L$1)
  + COUNTIFS('임대사업(E)'!$G:$G, AI$2, '임대사업(E)'!$Q:$Q, $J8, '임대사업(E)'!$C:$C, $L$1)
  + COUNTIFS('환경부사업(F)'!$G:$G, AI$2, '환경부사업(F)'!$Q:$Q, $J8, '환경부사업(F)'!$C:$C, $L$1)
  + COUNTIFS('프로젝트(G)'!$G:$G, AI$2, '프로젝트(G)'!$Q:$Q, $J8, '프로젝트(G)'!$C:$C, $L$1)
  + COUNTIFS('협력사 EPC(H)'!$G:$G, AI$2, '협력사 EPC(H)'!$Q:$Q, $J8, '협력사 EPC(H)'!$C:$C, $L$1)
  + COUNTIFS('기타(Z)'!$G:$G, AI$2, '기타(Z)'!$Q:$Q, $J8, '기타(Z)'!$C:$C, $L$1)
)</f>
        <v>2</v>
      </c>
    </row>
    <row r="9" spans="2:36" ht="15" x14ac:dyDescent="0.25">
      <c r="B9" s="202" t="s">
        <v>263</v>
      </c>
      <c r="C9" s="280">
        <f t="shared" si="2"/>
        <v>249.95999999999998</v>
      </c>
      <c r="D9" s="281">
        <f t="shared" si="2"/>
        <v>3</v>
      </c>
      <c r="E9" s="280">
        <f t="shared" si="3"/>
        <v>249.95999999999998</v>
      </c>
      <c r="F9" s="281">
        <f t="shared" si="3"/>
        <v>3</v>
      </c>
      <c r="G9" s="280" t="str">
        <f t="shared" si="4"/>
        <v/>
      </c>
      <c r="H9" s="281" t="str">
        <f t="shared" si="4"/>
        <v/>
      </c>
      <c r="J9" s="391" t="s">
        <v>2133</v>
      </c>
      <c r="K9" s="374">
        <f t="shared" si="0"/>
        <v>229.12</v>
      </c>
      <c r="L9" s="368">
        <f t="shared" si="1"/>
        <v>1</v>
      </c>
      <c r="M9" s="386" t="str">
        <f>IF(
  SUM(
    SUMIFS('발전사업(A)'!$I:$I,'발전사업(A)'!$G:$G,M$2,'발전사업(A)'!$Q:$Q,$J9,'발전사업(A)'!$C:$C,$L$1),
    SUMIFS('자가소비(B)'!$I:$I,'자가소비(B)'!$G:$G,M$2,'자가소비(B)'!$Q:$Q,$J9,'자가소비(B)'!$C:$C,$L$1),
    SUMIFS('PPA 사업(C)'!$I:$I,'PPA 사업(C)'!$G:$G,M$2,'PPA 사업(C)'!$Q:$Q,$J9,'PPA 사업(C)'!$C:$C,$L$1),
    SUMIFS('리스사업(D)'!$I:$I,'리스사업(D)'!$G:$G,M$2,'리스사업(D)'!$Q:$Q,$J9,'리스사업(D)'!$C:$C,$L$1),
    SUMIFS('임대사업(E)'!$I:$I,'임대사업(E)'!$G:$G,M$2,'임대사업(E)'!$Q:$Q,$J9,'임대사업(E)'!$C:$C,$L$1),
    SUMIFS('환경부사업(F)'!$I:$I,'환경부사업(F)'!$G:$G,M$2,'환경부사업(F)'!$Q:$Q,$J9,'환경부사업(F)'!$C:$C,$L$1),
    SUMIFS('프로젝트(G)'!$I:$I,'프로젝트(G)'!$G:$G,M$2,'프로젝트(G)'!$Q:$Q,$J9,'프로젝트(G)'!$C:$C,$L$1),
    SUMIFS('협력사 EPC(H)'!$I:$I,'협력사 EPC(H)'!$G:$G,M$2,'협력사 EPC(H)'!$Q:$Q,$J9,'협력사 EPC(H)'!$C:$C,$L$1),
    SUMIFS('기타(Z)'!$I:$I,'기타(Z)'!$G:$G,M$2,'기타(Z)'!$Q:$Q,$J9,'기타(Z)'!$C:$C,$L$1)
  )=0,
  "",
  SUM(
    SUMIFS('발전사업(A)'!$I:$I,'발전사업(A)'!$G:$G,M$2,'발전사업(A)'!$Q:$Q,$J9,'발전사업(A)'!$C:$C,$L$1),
    SUMIFS('자가소비(B)'!$I:$I,'자가소비(B)'!$G:$G,M$2,'자가소비(B)'!$Q:$Q,$J9,'자가소비(B)'!$C:$C,$L$1),
    SUMIFS('PPA 사업(C)'!$I:$I,'PPA 사업(C)'!$G:$G,M$2,'PPA 사업(C)'!$Q:$Q,$J9,'PPA 사업(C)'!$C:$C,$L$1),
    SUMIFS('리스사업(D)'!$I:$I,'리스사업(D)'!$G:$G,M$2,'리스사업(D)'!$Q:$Q,$J9,'리스사업(D)'!$C:$C,$L$1),
    SUMIFS('임대사업(E)'!$I:$I,'임대사업(E)'!$G:$G,M$2,'임대사업(E)'!$Q:$Q,$J9,'임대사업(E)'!$C:$C,$L$1),
    SUMIFS('환경부사업(F)'!$I:$I,'환경부사업(F)'!$G:$G,M$2,'환경부사업(F)'!$Q:$Q,$J9,'환경부사업(F)'!$C:$C,$L$1),
    SUMIFS('프로젝트(G)'!$I:$I,'프로젝트(G)'!$G:$G,M$2,'프로젝트(G)'!$Q:$Q,$J9,'프로젝트(G)'!$C:$C,$L$1),
    SUMIFS('협력사 EPC(H)'!$I:$I,'협력사 EPC(H)'!$G:$G,M$2,'협력사 EPC(H)'!$Q:$Q,$J9,'협력사 EPC(H)'!$C:$C,$L$1),
    SUMIFS('기타(Z)'!$I:$I,'기타(Z)'!$G:$G,M$2,'기타(Z)'!$Q:$Q,$J9,'기타(Z)'!$C:$C,$L$1)
  )
)</f>
        <v/>
      </c>
      <c r="N9" s="387" t="str">
        <f>IF(
  SUM(
    COUNTIFS('발전사업(A)'!$G:$G, M$2, '발전사업(A)'!$Q:$Q, $J9, '발전사업(A)'!$C:$C, $L$1),
    COUNTIFS('자가소비(B)'!$G:$G, M$2, '자가소비(B)'!$Q:$Q, $J9, '자가소비(B)'!$C:$C, $L$1),
    COUNTIFS('PPA 사업(C)'!$G:$G, M$2, 'PPA 사업(C)'!$Q:$Q, $J9, 'PPA 사업(C)'!$C:$C, $L$1),
    COUNTIFS('리스사업(D)'!$G:$G, M$2, '리스사업(D)'!$Q:$Q, $J9, '리스사업(D)'!$C:$C, $L$1),
    COUNTIFS('임대사업(E)'!$G:$G, M$2, '임대사업(E)'!$Q:$Q, $J9, '임대사업(E)'!$C:$C, $L$1),
    COUNTIFS('환경부사업(F)'!$G:$G, M$2, '환경부사업(F)'!$Q:$Q, $J9, '환경부사업(F)'!$C:$C, $L$1),
    COUNTIFS('프로젝트(G)'!$G:$G, M$2, '프로젝트(G)'!$Q:$Q, $J9, '프로젝트(G)'!$C:$C, $L$1),
    COUNTIFS('협력사 EPC(H)'!$G:$G, M$2, '협력사 EPC(H)'!$Q:$Q, $J9, '협력사 EPC(H)'!$C:$C, $L$1),
    COUNTIFS('기타(Z)'!$G:$G, M$2, '기타(Z)'!$Q:$Q, $J9, '기타(Z)'!$C:$C, $L$1)
  ) = 0,
  "",
  COUNTIFS('발전사업(A)'!$G:$G, M$2, '발전사업(A)'!$Q:$Q, $J9, '발전사업(A)'!$C:$C, $L$1)
  + COUNTIFS('자가소비(B)'!$G:$G, M$2, '자가소비(B)'!$Q:$Q, $J9, '자가소비(B)'!$C:$C, $L$1)
  + COUNTIFS('PPA 사업(C)'!$G:$G, M$2, 'PPA 사업(C)'!$Q:$Q, $J9, 'PPA 사업(C)'!$C:$C, $L$1)
  + COUNTIFS('리스사업(D)'!$G:$G, M$2, '리스사업(D)'!$Q:$Q, $J9, '리스사업(D)'!$C:$C, $L$1)
  + COUNTIFS('임대사업(E)'!$G:$G, M$2, '임대사업(E)'!$Q:$Q, $J9, '임대사업(E)'!$C:$C, $L$1)
  + COUNTIFS('환경부사업(F)'!$G:$G, M$2, '환경부사업(F)'!$Q:$Q, $J9, '환경부사업(F)'!$C:$C, $L$1)
  + COUNTIFS('프로젝트(G)'!$G:$G, M$2, '프로젝트(G)'!$Q:$Q, $J9, '프로젝트(G)'!$C:$C, $L$1)
  + COUNTIFS('협력사 EPC(H)'!$G:$G, M$2, '협력사 EPC(H)'!$Q:$Q, $J9, '협력사 EPC(H)'!$C:$C, $L$1)
  + COUNTIFS('기타(Z)'!$G:$G, M$2, '기타(Z)'!$Q:$Q, $J9, '기타(Z)'!$C:$C, $L$1)
)</f>
        <v/>
      </c>
      <c r="O9" s="386" t="str">
        <f>IF(
  SUM(
    SUMIFS('발전사업(A)'!$I:$I,'발전사업(A)'!$G:$G,O$2,'발전사업(A)'!$Q:$Q,$J9,'발전사업(A)'!$C:$C,$L$1),
    SUMIFS('자가소비(B)'!$I:$I,'자가소비(B)'!$G:$G,O$2,'자가소비(B)'!$Q:$Q,$J9,'자가소비(B)'!$C:$C,$L$1),
    SUMIFS('PPA 사업(C)'!$I:$I,'PPA 사업(C)'!$G:$G,O$2,'PPA 사업(C)'!$Q:$Q,$J9,'PPA 사업(C)'!$C:$C,$L$1),
    SUMIFS('리스사업(D)'!$I:$I,'리스사업(D)'!$G:$G,O$2,'리스사업(D)'!$Q:$Q,$J9,'리스사업(D)'!$C:$C,$L$1),
    SUMIFS('임대사업(E)'!$I:$I,'임대사업(E)'!$G:$G,O$2,'임대사업(E)'!$Q:$Q,$J9,'임대사업(E)'!$C:$C,$L$1),
    SUMIFS('환경부사업(F)'!$I:$I,'환경부사업(F)'!$G:$G,O$2,'환경부사업(F)'!$Q:$Q,$J9,'환경부사업(F)'!$C:$C,$L$1),
    SUMIFS('프로젝트(G)'!$I:$I,'프로젝트(G)'!$G:$G,O$2,'프로젝트(G)'!$Q:$Q,$J9,'프로젝트(G)'!$C:$C,$L$1),
    SUMIFS('협력사 EPC(H)'!$I:$I,'협력사 EPC(H)'!$G:$G,O$2,'협력사 EPC(H)'!$Q:$Q,$J9,'협력사 EPC(H)'!$C:$C,$L$1),
    SUMIFS('기타(Z)'!$I:$I,'기타(Z)'!$G:$G,O$2,'기타(Z)'!$Q:$Q,$J9,'기타(Z)'!$C:$C,$L$1)
  )=0,
  "",
  SUM(
    SUMIFS('발전사업(A)'!$I:$I,'발전사업(A)'!$G:$G,O$2,'발전사업(A)'!$Q:$Q,$J9,'발전사업(A)'!$C:$C,$L$1),
    SUMIFS('자가소비(B)'!$I:$I,'자가소비(B)'!$G:$G,O$2,'자가소비(B)'!$Q:$Q,$J9,'자가소비(B)'!$C:$C,$L$1),
    SUMIFS('PPA 사업(C)'!$I:$I,'PPA 사업(C)'!$G:$G,O$2,'PPA 사업(C)'!$Q:$Q,$J9,'PPA 사업(C)'!$C:$C,$L$1),
    SUMIFS('리스사업(D)'!$I:$I,'리스사업(D)'!$G:$G,O$2,'리스사업(D)'!$Q:$Q,$J9,'리스사업(D)'!$C:$C,$L$1),
    SUMIFS('임대사업(E)'!$I:$I,'임대사업(E)'!$G:$G,O$2,'임대사업(E)'!$Q:$Q,$J9,'임대사업(E)'!$C:$C,$L$1),
    SUMIFS('환경부사업(F)'!$I:$I,'환경부사업(F)'!$G:$G,O$2,'환경부사업(F)'!$Q:$Q,$J9,'환경부사업(F)'!$C:$C,$L$1),
    SUMIFS('프로젝트(G)'!$I:$I,'프로젝트(G)'!$G:$G,O$2,'프로젝트(G)'!$Q:$Q,$J9,'프로젝트(G)'!$C:$C,$L$1),
    SUMIFS('협력사 EPC(H)'!$I:$I,'협력사 EPC(H)'!$G:$G,O$2,'협력사 EPC(H)'!$Q:$Q,$J9,'협력사 EPC(H)'!$C:$C,$L$1),
    SUMIFS('기타(Z)'!$I:$I,'기타(Z)'!$G:$G,O$2,'기타(Z)'!$Q:$Q,$J9,'기타(Z)'!$C:$C,$L$1)
  )
)</f>
        <v/>
      </c>
      <c r="P9" s="387" t="str">
        <f>IF(
  SUM(
    COUNTIFS('발전사업(A)'!$G:$G, O$2, '발전사업(A)'!$Q:$Q, $J9, '발전사업(A)'!$C:$C, $L$1),
    COUNTIFS('자가소비(B)'!$G:$G, O$2, '자가소비(B)'!$Q:$Q, $J9, '자가소비(B)'!$C:$C, $L$1),
    COUNTIFS('PPA 사업(C)'!$G:$G, O$2, 'PPA 사업(C)'!$Q:$Q, $J9, 'PPA 사업(C)'!$C:$C, $L$1),
    COUNTIFS('리스사업(D)'!$G:$G, O$2, '리스사업(D)'!$Q:$Q, $J9, '리스사업(D)'!$C:$C, $L$1),
    COUNTIFS('임대사업(E)'!$G:$G, O$2, '임대사업(E)'!$Q:$Q, $J9, '임대사업(E)'!$C:$C, $L$1),
    COUNTIFS('환경부사업(F)'!$G:$G, O$2, '환경부사업(F)'!$Q:$Q, $J9, '환경부사업(F)'!$C:$C, $L$1),
    COUNTIFS('프로젝트(G)'!$G:$G, O$2, '프로젝트(G)'!$Q:$Q, $J9, '프로젝트(G)'!$C:$C, $L$1),
    COUNTIFS('협력사 EPC(H)'!$G:$G, O$2, '협력사 EPC(H)'!$Q:$Q, $J9, '협력사 EPC(H)'!$C:$C, $L$1),
    COUNTIFS('기타(Z)'!$G:$G, O$2, '기타(Z)'!$Q:$Q, $J9, '기타(Z)'!$C:$C, $L$1)
  ) = 0,
  "",
  COUNTIFS('발전사업(A)'!$G:$G, O$2, '발전사업(A)'!$Q:$Q, $J9, '발전사업(A)'!$C:$C, $L$1)
  + COUNTIFS('자가소비(B)'!$G:$G, O$2, '자가소비(B)'!$Q:$Q, $J9, '자가소비(B)'!$C:$C, $L$1)
  + COUNTIFS('PPA 사업(C)'!$G:$G, O$2, 'PPA 사업(C)'!$Q:$Q, $J9, 'PPA 사업(C)'!$C:$C, $L$1)
  + COUNTIFS('리스사업(D)'!$G:$G, O$2, '리스사업(D)'!$Q:$Q, $J9, '리스사업(D)'!$C:$C, $L$1)
  + COUNTIFS('임대사업(E)'!$G:$G, O$2, '임대사업(E)'!$Q:$Q, $J9, '임대사업(E)'!$C:$C, $L$1)
  + COUNTIFS('환경부사업(F)'!$G:$G, O$2, '환경부사업(F)'!$Q:$Q, $J9, '환경부사업(F)'!$C:$C, $L$1)
  + COUNTIFS('프로젝트(G)'!$G:$G, O$2, '프로젝트(G)'!$Q:$Q, $J9, '프로젝트(G)'!$C:$C, $L$1)
  + COUNTIFS('협력사 EPC(H)'!$G:$G, O$2, '협력사 EPC(H)'!$Q:$Q, $J9, '협력사 EPC(H)'!$C:$C, $L$1)
  + COUNTIFS('기타(Z)'!$G:$G, O$2, '기타(Z)'!$Q:$Q, $J9, '기타(Z)'!$C:$C, $L$1)
)</f>
        <v/>
      </c>
      <c r="Q9" s="386" t="str">
        <f>IF(
  SUM(
    SUMIFS('발전사업(A)'!$I:$I,'발전사업(A)'!$G:$G,Q$2,'발전사업(A)'!$Q:$Q,$J9,'발전사업(A)'!$C:$C,$L$1),
    SUMIFS('자가소비(B)'!$I:$I,'자가소비(B)'!$G:$G,Q$2,'자가소비(B)'!$Q:$Q,$J9,'자가소비(B)'!$C:$C,$L$1),
    SUMIFS('PPA 사업(C)'!$I:$I,'PPA 사업(C)'!$G:$G,Q$2,'PPA 사업(C)'!$Q:$Q,$J9,'PPA 사업(C)'!$C:$C,$L$1),
    SUMIFS('리스사업(D)'!$I:$I,'리스사업(D)'!$G:$G,Q$2,'리스사업(D)'!$Q:$Q,$J9,'리스사업(D)'!$C:$C,$L$1),
    SUMIFS('임대사업(E)'!$I:$I,'임대사업(E)'!$G:$G,Q$2,'임대사업(E)'!$Q:$Q,$J9,'임대사업(E)'!$C:$C,$L$1),
    SUMIFS('환경부사업(F)'!$I:$I,'환경부사업(F)'!$G:$G,Q$2,'환경부사업(F)'!$Q:$Q,$J9,'환경부사업(F)'!$C:$C,$L$1),
    SUMIFS('프로젝트(G)'!$I:$I,'프로젝트(G)'!$G:$G,Q$2,'프로젝트(G)'!$Q:$Q,$J9,'프로젝트(G)'!$C:$C,$L$1),
    SUMIFS('협력사 EPC(H)'!$I:$I,'협력사 EPC(H)'!$G:$G,Q$2,'협력사 EPC(H)'!$Q:$Q,$J9,'협력사 EPC(H)'!$C:$C,$L$1),
    SUMIFS('기타(Z)'!$I:$I,'기타(Z)'!$G:$G,Q$2,'기타(Z)'!$Q:$Q,$J9,'기타(Z)'!$C:$C,$L$1)
  )=0,
  "",
  SUM(
    SUMIFS('발전사업(A)'!$I:$I,'발전사업(A)'!$G:$G,Q$2,'발전사업(A)'!$Q:$Q,$J9,'발전사업(A)'!$C:$C,$L$1),
    SUMIFS('자가소비(B)'!$I:$I,'자가소비(B)'!$G:$G,Q$2,'자가소비(B)'!$Q:$Q,$J9,'자가소비(B)'!$C:$C,$L$1),
    SUMIFS('PPA 사업(C)'!$I:$I,'PPA 사업(C)'!$G:$G,Q$2,'PPA 사업(C)'!$Q:$Q,$J9,'PPA 사업(C)'!$C:$C,$L$1),
    SUMIFS('리스사업(D)'!$I:$I,'리스사업(D)'!$G:$G,Q$2,'리스사업(D)'!$Q:$Q,$J9,'리스사업(D)'!$C:$C,$L$1),
    SUMIFS('임대사업(E)'!$I:$I,'임대사업(E)'!$G:$G,Q$2,'임대사업(E)'!$Q:$Q,$J9,'임대사업(E)'!$C:$C,$L$1),
    SUMIFS('환경부사업(F)'!$I:$I,'환경부사업(F)'!$G:$G,Q$2,'환경부사업(F)'!$Q:$Q,$J9,'환경부사업(F)'!$C:$C,$L$1),
    SUMIFS('프로젝트(G)'!$I:$I,'프로젝트(G)'!$G:$G,Q$2,'프로젝트(G)'!$Q:$Q,$J9,'프로젝트(G)'!$C:$C,$L$1),
    SUMIFS('협력사 EPC(H)'!$I:$I,'협력사 EPC(H)'!$G:$G,Q$2,'협력사 EPC(H)'!$Q:$Q,$J9,'협력사 EPC(H)'!$C:$C,$L$1),
    SUMIFS('기타(Z)'!$I:$I,'기타(Z)'!$G:$G,Q$2,'기타(Z)'!$Q:$Q,$J9,'기타(Z)'!$C:$C,$L$1)
  )
)</f>
        <v/>
      </c>
      <c r="R9" s="387" t="str">
        <f>IF(
  SUM(
    COUNTIFS('발전사업(A)'!$G:$G, Q$2, '발전사업(A)'!$Q:$Q, $J9, '발전사업(A)'!$C:$C, $L$1),
    COUNTIFS('자가소비(B)'!$G:$G, Q$2, '자가소비(B)'!$Q:$Q, $J9, '자가소비(B)'!$C:$C, $L$1),
    COUNTIFS('PPA 사업(C)'!$G:$G, Q$2, 'PPA 사업(C)'!$Q:$Q, $J9, 'PPA 사업(C)'!$C:$C, $L$1),
    COUNTIFS('리스사업(D)'!$G:$G, Q$2, '리스사업(D)'!$Q:$Q, $J9, '리스사업(D)'!$C:$C, $L$1),
    COUNTIFS('임대사업(E)'!$G:$G, Q$2, '임대사업(E)'!$Q:$Q, $J9, '임대사업(E)'!$C:$C, $L$1),
    COUNTIFS('환경부사업(F)'!$G:$G, Q$2, '환경부사업(F)'!$Q:$Q, $J9, '환경부사업(F)'!$C:$C, $L$1),
    COUNTIFS('프로젝트(G)'!$G:$G, Q$2, '프로젝트(G)'!$Q:$Q, $J9, '프로젝트(G)'!$C:$C, $L$1),
    COUNTIFS('협력사 EPC(H)'!$G:$G, Q$2, '협력사 EPC(H)'!$Q:$Q, $J9, '협력사 EPC(H)'!$C:$C, $L$1),
    COUNTIFS('기타(Z)'!$G:$G, Q$2, '기타(Z)'!$Q:$Q, $J9, '기타(Z)'!$C:$C, $L$1)
  ) = 0,
  "",
  COUNTIFS('발전사업(A)'!$G:$G, Q$2, '발전사업(A)'!$Q:$Q, $J9, '발전사업(A)'!$C:$C, $L$1)
  + COUNTIFS('자가소비(B)'!$G:$G, Q$2, '자가소비(B)'!$Q:$Q, $J9, '자가소비(B)'!$C:$C, $L$1)
  + COUNTIFS('PPA 사업(C)'!$G:$G, Q$2, 'PPA 사업(C)'!$Q:$Q, $J9, 'PPA 사업(C)'!$C:$C, $L$1)
  + COUNTIFS('리스사업(D)'!$G:$G, Q$2, '리스사업(D)'!$Q:$Q, $J9, '리스사업(D)'!$C:$C, $L$1)
  + COUNTIFS('임대사업(E)'!$G:$G, Q$2, '임대사업(E)'!$Q:$Q, $J9, '임대사업(E)'!$C:$C, $L$1)
  + COUNTIFS('환경부사업(F)'!$G:$G, Q$2, '환경부사업(F)'!$Q:$Q, $J9, '환경부사업(F)'!$C:$C, $L$1)
  + COUNTIFS('프로젝트(G)'!$G:$G, Q$2, '프로젝트(G)'!$Q:$Q, $J9, '프로젝트(G)'!$C:$C, $L$1)
  + COUNTIFS('협력사 EPC(H)'!$G:$G, Q$2, '협력사 EPC(H)'!$Q:$Q, $J9, '협력사 EPC(H)'!$C:$C, $L$1)
  + COUNTIFS('기타(Z)'!$G:$G, Q$2, '기타(Z)'!$Q:$Q, $J9, '기타(Z)'!$C:$C, $L$1)
)</f>
        <v/>
      </c>
      <c r="S9" s="386" t="str">
        <f>IF(
  SUM(
    SUMIFS('발전사업(A)'!$I:$I,'발전사업(A)'!$G:$G,S$2,'발전사업(A)'!$Q:$Q,$J9,'발전사업(A)'!$C:$C,$L$1),
    SUMIFS('자가소비(B)'!$I:$I,'자가소비(B)'!$G:$G,S$2,'자가소비(B)'!$Q:$Q,$J9,'자가소비(B)'!$C:$C,$L$1),
    SUMIFS('PPA 사업(C)'!$I:$I,'PPA 사업(C)'!$G:$G,S$2,'PPA 사업(C)'!$Q:$Q,$J9,'PPA 사업(C)'!$C:$C,$L$1),
    SUMIFS('리스사업(D)'!$I:$I,'리스사업(D)'!$G:$G,S$2,'리스사업(D)'!$Q:$Q,$J9,'리스사업(D)'!$C:$C,$L$1),
    SUMIFS('임대사업(E)'!$I:$I,'임대사업(E)'!$G:$G,S$2,'임대사업(E)'!$Q:$Q,$J9,'임대사업(E)'!$C:$C,$L$1),
    SUMIFS('환경부사업(F)'!$I:$I,'환경부사업(F)'!$G:$G,S$2,'환경부사업(F)'!$Q:$Q,$J9,'환경부사업(F)'!$C:$C,$L$1),
    SUMIFS('프로젝트(G)'!$I:$I,'프로젝트(G)'!$G:$G,S$2,'프로젝트(G)'!$Q:$Q,$J9,'프로젝트(G)'!$C:$C,$L$1),
    SUMIFS('협력사 EPC(H)'!$I:$I,'협력사 EPC(H)'!$G:$G,S$2,'협력사 EPC(H)'!$Q:$Q,$J9,'협력사 EPC(H)'!$C:$C,$L$1),
    SUMIFS('기타(Z)'!$I:$I,'기타(Z)'!$G:$G,S$2,'기타(Z)'!$Q:$Q,$J9,'기타(Z)'!$C:$C,$L$1)
  )=0,
  "",
  SUM(
    SUMIFS('발전사업(A)'!$I:$I,'발전사업(A)'!$G:$G,S$2,'발전사업(A)'!$Q:$Q,$J9,'발전사업(A)'!$C:$C,$L$1),
    SUMIFS('자가소비(B)'!$I:$I,'자가소비(B)'!$G:$G,S$2,'자가소비(B)'!$Q:$Q,$J9,'자가소비(B)'!$C:$C,$L$1),
    SUMIFS('PPA 사업(C)'!$I:$I,'PPA 사업(C)'!$G:$G,S$2,'PPA 사업(C)'!$Q:$Q,$J9,'PPA 사업(C)'!$C:$C,$L$1),
    SUMIFS('리스사업(D)'!$I:$I,'리스사업(D)'!$G:$G,S$2,'리스사업(D)'!$Q:$Q,$J9,'리스사업(D)'!$C:$C,$L$1),
    SUMIFS('임대사업(E)'!$I:$I,'임대사업(E)'!$G:$G,S$2,'임대사업(E)'!$Q:$Q,$J9,'임대사업(E)'!$C:$C,$L$1),
    SUMIFS('환경부사업(F)'!$I:$I,'환경부사업(F)'!$G:$G,S$2,'환경부사업(F)'!$Q:$Q,$J9,'환경부사업(F)'!$C:$C,$L$1),
    SUMIFS('프로젝트(G)'!$I:$I,'프로젝트(G)'!$G:$G,S$2,'프로젝트(G)'!$Q:$Q,$J9,'프로젝트(G)'!$C:$C,$L$1),
    SUMIFS('협력사 EPC(H)'!$I:$I,'협력사 EPC(H)'!$G:$G,S$2,'협력사 EPC(H)'!$Q:$Q,$J9,'협력사 EPC(H)'!$C:$C,$L$1),
    SUMIFS('기타(Z)'!$I:$I,'기타(Z)'!$G:$G,S$2,'기타(Z)'!$Q:$Q,$J9,'기타(Z)'!$C:$C,$L$1)
  )
)</f>
        <v/>
      </c>
      <c r="T9" s="387" t="str">
        <f>IF(
  SUM(
    COUNTIFS('발전사업(A)'!$G:$G, S$2, '발전사업(A)'!$Q:$Q, $J9, '발전사업(A)'!$C:$C, $L$1),
    COUNTIFS('자가소비(B)'!$G:$G, S$2, '자가소비(B)'!$Q:$Q, $J9, '자가소비(B)'!$C:$C, $L$1),
    COUNTIFS('PPA 사업(C)'!$G:$G, S$2, 'PPA 사업(C)'!$Q:$Q, $J9, 'PPA 사업(C)'!$C:$C, $L$1),
    COUNTIFS('리스사업(D)'!$G:$G, S$2, '리스사업(D)'!$Q:$Q, $J9, '리스사업(D)'!$C:$C, $L$1),
    COUNTIFS('임대사업(E)'!$G:$G, S$2, '임대사업(E)'!$Q:$Q, $J9, '임대사업(E)'!$C:$C, $L$1),
    COUNTIFS('환경부사업(F)'!$G:$G, S$2, '환경부사업(F)'!$Q:$Q, $J9, '환경부사업(F)'!$C:$C, $L$1),
    COUNTIFS('프로젝트(G)'!$G:$G, S$2, '프로젝트(G)'!$Q:$Q, $J9, '프로젝트(G)'!$C:$C, $L$1),
    COUNTIFS('협력사 EPC(H)'!$G:$G, S$2, '협력사 EPC(H)'!$Q:$Q, $J9, '협력사 EPC(H)'!$C:$C, $L$1),
    COUNTIFS('기타(Z)'!$G:$G, S$2, '기타(Z)'!$Q:$Q, $J9, '기타(Z)'!$C:$C, $L$1)
  ) = 0,
  "",
  COUNTIFS('발전사업(A)'!$G:$G, S$2, '발전사업(A)'!$Q:$Q, $J9, '발전사업(A)'!$C:$C, $L$1)
  + COUNTIFS('자가소비(B)'!$G:$G, S$2, '자가소비(B)'!$Q:$Q, $J9, '자가소비(B)'!$C:$C, $L$1)
  + COUNTIFS('PPA 사업(C)'!$G:$G, S$2, 'PPA 사업(C)'!$Q:$Q, $J9, 'PPA 사업(C)'!$C:$C, $L$1)
  + COUNTIFS('리스사업(D)'!$G:$G, S$2, '리스사업(D)'!$Q:$Q, $J9, '리스사업(D)'!$C:$C, $L$1)
  + COUNTIFS('임대사업(E)'!$G:$G, S$2, '임대사업(E)'!$Q:$Q, $J9, '임대사업(E)'!$C:$C, $L$1)
  + COUNTIFS('환경부사업(F)'!$G:$G, S$2, '환경부사업(F)'!$Q:$Q, $J9, '환경부사업(F)'!$C:$C, $L$1)
  + COUNTIFS('프로젝트(G)'!$G:$G, S$2, '프로젝트(G)'!$Q:$Q, $J9, '프로젝트(G)'!$C:$C, $L$1)
  + COUNTIFS('협력사 EPC(H)'!$G:$G, S$2, '협력사 EPC(H)'!$Q:$Q, $J9, '협력사 EPC(H)'!$C:$C, $L$1)
  + COUNTIFS('기타(Z)'!$G:$G, S$2, '기타(Z)'!$Q:$Q, $J9, '기타(Z)'!$C:$C, $L$1)
)</f>
        <v/>
      </c>
      <c r="U9" s="386" t="str">
        <f>IF(
  SUM(
    SUMIFS('발전사업(A)'!$I:$I,'발전사업(A)'!$G:$G,U$2,'발전사업(A)'!$Q:$Q,$J9,'발전사업(A)'!$C:$C,$L$1),
    SUMIFS('자가소비(B)'!$I:$I,'자가소비(B)'!$G:$G,U$2,'자가소비(B)'!$Q:$Q,$J9,'자가소비(B)'!$C:$C,$L$1),
    SUMIFS('PPA 사업(C)'!$I:$I,'PPA 사업(C)'!$G:$G,U$2,'PPA 사업(C)'!$Q:$Q,$J9,'PPA 사업(C)'!$C:$C,$L$1),
    SUMIFS('리스사업(D)'!$I:$I,'리스사업(D)'!$G:$G,U$2,'리스사업(D)'!$Q:$Q,$J9,'리스사업(D)'!$C:$C,$L$1),
    SUMIFS('임대사업(E)'!$I:$I,'임대사업(E)'!$G:$G,U$2,'임대사업(E)'!$Q:$Q,$J9,'임대사업(E)'!$C:$C,$L$1),
    SUMIFS('환경부사업(F)'!$I:$I,'환경부사업(F)'!$G:$G,U$2,'환경부사업(F)'!$Q:$Q,$J9,'환경부사업(F)'!$C:$C,$L$1),
    SUMIFS('프로젝트(G)'!$I:$I,'프로젝트(G)'!$G:$G,U$2,'프로젝트(G)'!$Q:$Q,$J9,'프로젝트(G)'!$C:$C,$L$1),
    SUMIFS('협력사 EPC(H)'!$I:$I,'협력사 EPC(H)'!$G:$G,U$2,'협력사 EPC(H)'!$Q:$Q,$J9,'협력사 EPC(H)'!$C:$C,$L$1),
    SUMIFS('기타(Z)'!$I:$I,'기타(Z)'!$G:$G,U$2,'기타(Z)'!$Q:$Q,$J9,'기타(Z)'!$C:$C,$L$1)
  )=0,
  "",
  SUM(
    SUMIFS('발전사업(A)'!$I:$I,'발전사업(A)'!$G:$G,U$2,'발전사업(A)'!$Q:$Q,$J9,'발전사업(A)'!$C:$C,$L$1),
    SUMIFS('자가소비(B)'!$I:$I,'자가소비(B)'!$G:$G,U$2,'자가소비(B)'!$Q:$Q,$J9,'자가소비(B)'!$C:$C,$L$1),
    SUMIFS('PPA 사업(C)'!$I:$I,'PPA 사업(C)'!$G:$G,U$2,'PPA 사업(C)'!$Q:$Q,$J9,'PPA 사업(C)'!$C:$C,$L$1),
    SUMIFS('리스사업(D)'!$I:$I,'리스사업(D)'!$G:$G,U$2,'리스사업(D)'!$Q:$Q,$J9,'리스사업(D)'!$C:$C,$L$1),
    SUMIFS('임대사업(E)'!$I:$I,'임대사업(E)'!$G:$G,U$2,'임대사업(E)'!$Q:$Q,$J9,'임대사업(E)'!$C:$C,$L$1),
    SUMIFS('환경부사업(F)'!$I:$I,'환경부사업(F)'!$G:$G,U$2,'환경부사업(F)'!$Q:$Q,$J9,'환경부사업(F)'!$C:$C,$L$1),
    SUMIFS('프로젝트(G)'!$I:$I,'프로젝트(G)'!$G:$G,U$2,'프로젝트(G)'!$Q:$Q,$J9,'프로젝트(G)'!$C:$C,$L$1),
    SUMIFS('협력사 EPC(H)'!$I:$I,'협력사 EPC(H)'!$G:$G,U$2,'협력사 EPC(H)'!$Q:$Q,$J9,'협력사 EPC(H)'!$C:$C,$L$1),
    SUMIFS('기타(Z)'!$I:$I,'기타(Z)'!$G:$G,U$2,'기타(Z)'!$Q:$Q,$J9,'기타(Z)'!$C:$C,$L$1)
  )
)</f>
        <v/>
      </c>
      <c r="V9" s="387" t="str">
        <f>IF(
  SUM(
    COUNTIFS('발전사업(A)'!$G:$G, U$2, '발전사업(A)'!$Q:$Q, $J9, '발전사업(A)'!$C:$C, $L$1),
    COUNTIFS('자가소비(B)'!$G:$G, U$2, '자가소비(B)'!$Q:$Q, $J9, '자가소비(B)'!$C:$C, $L$1),
    COUNTIFS('PPA 사업(C)'!$G:$G, U$2, 'PPA 사업(C)'!$Q:$Q, $J9, 'PPA 사업(C)'!$C:$C, $L$1),
    COUNTIFS('리스사업(D)'!$G:$G, U$2, '리스사업(D)'!$Q:$Q, $J9, '리스사업(D)'!$C:$C, $L$1),
    COUNTIFS('임대사업(E)'!$G:$G, U$2, '임대사업(E)'!$Q:$Q, $J9, '임대사업(E)'!$C:$C, $L$1),
    COUNTIFS('환경부사업(F)'!$G:$G, U$2, '환경부사업(F)'!$Q:$Q, $J9, '환경부사업(F)'!$C:$C, $L$1),
    COUNTIFS('프로젝트(G)'!$G:$G, U$2, '프로젝트(G)'!$Q:$Q, $J9, '프로젝트(G)'!$C:$C, $L$1),
    COUNTIFS('협력사 EPC(H)'!$G:$G, U$2, '협력사 EPC(H)'!$Q:$Q, $J9, '협력사 EPC(H)'!$C:$C, $L$1),
    COUNTIFS('기타(Z)'!$G:$G, U$2, '기타(Z)'!$Q:$Q, $J9, '기타(Z)'!$C:$C, $L$1)
  ) = 0,
  "",
  COUNTIFS('발전사업(A)'!$G:$G, U$2, '발전사업(A)'!$Q:$Q, $J9, '발전사업(A)'!$C:$C, $L$1)
  + COUNTIFS('자가소비(B)'!$G:$G, U$2, '자가소비(B)'!$Q:$Q, $J9, '자가소비(B)'!$C:$C, $L$1)
  + COUNTIFS('PPA 사업(C)'!$G:$G, U$2, 'PPA 사업(C)'!$Q:$Q, $J9, 'PPA 사업(C)'!$C:$C, $L$1)
  + COUNTIFS('리스사업(D)'!$G:$G, U$2, '리스사업(D)'!$Q:$Q, $J9, '리스사업(D)'!$C:$C, $L$1)
  + COUNTIFS('임대사업(E)'!$G:$G, U$2, '임대사업(E)'!$Q:$Q, $J9, '임대사업(E)'!$C:$C, $L$1)
  + COUNTIFS('환경부사업(F)'!$G:$G, U$2, '환경부사업(F)'!$Q:$Q, $J9, '환경부사업(F)'!$C:$C, $L$1)
  + COUNTIFS('프로젝트(G)'!$G:$G, U$2, '프로젝트(G)'!$Q:$Q, $J9, '프로젝트(G)'!$C:$C, $L$1)
  + COUNTIFS('협력사 EPC(H)'!$G:$G, U$2, '협력사 EPC(H)'!$Q:$Q, $J9, '협력사 EPC(H)'!$C:$C, $L$1)
  + COUNTIFS('기타(Z)'!$G:$G, U$2, '기타(Z)'!$Q:$Q, $J9, '기타(Z)'!$C:$C, $L$1)
)</f>
        <v/>
      </c>
      <c r="W9" s="386" t="str">
        <f>IF(
  SUM(
    SUMIFS('발전사업(A)'!$I:$I,'발전사업(A)'!$G:$G,W$2,'발전사업(A)'!$Q:$Q,$J9,'발전사업(A)'!$C:$C,$L$1),
    SUMIFS('자가소비(B)'!$I:$I,'자가소비(B)'!$G:$G,W$2,'자가소비(B)'!$Q:$Q,$J9,'자가소비(B)'!$C:$C,$L$1),
    SUMIFS('PPA 사업(C)'!$I:$I,'PPA 사업(C)'!$G:$G,W$2,'PPA 사업(C)'!$Q:$Q,$J9,'PPA 사업(C)'!$C:$C,$L$1),
    SUMIFS('리스사업(D)'!$I:$I,'리스사업(D)'!$G:$G,W$2,'리스사업(D)'!$Q:$Q,$J9,'리스사업(D)'!$C:$C,$L$1),
    SUMIFS('임대사업(E)'!$I:$I,'임대사업(E)'!$G:$G,W$2,'임대사업(E)'!$Q:$Q,$J9,'임대사업(E)'!$C:$C,$L$1),
    SUMIFS('환경부사업(F)'!$I:$I,'환경부사업(F)'!$G:$G,W$2,'환경부사업(F)'!$Q:$Q,$J9,'환경부사업(F)'!$C:$C,$L$1),
    SUMIFS('프로젝트(G)'!$I:$I,'프로젝트(G)'!$G:$G,W$2,'프로젝트(G)'!$Q:$Q,$J9,'프로젝트(G)'!$C:$C,$L$1),
    SUMIFS('협력사 EPC(H)'!$I:$I,'협력사 EPC(H)'!$G:$G,W$2,'협력사 EPC(H)'!$Q:$Q,$J9,'협력사 EPC(H)'!$C:$C,$L$1),
    SUMIFS('기타(Z)'!$I:$I,'기타(Z)'!$G:$G,W$2,'기타(Z)'!$Q:$Q,$J9,'기타(Z)'!$C:$C,$L$1)
  )=0,
  "",
  SUM(
    SUMIFS('발전사업(A)'!$I:$I,'발전사업(A)'!$G:$G,W$2,'발전사업(A)'!$Q:$Q,$J9,'발전사업(A)'!$C:$C,$L$1),
    SUMIFS('자가소비(B)'!$I:$I,'자가소비(B)'!$G:$G,W$2,'자가소비(B)'!$Q:$Q,$J9,'자가소비(B)'!$C:$C,$L$1),
    SUMIFS('PPA 사업(C)'!$I:$I,'PPA 사업(C)'!$G:$G,W$2,'PPA 사업(C)'!$Q:$Q,$J9,'PPA 사업(C)'!$C:$C,$L$1),
    SUMIFS('리스사업(D)'!$I:$I,'리스사업(D)'!$G:$G,W$2,'리스사업(D)'!$Q:$Q,$J9,'리스사업(D)'!$C:$C,$L$1),
    SUMIFS('임대사업(E)'!$I:$I,'임대사업(E)'!$G:$G,W$2,'임대사업(E)'!$Q:$Q,$J9,'임대사업(E)'!$C:$C,$L$1),
    SUMIFS('환경부사업(F)'!$I:$I,'환경부사업(F)'!$G:$G,W$2,'환경부사업(F)'!$Q:$Q,$J9,'환경부사업(F)'!$C:$C,$L$1),
    SUMIFS('프로젝트(G)'!$I:$I,'프로젝트(G)'!$G:$G,W$2,'프로젝트(G)'!$Q:$Q,$J9,'프로젝트(G)'!$C:$C,$L$1),
    SUMIFS('협력사 EPC(H)'!$I:$I,'협력사 EPC(H)'!$G:$G,W$2,'협력사 EPC(H)'!$Q:$Q,$J9,'협력사 EPC(H)'!$C:$C,$L$1),
    SUMIFS('기타(Z)'!$I:$I,'기타(Z)'!$G:$G,W$2,'기타(Z)'!$Q:$Q,$J9,'기타(Z)'!$C:$C,$L$1)
  )
)</f>
        <v/>
      </c>
      <c r="X9" s="367" t="str">
        <f>IF(
  SUM(
    COUNTIFS('발전사업(A)'!$G:$G,W$2,'발전사업(A)'!$Q:$Q,$J9),
    COUNTIFS('자가소비(B)'!$G:$G,W$2,'자가소비(B)'!$Q:$Q,$J9),
    COUNTIFS('PPA 사업(C)'!$G:$G,W$2,'PPA 사업(C)'!$Q:$Q,$J9),
    COUNTIFS('리스사업(D)'!$G:$G,W$2,'리스사업(D)'!$Q:$Q,$J9),
    COUNTIFS('임대사업(E)'!$G:$G,W$2,'임대사업(E)'!$Q:$Q,$J9),
    COUNTIFS('환경부사업(F)'!$G:$G,W$2,'환경부사업(F)'!$Q:$Q,$J9),
    COUNTIFS('프로젝트(G)'!$G:$G,W$2,'프로젝트(G)'!$Q:$Q,$J9),
    COUNTIFS('협력사 EPC(H)'!$G:$G,W$2,'협력사 EPC(H)'!$Q:$Q,$J9),
    COUNTIFS('기타(Z)'!$G:$G,W$2,'기타(Z)'!$Q:$Q,$J9)
  )=0,
  "",
  COUNTIFS('발전사업(A)'!$G:$G,W$2,'발전사업(A)'!$Q:$Q,$J9)
  +COUNTIFS('자가소비(B)'!$G:$G,W$2,'자가소비(B)'!$Q:$Q,$J9)
  +COUNTIFS('PPA 사업(C)'!$G:$G,W$2,'PPA 사업(C)'!$Q:$Q,$J9)
  +COUNTIFS('리스사업(D)'!$G:$G,W$2,'리스사업(D)'!$Q:$Q,$J9)
  +COUNTIFS('임대사업(E)'!$G:$G,W$2,'임대사업(E)'!$Q:$Q,$J9)
  +COUNTIFS('환경부사업(F)'!$G:$G,W$2,'환경부사업(F)'!$Q:$Q,$J9)
  +COUNTIFS('프로젝트(G)'!$G:$G,W$2,'프로젝트(G)'!$Q:$Q,$J9)
  +COUNTIFS('협력사 EPC(H)'!$G:$G,W$2,'협력사 EPC(H)'!$Q:$Q,$J9)
  +COUNTIFS('기타(Z)'!$G:$G,W$2,'기타(Z)'!$Q:$Q,$J9)
)</f>
        <v/>
      </c>
      <c r="Y9" s="386" t="str">
        <f>IF(
  SUM(
    SUMIFS('발전사업(A)'!$I:$I,'발전사업(A)'!$G:$G,Y$2,'발전사업(A)'!$Q:$Q,$J9,'발전사업(A)'!$C:$C,$L$1),
    SUMIFS('자가소비(B)'!$I:$I,'자가소비(B)'!$G:$G,Y$2,'자가소비(B)'!$Q:$Q,$J9,'자가소비(B)'!$C:$C,$L$1),
    SUMIFS('PPA 사업(C)'!$I:$I,'PPA 사업(C)'!$G:$G,Y$2,'PPA 사업(C)'!$Q:$Q,$J9,'PPA 사업(C)'!$C:$C,$L$1),
    SUMIFS('리스사업(D)'!$I:$I,'리스사업(D)'!$G:$G,Y$2,'리스사업(D)'!$Q:$Q,$J9,'리스사업(D)'!$C:$C,$L$1),
    SUMIFS('임대사업(E)'!$I:$I,'임대사업(E)'!$G:$G,Y$2,'임대사업(E)'!$Q:$Q,$J9,'임대사업(E)'!$C:$C,$L$1),
    SUMIFS('환경부사업(F)'!$I:$I,'환경부사업(F)'!$G:$G,Y$2,'환경부사업(F)'!$Q:$Q,$J9,'환경부사업(F)'!$C:$C,$L$1),
    SUMIFS('프로젝트(G)'!$I:$I,'프로젝트(G)'!$G:$G,Y$2,'프로젝트(G)'!$Q:$Q,$J9,'프로젝트(G)'!$C:$C,$L$1),
    SUMIFS('협력사 EPC(H)'!$I:$I,'협력사 EPC(H)'!$G:$G,Y$2,'협력사 EPC(H)'!$Q:$Q,$J9,'협력사 EPC(H)'!$C:$C,$L$1),
    SUMIFS('기타(Z)'!$I:$I,'기타(Z)'!$G:$G,Y$2,'기타(Z)'!$Q:$Q,$J9,'기타(Z)'!$C:$C,$L$1)
  )=0,
  "",
  SUM(
    SUMIFS('발전사업(A)'!$I:$I,'발전사업(A)'!$G:$G,Y$2,'발전사업(A)'!$Q:$Q,$J9,'발전사업(A)'!$C:$C,$L$1),
    SUMIFS('자가소비(B)'!$I:$I,'자가소비(B)'!$G:$G,Y$2,'자가소비(B)'!$Q:$Q,$J9,'자가소비(B)'!$C:$C,$L$1),
    SUMIFS('PPA 사업(C)'!$I:$I,'PPA 사업(C)'!$G:$G,Y$2,'PPA 사업(C)'!$Q:$Q,$J9,'PPA 사업(C)'!$C:$C,$L$1),
    SUMIFS('리스사업(D)'!$I:$I,'리스사업(D)'!$G:$G,Y$2,'리스사업(D)'!$Q:$Q,$J9,'리스사업(D)'!$C:$C,$L$1),
    SUMIFS('임대사업(E)'!$I:$I,'임대사업(E)'!$G:$G,Y$2,'임대사업(E)'!$Q:$Q,$J9,'임대사업(E)'!$C:$C,$L$1),
    SUMIFS('환경부사업(F)'!$I:$I,'환경부사업(F)'!$G:$G,Y$2,'환경부사업(F)'!$Q:$Q,$J9,'환경부사업(F)'!$C:$C,$L$1),
    SUMIFS('프로젝트(G)'!$I:$I,'프로젝트(G)'!$G:$G,Y$2,'프로젝트(G)'!$Q:$Q,$J9,'프로젝트(G)'!$C:$C,$L$1),
    SUMIFS('협력사 EPC(H)'!$I:$I,'협력사 EPC(H)'!$G:$G,Y$2,'협력사 EPC(H)'!$Q:$Q,$J9,'협력사 EPC(H)'!$C:$C,$L$1),
    SUMIFS('기타(Z)'!$I:$I,'기타(Z)'!$G:$G,Y$2,'기타(Z)'!$Q:$Q,$J9,'기타(Z)'!$C:$C,$L$1)
  )
)</f>
        <v/>
      </c>
      <c r="Z9" s="387" t="str">
        <f>IF(
  SUM(
    COUNTIFS('발전사업(A)'!$G:$G, Y$2, '발전사업(A)'!$Q:$Q, $J9, '발전사업(A)'!$C:$C, $L$1),
    COUNTIFS('자가소비(B)'!$G:$G, Y$2, '자가소비(B)'!$Q:$Q, $J9, '자가소비(B)'!$C:$C, $L$1),
    COUNTIFS('PPA 사업(C)'!$G:$G, Y$2, 'PPA 사업(C)'!$Q:$Q, $J9, 'PPA 사업(C)'!$C:$C, $L$1),
    COUNTIFS('리스사업(D)'!$G:$G, Y$2, '리스사업(D)'!$Q:$Q, $J9, '리스사업(D)'!$C:$C, $L$1),
    COUNTIFS('임대사업(E)'!$G:$G, Y$2, '임대사업(E)'!$Q:$Q, $J9, '임대사업(E)'!$C:$C, $L$1),
    COUNTIFS('환경부사업(F)'!$G:$G, Y$2, '환경부사업(F)'!$Q:$Q, $J9, '환경부사업(F)'!$C:$C, $L$1),
    COUNTIFS('프로젝트(G)'!$G:$G, Y$2, '프로젝트(G)'!$Q:$Q, $J9, '프로젝트(G)'!$C:$C, $L$1),
    COUNTIFS('협력사 EPC(H)'!$G:$G, Y$2, '협력사 EPC(H)'!$Q:$Q, $J9, '협력사 EPC(H)'!$C:$C, $L$1),
    COUNTIFS('기타(Z)'!$G:$G, Y$2, '기타(Z)'!$Q:$Q, $J9, '기타(Z)'!$C:$C, $L$1)
  ) = 0,
  "",
  COUNTIFS('발전사업(A)'!$G:$G, Y$2, '발전사업(A)'!$Q:$Q, $J9, '발전사업(A)'!$C:$C, $L$1)
  + COUNTIFS('자가소비(B)'!$G:$G, Y$2, '자가소비(B)'!$Q:$Q, $J9, '자가소비(B)'!$C:$C, $L$1)
  + COUNTIFS('PPA 사업(C)'!$G:$G, Y$2, 'PPA 사업(C)'!$Q:$Q, $J9, 'PPA 사업(C)'!$C:$C, $L$1)
  + COUNTIFS('리스사업(D)'!$G:$G, Y$2, '리스사업(D)'!$Q:$Q, $J9, '리스사업(D)'!$C:$C, $L$1)
  + COUNTIFS('임대사업(E)'!$G:$G, Y$2, '임대사업(E)'!$Q:$Q, $J9, '임대사업(E)'!$C:$C, $L$1)
  + COUNTIFS('환경부사업(F)'!$G:$G, Y$2, '환경부사업(F)'!$Q:$Q, $J9, '환경부사업(F)'!$C:$C, $L$1)
  + COUNTIFS('프로젝트(G)'!$G:$G, Y$2, '프로젝트(G)'!$Q:$Q, $J9, '프로젝트(G)'!$C:$C, $L$1)
  + COUNTIFS('협력사 EPC(H)'!$G:$G, Y$2, '협력사 EPC(H)'!$Q:$Q, $J9, '협력사 EPC(H)'!$C:$C, $L$1)
  + COUNTIFS('기타(Z)'!$G:$G, Y$2, '기타(Z)'!$Q:$Q, $J9, '기타(Z)'!$C:$C, $L$1)
)</f>
        <v/>
      </c>
      <c r="AA9" s="386" t="str">
        <f>IF(
  SUM(
    SUMIFS('발전사업(A)'!$I:$I,'발전사업(A)'!$G:$G,AA$2,'발전사업(A)'!$Q:$Q,$J9,'발전사업(A)'!$C:$C,$L$1),
    SUMIFS('자가소비(B)'!$I:$I,'자가소비(B)'!$G:$G,AA$2,'자가소비(B)'!$Q:$Q,$J9,'자가소비(B)'!$C:$C,$L$1),
    SUMIFS('PPA 사업(C)'!$I:$I,'PPA 사업(C)'!$G:$G,AA$2,'PPA 사업(C)'!$Q:$Q,$J9,'PPA 사업(C)'!$C:$C,$L$1),
    SUMIFS('리스사업(D)'!$I:$I,'리스사업(D)'!$G:$G,AA$2,'리스사업(D)'!$Q:$Q,$J9,'리스사업(D)'!$C:$C,$L$1),
    SUMIFS('임대사업(E)'!$I:$I,'임대사업(E)'!$G:$G,AA$2,'임대사업(E)'!$Q:$Q,$J9,'임대사업(E)'!$C:$C,$L$1),
    SUMIFS('환경부사업(F)'!$I:$I,'환경부사업(F)'!$G:$G,AA$2,'환경부사업(F)'!$Q:$Q,$J9,'환경부사업(F)'!$C:$C,$L$1),
    SUMIFS('프로젝트(G)'!$I:$I,'프로젝트(G)'!$G:$G,AA$2,'프로젝트(G)'!$Q:$Q,$J9,'프로젝트(G)'!$C:$C,$L$1),
    SUMIFS('협력사 EPC(H)'!$I:$I,'협력사 EPC(H)'!$G:$G,AA$2,'협력사 EPC(H)'!$Q:$Q,$J9,'협력사 EPC(H)'!$C:$C,$L$1),
    SUMIFS('기타(Z)'!$I:$I,'기타(Z)'!$G:$G,AA$2,'기타(Z)'!$Q:$Q,$J9,'기타(Z)'!$C:$C,$L$1)
  )=0,
  "",
  SUM(
    SUMIFS('발전사업(A)'!$I:$I,'발전사업(A)'!$G:$G,AA$2,'발전사업(A)'!$Q:$Q,$J9,'발전사업(A)'!$C:$C,$L$1),
    SUMIFS('자가소비(B)'!$I:$I,'자가소비(B)'!$G:$G,AA$2,'자가소비(B)'!$Q:$Q,$J9,'자가소비(B)'!$C:$C,$L$1),
    SUMIFS('PPA 사업(C)'!$I:$I,'PPA 사업(C)'!$G:$G,AA$2,'PPA 사업(C)'!$Q:$Q,$J9,'PPA 사업(C)'!$C:$C,$L$1),
    SUMIFS('리스사업(D)'!$I:$I,'리스사업(D)'!$G:$G,AA$2,'리스사업(D)'!$Q:$Q,$J9,'리스사업(D)'!$C:$C,$L$1),
    SUMIFS('임대사업(E)'!$I:$I,'임대사업(E)'!$G:$G,AA$2,'임대사업(E)'!$Q:$Q,$J9,'임대사업(E)'!$C:$C,$L$1),
    SUMIFS('환경부사업(F)'!$I:$I,'환경부사업(F)'!$G:$G,AA$2,'환경부사업(F)'!$Q:$Q,$J9,'환경부사업(F)'!$C:$C,$L$1),
    SUMIFS('프로젝트(G)'!$I:$I,'프로젝트(G)'!$G:$G,AA$2,'프로젝트(G)'!$Q:$Q,$J9,'프로젝트(G)'!$C:$C,$L$1),
    SUMIFS('협력사 EPC(H)'!$I:$I,'협력사 EPC(H)'!$G:$G,AA$2,'협력사 EPC(H)'!$Q:$Q,$J9,'협력사 EPC(H)'!$C:$C,$L$1),
    SUMIFS('기타(Z)'!$I:$I,'기타(Z)'!$G:$G,AA$2,'기타(Z)'!$Q:$Q,$J9,'기타(Z)'!$C:$C,$L$1)
  )
)</f>
        <v/>
      </c>
      <c r="AB9" s="387" t="str">
        <f>IF(
  SUM(
    COUNTIFS('발전사업(A)'!$G:$G, AA$2, '발전사업(A)'!$Q:$Q, $J9, '발전사업(A)'!$C:$C, $L$1),
    COUNTIFS('자가소비(B)'!$G:$G, AA$2, '자가소비(B)'!$Q:$Q, $J9, '자가소비(B)'!$C:$C, $L$1),
    COUNTIFS('PPA 사업(C)'!$G:$G, AA$2, 'PPA 사업(C)'!$Q:$Q, $J9, 'PPA 사업(C)'!$C:$C, $L$1),
    COUNTIFS('리스사업(D)'!$G:$G, AA$2, '리스사업(D)'!$Q:$Q, $J9, '리스사업(D)'!$C:$C, $L$1),
    COUNTIFS('임대사업(E)'!$G:$G, AA$2, '임대사업(E)'!$Q:$Q, $J9, '임대사업(E)'!$C:$C, $L$1),
    COUNTIFS('환경부사업(F)'!$G:$G, AA$2, '환경부사업(F)'!$Q:$Q, $J9, '환경부사업(F)'!$C:$C, $L$1),
    COUNTIFS('프로젝트(G)'!$G:$G, AA$2, '프로젝트(G)'!$Q:$Q, $J9, '프로젝트(G)'!$C:$C, $L$1),
    COUNTIFS('협력사 EPC(H)'!$G:$G, AA$2, '협력사 EPC(H)'!$Q:$Q, $J9, '협력사 EPC(H)'!$C:$C, $L$1),
    COUNTIFS('기타(Z)'!$G:$G, AA$2, '기타(Z)'!$Q:$Q, $J9, '기타(Z)'!$C:$C, $L$1)
  ) = 0,
  "",
  COUNTIFS('발전사업(A)'!$G:$G, AA$2, '발전사업(A)'!$Q:$Q, $J9, '발전사업(A)'!$C:$C, $L$1)
  + COUNTIFS('자가소비(B)'!$G:$G, AA$2, '자가소비(B)'!$Q:$Q, $J9, '자가소비(B)'!$C:$C, $L$1)
  + COUNTIFS('PPA 사업(C)'!$G:$G, AA$2, 'PPA 사업(C)'!$Q:$Q, $J9, 'PPA 사업(C)'!$C:$C, $L$1)
  + COUNTIFS('리스사업(D)'!$G:$G, AA$2, '리스사업(D)'!$Q:$Q, $J9, '리스사업(D)'!$C:$C, $L$1)
  + COUNTIFS('임대사업(E)'!$G:$G, AA$2, '임대사업(E)'!$Q:$Q, $J9, '임대사업(E)'!$C:$C, $L$1)
  + COUNTIFS('환경부사업(F)'!$G:$G, AA$2, '환경부사업(F)'!$Q:$Q, $J9, '환경부사업(F)'!$C:$C, $L$1)
  + COUNTIFS('프로젝트(G)'!$G:$G, AA$2, '프로젝트(G)'!$Q:$Q, $J9, '프로젝트(G)'!$C:$C, $L$1)
  + COUNTIFS('협력사 EPC(H)'!$G:$G, AA$2, '협력사 EPC(H)'!$Q:$Q, $J9, '협력사 EPC(H)'!$C:$C, $L$1)
  + COUNTIFS('기타(Z)'!$G:$G, AA$2, '기타(Z)'!$Q:$Q, $J9, '기타(Z)'!$C:$C, $L$1)
)</f>
        <v/>
      </c>
      <c r="AC9" s="386" t="str">
        <f>IF(
  SUM(
    SUMIFS('발전사업(A)'!$I:$I,'발전사업(A)'!$G:$G,AC$2,'발전사업(A)'!$Q:$Q,$J9,'발전사업(A)'!$C:$C,$L$1),
    SUMIFS('자가소비(B)'!$I:$I,'자가소비(B)'!$G:$G,AC$2,'자가소비(B)'!$Q:$Q,$J9,'자가소비(B)'!$C:$C,$L$1),
    SUMIFS('PPA 사업(C)'!$I:$I,'PPA 사업(C)'!$G:$G,AC$2,'PPA 사업(C)'!$Q:$Q,$J9,'PPA 사업(C)'!$C:$C,$L$1),
    SUMIFS('리스사업(D)'!$I:$I,'리스사업(D)'!$G:$G,AC$2,'리스사업(D)'!$Q:$Q,$J9,'리스사업(D)'!$C:$C,$L$1),
    SUMIFS('임대사업(E)'!$I:$I,'임대사업(E)'!$G:$G,AC$2,'임대사업(E)'!$Q:$Q,$J9,'임대사업(E)'!$C:$C,$L$1),
    SUMIFS('환경부사업(F)'!$I:$I,'환경부사업(F)'!$G:$G,AC$2,'환경부사업(F)'!$Q:$Q,$J9,'환경부사업(F)'!$C:$C,$L$1),
    SUMIFS('프로젝트(G)'!$I:$I,'프로젝트(G)'!$G:$G,AC$2,'프로젝트(G)'!$Q:$Q,$J9,'프로젝트(G)'!$C:$C,$L$1),
    SUMIFS('협력사 EPC(H)'!$I:$I,'협력사 EPC(H)'!$G:$G,AC$2,'협력사 EPC(H)'!$Q:$Q,$J9,'협력사 EPC(H)'!$C:$C,$L$1),
    SUMIFS('기타(Z)'!$I:$I,'기타(Z)'!$G:$G,AC$2,'기타(Z)'!$Q:$Q,$J9,'기타(Z)'!$C:$C,$L$1)
  )=0,
  "",
  SUM(
    SUMIFS('발전사업(A)'!$I:$I,'발전사업(A)'!$G:$G,AC$2,'발전사업(A)'!$Q:$Q,$J9,'발전사업(A)'!$C:$C,$L$1),
    SUMIFS('자가소비(B)'!$I:$I,'자가소비(B)'!$G:$G,AC$2,'자가소비(B)'!$Q:$Q,$J9,'자가소비(B)'!$C:$C,$L$1),
    SUMIFS('PPA 사업(C)'!$I:$I,'PPA 사업(C)'!$G:$G,AC$2,'PPA 사업(C)'!$Q:$Q,$J9,'PPA 사업(C)'!$C:$C,$L$1),
    SUMIFS('리스사업(D)'!$I:$I,'리스사업(D)'!$G:$G,AC$2,'리스사업(D)'!$Q:$Q,$J9,'리스사업(D)'!$C:$C,$L$1),
    SUMIFS('임대사업(E)'!$I:$I,'임대사업(E)'!$G:$G,AC$2,'임대사업(E)'!$Q:$Q,$J9,'임대사업(E)'!$C:$C,$L$1),
    SUMIFS('환경부사업(F)'!$I:$I,'환경부사업(F)'!$G:$G,AC$2,'환경부사업(F)'!$Q:$Q,$J9,'환경부사업(F)'!$C:$C,$L$1),
    SUMIFS('프로젝트(G)'!$I:$I,'프로젝트(G)'!$G:$G,AC$2,'프로젝트(G)'!$Q:$Q,$J9,'프로젝트(G)'!$C:$C,$L$1),
    SUMIFS('협력사 EPC(H)'!$I:$I,'협력사 EPC(H)'!$G:$G,AC$2,'협력사 EPC(H)'!$Q:$Q,$J9,'협력사 EPC(H)'!$C:$C,$L$1),
    SUMIFS('기타(Z)'!$I:$I,'기타(Z)'!$G:$G,AC$2,'기타(Z)'!$Q:$Q,$J9,'기타(Z)'!$C:$C,$L$1)
  )
)</f>
        <v/>
      </c>
      <c r="AD9" s="387" t="str">
        <f>IF(
  SUM(
    COUNTIFS('발전사업(A)'!$G:$G, AC$2, '발전사업(A)'!$Q:$Q, $J9, '발전사업(A)'!$C:$C, $L$1),
    COUNTIFS('자가소비(B)'!$G:$G, AC$2, '자가소비(B)'!$Q:$Q, $J9, '자가소비(B)'!$C:$C, $L$1),
    COUNTIFS('PPA 사업(C)'!$G:$G, AC$2, 'PPA 사업(C)'!$Q:$Q, $J9, 'PPA 사업(C)'!$C:$C, $L$1),
    COUNTIFS('리스사업(D)'!$G:$G, AC$2, '리스사업(D)'!$Q:$Q, $J9, '리스사업(D)'!$C:$C, $L$1),
    COUNTIFS('임대사업(E)'!$G:$G, AC$2, '임대사업(E)'!$Q:$Q, $J9, '임대사업(E)'!$C:$C, $L$1),
    COUNTIFS('환경부사업(F)'!$G:$G, AC$2, '환경부사업(F)'!$Q:$Q, $J9, '환경부사업(F)'!$C:$C, $L$1),
    COUNTIFS('프로젝트(G)'!$G:$G, AC$2, '프로젝트(G)'!$Q:$Q, $J9, '프로젝트(G)'!$C:$C, $L$1),
    COUNTIFS('협력사 EPC(H)'!$G:$G, AC$2, '협력사 EPC(H)'!$Q:$Q, $J9, '협력사 EPC(H)'!$C:$C, $L$1),
    COUNTIFS('기타(Z)'!$G:$G, AC$2, '기타(Z)'!$Q:$Q, $J9, '기타(Z)'!$C:$C, $L$1)
  ) = 0,
  "",
  COUNTIFS('발전사업(A)'!$G:$G, AC$2, '발전사업(A)'!$Q:$Q, $J9, '발전사업(A)'!$C:$C, $L$1)
  + COUNTIFS('자가소비(B)'!$G:$G, AC$2, '자가소비(B)'!$Q:$Q, $J9, '자가소비(B)'!$C:$C, $L$1)
  + COUNTIFS('PPA 사업(C)'!$G:$G, AC$2, 'PPA 사업(C)'!$Q:$Q, $J9, 'PPA 사업(C)'!$C:$C, $L$1)
  + COUNTIFS('리스사업(D)'!$G:$G, AC$2, '리스사업(D)'!$Q:$Q, $J9, '리스사업(D)'!$C:$C, $L$1)
  + COUNTIFS('임대사업(E)'!$G:$G, AC$2, '임대사업(E)'!$Q:$Q, $J9, '임대사업(E)'!$C:$C, $L$1)
  + COUNTIFS('환경부사업(F)'!$G:$G, AC$2, '환경부사업(F)'!$Q:$Q, $J9, '환경부사업(F)'!$C:$C, $L$1)
  + COUNTIFS('프로젝트(G)'!$G:$G, AC$2, '프로젝트(G)'!$Q:$Q, $J9, '프로젝트(G)'!$C:$C, $L$1)
  + COUNTIFS('협력사 EPC(H)'!$G:$G, AC$2, '협력사 EPC(H)'!$Q:$Q, $J9, '협력사 EPC(H)'!$C:$C, $L$1)
  + COUNTIFS('기타(Z)'!$G:$G, AC$2, '기타(Z)'!$Q:$Q, $J9, '기타(Z)'!$C:$C, $L$1)
)</f>
        <v/>
      </c>
      <c r="AE9" s="386" t="str">
        <f>IF(
  SUM(
    SUMIFS('발전사업(A)'!$I:$I,'발전사업(A)'!$G:$G,AE$2,'발전사업(A)'!$Q:$Q,$J9,'발전사업(A)'!$C:$C,$L$1),
    SUMIFS('자가소비(B)'!$I:$I,'자가소비(B)'!$G:$G,AE$2,'자가소비(B)'!$Q:$Q,$J9,'자가소비(B)'!$C:$C,$L$1),
    SUMIFS('PPA 사업(C)'!$I:$I,'PPA 사업(C)'!$G:$G,AE$2,'PPA 사업(C)'!$Q:$Q,$J9,'PPA 사업(C)'!$C:$C,$L$1),
    SUMIFS('리스사업(D)'!$I:$I,'리스사업(D)'!$G:$G,AE$2,'리스사업(D)'!$Q:$Q,$J9,'리스사업(D)'!$C:$C,$L$1),
    SUMIFS('임대사업(E)'!$I:$I,'임대사업(E)'!$G:$G,AE$2,'임대사업(E)'!$Q:$Q,$J9,'임대사업(E)'!$C:$C,$L$1),
    SUMIFS('환경부사업(F)'!$I:$I,'환경부사업(F)'!$G:$G,AE$2,'환경부사업(F)'!$Q:$Q,$J9,'환경부사업(F)'!$C:$C,$L$1),
    SUMIFS('프로젝트(G)'!$I:$I,'프로젝트(G)'!$G:$G,AE$2,'프로젝트(G)'!$Q:$Q,$J9,'프로젝트(G)'!$C:$C,$L$1),
    SUMIFS('협력사 EPC(H)'!$I:$I,'협력사 EPC(H)'!$G:$G,AE$2,'협력사 EPC(H)'!$Q:$Q,$J9,'협력사 EPC(H)'!$C:$C,$L$1),
    SUMIFS('기타(Z)'!$I:$I,'기타(Z)'!$G:$G,AE$2,'기타(Z)'!$Q:$Q,$J9,'기타(Z)'!$C:$C,$L$1)
  )=0,
  "",
  SUM(
    SUMIFS('발전사업(A)'!$I:$I,'발전사업(A)'!$G:$G,AE$2,'발전사업(A)'!$Q:$Q,$J9,'발전사업(A)'!$C:$C,$L$1),
    SUMIFS('자가소비(B)'!$I:$I,'자가소비(B)'!$G:$G,AE$2,'자가소비(B)'!$Q:$Q,$J9,'자가소비(B)'!$C:$C,$L$1),
    SUMIFS('PPA 사업(C)'!$I:$I,'PPA 사업(C)'!$G:$G,AE$2,'PPA 사업(C)'!$Q:$Q,$J9,'PPA 사업(C)'!$C:$C,$L$1),
    SUMIFS('리스사업(D)'!$I:$I,'리스사업(D)'!$G:$G,AE$2,'리스사업(D)'!$Q:$Q,$J9,'리스사업(D)'!$C:$C,$L$1),
    SUMIFS('임대사업(E)'!$I:$I,'임대사업(E)'!$G:$G,AE$2,'임대사업(E)'!$Q:$Q,$J9,'임대사업(E)'!$C:$C,$L$1),
    SUMIFS('환경부사업(F)'!$I:$I,'환경부사업(F)'!$G:$G,AE$2,'환경부사업(F)'!$Q:$Q,$J9,'환경부사업(F)'!$C:$C,$L$1),
    SUMIFS('프로젝트(G)'!$I:$I,'프로젝트(G)'!$G:$G,AE$2,'프로젝트(G)'!$Q:$Q,$J9,'프로젝트(G)'!$C:$C,$L$1),
    SUMIFS('협력사 EPC(H)'!$I:$I,'협력사 EPC(H)'!$G:$G,AE$2,'협력사 EPC(H)'!$Q:$Q,$J9,'협력사 EPC(H)'!$C:$C,$L$1),
    SUMIFS('기타(Z)'!$I:$I,'기타(Z)'!$G:$G,AE$2,'기타(Z)'!$Q:$Q,$J9,'기타(Z)'!$C:$C,$L$1)
  )
)</f>
        <v/>
      </c>
      <c r="AF9" s="387" t="str">
        <f>IF(
  SUM(
    COUNTIFS('발전사업(A)'!$G:$G, AE$2, '발전사업(A)'!$Q:$Q, $J9, '발전사업(A)'!$C:$C, $L$1),
    COUNTIFS('자가소비(B)'!$G:$G, AE$2, '자가소비(B)'!$Q:$Q, $J9, '자가소비(B)'!$C:$C, $L$1),
    COUNTIFS('PPA 사업(C)'!$G:$G, AE$2, 'PPA 사업(C)'!$Q:$Q, $J9, 'PPA 사업(C)'!$C:$C, $L$1),
    COUNTIFS('리스사업(D)'!$G:$G, AE$2, '리스사업(D)'!$Q:$Q, $J9, '리스사업(D)'!$C:$C, $L$1),
    COUNTIFS('임대사업(E)'!$G:$G, AE$2, '임대사업(E)'!$Q:$Q, $J9, '임대사업(E)'!$C:$C, $L$1),
    COUNTIFS('환경부사업(F)'!$G:$G, AE$2, '환경부사업(F)'!$Q:$Q, $J9, '환경부사업(F)'!$C:$C, $L$1),
    COUNTIFS('프로젝트(G)'!$G:$G, AE$2, '프로젝트(G)'!$Q:$Q, $J9, '프로젝트(G)'!$C:$C, $L$1),
    COUNTIFS('협력사 EPC(H)'!$G:$G, AE$2, '협력사 EPC(H)'!$Q:$Q, $J9, '협력사 EPC(H)'!$C:$C, $L$1),
    COUNTIFS('기타(Z)'!$G:$G, AE$2, '기타(Z)'!$Q:$Q, $J9, '기타(Z)'!$C:$C, $L$1)
  ) = 0,
  "",
  COUNTIFS('발전사업(A)'!$G:$G, AE$2, '발전사업(A)'!$Q:$Q, $J9, '발전사업(A)'!$C:$C, $L$1)
  + COUNTIFS('자가소비(B)'!$G:$G, AE$2, '자가소비(B)'!$Q:$Q, $J9, '자가소비(B)'!$C:$C, $L$1)
  + COUNTIFS('PPA 사업(C)'!$G:$G, AE$2, 'PPA 사업(C)'!$Q:$Q, $J9, 'PPA 사업(C)'!$C:$C, $L$1)
  + COUNTIFS('리스사업(D)'!$G:$G, AE$2, '리스사업(D)'!$Q:$Q, $J9, '리스사업(D)'!$C:$C, $L$1)
  + COUNTIFS('임대사업(E)'!$G:$G, AE$2, '임대사업(E)'!$Q:$Q, $J9, '임대사업(E)'!$C:$C, $L$1)
  + COUNTIFS('환경부사업(F)'!$G:$G, AE$2, '환경부사업(F)'!$Q:$Q, $J9, '환경부사업(F)'!$C:$C, $L$1)
  + COUNTIFS('프로젝트(G)'!$G:$G, AE$2, '프로젝트(G)'!$Q:$Q, $J9, '프로젝트(G)'!$C:$C, $L$1)
  + COUNTIFS('협력사 EPC(H)'!$G:$G, AE$2, '협력사 EPC(H)'!$Q:$Q, $J9, '협력사 EPC(H)'!$C:$C, $L$1)
  + COUNTIFS('기타(Z)'!$G:$G, AE$2, '기타(Z)'!$Q:$Q, $J9, '기타(Z)'!$C:$C, $L$1)
)</f>
        <v/>
      </c>
      <c r="AG9" s="386">
        <f>IF(
  SUM(
    SUMIFS('발전사업(A)'!$I:$I,'발전사업(A)'!$G:$G,AG$2,'발전사업(A)'!$Q:$Q,$J9,'발전사업(A)'!$C:$C,$L$1),
    SUMIFS('자가소비(B)'!$I:$I,'자가소비(B)'!$G:$G,AG$2,'자가소비(B)'!$Q:$Q,$J9,'자가소비(B)'!$C:$C,$L$1),
    SUMIFS('PPA 사업(C)'!$I:$I,'PPA 사업(C)'!$G:$G,AG$2,'PPA 사업(C)'!$Q:$Q,$J9,'PPA 사업(C)'!$C:$C,$L$1),
    SUMIFS('리스사업(D)'!$I:$I,'리스사업(D)'!$G:$G,AG$2,'리스사업(D)'!$Q:$Q,$J9,'리스사업(D)'!$C:$C,$L$1),
    SUMIFS('임대사업(E)'!$I:$I,'임대사업(E)'!$G:$G,AG$2,'임대사업(E)'!$Q:$Q,$J9,'임대사업(E)'!$C:$C,$L$1),
    SUMIFS('환경부사업(F)'!$I:$I,'환경부사업(F)'!$G:$G,AG$2,'환경부사업(F)'!$Q:$Q,$J9,'환경부사업(F)'!$C:$C,$L$1),
    SUMIFS('프로젝트(G)'!$I:$I,'프로젝트(G)'!$G:$G,AG$2,'프로젝트(G)'!$Q:$Q,$J9,'프로젝트(G)'!$C:$C,$L$1),
    SUMIFS('협력사 EPC(H)'!$I:$I,'협력사 EPC(H)'!$G:$G,AG$2,'협력사 EPC(H)'!$Q:$Q,$J9,'협력사 EPC(H)'!$C:$C,$L$1),
    SUMIFS('기타(Z)'!$I:$I,'기타(Z)'!$G:$G,AG$2,'기타(Z)'!$Q:$Q,$J9,'기타(Z)'!$C:$C,$L$1)
  )=0,
  "",
  SUM(
    SUMIFS('발전사업(A)'!$I:$I,'발전사업(A)'!$G:$G,AG$2,'발전사업(A)'!$Q:$Q,$J9,'발전사업(A)'!$C:$C,$L$1),
    SUMIFS('자가소비(B)'!$I:$I,'자가소비(B)'!$G:$G,AG$2,'자가소비(B)'!$Q:$Q,$J9,'자가소비(B)'!$C:$C,$L$1),
    SUMIFS('PPA 사업(C)'!$I:$I,'PPA 사업(C)'!$G:$G,AG$2,'PPA 사업(C)'!$Q:$Q,$J9,'PPA 사업(C)'!$C:$C,$L$1),
    SUMIFS('리스사업(D)'!$I:$I,'리스사업(D)'!$G:$G,AG$2,'리스사업(D)'!$Q:$Q,$J9,'리스사업(D)'!$C:$C,$L$1),
    SUMIFS('임대사업(E)'!$I:$I,'임대사업(E)'!$G:$G,AG$2,'임대사업(E)'!$Q:$Q,$J9,'임대사업(E)'!$C:$C,$L$1),
    SUMIFS('환경부사업(F)'!$I:$I,'환경부사업(F)'!$G:$G,AG$2,'환경부사업(F)'!$Q:$Q,$J9,'환경부사업(F)'!$C:$C,$L$1),
    SUMIFS('프로젝트(G)'!$I:$I,'프로젝트(G)'!$G:$G,AG$2,'프로젝트(G)'!$Q:$Q,$J9,'프로젝트(G)'!$C:$C,$L$1),
    SUMIFS('협력사 EPC(H)'!$I:$I,'협력사 EPC(H)'!$G:$G,AG$2,'협력사 EPC(H)'!$Q:$Q,$J9,'협력사 EPC(H)'!$C:$C,$L$1),
    SUMIFS('기타(Z)'!$I:$I,'기타(Z)'!$G:$G,AG$2,'기타(Z)'!$Q:$Q,$J9,'기타(Z)'!$C:$C,$L$1)
  )
)</f>
        <v>229.12</v>
      </c>
      <c r="AH9" s="387">
        <f>IF(
  SUM(
    COUNTIFS('발전사업(A)'!$G:$G, AG$2, '발전사업(A)'!$Q:$Q, $J9, '발전사업(A)'!$C:$C, $L$1),
    COUNTIFS('자가소비(B)'!$G:$G, AG$2, '자가소비(B)'!$Q:$Q, $J9, '자가소비(B)'!$C:$C, $L$1),
    COUNTIFS('PPA 사업(C)'!$G:$G, AG$2, 'PPA 사업(C)'!$Q:$Q, $J9, 'PPA 사업(C)'!$C:$C, $L$1),
    COUNTIFS('리스사업(D)'!$G:$G, AG$2, '리스사업(D)'!$Q:$Q, $J9, '리스사업(D)'!$C:$C, $L$1),
    COUNTIFS('임대사업(E)'!$G:$G, AG$2, '임대사업(E)'!$Q:$Q, $J9, '임대사업(E)'!$C:$C, $L$1),
    COUNTIFS('환경부사업(F)'!$G:$G, AG$2, '환경부사업(F)'!$Q:$Q, $J9, '환경부사업(F)'!$C:$C, $L$1),
    COUNTIFS('프로젝트(G)'!$G:$G, AG$2, '프로젝트(G)'!$Q:$Q, $J9, '프로젝트(G)'!$C:$C, $L$1),
    COUNTIFS('협력사 EPC(H)'!$G:$G, AG$2, '협력사 EPC(H)'!$Q:$Q, $J9, '협력사 EPC(H)'!$C:$C, $L$1),
    COUNTIFS('기타(Z)'!$G:$G, AG$2, '기타(Z)'!$Q:$Q, $J9, '기타(Z)'!$C:$C, $L$1)
  ) = 0,
  "",
  COUNTIFS('발전사업(A)'!$G:$G, AG$2, '발전사업(A)'!$Q:$Q, $J9, '발전사업(A)'!$C:$C, $L$1)
  + COUNTIFS('자가소비(B)'!$G:$G, AG$2, '자가소비(B)'!$Q:$Q, $J9, '자가소비(B)'!$C:$C, $L$1)
  + COUNTIFS('PPA 사업(C)'!$G:$G, AG$2, 'PPA 사업(C)'!$Q:$Q, $J9, 'PPA 사업(C)'!$C:$C, $L$1)
  + COUNTIFS('리스사업(D)'!$G:$G, AG$2, '리스사업(D)'!$Q:$Q, $J9, '리스사업(D)'!$C:$C, $L$1)
  + COUNTIFS('임대사업(E)'!$G:$G, AG$2, '임대사업(E)'!$Q:$Q, $J9, '임대사업(E)'!$C:$C, $L$1)
  + COUNTIFS('환경부사업(F)'!$G:$G, AG$2, '환경부사업(F)'!$Q:$Q, $J9, '환경부사업(F)'!$C:$C, $L$1)
  + COUNTIFS('프로젝트(G)'!$G:$G, AG$2, '프로젝트(G)'!$Q:$Q, $J9, '프로젝트(G)'!$C:$C, $L$1)
  + COUNTIFS('협력사 EPC(H)'!$G:$G, AG$2, '협력사 EPC(H)'!$Q:$Q, $J9, '협력사 EPC(H)'!$C:$C, $L$1)
  + COUNTIFS('기타(Z)'!$G:$G, AG$2, '기타(Z)'!$Q:$Q, $J9, '기타(Z)'!$C:$C, $L$1)
)</f>
        <v>1</v>
      </c>
      <c r="AI9" s="386" t="str">
        <f>IF(
  SUM(
    SUMIFS('발전사업(A)'!$I:$I,'발전사업(A)'!$G:$G,AI$2,'발전사업(A)'!$Q:$Q,$J9,'발전사업(A)'!$C:$C,$L$1),
    SUMIFS('자가소비(B)'!$I:$I,'자가소비(B)'!$G:$G,AI$2,'자가소비(B)'!$Q:$Q,$J9,'자가소비(B)'!$C:$C,$L$1),
    SUMIFS('PPA 사업(C)'!$I:$I,'PPA 사업(C)'!$G:$G,AI$2,'PPA 사업(C)'!$Q:$Q,$J9,'PPA 사업(C)'!$C:$C,$L$1),
    SUMIFS('리스사업(D)'!$I:$I,'리스사업(D)'!$G:$G,AI$2,'리스사업(D)'!$Q:$Q,$J9,'리스사업(D)'!$C:$C,$L$1),
    SUMIFS('임대사업(E)'!$I:$I,'임대사업(E)'!$G:$G,AI$2,'임대사업(E)'!$Q:$Q,$J9,'임대사업(E)'!$C:$C,$L$1),
    SUMIFS('환경부사업(F)'!$I:$I,'환경부사업(F)'!$G:$G,AI$2,'환경부사업(F)'!$Q:$Q,$J9,'환경부사업(F)'!$C:$C,$L$1),
    SUMIFS('프로젝트(G)'!$I:$I,'프로젝트(G)'!$G:$G,AI$2,'프로젝트(G)'!$Q:$Q,$J9,'프로젝트(G)'!$C:$C,$L$1),
    SUMIFS('협력사 EPC(H)'!$I:$I,'협력사 EPC(H)'!$G:$G,AI$2,'협력사 EPC(H)'!$Q:$Q,$J9,'협력사 EPC(H)'!$C:$C,$L$1),
    SUMIFS('기타(Z)'!$I:$I,'기타(Z)'!$G:$G,AI$2,'기타(Z)'!$Q:$Q,$J9,'기타(Z)'!$C:$C,$L$1)
  )=0,
  "",
  SUM(
    SUMIFS('발전사업(A)'!$I:$I,'발전사업(A)'!$G:$G,AI$2,'발전사업(A)'!$Q:$Q,$J9,'발전사업(A)'!$C:$C,$L$1),
    SUMIFS('자가소비(B)'!$I:$I,'자가소비(B)'!$G:$G,AI$2,'자가소비(B)'!$Q:$Q,$J9,'자가소비(B)'!$C:$C,$L$1),
    SUMIFS('PPA 사업(C)'!$I:$I,'PPA 사업(C)'!$G:$G,AI$2,'PPA 사업(C)'!$Q:$Q,$J9,'PPA 사업(C)'!$C:$C,$L$1),
    SUMIFS('리스사업(D)'!$I:$I,'리스사업(D)'!$G:$G,AI$2,'리스사업(D)'!$Q:$Q,$J9,'리스사업(D)'!$C:$C,$L$1),
    SUMIFS('임대사업(E)'!$I:$I,'임대사업(E)'!$G:$G,AI$2,'임대사업(E)'!$Q:$Q,$J9,'임대사업(E)'!$C:$C,$L$1),
    SUMIFS('환경부사업(F)'!$I:$I,'환경부사업(F)'!$G:$G,AI$2,'환경부사업(F)'!$Q:$Q,$J9,'환경부사업(F)'!$C:$C,$L$1),
    SUMIFS('프로젝트(G)'!$I:$I,'프로젝트(G)'!$G:$G,AI$2,'프로젝트(G)'!$Q:$Q,$J9,'프로젝트(G)'!$C:$C,$L$1),
    SUMIFS('협력사 EPC(H)'!$I:$I,'협력사 EPC(H)'!$G:$G,AI$2,'협력사 EPC(H)'!$Q:$Q,$J9,'협력사 EPC(H)'!$C:$C,$L$1),
    SUMIFS('기타(Z)'!$I:$I,'기타(Z)'!$G:$G,AI$2,'기타(Z)'!$Q:$Q,$J9,'기타(Z)'!$C:$C,$L$1)
  )
)</f>
        <v/>
      </c>
      <c r="AJ9" s="385" t="str">
        <f>IF(
  SUM(
    COUNTIFS('발전사업(A)'!$G:$G, AI$2, '발전사업(A)'!$Q:$Q, $J9, '발전사업(A)'!$C:$C, $L$1),
    COUNTIFS('자가소비(B)'!$G:$G, AI$2, '자가소비(B)'!$Q:$Q, $J9, '자가소비(B)'!$C:$C, $L$1),
    COUNTIFS('PPA 사업(C)'!$G:$G, AI$2, 'PPA 사업(C)'!$Q:$Q, $J9, 'PPA 사업(C)'!$C:$C, $L$1),
    COUNTIFS('리스사업(D)'!$G:$G, AI$2, '리스사업(D)'!$Q:$Q, $J9, '리스사업(D)'!$C:$C, $L$1),
    COUNTIFS('임대사업(E)'!$G:$G, AI$2, '임대사업(E)'!$Q:$Q, $J9, '임대사업(E)'!$C:$C, $L$1),
    COUNTIFS('환경부사업(F)'!$G:$G, AI$2, '환경부사업(F)'!$Q:$Q, $J9, '환경부사업(F)'!$C:$C, $L$1),
    COUNTIFS('프로젝트(G)'!$G:$G, AI$2, '프로젝트(G)'!$Q:$Q, $J9, '프로젝트(G)'!$C:$C, $L$1),
    COUNTIFS('협력사 EPC(H)'!$G:$G, AI$2, '협력사 EPC(H)'!$Q:$Q, $J9, '협력사 EPC(H)'!$C:$C, $L$1),
    COUNTIFS('기타(Z)'!$G:$G, AI$2, '기타(Z)'!$Q:$Q, $J9, '기타(Z)'!$C:$C, $L$1)
  ) = 0,
  "",
  COUNTIFS('발전사업(A)'!$G:$G, AI$2, '발전사업(A)'!$Q:$Q, $J9, '발전사업(A)'!$C:$C, $L$1)
  + COUNTIFS('자가소비(B)'!$G:$G, AI$2, '자가소비(B)'!$Q:$Q, $J9, '자가소비(B)'!$C:$C, $L$1)
  + COUNTIFS('PPA 사업(C)'!$G:$G, AI$2, 'PPA 사업(C)'!$Q:$Q, $J9, 'PPA 사업(C)'!$C:$C, $L$1)
  + COUNTIFS('리스사업(D)'!$G:$G, AI$2, '리스사업(D)'!$Q:$Q, $J9, '리스사업(D)'!$C:$C, $L$1)
  + COUNTIFS('임대사업(E)'!$G:$G, AI$2, '임대사업(E)'!$Q:$Q, $J9, '임대사업(E)'!$C:$C, $L$1)
  + COUNTIFS('환경부사업(F)'!$G:$G, AI$2, '환경부사업(F)'!$Q:$Q, $J9, '환경부사업(F)'!$C:$C, $L$1)
  + COUNTIFS('프로젝트(G)'!$G:$G, AI$2, '프로젝트(G)'!$Q:$Q, $J9, '프로젝트(G)'!$C:$C, $L$1)
  + COUNTIFS('협력사 EPC(H)'!$G:$G, AI$2, '협력사 EPC(H)'!$Q:$Q, $J9, '협력사 EPC(H)'!$C:$C, $L$1)
  + COUNTIFS('기타(Z)'!$G:$G, AI$2, '기타(Z)'!$Q:$Q, $J9, '기타(Z)'!$C:$C, $L$1)
)</f>
        <v/>
      </c>
    </row>
    <row r="10" spans="2:36" ht="15" x14ac:dyDescent="0.25">
      <c r="B10" s="202" t="s">
        <v>264</v>
      </c>
      <c r="C10" s="280">
        <f t="shared" si="2"/>
        <v>363.70499999999998</v>
      </c>
      <c r="D10" s="281">
        <f t="shared" si="2"/>
        <v>4</v>
      </c>
      <c r="E10" s="280">
        <f t="shared" si="3"/>
        <v>363.70499999999998</v>
      </c>
      <c r="F10" s="281">
        <f t="shared" si="3"/>
        <v>4</v>
      </c>
      <c r="G10" s="280" t="str">
        <f t="shared" si="4"/>
        <v/>
      </c>
      <c r="H10" s="281" t="str">
        <f t="shared" si="4"/>
        <v/>
      </c>
      <c r="J10" s="391" t="s">
        <v>2134</v>
      </c>
      <c r="K10" s="374">
        <f t="shared" si="0"/>
        <v>81.92</v>
      </c>
      <c r="L10" s="368">
        <f t="shared" si="1"/>
        <v>1</v>
      </c>
      <c r="M10" s="386" t="str">
        <f>IF(
  SUM(
    SUMIFS('발전사업(A)'!$I:$I,'발전사업(A)'!$G:$G,M$2,'발전사업(A)'!$Q:$Q,$J10,'발전사업(A)'!$C:$C,$L$1),
    SUMIFS('자가소비(B)'!$I:$I,'자가소비(B)'!$G:$G,M$2,'자가소비(B)'!$Q:$Q,$J10,'자가소비(B)'!$C:$C,$L$1),
    SUMIFS('PPA 사업(C)'!$I:$I,'PPA 사업(C)'!$G:$G,M$2,'PPA 사업(C)'!$Q:$Q,$J10,'PPA 사업(C)'!$C:$C,$L$1),
    SUMIFS('리스사업(D)'!$I:$I,'리스사업(D)'!$G:$G,M$2,'리스사업(D)'!$Q:$Q,$J10,'리스사업(D)'!$C:$C,$L$1),
    SUMIFS('임대사업(E)'!$I:$I,'임대사업(E)'!$G:$G,M$2,'임대사업(E)'!$Q:$Q,$J10,'임대사업(E)'!$C:$C,$L$1),
    SUMIFS('환경부사업(F)'!$I:$I,'환경부사업(F)'!$G:$G,M$2,'환경부사업(F)'!$Q:$Q,$J10,'환경부사업(F)'!$C:$C,$L$1),
    SUMIFS('프로젝트(G)'!$I:$I,'프로젝트(G)'!$G:$G,M$2,'프로젝트(G)'!$Q:$Q,$J10,'프로젝트(G)'!$C:$C,$L$1),
    SUMIFS('협력사 EPC(H)'!$I:$I,'협력사 EPC(H)'!$G:$G,M$2,'협력사 EPC(H)'!$Q:$Q,$J10,'협력사 EPC(H)'!$C:$C,$L$1),
    SUMIFS('기타(Z)'!$I:$I,'기타(Z)'!$G:$G,M$2,'기타(Z)'!$Q:$Q,$J10,'기타(Z)'!$C:$C,$L$1)
  )=0,
  "",
  SUM(
    SUMIFS('발전사업(A)'!$I:$I,'발전사업(A)'!$G:$G,M$2,'발전사업(A)'!$Q:$Q,$J10,'발전사업(A)'!$C:$C,$L$1),
    SUMIFS('자가소비(B)'!$I:$I,'자가소비(B)'!$G:$G,M$2,'자가소비(B)'!$Q:$Q,$J10,'자가소비(B)'!$C:$C,$L$1),
    SUMIFS('PPA 사업(C)'!$I:$I,'PPA 사업(C)'!$G:$G,M$2,'PPA 사업(C)'!$Q:$Q,$J10,'PPA 사업(C)'!$C:$C,$L$1),
    SUMIFS('리스사업(D)'!$I:$I,'리스사업(D)'!$G:$G,M$2,'리스사업(D)'!$Q:$Q,$J10,'리스사업(D)'!$C:$C,$L$1),
    SUMIFS('임대사업(E)'!$I:$I,'임대사업(E)'!$G:$G,M$2,'임대사업(E)'!$Q:$Q,$J10,'임대사업(E)'!$C:$C,$L$1),
    SUMIFS('환경부사업(F)'!$I:$I,'환경부사업(F)'!$G:$G,M$2,'환경부사업(F)'!$Q:$Q,$J10,'환경부사업(F)'!$C:$C,$L$1),
    SUMIFS('프로젝트(G)'!$I:$I,'프로젝트(G)'!$G:$G,M$2,'프로젝트(G)'!$Q:$Q,$J10,'프로젝트(G)'!$C:$C,$L$1),
    SUMIFS('협력사 EPC(H)'!$I:$I,'협력사 EPC(H)'!$G:$G,M$2,'협력사 EPC(H)'!$Q:$Q,$J10,'협력사 EPC(H)'!$C:$C,$L$1),
    SUMIFS('기타(Z)'!$I:$I,'기타(Z)'!$G:$G,M$2,'기타(Z)'!$Q:$Q,$J10,'기타(Z)'!$C:$C,$L$1)
  )
)</f>
        <v/>
      </c>
      <c r="N10" s="387" t="str">
        <f>IF(
  SUM(
    COUNTIFS('발전사업(A)'!$G:$G, M$2, '발전사업(A)'!$Q:$Q, $J10, '발전사업(A)'!$C:$C, $L$1),
    COUNTIFS('자가소비(B)'!$G:$G, M$2, '자가소비(B)'!$Q:$Q, $J10, '자가소비(B)'!$C:$C, $L$1),
    COUNTIFS('PPA 사업(C)'!$G:$G, M$2, 'PPA 사업(C)'!$Q:$Q, $J10, 'PPA 사업(C)'!$C:$C, $L$1),
    COUNTIFS('리스사업(D)'!$G:$G, M$2, '리스사업(D)'!$Q:$Q, $J10, '리스사업(D)'!$C:$C, $L$1),
    COUNTIFS('임대사업(E)'!$G:$G, M$2, '임대사업(E)'!$Q:$Q, $J10, '임대사업(E)'!$C:$C, $L$1),
    COUNTIFS('환경부사업(F)'!$G:$G, M$2, '환경부사업(F)'!$Q:$Q, $J10, '환경부사업(F)'!$C:$C, $L$1),
    COUNTIFS('프로젝트(G)'!$G:$G, M$2, '프로젝트(G)'!$Q:$Q, $J10, '프로젝트(G)'!$C:$C, $L$1),
    COUNTIFS('협력사 EPC(H)'!$G:$G, M$2, '협력사 EPC(H)'!$Q:$Q, $J10, '협력사 EPC(H)'!$C:$C, $L$1),
    COUNTIFS('기타(Z)'!$G:$G, M$2, '기타(Z)'!$Q:$Q, $J10, '기타(Z)'!$C:$C, $L$1)
  ) = 0,
  "",
  COUNTIFS('발전사업(A)'!$G:$G, M$2, '발전사업(A)'!$Q:$Q, $J10, '발전사업(A)'!$C:$C, $L$1)
  + COUNTIFS('자가소비(B)'!$G:$G, M$2, '자가소비(B)'!$Q:$Q, $J10, '자가소비(B)'!$C:$C, $L$1)
  + COUNTIFS('PPA 사업(C)'!$G:$G, M$2, 'PPA 사업(C)'!$Q:$Q, $J10, 'PPA 사업(C)'!$C:$C, $L$1)
  + COUNTIFS('리스사업(D)'!$G:$G, M$2, '리스사업(D)'!$Q:$Q, $J10, '리스사업(D)'!$C:$C, $L$1)
  + COUNTIFS('임대사업(E)'!$G:$G, M$2, '임대사업(E)'!$Q:$Q, $J10, '임대사업(E)'!$C:$C, $L$1)
  + COUNTIFS('환경부사업(F)'!$G:$G, M$2, '환경부사업(F)'!$Q:$Q, $J10, '환경부사업(F)'!$C:$C, $L$1)
  + COUNTIFS('프로젝트(G)'!$G:$G, M$2, '프로젝트(G)'!$Q:$Q, $J10, '프로젝트(G)'!$C:$C, $L$1)
  + COUNTIFS('협력사 EPC(H)'!$G:$G, M$2, '협력사 EPC(H)'!$Q:$Q, $J10, '협력사 EPC(H)'!$C:$C, $L$1)
  + COUNTIFS('기타(Z)'!$G:$G, M$2, '기타(Z)'!$Q:$Q, $J10, '기타(Z)'!$C:$C, $L$1)
)</f>
        <v/>
      </c>
      <c r="O10" s="386" t="str">
        <f>IF(
  SUM(
    SUMIFS('발전사업(A)'!$I:$I,'발전사업(A)'!$G:$G,O$2,'발전사업(A)'!$Q:$Q,$J10,'발전사업(A)'!$C:$C,$L$1),
    SUMIFS('자가소비(B)'!$I:$I,'자가소비(B)'!$G:$G,O$2,'자가소비(B)'!$Q:$Q,$J10,'자가소비(B)'!$C:$C,$L$1),
    SUMIFS('PPA 사업(C)'!$I:$I,'PPA 사업(C)'!$G:$G,O$2,'PPA 사업(C)'!$Q:$Q,$J10,'PPA 사업(C)'!$C:$C,$L$1),
    SUMIFS('리스사업(D)'!$I:$I,'리스사업(D)'!$G:$G,O$2,'리스사업(D)'!$Q:$Q,$J10,'리스사업(D)'!$C:$C,$L$1),
    SUMIFS('임대사업(E)'!$I:$I,'임대사업(E)'!$G:$G,O$2,'임대사업(E)'!$Q:$Q,$J10,'임대사업(E)'!$C:$C,$L$1),
    SUMIFS('환경부사업(F)'!$I:$I,'환경부사업(F)'!$G:$G,O$2,'환경부사업(F)'!$Q:$Q,$J10,'환경부사업(F)'!$C:$C,$L$1),
    SUMIFS('프로젝트(G)'!$I:$I,'프로젝트(G)'!$G:$G,O$2,'프로젝트(G)'!$Q:$Q,$J10,'프로젝트(G)'!$C:$C,$L$1),
    SUMIFS('협력사 EPC(H)'!$I:$I,'협력사 EPC(H)'!$G:$G,O$2,'협력사 EPC(H)'!$Q:$Q,$J10,'협력사 EPC(H)'!$C:$C,$L$1),
    SUMIFS('기타(Z)'!$I:$I,'기타(Z)'!$G:$G,O$2,'기타(Z)'!$Q:$Q,$J10,'기타(Z)'!$C:$C,$L$1)
  )=0,
  "",
  SUM(
    SUMIFS('발전사업(A)'!$I:$I,'발전사업(A)'!$G:$G,O$2,'발전사업(A)'!$Q:$Q,$J10,'발전사업(A)'!$C:$C,$L$1),
    SUMIFS('자가소비(B)'!$I:$I,'자가소비(B)'!$G:$G,O$2,'자가소비(B)'!$Q:$Q,$J10,'자가소비(B)'!$C:$C,$L$1),
    SUMIFS('PPA 사업(C)'!$I:$I,'PPA 사업(C)'!$G:$G,O$2,'PPA 사업(C)'!$Q:$Q,$J10,'PPA 사업(C)'!$C:$C,$L$1),
    SUMIFS('리스사업(D)'!$I:$I,'리스사업(D)'!$G:$G,O$2,'리스사업(D)'!$Q:$Q,$J10,'리스사업(D)'!$C:$C,$L$1),
    SUMIFS('임대사업(E)'!$I:$I,'임대사업(E)'!$G:$G,O$2,'임대사업(E)'!$Q:$Q,$J10,'임대사업(E)'!$C:$C,$L$1),
    SUMIFS('환경부사업(F)'!$I:$I,'환경부사업(F)'!$G:$G,O$2,'환경부사업(F)'!$Q:$Q,$J10,'환경부사업(F)'!$C:$C,$L$1),
    SUMIFS('프로젝트(G)'!$I:$I,'프로젝트(G)'!$G:$G,O$2,'프로젝트(G)'!$Q:$Q,$J10,'프로젝트(G)'!$C:$C,$L$1),
    SUMIFS('협력사 EPC(H)'!$I:$I,'협력사 EPC(H)'!$G:$G,O$2,'협력사 EPC(H)'!$Q:$Q,$J10,'협력사 EPC(H)'!$C:$C,$L$1),
    SUMIFS('기타(Z)'!$I:$I,'기타(Z)'!$G:$G,O$2,'기타(Z)'!$Q:$Q,$J10,'기타(Z)'!$C:$C,$L$1)
  )
)</f>
        <v/>
      </c>
      <c r="P10" s="387" t="str">
        <f>IF(
  SUM(
    COUNTIFS('발전사업(A)'!$G:$G, O$2, '발전사업(A)'!$Q:$Q, $J10, '발전사업(A)'!$C:$C, $L$1),
    COUNTIFS('자가소비(B)'!$G:$G, O$2, '자가소비(B)'!$Q:$Q, $J10, '자가소비(B)'!$C:$C, $L$1),
    COUNTIFS('PPA 사업(C)'!$G:$G, O$2, 'PPA 사업(C)'!$Q:$Q, $J10, 'PPA 사업(C)'!$C:$C, $L$1),
    COUNTIFS('리스사업(D)'!$G:$G, O$2, '리스사업(D)'!$Q:$Q, $J10, '리스사업(D)'!$C:$C, $L$1),
    COUNTIFS('임대사업(E)'!$G:$G, O$2, '임대사업(E)'!$Q:$Q, $J10, '임대사업(E)'!$C:$C, $L$1),
    COUNTIFS('환경부사업(F)'!$G:$G, O$2, '환경부사업(F)'!$Q:$Q, $J10, '환경부사업(F)'!$C:$C, $L$1),
    COUNTIFS('프로젝트(G)'!$G:$G, O$2, '프로젝트(G)'!$Q:$Q, $J10, '프로젝트(G)'!$C:$C, $L$1),
    COUNTIFS('협력사 EPC(H)'!$G:$G, O$2, '협력사 EPC(H)'!$Q:$Q, $J10, '협력사 EPC(H)'!$C:$C, $L$1),
    COUNTIFS('기타(Z)'!$G:$G, O$2, '기타(Z)'!$Q:$Q, $J10, '기타(Z)'!$C:$C, $L$1)
  ) = 0,
  "",
  COUNTIFS('발전사업(A)'!$G:$G, O$2, '발전사업(A)'!$Q:$Q, $J10, '발전사업(A)'!$C:$C, $L$1)
  + COUNTIFS('자가소비(B)'!$G:$G, O$2, '자가소비(B)'!$Q:$Q, $J10, '자가소비(B)'!$C:$C, $L$1)
  + COUNTIFS('PPA 사업(C)'!$G:$G, O$2, 'PPA 사업(C)'!$Q:$Q, $J10, 'PPA 사업(C)'!$C:$C, $L$1)
  + COUNTIFS('리스사업(D)'!$G:$G, O$2, '리스사업(D)'!$Q:$Q, $J10, '리스사업(D)'!$C:$C, $L$1)
  + COUNTIFS('임대사업(E)'!$G:$G, O$2, '임대사업(E)'!$Q:$Q, $J10, '임대사업(E)'!$C:$C, $L$1)
  + COUNTIFS('환경부사업(F)'!$G:$G, O$2, '환경부사업(F)'!$Q:$Q, $J10, '환경부사업(F)'!$C:$C, $L$1)
  + COUNTIFS('프로젝트(G)'!$G:$G, O$2, '프로젝트(G)'!$Q:$Q, $J10, '프로젝트(G)'!$C:$C, $L$1)
  + COUNTIFS('협력사 EPC(H)'!$G:$G, O$2, '협력사 EPC(H)'!$Q:$Q, $J10, '협력사 EPC(H)'!$C:$C, $L$1)
  + COUNTIFS('기타(Z)'!$G:$G, O$2, '기타(Z)'!$Q:$Q, $J10, '기타(Z)'!$C:$C, $L$1)
)</f>
        <v/>
      </c>
      <c r="Q10" s="386" t="str">
        <f>IF(
  SUM(
    SUMIFS('발전사업(A)'!$I:$I,'발전사업(A)'!$G:$G,Q$2,'발전사업(A)'!$Q:$Q,$J10,'발전사업(A)'!$C:$C,$L$1),
    SUMIFS('자가소비(B)'!$I:$I,'자가소비(B)'!$G:$G,Q$2,'자가소비(B)'!$Q:$Q,$J10,'자가소비(B)'!$C:$C,$L$1),
    SUMIFS('PPA 사업(C)'!$I:$I,'PPA 사업(C)'!$G:$G,Q$2,'PPA 사업(C)'!$Q:$Q,$J10,'PPA 사업(C)'!$C:$C,$L$1),
    SUMIFS('리스사업(D)'!$I:$I,'리스사업(D)'!$G:$G,Q$2,'리스사업(D)'!$Q:$Q,$J10,'리스사업(D)'!$C:$C,$L$1),
    SUMIFS('임대사업(E)'!$I:$I,'임대사업(E)'!$G:$G,Q$2,'임대사업(E)'!$Q:$Q,$J10,'임대사업(E)'!$C:$C,$L$1),
    SUMIFS('환경부사업(F)'!$I:$I,'환경부사업(F)'!$G:$G,Q$2,'환경부사업(F)'!$Q:$Q,$J10,'환경부사업(F)'!$C:$C,$L$1),
    SUMIFS('프로젝트(G)'!$I:$I,'프로젝트(G)'!$G:$G,Q$2,'프로젝트(G)'!$Q:$Q,$J10,'프로젝트(G)'!$C:$C,$L$1),
    SUMIFS('협력사 EPC(H)'!$I:$I,'협력사 EPC(H)'!$G:$G,Q$2,'협력사 EPC(H)'!$Q:$Q,$J10,'협력사 EPC(H)'!$C:$C,$L$1),
    SUMIFS('기타(Z)'!$I:$I,'기타(Z)'!$G:$G,Q$2,'기타(Z)'!$Q:$Q,$J10,'기타(Z)'!$C:$C,$L$1)
  )=0,
  "",
  SUM(
    SUMIFS('발전사업(A)'!$I:$I,'발전사업(A)'!$G:$G,Q$2,'발전사업(A)'!$Q:$Q,$J10,'발전사업(A)'!$C:$C,$L$1),
    SUMIFS('자가소비(B)'!$I:$I,'자가소비(B)'!$G:$G,Q$2,'자가소비(B)'!$Q:$Q,$J10,'자가소비(B)'!$C:$C,$L$1),
    SUMIFS('PPA 사업(C)'!$I:$I,'PPA 사업(C)'!$G:$G,Q$2,'PPA 사업(C)'!$Q:$Q,$J10,'PPA 사업(C)'!$C:$C,$L$1),
    SUMIFS('리스사업(D)'!$I:$I,'리스사업(D)'!$G:$G,Q$2,'리스사업(D)'!$Q:$Q,$J10,'리스사업(D)'!$C:$C,$L$1),
    SUMIFS('임대사업(E)'!$I:$I,'임대사업(E)'!$G:$G,Q$2,'임대사업(E)'!$Q:$Q,$J10,'임대사업(E)'!$C:$C,$L$1),
    SUMIFS('환경부사업(F)'!$I:$I,'환경부사업(F)'!$G:$G,Q$2,'환경부사업(F)'!$Q:$Q,$J10,'환경부사업(F)'!$C:$C,$L$1),
    SUMIFS('프로젝트(G)'!$I:$I,'프로젝트(G)'!$G:$G,Q$2,'프로젝트(G)'!$Q:$Q,$J10,'프로젝트(G)'!$C:$C,$L$1),
    SUMIFS('협력사 EPC(H)'!$I:$I,'협력사 EPC(H)'!$G:$G,Q$2,'협력사 EPC(H)'!$Q:$Q,$J10,'협력사 EPC(H)'!$C:$C,$L$1),
    SUMIFS('기타(Z)'!$I:$I,'기타(Z)'!$G:$G,Q$2,'기타(Z)'!$Q:$Q,$J10,'기타(Z)'!$C:$C,$L$1)
  )
)</f>
        <v/>
      </c>
      <c r="R10" s="387" t="str">
        <f>IF(
  SUM(
    COUNTIFS('발전사업(A)'!$G:$G, Q$2, '발전사업(A)'!$Q:$Q, $J10, '발전사업(A)'!$C:$C, $L$1),
    COUNTIFS('자가소비(B)'!$G:$G, Q$2, '자가소비(B)'!$Q:$Q, $J10, '자가소비(B)'!$C:$C, $L$1),
    COUNTIFS('PPA 사업(C)'!$G:$G, Q$2, 'PPA 사업(C)'!$Q:$Q, $J10, 'PPA 사업(C)'!$C:$C, $L$1),
    COUNTIFS('리스사업(D)'!$G:$G, Q$2, '리스사업(D)'!$Q:$Q, $J10, '리스사업(D)'!$C:$C, $L$1),
    COUNTIFS('임대사업(E)'!$G:$G, Q$2, '임대사업(E)'!$Q:$Q, $J10, '임대사업(E)'!$C:$C, $L$1),
    COUNTIFS('환경부사업(F)'!$G:$G, Q$2, '환경부사업(F)'!$Q:$Q, $J10, '환경부사업(F)'!$C:$C, $L$1),
    COUNTIFS('프로젝트(G)'!$G:$G, Q$2, '프로젝트(G)'!$Q:$Q, $J10, '프로젝트(G)'!$C:$C, $L$1),
    COUNTIFS('협력사 EPC(H)'!$G:$G, Q$2, '협력사 EPC(H)'!$Q:$Q, $J10, '협력사 EPC(H)'!$C:$C, $L$1),
    COUNTIFS('기타(Z)'!$G:$G, Q$2, '기타(Z)'!$Q:$Q, $J10, '기타(Z)'!$C:$C, $L$1)
  ) = 0,
  "",
  COUNTIFS('발전사업(A)'!$G:$G, Q$2, '발전사업(A)'!$Q:$Q, $J10, '발전사업(A)'!$C:$C, $L$1)
  + COUNTIFS('자가소비(B)'!$G:$G, Q$2, '자가소비(B)'!$Q:$Q, $J10, '자가소비(B)'!$C:$C, $L$1)
  + COUNTIFS('PPA 사업(C)'!$G:$G, Q$2, 'PPA 사업(C)'!$Q:$Q, $J10, 'PPA 사업(C)'!$C:$C, $L$1)
  + COUNTIFS('리스사업(D)'!$G:$G, Q$2, '리스사업(D)'!$Q:$Q, $J10, '리스사업(D)'!$C:$C, $L$1)
  + COUNTIFS('임대사업(E)'!$G:$G, Q$2, '임대사업(E)'!$Q:$Q, $J10, '임대사업(E)'!$C:$C, $L$1)
  + COUNTIFS('환경부사업(F)'!$G:$G, Q$2, '환경부사업(F)'!$Q:$Q, $J10, '환경부사업(F)'!$C:$C, $L$1)
  + COUNTIFS('프로젝트(G)'!$G:$G, Q$2, '프로젝트(G)'!$Q:$Q, $J10, '프로젝트(G)'!$C:$C, $L$1)
  + COUNTIFS('협력사 EPC(H)'!$G:$G, Q$2, '협력사 EPC(H)'!$Q:$Q, $J10, '협력사 EPC(H)'!$C:$C, $L$1)
  + COUNTIFS('기타(Z)'!$G:$G, Q$2, '기타(Z)'!$Q:$Q, $J10, '기타(Z)'!$C:$C, $L$1)
)</f>
        <v/>
      </c>
      <c r="S10" s="386">
        <f>IF(
  SUM(
    SUMIFS('발전사업(A)'!$I:$I,'발전사업(A)'!$G:$G,S$2,'발전사업(A)'!$Q:$Q,$J10,'발전사업(A)'!$C:$C,$L$1),
    SUMIFS('자가소비(B)'!$I:$I,'자가소비(B)'!$G:$G,S$2,'자가소비(B)'!$Q:$Q,$J10,'자가소비(B)'!$C:$C,$L$1),
    SUMIFS('PPA 사업(C)'!$I:$I,'PPA 사업(C)'!$G:$G,S$2,'PPA 사업(C)'!$Q:$Q,$J10,'PPA 사업(C)'!$C:$C,$L$1),
    SUMIFS('리스사업(D)'!$I:$I,'리스사업(D)'!$G:$G,S$2,'리스사업(D)'!$Q:$Q,$J10,'리스사업(D)'!$C:$C,$L$1),
    SUMIFS('임대사업(E)'!$I:$I,'임대사업(E)'!$G:$G,S$2,'임대사업(E)'!$Q:$Q,$J10,'임대사업(E)'!$C:$C,$L$1),
    SUMIFS('환경부사업(F)'!$I:$I,'환경부사업(F)'!$G:$G,S$2,'환경부사업(F)'!$Q:$Q,$J10,'환경부사업(F)'!$C:$C,$L$1),
    SUMIFS('프로젝트(G)'!$I:$I,'프로젝트(G)'!$G:$G,S$2,'프로젝트(G)'!$Q:$Q,$J10,'프로젝트(G)'!$C:$C,$L$1),
    SUMIFS('협력사 EPC(H)'!$I:$I,'협력사 EPC(H)'!$G:$G,S$2,'협력사 EPC(H)'!$Q:$Q,$J10,'협력사 EPC(H)'!$C:$C,$L$1),
    SUMIFS('기타(Z)'!$I:$I,'기타(Z)'!$G:$G,S$2,'기타(Z)'!$Q:$Q,$J10,'기타(Z)'!$C:$C,$L$1)
  )=0,
  "",
  SUM(
    SUMIFS('발전사업(A)'!$I:$I,'발전사업(A)'!$G:$G,S$2,'발전사업(A)'!$Q:$Q,$J10,'발전사업(A)'!$C:$C,$L$1),
    SUMIFS('자가소비(B)'!$I:$I,'자가소비(B)'!$G:$G,S$2,'자가소비(B)'!$Q:$Q,$J10,'자가소비(B)'!$C:$C,$L$1),
    SUMIFS('PPA 사업(C)'!$I:$I,'PPA 사업(C)'!$G:$G,S$2,'PPA 사업(C)'!$Q:$Q,$J10,'PPA 사업(C)'!$C:$C,$L$1),
    SUMIFS('리스사업(D)'!$I:$I,'리스사업(D)'!$G:$G,S$2,'리스사업(D)'!$Q:$Q,$J10,'리스사업(D)'!$C:$C,$L$1),
    SUMIFS('임대사업(E)'!$I:$I,'임대사업(E)'!$G:$G,S$2,'임대사업(E)'!$Q:$Q,$J10,'임대사업(E)'!$C:$C,$L$1),
    SUMIFS('환경부사업(F)'!$I:$I,'환경부사업(F)'!$G:$G,S$2,'환경부사업(F)'!$Q:$Q,$J10,'환경부사업(F)'!$C:$C,$L$1),
    SUMIFS('프로젝트(G)'!$I:$I,'프로젝트(G)'!$G:$G,S$2,'프로젝트(G)'!$Q:$Q,$J10,'프로젝트(G)'!$C:$C,$L$1),
    SUMIFS('협력사 EPC(H)'!$I:$I,'협력사 EPC(H)'!$G:$G,S$2,'협력사 EPC(H)'!$Q:$Q,$J10,'협력사 EPC(H)'!$C:$C,$L$1),
    SUMIFS('기타(Z)'!$I:$I,'기타(Z)'!$G:$G,S$2,'기타(Z)'!$Q:$Q,$J10,'기타(Z)'!$C:$C,$L$1)
  )
)</f>
        <v>81.92</v>
      </c>
      <c r="T10" s="387">
        <f>IF(
  SUM(
    COUNTIFS('발전사업(A)'!$G:$G, S$2, '발전사업(A)'!$Q:$Q, $J10, '발전사업(A)'!$C:$C, $L$1),
    COUNTIFS('자가소비(B)'!$G:$G, S$2, '자가소비(B)'!$Q:$Q, $J10, '자가소비(B)'!$C:$C, $L$1),
    COUNTIFS('PPA 사업(C)'!$G:$G, S$2, 'PPA 사업(C)'!$Q:$Q, $J10, 'PPA 사업(C)'!$C:$C, $L$1),
    COUNTIFS('리스사업(D)'!$G:$G, S$2, '리스사업(D)'!$Q:$Q, $J10, '리스사업(D)'!$C:$C, $L$1),
    COUNTIFS('임대사업(E)'!$G:$G, S$2, '임대사업(E)'!$Q:$Q, $J10, '임대사업(E)'!$C:$C, $L$1),
    COUNTIFS('환경부사업(F)'!$G:$G, S$2, '환경부사업(F)'!$Q:$Q, $J10, '환경부사업(F)'!$C:$C, $L$1),
    COUNTIFS('프로젝트(G)'!$G:$G, S$2, '프로젝트(G)'!$Q:$Q, $J10, '프로젝트(G)'!$C:$C, $L$1),
    COUNTIFS('협력사 EPC(H)'!$G:$G, S$2, '협력사 EPC(H)'!$Q:$Q, $J10, '협력사 EPC(H)'!$C:$C, $L$1),
    COUNTIFS('기타(Z)'!$G:$G, S$2, '기타(Z)'!$Q:$Q, $J10, '기타(Z)'!$C:$C, $L$1)
  ) = 0,
  "",
  COUNTIFS('발전사업(A)'!$G:$G, S$2, '발전사업(A)'!$Q:$Q, $J10, '발전사업(A)'!$C:$C, $L$1)
  + COUNTIFS('자가소비(B)'!$G:$G, S$2, '자가소비(B)'!$Q:$Q, $J10, '자가소비(B)'!$C:$C, $L$1)
  + COUNTIFS('PPA 사업(C)'!$G:$G, S$2, 'PPA 사업(C)'!$Q:$Q, $J10, 'PPA 사업(C)'!$C:$C, $L$1)
  + COUNTIFS('리스사업(D)'!$G:$G, S$2, '리스사업(D)'!$Q:$Q, $J10, '리스사업(D)'!$C:$C, $L$1)
  + COUNTIFS('임대사업(E)'!$G:$G, S$2, '임대사업(E)'!$Q:$Q, $J10, '임대사업(E)'!$C:$C, $L$1)
  + COUNTIFS('환경부사업(F)'!$G:$G, S$2, '환경부사업(F)'!$Q:$Q, $J10, '환경부사업(F)'!$C:$C, $L$1)
  + COUNTIFS('프로젝트(G)'!$G:$G, S$2, '프로젝트(G)'!$Q:$Q, $J10, '프로젝트(G)'!$C:$C, $L$1)
  + COUNTIFS('협력사 EPC(H)'!$G:$G, S$2, '협력사 EPC(H)'!$Q:$Q, $J10, '협력사 EPC(H)'!$C:$C, $L$1)
  + COUNTIFS('기타(Z)'!$G:$G, S$2, '기타(Z)'!$Q:$Q, $J10, '기타(Z)'!$C:$C, $L$1)
)</f>
        <v>1</v>
      </c>
      <c r="U10" s="386" t="str">
        <f>IF(
  SUM(
    SUMIFS('발전사업(A)'!$I:$I,'발전사업(A)'!$G:$G,U$2,'발전사업(A)'!$Q:$Q,$J10,'발전사업(A)'!$C:$C,$L$1),
    SUMIFS('자가소비(B)'!$I:$I,'자가소비(B)'!$G:$G,U$2,'자가소비(B)'!$Q:$Q,$J10,'자가소비(B)'!$C:$C,$L$1),
    SUMIFS('PPA 사업(C)'!$I:$I,'PPA 사업(C)'!$G:$G,U$2,'PPA 사업(C)'!$Q:$Q,$J10,'PPA 사업(C)'!$C:$C,$L$1),
    SUMIFS('리스사업(D)'!$I:$I,'리스사업(D)'!$G:$G,U$2,'리스사업(D)'!$Q:$Q,$J10,'리스사업(D)'!$C:$C,$L$1),
    SUMIFS('임대사업(E)'!$I:$I,'임대사업(E)'!$G:$G,U$2,'임대사업(E)'!$Q:$Q,$J10,'임대사업(E)'!$C:$C,$L$1),
    SUMIFS('환경부사업(F)'!$I:$I,'환경부사업(F)'!$G:$G,U$2,'환경부사업(F)'!$Q:$Q,$J10,'환경부사업(F)'!$C:$C,$L$1),
    SUMIFS('프로젝트(G)'!$I:$I,'프로젝트(G)'!$G:$G,U$2,'프로젝트(G)'!$Q:$Q,$J10,'프로젝트(G)'!$C:$C,$L$1),
    SUMIFS('협력사 EPC(H)'!$I:$I,'협력사 EPC(H)'!$G:$G,U$2,'협력사 EPC(H)'!$Q:$Q,$J10,'협력사 EPC(H)'!$C:$C,$L$1),
    SUMIFS('기타(Z)'!$I:$I,'기타(Z)'!$G:$G,U$2,'기타(Z)'!$Q:$Q,$J10,'기타(Z)'!$C:$C,$L$1)
  )=0,
  "",
  SUM(
    SUMIFS('발전사업(A)'!$I:$I,'발전사업(A)'!$G:$G,U$2,'발전사업(A)'!$Q:$Q,$J10,'발전사업(A)'!$C:$C,$L$1),
    SUMIFS('자가소비(B)'!$I:$I,'자가소비(B)'!$G:$G,U$2,'자가소비(B)'!$Q:$Q,$J10,'자가소비(B)'!$C:$C,$L$1),
    SUMIFS('PPA 사업(C)'!$I:$I,'PPA 사업(C)'!$G:$G,U$2,'PPA 사업(C)'!$Q:$Q,$J10,'PPA 사업(C)'!$C:$C,$L$1),
    SUMIFS('리스사업(D)'!$I:$I,'리스사업(D)'!$G:$G,U$2,'리스사업(D)'!$Q:$Q,$J10,'리스사업(D)'!$C:$C,$L$1),
    SUMIFS('임대사업(E)'!$I:$I,'임대사업(E)'!$G:$G,U$2,'임대사업(E)'!$Q:$Q,$J10,'임대사업(E)'!$C:$C,$L$1),
    SUMIFS('환경부사업(F)'!$I:$I,'환경부사업(F)'!$G:$G,U$2,'환경부사업(F)'!$Q:$Q,$J10,'환경부사업(F)'!$C:$C,$L$1),
    SUMIFS('프로젝트(G)'!$I:$I,'프로젝트(G)'!$G:$G,U$2,'프로젝트(G)'!$Q:$Q,$J10,'프로젝트(G)'!$C:$C,$L$1),
    SUMIFS('협력사 EPC(H)'!$I:$I,'협력사 EPC(H)'!$G:$G,U$2,'협력사 EPC(H)'!$Q:$Q,$J10,'협력사 EPC(H)'!$C:$C,$L$1),
    SUMIFS('기타(Z)'!$I:$I,'기타(Z)'!$G:$G,U$2,'기타(Z)'!$Q:$Q,$J10,'기타(Z)'!$C:$C,$L$1)
  )
)</f>
        <v/>
      </c>
      <c r="V10" s="387" t="str">
        <f>IF(
  SUM(
    COUNTIFS('발전사업(A)'!$G:$G, U$2, '발전사업(A)'!$Q:$Q, $J10, '발전사업(A)'!$C:$C, $L$1),
    COUNTIFS('자가소비(B)'!$G:$G, U$2, '자가소비(B)'!$Q:$Q, $J10, '자가소비(B)'!$C:$C, $L$1),
    COUNTIFS('PPA 사업(C)'!$G:$G, U$2, 'PPA 사업(C)'!$Q:$Q, $J10, 'PPA 사업(C)'!$C:$C, $L$1),
    COUNTIFS('리스사업(D)'!$G:$G, U$2, '리스사업(D)'!$Q:$Q, $J10, '리스사업(D)'!$C:$C, $L$1),
    COUNTIFS('임대사업(E)'!$G:$G, U$2, '임대사업(E)'!$Q:$Q, $J10, '임대사업(E)'!$C:$C, $L$1),
    COUNTIFS('환경부사업(F)'!$G:$G, U$2, '환경부사업(F)'!$Q:$Q, $J10, '환경부사업(F)'!$C:$C, $L$1),
    COUNTIFS('프로젝트(G)'!$G:$G, U$2, '프로젝트(G)'!$Q:$Q, $J10, '프로젝트(G)'!$C:$C, $L$1),
    COUNTIFS('협력사 EPC(H)'!$G:$G, U$2, '협력사 EPC(H)'!$Q:$Q, $J10, '협력사 EPC(H)'!$C:$C, $L$1),
    COUNTIFS('기타(Z)'!$G:$G, U$2, '기타(Z)'!$Q:$Q, $J10, '기타(Z)'!$C:$C, $L$1)
  ) = 0,
  "",
  COUNTIFS('발전사업(A)'!$G:$G, U$2, '발전사업(A)'!$Q:$Q, $J10, '발전사업(A)'!$C:$C, $L$1)
  + COUNTIFS('자가소비(B)'!$G:$G, U$2, '자가소비(B)'!$Q:$Q, $J10, '자가소비(B)'!$C:$C, $L$1)
  + COUNTIFS('PPA 사업(C)'!$G:$G, U$2, 'PPA 사업(C)'!$Q:$Q, $J10, 'PPA 사업(C)'!$C:$C, $L$1)
  + COUNTIFS('리스사업(D)'!$G:$G, U$2, '리스사업(D)'!$Q:$Q, $J10, '리스사업(D)'!$C:$C, $L$1)
  + COUNTIFS('임대사업(E)'!$G:$G, U$2, '임대사업(E)'!$Q:$Q, $J10, '임대사업(E)'!$C:$C, $L$1)
  + COUNTIFS('환경부사업(F)'!$G:$G, U$2, '환경부사업(F)'!$Q:$Q, $J10, '환경부사업(F)'!$C:$C, $L$1)
  + COUNTIFS('프로젝트(G)'!$G:$G, U$2, '프로젝트(G)'!$Q:$Q, $J10, '프로젝트(G)'!$C:$C, $L$1)
  + COUNTIFS('협력사 EPC(H)'!$G:$G, U$2, '협력사 EPC(H)'!$Q:$Q, $J10, '협력사 EPC(H)'!$C:$C, $L$1)
  + COUNTIFS('기타(Z)'!$G:$G, U$2, '기타(Z)'!$Q:$Q, $J10, '기타(Z)'!$C:$C, $L$1)
)</f>
        <v/>
      </c>
      <c r="W10" s="386" t="str">
        <f>IF(
  SUM(
    SUMIFS('발전사업(A)'!$I:$I,'발전사업(A)'!$G:$G,W$2,'발전사업(A)'!$Q:$Q,$J10,'발전사업(A)'!$C:$C,$L$1),
    SUMIFS('자가소비(B)'!$I:$I,'자가소비(B)'!$G:$G,W$2,'자가소비(B)'!$Q:$Q,$J10,'자가소비(B)'!$C:$C,$L$1),
    SUMIFS('PPA 사업(C)'!$I:$I,'PPA 사업(C)'!$G:$G,W$2,'PPA 사업(C)'!$Q:$Q,$J10,'PPA 사업(C)'!$C:$C,$L$1),
    SUMIFS('리스사업(D)'!$I:$I,'리스사업(D)'!$G:$G,W$2,'리스사업(D)'!$Q:$Q,$J10,'리스사업(D)'!$C:$C,$L$1),
    SUMIFS('임대사업(E)'!$I:$I,'임대사업(E)'!$G:$G,W$2,'임대사업(E)'!$Q:$Q,$J10,'임대사업(E)'!$C:$C,$L$1),
    SUMIFS('환경부사업(F)'!$I:$I,'환경부사업(F)'!$G:$G,W$2,'환경부사업(F)'!$Q:$Q,$J10,'환경부사업(F)'!$C:$C,$L$1),
    SUMIFS('프로젝트(G)'!$I:$I,'프로젝트(G)'!$G:$G,W$2,'프로젝트(G)'!$Q:$Q,$J10,'프로젝트(G)'!$C:$C,$L$1),
    SUMIFS('협력사 EPC(H)'!$I:$I,'협력사 EPC(H)'!$G:$G,W$2,'협력사 EPC(H)'!$Q:$Q,$J10,'협력사 EPC(H)'!$C:$C,$L$1),
    SUMIFS('기타(Z)'!$I:$I,'기타(Z)'!$G:$G,W$2,'기타(Z)'!$Q:$Q,$J10,'기타(Z)'!$C:$C,$L$1)
  )=0,
  "",
  SUM(
    SUMIFS('발전사업(A)'!$I:$I,'발전사업(A)'!$G:$G,W$2,'발전사업(A)'!$Q:$Q,$J10,'발전사업(A)'!$C:$C,$L$1),
    SUMIFS('자가소비(B)'!$I:$I,'자가소비(B)'!$G:$G,W$2,'자가소비(B)'!$Q:$Q,$J10,'자가소비(B)'!$C:$C,$L$1),
    SUMIFS('PPA 사업(C)'!$I:$I,'PPA 사업(C)'!$G:$G,W$2,'PPA 사업(C)'!$Q:$Q,$J10,'PPA 사업(C)'!$C:$C,$L$1),
    SUMIFS('리스사업(D)'!$I:$I,'리스사업(D)'!$G:$G,W$2,'리스사업(D)'!$Q:$Q,$J10,'리스사업(D)'!$C:$C,$L$1),
    SUMIFS('임대사업(E)'!$I:$I,'임대사업(E)'!$G:$G,W$2,'임대사업(E)'!$Q:$Q,$J10,'임대사업(E)'!$C:$C,$L$1),
    SUMIFS('환경부사업(F)'!$I:$I,'환경부사업(F)'!$G:$G,W$2,'환경부사업(F)'!$Q:$Q,$J10,'환경부사업(F)'!$C:$C,$L$1),
    SUMIFS('프로젝트(G)'!$I:$I,'프로젝트(G)'!$G:$G,W$2,'프로젝트(G)'!$Q:$Q,$J10,'프로젝트(G)'!$C:$C,$L$1),
    SUMIFS('협력사 EPC(H)'!$I:$I,'협력사 EPC(H)'!$G:$G,W$2,'협력사 EPC(H)'!$Q:$Q,$J10,'협력사 EPC(H)'!$C:$C,$L$1),
    SUMIFS('기타(Z)'!$I:$I,'기타(Z)'!$G:$G,W$2,'기타(Z)'!$Q:$Q,$J10,'기타(Z)'!$C:$C,$L$1)
  )
)</f>
        <v/>
      </c>
      <c r="X10" s="367" t="str">
        <f>IF(
  SUM(
    COUNTIFS('발전사업(A)'!$G:$G,W$2,'발전사업(A)'!$Q:$Q,$J10),
    COUNTIFS('자가소비(B)'!$G:$G,W$2,'자가소비(B)'!$Q:$Q,$J10),
    COUNTIFS('PPA 사업(C)'!$G:$G,W$2,'PPA 사업(C)'!$Q:$Q,$J10),
    COUNTIFS('리스사업(D)'!$G:$G,W$2,'리스사업(D)'!$Q:$Q,$J10),
    COUNTIFS('임대사업(E)'!$G:$G,W$2,'임대사업(E)'!$Q:$Q,$J10),
    COUNTIFS('환경부사업(F)'!$G:$G,W$2,'환경부사업(F)'!$Q:$Q,$J10),
    COUNTIFS('프로젝트(G)'!$G:$G,W$2,'프로젝트(G)'!$Q:$Q,$J10),
    COUNTIFS('협력사 EPC(H)'!$G:$G,W$2,'협력사 EPC(H)'!$Q:$Q,$J10),
    COUNTIFS('기타(Z)'!$G:$G,W$2,'기타(Z)'!$Q:$Q,$J10)
  )=0,
  "",
  COUNTIFS('발전사업(A)'!$G:$G,W$2,'발전사업(A)'!$Q:$Q,$J10)
  +COUNTIFS('자가소비(B)'!$G:$G,W$2,'자가소비(B)'!$Q:$Q,$J10)
  +COUNTIFS('PPA 사업(C)'!$G:$G,W$2,'PPA 사업(C)'!$Q:$Q,$J10)
  +COUNTIFS('리스사업(D)'!$G:$G,W$2,'리스사업(D)'!$Q:$Q,$J10)
  +COUNTIFS('임대사업(E)'!$G:$G,W$2,'임대사업(E)'!$Q:$Q,$J10)
  +COUNTIFS('환경부사업(F)'!$G:$G,W$2,'환경부사업(F)'!$Q:$Q,$J10)
  +COUNTIFS('프로젝트(G)'!$G:$G,W$2,'프로젝트(G)'!$Q:$Q,$J10)
  +COUNTIFS('협력사 EPC(H)'!$G:$G,W$2,'협력사 EPC(H)'!$Q:$Q,$J10)
  +COUNTIFS('기타(Z)'!$G:$G,W$2,'기타(Z)'!$Q:$Q,$J10)
)</f>
        <v/>
      </c>
      <c r="Y10" s="386" t="str">
        <f>IF(
  SUM(
    SUMIFS('발전사업(A)'!$I:$I,'발전사업(A)'!$G:$G,Y$2,'발전사업(A)'!$Q:$Q,$J10,'발전사업(A)'!$C:$C,$L$1),
    SUMIFS('자가소비(B)'!$I:$I,'자가소비(B)'!$G:$G,Y$2,'자가소비(B)'!$Q:$Q,$J10,'자가소비(B)'!$C:$C,$L$1),
    SUMIFS('PPA 사업(C)'!$I:$I,'PPA 사업(C)'!$G:$G,Y$2,'PPA 사업(C)'!$Q:$Q,$J10,'PPA 사업(C)'!$C:$C,$L$1),
    SUMIFS('리스사업(D)'!$I:$I,'리스사업(D)'!$G:$G,Y$2,'리스사업(D)'!$Q:$Q,$J10,'리스사업(D)'!$C:$C,$L$1),
    SUMIFS('임대사업(E)'!$I:$I,'임대사업(E)'!$G:$G,Y$2,'임대사업(E)'!$Q:$Q,$J10,'임대사업(E)'!$C:$C,$L$1),
    SUMIFS('환경부사업(F)'!$I:$I,'환경부사업(F)'!$G:$G,Y$2,'환경부사업(F)'!$Q:$Q,$J10,'환경부사업(F)'!$C:$C,$L$1),
    SUMIFS('프로젝트(G)'!$I:$I,'프로젝트(G)'!$G:$G,Y$2,'프로젝트(G)'!$Q:$Q,$J10,'프로젝트(G)'!$C:$C,$L$1),
    SUMIFS('협력사 EPC(H)'!$I:$I,'협력사 EPC(H)'!$G:$G,Y$2,'협력사 EPC(H)'!$Q:$Q,$J10,'협력사 EPC(H)'!$C:$C,$L$1),
    SUMIFS('기타(Z)'!$I:$I,'기타(Z)'!$G:$G,Y$2,'기타(Z)'!$Q:$Q,$J10,'기타(Z)'!$C:$C,$L$1)
  )=0,
  "",
  SUM(
    SUMIFS('발전사업(A)'!$I:$I,'발전사업(A)'!$G:$G,Y$2,'발전사업(A)'!$Q:$Q,$J10,'발전사업(A)'!$C:$C,$L$1),
    SUMIFS('자가소비(B)'!$I:$I,'자가소비(B)'!$G:$G,Y$2,'자가소비(B)'!$Q:$Q,$J10,'자가소비(B)'!$C:$C,$L$1),
    SUMIFS('PPA 사업(C)'!$I:$I,'PPA 사업(C)'!$G:$G,Y$2,'PPA 사업(C)'!$Q:$Q,$J10,'PPA 사업(C)'!$C:$C,$L$1),
    SUMIFS('리스사업(D)'!$I:$I,'리스사업(D)'!$G:$G,Y$2,'리스사업(D)'!$Q:$Q,$J10,'리스사업(D)'!$C:$C,$L$1),
    SUMIFS('임대사업(E)'!$I:$I,'임대사업(E)'!$G:$G,Y$2,'임대사업(E)'!$Q:$Q,$J10,'임대사업(E)'!$C:$C,$L$1),
    SUMIFS('환경부사업(F)'!$I:$I,'환경부사업(F)'!$G:$G,Y$2,'환경부사업(F)'!$Q:$Q,$J10,'환경부사업(F)'!$C:$C,$L$1),
    SUMIFS('프로젝트(G)'!$I:$I,'프로젝트(G)'!$G:$G,Y$2,'프로젝트(G)'!$Q:$Q,$J10,'프로젝트(G)'!$C:$C,$L$1),
    SUMIFS('협력사 EPC(H)'!$I:$I,'협력사 EPC(H)'!$G:$G,Y$2,'협력사 EPC(H)'!$Q:$Q,$J10,'협력사 EPC(H)'!$C:$C,$L$1),
    SUMIFS('기타(Z)'!$I:$I,'기타(Z)'!$G:$G,Y$2,'기타(Z)'!$Q:$Q,$J10,'기타(Z)'!$C:$C,$L$1)
  )
)</f>
        <v/>
      </c>
      <c r="Z10" s="387" t="str">
        <f>IF(
  SUM(
    COUNTIFS('발전사업(A)'!$G:$G, Y$2, '발전사업(A)'!$Q:$Q, $J10, '발전사업(A)'!$C:$C, $L$1),
    COUNTIFS('자가소비(B)'!$G:$G, Y$2, '자가소비(B)'!$Q:$Q, $J10, '자가소비(B)'!$C:$C, $L$1),
    COUNTIFS('PPA 사업(C)'!$G:$G, Y$2, 'PPA 사업(C)'!$Q:$Q, $J10, 'PPA 사업(C)'!$C:$C, $L$1),
    COUNTIFS('리스사업(D)'!$G:$G, Y$2, '리스사업(D)'!$Q:$Q, $J10, '리스사업(D)'!$C:$C, $L$1),
    COUNTIFS('임대사업(E)'!$G:$G, Y$2, '임대사업(E)'!$Q:$Q, $J10, '임대사업(E)'!$C:$C, $L$1),
    COUNTIFS('환경부사업(F)'!$G:$G, Y$2, '환경부사업(F)'!$Q:$Q, $J10, '환경부사업(F)'!$C:$C, $L$1),
    COUNTIFS('프로젝트(G)'!$G:$G, Y$2, '프로젝트(G)'!$Q:$Q, $J10, '프로젝트(G)'!$C:$C, $L$1),
    COUNTIFS('협력사 EPC(H)'!$G:$G, Y$2, '협력사 EPC(H)'!$Q:$Q, $J10, '협력사 EPC(H)'!$C:$C, $L$1),
    COUNTIFS('기타(Z)'!$G:$G, Y$2, '기타(Z)'!$Q:$Q, $J10, '기타(Z)'!$C:$C, $L$1)
  ) = 0,
  "",
  COUNTIFS('발전사업(A)'!$G:$G, Y$2, '발전사업(A)'!$Q:$Q, $J10, '발전사업(A)'!$C:$C, $L$1)
  + COUNTIFS('자가소비(B)'!$G:$G, Y$2, '자가소비(B)'!$Q:$Q, $J10, '자가소비(B)'!$C:$C, $L$1)
  + COUNTIFS('PPA 사업(C)'!$G:$G, Y$2, 'PPA 사업(C)'!$Q:$Q, $J10, 'PPA 사업(C)'!$C:$C, $L$1)
  + COUNTIFS('리스사업(D)'!$G:$G, Y$2, '리스사업(D)'!$Q:$Q, $J10, '리스사업(D)'!$C:$C, $L$1)
  + COUNTIFS('임대사업(E)'!$G:$G, Y$2, '임대사업(E)'!$Q:$Q, $J10, '임대사업(E)'!$C:$C, $L$1)
  + COUNTIFS('환경부사업(F)'!$G:$G, Y$2, '환경부사업(F)'!$Q:$Q, $J10, '환경부사업(F)'!$C:$C, $L$1)
  + COUNTIFS('프로젝트(G)'!$G:$G, Y$2, '프로젝트(G)'!$Q:$Q, $J10, '프로젝트(G)'!$C:$C, $L$1)
  + COUNTIFS('협력사 EPC(H)'!$G:$G, Y$2, '협력사 EPC(H)'!$Q:$Q, $J10, '협력사 EPC(H)'!$C:$C, $L$1)
  + COUNTIFS('기타(Z)'!$G:$G, Y$2, '기타(Z)'!$Q:$Q, $J10, '기타(Z)'!$C:$C, $L$1)
)</f>
        <v/>
      </c>
      <c r="AA10" s="386" t="str">
        <f>IF(
  SUM(
    SUMIFS('발전사업(A)'!$I:$I,'발전사업(A)'!$G:$G,AA$2,'발전사업(A)'!$Q:$Q,$J10,'발전사업(A)'!$C:$C,$L$1),
    SUMIFS('자가소비(B)'!$I:$I,'자가소비(B)'!$G:$G,AA$2,'자가소비(B)'!$Q:$Q,$J10,'자가소비(B)'!$C:$C,$L$1),
    SUMIFS('PPA 사업(C)'!$I:$I,'PPA 사업(C)'!$G:$G,AA$2,'PPA 사업(C)'!$Q:$Q,$J10,'PPA 사업(C)'!$C:$C,$L$1),
    SUMIFS('리스사업(D)'!$I:$I,'리스사업(D)'!$G:$G,AA$2,'리스사업(D)'!$Q:$Q,$J10,'리스사업(D)'!$C:$C,$L$1),
    SUMIFS('임대사업(E)'!$I:$I,'임대사업(E)'!$G:$G,AA$2,'임대사업(E)'!$Q:$Q,$J10,'임대사업(E)'!$C:$C,$L$1),
    SUMIFS('환경부사업(F)'!$I:$I,'환경부사업(F)'!$G:$G,AA$2,'환경부사업(F)'!$Q:$Q,$J10,'환경부사업(F)'!$C:$C,$L$1),
    SUMIFS('프로젝트(G)'!$I:$I,'프로젝트(G)'!$G:$G,AA$2,'프로젝트(G)'!$Q:$Q,$J10,'프로젝트(G)'!$C:$C,$L$1),
    SUMIFS('협력사 EPC(H)'!$I:$I,'협력사 EPC(H)'!$G:$G,AA$2,'협력사 EPC(H)'!$Q:$Q,$J10,'협력사 EPC(H)'!$C:$C,$L$1),
    SUMIFS('기타(Z)'!$I:$I,'기타(Z)'!$G:$G,AA$2,'기타(Z)'!$Q:$Q,$J10,'기타(Z)'!$C:$C,$L$1)
  )=0,
  "",
  SUM(
    SUMIFS('발전사업(A)'!$I:$I,'발전사업(A)'!$G:$G,AA$2,'발전사업(A)'!$Q:$Q,$J10,'발전사업(A)'!$C:$C,$L$1),
    SUMIFS('자가소비(B)'!$I:$I,'자가소비(B)'!$G:$G,AA$2,'자가소비(B)'!$Q:$Q,$J10,'자가소비(B)'!$C:$C,$L$1),
    SUMIFS('PPA 사업(C)'!$I:$I,'PPA 사업(C)'!$G:$G,AA$2,'PPA 사업(C)'!$Q:$Q,$J10,'PPA 사업(C)'!$C:$C,$L$1),
    SUMIFS('리스사업(D)'!$I:$I,'리스사업(D)'!$G:$G,AA$2,'리스사업(D)'!$Q:$Q,$J10,'리스사업(D)'!$C:$C,$L$1),
    SUMIFS('임대사업(E)'!$I:$I,'임대사업(E)'!$G:$G,AA$2,'임대사업(E)'!$Q:$Q,$J10,'임대사업(E)'!$C:$C,$L$1),
    SUMIFS('환경부사업(F)'!$I:$I,'환경부사업(F)'!$G:$G,AA$2,'환경부사업(F)'!$Q:$Q,$J10,'환경부사업(F)'!$C:$C,$L$1),
    SUMIFS('프로젝트(G)'!$I:$I,'프로젝트(G)'!$G:$G,AA$2,'프로젝트(G)'!$Q:$Q,$J10,'프로젝트(G)'!$C:$C,$L$1),
    SUMIFS('협력사 EPC(H)'!$I:$I,'협력사 EPC(H)'!$G:$G,AA$2,'협력사 EPC(H)'!$Q:$Q,$J10,'협력사 EPC(H)'!$C:$C,$L$1),
    SUMIFS('기타(Z)'!$I:$I,'기타(Z)'!$G:$G,AA$2,'기타(Z)'!$Q:$Q,$J10,'기타(Z)'!$C:$C,$L$1)
  )
)</f>
        <v/>
      </c>
      <c r="AB10" s="387" t="str">
        <f>IF(
  SUM(
    COUNTIFS('발전사업(A)'!$G:$G, AA$2, '발전사업(A)'!$Q:$Q, $J10, '발전사업(A)'!$C:$C, $L$1),
    COUNTIFS('자가소비(B)'!$G:$G, AA$2, '자가소비(B)'!$Q:$Q, $J10, '자가소비(B)'!$C:$C, $L$1),
    COUNTIFS('PPA 사업(C)'!$G:$G, AA$2, 'PPA 사업(C)'!$Q:$Q, $J10, 'PPA 사업(C)'!$C:$C, $L$1),
    COUNTIFS('리스사업(D)'!$G:$G, AA$2, '리스사업(D)'!$Q:$Q, $J10, '리스사업(D)'!$C:$C, $L$1),
    COUNTIFS('임대사업(E)'!$G:$G, AA$2, '임대사업(E)'!$Q:$Q, $J10, '임대사업(E)'!$C:$C, $L$1),
    COUNTIFS('환경부사업(F)'!$G:$G, AA$2, '환경부사업(F)'!$Q:$Q, $J10, '환경부사업(F)'!$C:$C, $L$1),
    COUNTIFS('프로젝트(G)'!$G:$G, AA$2, '프로젝트(G)'!$Q:$Q, $J10, '프로젝트(G)'!$C:$C, $L$1),
    COUNTIFS('협력사 EPC(H)'!$G:$G, AA$2, '협력사 EPC(H)'!$Q:$Q, $J10, '협력사 EPC(H)'!$C:$C, $L$1),
    COUNTIFS('기타(Z)'!$G:$G, AA$2, '기타(Z)'!$Q:$Q, $J10, '기타(Z)'!$C:$C, $L$1)
  ) = 0,
  "",
  COUNTIFS('발전사업(A)'!$G:$G, AA$2, '발전사업(A)'!$Q:$Q, $J10, '발전사업(A)'!$C:$C, $L$1)
  + COUNTIFS('자가소비(B)'!$G:$G, AA$2, '자가소비(B)'!$Q:$Q, $J10, '자가소비(B)'!$C:$C, $L$1)
  + COUNTIFS('PPA 사업(C)'!$G:$G, AA$2, 'PPA 사업(C)'!$Q:$Q, $J10, 'PPA 사업(C)'!$C:$C, $L$1)
  + COUNTIFS('리스사업(D)'!$G:$G, AA$2, '리스사업(D)'!$Q:$Q, $J10, '리스사업(D)'!$C:$C, $L$1)
  + COUNTIFS('임대사업(E)'!$G:$G, AA$2, '임대사업(E)'!$Q:$Q, $J10, '임대사업(E)'!$C:$C, $L$1)
  + COUNTIFS('환경부사업(F)'!$G:$G, AA$2, '환경부사업(F)'!$Q:$Q, $J10, '환경부사업(F)'!$C:$C, $L$1)
  + COUNTIFS('프로젝트(G)'!$G:$G, AA$2, '프로젝트(G)'!$Q:$Q, $J10, '프로젝트(G)'!$C:$C, $L$1)
  + COUNTIFS('협력사 EPC(H)'!$G:$G, AA$2, '협력사 EPC(H)'!$Q:$Q, $J10, '협력사 EPC(H)'!$C:$C, $L$1)
  + COUNTIFS('기타(Z)'!$G:$G, AA$2, '기타(Z)'!$Q:$Q, $J10, '기타(Z)'!$C:$C, $L$1)
)</f>
        <v/>
      </c>
      <c r="AC10" s="386" t="str">
        <f>IF(
  SUM(
    SUMIFS('발전사업(A)'!$I:$I,'발전사업(A)'!$G:$G,AC$2,'발전사업(A)'!$Q:$Q,$J10,'발전사업(A)'!$C:$C,$L$1),
    SUMIFS('자가소비(B)'!$I:$I,'자가소비(B)'!$G:$G,AC$2,'자가소비(B)'!$Q:$Q,$J10,'자가소비(B)'!$C:$C,$L$1),
    SUMIFS('PPA 사업(C)'!$I:$I,'PPA 사업(C)'!$G:$G,AC$2,'PPA 사업(C)'!$Q:$Q,$J10,'PPA 사업(C)'!$C:$C,$L$1),
    SUMIFS('리스사업(D)'!$I:$I,'리스사업(D)'!$G:$G,AC$2,'리스사업(D)'!$Q:$Q,$J10,'리스사업(D)'!$C:$C,$L$1),
    SUMIFS('임대사업(E)'!$I:$I,'임대사업(E)'!$G:$G,AC$2,'임대사업(E)'!$Q:$Q,$J10,'임대사업(E)'!$C:$C,$L$1),
    SUMIFS('환경부사업(F)'!$I:$I,'환경부사업(F)'!$G:$G,AC$2,'환경부사업(F)'!$Q:$Q,$J10,'환경부사업(F)'!$C:$C,$L$1),
    SUMIFS('프로젝트(G)'!$I:$I,'프로젝트(G)'!$G:$G,AC$2,'프로젝트(G)'!$Q:$Q,$J10,'프로젝트(G)'!$C:$C,$L$1),
    SUMIFS('협력사 EPC(H)'!$I:$I,'협력사 EPC(H)'!$G:$G,AC$2,'협력사 EPC(H)'!$Q:$Q,$J10,'협력사 EPC(H)'!$C:$C,$L$1),
    SUMIFS('기타(Z)'!$I:$I,'기타(Z)'!$G:$G,AC$2,'기타(Z)'!$Q:$Q,$J10,'기타(Z)'!$C:$C,$L$1)
  )=0,
  "",
  SUM(
    SUMIFS('발전사업(A)'!$I:$I,'발전사업(A)'!$G:$G,AC$2,'발전사업(A)'!$Q:$Q,$J10,'발전사업(A)'!$C:$C,$L$1),
    SUMIFS('자가소비(B)'!$I:$I,'자가소비(B)'!$G:$G,AC$2,'자가소비(B)'!$Q:$Q,$J10,'자가소비(B)'!$C:$C,$L$1),
    SUMIFS('PPA 사업(C)'!$I:$I,'PPA 사업(C)'!$G:$G,AC$2,'PPA 사업(C)'!$Q:$Q,$J10,'PPA 사업(C)'!$C:$C,$L$1),
    SUMIFS('리스사업(D)'!$I:$I,'리스사업(D)'!$G:$G,AC$2,'리스사업(D)'!$Q:$Q,$J10,'리스사업(D)'!$C:$C,$L$1),
    SUMIFS('임대사업(E)'!$I:$I,'임대사업(E)'!$G:$G,AC$2,'임대사업(E)'!$Q:$Q,$J10,'임대사업(E)'!$C:$C,$L$1),
    SUMIFS('환경부사업(F)'!$I:$I,'환경부사업(F)'!$G:$G,AC$2,'환경부사업(F)'!$Q:$Q,$J10,'환경부사업(F)'!$C:$C,$L$1),
    SUMIFS('프로젝트(G)'!$I:$I,'프로젝트(G)'!$G:$G,AC$2,'프로젝트(G)'!$Q:$Q,$J10,'프로젝트(G)'!$C:$C,$L$1),
    SUMIFS('협력사 EPC(H)'!$I:$I,'협력사 EPC(H)'!$G:$G,AC$2,'협력사 EPC(H)'!$Q:$Q,$J10,'협력사 EPC(H)'!$C:$C,$L$1),
    SUMIFS('기타(Z)'!$I:$I,'기타(Z)'!$G:$G,AC$2,'기타(Z)'!$Q:$Q,$J10,'기타(Z)'!$C:$C,$L$1)
  )
)</f>
        <v/>
      </c>
      <c r="AD10" s="387" t="str">
        <f>IF(
  SUM(
    COUNTIFS('발전사업(A)'!$G:$G, AC$2, '발전사업(A)'!$Q:$Q, $J10, '발전사업(A)'!$C:$C, $L$1),
    COUNTIFS('자가소비(B)'!$G:$G, AC$2, '자가소비(B)'!$Q:$Q, $J10, '자가소비(B)'!$C:$C, $L$1),
    COUNTIFS('PPA 사업(C)'!$G:$G, AC$2, 'PPA 사업(C)'!$Q:$Q, $J10, 'PPA 사업(C)'!$C:$C, $L$1),
    COUNTIFS('리스사업(D)'!$G:$G, AC$2, '리스사업(D)'!$Q:$Q, $J10, '리스사업(D)'!$C:$C, $L$1),
    COUNTIFS('임대사업(E)'!$G:$G, AC$2, '임대사업(E)'!$Q:$Q, $J10, '임대사업(E)'!$C:$C, $L$1),
    COUNTIFS('환경부사업(F)'!$G:$G, AC$2, '환경부사업(F)'!$Q:$Q, $J10, '환경부사업(F)'!$C:$C, $L$1),
    COUNTIFS('프로젝트(G)'!$G:$G, AC$2, '프로젝트(G)'!$Q:$Q, $J10, '프로젝트(G)'!$C:$C, $L$1),
    COUNTIFS('협력사 EPC(H)'!$G:$G, AC$2, '협력사 EPC(H)'!$Q:$Q, $J10, '협력사 EPC(H)'!$C:$C, $L$1),
    COUNTIFS('기타(Z)'!$G:$G, AC$2, '기타(Z)'!$Q:$Q, $J10, '기타(Z)'!$C:$C, $L$1)
  ) = 0,
  "",
  COUNTIFS('발전사업(A)'!$G:$G, AC$2, '발전사업(A)'!$Q:$Q, $J10, '발전사업(A)'!$C:$C, $L$1)
  + COUNTIFS('자가소비(B)'!$G:$G, AC$2, '자가소비(B)'!$Q:$Q, $J10, '자가소비(B)'!$C:$C, $L$1)
  + COUNTIFS('PPA 사업(C)'!$G:$G, AC$2, 'PPA 사업(C)'!$Q:$Q, $J10, 'PPA 사업(C)'!$C:$C, $L$1)
  + COUNTIFS('리스사업(D)'!$G:$G, AC$2, '리스사업(D)'!$Q:$Q, $J10, '리스사업(D)'!$C:$C, $L$1)
  + COUNTIFS('임대사업(E)'!$G:$G, AC$2, '임대사업(E)'!$Q:$Q, $J10, '임대사업(E)'!$C:$C, $L$1)
  + COUNTIFS('환경부사업(F)'!$G:$G, AC$2, '환경부사업(F)'!$Q:$Q, $J10, '환경부사업(F)'!$C:$C, $L$1)
  + COUNTIFS('프로젝트(G)'!$G:$G, AC$2, '프로젝트(G)'!$Q:$Q, $J10, '프로젝트(G)'!$C:$C, $L$1)
  + COUNTIFS('협력사 EPC(H)'!$G:$G, AC$2, '협력사 EPC(H)'!$Q:$Q, $J10, '협력사 EPC(H)'!$C:$C, $L$1)
  + COUNTIFS('기타(Z)'!$G:$G, AC$2, '기타(Z)'!$Q:$Q, $J10, '기타(Z)'!$C:$C, $L$1)
)</f>
        <v/>
      </c>
      <c r="AE10" s="386" t="str">
        <f>IF(
  SUM(
    SUMIFS('발전사업(A)'!$I:$I,'발전사업(A)'!$G:$G,AE$2,'발전사업(A)'!$Q:$Q,$J10,'발전사업(A)'!$C:$C,$L$1),
    SUMIFS('자가소비(B)'!$I:$I,'자가소비(B)'!$G:$G,AE$2,'자가소비(B)'!$Q:$Q,$J10,'자가소비(B)'!$C:$C,$L$1),
    SUMIFS('PPA 사업(C)'!$I:$I,'PPA 사업(C)'!$G:$G,AE$2,'PPA 사업(C)'!$Q:$Q,$J10,'PPA 사업(C)'!$C:$C,$L$1),
    SUMIFS('리스사업(D)'!$I:$I,'리스사업(D)'!$G:$G,AE$2,'리스사업(D)'!$Q:$Q,$J10,'리스사업(D)'!$C:$C,$L$1),
    SUMIFS('임대사업(E)'!$I:$I,'임대사업(E)'!$G:$G,AE$2,'임대사업(E)'!$Q:$Q,$J10,'임대사업(E)'!$C:$C,$L$1),
    SUMIFS('환경부사업(F)'!$I:$I,'환경부사업(F)'!$G:$G,AE$2,'환경부사업(F)'!$Q:$Q,$J10,'환경부사업(F)'!$C:$C,$L$1),
    SUMIFS('프로젝트(G)'!$I:$I,'프로젝트(G)'!$G:$G,AE$2,'프로젝트(G)'!$Q:$Q,$J10,'프로젝트(G)'!$C:$C,$L$1),
    SUMIFS('협력사 EPC(H)'!$I:$I,'협력사 EPC(H)'!$G:$G,AE$2,'협력사 EPC(H)'!$Q:$Q,$J10,'협력사 EPC(H)'!$C:$C,$L$1),
    SUMIFS('기타(Z)'!$I:$I,'기타(Z)'!$G:$G,AE$2,'기타(Z)'!$Q:$Q,$J10,'기타(Z)'!$C:$C,$L$1)
  )=0,
  "",
  SUM(
    SUMIFS('발전사업(A)'!$I:$I,'발전사업(A)'!$G:$G,AE$2,'발전사업(A)'!$Q:$Q,$J10,'발전사업(A)'!$C:$C,$L$1),
    SUMIFS('자가소비(B)'!$I:$I,'자가소비(B)'!$G:$G,AE$2,'자가소비(B)'!$Q:$Q,$J10,'자가소비(B)'!$C:$C,$L$1),
    SUMIFS('PPA 사업(C)'!$I:$I,'PPA 사업(C)'!$G:$G,AE$2,'PPA 사업(C)'!$Q:$Q,$J10,'PPA 사업(C)'!$C:$C,$L$1),
    SUMIFS('리스사업(D)'!$I:$I,'리스사업(D)'!$G:$G,AE$2,'리스사업(D)'!$Q:$Q,$J10,'리스사업(D)'!$C:$C,$L$1),
    SUMIFS('임대사업(E)'!$I:$I,'임대사업(E)'!$G:$G,AE$2,'임대사업(E)'!$Q:$Q,$J10,'임대사업(E)'!$C:$C,$L$1),
    SUMIFS('환경부사업(F)'!$I:$I,'환경부사업(F)'!$G:$G,AE$2,'환경부사업(F)'!$Q:$Q,$J10,'환경부사업(F)'!$C:$C,$L$1),
    SUMIFS('프로젝트(G)'!$I:$I,'프로젝트(G)'!$G:$G,AE$2,'프로젝트(G)'!$Q:$Q,$J10,'프로젝트(G)'!$C:$C,$L$1),
    SUMIFS('협력사 EPC(H)'!$I:$I,'협력사 EPC(H)'!$G:$G,AE$2,'협력사 EPC(H)'!$Q:$Q,$J10,'협력사 EPC(H)'!$C:$C,$L$1),
    SUMIFS('기타(Z)'!$I:$I,'기타(Z)'!$G:$G,AE$2,'기타(Z)'!$Q:$Q,$J10,'기타(Z)'!$C:$C,$L$1)
  )
)</f>
        <v/>
      </c>
      <c r="AF10" s="387" t="str">
        <f>IF(
  SUM(
    COUNTIFS('발전사업(A)'!$G:$G, AE$2, '발전사업(A)'!$Q:$Q, $J10, '발전사업(A)'!$C:$C, $L$1),
    COUNTIFS('자가소비(B)'!$G:$G, AE$2, '자가소비(B)'!$Q:$Q, $J10, '자가소비(B)'!$C:$C, $L$1),
    COUNTIFS('PPA 사업(C)'!$G:$G, AE$2, 'PPA 사업(C)'!$Q:$Q, $J10, 'PPA 사업(C)'!$C:$C, $L$1),
    COUNTIFS('리스사업(D)'!$G:$G, AE$2, '리스사업(D)'!$Q:$Q, $J10, '리스사업(D)'!$C:$C, $L$1),
    COUNTIFS('임대사업(E)'!$G:$G, AE$2, '임대사업(E)'!$Q:$Q, $J10, '임대사업(E)'!$C:$C, $L$1),
    COUNTIFS('환경부사업(F)'!$G:$G, AE$2, '환경부사업(F)'!$Q:$Q, $J10, '환경부사업(F)'!$C:$C, $L$1),
    COUNTIFS('프로젝트(G)'!$G:$G, AE$2, '프로젝트(G)'!$Q:$Q, $J10, '프로젝트(G)'!$C:$C, $L$1),
    COUNTIFS('협력사 EPC(H)'!$G:$G, AE$2, '협력사 EPC(H)'!$Q:$Q, $J10, '협력사 EPC(H)'!$C:$C, $L$1),
    COUNTIFS('기타(Z)'!$G:$G, AE$2, '기타(Z)'!$Q:$Q, $J10, '기타(Z)'!$C:$C, $L$1)
  ) = 0,
  "",
  COUNTIFS('발전사업(A)'!$G:$G, AE$2, '발전사업(A)'!$Q:$Q, $J10, '발전사업(A)'!$C:$C, $L$1)
  + COUNTIFS('자가소비(B)'!$G:$G, AE$2, '자가소비(B)'!$Q:$Q, $J10, '자가소비(B)'!$C:$C, $L$1)
  + COUNTIFS('PPA 사업(C)'!$G:$G, AE$2, 'PPA 사업(C)'!$Q:$Q, $J10, 'PPA 사업(C)'!$C:$C, $L$1)
  + COUNTIFS('리스사업(D)'!$G:$G, AE$2, '리스사업(D)'!$Q:$Q, $J10, '리스사업(D)'!$C:$C, $L$1)
  + COUNTIFS('임대사업(E)'!$G:$G, AE$2, '임대사업(E)'!$Q:$Q, $J10, '임대사업(E)'!$C:$C, $L$1)
  + COUNTIFS('환경부사업(F)'!$G:$G, AE$2, '환경부사업(F)'!$Q:$Q, $J10, '환경부사업(F)'!$C:$C, $L$1)
  + COUNTIFS('프로젝트(G)'!$G:$G, AE$2, '프로젝트(G)'!$Q:$Q, $J10, '프로젝트(G)'!$C:$C, $L$1)
  + COUNTIFS('협력사 EPC(H)'!$G:$G, AE$2, '협력사 EPC(H)'!$Q:$Q, $J10, '협력사 EPC(H)'!$C:$C, $L$1)
  + COUNTIFS('기타(Z)'!$G:$G, AE$2, '기타(Z)'!$Q:$Q, $J10, '기타(Z)'!$C:$C, $L$1)
)</f>
        <v/>
      </c>
      <c r="AG10" s="386" t="str">
        <f>IF(
  SUM(
    SUMIFS('발전사업(A)'!$I:$I,'발전사업(A)'!$G:$G,AG$2,'발전사업(A)'!$Q:$Q,$J10,'발전사업(A)'!$C:$C,$L$1),
    SUMIFS('자가소비(B)'!$I:$I,'자가소비(B)'!$G:$G,AG$2,'자가소비(B)'!$Q:$Q,$J10,'자가소비(B)'!$C:$C,$L$1),
    SUMIFS('PPA 사업(C)'!$I:$I,'PPA 사업(C)'!$G:$G,AG$2,'PPA 사업(C)'!$Q:$Q,$J10,'PPA 사업(C)'!$C:$C,$L$1),
    SUMIFS('리스사업(D)'!$I:$I,'리스사업(D)'!$G:$G,AG$2,'리스사업(D)'!$Q:$Q,$J10,'리스사업(D)'!$C:$C,$L$1),
    SUMIFS('임대사업(E)'!$I:$I,'임대사업(E)'!$G:$G,AG$2,'임대사업(E)'!$Q:$Q,$J10,'임대사업(E)'!$C:$C,$L$1),
    SUMIFS('환경부사업(F)'!$I:$I,'환경부사업(F)'!$G:$G,AG$2,'환경부사업(F)'!$Q:$Q,$J10,'환경부사업(F)'!$C:$C,$L$1),
    SUMIFS('프로젝트(G)'!$I:$I,'프로젝트(G)'!$G:$G,AG$2,'프로젝트(G)'!$Q:$Q,$J10,'프로젝트(G)'!$C:$C,$L$1),
    SUMIFS('협력사 EPC(H)'!$I:$I,'협력사 EPC(H)'!$G:$G,AG$2,'협력사 EPC(H)'!$Q:$Q,$J10,'협력사 EPC(H)'!$C:$C,$L$1),
    SUMIFS('기타(Z)'!$I:$I,'기타(Z)'!$G:$G,AG$2,'기타(Z)'!$Q:$Q,$J10,'기타(Z)'!$C:$C,$L$1)
  )=0,
  "",
  SUM(
    SUMIFS('발전사업(A)'!$I:$I,'발전사업(A)'!$G:$G,AG$2,'발전사업(A)'!$Q:$Q,$J10,'발전사업(A)'!$C:$C,$L$1),
    SUMIFS('자가소비(B)'!$I:$I,'자가소비(B)'!$G:$G,AG$2,'자가소비(B)'!$Q:$Q,$J10,'자가소비(B)'!$C:$C,$L$1),
    SUMIFS('PPA 사업(C)'!$I:$I,'PPA 사업(C)'!$G:$G,AG$2,'PPA 사업(C)'!$Q:$Q,$J10,'PPA 사업(C)'!$C:$C,$L$1),
    SUMIFS('리스사업(D)'!$I:$I,'리스사업(D)'!$G:$G,AG$2,'리스사업(D)'!$Q:$Q,$J10,'리스사업(D)'!$C:$C,$L$1),
    SUMIFS('임대사업(E)'!$I:$I,'임대사업(E)'!$G:$G,AG$2,'임대사업(E)'!$Q:$Q,$J10,'임대사업(E)'!$C:$C,$L$1),
    SUMIFS('환경부사업(F)'!$I:$I,'환경부사업(F)'!$G:$G,AG$2,'환경부사업(F)'!$Q:$Q,$J10,'환경부사업(F)'!$C:$C,$L$1),
    SUMIFS('프로젝트(G)'!$I:$I,'프로젝트(G)'!$G:$G,AG$2,'프로젝트(G)'!$Q:$Q,$J10,'프로젝트(G)'!$C:$C,$L$1),
    SUMIFS('협력사 EPC(H)'!$I:$I,'협력사 EPC(H)'!$G:$G,AG$2,'협력사 EPC(H)'!$Q:$Q,$J10,'협력사 EPC(H)'!$C:$C,$L$1),
    SUMIFS('기타(Z)'!$I:$I,'기타(Z)'!$G:$G,AG$2,'기타(Z)'!$Q:$Q,$J10,'기타(Z)'!$C:$C,$L$1)
  )
)</f>
        <v/>
      </c>
      <c r="AH10" s="387" t="str">
        <f>IF(
  SUM(
    COUNTIFS('발전사업(A)'!$G:$G, AG$2, '발전사업(A)'!$Q:$Q, $J10, '발전사업(A)'!$C:$C, $L$1),
    COUNTIFS('자가소비(B)'!$G:$G, AG$2, '자가소비(B)'!$Q:$Q, $J10, '자가소비(B)'!$C:$C, $L$1),
    COUNTIFS('PPA 사업(C)'!$G:$G, AG$2, 'PPA 사업(C)'!$Q:$Q, $J10, 'PPA 사업(C)'!$C:$C, $L$1),
    COUNTIFS('리스사업(D)'!$G:$G, AG$2, '리스사업(D)'!$Q:$Q, $J10, '리스사업(D)'!$C:$C, $L$1),
    COUNTIFS('임대사업(E)'!$G:$G, AG$2, '임대사업(E)'!$Q:$Q, $J10, '임대사업(E)'!$C:$C, $L$1),
    COUNTIFS('환경부사업(F)'!$G:$G, AG$2, '환경부사업(F)'!$Q:$Q, $J10, '환경부사업(F)'!$C:$C, $L$1),
    COUNTIFS('프로젝트(G)'!$G:$G, AG$2, '프로젝트(G)'!$Q:$Q, $J10, '프로젝트(G)'!$C:$C, $L$1),
    COUNTIFS('협력사 EPC(H)'!$G:$G, AG$2, '협력사 EPC(H)'!$Q:$Q, $J10, '협력사 EPC(H)'!$C:$C, $L$1),
    COUNTIFS('기타(Z)'!$G:$G, AG$2, '기타(Z)'!$Q:$Q, $J10, '기타(Z)'!$C:$C, $L$1)
  ) = 0,
  "",
  COUNTIFS('발전사업(A)'!$G:$G, AG$2, '발전사업(A)'!$Q:$Q, $J10, '발전사업(A)'!$C:$C, $L$1)
  + COUNTIFS('자가소비(B)'!$G:$G, AG$2, '자가소비(B)'!$Q:$Q, $J10, '자가소비(B)'!$C:$C, $L$1)
  + COUNTIFS('PPA 사업(C)'!$G:$G, AG$2, 'PPA 사업(C)'!$Q:$Q, $J10, 'PPA 사업(C)'!$C:$C, $L$1)
  + COUNTIFS('리스사업(D)'!$G:$G, AG$2, '리스사업(D)'!$Q:$Q, $J10, '리스사업(D)'!$C:$C, $L$1)
  + COUNTIFS('임대사업(E)'!$G:$G, AG$2, '임대사업(E)'!$Q:$Q, $J10, '임대사업(E)'!$C:$C, $L$1)
  + COUNTIFS('환경부사업(F)'!$G:$G, AG$2, '환경부사업(F)'!$Q:$Q, $J10, '환경부사업(F)'!$C:$C, $L$1)
  + COUNTIFS('프로젝트(G)'!$G:$G, AG$2, '프로젝트(G)'!$Q:$Q, $J10, '프로젝트(G)'!$C:$C, $L$1)
  + COUNTIFS('협력사 EPC(H)'!$G:$G, AG$2, '협력사 EPC(H)'!$Q:$Q, $J10, '협력사 EPC(H)'!$C:$C, $L$1)
  + COUNTIFS('기타(Z)'!$G:$G, AG$2, '기타(Z)'!$Q:$Q, $J10, '기타(Z)'!$C:$C, $L$1)
)</f>
        <v/>
      </c>
      <c r="AI10" s="386" t="str">
        <f>IF(
  SUM(
    SUMIFS('발전사업(A)'!$I:$I,'발전사업(A)'!$G:$G,AI$2,'발전사업(A)'!$Q:$Q,$J10,'발전사업(A)'!$C:$C,$L$1),
    SUMIFS('자가소비(B)'!$I:$I,'자가소비(B)'!$G:$G,AI$2,'자가소비(B)'!$Q:$Q,$J10,'자가소비(B)'!$C:$C,$L$1),
    SUMIFS('PPA 사업(C)'!$I:$I,'PPA 사업(C)'!$G:$G,AI$2,'PPA 사업(C)'!$Q:$Q,$J10,'PPA 사업(C)'!$C:$C,$L$1),
    SUMIFS('리스사업(D)'!$I:$I,'리스사업(D)'!$G:$G,AI$2,'리스사업(D)'!$Q:$Q,$J10,'리스사업(D)'!$C:$C,$L$1),
    SUMIFS('임대사업(E)'!$I:$I,'임대사업(E)'!$G:$G,AI$2,'임대사업(E)'!$Q:$Q,$J10,'임대사업(E)'!$C:$C,$L$1),
    SUMIFS('환경부사업(F)'!$I:$I,'환경부사업(F)'!$G:$G,AI$2,'환경부사업(F)'!$Q:$Q,$J10,'환경부사업(F)'!$C:$C,$L$1),
    SUMIFS('프로젝트(G)'!$I:$I,'프로젝트(G)'!$G:$G,AI$2,'프로젝트(G)'!$Q:$Q,$J10,'프로젝트(G)'!$C:$C,$L$1),
    SUMIFS('협력사 EPC(H)'!$I:$I,'협력사 EPC(H)'!$G:$G,AI$2,'협력사 EPC(H)'!$Q:$Q,$J10,'협력사 EPC(H)'!$C:$C,$L$1),
    SUMIFS('기타(Z)'!$I:$I,'기타(Z)'!$G:$G,AI$2,'기타(Z)'!$Q:$Q,$J10,'기타(Z)'!$C:$C,$L$1)
  )=0,
  "",
  SUM(
    SUMIFS('발전사업(A)'!$I:$I,'발전사업(A)'!$G:$G,AI$2,'발전사업(A)'!$Q:$Q,$J10,'발전사업(A)'!$C:$C,$L$1),
    SUMIFS('자가소비(B)'!$I:$I,'자가소비(B)'!$G:$G,AI$2,'자가소비(B)'!$Q:$Q,$J10,'자가소비(B)'!$C:$C,$L$1),
    SUMIFS('PPA 사업(C)'!$I:$I,'PPA 사업(C)'!$G:$G,AI$2,'PPA 사업(C)'!$Q:$Q,$J10,'PPA 사업(C)'!$C:$C,$L$1),
    SUMIFS('리스사업(D)'!$I:$I,'리스사업(D)'!$G:$G,AI$2,'리스사업(D)'!$Q:$Q,$J10,'리스사업(D)'!$C:$C,$L$1),
    SUMIFS('임대사업(E)'!$I:$I,'임대사업(E)'!$G:$G,AI$2,'임대사업(E)'!$Q:$Q,$J10,'임대사업(E)'!$C:$C,$L$1),
    SUMIFS('환경부사업(F)'!$I:$I,'환경부사업(F)'!$G:$G,AI$2,'환경부사업(F)'!$Q:$Q,$J10,'환경부사업(F)'!$C:$C,$L$1),
    SUMIFS('프로젝트(G)'!$I:$I,'프로젝트(G)'!$G:$G,AI$2,'프로젝트(G)'!$Q:$Q,$J10,'프로젝트(G)'!$C:$C,$L$1),
    SUMIFS('협력사 EPC(H)'!$I:$I,'협력사 EPC(H)'!$G:$G,AI$2,'협력사 EPC(H)'!$Q:$Q,$J10,'협력사 EPC(H)'!$C:$C,$L$1),
    SUMIFS('기타(Z)'!$I:$I,'기타(Z)'!$G:$G,AI$2,'기타(Z)'!$Q:$Q,$J10,'기타(Z)'!$C:$C,$L$1)
  )
)</f>
        <v/>
      </c>
      <c r="AJ10" s="385" t="str">
        <f>IF(
  SUM(
    COUNTIFS('발전사업(A)'!$G:$G, AI$2, '발전사업(A)'!$Q:$Q, $J10, '발전사업(A)'!$C:$C, $L$1),
    COUNTIFS('자가소비(B)'!$G:$G, AI$2, '자가소비(B)'!$Q:$Q, $J10, '자가소비(B)'!$C:$C, $L$1),
    COUNTIFS('PPA 사업(C)'!$G:$G, AI$2, 'PPA 사업(C)'!$Q:$Q, $J10, 'PPA 사업(C)'!$C:$C, $L$1),
    COUNTIFS('리스사업(D)'!$G:$G, AI$2, '리스사업(D)'!$Q:$Q, $J10, '리스사업(D)'!$C:$C, $L$1),
    COUNTIFS('임대사업(E)'!$G:$G, AI$2, '임대사업(E)'!$Q:$Q, $J10, '임대사업(E)'!$C:$C, $L$1),
    COUNTIFS('환경부사업(F)'!$G:$G, AI$2, '환경부사업(F)'!$Q:$Q, $J10, '환경부사업(F)'!$C:$C, $L$1),
    COUNTIFS('프로젝트(G)'!$G:$G, AI$2, '프로젝트(G)'!$Q:$Q, $J10, '프로젝트(G)'!$C:$C, $L$1),
    COUNTIFS('협력사 EPC(H)'!$G:$G, AI$2, '협력사 EPC(H)'!$Q:$Q, $J10, '협력사 EPC(H)'!$C:$C, $L$1),
    COUNTIFS('기타(Z)'!$G:$G, AI$2, '기타(Z)'!$Q:$Q, $J10, '기타(Z)'!$C:$C, $L$1)
  ) = 0,
  "",
  COUNTIFS('발전사업(A)'!$G:$G, AI$2, '발전사업(A)'!$Q:$Q, $J10, '발전사업(A)'!$C:$C, $L$1)
  + COUNTIFS('자가소비(B)'!$G:$G, AI$2, '자가소비(B)'!$Q:$Q, $J10, '자가소비(B)'!$C:$C, $L$1)
  + COUNTIFS('PPA 사업(C)'!$G:$G, AI$2, 'PPA 사업(C)'!$Q:$Q, $J10, 'PPA 사업(C)'!$C:$C, $L$1)
  + COUNTIFS('리스사업(D)'!$G:$G, AI$2, '리스사업(D)'!$Q:$Q, $J10, '리스사업(D)'!$C:$C, $L$1)
  + COUNTIFS('임대사업(E)'!$G:$G, AI$2, '임대사업(E)'!$Q:$Q, $J10, '임대사업(E)'!$C:$C, $L$1)
  + COUNTIFS('환경부사업(F)'!$G:$G, AI$2, '환경부사업(F)'!$Q:$Q, $J10, '환경부사업(F)'!$C:$C, $L$1)
  + COUNTIFS('프로젝트(G)'!$G:$G, AI$2, '프로젝트(G)'!$Q:$Q, $J10, '프로젝트(G)'!$C:$C, $L$1)
  + COUNTIFS('협력사 EPC(H)'!$G:$G, AI$2, '협력사 EPC(H)'!$Q:$Q, $J10, '협력사 EPC(H)'!$C:$C, $L$1)
  + COUNTIFS('기타(Z)'!$G:$G, AI$2, '기타(Z)'!$Q:$Q, $J10, '기타(Z)'!$C:$C, $L$1)
)</f>
        <v/>
      </c>
    </row>
    <row r="11" spans="2:36" ht="15.75" thickBot="1" x14ac:dyDescent="0.3">
      <c r="B11" s="202" t="s">
        <v>265</v>
      </c>
      <c r="C11" s="280">
        <f t="shared" si="2"/>
        <v>369.91999999999996</v>
      </c>
      <c r="D11" s="281">
        <f t="shared" si="2"/>
        <v>5</v>
      </c>
      <c r="E11" s="280">
        <f t="shared" si="3"/>
        <v>76.16</v>
      </c>
      <c r="F11" s="281">
        <f t="shared" si="3"/>
        <v>2</v>
      </c>
      <c r="G11" s="280">
        <f t="shared" si="4"/>
        <v>293.76</v>
      </c>
      <c r="H11" s="281">
        <f t="shared" si="4"/>
        <v>3</v>
      </c>
      <c r="J11" s="372" t="s">
        <v>2135</v>
      </c>
      <c r="K11" s="375">
        <f t="shared" ref="K11:AJ11" si="5">IF(SUM(K3:K10)=0, "", SUM(K3:K10))</f>
        <v>17742.974999999995</v>
      </c>
      <c r="L11" s="371">
        <f t="shared" si="5"/>
        <v>73</v>
      </c>
      <c r="M11" s="373" t="str">
        <f t="shared" si="5"/>
        <v/>
      </c>
      <c r="N11" s="370" t="str">
        <f t="shared" si="5"/>
        <v/>
      </c>
      <c r="O11" s="369">
        <f t="shared" si="5"/>
        <v>458.88</v>
      </c>
      <c r="P11" s="370">
        <f t="shared" si="5"/>
        <v>4</v>
      </c>
      <c r="Q11" s="369">
        <f t="shared" si="5"/>
        <v>288.64</v>
      </c>
      <c r="R11" s="370">
        <f t="shared" si="5"/>
        <v>1</v>
      </c>
      <c r="S11" s="369">
        <f t="shared" si="5"/>
        <v>874.21500000000003</v>
      </c>
      <c r="T11" s="370">
        <f t="shared" si="5"/>
        <v>5</v>
      </c>
      <c r="U11" s="369">
        <f t="shared" si="5"/>
        <v>2144</v>
      </c>
      <c r="V11" s="370">
        <f t="shared" si="5"/>
        <v>7</v>
      </c>
      <c r="W11" s="369">
        <f t="shared" si="5"/>
        <v>2309.7600000000002</v>
      </c>
      <c r="X11" s="370">
        <f t="shared" si="5"/>
        <v>9</v>
      </c>
      <c r="Y11" s="369">
        <f t="shared" si="5"/>
        <v>1047.68</v>
      </c>
      <c r="Z11" s="370">
        <f t="shared" si="5"/>
        <v>4</v>
      </c>
      <c r="AA11" s="369">
        <f t="shared" si="5"/>
        <v>1408.375</v>
      </c>
      <c r="AB11" s="370">
        <f t="shared" si="5"/>
        <v>5</v>
      </c>
      <c r="AC11" s="369">
        <f t="shared" si="5"/>
        <v>2357.7600000000002</v>
      </c>
      <c r="AD11" s="370">
        <f t="shared" si="5"/>
        <v>9</v>
      </c>
      <c r="AE11" s="369">
        <f t="shared" si="5"/>
        <v>1619.8400000000001</v>
      </c>
      <c r="AF11" s="370">
        <f t="shared" si="5"/>
        <v>10</v>
      </c>
      <c r="AG11" s="369">
        <f t="shared" si="5"/>
        <v>3187.3649999999998</v>
      </c>
      <c r="AH11" s="370">
        <f t="shared" si="5"/>
        <v>12</v>
      </c>
      <c r="AI11" s="369">
        <f t="shared" si="5"/>
        <v>2046.46</v>
      </c>
      <c r="AJ11" s="371">
        <f t="shared" si="5"/>
        <v>7</v>
      </c>
    </row>
    <row r="12" spans="2:36" ht="17.25" thickBot="1" x14ac:dyDescent="0.3">
      <c r="B12" s="292" t="s">
        <v>1062</v>
      </c>
      <c r="C12" s="286">
        <f>SUM(C4:C11)</f>
        <v>57041.56</v>
      </c>
      <c r="D12" s="287">
        <f t="shared" ref="D12:H12" si="6">SUM(D4:D11)</f>
        <v>202</v>
      </c>
      <c r="E12" s="288">
        <f t="shared" si="6"/>
        <v>36972.895000000004</v>
      </c>
      <c r="F12" s="289">
        <f t="shared" si="6"/>
        <v>130</v>
      </c>
      <c r="G12" s="290">
        <f t="shared" si="6"/>
        <v>20068.665000000001</v>
      </c>
      <c r="H12" s="291">
        <f t="shared" si="6"/>
        <v>72</v>
      </c>
    </row>
    <row r="13" spans="2:36" ht="16.5" x14ac:dyDescent="0.25">
      <c r="J13" s="392" t="s">
        <v>2150</v>
      </c>
      <c r="K13" s="380">
        <f t="shared" ref="K13:K21" si="7">IF(
  SUM(
    IFERROR(VALUE(SUBSTITUTE(M13,"kW","")),0),
    IFERROR(VALUE(SUBSTITUTE(O13,"kW","")),0),
    IFERROR(VALUE(SUBSTITUTE(Q13,"kW","")),0),
    IFERROR(VALUE(SUBSTITUTE(S13,"kW","")),0),
    IFERROR(VALUE(SUBSTITUTE(U13,"kW","")),0),
    IFERROR(VALUE(SUBSTITUTE(W13,"kW","")),0),
    IFERROR(VALUE(SUBSTITUTE(Y13,"kW","")),0),
    IFERROR(VALUE(SUBSTITUTE(AA13,"kW","")),0),
    IFERROR(VALUE(SUBSTITUTE(AC13,"kW","")),0),
    IFERROR(VALUE(SUBSTITUTE(AE13,"kW","")),0),
    IFERROR(VALUE(SUBSTITUTE(AG13,"kW","")),0),
    IFERROR(VALUE(SUBSTITUTE(AI13,"kW","")),0)
  )=0,
  "",
  SUM(
    IFERROR(VALUE(SUBSTITUTE(M13,"kW","")),0),
    IFERROR(VALUE(SUBSTITUTE(O13,"kW","")),0),
    IFERROR(VALUE(SUBSTITUTE(Q13,"kW","")),0),
    IFERROR(VALUE(SUBSTITUTE(S13,"kW","")),0),
    IFERROR(VALUE(SUBSTITUTE(U13,"kW","")),0),
    IFERROR(VALUE(SUBSTITUTE(W13,"kW","")),0),
    IFERROR(VALUE(SUBSTITUTE(Y13,"kW","")),0),
    IFERROR(VALUE(SUBSTITUTE(AA13,"kW","")),0),
    IFERROR(VALUE(SUBSTITUTE(AC13,"kW","")),0),
    IFERROR(VALUE(SUBSTITUTE(AE13,"kW","")),0),
    IFERROR(VALUE(SUBSTITUTE(AG13,"kW","")),0),
    IFERROR(VALUE(SUBSTITUTE(AI13,"kW","")),0)
  )
)</f>
        <v>22239.634999999998</v>
      </c>
      <c r="L13" s="377">
        <f>IF(
  SUM(
    IFERROR(VALUE(SUBSTITUTE(N13,"건","")),0),
    IFERROR(VALUE(SUBSTITUTE(P13,"건","")),0),
    IFERROR(VALUE(SUBSTITUTE(R13,"건","")),0),
    IFERROR(VALUE(SUBSTITUTE(T13,"건","")),0),
    IFERROR(VALUE(SUBSTITUTE(V13,"건","")),0),
    IFERROR(VALUE(SUBSTITUTE(X13,"건","")),0),
    IFERROR(VALUE(SUBSTITUTE(Z13,"건","")),0),
    IFERROR(VALUE(SUBSTITUTE(AB13,"건","")),0),
    IFERROR(VALUE(SUBSTITUTE(AD13,"건","")),0),
    IFERROR(VALUE(SUBSTITUTE(AF13,"건","")),0),
    IFERROR(VALUE(SUBSTITUTE(AH13,"건","")),0),
    IFERROR(VALUE(SUBSTITUTE(AJ13,"건","")),0)
  )=0,
  "",
  SUM(
    IFERROR(VALUE(SUBSTITUTE(N13,"건","")),0),
    IFERROR(VALUE(SUBSTITUTE(P13,"건","")),0),
    IFERROR(VALUE(SUBSTITUTE(R13,"건","")),0),
    IFERROR(VALUE(SUBSTITUTE(T13,"건","")),0),
    IFERROR(VALUE(SUBSTITUTE(V13,"건","")),0),
    IFERROR(VALUE(SUBSTITUTE(X13,"건","")),0),
    IFERROR(VALUE(SUBSTITUTE(Z13,"건","")),0),
    IFERROR(VALUE(SUBSTITUTE(AB13,"건","")),0),
    IFERROR(VALUE(SUBSTITUTE(AD13,"건","")),0),
    IFERROR(VALUE(SUBSTITUTE(AF13,"건","")),0),
    IFERROR(VALUE(SUBSTITUTE(AH13,"건","")),0),
    IFERROR(VALUE(SUBSTITUTE(AJ13,"건","")),0)
  )
)</f>
        <v>81</v>
      </c>
      <c r="M13" s="379">
        <f>IF(
  SUM(
    SUMIFS('발전사업(A)'!$I:$I,'발전사업(A)'!$G:$G,M$2,'발전사업(A)'!$Q:$Q,$J13,'발전사업(A)'!$C:$C,$L$1),
    SUMIFS('자가소비(B)'!$I:$I,'자가소비(B)'!$G:$G,M$2,'자가소비(B)'!$Q:$Q,$J13,'자가소비(B)'!$C:$C,$L$1),
    SUMIFS('PPA 사업(C)'!$I:$I,'PPA 사업(C)'!$G:$G,M$2,'PPA 사업(C)'!$Q:$Q,$J13,'PPA 사업(C)'!$C:$C,$L$1),
    SUMIFS('리스사업(D)'!$I:$I,'리스사업(D)'!$G:$G,M$2,'리스사업(D)'!$Q:$Q,$J13,'리스사업(D)'!$C:$C,$L$1),
    SUMIFS('임대사업(E)'!$I:$I,'임대사업(E)'!$G:$G,M$2,'임대사업(E)'!$Q:$Q,$J13,'임대사업(E)'!$C:$C,$L$1),
    SUMIFS('환경부사업(F)'!$I:$I,'환경부사업(F)'!$G:$G,M$2,'환경부사업(F)'!$Q:$Q,$J13,'환경부사업(F)'!$C:$C,$L$1),
    SUMIFS('프로젝트(G)'!$I:$I,'프로젝트(G)'!$G:$G,M$2,'프로젝트(G)'!$Q:$Q,$J13,'프로젝트(G)'!$C:$C,$L$1),
    SUMIFS('협력사 EPC(H)'!$I:$I,'협력사 EPC(H)'!$G:$G,M$2,'협력사 EPC(H)'!$Q:$Q,$J13,'협력사 EPC(H)'!$C:$C,$L$1),
    SUMIFS('기타(Z)'!$I:$I,'기타(Z)'!$G:$G,M$2,'기타(Z)'!$Q:$Q,$J13,'기타(Z)'!$C:$C,$L$1)
  )=0,
  "",
  SUM(
    SUMIFS('발전사업(A)'!$I:$I,'발전사업(A)'!$G:$G,M$2,'발전사업(A)'!$Q:$Q,$J13,'발전사업(A)'!$C:$C,$L$1),
    SUMIFS('자가소비(B)'!$I:$I,'자가소비(B)'!$G:$G,M$2,'자가소비(B)'!$Q:$Q,$J13,'자가소비(B)'!$C:$C,$L$1),
    SUMIFS('PPA 사업(C)'!$I:$I,'PPA 사업(C)'!$G:$G,M$2,'PPA 사업(C)'!$Q:$Q,$J13,'PPA 사업(C)'!$C:$C,$L$1),
    SUMIFS('리스사업(D)'!$I:$I,'리스사업(D)'!$G:$G,M$2,'리스사업(D)'!$Q:$Q,$J13,'리스사업(D)'!$C:$C,$L$1),
    SUMIFS('임대사업(E)'!$I:$I,'임대사업(E)'!$G:$G,M$2,'임대사업(E)'!$Q:$Q,$J13,'임대사업(E)'!$C:$C,$L$1),
    SUMIFS('환경부사업(F)'!$I:$I,'환경부사업(F)'!$G:$G,M$2,'환경부사업(F)'!$Q:$Q,$J13,'환경부사업(F)'!$C:$C,$L$1),
    SUMIFS('프로젝트(G)'!$I:$I,'프로젝트(G)'!$G:$G,M$2,'프로젝트(G)'!$Q:$Q,$J13,'프로젝트(G)'!$C:$C,$L$1),
    SUMIFS('협력사 EPC(H)'!$I:$I,'협력사 EPC(H)'!$G:$G,M$2,'협력사 EPC(H)'!$Q:$Q,$J13,'협력사 EPC(H)'!$C:$C,$L$1),
    SUMIFS('기타(Z)'!$I:$I,'기타(Z)'!$G:$G,M$2,'기타(Z)'!$Q:$Q,$J13,'기타(Z)'!$C:$C,$L$1)
  )
)</f>
        <v>183.04</v>
      </c>
      <c r="N13" s="376">
        <f>IF(
  SUM(
    COUNTIFS('발전사업(A)'!$G:$G, M$2, '발전사업(A)'!$Q:$Q, $J13, '발전사업(A)'!$C:$C, $L$1),
    COUNTIFS('자가소비(B)'!$G:$G, M$2, '자가소비(B)'!$Q:$Q, $J13, '자가소비(B)'!$C:$C, $L$1),
    COUNTIFS('PPA 사업(C)'!$G:$G, M$2, 'PPA 사업(C)'!$Q:$Q, $J13, 'PPA 사업(C)'!$C:$C, $L$1),
    COUNTIFS('리스사업(D)'!$G:$G, M$2, '리스사업(D)'!$Q:$Q, $J13, '리스사업(D)'!$C:$C, $L$1),
    COUNTIFS('임대사업(E)'!$G:$G, M$2, '임대사업(E)'!$Q:$Q, $J13, '임대사업(E)'!$C:$C, $L$1),
    COUNTIFS('환경부사업(F)'!$G:$G, M$2, '환경부사업(F)'!$Q:$Q, $J13, '환경부사업(F)'!$C:$C, $L$1),
    COUNTIFS('프로젝트(G)'!$G:$G, M$2, '프로젝트(G)'!$Q:$Q, $J13, '프로젝트(G)'!$C:$C, $L$1),
    COUNTIFS('협력사 EPC(H)'!$G:$G, M$2, '협력사 EPC(H)'!$Q:$Q, $J13, '협력사 EPC(H)'!$C:$C, $L$1),
    COUNTIFS('기타(Z)'!$G:$G, M$2, '기타(Z)'!$Q:$Q, $J13, '기타(Z)'!$C:$C, $L$1)
  ) = 0,
  "",
  COUNTIFS('발전사업(A)'!$G:$G, M$2, '발전사업(A)'!$Q:$Q, $J13, '발전사업(A)'!$C:$C, $L$1)
  + COUNTIFS('자가소비(B)'!$G:$G, M$2, '자가소비(B)'!$Q:$Q, $J13, '자가소비(B)'!$C:$C, $L$1)
  + COUNTIFS('PPA 사업(C)'!$G:$G, M$2, 'PPA 사업(C)'!$Q:$Q, $J13, 'PPA 사업(C)'!$C:$C, $L$1)
  + COUNTIFS('리스사업(D)'!$G:$G, M$2, '리스사업(D)'!$Q:$Q, $J13, '리스사업(D)'!$C:$C, $L$1)
  + COUNTIFS('임대사업(E)'!$G:$G, M$2, '임대사업(E)'!$Q:$Q, $J13, '임대사업(E)'!$C:$C, $L$1)
  + COUNTIFS('환경부사업(F)'!$G:$G, M$2, '환경부사업(F)'!$Q:$Q, $J13, '환경부사업(F)'!$C:$C, $L$1)
  + COUNTIFS('프로젝트(G)'!$G:$G, M$2, '프로젝트(G)'!$Q:$Q, $J13, '프로젝트(G)'!$C:$C, $L$1)
  + COUNTIFS('협력사 EPC(H)'!$G:$G, M$2, '협력사 EPC(H)'!$Q:$Q, $J13, '협력사 EPC(H)'!$C:$C, $L$1)
  + COUNTIFS('기타(Z)'!$G:$G, M$2, '기타(Z)'!$Q:$Q, $J13, '기타(Z)'!$C:$C, $L$1)
)</f>
        <v>1</v>
      </c>
      <c r="O13" s="379">
        <f>IF(
  SUM(
    SUMIFS('발전사업(A)'!$I:$I,'발전사업(A)'!$G:$G,O$2,'발전사업(A)'!$Q:$Q,$J13,'발전사업(A)'!$C:$C,$L$1),
    SUMIFS('자가소비(B)'!$I:$I,'자가소비(B)'!$G:$G,O$2,'자가소비(B)'!$Q:$Q,$J13,'자가소비(B)'!$C:$C,$L$1),
    SUMIFS('PPA 사업(C)'!$I:$I,'PPA 사업(C)'!$G:$G,O$2,'PPA 사업(C)'!$Q:$Q,$J13,'PPA 사업(C)'!$C:$C,$L$1),
    SUMIFS('리스사업(D)'!$I:$I,'리스사업(D)'!$G:$G,O$2,'리스사업(D)'!$Q:$Q,$J13,'리스사업(D)'!$C:$C,$L$1),
    SUMIFS('임대사업(E)'!$I:$I,'임대사업(E)'!$G:$G,O$2,'임대사업(E)'!$Q:$Q,$J13,'임대사업(E)'!$C:$C,$L$1),
    SUMIFS('환경부사업(F)'!$I:$I,'환경부사업(F)'!$G:$G,O$2,'환경부사업(F)'!$Q:$Q,$J13,'환경부사업(F)'!$C:$C,$L$1),
    SUMIFS('프로젝트(G)'!$I:$I,'프로젝트(G)'!$G:$G,O$2,'프로젝트(G)'!$Q:$Q,$J13,'프로젝트(G)'!$C:$C,$L$1),
    SUMIFS('협력사 EPC(H)'!$I:$I,'협력사 EPC(H)'!$G:$G,O$2,'협력사 EPC(H)'!$Q:$Q,$J13,'협력사 EPC(H)'!$C:$C,$L$1),
    SUMIFS('기타(Z)'!$I:$I,'기타(Z)'!$G:$G,O$2,'기타(Z)'!$Q:$Q,$J13,'기타(Z)'!$C:$C,$L$1)
  )=0,
  "",
  SUM(
    SUMIFS('발전사업(A)'!$I:$I,'발전사업(A)'!$G:$G,O$2,'발전사업(A)'!$Q:$Q,$J13,'발전사업(A)'!$C:$C,$L$1),
    SUMIFS('자가소비(B)'!$I:$I,'자가소비(B)'!$G:$G,O$2,'자가소비(B)'!$Q:$Q,$J13,'자가소비(B)'!$C:$C,$L$1),
    SUMIFS('PPA 사업(C)'!$I:$I,'PPA 사업(C)'!$G:$G,O$2,'PPA 사업(C)'!$Q:$Q,$J13,'PPA 사업(C)'!$C:$C,$L$1),
    SUMIFS('리스사업(D)'!$I:$I,'리스사업(D)'!$G:$G,O$2,'리스사업(D)'!$Q:$Q,$J13,'리스사업(D)'!$C:$C,$L$1),
    SUMIFS('임대사업(E)'!$I:$I,'임대사업(E)'!$G:$G,O$2,'임대사업(E)'!$Q:$Q,$J13,'임대사업(E)'!$C:$C,$L$1),
    SUMIFS('환경부사업(F)'!$I:$I,'환경부사업(F)'!$G:$G,O$2,'환경부사업(F)'!$Q:$Q,$J13,'환경부사업(F)'!$C:$C,$L$1),
    SUMIFS('프로젝트(G)'!$I:$I,'프로젝트(G)'!$G:$G,O$2,'프로젝트(G)'!$Q:$Q,$J13,'프로젝트(G)'!$C:$C,$L$1),
    SUMIFS('협력사 EPC(H)'!$I:$I,'협력사 EPC(H)'!$G:$G,O$2,'협력사 EPC(H)'!$Q:$Q,$J13,'협력사 EPC(H)'!$C:$C,$L$1),
    SUMIFS('기타(Z)'!$I:$I,'기타(Z)'!$G:$G,O$2,'기타(Z)'!$Q:$Q,$J13,'기타(Z)'!$C:$C,$L$1)
  )
)</f>
        <v>356.09</v>
      </c>
      <c r="P13" s="376">
        <f>IF(
  SUM(
    COUNTIFS('발전사업(A)'!$G:$G, O$2, '발전사업(A)'!$Q:$Q, $J13, '발전사업(A)'!$C:$C, $L$1),
    COUNTIFS('자가소비(B)'!$G:$G, O$2, '자가소비(B)'!$Q:$Q, $J13, '자가소비(B)'!$C:$C, $L$1),
    COUNTIFS('PPA 사업(C)'!$G:$G, O$2, 'PPA 사업(C)'!$Q:$Q, $J13, 'PPA 사업(C)'!$C:$C, $L$1),
    COUNTIFS('리스사업(D)'!$G:$G, O$2, '리스사업(D)'!$Q:$Q, $J13, '리스사업(D)'!$C:$C, $L$1),
    COUNTIFS('임대사업(E)'!$G:$G, O$2, '임대사업(E)'!$Q:$Q, $J13, '임대사업(E)'!$C:$C, $L$1),
    COUNTIFS('환경부사업(F)'!$G:$G, O$2, '환경부사업(F)'!$Q:$Q, $J13, '환경부사업(F)'!$C:$C, $L$1),
    COUNTIFS('프로젝트(G)'!$G:$G, O$2, '프로젝트(G)'!$Q:$Q, $J13, '프로젝트(G)'!$C:$C, $L$1),
    COUNTIFS('협력사 EPC(H)'!$G:$G, O$2, '협력사 EPC(H)'!$Q:$Q, $J13, '협력사 EPC(H)'!$C:$C, $L$1),
    COUNTIFS('기타(Z)'!$G:$G, O$2, '기타(Z)'!$Q:$Q, $J13, '기타(Z)'!$C:$C, $L$1)
  ) = 0,
  "",
  COUNTIFS('발전사업(A)'!$G:$G, O$2, '발전사업(A)'!$Q:$Q, $J13, '발전사업(A)'!$C:$C, $L$1)
  + COUNTIFS('자가소비(B)'!$G:$G, O$2, '자가소비(B)'!$Q:$Q, $J13, '자가소비(B)'!$C:$C, $L$1)
  + COUNTIFS('PPA 사업(C)'!$G:$G, O$2, 'PPA 사업(C)'!$Q:$Q, $J13, 'PPA 사업(C)'!$C:$C, $L$1)
  + COUNTIFS('리스사업(D)'!$G:$G, O$2, '리스사업(D)'!$Q:$Q, $J13, '리스사업(D)'!$C:$C, $L$1)
  + COUNTIFS('임대사업(E)'!$G:$G, O$2, '임대사업(E)'!$Q:$Q, $J13, '임대사업(E)'!$C:$C, $L$1)
  + COUNTIFS('환경부사업(F)'!$G:$G, O$2, '환경부사업(F)'!$Q:$Q, $J13, '환경부사업(F)'!$C:$C, $L$1)
  + COUNTIFS('프로젝트(G)'!$G:$G, O$2, '프로젝트(G)'!$Q:$Q, $J13, '프로젝트(G)'!$C:$C, $L$1)
  + COUNTIFS('협력사 EPC(H)'!$G:$G, O$2, '협력사 EPC(H)'!$Q:$Q, $J13, '협력사 EPC(H)'!$C:$C, $L$1)
  + COUNTIFS('기타(Z)'!$G:$G, O$2, '기타(Z)'!$Q:$Q, $J13, '기타(Z)'!$C:$C, $L$1)
)</f>
        <v>3</v>
      </c>
      <c r="Q13" s="379">
        <f>IF(
  SUM(
    SUMIFS('발전사업(A)'!$I:$I,'발전사업(A)'!$G:$G,Q$2,'발전사업(A)'!$Q:$Q,$J13,'발전사업(A)'!$C:$C,$L$1),
    SUMIFS('자가소비(B)'!$I:$I,'자가소비(B)'!$G:$G,Q$2,'자가소비(B)'!$Q:$Q,$J13,'자가소비(B)'!$C:$C,$L$1),
    SUMIFS('PPA 사업(C)'!$I:$I,'PPA 사업(C)'!$G:$G,Q$2,'PPA 사업(C)'!$Q:$Q,$J13,'PPA 사업(C)'!$C:$C,$L$1),
    SUMIFS('리스사업(D)'!$I:$I,'리스사업(D)'!$G:$G,Q$2,'리스사업(D)'!$Q:$Q,$J13,'리스사업(D)'!$C:$C,$L$1),
    SUMIFS('임대사업(E)'!$I:$I,'임대사업(E)'!$G:$G,Q$2,'임대사업(E)'!$Q:$Q,$J13,'임대사업(E)'!$C:$C,$L$1),
    SUMIFS('환경부사업(F)'!$I:$I,'환경부사업(F)'!$G:$G,Q$2,'환경부사업(F)'!$Q:$Q,$J13,'환경부사업(F)'!$C:$C,$L$1),
    SUMIFS('프로젝트(G)'!$I:$I,'프로젝트(G)'!$G:$G,Q$2,'프로젝트(G)'!$Q:$Q,$J13,'프로젝트(G)'!$C:$C,$L$1),
    SUMIFS('협력사 EPC(H)'!$I:$I,'협력사 EPC(H)'!$G:$G,Q$2,'협력사 EPC(H)'!$Q:$Q,$J13,'협력사 EPC(H)'!$C:$C,$L$1),
    SUMIFS('기타(Z)'!$I:$I,'기타(Z)'!$G:$G,Q$2,'기타(Z)'!$Q:$Q,$J13,'기타(Z)'!$C:$C,$L$1)
  )=0,
  "",
  SUM(
    SUMIFS('발전사업(A)'!$I:$I,'발전사업(A)'!$G:$G,Q$2,'발전사업(A)'!$Q:$Q,$J13,'발전사업(A)'!$C:$C,$L$1),
    SUMIFS('자가소비(B)'!$I:$I,'자가소비(B)'!$G:$G,Q$2,'자가소비(B)'!$Q:$Q,$J13,'자가소비(B)'!$C:$C,$L$1),
    SUMIFS('PPA 사업(C)'!$I:$I,'PPA 사업(C)'!$G:$G,Q$2,'PPA 사업(C)'!$Q:$Q,$J13,'PPA 사업(C)'!$C:$C,$L$1),
    SUMIFS('리스사업(D)'!$I:$I,'리스사업(D)'!$G:$G,Q$2,'리스사업(D)'!$Q:$Q,$J13,'리스사업(D)'!$C:$C,$L$1),
    SUMIFS('임대사업(E)'!$I:$I,'임대사업(E)'!$G:$G,Q$2,'임대사업(E)'!$Q:$Q,$J13,'임대사업(E)'!$C:$C,$L$1),
    SUMIFS('환경부사업(F)'!$I:$I,'환경부사업(F)'!$G:$G,Q$2,'환경부사업(F)'!$Q:$Q,$J13,'환경부사업(F)'!$C:$C,$L$1),
    SUMIFS('프로젝트(G)'!$I:$I,'프로젝트(G)'!$G:$G,Q$2,'프로젝트(G)'!$Q:$Q,$J13,'프로젝트(G)'!$C:$C,$L$1),
    SUMIFS('협력사 EPC(H)'!$I:$I,'협력사 EPC(H)'!$G:$G,Q$2,'협력사 EPC(H)'!$Q:$Q,$J13,'협력사 EPC(H)'!$C:$C,$L$1),
    SUMIFS('기타(Z)'!$I:$I,'기타(Z)'!$G:$G,Q$2,'기타(Z)'!$Q:$Q,$J13,'기타(Z)'!$C:$C,$L$1)
  )
)</f>
        <v>870.40000000000009</v>
      </c>
      <c r="R13" s="376">
        <f>IF(
  SUM(
    COUNTIFS('발전사업(A)'!$G:$G, Q$2, '발전사업(A)'!$Q:$Q, $J13, '발전사업(A)'!$C:$C, $L$1),
    COUNTIFS('자가소비(B)'!$G:$G, Q$2, '자가소비(B)'!$Q:$Q, $J13, '자가소비(B)'!$C:$C, $L$1),
    COUNTIFS('PPA 사업(C)'!$G:$G, Q$2, 'PPA 사업(C)'!$Q:$Q, $J13, 'PPA 사업(C)'!$C:$C, $L$1),
    COUNTIFS('리스사업(D)'!$G:$G, Q$2, '리스사업(D)'!$Q:$Q, $J13, '리스사업(D)'!$C:$C, $L$1),
    COUNTIFS('임대사업(E)'!$G:$G, Q$2, '임대사업(E)'!$Q:$Q, $J13, '임대사업(E)'!$C:$C, $L$1),
    COUNTIFS('환경부사업(F)'!$G:$G, Q$2, '환경부사업(F)'!$Q:$Q, $J13, '환경부사업(F)'!$C:$C, $L$1),
    COUNTIFS('프로젝트(G)'!$G:$G, Q$2, '프로젝트(G)'!$Q:$Q, $J13, '프로젝트(G)'!$C:$C, $L$1),
    COUNTIFS('협력사 EPC(H)'!$G:$G, Q$2, '협력사 EPC(H)'!$Q:$Q, $J13, '협력사 EPC(H)'!$C:$C, $L$1),
    COUNTIFS('기타(Z)'!$G:$G, Q$2, '기타(Z)'!$Q:$Q, $J13, '기타(Z)'!$C:$C, $L$1)
  ) = 0,
  "",
  COUNTIFS('발전사업(A)'!$G:$G, Q$2, '발전사업(A)'!$Q:$Q, $J13, '발전사업(A)'!$C:$C, $L$1)
  + COUNTIFS('자가소비(B)'!$G:$G, Q$2, '자가소비(B)'!$Q:$Q, $J13, '자가소비(B)'!$C:$C, $L$1)
  + COUNTIFS('PPA 사업(C)'!$G:$G, Q$2, 'PPA 사업(C)'!$Q:$Q, $J13, 'PPA 사업(C)'!$C:$C, $L$1)
  + COUNTIFS('리스사업(D)'!$G:$G, Q$2, '리스사업(D)'!$Q:$Q, $J13, '리스사업(D)'!$C:$C, $L$1)
  + COUNTIFS('임대사업(E)'!$G:$G, Q$2, '임대사업(E)'!$Q:$Q, $J13, '임대사업(E)'!$C:$C, $L$1)
  + COUNTIFS('환경부사업(F)'!$G:$G, Q$2, '환경부사업(F)'!$Q:$Q, $J13, '환경부사업(F)'!$C:$C, $L$1)
  + COUNTIFS('프로젝트(G)'!$G:$G, Q$2, '프로젝트(G)'!$Q:$Q, $J13, '프로젝트(G)'!$C:$C, $L$1)
  + COUNTIFS('협력사 EPC(H)'!$G:$G, Q$2, '협력사 EPC(H)'!$Q:$Q, $J13, '협력사 EPC(H)'!$C:$C, $L$1)
  + COUNTIFS('기타(Z)'!$G:$G, Q$2, '기타(Z)'!$Q:$Q, $J13, '기타(Z)'!$C:$C, $L$1)
)</f>
        <v>3</v>
      </c>
      <c r="S13" s="379">
        <f>IF(
  SUM(
    SUMIFS('발전사업(A)'!$I:$I,'발전사업(A)'!$G:$G,S$2,'발전사업(A)'!$Q:$Q,$J13,'발전사업(A)'!$C:$C,$L$1),
    SUMIFS('자가소비(B)'!$I:$I,'자가소비(B)'!$G:$G,S$2,'자가소비(B)'!$Q:$Q,$J13,'자가소비(B)'!$C:$C,$L$1),
    SUMIFS('PPA 사업(C)'!$I:$I,'PPA 사업(C)'!$G:$G,S$2,'PPA 사업(C)'!$Q:$Q,$J13,'PPA 사업(C)'!$C:$C,$L$1),
    SUMIFS('리스사업(D)'!$I:$I,'리스사업(D)'!$G:$G,S$2,'리스사업(D)'!$Q:$Q,$J13,'리스사업(D)'!$C:$C,$L$1),
    SUMIFS('임대사업(E)'!$I:$I,'임대사업(E)'!$G:$G,S$2,'임대사업(E)'!$Q:$Q,$J13,'임대사업(E)'!$C:$C,$L$1),
    SUMIFS('환경부사업(F)'!$I:$I,'환경부사업(F)'!$G:$G,S$2,'환경부사업(F)'!$Q:$Q,$J13,'환경부사업(F)'!$C:$C,$L$1),
    SUMIFS('프로젝트(G)'!$I:$I,'프로젝트(G)'!$G:$G,S$2,'프로젝트(G)'!$Q:$Q,$J13,'프로젝트(G)'!$C:$C,$L$1),
    SUMIFS('협력사 EPC(H)'!$I:$I,'협력사 EPC(H)'!$G:$G,S$2,'협력사 EPC(H)'!$Q:$Q,$J13,'협력사 EPC(H)'!$C:$C,$L$1),
    SUMIFS('기타(Z)'!$I:$I,'기타(Z)'!$G:$G,S$2,'기타(Z)'!$Q:$Q,$J13,'기타(Z)'!$C:$C,$L$1)
  )=0,
  "",
  SUM(
    SUMIFS('발전사업(A)'!$I:$I,'발전사업(A)'!$G:$G,S$2,'발전사업(A)'!$Q:$Q,$J13,'발전사업(A)'!$C:$C,$L$1),
    SUMIFS('자가소비(B)'!$I:$I,'자가소비(B)'!$G:$G,S$2,'자가소비(B)'!$Q:$Q,$J13,'자가소비(B)'!$C:$C,$L$1),
    SUMIFS('PPA 사업(C)'!$I:$I,'PPA 사업(C)'!$G:$G,S$2,'PPA 사업(C)'!$Q:$Q,$J13,'PPA 사업(C)'!$C:$C,$L$1),
    SUMIFS('리스사업(D)'!$I:$I,'리스사업(D)'!$G:$G,S$2,'리스사업(D)'!$Q:$Q,$J13,'리스사업(D)'!$C:$C,$L$1),
    SUMIFS('임대사업(E)'!$I:$I,'임대사업(E)'!$G:$G,S$2,'임대사업(E)'!$Q:$Q,$J13,'임대사업(E)'!$C:$C,$L$1),
    SUMIFS('환경부사업(F)'!$I:$I,'환경부사업(F)'!$G:$G,S$2,'환경부사업(F)'!$Q:$Q,$J13,'환경부사업(F)'!$C:$C,$L$1),
    SUMIFS('프로젝트(G)'!$I:$I,'프로젝트(G)'!$G:$G,S$2,'프로젝트(G)'!$Q:$Q,$J13,'프로젝트(G)'!$C:$C,$L$1),
    SUMIFS('협력사 EPC(H)'!$I:$I,'협력사 EPC(H)'!$G:$G,S$2,'협력사 EPC(H)'!$Q:$Q,$J13,'협력사 EPC(H)'!$C:$C,$L$1),
    SUMIFS('기타(Z)'!$I:$I,'기타(Z)'!$G:$G,S$2,'기타(Z)'!$Q:$Q,$J13,'기타(Z)'!$C:$C,$L$1)
  )
)</f>
        <v>2979.28</v>
      </c>
      <c r="T13" s="376">
        <f>IF(
  SUM(
    COUNTIFS('발전사업(A)'!$G:$G, S$2, '발전사업(A)'!$Q:$Q, $J13, '발전사업(A)'!$C:$C, $L$1),
    COUNTIFS('자가소비(B)'!$G:$G, S$2, '자가소비(B)'!$Q:$Q, $J13, '자가소비(B)'!$C:$C, $L$1),
    COUNTIFS('PPA 사업(C)'!$G:$G, S$2, 'PPA 사업(C)'!$Q:$Q, $J13, 'PPA 사업(C)'!$C:$C, $L$1),
    COUNTIFS('리스사업(D)'!$G:$G, S$2, '리스사업(D)'!$Q:$Q, $J13, '리스사업(D)'!$C:$C, $L$1),
    COUNTIFS('임대사업(E)'!$G:$G, S$2, '임대사업(E)'!$Q:$Q, $J13, '임대사업(E)'!$C:$C, $L$1),
    COUNTIFS('환경부사업(F)'!$G:$G, S$2, '환경부사업(F)'!$Q:$Q, $J13, '환경부사업(F)'!$C:$C, $L$1),
    COUNTIFS('프로젝트(G)'!$G:$G, S$2, '프로젝트(G)'!$Q:$Q, $J13, '프로젝트(G)'!$C:$C, $L$1),
    COUNTIFS('협력사 EPC(H)'!$G:$G, S$2, '협력사 EPC(H)'!$Q:$Q, $J13, '협력사 EPC(H)'!$C:$C, $L$1),
    COUNTIFS('기타(Z)'!$G:$G, S$2, '기타(Z)'!$Q:$Q, $J13, '기타(Z)'!$C:$C, $L$1)
  ) = 0,
  "",
  COUNTIFS('발전사업(A)'!$G:$G, S$2, '발전사업(A)'!$Q:$Q, $J13, '발전사업(A)'!$C:$C, $L$1)
  + COUNTIFS('자가소비(B)'!$G:$G, S$2, '자가소비(B)'!$Q:$Q, $J13, '자가소비(B)'!$C:$C, $L$1)
  + COUNTIFS('PPA 사업(C)'!$G:$G, S$2, 'PPA 사업(C)'!$Q:$Q, $J13, 'PPA 사업(C)'!$C:$C, $L$1)
  + COUNTIFS('리스사업(D)'!$G:$G, S$2, '리스사업(D)'!$Q:$Q, $J13, '리스사업(D)'!$C:$C, $L$1)
  + COUNTIFS('임대사업(E)'!$G:$G, S$2, '임대사업(E)'!$Q:$Q, $J13, '임대사업(E)'!$C:$C, $L$1)
  + COUNTIFS('환경부사업(F)'!$G:$G, S$2, '환경부사업(F)'!$Q:$Q, $J13, '환경부사업(F)'!$C:$C, $L$1)
  + COUNTIFS('프로젝트(G)'!$G:$G, S$2, '프로젝트(G)'!$Q:$Q, $J13, '프로젝트(G)'!$C:$C, $L$1)
  + COUNTIFS('협력사 EPC(H)'!$G:$G, S$2, '협력사 EPC(H)'!$Q:$Q, $J13, '협력사 EPC(H)'!$C:$C, $L$1)
  + COUNTIFS('기타(Z)'!$G:$G, S$2, '기타(Z)'!$Q:$Q, $J13, '기타(Z)'!$C:$C, $L$1)
)</f>
        <v>10</v>
      </c>
      <c r="U13" s="379">
        <f>IF(
  SUM(
    SUMIFS('발전사업(A)'!$I:$I,'발전사업(A)'!$G:$G,U$2,'발전사업(A)'!$Q:$Q,$J13,'발전사업(A)'!$C:$C,$L$1),
    SUMIFS('자가소비(B)'!$I:$I,'자가소비(B)'!$G:$G,U$2,'자가소비(B)'!$Q:$Q,$J13,'자가소비(B)'!$C:$C,$L$1),
    SUMIFS('PPA 사업(C)'!$I:$I,'PPA 사업(C)'!$G:$G,U$2,'PPA 사업(C)'!$Q:$Q,$J13,'PPA 사업(C)'!$C:$C,$L$1),
    SUMIFS('리스사업(D)'!$I:$I,'리스사업(D)'!$G:$G,U$2,'리스사업(D)'!$Q:$Q,$J13,'리스사업(D)'!$C:$C,$L$1),
    SUMIFS('임대사업(E)'!$I:$I,'임대사업(E)'!$G:$G,U$2,'임대사업(E)'!$Q:$Q,$J13,'임대사업(E)'!$C:$C,$L$1),
    SUMIFS('환경부사업(F)'!$I:$I,'환경부사업(F)'!$G:$G,U$2,'환경부사업(F)'!$Q:$Q,$J13,'환경부사업(F)'!$C:$C,$L$1),
    SUMIFS('프로젝트(G)'!$I:$I,'프로젝트(G)'!$G:$G,U$2,'프로젝트(G)'!$Q:$Q,$J13,'프로젝트(G)'!$C:$C,$L$1),
    SUMIFS('협력사 EPC(H)'!$I:$I,'협력사 EPC(H)'!$G:$G,U$2,'협력사 EPC(H)'!$Q:$Q,$J13,'협력사 EPC(H)'!$C:$C,$L$1),
    SUMIFS('기타(Z)'!$I:$I,'기타(Z)'!$G:$G,U$2,'기타(Z)'!$Q:$Q,$J13,'기타(Z)'!$C:$C,$L$1)
  )=0,
  "",
  SUM(
    SUMIFS('발전사업(A)'!$I:$I,'발전사업(A)'!$G:$G,U$2,'발전사업(A)'!$Q:$Q,$J13,'발전사업(A)'!$C:$C,$L$1),
    SUMIFS('자가소비(B)'!$I:$I,'자가소비(B)'!$G:$G,U$2,'자가소비(B)'!$Q:$Q,$J13,'자가소비(B)'!$C:$C,$L$1),
    SUMIFS('PPA 사업(C)'!$I:$I,'PPA 사업(C)'!$G:$G,U$2,'PPA 사업(C)'!$Q:$Q,$J13,'PPA 사업(C)'!$C:$C,$L$1),
    SUMIFS('리스사업(D)'!$I:$I,'리스사업(D)'!$G:$G,U$2,'리스사업(D)'!$Q:$Q,$J13,'리스사업(D)'!$C:$C,$L$1),
    SUMIFS('임대사업(E)'!$I:$I,'임대사업(E)'!$G:$G,U$2,'임대사업(E)'!$Q:$Q,$J13,'임대사업(E)'!$C:$C,$L$1),
    SUMIFS('환경부사업(F)'!$I:$I,'환경부사업(F)'!$G:$G,U$2,'환경부사업(F)'!$Q:$Q,$J13,'환경부사업(F)'!$C:$C,$L$1),
    SUMIFS('프로젝트(G)'!$I:$I,'프로젝트(G)'!$G:$G,U$2,'프로젝트(G)'!$Q:$Q,$J13,'프로젝트(G)'!$C:$C,$L$1),
    SUMIFS('협력사 EPC(H)'!$I:$I,'협력사 EPC(H)'!$G:$G,U$2,'협력사 EPC(H)'!$Q:$Q,$J13,'협력사 EPC(H)'!$C:$C,$L$1),
    SUMIFS('기타(Z)'!$I:$I,'기타(Z)'!$G:$G,U$2,'기타(Z)'!$Q:$Q,$J13,'기타(Z)'!$C:$C,$L$1)
  )
)</f>
        <v>2666.24</v>
      </c>
      <c r="V13" s="376">
        <f>IF(
  SUM(
    COUNTIFS('발전사업(A)'!$G:$G, U$2, '발전사업(A)'!$Q:$Q, $J13, '발전사업(A)'!$C:$C, $L$1),
    COUNTIFS('자가소비(B)'!$G:$G, U$2, '자가소비(B)'!$Q:$Q, $J13, '자가소비(B)'!$C:$C, $L$1),
    COUNTIFS('PPA 사업(C)'!$G:$G, U$2, 'PPA 사업(C)'!$Q:$Q, $J13, 'PPA 사업(C)'!$C:$C, $L$1),
    COUNTIFS('리스사업(D)'!$G:$G, U$2, '리스사업(D)'!$Q:$Q, $J13, '리스사업(D)'!$C:$C, $L$1),
    COUNTIFS('임대사업(E)'!$G:$G, U$2, '임대사업(E)'!$Q:$Q, $J13, '임대사업(E)'!$C:$C, $L$1),
    COUNTIFS('환경부사업(F)'!$G:$G, U$2, '환경부사업(F)'!$Q:$Q, $J13, '환경부사업(F)'!$C:$C, $L$1),
    COUNTIFS('프로젝트(G)'!$G:$G, U$2, '프로젝트(G)'!$Q:$Q, $J13, '프로젝트(G)'!$C:$C, $L$1),
    COUNTIFS('협력사 EPC(H)'!$G:$G, U$2, '협력사 EPC(H)'!$Q:$Q, $J13, '협력사 EPC(H)'!$C:$C, $L$1),
    COUNTIFS('기타(Z)'!$G:$G, U$2, '기타(Z)'!$Q:$Q, $J13, '기타(Z)'!$C:$C, $L$1)
  ) = 0,
  "",
  COUNTIFS('발전사업(A)'!$G:$G, U$2, '발전사업(A)'!$Q:$Q, $J13, '발전사업(A)'!$C:$C, $L$1)
  + COUNTIFS('자가소비(B)'!$G:$G, U$2, '자가소비(B)'!$Q:$Q, $J13, '자가소비(B)'!$C:$C, $L$1)
  + COUNTIFS('PPA 사업(C)'!$G:$G, U$2, 'PPA 사업(C)'!$Q:$Q, $J13, 'PPA 사업(C)'!$C:$C, $L$1)
  + COUNTIFS('리스사업(D)'!$G:$G, U$2, '리스사업(D)'!$Q:$Q, $J13, '리스사업(D)'!$C:$C, $L$1)
  + COUNTIFS('임대사업(E)'!$G:$G, U$2, '임대사업(E)'!$Q:$Q, $J13, '임대사업(E)'!$C:$C, $L$1)
  + COUNTIFS('환경부사업(F)'!$G:$G, U$2, '환경부사업(F)'!$Q:$Q, $J13, '환경부사업(F)'!$C:$C, $L$1)
  + COUNTIFS('프로젝트(G)'!$G:$G, U$2, '프로젝트(G)'!$Q:$Q, $J13, '프로젝트(G)'!$C:$C, $L$1)
  + COUNTIFS('협력사 EPC(H)'!$G:$G, U$2, '협력사 EPC(H)'!$Q:$Q, $J13, '협력사 EPC(H)'!$C:$C, $L$1)
  + COUNTIFS('기타(Z)'!$G:$G, U$2, '기타(Z)'!$Q:$Q, $J13, '기타(Z)'!$C:$C, $L$1)
)</f>
        <v>8</v>
      </c>
      <c r="W13" s="379">
        <f>IF(
  SUM(
    SUMIFS('발전사업(A)'!$I:$I,'발전사업(A)'!$G:$G,W$2,'발전사업(A)'!$Q:$Q,$J13,'발전사업(A)'!$C:$C,$L$1),
    SUMIFS('자가소비(B)'!$I:$I,'자가소비(B)'!$G:$G,W$2,'자가소비(B)'!$Q:$Q,$J13,'자가소비(B)'!$C:$C,$L$1),
    SUMIFS('PPA 사업(C)'!$I:$I,'PPA 사업(C)'!$G:$G,W$2,'PPA 사업(C)'!$Q:$Q,$J13,'PPA 사업(C)'!$C:$C,$L$1),
    SUMIFS('리스사업(D)'!$I:$I,'리스사업(D)'!$G:$G,W$2,'리스사업(D)'!$Q:$Q,$J13,'리스사업(D)'!$C:$C,$L$1),
    SUMIFS('임대사업(E)'!$I:$I,'임대사업(E)'!$G:$G,W$2,'임대사업(E)'!$Q:$Q,$J13,'임대사업(E)'!$C:$C,$L$1),
    SUMIFS('환경부사업(F)'!$I:$I,'환경부사업(F)'!$G:$G,W$2,'환경부사업(F)'!$Q:$Q,$J13,'환경부사업(F)'!$C:$C,$L$1),
    SUMIFS('프로젝트(G)'!$I:$I,'프로젝트(G)'!$G:$G,W$2,'프로젝트(G)'!$Q:$Q,$J13,'프로젝트(G)'!$C:$C,$L$1),
    SUMIFS('협력사 EPC(H)'!$I:$I,'협력사 EPC(H)'!$G:$G,W$2,'협력사 EPC(H)'!$Q:$Q,$J13,'협력사 EPC(H)'!$C:$C,$L$1),
    SUMIFS('기타(Z)'!$I:$I,'기타(Z)'!$G:$G,W$2,'기타(Z)'!$Q:$Q,$J13,'기타(Z)'!$C:$C,$L$1)
  )=0,
  "",
  SUM(
    SUMIFS('발전사업(A)'!$I:$I,'발전사업(A)'!$G:$G,W$2,'발전사업(A)'!$Q:$Q,$J13,'발전사업(A)'!$C:$C,$L$1),
    SUMIFS('자가소비(B)'!$I:$I,'자가소비(B)'!$G:$G,W$2,'자가소비(B)'!$Q:$Q,$J13,'자가소비(B)'!$C:$C,$L$1),
    SUMIFS('PPA 사업(C)'!$I:$I,'PPA 사업(C)'!$G:$G,W$2,'PPA 사업(C)'!$Q:$Q,$J13,'PPA 사업(C)'!$C:$C,$L$1),
    SUMIFS('리스사업(D)'!$I:$I,'리스사업(D)'!$G:$G,W$2,'리스사업(D)'!$Q:$Q,$J13,'리스사업(D)'!$C:$C,$L$1),
    SUMIFS('임대사업(E)'!$I:$I,'임대사업(E)'!$G:$G,W$2,'임대사업(E)'!$Q:$Q,$J13,'임대사업(E)'!$C:$C,$L$1),
    SUMIFS('환경부사업(F)'!$I:$I,'환경부사업(F)'!$G:$G,W$2,'환경부사업(F)'!$Q:$Q,$J13,'환경부사업(F)'!$C:$C,$L$1),
    SUMIFS('프로젝트(G)'!$I:$I,'프로젝트(G)'!$G:$G,W$2,'프로젝트(G)'!$Q:$Q,$J13,'프로젝트(G)'!$C:$C,$L$1),
    SUMIFS('협력사 EPC(H)'!$I:$I,'협력사 EPC(H)'!$G:$G,W$2,'협력사 EPC(H)'!$Q:$Q,$J13,'협력사 EPC(H)'!$C:$C,$L$1),
    SUMIFS('기타(Z)'!$I:$I,'기타(Z)'!$G:$G,W$2,'기타(Z)'!$Q:$Q,$J13,'기타(Z)'!$C:$C,$L$1)
  )
)</f>
        <v>2160</v>
      </c>
      <c r="X13" s="376">
        <f>IF(
  SUM(
    COUNTIFS('발전사업(A)'!$G:$G, W$2, '발전사업(A)'!$Q:$Q, $J13, '발전사업(A)'!$C:$C, $L$1),
    COUNTIFS('자가소비(B)'!$G:$G, W$2, '자가소비(B)'!$Q:$Q, $J13, '자가소비(B)'!$C:$C, $L$1),
    COUNTIFS('PPA 사업(C)'!$G:$G, W$2, 'PPA 사업(C)'!$Q:$Q, $J13, 'PPA 사업(C)'!$C:$C, $L$1),
    COUNTIFS('리스사업(D)'!$G:$G, W$2, '리스사업(D)'!$Q:$Q, $J13, '리스사업(D)'!$C:$C, $L$1),
    COUNTIFS('임대사업(E)'!$G:$G, W$2, '임대사업(E)'!$Q:$Q, $J13, '임대사업(E)'!$C:$C, $L$1),
    COUNTIFS('환경부사업(F)'!$G:$G, W$2, '환경부사업(F)'!$Q:$Q, $J13, '환경부사업(F)'!$C:$C, $L$1),
    COUNTIFS('프로젝트(G)'!$G:$G, W$2, '프로젝트(G)'!$Q:$Q, $J13, '프로젝트(G)'!$C:$C, $L$1),
    COUNTIFS('협력사 EPC(H)'!$G:$G, W$2, '협력사 EPC(H)'!$Q:$Q, $J13, '협력사 EPC(H)'!$C:$C, $L$1),
    COUNTIFS('기타(Z)'!$G:$G, W$2, '기타(Z)'!$Q:$Q, $J13, '기타(Z)'!$C:$C, $L$1)
  ) = 0,
  "",
  COUNTIFS('발전사업(A)'!$G:$G, W$2, '발전사업(A)'!$Q:$Q, $J13, '발전사업(A)'!$C:$C, $L$1)
  + COUNTIFS('자가소비(B)'!$G:$G, W$2, '자가소비(B)'!$Q:$Q, $J13, '자가소비(B)'!$C:$C, $L$1)
  + COUNTIFS('PPA 사업(C)'!$G:$G, W$2, 'PPA 사업(C)'!$Q:$Q, $J13, 'PPA 사업(C)'!$C:$C, $L$1)
  + COUNTIFS('리스사업(D)'!$G:$G, W$2, '리스사업(D)'!$Q:$Q, $J13, '리스사업(D)'!$C:$C, $L$1)
  + COUNTIFS('임대사업(E)'!$G:$G, W$2, '임대사업(E)'!$Q:$Q, $J13, '임대사업(E)'!$C:$C, $L$1)
  + COUNTIFS('환경부사업(F)'!$G:$G, W$2, '환경부사업(F)'!$Q:$Q, $J13, '환경부사업(F)'!$C:$C, $L$1)
  + COUNTIFS('프로젝트(G)'!$G:$G, W$2, '프로젝트(G)'!$Q:$Q, $J13, '프로젝트(G)'!$C:$C, $L$1)
  + COUNTIFS('협력사 EPC(H)'!$G:$G, W$2, '협력사 EPC(H)'!$Q:$Q, $J13, '협력사 EPC(H)'!$C:$C, $L$1)
  + COUNTIFS('기타(Z)'!$G:$G, W$2, '기타(Z)'!$Q:$Q, $J13, '기타(Z)'!$C:$C, $L$1)
)</f>
        <v>6</v>
      </c>
      <c r="Y13" s="379">
        <f>IF(
  SUM(
    SUMIFS('발전사업(A)'!$I:$I,'발전사업(A)'!$G:$G,Y$2,'발전사업(A)'!$Q:$Q,$J13,'발전사업(A)'!$C:$C,$L$1),
    SUMIFS('자가소비(B)'!$I:$I,'자가소비(B)'!$G:$G,Y$2,'자가소비(B)'!$Q:$Q,$J13,'자가소비(B)'!$C:$C,$L$1),
    SUMIFS('PPA 사업(C)'!$I:$I,'PPA 사업(C)'!$G:$G,Y$2,'PPA 사업(C)'!$Q:$Q,$J13,'PPA 사업(C)'!$C:$C,$L$1),
    SUMIFS('리스사업(D)'!$I:$I,'리스사업(D)'!$G:$G,Y$2,'리스사업(D)'!$Q:$Q,$J13,'리스사업(D)'!$C:$C,$L$1),
    SUMIFS('임대사업(E)'!$I:$I,'임대사업(E)'!$G:$G,Y$2,'임대사업(E)'!$Q:$Q,$J13,'임대사업(E)'!$C:$C,$L$1),
    SUMIFS('환경부사업(F)'!$I:$I,'환경부사업(F)'!$G:$G,Y$2,'환경부사업(F)'!$Q:$Q,$J13,'환경부사업(F)'!$C:$C,$L$1),
    SUMIFS('프로젝트(G)'!$I:$I,'프로젝트(G)'!$G:$G,Y$2,'프로젝트(G)'!$Q:$Q,$J13,'프로젝트(G)'!$C:$C,$L$1),
    SUMIFS('협력사 EPC(H)'!$I:$I,'협력사 EPC(H)'!$G:$G,Y$2,'협력사 EPC(H)'!$Q:$Q,$J13,'협력사 EPC(H)'!$C:$C,$L$1),
    SUMIFS('기타(Z)'!$I:$I,'기타(Z)'!$G:$G,Y$2,'기타(Z)'!$Q:$Q,$J13,'기타(Z)'!$C:$C,$L$1)
  )=0,
  "",
  SUM(
    SUMIFS('발전사업(A)'!$I:$I,'발전사업(A)'!$G:$G,Y$2,'발전사업(A)'!$Q:$Q,$J13,'발전사업(A)'!$C:$C,$L$1),
    SUMIFS('자가소비(B)'!$I:$I,'자가소비(B)'!$G:$G,Y$2,'자가소비(B)'!$Q:$Q,$J13,'자가소비(B)'!$C:$C,$L$1),
    SUMIFS('PPA 사업(C)'!$I:$I,'PPA 사업(C)'!$G:$G,Y$2,'PPA 사업(C)'!$Q:$Q,$J13,'PPA 사업(C)'!$C:$C,$L$1),
    SUMIFS('리스사업(D)'!$I:$I,'리스사업(D)'!$G:$G,Y$2,'리스사업(D)'!$Q:$Q,$J13,'리스사업(D)'!$C:$C,$L$1),
    SUMIFS('임대사업(E)'!$I:$I,'임대사업(E)'!$G:$G,Y$2,'임대사업(E)'!$Q:$Q,$J13,'임대사업(E)'!$C:$C,$L$1),
    SUMIFS('환경부사업(F)'!$I:$I,'환경부사업(F)'!$G:$G,Y$2,'환경부사업(F)'!$Q:$Q,$J13,'환경부사업(F)'!$C:$C,$L$1),
    SUMIFS('프로젝트(G)'!$I:$I,'프로젝트(G)'!$G:$G,Y$2,'프로젝트(G)'!$Q:$Q,$J13,'프로젝트(G)'!$C:$C,$L$1),
    SUMIFS('협력사 EPC(H)'!$I:$I,'협력사 EPC(H)'!$G:$G,Y$2,'협력사 EPC(H)'!$Q:$Q,$J13,'협력사 EPC(H)'!$C:$C,$L$1),
    SUMIFS('기타(Z)'!$I:$I,'기타(Z)'!$G:$G,Y$2,'기타(Z)'!$Q:$Q,$J13,'기타(Z)'!$C:$C,$L$1)
  )
)</f>
        <v>1068.8000000000002</v>
      </c>
      <c r="Z13" s="376">
        <f>IF(
  SUM(
    COUNTIFS('발전사업(A)'!$G:$G, Y$2, '발전사업(A)'!$Q:$Q, $J13, '발전사업(A)'!$C:$C, $L$1),
    COUNTIFS('자가소비(B)'!$G:$G, Y$2, '자가소비(B)'!$Q:$Q, $J13, '자가소비(B)'!$C:$C, $L$1),
    COUNTIFS('PPA 사업(C)'!$G:$G, Y$2, 'PPA 사업(C)'!$Q:$Q, $J13, 'PPA 사업(C)'!$C:$C, $L$1),
    COUNTIFS('리스사업(D)'!$G:$G, Y$2, '리스사업(D)'!$Q:$Q, $J13, '리스사업(D)'!$C:$C, $L$1),
    COUNTIFS('임대사업(E)'!$G:$G, Y$2, '임대사업(E)'!$Q:$Q, $J13, '임대사업(E)'!$C:$C, $L$1),
    COUNTIFS('환경부사업(F)'!$G:$G, Y$2, '환경부사업(F)'!$Q:$Q, $J13, '환경부사업(F)'!$C:$C, $L$1),
    COUNTIFS('프로젝트(G)'!$G:$G, Y$2, '프로젝트(G)'!$Q:$Q, $J13, '프로젝트(G)'!$C:$C, $L$1),
    COUNTIFS('협력사 EPC(H)'!$G:$G, Y$2, '협력사 EPC(H)'!$Q:$Q, $J13, '협력사 EPC(H)'!$C:$C, $L$1),
    COUNTIFS('기타(Z)'!$G:$G, Y$2, '기타(Z)'!$Q:$Q, $J13, '기타(Z)'!$C:$C, $L$1)
  ) = 0,
  "",
  COUNTIFS('발전사업(A)'!$G:$G, Y$2, '발전사업(A)'!$Q:$Q, $J13, '발전사업(A)'!$C:$C, $L$1)
  + COUNTIFS('자가소비(B)'!$G:$G, Y$2, '자가소비(B)'!$Q:$Q, $J13, '자가소비(B)'!$C:$C, $L$1)
  + COUNTIFS('PPA 사업(C)'!$G:$G, Y$2, 'PPA 사업(C)'!$Q:$Q, $J13, 'PPA 사업(C)'!$C:$C, $L$1)
  + COUNTIFS('리스사업(D)'!$G:$G, Y$2, '리스사업(D)'!$Q:$Q, $J13, '리스사업(D)'!$C:$C, $L$1)
  + COUNTIFS('임대사업(E)'!$G:$G, Y$2, '임대사업(E)'!$Q:$Q, $J13, '임대사업(E)'!$C:$C, $L$1)
  + COUNTIFS('환경부사업(F)'!$G:$G, Y$2, '환경부사업(F)'!$Q:$Q, $J13, '환경부사업(F)'!$C:$C, $L$1)
  + COUNTIFS('프로젝트(G)'!$G:$G, Y$2, '프로젝트(G)'!$Q:$Q, $J13, '프로젝트(G)'!$C:$C, $L$1)
  + COUNTIFS('협력사 EPC(H)'!$G:$G, Y$2, '협력사 EPC(H)'!$Q:$Q, $J13, '협력사 EPC(H)'!$C:$C, $L$1)
  + COUNTIFS('기타(Z)'!$G:$G, Y$2, '기타(Z)'!$Q:$Q, $J13, '기타(Z)'!$C:$C, $L$1)
)</f>
        <v>6</v>
      </c>
      <c r="AA13" s="379">
        <f>IF(
  SUM(
    SUMIFS('발전사업(A)'!$I:$I,'발전사업(A)'!$G:$G,AA$2,'발전사업(A)'!$Q:$Q,$J13,'발전사업(A)'!$C:$C,$L$1),
    SUMIFS('자가소비(B)'!$I:$I,'자가소비(B)'!$G:$G,AA$2,'자가소비(B)'!$Q:$Q,$J13,'자가소비(B)'!$C:$C,$L$1),
    SUMIFS('PPA 사업(C)'!$I:$I,'PPA 사업(C)'!$G:$G,AA$2,'PPA 사업(C)'!$Q:$Q,$J13,'PPA 사업(C)'!$C:$C,$L$1),
    SUMIFS('리스사업(D)'!$I:$I,'리스사업(D)'!$G:$G,AA$2,'리스사업(D)'!$Q:$Q,$J13,'리스사업(D)'!$C:$C,$L$1),
    SUMIFS('임대사업(E)'!$I:$I,'임대사업(E)'!$G:$G,AA$2,'임대사업(E)'!$Q:$Q,$J13,'임대사업(E)'!$C:$C,$L$1),
    SUMIFS('환경부사업(F)'!$I:$I,'환경부사업(F)'!$G:$G,AA$2,'환경부사업(F)'!$Q:$Q,$J13,'환경부사업(F)'!$C:$C,$L$1),
    SUMIFS('프로젝트(G)'!$I:$I,'프로젝트(G)'!$G:$G,AA$2,'프로젝트(G)'!$Q:$Q,$J13,'프로젝트(G)'!$C:$C,$L$1),
    SUMIFS('협력사 EPC(H)'!$I:$I,'협력사 EPC(H)'!$G:$G,AA$2,'협력사 EPC(H)'!$Q:$Q,$J13,'협력사 EPC(H)'!$C:$C,$L$1),
    SUMIFS('기타(Z)'!$I:$I,'기타(Z)'!$G:$G,AA$2,'기타(Z)'!$Q:$Q,$J13,'기타(Z)'!$C:$C,$L$1)
  )=0,
  "",
  SUM(
    SUMIFS('발전사업(A)'!$I:$I,'발전사업(A)'!$G:$G,AA$2,'발전사업(A)'!$Q:$Q,$J13,'발전사업(A)'!$C:$C,$L$1),
    SUMIFS('자가소비(B)'!$I:$I,'자가소비(B)'!$G:$G,AA$2,'자가소비(B)'!$Q:$Q,$J13,'자가소비(B)'!$C:$C,$L$1),
    SUMIFS('PPA 사업(C)'!$I:$I,'PPA 사업(C)'!$G:$G,AA$2,'PPA 사업(C)'!$Q:$Q,$J13,'PPA 사업(C)'!$C:$C,$L$1),
    SUMIFS('리스사업(D)'!$I:$I,'리스사업(D)'!$G:$G,AA$2,'리스사업(D)'!$Q:$Q,$J13,'리스사업(D)'!$C:$C,$L$1),
    SUMIFS('임대사업(E)'!$I:$I,'임대사업(E)'!$G:$G,AA$2,'임대사업(E)'!$Q:$Q,$J13,'임대사업(E)'!$C:$C,$L$1),
    SUMIFS('환경부사업(F)'!$I:$I,'환경부사업(F)'!$G:$G,AA$2,'환경부사업(F)'!$Q:$Q,$J13,'환경부사업(F)'!$C:$C,$L$1),
    SUMIFS('프로젝트(G)'!$I:$I,'프로젝트(G)'!$G:$G,AA$2,'프로젝트(G)'!$Q:$Q,$J13,'프로젝트(G)'!$C:$C,$L$1),
    SUMIFS('협력사 EPC(H)'!$I:$I,'협력사 EPC(H)'!$G:$G,AA$2,'협력사 EPC(H)'!$Q:$Q,$J13,'협력사 EPC(H)'!$C:$C,$L$1),
    SUMIFS('기타(Z)'!$I:$I,'기타(Z)'!$G:$G,AA$2,'기타(Z)'!$Q:$Q,$J13,'기타(Z)'!$C:$C,$L$1)
  )
)</f>
        <v>2533.12</v>
      </c>
      <c r="AB13" s="376">
        <f>IF(
  SUM(
    COUNTIFS('발전사업(A)'!$G:$G, AA$2, '발전사업(A)'!$Q:$Q, $J13, '발전사업(A)'!$C:$C, $L$1),
    COUNTIFS('자가소비(B)'!$G:$G, AA$2, '자가소비(B)'!$Q:$Q, $J13, '자가소비(B)'!$C:$C, $L$1),
    COUNTIFS('PPA 사업(C)'!$G:$G, AA$2, 'PPA 사업(C)'!$Q:$Q, $J13, 'PPA 사업(C)'!$C:$C, $L$1),
    COUNTIFS('리스사업(D)'!$G:$G, AA$2, '리스사업(D)'!$Q:$Q, $J13, '리스사업(D)'!$C:$C, $L$1),
    COUNTIFS('임대사업(E)'!$G:$G, AA$2, '임대사업(E)'!$Q:$Q, $J13, '임대사업(E)'!$C:$C, $L$1),
    COUNTIFS('환경부사업(F)'!$G:$G, AA$2, '환경부사업(F)'!$Q:$Q, $J13, '환경부사업(F)'!$C:$C, $L$1),
    COUNTIFS('프로젝트(G)'!$G:$G, AA$2, '프로젝트(G)'!$Q:$Q, $J13, '프로젝트(G)'!$C:$C, $L$1),
    COUNTIFS('협력사 EPC(H)'!$G:$G, AA$2, '협력사 EPC(H)'!$Q:$Q, $J13, '협력사 EPC(H)'!$C:$C, $L$1),
    COUNTIFS('기타(Z)'!$G:$G, AA$2, '기타(Z)'!$Q:$Q, $J13, '기타(Z)'!$C:$C, $L$1)
  ) = 0,
  "",
  COUNTIFS('발전사업(A)'!$G:$G, AA$2, '발전사업(A)'!$Q:$Q, $J13, '발전사업(A)'!$C:$C, $L$1)
  + COUNTIFS('자가소비(B)'!$G:$G, AA$2, '자가소비(B)'!$Q:$Q, $J13, '자가소비(B)'!$C:$C, $L$1)
  + COUNTIFS('PPA 사업(C)'!$G:$G, AA$2, 'PPA 사업(C)'!$Q:$Q, $J13, 'PPA 사업(C)'!$C:$C, $L$1)
  + COUNTIFS('리스사업(D)'!$G:$G, AA$2, '리스사업(D)'!$Q:$Q, $J13, '리스사업(D)'!$C:$C, $L$1)
  + COUNTIFS('임대사업(E)'!$G:$G, AA$2, '임대사업(E)'!$Q:$Q, $J13, '임대사업(E)'!$C:$C, $L$1)
  + COUNTIFS('환경부사업(F)'!$G:$G, AA$2, '환경부사업(F)'!$Q:$Q, $J13, '환경부사업(F)'!$C:$C, $L$1)
  + COUNTIFS('프로젝트(G)'!$G:$G, AA$2, '프로젝트(G)'!$Q:$Q, $J13, '프로젝트(G)'!$C:$C, $L$1)
  + COUNTIFS('협력사 EPC(H)'!$G:$G, AA$2, '협력사 EPC(H)'!$Q:$Q, $J13, '협력사 EPC(H)'!$C:$C, $L$1)
  + COUNTIFS('기타(Z)'!$G:$G, AA$2, '기타(Z)'!$Q:$Q, $J13, '기타(Z)'!$C:$C, $L$1)
)</f>
        <v>7</v>
      </c>
      <c r="AC13" s="379">
        <f>IF(
  SUM(
    SUMIFS('발전사업(A)'!$I:$I,'발전사업(A)'!$G:$G,AC$2,'발전사업(A)'!$Q:$Q,$J13,'발전사업(A)'!$C:$C,$L$1),
    SUMIFS('자가소비(B)'!$I:$I,'자가소비(B)'!$G:$G,AC$2,'자가소비(B)'!$Q:$Q,$J13,'자가소비(B)'!$C:$C,$L$1),
    SUMIFS('PPA 사업(C)'!$I:$I,'PPA 사업(C)'!$G:$G,AC$2,'PPA 사업(C)'!$Q:$Q,$J13,'PPA 사업(C)'!$C:$C,$L$1),
    SUMIFS('리스사업(D)'!$I:$I,'리스사업(D)'!$G:$G,AC$2,'리스사업(D)'!$Q:$Q,$J13,'리스사업(D)'!$C:$C,$L$1),
    SUMIFS('임대사업(E)'!$I:$I,'임대사업(E)'!$G:$G,AC$2,'임대사업(E)'!$Q:$Q,$J13,'임대사업(E)'!$C:$C,$L$1),
    SUMIFS('환경부사업(F)'!$I:$I,'환경부사업(F)'!$G:$G,AC$2,'환경부사업(F)'!$Q:$Q,$J13,'환경부사업(F)'!$C:$C,$L$1),
    SUMIFS('프로젝트(G)'!$I:$I,'프로젝트(G)'!$G:$G,AC$2,'프로젝트(G)'!$Q:$Q,$J13,'프로젝트(G)'!$C:$C,$L$1),
    SUMIFS('협력사 EPC(H)'!$I:$I,'협력사 EPC(H)'!$G:$G,AC$2,'협력사 EPC(H)'!$Q:$Q,$J13,'협력사 EPC(H)'!$C:$C,$L$1),
    SUMIFS('기타(Z)'!$I:$I,'기타(Z)'!$G:$G,AC$2,'기타(Z)'!$Q:$Q,$J13,'기타(Z)'!$C:$C,$L$1)
  )=0,
  "",
  SUM(
    SUMIFS('발전사업(A)'!$I:$I,'발전사업(A)'!$G:$G,AC$2,'발전사업(A)'!$Q:$Q,$J13,'발전사업(A)'!$C:$C,$L$1),
    SUMIFS('자가소비(B)'!$I:$I,'자가소비(B)'!$G:$G,AC$2,'자가소비(B)'!$Q:$Q,$J13,'자가소비(B)'!$C:$C,$L$1),
    SUMIFS('PPA 사업(C)'!$I:$I,'PPA 사업(C)'!$G:$G,AC$2,'PPA 사업(C)'!$Q:$Q,$J13,'PPA 사업(C)'!$C:$C,$L$1),
    SUMIFS('리스사업(D)'!$I:$I,'리스사업(D)'!$G:$G,AC$2,'리스사업(D)'!$Q:$Q,$J13,'리스사업(D)'!$C:$C,$L$1),
    SUMIFS('임대사업(E)'!$I:$I,'임대사업(E)'!$G:$G,AC$2,'임대사업(E)'!$Q:$Q,$J13,'임대사업(E)'!$C:$C,$L$1),
    SUMIFS('환경부사업(F)'!$I:$I,'환경부사업(F)'!$G:$G,AC$2,'환경부사업(F)'!$Q:$Q,$J13,'환경부사업(F)'!$C:$C,$L$1),
    SUMIFS('프로젝트(G)'!$I:$I,'프로젝트(G)'!$G:$G,AC$2,'프로젝트(G)'!$Q:$Q,$J13,'프로젝트(G)'!$C:$C,$L$1),
    SUMIFS('협력사 EPC(H)'!$I:$I,'협력사 EPC(H)'!$G:$G,AC$2,'협력사 EPC(H)'!$Q:$Q,$J13,'협력사 EPC(H)'!$C:$C,$L$1),
    SUMIFS('기타(Z)'!$I:$I,'기타(Z)'!$G:$G,AC$2,'기타(Z)'!$Q:$Q,$J13,'기타(Z)'!$C:$C,$L$1)
  )
)</f>
        <v>4391.04</v>
      </c>
      <c r="AD13" s="376">
        <f>IF(
  SUM(
    COUNTIFS('발전사업(A)'!$G:$G, AC$2, '발전사업(A)'!$Q:$Q, $J13, '발전사업(A)'!$C:$C, $L$1),
    COUNTIFS('자가소비(B)'!$G:$G, AC$2, '자가소비(B)'!$Q:$Q, $J13, '자가소비(B)'!$C:$C, $L$1),
    COUNTIFS('PPA 사업(C)'!$G:$G, AC$2, 'PPA 사업(C)'!$Q:$Q, $J13, 'PPA 사업(C)'!$C:$C, $L$1),
    COUNTIFS('리스사업(D)'!$G:$G, AC$2, '리스사업(D)'!$Q:$Q, $J13, '리스사업(D)'!$C:$C, $L$1),
    COUNTIFS('임대사업(E)'!$G:$G, AC$2, '임대사업(E)'!$Q:$Q, $J13, '임대사업(E)'!$C:$C, $L$1),
    COUNTIFS('환경부사업(F)'!$G:$G, AC$2, '환경부사업(F)'!$Q:$Q, $J13, '환경부사업(F)'!$C:$C, $L$1),
    COUNTIFS('프로젝트(G)'!$G:$G, AC$2, '프로젝트(G)'!$Q:$Q, $J13, '프로젝트(G)'!$C:$C, $L$1),
    COUNTIFS('협력사 EPC(H)'!$G:$G, AC$2, '협력사 EPC(H)'!$Q:$Q, $J13, '협력사 EPC(H)'!$C:$C, $L$1),
    COUNTIFS('기타(Z)'!$G:$G, AC$2, '기타(Z)'!$Q:$Q, $J13, '기타(Z)'!$C:$C, $L$1)
  ) = 0,
  "",
  COUNTIFS('발전사업(A)'!$G:$G, AC$2, '발전사업(A)'!$Q:$Q, $J13, '발전사업(A)'!$C:$C, $L$1)
  + COUNTIFS('자가소비(B)'!$G:$G, AC$2, '자가소비(B)'!$Q:$Q, $J13, '자가소비(B)'!$C:$C, $L$1)
  + COUNTIFS('PPA 사업(C)'!$G:$G, AC$2, 'PPA 사업(C)'!$Q:$Q, $J13, 'PPA 사업(C)'!$C:$C, $L$1)
  + COUNTIFS('리스사업(D)'!$G:$G, AC$2, '리스사업(D)'!$Q:$Q, $J13, '리스사업(D)'!$C:$C, $L$1)
  + COUNTIFS('임대사업(E)'!$G:$G, AC$2, '임대사업(E)'!$Q:$Q, $J13, '임대사업(E)'!$C:$C, $L$1)
  + COUNTIFS('환경부사업(F)'!$G:$G, AC$2, '환경부사업(F)'!$Q:$Q, $J13, '환경부사업(F)'!$C:$C, $L$1)
  + COUNTIFS('프로젝트(G)'!$G:$G, AC$2, '프로젝트(G)'!$Q:$Q, $J13, '프로젝트(G)'!$C:$C, $L$1)
  + COUNTIFS('협력사 EPC(H)'!$G:$G, AC$2, '협력사 EPC(H)'!$Q:$Q, $J13, '협력사 EPC(H)'!$C:$C, $L$1)
  + COUNTIFS('기타(Z)'!$G:$G, AC$2, '기타(Z)'!$Q:$Q, $J13, '기타(Z)'!$C:$C, $L$1)
)</f>
        <v>13</v>
      </c>
      <c r="AE13" s="379">
        <f>IF(
  SUM(
    SUMIFS('발전사업(A)'!$I:$I,'발전사업(A)'!$G:$G,AE$2,'발전사업(A)'!$Q:$Q,$J13,'발전사업(A)'!$C:$C,$L$1),
    SUMIFS('자가소비(B)'!$I:$I,'자가소비(B)'!$G:$G,AE$2,'자가소비(B)'!$Q:$Q,$J13,'자가소비(B)'!$C:$C,$L$1),
    SUMIFS('PPA 사업(C)'!$I:$I,'PPA 사업(C)'!$G:$G,AE$2,'PPA 사업(C)'!$Q:$Q,$J13,'PPA 사업(C)'!$C:$C,$L$1),
    SUMIFS('리스사업(D)'!$I:$I,'리스사업(D)'!$G:$G,AE$2,'리스사업(D)'!$Q:$Q,$J13,'리스사업(D)'!$C:$C,$L$1),
    SUMIFS('임대사업(E)'!$I:$I,'임대사업(E)'!$G:$G,AE$2,'임대사업(E)'!$Q:$Q,$J13,'임대사업(E)'!$C:$C,$L$1),
    SUMIFS('환경부사업(F)'!$I:$I,'환경부사업(F)'!$G:$G,AE$2,'환경부사업(F)'!$Q:$Q,$J13,'환경부사업(F)'!$C:$C,$L$1),
    SUMIFS('프로젝트(G)'!$I:$I,'프로젝트(G)'!$G:$G,AE$2,'프로젝트(G)'!$Q:$Q,$J13,'프로젝트(G)'!$C:$C,$L$1),
    SUMIFS('협력사 EPC(H)'!$I:$I,'협력사 EPC(H)'!$G:$G,AE$2,'협력사 EPC(H)'!$Q:$Q,$J13,'협력사 EPC(H)'!$C:$C,$L$1),
    SUMIFS('기타(Z)'!$I:$I,'기타(Z)'!$G:$G,AE$2,'기타(Z)'!$Q:$Q,$J13,'기타(Z)'!$C:$C,$L$1)
  )=0,
  "",
  SUM(
    SUMIFS('발전사업(A)'!$I:$I,'발전사업(A)'!$G:$G,AE$2,'발전사업(A)'!$Q:$Q,$J13,'발전사업(A)'!$C:$C,$L$1),
    SUMIFS('자가소비(B)'!$I:$I,'자가소비(B)'!$G:$G,AE$2,'자가소비(B)'!$Q:$Q,$J13,'자가소비(B)'!$C:$C,$L$1),
    SUMIFS('PPA 사업(C)'!$I:$I,'PPA 사업(C)'!$G:$G,AE$2,'PPA 사업(C)'!$Q:$Q,$J13,'PPA 사업(C)'!$C:$C,$L$1),
    SUMIFS('리스사업(D)'!$I:$I,'리스사업(D)'!$G:$G,AE$2,'리스사업(D)'!$Q:$Q,$J13,'리스사업(D)'!$C:$C,$L$1),
    SUMIFS('임대사업(E)'!$I:$I,'임대사업(E)'!$G:$G,AE$2,'임대사업(E)'!$Q:$Q,$J13,'임대사업(E)'!$C:$C,$L$1),
    SUMIFS('환경부사업(F)'!$I:$I,'환경부사업(F)'!$G:$G,AE$2,'환경부사업(F)'!$Q:$Q,$J13,'환경부사업(F)'!$C:$C,$L$1),
    SUMIFS('프로젝트(G)'!$I:$I,'프로젝트(G)'!$G:$G,AE$2,'프로젝트(G)'!$Q:$Q,$J13,'프로젝트(G)'!$C:$C,$L$1),
    SUMIFS('협력사 EPC(H)'!$I:$I,'협력사 EPC(H)'!$G:$G,AE$2,'협력사 EPC(H)'!$Q:$Q,$J13,'협력사 EPC(H)'!$C:$C,$L$1),
    SUMIFS('기타(Z)'!$I:$I,'기타(Z)'!$G:$G,AE$2,'기타(Z)'!$Q:$Q,$J13,'기타(Z)'!$C:$C,$L$1)
  )
)</f>
        <v>2897.34</v>
      </c>
      <c r="AF13" s="376">
        <f>IF(
  SUM(
    COUNTIFS('발전사업(A)'!$G:$G, AE$2, '발전사업(A)'!$Q:$Q, $J13, '발전사업(A)'!$C:$C, $L$1),
    COUNTIFS('자가소비(B)'!$G:$G, AE$2, '자가소비(B)'!$Q:$Q, $J13, '자가소비(B)'!$C:$C, $L$1),
    COUNTIFS('PPA 사업(C)'!$G:$G, AE$2, 'PPA 사업(C)'!$Q:$Q, $J13, 'PPA 사업(C)'!$C:$C, $L$1),
    COUNTIFS('리스사업(D)'!$G:$G, AE$2, '리스사업(D)'!$Q:$Q, $J13, '리스사업(D)'!$C:$C, $L$1),
    COUNTIFS('임대사업(E)'!$G:$G, AE$2, '임대사업(E)'!$Q:$Q, $J13, '임대사업(E)'!$C:$C, $L$1),
    COUNTIFS('환경부사업(F)'!$G:$G, AE$2, '환경부사업(F)'!$Q:$Q, $J13, '환경부사업(F)'!$C:$C, $L$1),
    COUNTIFS('프로젝트(G)'!$G:$G, AE$2, '프로젝트(G)'!$Q:$Q, $J13, '프로젝트(G)'!$C:$C, $L$1),
    COUNTIFS('협력사 EPC(H)'!$G:$G, AE$2, '협력사 EPC(H)'!$Q:$Q, $J13, '협력사 EPC(H)'!$C:$C, $L$1),
    COUNTIFS('기타(Z)'!$G:$G, AE$2, '기타(Z)'!$Q:$Q, $J13, '기타(Z)'!$C:$C, $L$1)
  ) = 0,
  "",
  COUNTIFS('발전사업(A)'!$G:$G, AE$2, '발전사업(A)'!$Q:$Q, $J13, '발전사업(A)'!$C:$C, $L$1)
  + COUNTIFS('자가소비(B)'!$G:$G, AE$2, '자가소비(B)'!$Q:$Q, $J13, '자가소비(B)'!$C:$C, $L$1)
  + COUNTIFS('PPA 사업(C)'!$G:$G, AE$2, 'PPA 사업(C)'!$Q:$Q, $J13, 'PPA 사업(C)'!$C:$C, $L$1)
  + COUNTIFS('리스사업(D)'!$G:$G, AE$2, '리스사업(D)'!$Q:$Q, $J13, '리스사업(D)'!$C:$C, $L$1)
  + COUNTIFS('임대사업(E)'!$G:$G, AE$2, '임대사업(E)'!$Q:$Q, $J13, '임대사업(E)'!$C:$C, $L$1)
  + COUNTIFS('환경부사업(F)'!$G:$G, AE$2, '환경부사업(F)'!$Q:$Q, $J13, '환경부사업(F)'!$C:$C, $L$1)
  + COUNTIFS('프로젝트(G)'!$G:$G, AE$2, '프로젝트(G)'!$Q:$Q, $J13, '프로젝트(G)'!$C:$C, $L$1)
  + COUNTIFS('협력사 EPC(H)'!$G:$G, AE$2, '협력사 EPC(H)'!$Q:$Q, $J13, '협력사 EPC(H)'!$C:$C, $L$1)
  + COUNTIFS('기타(Z)'!$G:$G, AE$2, '기타(Z)'!$Q:$Q, $J13, '기타(Z)'!$C:$C, $L$1)
)</f>
        <v>13</v>
      </c>
      <c r="AG13" s="379">
        <f>IF(
  SUM(
    SUMIFS('발전사업(A)'!$I:$I,'발전사업(A)'!$G:$G,AG$2,'발전사업(A)'!$Q:$Q,$J13,'발전사업(A)'!$C:$C,$L$1),
    SUMIFS('자가소비(B)'!$I:$I,'자가소비(B)'!$G:$G,AG$2,'자가소비(B)'!$Q:$Q,$J13,'자가소비(B)'!$C:$C,$L$1),
    SUMIFS('PPA 사업(C)'!$I:$I,'PPA 사업(C)'!$G:$G,AG$2,'PPA 사업(C)'!$Q:$Q,$J13,'PPA 사업(C)'!$C:$C,$L$1),
    SUMIFS('리스사업(D)'!$I:$I,'리스사업(D)'!$G:$G,AG$2,'리스사업(D)'!$Q:$Q,$J13,'리스사업(D)'!$C:$C,$L$1),
    SUMIFS('임대사업(E)'!$I:$I,'임대사업(E)'!$G:$G,AG$2,'임대사업(E)'!$Q:$Q,$J13,'임대사업(E)'!$C:$C,$L$1),
    SUMIFS('환경부사업(F)'!$I:$I,'환경부사업(F)'!$G:$G,AG$2,'환경부사업(F)'!$Q:$Q,$J13,'환경부사업(F)'!$C:$C,$L$1),
    SUMIFS('프로젝트(G)'!$I:$I,'프로젝트(G)'!$G:$G,AG$2,'프로젝트(G)'!$Q:$Q,$J13,'프로젝트(G)'!$C:$C,$L$1),
    SUMIFS('협력사 EPC(H)'!$I:$I,'협력사 EPC(H)'!$G:$G,AG$2,'협력사 EPC(H)'!$Q:$Q,$J13,'협력사 EPC(H)'!$C:$C,$L$1),
    SUMIFS('기타(Z)'!$I:$I,'기타(Z)'!$G:$G,AG$2,'기타(Z)'!$Q:$Q,$J13,'기타(Z)'!$C:$C,$L$1)
  )=0,
  "",
  SUM(
    SUMIFS('발전사업(A)'!$I:$I,'발전사업(A)'!$G:$G,AG$2,'발전사업(A)'!$Q:$Q,$J13,'발전사업(A)'!$C:$C,$L$1),
    SUMIFS('자가소비(B)'!$I:$I,'자가소비(B)'!$G:$G,AG$2,'자가소비(B)'!$Q:$Q,$J13,'자가소비(B)'!$C:$C,$L$1),
    SUMIFS('PPA 사업(C)'!$I:$I,'PPA 사업(C)'!$G:$G,AG$2,'PPA 사업(C)'!$Q:$Q,$J13,'PPA 사업(C)'!$C:$C,$L$1),
    SUMIFS('리스사업(D)'!$I:$I,'리스사업(D)'!$G:$G,AG$2,'리스사업(D)'!$Q:$Q,$J13,'리스사업(D)'!$C:$C,$L$1),
    SUMIFS('임대사업(E)'!$I:$I,'임대사업(E)'!$G:$G,AG$2,'임대사업(E)'!$Q:$Q,$J13,'임대사업(E)'!$C:$C,$L$1),
    SUMIFS('환경부사업(F)'!$I:$I,'환경부사업(F)'!$G:$G,AG$2,'환경부사업(F)'!$Q:$Q,$J13,'환경부사업(F)'!$C:$C,$L$1),
    SUMIFS('프로젝트(G)'!$I:$I,'프로젝트(G)'!$G:$G,AG$2,'프로젝트(G)'!$Q:$Q,$J13,'프로젝트(G)'!$C:$C,$L$1),
    SUMIFS('협력사 EPC(H)'!$I:$I,'협력사 EPC(H)'!$G:$G,AG$2,'협력사 EPC(H)'!$Q:$Q,$J13,'협력사 EPC(H)'!$C:$C,$L$1),
    SUMIFS('기타(Z)'!$I:$I,'기타(Z)'!$G:$G,AG$2,'기타(Z)'!$Q:$Q,$J13,'기타(Z)'!$C:$C,$L$1)
  )
)</f>
        <v>1377.7</v>
      </c>
      <c r="AH13" s="376">
        <f>IF(
  SUM(
    COUNTIFS('발전사업(A)'!$G:$G, AG$2, '발전사업(A)'!$Q:$Q, $J13, '발전사업(A)'!$C:$C, $L$1),
    COUNTIFS('자가소비(B)'!$G:$G, AG$2, '자가소비(B)'!$Q:$Q, $J13, '자가소비(B)'!$C:$C, $L$1),
    COUNTIFS('PPA 사업(C)'!$G:$G, AG$2, 'PPA 사업(C)'!$Q:$Q, $J13, 'PPA 사업(C)'!$C:$C, $L$1),
    COUNTIFS('리스사업(D)'!$G:$G, AG$2, '리스사업(D)'!$Q:$Q, $J13, '리스사업(D)'!$C:$C, $L$1),
    COUNTIFS('임대사업(E)'!$G:$G, AG$2, '임대사업(E)'!$Q:$Q, $J13, '임대사업(E)'!$C:$C, $L$1),
    COUNTIFS('환경부사업(F)'!$G:$G, AG$2, '환경부사업(F)'!$Q:$Q, $J13, '환경부사업(F)'!$C:$C, $L$1),
    COUNTIFS('프로젝트(G)'!$G:$G, AG$2, '프로젝트(G)'!$Q:$Q, $J13, '프로젝트(G)'!$C:$C, $L$1),
    COUNTIFS('협력사 EPC(H)'!$G:$G, AG$2, '협력사 EPC(H)'!$Q:$Q, $J13, '협력사 EPC(H)'!$C:$C, $L$1),
    COUNTIFS('기타(Z)'!$G:$G, AG$2, '기타(Z)'!$Q:$Q, $J13, '기타(Z)'!$C:$C, $L$1)
  ) = 0,
  "",
  COUNTIFS('발전사업(A)'!$G:$G, AG$2, '발전사업(A)'!$Q:$Q, $J13, '발전사업(A)'!$C:$C, $L$1)
  + COUNTIFS('자가소비(B)'!$G:$G, AG$2, '자가소비(B)'!$Q:$Q, $J13, '자가소비(B)'!$C:$C, $L$1)
  + COUNTIFS('PPA 사업(C)'!$G:$G, AG$2, 'PPA 사업(C)'!$Q:$Q, $J13, 'PPA 사업(C)'!$C:$C, $L$1)
  + COUNTIFS('리스사업(D)'!$G:$G, AG$2, '리스사업(D)'!$Q:$Q, $J13, '리스사업(D)'!$C:$C, $L$1)
  + COUNTIFS('임대사업(E)'!$G:$G, AG$2, '임대사업(E)'!$Q:$Q, $J13, '임대사업(E)'!$C:$C, $L$1)
  + COUNTIFS('환경부사업(F)'!$G:$G, AG$2, '환경부사업(F)'!$Q:$Q, $J13, '환경부사업(F)'!$C:$C, $L$1)
  + COUNTIFS('프로젝트(G)'!$G:$G, AG$2, '프로젝트(G)'!$Q:$Q, $J13, '프로젝트(G)'!$C:$C, $L$1)
  + COUNTIFS('협력사 EPC(H)'!$G:$G, AG$2, '협력사 EPC(H)'!$Q:$Q, $J13, '협력사 EPC(H)'!$C:$C, $L$1)
  + COUNTIFS('기타(Z)'!$G:$G, AG$2, '기타(Z)'!$Q:$Q, $J13, '기타(Z)'!$C:$C, $L$1)
)</f>
        <v>8</v>
      </c>
      <c r="AI13" s="379">
        <f>IF(
  SUM(
    SUMIFS('발전사업(A)'!$I:$I,'발전사업(A)'!$G:$G,AI$2,'발전사업(A)'!$Q:$Q,$J13,'발전사업(A)'!$C:$C,$L$1),
    SUMIFS('자가소비(B)'!$I:$I,'자가소비(B)'!$G:$G,AI$2,'자가소비(B)'!$Q:$Q,$J13,'자가소비(B)'!$C:$C,$L$1),
    SUMIFS('PPA 사업(C)'!$I:$I,'PPA 사업(C)'!$G:$G,AI$2,'PPA 사업(C)'!$Q:$Q,$J13,'PPA 사업(C)'!$C:$C,$L$1),
    SUMIFS('리스사업(D)'!$I:$I,'리스사업(D)'!$G:$G,AI$2,'리스사업(D)'!$Q:$Q,$J13,'리스사업(D)'!$C:$C,$L$1),
    SUMIFS('임대사업(E)'!$I:$I,'임대사업(E)'!$G:$G,AI$2,'임대사업(E)'!$Q:$Q,$J13,'임대사업(E)'!$C:$C,$L$1),
    SUMIFS('환경부사업(F)'!$I:$I,'환경부사업(F)'!$G:$G,AI$2,'환경부사업(F)'!$Q:$Q,$J13,'환경부사업(F)'!$C:$C,$L$1),
    SUMIFS('프로젝트(G)'!$I:$I,'프로젝트(G)'!$G:$G,AI$2,'프로젝트(G)'!$Q:$Q,$J13,'프로젝트(G)'!$C:$C,$L$1),
    SUMIFS('협력사 EPC(H)'!$I:$I,'협력사 EPC(H)'!$G:$G,AI$2,'협력사 EPC(H)'!$Q:$Q,$J13,'협력사 EPC(H)'!$C:$C,$L$1),
    SUMIFS('기타(Z)'!$I:$I,'기타(Z)'!$G:$G,AI$2,'기타(Z)'!$Q:$Q,$J13,'기타(Z)'!$C:$C,$L$1)
  )=0,
  "",
  SUM(
    SUMIFS('발전사업(A)'!$I:$I,'발전사업(A)'!$G:$G,AI$2,'발전사업(A)'!$Q:$Q,$J13,'발전사업(A)'!$C:$C,$L$1),
    SUMIFS('자가소비(B)'!$I:$I,'자가소비(B)'!$G:$G,AI$2,'자가소비(B)'!$Q:$Q,$J13,'자가소비(B)'!$C:$C,$L$1),
    SUMIFS('PPA 사업(C)'!$I:$I,'PPA 사업(C)'!$G:$G,AI$2,'PPA 사업(C)'!$Q:$Q,$J13,'PPA 사업(C)'!$C:$C,$L$1),
    SUMIFS('리스사업(D)'!$I:$I,'리스사업(D)'!$G:$G,AI$2,'리스사업(D)'!$Q:$Q,$J13,'리스사업(D)'!$C:$C,$L$1),
    SUMIFS('임대사업(E)'!$I:$I,'임대사업(E)'!$G:$G,AI$2,'임대사업(E)'!$Q:$Q,$J13,'임대사업(E)'!$C:$C,$L$1),
    SUMIFS('환경부사업(F)'!$I:$I,'환경부사업(F)'!$G:$G,AI$2,'환경부사업(F)'!$Q:$Q,$J13,'환경부사업(F)'!$C:$C,$L$1),
    SUMIFS('프로젝트(G)'!$I:$I,'프로젝트(G)'!$G:$G,AI$2,'프로젝트(G)'!$Q:$Q,$J13,'프로젝트(G)'!$C:$C,$L$1),
    SUMIFS('협력사 EPC(H)'!$I:$I,'협력사 EPC(H)'!$G:$G,AI$2,'협력사 EPC(H)'!$Q:$Q,$J13,'협력사 EPC(H)'!$C:$C,$L$1),
    SUMIFS('기타(Z)'!$I:$I,'기타(Z)'!$G:$G,AI$2,'기타(Z)'!$Q:$Q,$J13,'기타(Z)'!$C:$C,$L$1)
  )
)</f>
        <v>756.58500000000004</v>
      </c>
      <c r="AJ13" s="377">
        <f>IF(
  SUM(
    COUNTIFS('발전사업(A)'!$G:$G, AI$2, '발전사업(A)'!$Q:$Q, $J13, '발전사업(A)'!$C:$C, $L$1),
    COUNTIFS('자가소비(B)'!$G:$G, AI$2, '자가소비(B)'!$Q:$Q, $J13, '자가소비(B)'!$C:$C, $L$1),
    COUNTIFS('PPA 사업(C)'!$G:$G, AI$2, 'PPA 사업(C)'!$Q:$Q, $J13, 'PPA 사업(C)'!$C:$C, $L$1),
    COUNTIFS('리스사업(D)'!$G:$G, AI$2, '리스사업(D)'!$Q:$Q, $J13, '리스사업(D)'!$C:$C, $L$1),
    COUNTIFS('임대사업(E)'!$G:$G, AI$2, '임대사업(E)'!$Q:$Q, $J13, '임대사업(E)'!$C:$C, $L$1),
    COUNTIFS('환경부사업(F)'!$G:$G, AI$2, '환경부사업(F)'!$Q:$Q, $J13, '환경부사업(F)'!$C:$C, $L$1),
    COUNTIFS('프로젝트(G)'!$G:$G, AI$2, '프로젝트(G)'!$Q:$Q, $J13, '프로젝트(G)'!$C:$C, $L$1),
    COUNTIFS('협력사 EPC(H)'!$G:$G, AI$2, '협력사 EPC(H)'!$Q:$Q, $J13, '협력사 EPC(H)'!$C:$C, $L$1),
    COUNTIFS('기타(Z)'!$G:$G, AI$2, '기타(Z)'!$Q:$Q, $J13, '기타(Z)'!$C:$C, $L$1)
  ) = 0,
  "",
  COUNTIFS('발전사업(A)'!$G:$G, AI$2, '발전사업(A)'!$Q:$Q, $J13, '발전사업(A)'!$C:$C, $L$1)
  + COUNTIFS('자가소비(B)'!$G:$G, AI$2, '자가소비(B)'!$Q:$Q, $J13, '자가소비(B)'!$C:$C, $L$1)
  + COUNTIFS('PPA 사업(C)'!$G:$G, AI$2, 'PPA 사업(C)'!$Q:$Q, $J13, 'PPA 사업(C)'!$C:$C, $L$1)
  + COUNTIFS('리스사업(D)'!$G:$G, AI$2, '리스사업(D)'!$Q:$Q, $J13, '리스사업(D)'!$C:$C, $L$1)
  + COUNTIFS('임대사업(E)'!$G:$G, AI$2, '임대사업(E)'!$Q:$Q, $J13, '임대사업(E)'!$C:$C, $L$1)
  + COUNTIFS('환경부사업(F)'!$G:$G, AI$2, '환경부사업(F)'!$Q:$Q, $J13, '환경부사업(F)'!$C:$C, $L$1)
  + COUNTIFS('프로젝트(G)'!$G:$G, AI$2, '프로젝트(G)'!$Q:$Q, $J13, '프로젝트(G)'!$C:$C, $L$1)
  + COUNTIFS('협력사 EPC(H)'!$G:$G, AI$2, '협력사 EPC(H)'!$Q:$Q, $J13, '협력사 EPC(H)'!$C:$C, $L$1)
  + COUNTIFS('기타(Z)'!$G:$G, AI$2, '기타(Z)'!$Q:$Q, $J13, '기타(Z)'!$C:$C, $L$1)
)</f>
        <v>3</v>
      </c>
    </row>
    <row r="14" spans="2:36" ht="16.5" x14ac:dyDescent="0.25">
      <c r="J14" s="390" t="s">
        <v>2152</v>
      </c>
      <c r="K14" s="374">
        <f t="shared" si="7"/>
        <v>6692.3099999999995</v>
      </c>
      <c r="L14" s="368">
        <f t="shared" ref="L14:L21" si="8">IF(
  SUM(
    IFERROR(VALUE(SUBSTITUTE(N14,"건","")),0),
    IFERROR(VALUE(SUBSTITUTE(P14,"건","")),0),
    IFERROR(VALUE(SUBSTITUTE(R14,"건","")),0),
    IFERROR(VALUE(SUBSTITUTE(T14,"건","")),0),
    IFERROR(VALUE(SUBSTITUTE(V14,"건","")),0),
    IFERROR(VALUE(SUBSTITUTE(X14,"건","")),0),
    IFERROR(VALUE(SUBSTITUTE(Z14,"건","")),0),
    IFERROR(VALUE(SUBSTITUTE(AB14,"건","")),0),
    IFERROR(VALUE(SUBSTITUTE(AD14,"건","")),0),
    IFERROR(VALUE(SUBSTITUTE(AF14,"건","")),0),
    IFERROR(VALUE(SUBSTITUTE(AH14,"건","")),0),
    IFERROR(VALUE(SUBSTITUTE(AJ14,"건","")),0)
  )=0,
  "",
  SUM(
    IFERROR(VALUE(SUBSTITUTE(N14,"건","")),0),
    IFERROR(VALUE(SUBSTITUTE(P14,"건","")),0),
    IFERROR(VALUE(SUBSTITUTE(R14,"건","")),0),
    IFERROR(VALUE(SUBSTITUTE(T14,"건","")),0),
    IFERROR(VALUE(SUBSTITUTE(V14,"건","")),0),
    IFERROR(VALUE(SUBSTITUTE(X14,"건","")),0),
    IFERROR(VALUE(SUBSTITUTE(Z14,"건","")),0),
    IFERROR(VALUE(SUBSTITUTE(AB14,"건","")),0),
    IFERROR(VALUE(SUBSTITUTE(AD14,"건","")),0),
    IFERROR(VALUE(SUBSTITUTE(AF14,"건","")),0),
    IFERROR(VALUE(SUBSTITUTE(AH14,"건","")),0),
    IFERROR(VALUE(SUBSTITUTE(AJ14,"건","")),0)
  )
)</f>
        <v>17</v>
      </c>
      <c r="M14" s="386" t="str">
        <f>IF(
  SUM(
    SUMIFS('발전사업(A)'!$I:$I,'발전사업(A)'!$G:$G,M$2,'발전사업(A)'!$Q:$Q,$J14,'발전사업(A)'!$C:$C,$L$1),
    SUMIFS('자가소비(B)'!$I:$I,'자가소비(B)'!$G:$G,M$2,'자가소비(B)'!$Q:$Q,$J14,'자가소비(B)'!$C:$C,$L$1),
    SUMIFS('PPA 사업(C)'!$I:$I,'PPA 사업(C)'!$G:$G,M$2,'PPA 사업(C)'!$Q:$Q,$J14,'PPA 사업(C)'!$C:$C,$L$1),
    SUMIFS('리스사업(D)'!$I:$I,'리스사업(D)'!$G:$G,M$2,'리스사업(D)'!$Q:$Q,$J14,'리스사업(D)'!$C:$C,$L$1),
    SUMIFS('임대사업(E)'!$I:$I,'임대사업(E)'!$G:$G,M$2,'임대사업(E)'!$Q:$Q,$J14,'임대사업(E)'!$C:$C,$L$1),
    SUMIFS('환경부사업(F)'!$I:$I,'환경부사업(F)'!$G:$G,M$2,'환경부사업(F)'!$Q:$Q,$J14,'환경부사업(F)'!$C:$C,$L$1),
    SUMIFS('프로젝트(G)'!$I:$I,'프로젝트(G)'!$G:$G,M$2,'프로젝트(G)'!$Q:$Q,$J14,'프로젝트(G)'!$C:$C,$L$1),
    SUMIFS('협력사 EPC(H)'!$I:$I,'협력사 EPC(H)'!$G:$G,M$2,'협력사 EPC(H)'!$Q:$Q,$J14,'협력사 EPC(H)'!$C:$C,$L$1),
    SUMIFS('기타(Z)'!$I:$I,'기타(Z)'!$G:$G,M$2,'기타(Z)'!$Q:$Q,$J14,'기타(Z)'!$C:$C,$L$1)
  )=0,
  "",
  SUM(
    SUMIFS('발전사업(A)'!$I:$I,'발전사업(A)'!$G:$G,M$2,'발전사업(A)'!$Q:$Q,$J14,'발전사업(A)'!$C:$C,$L$1),
    SUMIFS('자가소비(B)'!$I:$I,'자가소비(B)'!$G:$G,M$2,'자가소비(B)'!$Q:$Q,$J14,'자가소비(B)'!$C:$C,$L$1),
    SUMIFS('PPA 사업(C)'!$I:$I,'PPA 사업(C)'!$G:$G,M$2,'PPA 사업(C)'!$Q:$Q,$J14,'PPA 사업(C)'!$C:$C,$L$1),
    SUMIFS('리스사업(D)'!$I:$I,'리스사업(D)'!$G:$G,M$2,'리스사업(D)'!$Q:$Q,$J14,'리스사업(D)'!$C:$C,$L$1),
    SUMIFS('임대사업(E)'!$I:$I,'임대사업(E)'!$G:$G,M$2,'임대사업(E)'!$Q:$Q,$J14,'임대사업(E)'!$C:$C,$L$1),
    SUMIFS('환경부사업(F)'!$I:$I,'환경부사업(F)'!$G:$G,M$2,'환경부사업(F)'!$Q:$Q,$J14,'환경부사업(F)'!$C:$C,$L$1),
    SUMIFS('프로젝트(G)'!$I:$I,'프로젝트(G)'!$G:$G,M$2,'프로젝트(G)'!$Q:$Q,$J14,'프로젝트(G)'!$C:$C,$L$1),
    SUMIFS('협력사 EPC(H)'!$I:$I,'협력사 EPC(H)'!$G:$G,M$2,'협력사 EPC(H)'!$Q:$Q,$J14,'협력사 EPC(H)'!$C:$C,$L$1),
    SUMIFS('기타(Z)'!$I:$I,'기타(Z)'!$G:$G,M$2,'기타(Z)'!$Q:$Q,$J14,'기타(Z)'!$C:$C,$L$1)
  )
)</f>
        <v/>
      </c>
      <c r="N14" s="387" t="str">
        <f>IF(
  SUM(
    COUNTIFS('발전사업(A)'!$G:$G, M$2, '발전사업(A)'!$Q:$Q, $J14, '발전사업(A)'!$C:$C, $L$1),
    COUNTIFS('자가소비(B)'!$G:$G, M$2, '자가소비(B)'!$Q:$Q, $J14, '자가소비(B)'!$C:$C, $L$1),
    COUNTIFS('PPA 사업(C)'!$G:$G, M$2, 'PPA 사업(C)'!$Q:$Q, $J14, 'PPA 사업(C)'!$C:$C, $L$1),
    COUNTIFS('리스사업(D)'!$G:$G, M$2, '리스사업(D)'!$Q:$Q, $J14, '리스사업(D)'!$C:$C, $L$1),
    COUNTIFS('임대사업(E)'!$G:$G, M$2, '임대사업(E)'!$Q:$Q, $J14, '임대사업(E)'!$C:$C, $L$1),
    COUNTIFS('환경부사업(F)'!$G:$G, M$2, '환경부사업(F)'!$Q:$Q, $J14, '환경부사업(F)'!$C:$C, $L$1),
    COUNTIFS('프로젝트(G)'!$G:$G, M$2, '프로젝트(G)'!$Q:$Q, $J14, '프로젝트(G)'!$C:$C, $L$1),
    COUNTIFS('협력사 EPC(H)'!$G:$G, M$2, '협력사 EPC(H)'!$Q:$Q, $J14, '협력사 EPC(H)'!$C:$C, $L$1),
    COUNTIFS('기타(Z)'!$G:$G, M$2, '기타(Z)'!$Q:$Q, $J14, '기타(Z)'!$C:$C, $L$1)
  ) = 0,
  "",
  COUNTIFS('발전사업(A)'!$G:$G, M$2, '발전사업(A)'!$Q:$Q, $J14, '발전사업(A)'!$C:$C, $L$1)
  + COUNTIFS('자가소비(B)'!$G:$G, M$2, '자가소비(B)'!$Q:$Q, $J14, '자가소비(B)'!$C:$C, $L$1)
  + COUNTIFS('PPA 사업(C)'!$G:$G, M$2, 'PPA 사업(C)'!$Q:$Q, $J14, 'PPA 사업(C)'!$C:$C, $L$1)
  + COUNTIFS('리스사업(D)'!$G:$G, M$2, '리스사업(D)'!$Q:$Q, $J14, '리스사업(D)'!$C:$C, $L$1)
  + COUNTIFS('임대사업(E)'!$G:$G, M$2, '임대사업(E)'!$Q:$Q, $J14, '임대사업(E)'!$C:$C, $L$1)
  + COUNTIFS('환경부사업(F)'!$G:$G, M$2, '환경부사업(F)'!$Q:$Q, $J14, '환경부사업(F)'!$C:$C, $L$1)
  + COUNTIFS('프로젝트(G)'!$G:$G, M$2, '프로젝트(G)'!$Q:$Q, $J14, '프로젝트(G)'!$C:$C, $L$1)
  + COUNTIFS('협력사 EPC(H)'!$G:$G, M$2, '협력사 EPC(H)'!$Q:$Q, $J14, '협력사 EPC(H)'!$C:$C, $L$1)
  + COUNTIFS('기타(Z)'!$G:$G, M$2, '기타(Z)'!$Q:$Q, $J14, '기타(Z)'!$C:$C, $L$1)
)</f>
        <v/>
      </c>
      <c r="O14" s="386">
        <f>IF(
  SUM(
    SUMIFS('발전사업(A)'!$I:$I,'발전사업(A)'!$G:$G,O$2,'발전사업(A)'!$Q:$Q,$J14,'발전사업(A)'!$C:$C,$L$1),
    SUMIFS('자가소비(B)'!$I:$I,'자가소비(B)'!$G:$G,O$2,'자가소비(B)'!$Q:$Q,$J14,'자가소비(B)'!$C:$C,$L$1),
    SUMIFS('PPA 사업(C)'!$I:$I,'PPA 사업(C)'!$G:$G,O$2,'PPA 사업(C)'!$Q:$Q,$J14,'PPA 사업(C)'!$C:$C,$L$1),
    SUMIFS('리스사업(D)'!$I:$I,'리스사업(D)'!$G:$G,O$2,'리스사업(D)'!$Q:$Q,$J14,'리스사업(D)'!$C:$C,$L$1),
    SUMIFS('임대사업(E)'!$I:$I,'임대사업(E)'!$G:$G,O$2,'임대사업(E)'!$Q:$Q,$J14,'임대사업(E)'!$C:$C,$L$1),
    SUMIFS('환경부사업(F)'!$I:$I,'환경부사업(F)'!$G:$G,O$2,'환경부사업(F)'!$Q:$Q,$J14,'환경부사업(F)'!$C:$C,$L$1),
    SUMIFS('프로젝트(G)'!$I:$I,'프로젝트(G)'!$G:$G,O$2,'프로젝트(G)'!$Q:$Q,$J14,'프로젝트(G)'!$C:$C,$L$1),
    SUMIFS('협력사 EPC(H)'!$I:$I,'협력사 EPC(H)'!$G:$G,O$2,'협력사 EPC(H)'!$Q:$Q,$J14,'협력사 EPC(H)'!$C:$C,$L$1),
    SUMIFS('기타(Z)'!$I:$I,'기타(Z)'!$G:$G,O$2,'기타(Z)'!$Q:$Q,$J14,'기타(Z)'!$C:$C,$L$1)
  )=0,
  "",
  SUM(
    SUMIFS('발전사업(A)'!$I:$I,'발전사업(A)'!$G:$G,O$2,'발전사업(A)'!$Q:$Q,$J14,'발전사업(A)'!$C:$C,$L$1),
    SUMIFS('자가소비(B)'!$I:$I,'자가소비(B)'!$G:$G,O$2,'자가소비(B)'!$Q:$Q,$J14,'자가소비(B)'!$C:$C,$L$1),
    SUMIFS('PPA 사업(C)'!$I:$I,'PPA 사업(C)'!$G:$G,O$2,'PPA 사업(C)'!$Q:$Q,$J14,'PPA 사업(C)'!$C:$C,$L$1),
    SUMIFS('리스사업(D)'!$I:$I,'리스사업(D)'!$G:$G,O$2,'리스사업(D)'!$Q:$Q,$J14,'리스사업(D)'!$C:$C,$L$1),
    SUMIFS('임대사업(E)'!$I:$I,'임대사업(E)'!$G:$G,O$2,'임대사업(E)'!$Q:$Q,$J14,'임대사업(E)'!$C:$C,$L$1),
    SUMIFS('환경부사업(F)'!$I:$I,'환경부사업(F)'!$G:$G,O$2,'환경부사업(F)'!$Q:$Q,$J14,'환경부사업(F)'!$C:$C,$L$1),
    SUMIFS('프로젝트(G)'!$I:$I,'프로젝트(G)'!$G:$G,O$2,'프로젝트(G)'!$Q:$Q,$J14,'프로젝트(G)'!$C:$C,$L$1),
    SUMIFS('협력사 EPC(H)'!$I:$I,'협력사 EPC(H)'!$G:$G,O$2,'협력사 EPC(H)'!$Q:$Q,$J14,'협력사 EPC(H)'!$C:$C,$L$1),
    SUMIFS('기타(Z)'!$I:$I,'기타(Z)'!$G:$G,O$2,'기타(Z)'!$Q:$Q,$J14,'기타(Z)'!$C:$C,$L$1)
  )
)</f>
        <v>2876.7949999999996</v>
      </c>
      <c r="P14" s="387">
        <f>IF(
  SUM(
    COUNTIFS('발전사업(A)'!$G:$G, O$2, '발전사업(A)'!$Q:$Q, $J14, '발전사업(A)'!$C:$C, $L$1),
    COUNTIFS('자가소비(B)'!$G:$G, O$2, '자가소비(B)'!$Q:$Q, $J14, '자가소비(B)'!$C:$C, $L$1),
    COUNTIFS('PPA 사업(C)'!$G:$G, O$2, 'PPA 사업(C)'!$Q:$Q, $J14, 'PPA 사업(C)'!$C:$C, $L$1),
    COUNTIFS('리스사업(D)'!$G:$G, O$2, '리스사업(D)'!$Q:$Q, $J14, '리스사업(D)'!$C:$C, $L$1),
    COUNTIFS('임대사업(E)'!$G:$G, O$2, '임대사업(E)'!$Q:$Q, $J14, '임대사업(E)'!$C:$C, $L$1),
    COUNTIFS('환경부사업(F)'!$G:$G, O$2, '환경부사업(F)'!$Q:$Q, $J14, '환경부사업(F)'!$C:$C, $L$1),
    COUNTIFS('프로젝트(G)'!$G:$G, O$2, '프로젝트(G)'!$Q:$Q, $J14, '프로젝트(G)'!$C:$C, $L$1),
    COUNTIFS('협력사 EPC(H)'!$G:$G, O$2, '협력사 EPC(H)'!$Q:$Q, $J14, '협력사 EPC(H)'!$C:$C, $L$1),
    COUNTIFS('기타(Z)'!$G:$G, O$2, '기타(Z)'!$Q:$Q, $J14, '기타(Z)'!$C:$C, $L$1)
  ) = 0,
  "",
  COUNTIFS('발전사업(A)'!$G:$G, O$2, '발전사업(A)'!$Q:$Q, $J14, '발전사업(A)'!$C:$C, $L$1)
  + COUNTIFS('자가소비(B)'!$G:$G, O$2, '자가소비(B)'!$Q:$Q, $J14, '자가소비(B)'!$C:$C, $L$1)
  + COUNTIFS('PPA 사업(C)'!$G:$G, O$2, 'PPA 사업(C)'!$Q:$Q, $J14, 'PPA 사업(C)'!$C:$C, $L$1)
  + COUNTIFS('리스사업(D)'!$G:$G, O$2, '리스사업(D)'!$Q:$Q, $J14, '리스사업(D)'!$C:$C, $L$1)
  + COUNTIFS('임대사업(E)'!$G:$G, O$2, '임대사업(E)'!$Q:$Q, $J14, '임대사업(E)'!$C:$C, $L$1)
  + COUNTIFS('환경부사업(F)'!$G:$G, O$2, '환경부사업(F)'!$Q:$Q, $J14, '환경부사업(F)'!$C:$C, $L$1)
  + COUNTIFS('프로젝트(G)'!$G:$G, O$2, '프로젝트(G)'!$Q:$Q, $J14, '프로젝트(G)'!$C:$C, $L$1)
  + COUNTIFS('협력사 EPC(H)'!$G:$G, O$2, '협력사 EPC(H)'!$Q:$Q, $J14, '협력사 EPC(H)'!$C:$C, $L$1)
  + COUNTIFS('기타(Z)'!$G:$G, O$2, '기타(Z)'!$Q:$Q, $J14, '기타(Z)'!$C:$C, $L$1)
)</f>
        <v>7</v>
      </c>
      <c r="Q14" s="386" t="str">
        <f>IF(
  SUM(
    SUMIFS('발전사업(A)'!$I:$I,'발전사업(A)'!$G:$G,Q$2,'발전사업(A)'!$Q:$Q,$J14,'발전사업(A)'!$C:$C,$L$1),
    SUMIFS('자가소비(B)'!$I:$I,'자가소비(B)'!$G:$G,Q$2,'자가소비(B)'!$Q:$Q,$J14,'자가소비(B)'!$C:$C,$L$1),
    SUMIFS('PPA 사업(C)'!$I:$I,'PPA 사업(C)'!$G:$G,Q$2,'PPA 사업(C)'!$Q:$Q,$J14,'PPA 사업(C)'!$C:$C,$L$1),
    SUMIFS('리스사업(D)'!$I:$I,'리스사업(D)'!$G:$G,Q$2,'리스사업(D)'!$Q:$Q,$J14,'리스사업(D)'!$C:$C,$L$1),
    SUMIFS('임대사업(E)'!$I:$I,'임대사업(E)'!$G:$G,Q$2,'임대사업(E)'!$Q:$Q,$J14,'임대사업(E)'!$C:$C,$L$1),
    SUMIFS('환경부사업(F)'!$I:$I,'환경부사업(F)'!$G:$G,Q$2,'환경부사업(F)'!$Q:$Q,$J14,'환경부사업(F)'!$C:$C,$L$1),
    SUMIFS('프로젝트(G)'!$I:$I,'프로젝트(G)'!$G:$G,Q$2,'프로젝트(G)'!$Q:$Q,$J14,'프로젝트(G)'!$C:$C,$L$1),
    SUMIFS('협력사 EPC(H)'!$I:$I,'협력사 EPC(H)'!$G:$G,Q$2,'협력사 EPC(H)'!$Q:$Q,$J14,'협력사 EPC(H)'!$C:$C,$L$1),
    SUMIFS('기타(Z)'!$I:$I,'기타(Z)'!$G:$G,Q$2,'기타(Z)'!$Q:$Q,$J14,'기타(Z)'!$C:$C,$L$1)
  )=0,
  "",
  SUM(
    SUMIFS('발전사업(A)'!$I:$I,'발전사업(A)'!$G:$G,Q$2,'발전사업(A)'!$Q:$Q,$J14,'발전사업(A)'!$C:$C,$L$1),
    SUMIFS('자가소비(B)'!$I:$I,'자가소비(B)'!$G:$G,Q$2,'자가소비(B)'!$Q:$Q,$J14,'자가소비(B)'!$C:$C,$L$1),
    SUMIFS('PPA 사업(C)'!$I:$I,'PPA 사업(C)'!$G:$G,Q$2,'PPA 사업(C)'!$Q:$Q,$J14,'PPA 사업(C)'!$C:$C,$L$1),
    SUMIFS('리스사업(D)'!$I:$I,'리스사업(D)'!$G:$G,Q$2,'리스사업(D)'!$Q:$Q,$J14,'리스사업(D)'!$C:$C,$L$1),
    SUMIFS('임대사업(E)'!$I:$I,'임대사업(E)'!$G:$G,Q$2,'임대사업(E)'!$Q:$Q,$J14,'임대사업(E)'!$C:$C,$L$1),
    SUMIFS('환경부사업(F)'!$I:$I,'환경부사업(F)'!$G:$G,Q$2,'환경부사업(F)'!$Q:$Q,$J14,'환경부사업(F)'!$C:$C,$L$1),
    SUMIFS('프로젝트(G)'!$I:$I,'프로젝트(G)'!$G:$G,Q$2,'프로젝트(G)'!$Q:$Q,$J14,'프로젝트(G)'!$C:$C,$L$1),
    SUMIFS('협력사 EPC(H)'!$I:$I,'협력사 EPC(H)'!$G:$G,Q$2,'협력사 EPC(H)'!$Q:$Q,$J14,'협력사 EPC(H)'!$C:$C,$L$1),
    SUMIFS('기타(Z)'!$I:$I,'기타(Z)'!$G:$G,Q$2,'기타(Z)'!$Q:$Q,$J14,'기타(Z)'!$C:$C,$L$1)
  )
)</f>
        <v/>
      </c>
      <c r="R14" s="387" t="str">
        <f>IF(
  SUM(
    COUNTIFS('발전사업(A)'!$G:$G, Q$2, '발전사업(A)'!$Q:$Q, $J14, '발전사업(A)'!$C:$C, $L$1),
    COUNTIFS('자가소비(B)'!$G:$G, Q$2, '자가소비(B)'!$Q:$Q, $J14, '자가소비(B)'!$C:$C, $L$1),
    COUNTIFS('PPA 사업(C)'!$G:$G, Q$2, 'PPA 사업(C)'!$Q:$Q, $J14, 'PPA 사업(C)'!$C:$C, $L$1),
    COUNTIFS('리스사업(D)'!$G:$G, Q$2, '리스사업(D)'!$Q:$Q, $J14, '리스사업(D)'!$C:$C, $L$1),
    COUNTIFS('임대사업(E)'!$G:$G, Q$2, '임대사업(E)'!$Q:$Q, $J14, '임대사업(E)'!$C:$C, $L$1),
    COUNTIFS('환경부사업(F)'!$G:$G, Q$2, '환경부사업(F)'!$Q:$Q, $J14, '환경부사업(F)'!$C:$C, $L$1),
    COUNTIFS('프로젝트(G)'!$G:$G, Q$2, '프로젝트(G)'!$Q:$Q, $J14, '프로젝트(G)'!$C:$C, $L$1),
    COUNTIFS('협력사 EPC(H)'!$G:$G, Q$2, '협력사 EPC(H)'!$Q:$Q, $J14, '협력사 EPC(H)'!$C:$C, $L$1),
    COUNTIFS('기타(Z)'!$G:$G, Q$2, '기타(Z)'!$Q:$Q, $J14, '기타(Z)'!$C:$C, $L$1)
  ) = 0,
  "",
  COUNTIFS('발전사업(A)'!$G:$G, Q$2, '발전사업(A)'!$Q:$Q, $J14, '발전사업(A)'!$C:$C, $L$1)
  + COUNTIFS('자가소비(B)'!$G:$G, Q$2, '자가소비(B)'!$Q:$Q, $J14, '자가소비(B)'!$C:$C, $L$1)
  + COUNTIFS('PPA 사업(C)'!$G:$G, Q$2, 'PPA 사업(C)'!$Q:$Q, $J14, 'PPA 사업(C)'!$C:$C, $L$1)
  + COUNTIFS('리스사업(D)'!$G:$G, Q$2, '리스사업(D)'!$Q:$Q, $J14, '리스사업(D)'!$C:$C, $L$1)
  + COUNTIFS('임대사업(E)'!$G:$G, Q$2, '임대사업(E)'!$Q:$Q, $J14, '임대사업(E)'!$C:$C, $L$1)
  + COUNTIFS('환경부사업(F)'!$G:$G, Q$2, '환경부사업(F)'!$Q:$Q, $J14, '환경부사업(F)'!$C:$C, $L$1)
  + COUNTIFS('프로젝트(G)'!$G:$G, Q$2, '프로젝트(G)'!$Q:$Q, $J14, '프로젝트(G)'!$C:$C, $L$1)
  + COUNTIFS('협력사 EPC(H)'!$G:$G, Q$2, '협력사 EPC(H)'!$Q:$Q, $J14, '협력사 EPC(H)'!$C:$C, $L$1)
  + COUNTIFS('기타(Z)'!$G:$G, Q$2, '기타(Z)'!$Q:$Q, $J14, '기타(Z)'!$C:$C, $L$1)
)</f>
        <v/>
      </c>
      <c r="S14" s="386">
        <f>IF(
  SUM(
    SUMIFS('발전사업(A)'!$I:$I,'발전사업(A)'!$G:$G,S$2,'발전사업(A)'!$Q:$Q,$J14,'발전사업(A)'!$C:$C,$L$1),
    SUMIFS('자가소비(B)'!$I:$I,'자가소비(B)'!$G:$G,S$2,'자가소비(B)'!$Q:$Q,$J14,'자가소비(B)'!$C:$C,$L$1),
    SUMIFS('PPA 사업(C)'!$I:$I,'PPA 사업(C)'!$G:$G,S$2,'PPA 사업(C)'!$Q:$Q,$J14,'PPA 사업(C)'!$C:$C,$L$1),
    SUMIFS('리스사업(D)'!$I:$I,'리스사업(D)'!$G:$G,S$2,'리스사업(D)'!$Q:$Q,$J14,'리스사업(D)'!$C:$C,$L$1),
    SUMIFS('임대사업(E)'!$I:$I,'임대사업(E)'!$G:$G,S$2,'임대사업(E)'!$Q:$Q,$J14,'임대사업(E)'!$C:$C,$L$1),
    SUMIFS('환경부사업(F)'!$I:$I,'환경부사업(F)'!$G:$G,S$2,'환경부사업(F)'!$Q:$Q,$J14,'환경부사업(F)'!$C:$C,$L$1),
    SUMIFS('프로젝트(G)'!$I:$I,'프로젝트(G)'!$G:$G,S$2,'프로젝트(G)'!$Q:$Q,$J14,'프로젝트(G)'!$C:$C,$L$1),
    SUMIFS('협력사 EPC(H)'!$I:$I,'협력사 EPC(H)'!$G:$G,S$2,'협력사 EPC(H)'!$Q:$Q,$J14,'협력사 EPC(H)'!$C:$C,$L$1),
    SUMIFS('기타(Z)'!$I:$I,'기타(Z)'!$G:$G,S$2,'기타(Z)'!$Q:$Q,$J14,'기타(Z)'!$C:$C,$L$1)
  )=0,
  "",
  SUM(
    SUMIFS('발전사업(A)'!$I:$I,'발전사업(A)'!$G:$G,S$2,'발전사업(A)'!$Q:$Q,$J14,'발전사업(A)'!$C:$C,$L$1),
    SUMIFS('자가소비(B)'!$I:$I,'자가소비(B)'!$G:$G,S$2,'자가소비(B)'!$Q:$Q,$J14,'자가소비(B)'!$C:$C,$L$1),
    SUMIFS('PPA 사업(C)'!$I:$I,'PPA 사업(C)'!$G:$G,S$2,'PPA 사업(C)'!$Q:$Q,$J14,'PPA 사업(C)'!$C:$C,$L$1),
    SUMIFS('리스사업(D)'!$I:$I,'리스사업(D)'!$G:$G,S$2,'리스사업(D)'!$Q:$Q,$J14,'리스사업(D)'!$C:$C,$L$1),
    SUMIFS('임대사업(E)'!$I:$I,'임대사업(E)'!$G:$G,S$2,'임대사업(E)'!$Q:$Q,$J14,'임대사업(E)'!$C:$C,$L$1),
    SUMIFS('환경부사업(F)'!$I:$I,'환경부사업(F)'!$G:$G,S$2,'환경부사업(F)'!$Q:$Q,$J14,'환경부사업(F)'!$C:$C,$L$1),
    SUMIFS('프로젝트(G)'!$I:$I,'프로젝트(G)'!$G:$G,S$2,'프로젝트(G)'!$Q:$Q,$J14,'프로젝트(G)'!$C:$C,$L$1),
    SUMIFS('협력사 EPC(H)'!$I:$I,'협력사 EPC(H)'!$G:$G,S$2,'협력사 EPC(H)'!$Q:$Q,$J14,'협력사 EPC(H)'!$C:$C,$L$1),
    SUMIFS('기타(Z)'!$I:$I,'기타(Z)'!$G:$G,S$2,'기타(Z)'!$Q:$Q,$J14,'기타(Z)'!$C:$C,$L$1)
  )
)</f>
        <v>86.4</v>
      </c>
      <c r="T14" s="387">
        <f>IF(
  SUM(
    COUNTIFS('발전사업(A)'!$G:$G, S$2, '발전사업(A)'!$Q:$Q, $J14, '발전사업(A)'!$C:$C, $L$1),
    COUNTIFS('자가소비(B)'!$G:$G, S$2, '자가소비(B)'!$Q:$Q, $J14, '자가소비(B)'!$C:$C, $L$1),
    COUNTIFS('PPA 사업(C)'!$G:$G, S$2, 'PPA 사업(C)'!$Q:$Q, $J14, 'PPA 사업(C)'!$C:$C, $L$1),
    COUNTIFS('리스사업(D)'!$G:$G, S$2, '리스사업(D)'!$Q:$Q, $J14, '리스사업(D)'!$C:$C, $L$1),
    COUNTIFS('임대사업(E)'!$G:$G, S$2, '임대사업(E)'!$Q:$Q, $J14, '임대사업(E)'!$C:$C, $L$1),
    COUNTIFS('환경부사업(F)'!$G:$G, S$2, '환경부사업(F)'!$Q:$Q, $J14, '환경부사업(F)'!$C:$C, $L$1),
    COUNTIFS('프로젝트(G)'!$G:$G, S$2, '프로젝트(G)'!$Q:$Q, $J14, '프로젝트(G)'!$C:$C, $L$1),
    COUNTIFS('협력사 EPC(H)'!$G:$G, S$2, '협력사 EPC(H)'!$Q:$Q, $J14, '협력사 EPC(H)'!$C:$C, $L$1),
    COUNTIFS('기타(Z)'!$G:$G, S$2, '기타(Z)'!$Q:$Q, $J14, '기타(Z)'!$C:$C, $L$1)
  ) = 0,
  "",
  COUNTIFS('발전사업(A)'!$G:$G, S$2, '발전사업(A)'!$Q:$Q, $J14, '발전사업(A)'!$C:$C, $L$1)
  + COUNTIFS('자가소비(B)'!$G:$G, S$2, '자가소비(B)'!$Q:$Q, $J14, '자가소비(B)'!$C:$C, $L$1)
  + COUNTIFS('PPA 사업(C)'!$G:$G, S$2, 'PPA 사업(C)'!$Q:$Q, $J14, 'PPA 사업(C)'!$C:$C, $L$1)
  + COUNTIFS('리스사업(D)'!$G:$G, S$2, '리스사업(D)'!$Q:$Q, $J14, '리스사업(D)'!$C:$C, $L$1)
  + COUNTIFS('임대사업(E)'!$G:$G, S$2, '임대사업(E)'!$Q:$Q, $J14, '임대사업(E)'!$C:$C, $L$1)
  + COUNTIFS('환경부사업(F)'!$G:$G, S$2, '환경부사업(F)'!$Q:$Q, $J14, '환경부사업(F)'!$C:$C, $L$1)
  + COUNTIFS('프로젝트(G)'!$G:$G, S$2, '프로젝트(G)'!$Q:$Q, $J14, '프로젝트(G)'!$C:$C, $L$1)
  + COUNTIFS('협력사 EPC(H)'!$G:$G, S$2, '협력사 EPC(H)'!$Q:$Q, $J14, '협력사 EPC(H)'!$C:$C, $L$1)
  + COUNTIFS('기타(Z)'!$G:$G, S$2, '기타(Z)'!$Q:$Q, $J14, '기타(Z)'!$C:$C, $L$1)
)</f>
        <v>1</v>
      </c>
      <c r="U14" s="386">
        <f>IF(
  SUM(
    SUMIFS('발전사업(A)'!$I:$I,'발전사업(A)'!$G:$G,U$2,'발전사업(A)'!$Q:$Q,$J14,'발전사업(A)'!$C:$C,$L$1),
    SUMIFS('자가소비(B)'!$I:$I,'자가소비(B)'!$G:$G,U$2,'자가소비(B)'!$Q:$Q,$J14,'자가소비(B)'!$C:$C,$L$1),
    SUMIFS('PPA 사업(C)'!$I:$I,'PPA 사업(C)'!$G:$G,U$2,'PPA 사업(C)'!$Q:$Q,$J14,'PPA 사업(C)'!$C:$C,$L$1),
    SUMIFS('리스사업(D)'!$I:$I,'리스사업(D)'!$G:$G,U$2,'리스사업(D)'!$Q:$Q,$J14,'리스사업(D)'!$C:$C,$L$1),
    SUMIFS('임대사업(E)'!$I:$I,'임대사업(E)'!$G:$G,U$2,'임대사업(E)'!$Q:$Q,$J14,'임대사업(E)'!$C:$C,$L$1),
    SUMIFS('환경부사업(F)'!$I:$I,'환경부사업(F)'!$G:$G,U$2,'환경부사업(F)'!$Q:$Q,$J14,'환경부사업(F)'!$C:$C,$L$1),
    SUMIFS('프로젝트(G)'!$I:$I,'프로젝트(G)'!$G:$G,U$2,'프로젝트(G)'!$Q:$Q,$J14,'프로젝트(G)'!$C:$C,$L$1),
    SUMIFS('협력사 EPC(H)'!$I:$I,'협력사 EPC(H)'!$G:$G,U$2,'협력사 EPC(H)'!$Q:$Q,$J14,'협력사 EPC(H)'!$C:$C,$L$1),
    SUMIFS('기타(Z)'!$I:$I,'기타(Z)'!$G:$G,U$2,'기타(Z)'!$Q:$Q,$J14,'기타(Z)'!$C:$C,$L$1)
  )=0,
  "",
  SUM(
    SUMIFS('발전사업(A)'!$I:$I,'발전사업(A)'!$G:$G,U$2,'발전사업(A)'!$Q:$Q,$J14,'발전사업(A)'!$C:$C,$L$1),
    SUMIFS('자가소비(B)'!$I:$I,'자가소비(B)'!$G:$G,U$2,'자가소비(B)'!$Q:$Q,$J14,'자가소비(B)'!$C:$C,$L$1),
    SUMIFS('PPA 사업(C)'!$I:$I,'PPA 사업(C)'!$G:$G,U$2,'PPA 사업(C)'!$Q:$Q,$J14,'PPA 사업(C)'!$C:$C,$L$1),
    SUMIFS('리스사업(D)'!$I:$I,'리스사업(D)'!$G:$G,U$2,'리스사업(D)'!$Q:$Q,$J14,'리스사업(D)'!$C:$C,$L$1),
    SUMIFS('임대사업(E)'!$I:$I,'임대사업(E)'!$G:$G,U$2,'임대사업(E)'!$Q:$Q,$J14,'임대사업(E)'!$C:$C,$L$1),
    SUMIFS('환경부사업(F)'!$I:$I,'환경부사업(F)'!$G:$G,U$2,'환경부사업(F)'!$Q:$Q,$J14,'환경부사업(F)'!$C:$C,$L$1),
    SUMIFS('프로젝트(G)'!$I:$I,'프로젝트(G)'!$G:$G,U$2,'프로젝트(G)'!$Q:$Q,$J14,'프로젝트(G)'!$C:$C,$L$1),
    SUMIFS('협력사 EPC(H)'!$I:$I,'협력사 EPC(H)'!$G:$G,U$2,'협력사 EPC(H)'!$Q:$Q,$J14,'협력사 EPC(H)'!$C:$C,$L$1),
    SUMIFS('기타(Z)'!$I:$I,'기타(Z)'!$G:$G,U$2,'기타(Z)'!$Q:$Q,$J14,'기타(Z)'!$C:$C,$L$1)
  )
)</f>
        <v>402.56</v>
      </c>
      <c r="V14" s="387">
        <f>IF(
  SUM(
    COUNTIFS('발전사업(A)'!$G:$G, U$2, '발전사업(A)'!$Q:$Q, $J14, '발전사업(A)'!$C:$C, $L$1),
    COUNTIFS('자가소비(B)'!$G:$G, U$2, '자가소비(B)'!$Q:$Q, $J14, '자가소비(B)'!$C:$C, $L$1),
    COUNTIFS('PPA 사업(C)'!$G:$G, U$2, 'PPA 사업(C)'!$Q:$Q, $J14, 'PPA 사업(C)'!$C:$C, $L$1),
    COUNTIFS('리스사업(D)'!$G:$G, U$2, '리스사업(D)'!$Q:$Q, $J14, '리스사업(D)'!$C:$C, $L$1),
    COUNTIFS('임대사업(E)'!$G:$G, U$2, '임대사업(E)'!$Q:$Q, $J14, '임대사업(E)'!$C:$C, $L$1),
    COUNTIFS('환경부사업(F)'!$G:$G, U$2, '환경부사업(F)'!$Q:$Q, $J14, '환경부사업(F)'!$C:$C, $L$1),
    COUNTIFS('프로젝트(G)'!$G:$G, U$2, '프로젝트(G)'!$Q:$Q, $J14, '프로젝트(G)'!$C:$C, $L$1),
    COUNTIFS('협력사 EPC(H)'!$G:$G, U$2, '협력사 EPC(H)'!$Q:$Q, $J14, '협력사 EPC(H)'!$C:$C, $L$1),
    COUNTIFS('기타(Z)'!$G:$G, U$2, '기타(Z)'!$Q:$Q, $J14, '기타(Z)'!$C:$C, $L$1)
  ) = 0,
  "",
  COUNTIFS('발전사업(A)'!$G:$G, U$2, '발전사업(A)'!$Q:$Q, $J14, '발전사업(A)'!$C:$C, $L$1)
  + COUNTIFS('자가소비(B)'!$G:$G, U$2, '자가소비(B)'!$Q:$Q, $J14, '자가소비(B)'!$C:$C, $L$1)
  + COUNTIFS('PPA 사업(C)'!$G:$G, U$2, 'PPA 사업(C)'!$Q:$Q, $J14, 'PPA 사업(C)'!$C:$C, $L$1)
  + COUNTIFS('리스사업(D)'!$G:$G, U$2, '리스사업(D)'!$Q:$Q, $J14, '리스사업(D)'!$C:$C, $L$1)
  + COUNTIFS('임대사업(E)'!$G:$G, U$2, '임대사업(E)'!$Q:$Q, $J14, '임대사업(E)'!$C:$C, $L$1)
  + COUNTIFS('환경부사업(F)'!$G:$G, U$2, '환경부사업(F)'!$Q:$Q, $J14, '환경부사업(F)'!$C:$C, $L$1)
  + COUNTIFS('프로젝트(G)'!$G:$G, U$2, '프로젝트(G)'!$Q:$Q, $J14, '프로젝트(G)'!$C:$C, $L$1)
  + COUNTIFS('협력사 EPC(H)'!$G:$G, U$2, '협력사 EPC(H)'!$Q:$Q, $J14, '협력사 EPC(H)'!$C:$C, $L$1)
  + COUNTIFS('기타(Z)'!$G:$G, U$2, '기타(Z)'!$Q:$Q, $J14, '기타(Z)'!$C:$C, $L$1)
)</f>
        <v>1</v>
      </c>
      <c r="W14" s="386">
        <f>IF(
  SUM(
    SUMIFS('발전사업(A)'!$I:$I,'발전사업(A)'!$G:$G,W$2,'발전사업(A)'!$Q:$Q,$J14,'발전사업(A)'!$C:$C,$L$1),
    SUMIFS('자가소비(B)'!$I:$I,'자가소비(B)'!$G:$G,W$2,'자가소비(B)'!$Q:$Q,$J14,'자가소비(B)'!$C:$C,$L$1),
    SUMIFS('PPA 사업(C)'!$I:$I,'PPA 사업(C)'!$G:$G,W$2,'PPA 사업(C)'!$Q:$Q,$J14,'PPA 사업(C)'!$C:$C,$L$1),
    SUMIFS('리스사업(D)'!$I:$I,'리스사업(D)'!$G:$G,W$2,'리스사업(D)'!$Q:$Q,$J14,'리스사업(D)'!$C:$C,$L$1),
    SUMIFS('임대사업(E)'!$I:$I,'임대사업(E)'!$G:$G,W$2,'임대사업(E)'!$Q:$Q,$J14,'임대사업(E)'!$C:$C,$L$1),
    SUMIFS('환경부사업(F)'!$I:$I,'환경부사업(F)'!$G:$G,W$2,'환경부사업(F)'!$Q:$Q,$J14,'환경부사업(F)'!$C:$C,$L$1),
    SUMIFS('프로젝트(G)'!$I:$I,'프로젝트(G)'!$G:$G,W$2,'프로젝트(G)'!$Q:$Q,$J14,'프로젝트(G)'!$C:$C,$L$1),
    SUMIFS('협력사 EPC(H)'!$I:$I,'협력사 EPC(H)'!$G:$G,W$2,'협력사 EPC(H)'!$Q:$Q,$J14,'협력사 EPC(H)'!$C:$C,$L$1),
    SUMIFS('기타(Z)'!$I:$I,'기타(Z)'!$G:$G,W$2,'기타(Z)'!$Q:$Q,$J14,'기타(Z)'!$C:$C,$L$1)
  )=0,
  "",
  SUM(
    SUMIFS('발전사업(A)'!$I:$I,'발전사업(A)'!$G:$G,W$2,'발전사업(A)'!$Q:$Q,$J14,'발전사업(A)'!$C:$C,$L$1),
    SUMIFS('자가소비(B)'!$I:$I,'자가소비(B)'!$G:$G,W$2,'자가소비(B)'!$Q:$Q,$J14,'자가소비(B)'!$C:$C,$L$1),
    SUMIFS('PPA 사업(C)'!$I:$I,'PPA 사업(C)'!$G:$G,W$2,'PPA 사업(C)'!$Q:$Q,$J14,'PPA 사업(C)'!$C:$C,$L$1),
    SUMIFS('리스사업(D)'!$I:$I,'리스사업(D)'!$G:$G,W$2,'리스사업(D)'!$Q:$Q,$J14,'리스사업(D)'!$C:$C,$L$1),
    SUMIFS('임대사업(E)'!$I:$I,'임대사업(E)'!$G:$G,W$2,'임대사업(E)'!$Q:$Q,$J14,'임대사업(E)'!$C:$C,$L$1),
    SUMIFS('환경부사업(F)'!$I:$I,'환경부사업(F)'!$G:$G,W$2,'환경부사업(F)'!$Q:$Q,$J14,'환경부사업(F)'!$C:$C,$L$1),
    SUMIFS('프로젝트(G)'!$I:$I,'프로젝트(G)'!$G:$G,W$2,'프로젝트(G)'!$Q:$Q,$J14,'프로젝트(G)'!$C:$C,$L$1),
    SUMIFS('협력사 EPC(H)'!$I:$I,'협력사 EPC(H)'!$G:$G,W$2,'협력사 EPC(H)'!$Q:$Q,$J14,'협력사 EPC(H)'!$C:$C,$L$1),
    SUMIFS('기타(Z)'!$I:$I,'기타(Z)'!$G:$G,W$2,'기타(Z)'!$Q:$Q,$J14,'기타(Z)'!$C:$C,$L$1)
  )
)</f>
        <v>123.52</v>
      </c>
      <c r="X14" s="387">
        <f>IF(
  SUM(
    COUNTIFS('발전사업(A)'!$G:$G, W$2, '발전사업(A)'!$Q:$Q, $J14, '발전사업(A)'!$C:$C, $L$1),
    COUNTIFS('자가소비(B)'!$G:$G, W$2, '자가소비(B)'!$Q:$Q, $J14, '자가소비(B)'!$C:$C, $L$1),
    COUNTIFS('PPA 사업(C)'!$G:$G, W$2, 'PPA 사업(C)'!$Q:$Q, $J14, 'PPA 사업(C)'!$C:$C, $L$1),
    COUNTIFS('리스사업(D)'!$G:$G, W$2, '리스사업(D)'!$Q:$Q, $J14, '리스사업(D)'!$C:$C, $L$1),
    COUNTIFS('임대사업(E)'!$G:$G, W$2, '임대사업(E)'!$Q:$Q, $J14, '임대사업(E)'!$C:$C, $L$1),
    COUNTIFS('환경부사업(F)'!$G:$G, W$2, '환경부사업(F)'!$Q:$Q, $J14, '환경부사업(F)'!$C:$C, $L$1),
    COUNTIFS('프로젝트(G)'!$G:$G, W$2, '프로젝트(G)'!$Q:$Q, $J14, '프로젝트(G)'!$C:$C, $L$1),
    COUNTIFS('협력사 EPC(H)'!$G:$G, W$2, '협력사 EPC(H)'!$Q:$Q, $J14, '협력사 EPC(H)'!$C:$C, $L$1),
    COUNTIFS('기타(Z)'!$G:$G, W$2, '기타(Z)'!$Q:$Q, $J14, '기타(Z)'!$C:$C, $L$1)
  ) = 0,
  "",
  COUNTIFS('발전사업(A)'!$G:$G, W$2, '발전사업(A)'!$Q:$Q, $J14, '발전사업(A)'!$C:$C, $L$1)
  + COUNTIFS('자가소비(B)'!$G:$G, W$2, '자가소비(B)'!$Q:$Q, $J14, '자가소비(B)'!$C:$C, $L$1)
  + COUNTIFS('PPA 사업(C)'!$G:$G, W$2, 'PPA 사업(C)'!$Q:$Q, $J14, 'PPA 사업(C)'!$C:$C, $L$1)
  + COUNTIFS('리스사업(D)'!$G:$G, W$2, '리스사업(D)'!$Q:$Q, $J14, '리스사업(D)'!$C:$C, $L$1)
  + COUNTIFS('임대사업(E)'!$G:$G, W$2, '임대사업(E)'!$Q:$Q, $J14, '임대사업(E)'!$C:$C, $L$1)
  + COUNTIFS('환경부사업(F)'!$G:$G, W$2, '환경부사업(F)'!$Q:$Q, $J14, '환경부사업(F)'!$C:$C, $L$1)
  + COUNTIFS('프로젝트(G)'!$G:$G, W$2, '프로젝트(G)'!$Q:$Q, $J14, '프로젝트(G)'!$C:$C, $L$1)
  + COUNTIFS('협력사 EPC(H)'!$G:$G, W$2, '협력사 EPC(H)'!$Q:$Q, $J14, '협력사 EPC(H)'!$C:$C, $L$1)
  + COUNTIFS('기타(Z)'!$G:$G, W$2, '기타(Z)'!$Q:$Q, $J14, '기타(Z)'!$C:$C, $L$1)
)</f>
        <v>1</v>
      </c>
      <c r="Y14" s="386">
        <f>IF(
  SUM(
    SUMIFS('발전사업(A)'!$I:$I,'발전사업(A)'!$G:$G,Y$2,'발전사업(A)'!$Q:$Q,$J14,'발전사업(A)'!$C:$C,$L$1),
    SUMIFS('자가소비(B)'!$I:$I,'자가소비(B)'!$G:$G,Y$2,'자가소비(B)'!$Q:$Q,$J14,'자가소비(B)'!$C:$C,$L$1),
    SUMIFS('PPA 사업(C)'!$I:$I,'PPA 사업(C)'!$G:$G,Y$2,'PPA 사업(C)'!$Q:$Q,$J14,'PPA 사업(C)'!$C:$C,$L$1),
    SUMIFS('리스사업(D)'!$I:$I,'리스사업(D)'!$G:$G,Y$2,'리스사업(D)'!$Q:$Q,$J14,'리스사업(D)'!$C:$C,$L$1),
    SUMIFS('임대사업(E)'!$I:$I,'임대사업(E)'!$G:$G,Y$2,'임대사업(E)'!$Q:$Q,$J14,'임대사업(E)'!$C:$C,$L$1),
    SUMIFS('환경부사업(F)'!$I:$I,'환경부사업(F)'!$G:$G,Y$2,'환경부사업(F)'!$Q:$Q,$J14,'환경부사업(F)'!$C:$C,$L$1),
    SUMIFS('프로젝트(G)'!$I:$I,'프로젝트(G)'!$G:$G,Y$2,'프로젝트(G)'!$Q:$Q,$J14,'프로젝트(G)'!$C:$C,$L$1),
    SUMIFS('협력사 EPC(H)'!$I:$I,'협력사 EPC(H)'!$G:$G,Y$2,'협력사 EPC(H)'!$Q:$Q,$J14,'협력사 EPC(H)'!$C:$C,$L$1),
    SUMIFS('기타(Z)'!$I:$I,'기타(Z)'!$G:$G,Y$2,'기타(Z)'!$Q:$Q,$J14,'기타(Z)'!$C:$C,$L$1)
  )=0,
  "",
  SUM(
    SUMIFS('발전사업(A)'!$I:$I,'발전사업(A)'!$G:$G,Y$2,'발전사업(A)'!$Q:$Q,$J14,'발전사업(A)'!$C:$C,$L$1),
    SUMIFS('자가소비(B)'!$I:$I,'자가소비(B)'!$G:$G,Y$2,'자가소비(B)'!$Q:$Q,$J14,'자가소비(B)'!$C:$C,$L$1),
    SUMIFS('PPA 사업(C)'!$I:$I,'PPA 사업(C)'!$G:$G,Y$2,'PPA 사업(C)'!$Q:$Q,$J14,'PPA 사업(C)'!$C:$C,$L$1),
    SUMIFS('리스사업(D)'!$I:$I,'리스사업(D)'!$G:$G,Y$2,'리스사업(D)'!$Q:$Q,$J14,'리스사업(D)'!$C:$C,$L$1),
    SUMIFS('임대사업(E)'!$I:$I,'임대사업(E)'!$G:$G,Y$2,'임대사업(E)'!$Q:$Q,$J14,'임대사업(E)'!$C:$C,$L$1),
    SUMIFS('환경부사업(F)'!$I:$I,'환경부사업(F)'!$G:$G,Y$2,'환경부사업(F)'!$Q:$Q,$J14,'환경부사업(F)'!$C:$C,$L$1),
    SUMIFS('프로젝트(G)'!$I:$I,'프로젝트(G)'!$G:$G,Y$2,'프로젝트(G)'!$Q:$Q,$J14,'프로젝트(G)'!$C:$C,$L$1),
    SUMIFS('협력사 EPC(H)'!$I:$I,'협력사 EPC(H)'!$G:$G,Y$2,'협력사 EPC(H)'!$Q:$Q,$J14,'협력사 EPC(H)'!$C:$C,$L$1),
    SUMIFS('기타(Z)'!$I:$I,'기타(Z)'!$G:$G,Y$2,'기타(Z)'!$Q:$Q,$J14,'기타(Z)'!$C:$C,$L$1)
  )
)</f>
        <v>224</v>
      </c>
      <c r="Z14" s="387">
        <f>IF(
  SUM(
    COUNTIFS('발전사업(A)'!$G:$G, Y$2, '발전사업(A)'!$Q:$Q, $J14, '발전사업(A)'!$C:$C, $L$1),
    COUNTIFS('자가소비(B)'!$G:$G, Y$2, '자가소비(B)'!$Q:$Q, $J14, '자가소비(B)'!$C:$C, $L$1),
    COUNTIFS('PPA 사업(C)'!$G:$G, Y$2, 'PPA 사업(C)'!$Q:$Q, $J14, 'PPA 사업(C)'!$C:$C, $L$1),
    COUNTIFS('리스사업(D)'!$G:$G, Y$2, '리스사업(D)'!$Q:$Q, $J14, '리스사업(D)'!$C:$C, $L$1),
    COUNTIFS('임대사업(E)'!$G:$G, Y$2, '임대사업(E)'!$Q:$Q, $J14, '임대사업(E)'!$C:$C, $L$1),
    COUNTIFS('환경부사업(F)'!$G:$G, Y$2, '환경부사업(F)'!$Q:$Q, $J14, '환경부사업(F)'!$C:$C, $L$1),
    COUNTIFS('프로젝트(G)'!$G:$G, Y$2, '프로젝트(G)'!$Q:$Q, $J14, '프로젝트(G)'!$C:$C, $L$1),
    COUNTIFS('협력사 EPC(H)'!$G:$G, Y$2, '협력사 EPC(H)'!$Q:$Q, $J14, '협력사 EPC(H)'!$C:$C, $L$1),
    COUNTIFS('기타(Z)'!$G:$G, Y$2, '기타(Z)'!$Q:$Q, $J14, '기타(Z)'!$C:$C, $L$1)
  ) = 0,
  "",
  COUNTIFS('발전사업(A)'!$G:$G, Y$2, '발전사업(A)'!$Q:$Q, $J14, '발전사업(A)'!$C:$C, $L$1)
  + COUNTIFS('자가소비(B)'!$G:$G, Y$2, '자가소비(B)'!$Q:$Q, $J14, '자가소비(B)'!$C:$C, $L$1)
  + COUNTIFS('PPA 사업(C)'!$G:$G, Y$2, 'PPA 사업(C)'!$Q:$Q, $J14, 'PPA 사업(C)'!$C:$C, $L$1)
  + COUNTIFS('리스사업(D)'!$G:$G, Y$2, '리스사업(D)'!$Q:$Q, $J14, '리스사업(D)'!$C:$C, $L$1)
  + COUNTIFS('임대사업(E)'!$G:$G, Y$2, '임대사업(E)'!$Q:$Q, $J14, '임대사업(E)'!$C:$C, $L$1)
  + COUNTIFS('환경부사업(F)'!$G:$G, Y$2, '환경부사업(F)'!$Q:$Q, $J14, '환경부사업(F)'!$C:$C, $L$1)
  + COUNTIFS('프로젝트(G)'!$G:$G, Y$2, '프로젝트(G)'!$Q:$Q, $J14, '프로젝트(G)'!$C:$C, $L$1)
  + COUNTIFS('협력사 EPC(H)'!$G:$G, Y$2, '협력사 EPC(H)'!$Q:$Q, $J14, '협력사 EPC(H)'!$C:$C, $L$1)
  + COUNTIFS('기타(Z)'!$G:$G, Y$2, '기타(Z)'!$Q:$Q, $J14, '기타(Z)'!$C:$C, $L$1)
)</f>
        <v>1</v>
      </c>
      <c r="AA14" s="386" t="str">
        <f>IF(
  SUM(
    SUMIFS('발전사업(A)'!$I:$I,'발전사업(A)'!$G:$G,AA$2,'발전사업(A)'!$Q:$Q,$J14,'발전사업(A)'!$C:$C,$L$1),
    SUMIFS('자가소비(B)'!$I:$I,'자가소비(B)'!$G:$G,AA$2,'자가소비(B)'!$Q:$Q,$J14,'자가소비(B)'!$C:$C,$L$1),
    SUMIFS('PPA 사업(C)'!$I:$I,'PPA 사업(C)'!$G:$G,AA$2,'PPA 사업(C)'!$Q:$Q,$J14,'PPA 사업(C)'!$C:$C,$L$1),
    SUMIFS('리스사업(D)'!$I:$I,'리스사업(D)'!$G:$G,AA$2,'리스사업(D)'!$Q:$Q,$J14,'리스사업(D)'!$C:$C,$L$1),
    SUMIFS('임대사업(E)'!$I:$I,'임대사업(E)'!$G:$G,AA$2,'임대사업(E)'!$Q:$Q,$J14,'임대사업(E)'!$C:$C,$L$1),
    SUMIFS('환경부사업(F)'!$I:$I,'환경부사업(F)'!$G:$G,AA$2,'환경부사업(F)'!$Q:$Q,$J14,'환경부사업(F)'!$C:$C,$L$1),
    SUMIFS('프로젝트(G)'!$I:$I,'프로젝트(G)'!$G:$G,AA$2,'프로젝트(G)'!$Q:$Q,$J14,'프로젝트(G)'!$C:$C,$L$1),
    SUMIFS('협력사 EPC(H)'!$I:$I,'협력사 EPC(H)'!$G:$G,AA$2,'협력사 EPC(H)'!$Q:$Q,$J14,'협력사 EPC(H)'!$C:$C,$L$1),
    SUMIFS('기타(Z)'!$I:$I,'기타(Z)'!$G:$G,AA$2,'기타(Z)'!$Q:$Q,$J14,'기타(Z)'!$C:$C,$L$1)
  )=0,
  "",
  SUM(
    SUMIFS('발전사업(A)'!$I:$I,'발전사업(A)'!$G:$G,AA$2,'발전사업(A)'!$Q:$Q,$J14,'발전사업(A)'!$C:$C,$L$1),
    SUMIFS('자가소비(B)'!$I:$I,'자가소비(B)'!$G:$G,AA$2,'자가소비(B)'!$Q:$Q,$J14,'자가소비(B)'!$C:$C,$L$1),
    SUMIFS('PPA 사업(C)'!$I:$I,'PPA 사업(C)'!$G:$G,AA$2,'PPA 사업(C)'!$Q:$Q,$J14,'PPA 사업(C)'!$C:$C,$L$1),
    SUMIFS('리스사업(D)'!$I:$I,'리스사업(D)'!$G:$G,AA$2,'리스사업(D)'!$Q:$Q,$J14,'리스사업(D)'!$C:$C,$L$1),
    SUMIFS('임대사업(E)'!$I:$I,'임대사업(E)'!$G:$G,AA$2,'임대사업(E)'!$Q:$Q,$J14,'임대사업(E)'!$C:$C,$L$1),
    SUMIFS('환경부사업(F)'!$I:$I,'환경부사업(F)'!$G:$G,AA$2,'환경부사업(F)'!$Q:$Q,$J14,'환경부사업(F)'!$C:$C,$L$1),
    SUMIFS('프로젝트(G)'!$I:$I,'프로젝트(G)'!$G:$G,AA$2,'프로젝트(G)'!$Q:$Q,$J14,'프로젝트(G)'!$C:$C,$L$1),
    SUMIFS('협력사 EPC(H)'!$I:$I,'협력사 EPC(H)'!$G:$G,AA$2,'협력사 EPC(H)'!$Q:$Q,$J14,'협력사 EPC(H)'!$C:$C,$L$1),
    SUMIFS('기타(Z)'!$I:$I,'기타(Z)'!$G:$G,AA$2,'기타(Z)'!$Q:$Q,$J14,'기타(Z)'!$C:$C,$L$1)
  )
)</f>
        <v/>
      </c>
      <c r="AB14" s="387" t="str">
        <f>IF(
  SUM(
    COUNTIFS('발전사업(A)'!$G:$G, AA$2, '발전사업(A)'!$Q:$Q, $J14, '발전사업(A)'!$C:$C, $L$1),
    COUNTIFS('자가소비(B)'!$G:$G, AA$2, '자가소비(B)'!$Q:$Q, $J14, '자가소비(B)'!$C:$C, $L$1),
    COUNTIFS('PPA 사업(C)'!$G:$G, AA$2, 'PPA 사업(C)'!$Q:$Q, $J14, 'PPA 사업(C)'!$C:$C, $L$1),
    COUNTIFS('리스사업(D)'!$G:$G, AA$2, '리스사업(D)'!$Q:$Q, $J14, '리스사업(D)'!$C:$C, $L$1),
    COUNTIFS('임대사업(E)'!$G:$G, AA$2, '임대사업(E)'!$Q:$Q, $J14, '임대사업(E)'!$C:$C, $L$1),
    COUNTIFS('환경부사업(F)'!$G:$G, AA$2, '환경부사업(F)'!$Q:$Q, $J14, '환경부사업(F)'!$C:$C, $L$1),
    COUNTIFS('프로젝트(G)'!$G:$G, AA$2, '프로젝트(G)'!$Q:$Q, $J14, '프로젝트(G)'!$C:$C, $L$1),
    COUNTIFS('협력사 EPC(H)'!$G:$G, AA$2, '협력사 EPC(H)'!$Q:$Q, $J14, '협력사 EPC(H)'!$C:$C, $L$1),
    COUNTIFS('기타(Z)'!$G:$G, AA$2, '기타(Z)'!$Q:$Q, $J14, '기타(Z)'!$C:$C, $L$1)
  ) = 0,
  "",
  COUNTIFS('발전사업(A)'!$G:$G, AA$2, '발전사업(A)'!$Q:$Q, $J14, '발전사업(A)'!$C:$C, $L$1)
  + COUNTIFS('자가소비(B)'!$G:$G, AA$2, '자가소비(B)'!$Q:$Q, $J14, '자가소비(B)'!$C:$C, $L$1)
  + COUNTIFS('PPA 사업(C)'!$G:$G, AA$2, 'PPA 사업(C)'!$Q:$Q, $J14, 'PPA 사업(C)'!$C:$C, $L$1)
  + COUNTIFS('리스사업(D)'!$G:$G, AA$2, '리스사업(D)'!$Q:$Q, $J14, '리스사업(D)'!$C:$C, $L$1)
  + COUNTIFS('임대사업(E)'!$G:$G, AA$2, '임대사업(E)'!$Q:$Q, $J14, '임대사업(E)'!$C:$C, $L$1)
  + COUNTIFS('환경부사업(F)'!$G:$G, AA$2, '환경부사업(F)'!$Q:$Q, $J14, '환경부사업(F)'!$C:$C, $L$1)
  + COUNTIFS('프로젝트(G)'!$G:$G, AA$2, '프로젝트(G)'!$Q:$Q, $J14, '프로젝트(G)'!$C:$C, $L$1)
  + COUNTIFS('협력사 EPC(H)'!$G:$G, AA$2, '협력사 EPC(H)'!$Q:$Q, $J14, '협력사 EPC(H)'!$C:$C, $L$1)
  + COUNTIFS('기타(Z)'!$G:$G, AA$2, '기타(Z)'!$Q:$Q, $J14, '기타(Z)'!$C:$C, $L$1)
)</f>
        <v/>
      </c>
      <c r="AC14" s="386">
        <f>IF(
  SUM(
    SUMIFS('발전사업(A)'!$I:$I,'발전사업(A)'!$G:$G,AC$2,'발전사업(A)'!$Q:$Q,$J14,'발전사업(A)'!$C:$C,$L$1),
    SUMIFS('자가소비(B)'!$I:$I,'자가소비(B)'!$G:$G,AC$2,'자가소비(B)'!$Q:$Q,$J14,'자가소비(B)'!$C:$C,$L$1),
    SUMIFS('PPA 사업(C)'!$I:$I,'PPA 사업(C)'!$G:$G,AC$2,'PPA 사업(C)'!$Q:$Q,$J14,'PPA 사업(C)'!$C:$C,$L$1),
    SUMIFS('리스사업(D)'!$I:$I,'리스사업(D)'!$G:$G,AC$2,'리스사업(D)'!$Q:$Q,$J14,'리스사업(D)'!$C:$C,$L$1),
    SUMIFS('임대사업(E)'!$I:$I,'임대사업(E)'!$G:$G,AC$2,'임대사업(E)'!$Q:$Q,$J14,'임대사업(E)'!$C:$C,$L$1),
    SUMIFS('환경부사업(F)'!$I:$I,'환경부사업(F)'!$G:$G,AC$2,'환경부사업(F)'!$Q:$Q,$J14,'환경부사업(F)'!$C:$C,$L$1),
    SUMIFS('프로젝트(G)'!$I:$I,'프로젝트(G)'!$G:$G,AC$2,'프로젝트(G)'!$Q:$Q,$J14,'프로젝트(G)'!$C:$C,$L$1),
    SUMIFS('협력사 EPC(H)'!$I:$I,'협력사 EPC(H)'!$G:$G,AC$2,'협력사 EPC(H)'!$Q:$Q,$J14,'협력사 EPC(H)'!$C:$C,$L$1),
    SUMIFS('기타(Z)'!$I:$I,'기타(Z)'!$G:$G,AC$2,'기타(Z)'!$Q:$Q,$J14,'기타(Z)'!$C:$C,$L$1)
  )=0,
  "",
  SUM(
    SUMIFS('발전사업(A)'!$I:$I,'발전사업(A)'!$G:$G,AC$2,'발전사업(A)'!$Q:$Q,$J14,'발전사업(A)'!$C:$C,$L$1),
    SUMIFS('자가소비(B)'!$I:$I,'자가소비(B)'!$G:$G,AC$2,'자가소비(B)'!$Q:$Q,$J14,'자가소비(B)'!$C:$C,$L$1),
    SUMIFS('PPA 사업(C)'!$I:$I,'PPA 사업(C)'!$G:$G,AC$2,'PPA 사업(C)'!$Q:$Q,$J14,'PPA 사업(C)'!$C:$C,$L$1),
    SUMIFS('리스사업(D)'!$I:$I,'리스사업(D)'!$G:$G,AC$2,'리스사업(D)'!$Q:$Q,$J14,'리스사업(D)'!$C:$C,$L$1),
    SUMIFS('임대사업(E)'!$I:$I,'임대사업(E)'!$G:$G,AC$2,'임대사업(E)'!$Q:$Q,$J14,'임대사업(E)'!$C:$C,$L$1),
    SUMIFS('환경부사업(F)'!$I:$I,'환경부사업(F)'!$G:$G,AC$2,'환경부사업(F)'!$Q:$Q,$J14,'환경부사업(F)'!$C:$C,$L$1),
    SUMIFS('프로젝트(G)'!$I:$I,'프로젝트(G)'!$G:$G,AC$2,'프로젝트(G)'!$Q:$Q,$J14,'프로젝트(G)'!$C:$C,$L$1),
    SUMIFS('협력사 EPC(H)'!$I:$I,'협력사 EPC(H)'!$G:$G,AC$2,'협력사 EPC(H)'!$Q:$Q,$J14,'협력사 EPC(H)'!$C:$C,$L$1),
    SUMIFS('기타(Z)'!$I:$I,'기타(Z)'!$G:$G,AC$2,'기타(Z)'!$Q:$Q,$J14,'기타(Z)'!$C:$C,$L$1)
  )
)</f>
        <v>67.84</v>
      </c>
      <c r="AD14" s="387">
        <f>IF(
  SUM(
    COUNTIFS('발전사업(A)'!$G:$G, AC$2, '발전사업(A)'!$Q:$Q, $J14, '발전사업(A)'!$C:$C, $L$1),
    COUNTIFS('자가소비(B)'!$G:$G, AC$2, '자가소비(B)'!$Q:$Q, $J14, '자가소비(B)'!$C:$C, $L$1),
    COUNTIFS('PPA 사업(C)'!$G:$G, AC$2, 'PPA 사업(C)'!$Q:$Q, $J14, 'PPA 사업(C)'!$C:$C, $L$1),
    COUNTIFS('리스사업(D)'!$G:$G, AC$2, '리스사업(D)'!$Q:$Q, $J14, '리스사업(D)'!$C:$C, $L$1),
    COUNTIFS('임대사업(E)'!$G:$G, AC$2, '임대사업(E)'!$Q:$Q, $J14, '임대사업(E)'!$C:$C, $L$1),
    COUNTIFS('환경부사업(F)'!$G:$G, AC$2, '환경부사업(F)'!$Q:$Q, $J14, '환경부사업(F)'!$C:$C, $L$1),
    COUNTIFS('프로젝트(G)'!$G:$G, AC$2, '프로젝트(G)'!$Q:$Q, $J14, '프로젝트(G)'!$C:$C, $L$1),
    COUNTIFS('협력사 EPC(H)'!$G:$G, AC$2, '협력사 EPC(H)'!$Q:$Q, $J14, '협력사 EPC(H)'!$C:$C, $L$1),
    COUNTIFS('기타(Z)'!$G:$G, AC$2, '기타(Z)'!$Q:$Q, $J14, '기타(Z)'!$C:$C, $L$1)
  ) = 0,
  "",
  COUNTIFS('발전사업(A)'!$G:$G, AC$2, '발전사업(A)'!$Q:$Q, $J14, '발전사업(A)'!$C:$C, $L$1)
  + COUNTIFS('자가소비(B)'!$G:$G, AC$2, '자가소비(B)'!$Q:$Q, $J14, '자가소비(B)'!$C:$C, $L$1)
  + COUNTIFS('PPA 사업(C)'!$G:$G, AC$2, 'PPA 사업(C)'!$Q:$Q, $J14, 'PPA 사업(C)'!$C:$C, $L$1)
  + COUNTIFS('리스사업(D)'!$G:$G, AC$2, '리스사업(D)'!$Q:$Q, $J14, '리스사업(D)'!$C:$C, $L$1)
  + COUNTIFS('임대사업(E)'!$G:$G, AC$2, '임대사업(E)'!$Q:$Q, $J14, '임대사업(E)'!$C:$C, $L$1)
  + COUNTIFS('환경부사업(F)'!$G:$G, AC$2, '환경부사업(F)'!$Q:$Q, $J14, '환경부사업(F)'!$C:$C, $L$1)
  + COUNTIFS('프로젝트(G)'!$G:$G, AC$2, '프로젝트(G)'!$Q:$Q, $J14, '프로젝트(G)'!$C:$C, $L$1)
  + COUNTIFS('협력사 EPC(H)'!$G:$G, AC$2, '협력사 EPC(H)'!$Q:$Q, $J14, '협력사 EPC(H)'!$C:$C, $L$1)
  + COUNTIFS('기타(Z)'!$G:$G, AC$2, '기타(Z)'!$Q:$Q, $J14, '기타(Z)'!$C:$C, $L$1)
)</f>
        <v>1</v>
      </c>
      <c r="AE14" s="386">
        <f>IF(
  SUM(
    SUMIFS('발전사업(A)'!$I:$I,'발전사업(A)'!$G:$G,AE$2,'발전사업(A)'!$Q:$Q,$J14,'발전사업(A)'!$C:$C,$L$1),
    SUMIFS('자가소비(B)'!$I:$I,'자가소비(B)'!$G:$G,AE$2,'자가소비(B)'!$Q:$Q,$J14,'자가소비(B)'!$C:$C,$L$1),
    SUMIFS('PPA 사업(C)'!$I:$I,'PPA 사업(C)'!$G:$G,AE$2,'PPA 사업(C)'!$Q:$Q,$J14,'PPA 사업(C)'!$C:$C,$L$1),
    SUMIFS('리스사업(D)'!$I:$I,'리스사업(D)'!$G:$G,AE$2,'리스사업(D)'!$Q:$Q,$J14,'리스사업(D)'!$C:$C,$L$1),
    SUMIFS('임대사업(E)'!$I:$I,'임대사업(E)'!$G:$G,AE$2,'임대사업(E)'!$Q:$Q,$J14,'임대사업(E)'!$C:$C,$L$1),
    SUMIFS('환경부사업(F)'!$I:$I,'환경부사업(F)'!$G:$G,AE$2,'환경부사업(F)'!$Q:$Q,$J14,'환경부사업(F)'!$C:$C,$L$1),
    SUMIFS('프로젝트(G)'!$I:$I,'프로젝트(G)'!$G:$G,AE$2,'프로젝트(G)'!$Q:$Q,$J14,'프로젝트(G)'!$C:$C,$L$1),
    SUMIFS('협력사 EPC(H)'!$I:$I,'협력사 EPC(H)'!$G:$G,AE$2,'협력사 EPC(H)'!$Q:$Q,$J14,'협력사 EPC(H)'!$C:$C,$L$1),
    SUMIFS('기타(Z)'!$I:$I,'기타(Z)'!$G:$G,AE$2,'기타(Z)'!$Q:$Q,$J14,'기타(Z)'!$C:$C,$L$1)
  )=0,
  "",
  SUM(
    SUMIFS('발전사업(A)'!$I:$I,'발전사업(A)'!$G:$G,AE$2,'발전사업(A)'!$Q:$Q,$J14,'발전사업(A)'!$C:$C,$L$1),
    SUMIFS('자가소비(B)'!$I:$I,'자가소비(B)'!$G:$G,AE$2,'자가소비(B)'!$Q:$Q,$J14,'자가소비(B)'!$C:$C,$L$1),
    SUMIFS('PPA 사업(C)'!$I:$I,'PPA 사업(C)'!$G:$G,AE$2,'PPA 사업(C)'!$Q:$Q,$J14,'PPA 사업(C)'!$C:$C,$L$1),
    SUMIFS('리스사업(D)'!$I:$I,'리스사업(D)'!$G:$G,AE$2,'리스사업(D)'!$Q:$Q,$J14,'리스사업(D)'!$C:$C,$L$1),
    SUMIFS('임대사업(E)'!$I:$I,'임대사업(E)'!$G:$G,AE$2,'임대사업(E)'!$Q:$Q,$J14,'임대사업(E)'!$C:$C,$L$1),
    SUMIFS('환경부사업(F)'!$I:$I,'환경부사업(F)'!$G:$G,AE$2,'환경부사업(F)'!$Q:$Q,$J14,'환경부사업(F)'!$C:$C,$L$1),
    SUMIFS('프로젝트(G)'!$I:$I,'프로젝트(G)'!$G:$G,AE$2,'프로젝트(G)'!$Q:$Q,$J14,'프로젝트(G)'!$C:$C,$L$1),
    SUMIFS('협력사 EPC(H)'!$I:$I,'협력사 EPC(H)'!$G:$G,AE$2,'협력사 EPC(H)'!$Q:$Q,$J14,'협력사 EPC(H)'!$C:$C,$L$1),
    SUMIFS('기타(Z)'!$I:$I,'기타(Z)'!$G:$G,AE$2,'기타(Z)'!$Q:$Q,$J14,'기타(Z)'!$C:$C,$L$1)
  )
)</f>
        <v>1411.84</v>
      </c>
      <c r="AF14" s="387">
        <f>IF(
  SUM(
    COUNTIFS('발전사업(A)'!$G:$G, AE$2, '발전사업(A)'!$Q:$Q, $J14, '발전사업(A)'!$C:$C, $L$1),
    COUNTIFS('자가소비(B)'!$G:$G, AE$2, '자가소비(B)'!$Q:$Q, $J14, '자가소비(B)'!$C:$C, $L$1),
    COUNTIFS('PPA 사업(C)'!$G:$G, AE$2, 'PPA 사업(C)'!$Q:$Q, $J14, 'PPA 사업(C)'!$C:$C, $L$1),
    COUNTIFS('리스사업(D)'!$G:$G, AE$2, '리스사업(D)'!$Q:$Q, $J14, '리스사업(D)'!$C:$C, $L$1),
    COUNTIFS('임대사업(E)'!$G:$G, AE$2, '임대사업(E)'!$Q:$Q, $J14, '임대사업(E)'!$C:$C, $L$1),
    COUNTIFS('환경부사업(F)'!$G:$G, AE$2, '환경부사업(F)'!$Q:$Q, $J14, '환경부사업(F)'!$C:$C, $L$1),
    COUNTIFS('프로젝트(G)'!$G:$G, AE$2, '프로젝트(G)'!$Q:$Q, $J14, '프로젝트(G)'!$C:$C, $L$1),
    COUNTIFS('협력사 EPC(H)'!$G:$G, AE$2, '협력사 EPC(H)'!$Q:$Q, $J14, '협력사 EPC(H)'!$C:$C, $L$1),
    COUNTIFS('기타(Z)'!$G:$G, AE$2, '기타(Z)'!$Q:$Q, $J14, '기타(Z)'!$C:$C, $L$1)
  ) = 0,
  "",
  COUNTIFS('발전사업(A)'!$G:$G, AE$2, '발전사업(A)'!$Q:$Q, $J14, '발전사업(A)'!$C:$C, $L$1)
  + COUNTIFS('자가소비(B)'!$G:$G, AE$2, '자가소비(B)'!$Q:$Q, $J14, '자가소비(B)'!$C:$C, $L$1)
  + COUNTIFS('PPA 사업(C)'!$G:$G, AE$2, 'PPA 사업(C)'!$Q:$Q, $J14, 'PPA 사업(C)'!$C:$C, $L$1)
  + COUNTIFS('리스사업(D)'!$G:$G, AE$2, '리스사업(D)'!$Q:$Q, $J14, '리스사업(D)'!$C:$C, $L$1)
  + COUNTIFS('임대사업(E)'!$G:$G, AE$2, '임대사업(E)'!$Q:$Q, $J14, '임대사업(E)'!$C:$C, $L$1)
  + COUNTIFS('환경부사업(F)'!$G:$G, AE$2, '환경부사업(F)'!$Q:$Q, $J14, '환경부사업(F)'!$C:$C, $L$1)
  + COUNTIFS('프로젝트(G)'!$G:$G, AE$2, '프로젝트(G)'!$Q:$Q, $J14, '프로젝트(G)'!$C:$C, $L$1)
  + COUNTIFS('협력사 EPC(H)'!$G:$G, AE$2, '협력사 EPC(H)'!$Q:$Q, $J14, '협력사 EPC(H)'!$C:$C, $L$1)
  + COUNTIFS('기타(Z)'!$G:$G, AE$2, '기타(Z)'!$Q:$Q, $J14, '기타(Z)'!$C:$C, $L$1)
)</f>
        <v>4</v>
      </c>
      <c r="AG14" s="386">
        <f>IF(
  SUM(
    SUMIFS('발전사업(A)'!$I:$I,'발전사업(A)'!$G:$G,AG$2,'발전사업(A)'!$Q:$Q,$J14,'발전사업(A)'!$C:$C,$L$1),
    SUMIFS('자가소비(B)'!$I:$I,'자가소비(B)'!$G:$G,AG$2,'자가소비(B)'!$Q:$Q,$J14,'자가소비(B)'!$C:$C,$L$1),
    SUMIFS('PPA 사업(C)'!$I:$I,'PPA 사업(C)'!$G:$G,AG$2,'PPA 사업(C)'!$Q:$Q,$J14,'PPA 사업(C)'!$C:$C,$L$1),
    SUMIFS('리스사업(D)'!$I:$I,'리스사업(D)'!$G:$G,AG$2,'리스사업(D)'!$Q:$Q,$J14,'리스사업(D)'!$C:$C,$L$1),
    SUMIFS('임대사업(E)'!$I:$I,'임대사업(E)'!$G:$G,AG$2,'임대사업(E)'!$Q:$Q,$J14,'임대사업(E)'!$C:$C,$L$1),
    SUMIFS('환경부사업(F)'!$I:$I,'환경부사업(F)'!$G:$G,AG$2,'환경부사업(F)'!$Q:$Q,$J14,'환경부사업(F)'!$C:$C,$L$1),
    SUMIFS('프로젝트(G)'!$I:$I,'프로젝트(G)'!$G:$G,AG$2,'프로젝트(G)'!$Q:$Q,$J14,'프로젝트(G)'!$C:$C,$L$1),
    SUMIFS('협력사 EPC(H)'!$I:$I,'협력사 EPC(H)'!$G:$G,AG$2,'협력사 EPC(H)'!$Q:$Q,$J14,'협력사 EPC(H)'!$C:$C,$L$1),
    SUMIFS('기타(Z)'!$I:$I,'기타(Z)'!$G:$G,AG$2,'기타(Z)'!$Q:$Q,$J14,'기타(Z)'!$C:$C,$L$1)
  )=0,
  "",
  SUM(
    SUMIFS('발전사업(A)'!$I:$I,'발전사업(A)'!$G:$G,AG$2,'발전사업(A)'!$Q:$Q,$J14,'발전사업(A)'!$C:$C,$L$1),
    SUMIFS('자가소비(B)'!$I:$I,'자가소비(B)'!$G:$G,AG$2,'자가소비(B)'!$Q:$Q,$J14,'자가소비(B)'!$C:$C,$L$1),
    SUMIFS('PPA 사업(C)'!$I:$I,'PPA 사업(C)'!$G:$G,AG$2,'PPA 사업(C)'!$Q:$Q,$J14,'PPA 사업(C)'!$C:$C,$L$1),
    SUMIFS('리스사업(D)'!$I:$I,'리스사업(D)'!$G:$G,AG$2,'리스사업(D)'!$Q:$Q,$J14,'리스사업(D)'!$C:$C,$L$1),
    SUMIFS('임대사업(E)'!$I:$I,'임대사업(E)'!$G:$G,AG$2,'임대사업(E)'!$Q:$Q,$J14,'임대사업(E)'!$C:$C,$L$1),
    SUMIFS('환경부사업(F)'!$I:$I,'환경부사업(F)'!$G:$G,AG$2,'환경부사업(F)'!$Q:$Q,$J14,'환경부사업(F)'!$C:$C,$L$1),
    SUMIFS('프로젝트(G)'!$I:$I,'프로젝트(G)'!$G:$G,AG$2,'프로젝트(G)'!$Q:$Q,$J14,'프로젝트(G)'!$C:$C,$L$1),
    SUMIFS('협력사 EPC(H)'!$I:$I,'협력사 EPC(H)'!$G:$G,AG$2,'협력사 EPC(H)'!$Q:$Q,$J14,'협력사 EPC(H)'!$C:$C,$L$1),
    SUMIFS('기타(Z)'!$I:$I,'기타(Z)'!$G:$G,AG$2,'기타(Z)'!$Q:$Q,$J14,'기타(Z)'!$C:$C,$L$1)
  )
)</f>
        <v>1499.355</v>
      </c>
      <c r="AH14" s="387">
        <f>IF(
  SUM(
    COUNTIFS('발전사업(A)'!$G:$G, AG$2, '발전사업(A)'!$Q:$Q, $J14, '발전사업(A)'!$C:$C, $L$1),
    COUNTIFS('자가소비(B)'!$G:$G, AG$2, '자가소비(B)'!$Q:$Q, $J14, '자가소비(B)'!$C:$C, $L$1),
    COUNTIFS('PPA 사업(C)'!$G:$G, AG$2, 'PPA 사업(C)'!$Q:$Q, $J14, 'PPA 사업(C)'!$C:$C, $L$1),
    COUNTIFS('리스사업(D)'!$G:$G, AG$2, '리스사업(D)'!$Q:$Q, $J14, '리스사업(D)'!$C:$C, $L$1),
    COUNTIFS('임대사업(E)'!$G:$G, AG$2, '임대사업(E)'!$Q:$Q, $J14, '임대사업(E)'!$C:$C, $L$1),
    COUNTIFS('환경부사업(F)'!$G:$G, AG$2, '환경부사업(F)'!$Q:$Q, $J14, '환경부사업(F)'!$C:$C, $L$1),
    COUNTIFS('프로젝트(G)'!$G:$G, AG$2, '프로젝트(G)'!$Q:$Q, $J14, '프로젝트(G)'!$C:$C, $L$1),
    COUNTIFS('협력사 EPC(H)'!$G:$G, AG$2, '협력사 EPC(H)'!$Q:$Q, $J14, '협력사 EPC(H)'!$C:$C, $L$1),
    COUNTIFS('기타(Z)'!$G:$G, AG$2, '기타(Z)'!$Q:$Q, $J14, '기타(Z)'!$C:$C, $L$1)
  ) = 0,
  "",
  COUNTIFS('발전사업(A)'!$G:$G, AG$2, '발전사업(A)'!$Q:$Q, $J14, '발전사업(A)'!$C:$C, $L$1)
  + COUNTIFS('자가소비(B)'!$G:$G, AG$2, '자가소비(B)'!$Q:$Q, $J14, '자가소비(B)'!$C:$C, $L$1)
  + COUNTIFS('PPA 사업(C)'!$G:$G, AG$2, 'PPA 사업(C)'!$Q:$Q, $J14, 'PPA 사업(C)'!$C:$C, $L$1)
  + COUNTIFS('리스사업(D)'!$G:$G, AG$2, '리스사업(D)'!$Q:$Q, $J14, '리스사업(D)'!$C:$C, $L$1)
  + COUNTIFS('임대사업(E)'!$G:$G, AG$2, '임대사업(E)'!$Q:$Q, $J14, '임대사업(E)'!$C:$C, $L$1)
  + COUNTIFS('환경부사업(F)'!$G:$G, AG$2, '환경부사업(F)'!$Q:$Q, $J14, '환경부사업(F)'!$C:$C, $L$1)
  + COUNTIFS('프로젝트(G)'!$G:$G, AG$2, '프로젝트(G)'!$Q:$Q, $J14, '프로젝트(G)'!$C:$C, $L$1)
  + COUNTIFS('협력사 EPC(H)'!$G:$G, AG$2, '협력사 EPC(H)'!$Q:$Q, $J14, '협력사 EPC(H)'!$C:$C, $L$1)
  + COUNTIFS('기타(Z)'!$G:$G, AG$2, '기타(Z)'!$Q:$Q, $J14, '기타(Z)'!$C:$C, $L$1)
)</f>
        <v>1</v>
      </c>
      <c r="AI14" s="386" t="str">
        <f>IF(
  SUM(
    SUMIFS('발전사업(A)'!$I:$I,'발전사업(A)'!$G:$G,AI$2,'발전사업(A)'!$Q:$Q,$J14,'발전사업(A)'!$C:$C,$L$1),
    SUMIFS('자가소비(B)'!$I:$I,'자가소비(B)'!$G:$G,AI$2,'자가소비(B)'!$Q:$Q,$J14,'자가소비(B)'!$C:$C,$L$1),
    SUMIFS('PPA 사업(C)'!$I:$I,'PPA 사업(C)'!$G:$G,AI$2,'PPA 사업(C)'!$Q:$Q,$J14,'PPA 사업(C)'!$C:$C,$L$1),
    SUMIFS('리스사업(D)'!$I:$I,'리스사업(D)'!$G:$G,AI$2,'리스사업(D)'!$Q:$Q,$J14,'리스사업(D)'!$C:$C,$L$1),
    SUMIFS('임대사업(E)'!$I:$I,'임대사업(E)'!$G:$G,AI$2,'임대사업(E)'!$Q:$Q,$J14,'임대사업(E)'!$C:$C,$L$1),
    SUMIFS('환경부사업(F)'!$I:$I,'환경부사업(F)'!$G:$G,AI$2,'환경부사업(F)'!$Q:$Q,$J14,'환경부사업(F)'!$C:$C,$L$1),
    SUMIFS('프로젝트(G)'!$I:$I,'프로젝트(G)'!$G:$G,AI$2,'프로젝트(G)'!$Q:$Q,$J14,'프로젝트(G)'!$C:$C,$L$1),
    SUMIFS('협력사 EPC(H)'!$I:$I,'협력사 EPC(H)'!$G:$G,AI$2,'협력사 EPC(H)'!$Q:$Q,$J14,'협력사 EPC(H)'!$C:$C,$L$1),
    SUMIFS('기타(Z)'!$I:$I,'기타(Z)'!$G:$G,AI$2,'기타(Z)'!$Q:$Q,$J14,'기타(Z)'!$C:$C,$L$1)
  )=0,
  "",
  SUM(
    SUMIFS('발전사업(A)'!$I:$I,'발전사업(A)'!$G:$G,AI$2,'발전사업(A)'!$Q:$Q,$J14,'발전사업(A)'!$C:$C,$L$1),
    SUMIFS('자가소비(B)'!$I:$I,'자가소비(B)'!$G:$G,AI$2,'자가소비(B)'!$Q:$Q,$J14,'자가소비(B)'!$C:$C,$L$1),
    SUMIFS('PPA 사업(C)'!$I:$I,'PPA 사업(C)'!$G:$G,AI$2,'PPA 사업(C)'!$Q:$Q,$J14,'PPA 사업(C)'!$C:$C,$L$1),
    SUMIFS('리스사업(D)'!$I:$I,'리스사업(D)'!$G:$G,AI$2,'리스사업(D)'!$Q:$Q,$J14,'리스사업(D)'!$C:$C,$L$1),
    SUMIFS('임대사업(E)'!$I:$I,'임대사업(E)'!$G:$G,AI$2,'임대사업(E)'!$Q:$Q,$J14,'임대사업(E)'!$C:$C,$L$1),
    SUMIFS('환경부사업(F)'!$I:$I,'환경부사업(F)'!$G:$G,AI$2,'환경부사업(F)'!$Q:$Q,$J14,'환경부사업(F)'!$C:$C,$L$1),
    SUMIFS('프로젝트(G)'!$I:$I,'프로젝트(G)'!$G:$G,AI$2,'프로젝트(G)'!$Q:$Q,$J14,'프로젝트(G)'!$C:$C,$L$1),
    SUMIFS('협력사 EPC(H)'!$I:$I,'협력사 EPC(H)'!$G:$G,AI$2,'협력사 EPC(H)'!$Q:$Q,$J14,'협력사 EPC(H)'!$C:$C,$L$1),
    SUMIFS('기타(Z)'!$I:$I,'기타(Z)'!$G:$G,AI$2,'기타(Z)'!$Q:$Q,$J14,'기타(Z)'!$C:$C,$L$1)
  )
)</f>
        <v/>
      </c>
      <c r="AJ14" s="385" t="str">
        <f>IF(
  SUM(
    COUNTIFS('발전사업(A)'!$G:$G, AI$2, '발전사업(A)'!$Q:$Q, $J14, '발전사업(A)'!$C:$C, $L$1),
    COUNTIFS('자가소비(B)'!$G:$G, AI$2, '자가소비(B)'!$Q:$Q, $J14, '자가소비(B)'!$C:$C, $L$1),
    COUNTIFS('PPA 사업(C)'!$G:$G, AI$2, 'PPA 사업(C)'!$Q:$Q, $J14, 'PPA 사업(C)'!$C:$C, $L$1),
    COUNTIFS('리스사업(D)'!$G:$G, AI$2, '리스사업(D)'!$Q:$Q, $J14, '리스사업(D)'!$C:$C, $L$1),
    COUNTIFS('임대사업(E)'!$G:$G, AI$2, '임대사업(E)'!$Q:$Q, $J14, '임대사업(E)'!$C:$C, $L$1),
    COUNTIFS('환경부사업(F)'!$G:$G, AI$2, '환경부사업(F)'!$Q:$Q, $J14, '환경부사업(F)'!$C:$C, $L$1),
    COUNTIFS('프로젝트(G)'!$G:$G, AI$2, '프로젝트(G)'!$Q:$Q, $J14, '프로젝트(G)'!$C:$C, $L$1),
    COUNTIFS('협력사 EPC(H)'!$G:$G, AI$2, '협력사 EPC(H)'!$Q:$Q, $J14, '협력사 EPC(H)'!$C:$C, $L$1),
    COUNTIFS('기타(Z)'!$G:$G, AI$2, '기타(Z)'!$Q:$Q, $J14, '기타(Z)'!$C:$C, $L$1)
  ) = 0,
  "",
  COUNTIFS('발전사업(A)'!$G:$G, AI$2, '발전사업(A)'!$Q:$Q, $J14, '발전사업(A)'!$C:$C, $L$1)
  + COUNTIFS('자가소비(B)'!$G:$G, AI$2, '자가소비(B)'!$Q:$Q, $J14, '자가소비(B)'!$C:$C, $L$1)
  + COUNTIFS('PPA 사업(C)'!$G:$G, AI$2, 'PPA 사업(C)'!$Q:$Q, $J14, 'PPA 사업(C)'!$C:$C, $L$1)
  + COUNTIFS('리스사업(D)'!$G:$G, AI$2, '리스사업(D)'!$Q:$Q, $J14, '리스사업(D)'!$C:$C, $L$1)
  + COUNTIFS('임대사업(E)'!$G:$G, AI$2, '임대사업(E)'!$Q:$Q, $J14, '임대사업(E)'!$C:$C, $L$1)
  + COUNTIFS('환경부사업(F)'!$G:$G, AI$2, '환경부사업(F)'!$Q:$Q, $J14, '환경부사업(F)'!$C:$C, $L$1)
  + COUNTIFS('프로젝트(G)'!$G:$G, AI$2, '프로젝트(G)'!$Q:$Q, $J14, '프로젝트(G)'!$C:$C, $L$1)
  + COUNTIFS('협력사 EPC(H)'!$G:$G, AI$2, '협력사 EPC(H)'!$Q:$Q, $J14, '협력사 EPC(H)'!$C:$C, $L$1)
  + COUNTIFS('기타(Z)'!$G:$G, AI$2, '기타(Z)'!$Q:$Q, $J14, '기타(Z)'!$C:$C, $L$1)
)</f>
        <v/>
      </c>
    </row>
    <row r="15" spans="2:36" ht="17.25" x14ac:dyDescent="0.25">
      <c r="B15" s="282">
        <v>1</v>
      </c>
      <c r="C15" s="283" t="s">
        <v>1064</v>
      </c>
      <c r="D15" s="283" t="s">
        <v>1063</v>
      </c>
      <c r="E15" s="284" t="s">
        <v>1065</v>
      </c>
      <c r="F15" s="284" t="s">
        <v>1066</v>
      </c>
      <c r="G15" s="285" t="s">
        <v>1067</v>
      </c>
      <c r="H15" s="285" t="s">
        <v>1068</v>
      </c>
      <c r="J15" s="390" t="s">
        <v>2155</v>
      </c>
      <c r="K15" s="374">
        <f t="shared" si="7"/>
        <v>362.24</v>
      </c>
      <c r="L15" s="368">
        <f t="shared" si="8"/>
        <v>1</v>
      </c>
      <c r="M15" s="386" t="str">
        <f>IF(
  SUM(
    SUMIFS('발전사업(A)'!$I:$I,'발전사업(A)'!$G:$G,M$2,'발전사업(A)'!$Q:$Q,$J15,'발전사업(A)'!$C:$C,$L$1),
    SUMIFS('자가소비(B)'!$I:$I,'자가소비(B)'!$G:$G,M$2,'자가소비(B)'!$Q:$Q,$J15,'자가소비(B)'!$C:$C,$L$1),
    SUMIFS('PPA 사업(C)'!$I:$I,'PPA 사업(C)'!$G:$G,M$2,'PPA 사업(C)'!$Q:$Q,$J15,'PPA 사업(C)'!$C:$C,$L$1),
    SUMIFS('리스사업(D)'!$I:$I,'리스사업(D)'!$G:$G,M$2,'리스사업(D)'!$Q:$Q,$J15,'리스사업(D)'!$C:$C,$L$1),
    SUMIFS('임대사업(E)'!$I:$I,'임대사업(E)'!$G:$G,M$2,'임대사업(E)'!$Q:$Q,$J15,'임대사업(E)'!$C:$C,$L$1),
    SUMIFS('환경부사업(F)'!$I:$I,'환경부사업(F)'!$G:$G,M$2,'환경부사업(F)'!$Q:$Q,$J15,'환경부사업(F)'!$C:$C,$L$1),
    SUMIFS('프로젝트(G)'!$I:$I,'프로젝트(G)'!$G:$G,M$2,'프로젝트(G)'!$Q:$Q,$J15,'프로젝트(G)'!$C:$C,$L$1),
    SUMIFS('협력사 EPC(H)'!$I:$I,'협력사 EPC(H)'!$G:$G,M$2,'협력사 EPC(H)'!$Q:$Q,$J15,'협력사 EPC(H)'!$C:$C,$L$1),
    SUMIFS('기타(Z)'!$I:$I,'기타(Z)'!$G:$G,M$2,'기타(Z)'!$Q:$Q,$J15,'기타(Z)'!$C:$C,$L$1)
  )=0,
  "",
  SUM(
    SUMIFS('발전사업(A)'!$I:$I,'발전사업(A)'!$G:$G,M$2,'발전사업(A)'!$Q:$Q,$J15,'발전사업(A)'!$C:$C,$L$1),
    SUMIFS('자가소비(B)'!$I:$I,'자가소비(B)'!$G:$G,M$2,'자가소비(B)'!$Q:$Q,$J15,'자가소비(B)'!$C:$C,$L$1),
    SUMIFS('PPA 사업(C)'!$I:$I,'PPA 사업(C)'!$G:$G,M$2,'PPA 사업(C)'!$Q:$Q,$J15,'PPA 사업(C)'!$C:$C,$L$1),
    SUMIFS('리스사업(D)'!$I:$I,'리스사업(D)'!$G:$G,M$2,'리스사업(D)'!$Q:$Q,$J15,'리스사업(D)'!$C:$C,$L$1),
    SUMIFS('임대사업(E)'!$I:$I,'임대사업(E)'!$G:$G,M$2,'임대사업(E)'!$Q:$Q,$J15,'임대사업(E)'!$C:$C,$L$1),
    SUMIFS('환경부사업(F)'!$I:$I,'환경부사업(F)'!$G:$G,M$2,'환경부사업(F)'!$Q:$Q,$J15,'환경부사업(F)'!$C:$C,$L$1),
    SUMIFS('프로젝트(G)'!$I:$I,'프로젝트(G)'!$G:$G,M$2,'프로젝트(G)'!$Q:$Q,$J15,'프로젝트(G)'!$C:$C,$L$1),
    SUMIFS('협력사 EPC(H)'!$I:$I,'협력사 EPC(H)'!$G:$G,M$2,'협력사 EPC(H)'!$Q:$Q,$J15,'협력사 EPC(H)'!$C:$C,$L$1),
    SUMIFS('기타(Z)'!$I:$I,'기타(Z)'!$G:$G,M$2,'기타(Z)'!$Q:$Q,$J15,'기타(Z)'!$C:$C,$L$1)
  )
)</f>
        <v/>
      </c>
      <c r="N15" s="387" t="str">
        <f>IF(
  SUM(
    COUNTIFS('발전사업(A)'!$G:$G, M$2, '발전사업(A)'!$Q:$Q, $J15, '발전사업(A)'!$C:$C, $L$1),
    COUNTIFS('자가소비(B)'!$G:$G, M$2, '자가소비(B)'!$Q:$Q, $J15, '자가소비(B)'!$C:$C, $L$1),
    COUNTIFS('PPA 사업(C)'!$G:$G, M$2, 'PPA 사업(C)'!$Q:$Q, $J15, 'PPA 사업(C)'!$C:$C, $L$1),
    COUNTIFS('리스사업(D)'!$G:$G, M$2, '리스사업(D)'!$Q:$Q, $J15, '리스사업(D)'!$C:$C, $L$1),
    COUNTIFS('임대사업(E)'!$G:$G, M$2, '임대사업(E)'!$Q:$Q, $J15, '임대사업(E)'!$C:$C, $L$1),
    COUNTIFS('환경부사업(F)'!$G:$G, M$2, '환경부사업(F)'!$Q:$Q, $J15, '환경부사업(F)'!$C:$C, $L$1),
    COUNTIFS('프로젝트(G)'!$G:$G, M$2, '프로젝트(G)'!$Q:$Q, $J15, '프로젝트(G)'!$C:$C, $L$1),
    COUNTIFS('협력사 EPC(H)'!$G:$G, M$2, '협력사 EPC(H)'!$Q:$Q, $J15, '협력사 EPC(H)'!$C:$C, $L$1),
    COUNTIFS('기타(Z)'!$G:$G, M$2, '기타(Z)'!$Q:$Q, $J15, '기타(Z)'!$C:$C, $L$1)
  ) = 0,
  "",
  COUNTIFS('발전사업(A)'!$G:$G, M$2, '발전사업(A)'!$Q:$Q, $J15, '발전사업(A)'!$C:$C, $L$1)
  + COUNTIFS('자가소비(B)'!$G:$G, M$2, '자가소비(B)'!$Q:$Q, $J15, '자가소비(B)'!$C:$C, $L$1)
  + COUNTIFS('PPA 사업(C)'!$G:$G, M$2, 'PPA 사업(C)'!$Q:$Q, $J15, 'PPA 사업(C)'!$C:$C, $L$1)
  + COUNTIFS('리스사업(D)'!$G:$G, M$2, '리스사업(D)'!$Q:$Q, $J15, '리스사업(D)'!$C:$C, $L$1)
  + COUNTIFS('임대사업(E)'!$G:$G, M$2, '임대사업(E)'!$Q:$Q, $J15, '임대사업(E)'!$C:$C, $L$1)
  + COUNTIFS('환경부사업(F)'!$G:$G, M$2, '환경부사업(F)'!$Q:$Q, $J15, '환경부사업(F)'!$C:$C, $L$1)
  + COUNTIFS('프로젝트(G)'!$G:$G, M$2, '프로젝트(G)'!$Q:$Q, $J15, '프로젝트(G)'!$C:$C, $L$1)
  + COUNTIFS('협력사 EPC(H)'!$G:$G, M$2, '협력사 EPC(H)'!$Q:$Q, $J15, '협력사 EPC(H)'!$C:$C, $L$1)
  + COUNTIFS('기타(Z)'!$G:$G, M$2, '기타(Z)'!$Q:$Q, $J15, '기타(Z)'!$C:$C, $L$1)
)</f>
        <v/>
      </c>
      <c r="O15" s="386" t="str">
        <f>IF(
  SUM(
    SUMIFS('발전사업(A)'!$I:$I,'발전사업(A)'!$G:$G,O$2,'발전사업(A)'!$Q:$Q,$J15,'발전사업(A)'!$C:$C,$L$1),
    SUMIFS('자가소비(B)'!$I:$I,'자가소비(B)'!$G:$G,O$2,'자가소비(B)'!$Q:$Q,$J15,'자가소비(B)'!$C:$C,$L$1),
    SUMIFS('PPA 사업(C)'!$I:$I,'PPA 사업(C)'!$G:$G,O$2,'PPA 사업(C)'!$Q:$Q,$J15,'PPA 사업(C)'!$C:$C,$L$1),
    SUMIFS('리스사업(D)'!$I:$I,'리스사업(D)'!$G:$G,O$2,'리스사업(D)'!$Q:$Q,$J15,'리스사업(D)'!$C:$C,$L$1),
    SUMIFS('임대사업(E)'!$I:$I,'임대사업(E)'!$G:$G,O$2,'임대사업(E)'!$Q:$Q,$J15,'임대사업(E)'!$C:$C,$L$1),
    SUMIFS('환경부사업(F)'!$I:$I,'환경부사업(F)'!$G:$G,O$2,'환경부사업(F)'!$Q:$Q,$J15,'환경부사업(F)'!$C:$C,$L$1),
    SUMIFS('프로젝트(G)'!$I:$I,'프로젝트(G)'!$G:$G,O$2,'프로젝트(G)'!$Q:$Q,$J15,'프로젝트(G)'!$C:$C,$L$1),
    SUMIFS('협력사 EPC(H)'!$I:$I,'협력사 EPC(H)'!$G:$G,O$2,'협력사 EPC(H)'!$Q:$Q,$J15,'협력사 EPC(H)'!$C:$C,$L$1),
    SUMIFS('기타(Z)'!$I:$I,'기타(Z)'!$G:$G,O$2,'기타(Z)'!$Q:$Q,$J15,'기타(Z)'!$C:$C,$L$1)
  )=0,
  "",
  SUM(
    SUMIFS('발전사업(A)'!$I:$I,'발전사업(A)'!$G:$G,O$2,'발전사업(A)'!$Q:$Q,$J15,'발전사업(A)'!$C:$C,$L$1),
    SUMIFS('자가소비(B)'!$I:$I,'자가소비(B)'!$G:$G,O$2,'자가소비(B)'!$Q:$Q,$J15,'자가소비(B)'!$C:$C,$L$1),
    SUMIFS('PPA 사업(C)'!$I:$I,'PPA 사업(C)'!$G:$G,O$2,'PPA 사업(C)'!$Q:$Q,$J15,'PPA 사업(C)'!$C:$C,$L$1),
    SUMIFS('리스사업(D)'!$I:$I,'리스사업(D)'!$G:$G,O$2,'리스사업(D)'!$Q:$Q,$J15,'리스사업(D)'!$C:$C,$L$1),
    SUMIFS('임대사업(E)'!$I:$I,'임대사업(E)'!$G:$G,O$2,'임대사업(E)'!$Q:$Q,$J15,'임대사업(E)'!$C:$C,$L$1),
    SUMIFS('환경부사업(F)'!$I:$I,'환경부사업(F)'!$G:$G,O$2,'환경부사업(F)'!$Q:$Q,$J15,'환경부사업(F)'!$C:$C,$L$1),
    SUMIFS('프로젝트(G)'!$I:$I,'프로젝트(G)'!$G:$G,O$2,'프로젝트(G)'!$Q:$Q,$J15,'프로젝트(G)'!$C:$C,$L$1),
    SUMIFS('협력사 EPC(H)'!$I:$I,'협력사 EPC(H)'!$G:$G,O$2,'협력사 EPC(H)'!$Q:$Q,$J15,'협력사 EPC(H)'!$C:$C,$L$1),
    SUMIFS('기타(Z)'!$I:$I,'기타(Z)'!$G:$G,O$2,'기타(Z)'!$Q:$Q,$J15,'기타(Z)'!$C:$C,$L$1)
  )
)</f>
        <v/>
      </c>
      <c r="P15" s="387" t="str">
        <f>IF(
  SUM(
    COUNTIFS('발전사업(A)'!$G:$G, O$2, '발전사업(A)'!$Q:$Q, $J15, '발전사업(A)'!$C:$C, $L$1),
    COUNTIFS('자가소비(B)'!$G:$G, O$2, '자가소비(B)'!$Q:$Q, $J15, '자가소비(B)'!$C:$C, $L$1),
    COUNTIFS('PPA 사업(C)'!$G:$G, O$2, 'PPA 사업(C)'!$Q:$Q, $J15, 'PPA 사업(C)'!$C:$C, $L$1),
    COUNTIFS('리스사업(D)'!$G:$G, O$2, '리스사업(D)'!$Q:$Q, $J15, '리스사업(D)'!$C:$C, $L$1),
    COUNTIFS('임대사업(E)'!$G:$G, O$2, '임대사업(E)'!$Q:$Q, $J15, '임대사업(E)'!$C:$C, $L$1),
    COUNTIFS('환경부사업(F)'!$G:$G, O$2, '환경부사업(F)'!$Q:$Q, $J15, '환경부사업(F)'!$C:$C, $L$1),
    COUNTIFS('프로젝트(G)'!$G:$G, O$2, '프로젝트(G)'!$Q:$Q, $J15, '프로젝트(G)'!$C:$C, $L$1),
    COUNTIFS('협력사 EPC(H)'!$G:$G, O$2, '협력사 EPC(H)'!$Q:$Q, $J15, '협력사 EPC(H)'!$C:$C, $L$1),
    COUNTIFS('기타(Z)'!$G:$G, O$2, '기타(Z)'!$Q:$Q, $J15, '기타(Z)'!$C:$C, $L$1)
  ) = 0,
  "",
  COUNTIFS('발전사업(A)'!$G:$G, O$2, '발전사업(A)'!$Q:$Q, $J15, '발전사업(A)'!$C:$C, $L$1)
  + COUNTIFS('자가소비(B)'!$G:$G, O$2, '자가소비(B)'!$Q:$Q, $J15, '자가소비(B)'!$C:$C, $L$1)
  + COUNTIFS('PPA 사업(C)'!$G:$G, O$2, 'PPA 사업(C)'!$Q:$Q, $J15, 'PPA 사업(C)'!$C:$C, $L$1)
  + COUNTIFS('리스사업(D)'!$G:$G, O$2, '리스사업(D)'!$Q:$Q, $J15, '리스사업(D)'!$C:$C, $L$1)
  + COUNTIFS('임대사업(E)'!$G:$G, O$2, '임대사업(E)'!$Q:$Q, $J15, '임대사업(E)'!$C:$C, $L$1)
  + COUNTIFS('환경부사업(F)'!$G:$G, O$2, '환경부사업(F)'!$Q:$Q, $J15, '환경부사업(F)'!$C:$C, $L$1)
  + COUNTIFS('프로젝트(G)'!$G:$G, O$2, '프로젝트(G)'!$Q:$Q, $J15, '프로젝트(G)'!$C:$C, $L$1)
  + COUNTIFS('협력사 EPC(H)'!$G:$G, O$2, '협력사 EPC(H)'!$Q:$Q, $J15, '협력사 EPC(H)'!$C:$C, $L$1)
  + COUNTIFS('기타(Z)'!$G:$G, O$2, '기타(Z)'!$Q:$Q, $J15, '기타(Z)'!$C:$C, $L$1)
)</f>
        <v/>
      </c>
      <c r="Q15" s="386" t="str">
        <f>IF(
  SUM(
    SUMIFS('발전사업(A)'!$I:$I,'발전사업(A)'!$G:$G,Q$2,'발전사업(A)'!$Q:$Q,$J15,'발전사업(A)'!$C:$C,$L$1),
    SUMIFS('자가소비(B)'!$I:$I,'자가소비(B)'!$G:$G,Q$2,'자가소비(B)'!$Q:$Q,$J15,'자가소비(B)'!$C:$C,$L$1),
    SUMIFS('PPA 사업(C)'!$I:$I,'PPA 사업(C)'!$G:$G,Q$2,'PPA 사업(C)'!$Q:$Q,$J15,'PPA 사업(C)'!$C:$C,$L$1),
    SUMIFS('리스사업(D)'!$I:$I,'리스사업(D)'!$G:$G,Q$2,'리스사업(D)'!$Q:$Q,$J15,'리스사업(D)'!$C:$C,$L$1),
    SUMIFS('임대사업(E)'!$I:$I,'임대사업(E)'!$G:$G,Q$2,'임대사업(E)'!$Q:$Q,$J15,'임대사업(E)'!$C:$C,$L$1),
    SUMIFS('환경부사업(F)'!$I:$I,'환경부사업(F)'!$G:$G,Q$2,'환경부사업(F)'!$Q:$Q,$J15,'환경부사업(F)'!$C:$C,$L$1),
    SUMIFS('프로젝트(G)'!$I:$I,'프로젝트(G)'!$G:$G,Q$2,'프로젝트(G)'!$Q:$Q,$J15,'프로젝트(G)'!$C:$C,$L$1),
    SUMIFS('협력사 EPC(H)'!$I:$I,'협력사 EPC(H)'!$G:$G,Q$2,'협력사 EPC(H)'!$Q:$Q,$J15,'협력사 EPC(H)'!$C:$C,$L$1),
    SUMIFS('기타(Z)'!$I:$I,'기타(Z)'!$G:$G,Q$2,'기타(Z)'!$Q:$Q,$J15,'기타(Z)'!$C:$C,$L$1)
  )=0,
  "",
  SUM(
    SUMIFS('발전사업(A)'!$I:$I,'발전사업(A)'!$G:$G,Q$2,'발전사업(A)'!$Q:$Q,$J15,'발전사업(A)'!$C:$C,$L$1),
    SUMIFS('자가소비(B)'!$I:$I,'자가소비(B)'!$G:$G,Q$2,'자가소비(B)'!$Q:$Q,$J15,'자가소비(B)'!$C:$C,$L$1),
    SUMIFS('PPA 사업(C)'!$I:$I,'PPA 사업(C)'!$G:$G,Q$2,'PPA 사업(C)'!$Q:$Q,$J15,'PPA 사업(C)'!$C:$C,$L$1),
    SUMIFS('리스사업(D)'!$I:$I,'리스사업(D)'!$G:$G,Q$2,'리스사업(D)'!$Q:$Q,$J15,'리스사업(D)'!$C:$C,$L$1),
    SUMIFS('임대사업(E)'!$I:$I,'임대사업(E)'!$G:$G,Q$2,'임대사업(E)'!$Q:$Q,$J15,'임대사업(E)'!$C:$C,$L$1),
    SUMIFS('환경부사업(F)'!$I:$I,'환경부사업(F)'!$G:$G,Q$2,'환경부사업(F)'!$Q:$Q,$J15,'환경부사업(F)'!$C:$C,$L$1),
    SUMIFS('프로젝트(G)'!$I:$I,'프로젝트(G)'!$G:$G,Q$2,'프로젝트(G)'!$Q:$Q,$J15,'프로젝트(G)'!$C:$C,$L$1),
    SUMIFS('협력사 EPC(H)'!$I:$I,'협력사 EPC(H)'!$G:$G,Q$2,'협력사 EPC(H)'!$Q:$Q,$J15,'협력사 EPC(H)'!$C:$C,$L$1),
    SUMIFS('기타(Z)'!$I:$I,'기타(Z)'!$G:$G,Q$2,'기타(Z)'!$Q:$Q,$J15,'기타(Z)'!$C:$C,$L$1)
  )
)</f>
        <v/>
      </c>
      <c r="R15" s="387" t="str">
        <f>IF(
  SUM(
    COUNTIFS('발전사업(A)'!$G:$G, Q$2, '발전사업(A)'!$Q:$Q, $J15, '발전사업(A)'!$C:$C, $L$1),
    COUNTIFS('자가소비(B)'!$G:$G, Q$2, '자가소비(B)'!$Q:$Q, $J15, '자가소비(B)'!$C:$C, $L$1),
    COUNTIFS('PPA 사업(C)'!$G:$G, Q$2, 'PPA 사업(C)'!$Q:$Q, $J15, 'PPA 사업(C)'!$C:$C, $L$1),
    COUNTIFS('리스사업(D)'!$G:$G, Q$2, '리스사업(D)'!$Q:$Q, $J15, '리스사업(D)'!$C:$C, $L$1),
    COUNTIFS('임대사업(E)'!$G:$G, Q$2, '임대사업(E)'!$Q:$Q, $J15, '임대사업(E)'!$C:$C, $L$1),
    COUNTIFS('환경부사업(F)'!$G:$G, Q$2, '환경부사업(F)'!$Q:$Q, $J15, '환경부사업(F)'!$C:$C, $L$1),
    COUNTIFS('프로젝트(G)'!$G:$G, Q$2, '프로젝트(G)'!$Q:$Q, $J15, '프로젝트(G)'!$C:$C, $L$1),
    COUNTIFS('협력사 EPC(H)'!$G:$G, Q$2, '협력사 EPC(H)'!$Q:$Q, $J15, '협력사 EPC(H)'!$C:$C, $L$1),
    COUNTIFS('기타(Z)'!$G:$G, Q$2, '기타(Z)'!$Q:$Q, $J15, '기타(Z)'!$C:$C, $L$1)
  ) = 0,
  "",
  COUNTIFS('발전사업(A)'!$G:$G, Q$2, '발전사업(A)'!$Q:$Q, $J15, '발전사업(A)'!$C:$C, $L$1)
  + COUNTIFS('자가소비(B)'!$G:$G, Q$2, '자가소비(B)'!$Q:$Q, $J15, '자가소비(B)'!$C:$C, $L$1)
  + COUNTIFS('PPA 사업(C)'!$G:$G, Q$2, 'PPA 사업(C)'!$Q:$Q, $J15, 'PPA 사업(C)'!$C:$C, $L$1)
  + COUNTIFS('리스사업(D)'!$G:$G, Q$2, '리스사업(D)'!$Q:$Q, $J15, '리스사업(D)'!$C:$C, $L$1)
  + COUNTIFS('임대사업(E)'!$G:$G, Q$2, '임대사업(E)'!$Q:$Q, $J15, '임대사업(E)'!$C:$C, $L$1)
  + COUNTIFS('환경부사업(F)'!$G:$G, Q$2, '환경부사업(F)'!$Q:$Q, $J15, '환경부사업(F)'!$C:$C, $L$1)
  + COUNTIFS('프로젝트(G)'!$G:$G, Q$2, '프로젝트(G)'!$Q:$Q, $J15, '프로젝트(G)'!$C:$C, $L$1)
  + COUNTIFS('협력사 EPC(H)'!$G:$G, Q$2, '협력사 EPC(H)'!$Q:$Q, $J15, '협력사 EPC(H)'!$C:$C, $L$1)
  + COUNTIFS('기타(Z)'!$G:$G, Q$2, '기타(Z)'!$Q:$Q, $J15, '기타(Z)'!$C:$C, $L$1)
)</f>
        <v/>
      </c>
      <c r="S15" s="386" t="str">
        <f>IF(
  SUM(
    SUMIFS('발전사업(A)'!$I:$I,'발전사업(A)'!$G:$G,S$2,'발전사업(A)'!$Q:$Q,$J15,'발전사업(A)'!$C:$C,$L$1),
    SUMIFS('자가소비(B)'!$I:$I,'자가소비(B)'!$G:$G,S$2,'자가소비(B)'!$Q:$Q,$J15,'자가소비(B)'!$C:$C,$L$1),
    SUMIFS('PPA 사업(C)'!$I:$I,'PPA 사업(C)'!$G:$G,S$2,'PPA 사업(C)'!$Q:$Q,$J15,'PPA 사업(C)'!$C:$C,$L$1),
    SUMIFS('리스사업(D)'!$I:$I,'리스사업(D)'!$G:$G,S$2,'리스사업(D)'!$Q:$Q,$J15,'리스사업(D)'!$C:$C,$L$1),
    SUMIFS('임대사업(E)'!$I:$I,'임대사업(E)'!$G:$G,S$2,'임대사업(E)'!$Q:$Q,$J15,'임대사업(E)'!$C:$C,$L$1),
    SUMIFS('환경부사업(F)'!$I:$I,'환경부사업(F)'!$G:$G,S$2,'환경부사업(F)'!$Q:$Q,$J15,'환경부사업(F)'!$C:$C,$L$1),
    SUMIFS('프로젝트(G)'!$I:$I,'프로젝트(G)'!$G:$G,S$2,'프로젝트(G)'!$Q:$Q,$J15,'프로젝트(G)'!$C:$C,$L$1),
    SUMIFS('협력사 EPC(H)'!$I:$I,'협력사 EPC(H)'!$G:$G,S$2,'협력사 EPC(H)'!$Q:$Q,$J15,'협력사 EPC(H)'!$C:$C,$L$1),
    SUMIFS('기타(Z)'!$I:$I,'기타(Z)'!$G:$G,S$2,'기타(Z)'!$Q:$Q,$J15,'기타(Z)'!$C:$C,$L$1)
  )=0,
  "",
  SUM(
    SUMIFS('발전사업(A)'!$I:$I,'발전사업(A)'!$G:$G,S$2,'발전사업(A)'!$Q:$Q,$J15,'발전사업(A)'!$C:$C,$L$1),
    SUMIFS('자가소비(B)'!$I:$I,'자가소비(B)'!$G:$G,S$2,'자가소비(B)'!$Q:$Q,$J15,'자가소비(B)'!$C:$C,$L$1),
    SUMIFS('PPA 사업(C)'!$I:$I,'PPA 사업(C)'!$G:$G,S$2,'PPA 사업(C)'!$Q:$Q,$J15,'PPA 사업(C)'!$C:$C,$L$1),
    SUMIFS('리스사업(D)'!$I:$I,'리스사업(D)'!$G:$G,S$2,'리스사업(D)'!$Q:$Q,$J15,'리스사업(D)'!$C:$C,$L$1),
    SUMIFS('임대사업(E)'!$I:$I,'임대사업(E)'!$G:$G,S$2,'임대사업(E)'!$Q:$Q,$J15,'임대사업(E)'!$C:$C,$L$1),
    SUMIFS('환경부사업(F)'!$I:$I,'환경부사업(F)'!$G:$G,S$2,'환경부사업(F)'!$Q:$Q,$J15,'환경부사업(F)'!$C:$C,$L$1),
    SUMIFS('프로젝트(G)'!$I:$I,'프로젝트(G)'!$G:$G,S$2,'프로젝트(G)'!$Q:$Q,$J15,'프로젝트(G)'!$C:$C,$L$1),
    SUMIFS('협력사 EPC(H)'!$I:$I,'협력사 EPC(H)'!$G:$G,S$2,'협력사 EPC(H)'!$Q:$Q,$J15,'협력사 EPC(H)'!$C:$C,$L$1),
    SUMIFS('기타(Z)'!$I:$I,'기타(Z)'!$G:$G,S$2,'기타(Z)'!$Q:$Q,$J15,'기타(Z)'!$C:$C,$L$1)
  )
)</f>
        <v/>
      </c>
      <c r="T15" s="387" t="str">
        <f>IF(
  SUM(
    COUNTIFS('발전사업(A)'!$G:$G, S$2, '발전사업(A)'!$Q:$Q, $J15, '발전사업(A)'!$C:$C, $L$1),
    COUNTIFS('자가소비(B)'!$G:$G, S$2, '자가소비(B)'!$Q:$Q, $J15, '자가소비(B)'!$C:$C, $L$1),
    COUNTIFS('PPA 사업(C)'!$G:$G, S$2, 'PPA 사업(C)'!$Q:$Q, $J15, 'PPA 사업(C)'!$C:$C, $L$1),
    COUNTIFS('리스사업(D)'!$G:$G, S$2, '리스사업(D)'!$Q:$Q, $J15, '리스사업(D)'!$C:$C, $L$1),
    COUNTIFS('임대사업(E)'!$G:$G, S$2, '임대사업(E)'!$Q:$Q, $J15, '임대사업(E)'!$C:$C, $L$1),
    COUNTIFS('환경부사업(F)'!$G:$G, S$2, '환경부사업(F)'!$Q:$Q, $J15, '환경부사업(F)'!$C:$C, $L$1),
    COUNTIFS('프로젝트(G)'!$G:$G, S$2, '프로젝트(G)'!$Q:$Q, $J15, '프로젝트(G)'!$C:$C, $L$1),
    COUNTIFS('협력사 EPC(H)'!$G:$G, S$2, '협력사 EPC(H)'!$Q:$Q, $J15, '협력사 EPC(H)'!$C:$C, $L$1),
    COUNTIFS('기타(Z)'!$G:$G, S$2, '기타(Z)'!$Q:$Q, $J15, '기타(Z)'!$C:$C, $L$1)
  ) = 0,
  "",
  COUNTIFS('발전사업(A)'!$G:$G, S$2, '발전사업(A)'!$Q:$Q, $J15, '발전사업(A)'!$C:$C, $L$1)
  + COUNTIFS('자가소비(B)'!$G:$G, S$2, '자가소비(B)'!$Q:$Q, $J15, '자가소비(B)'!$C:$C, $L$1)
  + COUNTIFS('PPA 사업(C)'!$G:$G, S$2, 'PPA 사업(C)'!$Q:$Q, $J15, 'PPA 사업(C)'!$C:$C, $L$1)
  + COUNTIFS('리스사업(D)'!$G:$G, S$2, '리스사업(D)'!$Q:$Q, $J15, '리스사업(D)'!$C:$C, $L$1)
  + COUNTIFS('임대사업(E)'!$G:$G, S$2, '임대사업(E)'!$Q:$Q, $J15, '임대사업(E)'!$C:$C, $L$1)
  + COUNTIFS('환경부사업(F)'!$G:$G, S$2, '환경부사업(F)'!$Q:$Q, $J15, '환경부사업(F)'!$C:$C, $L$1)
  + COUNTIFS('프로젝트(G)'!$G:$G, S$2, '프로젝트(G)'!$Q:$Q, $J15, '프로젝트(G)'!$C:$C, $L$1)
  + COUNTIFS('협력사 EPC(H)'!$G:$G, S$2, '협력사 EPC(H)'!$Q:$Q, $J15, '협력사 EPC(H)'!$C:$C, $L$1)
  + COUNTIFS('기타(Z)'!$G:$G, S$2, '기타(Z)'!$Q:$Q, $J15, '기타(Z)'!$C:$C, $L$1)
)</f>
        <v/>
      </c>
      <c r="U15" s="386" t="str">
        <f>IF(
  SUM(
    SUMIFS('발전사업(A)'!$I:$I,'발전사업(A)'!$G:$G,U$2,'발전사업(A)'!$Q:$Q,$J15,'발전사업(A)'!$C:$C,$L$1),
    SUMIFS('자가소비(B)'!$I:$I,'자가소비(B)'!$G:$G,U$2,'자가소비(B)'!$Q:$Q,$J15,'자가소비(B)'!$C:$C,$L$1),
    SUMIFS('PPA 사업(C)'!$I:$I,'PPA 사업(C)'!$G:$G,U$2,'PPA 사업(C)'!$Q:$Q,$J15,'PPA 사업(C)'!$C:$C,$L$1),
    SUMIFS('리스사업(D)'!$I:$I,'리스사업(D)'!$G:$G,U$2,'리스사업(D)'!$Q:$Q,$J15,'리스사업(D)'!$C:$C,$L$1),
    SUMIFS('임대사업(E)'!$I:$I,'임대사업(E)'!$G:$G,U$2,'임대사업(E)'!$Q:$Q,$J15,'임대사업(E)'!$C:$C,$L$1),
    SUMIFS('환경부사업(F)'!$I:$I,'환경부사업(F)'!$G:$G,U$2,'환경부사업(F)'!$Q:$Q,$J15,'환경부사업(F)'!$C:$C,$L$1),
    SUMIFS('프로젝트(G)'!$I:$I,'프로젝트(G)'!$G:$G,U$2,'프로젝트(G)'!$Q:$Q,$J15,'프로젝트(G)'!$C:$C,$L$1),
    SUMIFS('협력사 EPC(H)'!$I:$I,'협력사 EPC(H)'!$G:$G,U$2,'협력사 EPC(H)'!$Q:$Q,$J15,'협력사 EPC(H)'!$C:$C,$L$1),
    SUMIFS('기타(Z)'!$I:$I,'기타(Z)'!$G:$G,U$2,'기타(Z)'!$Q:$Q,$J15,'기타(Z)'!$C:$C,$L$1)
  )=0,
  "",
  SUM(
    SUMIFS('발전사업(A)'!$I:$I,'발전사업(A)'!$G:$G,U$2,'발전사업(A)'!$Q:$Q,$J15,'발전사업(A)'!$C:$C,$L$1),
    SUMIFS('자가소비(B)'!$I:$I,'자가소비(B)'!$G:$G,U$2,'자가소비(B)'!$Q:$Q,$J15,'자가소비(B)'!$C:$C,$L$1),
    SUMIFS('PPA 사업(C)'!$I:$I,'PPA 사업(C)'!$G:$G,U$2,'PPA 사업(C)'!$Q:$Q,$J15,'PPA 사업(C)'!$C:$C,$L$1),
    SUMIFS('리스사업(D)'!$I:$I,'리스사업(D)'!$G:$G,U$2,'리스사업(D)'!$Q:$Q,$J15,'리스사업(D)'!$C:$C,$L$1),
    SUMIFS('임대사업(E)'!$I:$I,'임대사업(E)'!$G:$G,U$2,'임대사업(E)'!$Q:$Q,$J15,'임대사업(E)'!$C:$C,$L$1),
    SUMIFS('환경부사업(F)'!$I:$I,'환경부사업(F)'!$G:$G,U$2,'환경부사업(F)'!$Q:$Q,$J15,'환경부사업(F)'!$C:$C,$L$1),
    SUMIFS('프로젝트(G)'!$I:$I,'프로젝트(G)'!$G:$G,U$2,'프로젝트(G)'!$Q:$Q,$J15,'프로젝트(G)'!$C:$C,$L$1),
    SUMIFS('협력사 EPC(H)'!$I:$I,'협력사 EPC(H)'!$G:$G,U$2,'협력사 EPC(H)'!$Q:$Q,$J15,'협력사 EPC(H)'!$C:$C,$L$1),
    SUMIFS('기타(Z)'!$I:$I,'기타(Z)'!$G:$G,U$2,'기타(Z)'!$Q:$Q,$J15,'기타(Z)'!$C:$C,$L$1)
  )
)</f>
        <v/>
      </c>
      <c r="V15" s="387" t="str">
        <f>IF(
  SUM(
    COUNTIFS('발전사업(A)'!$G:$G, U$2, '발전사업(A)'!$Q:$Q, $J15, '발전사업(A)'!$C:$C, $L$1),
    COUNTIFS('자가소비(B)'!$G:$G, U$2, '자가소비(B)'!$Q:$Q, $J15, '자가소비(B)'!$C:$C, $L$1),
    COUNTIFS('PPA 사업(C)'!$G:$G, U$2, 'PPA 사업(C)'!$Q:$Q, $J15, 'PPA 사업(C)'!$C:$C, $L$1),
    COUNTIFS('리스사업(D)'!$G:$G, U$2, '리스사업(D)'!$Q:$Q, $J15, '리스사업(D)'!$C:$C, $L$1),
    COUNTIFS('임대사업(E)'!$G:$G, U$2, '임대사업(E)'!$Q:$Q, $J15, '임대사업(E)'!$C:$C, $L$1),
    COUNTIFS('환경부사업(F)'!$G:$G, U$2, '환경부사업(F)'!$Q:$Q, $J15, '환경부사업(F)'!$C:$C, $L$1),
    COUNTIFS('프로젝트(G)'!$G:$G, U$2, '프로젝트(G)'!$Q:$Q, $J15, '프로젝트(G)'!$C:$C, $L$1),
    COUNTIFS('협력사 EPC(H)'!$G:$G, U$2, '협력사 EPC(H)'!$Q:$Q, $J15, '협력사 EPC(H)'!$C:$C, $L$1),
    COUNTIFS('기타(Z)'!$G:$G, U$2, '기타(Z)'!$Q:$Q, $J15, '기타(Z)'!$C:$C, $L$1)
  ) = 0,
  "",
  COUNTIFS('발전사업(A)'!$G:$G, U$2, '발전사업(A)'!$Q:$Q, $J15, '발전사업(A)'!$C:$C, $L$1)
  + COUNTIFS('자가소비(B)'!$G:$G, U$2, '자가소비(B)'!$Q:$Q, $J15, '자가소비(B)'!$C:$C, $L$1)
  + COUNTIFS('PPA 사업(C)'!$G:$G, U$2, 'PPA 사업(C)'!$Q:$Q, $J15, 'PPA 사업(C)'!$C:$C, $L$1)
  + COUNTIFS('리스사업(D)'!$G:$G, U$2, '리스사업(D)'!$Q:$Q, $J15, '리스사업(D)'!$C:$C, $L$1)
  + COUNTIFS('임대사업(E)'!$G:$G, U$2, '임대사업(E)'!$Q:$Q, $J15, '임대사업(E)'!$C:$C, $L$1)
  + COUNTIFS('환경부사업(F)'!$G:$G, U$2, '환경부사업(F)'!$Q:$Q, $J15, '환경부사업(F)'!$C:$C, $L$1)
  + COUNTIFS('프로젝트(G)'!$G:$G, U$2, '프로젝트(G)'!$Q:$Q, $J15, '프로젝트(G)'!$C:$C, $L$1)
  + COUNTIFS('협력사 EPC(H)'!$G:$G, U$2, '협력사 EPC(H)'!$Q:$Q, $J15, '협력사 EPC(H)'!$C:$C, $L$1)
  + COUNTIFS('기타(Z)'!$G:$G, U$2, '기타(Z)'!$Q:$Q, $J15, '기타(Z)'!$C:$C, $L$1)
)</f>
        <v/>
      </c>
      <c r="W15" s="386" t="str">
        <f>IF(
  SUM(
    SUMIFS('발전사업(A)'!$I:$I,'발전사업(A)'!$G:$G,W$2,'발전사업(A)'!$Q:$Q,$J15,'발전사업(A)'!$C:$C,$L$1),
    SUMIFS('자가소비(B)'!$I:$I,'자가소비(B)'!$G:$G,W$2,'자가소비(B)'!$Q:$Q,$J15,'자가소비(B)'!$C:$C,$L$1),
    SUMIFS('PPA 사업(C)'!$I:$I,'PPA 사업(C)'!$G:$G,W$2,'PPA 사업(C)'!$Q:$Q,$J15,'PPA 사업(C)'!$C:$C,$L$1),
    SUMIFS('리스사업(D)'!$I:$I,'리스사업(D)'!$G:$G,W$2,'리스사업(D)'!$Q:$Q,$J15,'리스사업(D)'!$C:$C,$L$1),
    SUMIFS('임대사업(E)'!$I:$I,'임대사업(E)'!$G:$G,W$2,'임대사업(E)'!$Q:$Q,$J15,'임대사업(E)'!$C:$C,$L$1),
    SUMIFS('환경부사업(F)'!$I:$I,'환경부사업(F)'!$G:$G,W$2,'환경부사업(F)'!$Q:$Q,$J15,'환경부사업(F)'!$C:$C,$L$1),
    SUMIFS('프로젝트(G)'!$I:$I,'프로젝트(G)'!$G:$G,W$2,'프로젝트(G)'!$Q:$Q,$J15,'프로젝트(G)'!$C:$C,$L$1),
    SUMIFS('협력사 EPC(H)'!$I:$I,'협력사 EPC(H)'!$G:$G,W$2,'협력사 EPC(H)'!$Q:$Q,$J15,'협력사 EPC(H)'!$C:$C,$L$1),
    SUMIFS('기타(Z)'!$I:$I,'기타(Z)'!$G:$G,W$2,'기타(Z)'!$Q:$Q,$J15,'기타(Z)'!$C:$C,$L$1)
  )=0,
  "",
  SUM(
    SUMIFS('발전사업(A)'!$I:$I,'발전사업(A)'!$G:$G,W$2,'발전사업(A)'!$Q:$Q,$J15,'발전사업(A)'!$C:$C,$L$1),
    SUMIFS('자가소비(B)'!$I:$I,'자가소비(B)'!$G:$G,W$2,'자가소비(B)'!$Q:$Q,$J15,'자가소비(B)'!$C:$C,$L$1),
    SUMIFS('PPA 사업(C)'!$I:$I,'PPA 사업(C)'!$G:$G,W$2,'PPA 사업(C)'!$Q:$Q,$J15,'PPA 사업(C)'!$C:$C,$L$1),
    SUMIFS('리스사업(D)'!$I:$I,'리스사업(D)'!$G:$G,W$2,'리스사업(D)'!$Q:$Q,$J15,'리스사업(D)'!$C:$C,$L$1),
    SUMIFS('임대사업(E)'!$I:$I,'임대사업(E)'!$G:$G,W$2,'임대사업(E)'!$Q:$Q,$J15,'임대사업(E)'!$C:$C,$L$1),
    SUMIFS('환경부사업(F)'!$I:$I,'환경부사업(F)'!$G:$G,W$2,'환경부사업(F)'!$Q:$Q,$J15,'환경부사업(F)'!$C:$C,$L$1),
    SUMIFS('프로젝트(G)'!$I:$I,'프로젝트(G)'!$G:$G,W$2,'프로젝트(G)'!$Q:$Q,$J15,'프로젝트(G)'!$C:$C,$L$1),
    SUMIFS('협력사 EPC(H)'!$I:$I,'협력사 EPC(H)'!$G:$G,W$2,'협력사 EPC(H)'!$Q:$Q,$J15,'협력사 EPC(H)'!$C:$C,$L$1),
    SUMIFS('기타(Z)'!$I:$I,'기타(Z)'!$G:$G,W$2,'기타(Z)'!$Q:$Q,$J15,'기타(Z)'!$C:$C,$L$1)
  )
)</f>
        <v/>
      </c>
      <c r="X15" s="387" t="str">
        <f>IF(
  SUM(
    COUNTIFS('발전사업(A)'!$G:$G, W$2, '발전사업(A)'!$Q:$Q, $J15, '발전사업(A)'!$C:$C, $L$1),
    COUNTIFS('자가소비(B)'!$G:$G, W$2, '자가소비(B)'!$Q:$Q, $J15, '자가소비(B)'!$C:$C, $L$1),
    COUNTIFS('PPA 사업(C)'!$G:$G, W$2, 'PPA 사업(C)'!$Q:$Q, $J15, 'PPA 사업(C)'!$C:$C, $L$1),
    COUNTIFS('리스사업(D)'!$G:$G, W$2, '리스사업(D)'!$Q:$Q, $J15, '리스사업(D)'!$C:$C, $L$1),
    COUNTIFS('임대사업(E)'!$G:$G, W$2, '임대사업(E)'!$Q:$Q, $J15, '임대사업(E)'!$C:$C, $L$1),
    COUNTIFS('환경부사업(F)'!$G:$G, W$2, '환경부사업(F)'!$Q:$Q, $J15, '환경부사업(F)'!$C:$C, $L$1),
    COUNTIFS('프로젝트(G)'!$G:$G, W$2, '프로젝트(G)'!$Q:$Q, $J15, '프로젝트(G)'!$C:$C, $L$1),
    COUNTIFS('협력사 EPC(H)'!$G:$G, W$2, '협력사 EPC(H)'!$Q:$Q, $J15, '협력사 EPC(H)'!$C:$C, $L$1),
    COUNTIFS('기타(Z)'!$G:$G, W$2, '기타(Z)'!$Q:$Q, $J15, '기타(Z)'!$C:$C, $L$1)
  ) = 0,
  "",
  COUNTIFS('발전사업(A)'!$G:$G, W$2, '발전사업(A)'!$Q:$Q, $J15, '발전사업(A)'!$C:$C, $L$1)
  + COUNTIFS('자가소비(B)'!$G:$G, W$2, '자가소비(B)'!$Q:$Q, $J15, '자가소비(B)'!$C:$C, $L$1)
  + COUNTIFS('PPA 사업(C)'!$G:$G, W$2, 'PPA 사업(C)'!$Q:$Q, $J15, 'PPA 사업(C)'!$C:$C, $L$1)
  + COUNTIFS('리스사업(D)'!$G:$G, W$2, '리스사업(D)'!$Q:$Q, $J15, '리스사업(D)'!$C:$C, $L$1)
  + COUNTIFS('임대사업(E)'!$G:$G, W$2, '임대사업(E)'!$Q:$Q, $J15, '임대사업(E)'!$C:$C, $L$1)
  + COUNTIFS('환경부사업(F)'!$G:$G, W$2, '환경부사업(F)'!$Q:$Q, $J15, '환경부사업(F)'!$C:$C, $L$1)
  + COUNTIFS('프로젝트(G)'!$G:$G, W$2, '프로젝트(G)'!$Q:$Q, $J15, '프로젝트(G)'!$C:$C, $L$1)
  + COUNTIFS('협력사 EPC(H)'!$G:$G, W$2, '협력사 EPC(H)'!$Q:$Q, $J15, '협력사 EPC(H)'!$C:$C, $L$1)
  + COUNTIFS('기타(Z)'!$G:$G, W$2, '기타(Z)'!$Q:$Q, $J15, '기타(Z)'!$C:$C, $L$1)
)</f>
        <v/>
      </c>
      <c r="Y15" s="386" t="str">
        <f>IF(
  SUM(
    SUMIFS('발전사업(A)'!$I:$I,'발전사업(A)'!$G:$G,Y$2,'발전사업(A)'!$Q:$Q,$J15,'발전사업(A)'!$C:$C,$L$1),
    SUMIFS('자가소비(B)'!$I:$I,'자가소비(B)'!$G:$G,Y$2,'자가소비(B)'!$Q:$Q,$J15,'자가소비(B)'!$C:$C,$L$1),
    SUMIFS('PPA 사업(C)'!$I:$I,'PPA 사업(C)'!$G:$G,Y$2,'PPA 사업(C)'!$Q:$Q,$J15,'PPA 사업(C)'!$C:$C,$L$1),
    SUMIFS('리스사업(D)'!$I:$I,'리스사업(D)'!$G:$G,Y$2,'리스사업(D)'!$Q:$Q,$J15,'리스사업(D)'!$C:$C,$L$1),
    SUMIFS('임대사업(E)'!$I:$I,'임대사업(E)'!$G:$G,Y$2,'임대사업(E)'!$Q:$Q,$J15,'임대사업(E)'!$C:$C,$L$1),
    SUMIFS('환경부사업(F)'!$I:$I,'환경부사업(F)'!$G:$G,Y$2,'환경부사업(F)'!$Q:$Q,$J15,'환경부사업(F)'!$C:$C,$L$1),
    SUMIFS('프로젝트(G)'!$I:$I,'프로젝트(G)'!$G:$G,Y$2,'프로젝트(G)'!$Q:$Q,$J15,'프로젝트(G)'!$C:$C,$L$1),
    SUMIFS('협력사 EPC(H)'!$I:$I,'협력사 EPC(H)'!$G:$G,Y$2,'협력사 EPC(H)'!$Q:$Q,$J15,'협력사 EPC(H)'!$C:$C,$L$1),
    SUMIFS('기타(Z)'!$I:$I,'기타(Z)'!$G:$G,Y$2,'기타(Z)'!$Q:$Q,$J15,'기타(Z)'!$C:$C,$L$1)
  )=0,
  "",
  SUM(
    SUMIFS('발전사업(A)'!$I:$I,'발전사업(A)'!$G:$G,Y$2,'발전사업(A)'!$Q:$Q,$J15,'발전사업(A)'!$C:$C,$L$1),
    SUMIFS('자가소비(B)'!$I:$I,'자가소비(B)'!$G:$G,Y$2,'자가소비(B)'!$Q:$Q,$J15,'자가소비(B)'!$C:$C,$L$1),
    SUMIFS('PPA 사업(C)'!$I:$I,'PPA 사업(C)'!$G:$G,Y$2,'PPA 사업(C)'!$Q:$Q,$J15,'PPA 사업(C)'!$C:$C,$L$1),
    SUMIFS('리스사업(D)'!$I:$I,'리스사업(D)'!$G:$G,Y$2,'리스사업(D)'!$Q:$Q,$J15,'리스사업(D)'!$C:$C,$L$1),
    SUMIFS('임대사업(E)'!$I:$I,'임대사업(E)'!$G:$G,Y$2,'임대사업(E)'!$Q:$Q,$J15,'임대사업(E)'!$C:$C,$L$1),
    SUMIFS('환경부사업(F)'!$I:$I,'환경부사업(F)'!$G:$G,Y$2,'환경부사업(F)'!$Q:$Q,$J15,'환경부사업(F)'!$C:$C,$L$1),
    SUMIFS('프로젝트(G)'!$I:$I,'프로젝트(G)'!$G:$G,Y$2,'프로젝트(G)'!$Q:$Q,$J15,'프로젝트(G)'!$C:$C,$L$1),
    SUMIFS('협력사 EPC(H)'!$I:$I,'협력사 EPC(H)'!$G:$G,Y$2,'협력사 EPC(H)'!$Q:$Q,$J15,'협력사 EPC(H)'!$C:$C,$L$1),
    SUMIFS('기타(Z)'!$I:$I,'기타(Z)'!$G:$G,Y$2,'기타(Z)'!$Q:$Q,$J15,'기타(Z)'!$C:$C,$L$1)
  )
)</f>
        <v/>
      </c>
      <c r="Z15" s="387" t="str">
        <f>IF(
  SUM(
    COUNTIFS('발전사업(A)'!$G:$G, Y$2, '발전사업(A)'!$Q:$Q, $J15, '발전사업(A)'!$C:$C, $L$1),
    COUNTIFS('자가소비(B)'!$G:$G, Y$2, '자가소비(B)'!$Q:$Q, $J15, '자가소비(B)'!$C:$C, $L$1),
    COUNTIFS('PPA 사업(C)'!$G:$G, Y$2, 'PPA 사업(C)'!$Q:$Q, $J15, 'PPA 사업(C)'!$C:$C, $L$1),
    COUNTIFS('리스사업(D)'!$G:$G, Y$2, '리스사업(D)'!$Q:$Q, $J15, '리스사업(D)'!$C:$C, $L$1),
    COUNTIFS('임대사업(E)'!$G:$G, Y$2, '임대사업(E)'!$Q:$Q, $J15, '임대사업(E)'!$C:$C, $L$1),
    COUNTIFS('환경부사업(F)'!$G:$G, Y$2, '환경부사업(F)'!$Q:$Q, $J15, '환경부사업(F)'!$C:$C, $L$1),
    COUNTIFS('프로젝트(G)'!$G:$G, Y$2, '프로젝트(G)'!$Q:$Q, $J15, '프로젝트(G)'!$C:$C, $L$1),
    COUNTIFS('협력사 EPC(H)'!$G:$G, Y$2, '협력사 EPC(H)'!$Q:$Q, $J15, '협력사 EPC(H)'!$C:$C, $L$1),
    COUNTIFS('기타(Z)'!$G:$G, Y$2, '기타(Z)'!$Q:$Q, $J15, '기타(Z)'!$C:$C, $L$1)
  ) = 0,
  "",
  COUNTIFS('발전사업(A)'!$G:$G, Y$2, '발전사업(A)'!$Q:$Q, $J15, '발전사업(A)'!$C:$C, $L$1)
  + COUNTIFS('자가소비(B)'!$G:$G, Y$2, '자가소비(B)'!$Q:$Q, $J15, '자가소비(B)'!$C:$C, $L$1)
  + COUNTIFS('PPA 사업(C)'!$G:$G, Y$2, 'PPA 사업(C)'!$Q:$Q, $J15, 'PPA 사업(C)'!$C:$C, $L$1)
  + COUNTIFS('리스사업(D)'!$G:$G, Y$2, '리스사업(D)'!$Q:$Q, $J15, '리스사업(D)'!$C:$C, $L$1)
  + COUNTIFS('임대사업(E)'!$G:$G, Y$2, '임대사업(E)'!$Q:$Q, $J15, '임대사업(E)'!$C:$C, $L$1)
  + COUNTIFS('환경부사업(F)'!$G:$G, Y$2, '환경부사업(F)'!$Q:$Q, $J15, '환경부사업(F)'!$C:$C, $L$1)
  + COUNTIFS('프로젝트(G)'!$G:$G, Y$2, '프로젝트(G)'!$Q:$Q, $J15, '프로젝트(G)'!$C:$C, $L$1)
  + COUNTIFS('협력사 EPC(H)'!$G:$G, Y$2, '협력사 EPC(H)'!$Q:$Q, $J15, '협력사 EPC(H)'!$C:$C, $L$1)
  + COUNTIFS('기타(Z)'!$G:$G, Y$2, '기타(Z)'!$Q:$Q, $J15, '기타(Z)'!$C:$C, $L$1)
)</f>
        <v/>
      </c>
      <c r="AA15" s="386" t="str">
        <f>IF(
  SUM(
    SUMIFS('발전사업(A)'!$I:$I,'발전사업(A)'!$G:$G,AA$2,'발전사업(A)'!$Q:$Q,$J15,'발전사업(A)'!$C:$C,$L$1),
    SUMIFS('자가소비(B)'!$I:$I,'자가소비(B)'!$G:$G,AA$2,'자가소비(B)'!$Q:$Q,$J15,'자가소비(B)'!$C:$C,$L$1),
    SUMIFS('PPA 사업(C)'!$I:$I,'PPA 사업(C)'!$G:$G,AA$2,'PPA 사업(C)'!$Q:$Q,$J15,'PPA 사업(C)'!$C:$C,$L$1),
    SUMIFS('리스사업(D)'!$I:$I,'리스사업(D)'!$G:$G,AA$2,'리스사업(D)'!$Q:$Q,$J15,'리스사업(D)'!$C:$C,$L$1),
    SUMIFS('임대사업(E)'!$I:$I,'임대사업(E)'!$G:$G,AA$2,'임대사업(E)'!$Q:$Q,$J15,'임대사업(E)'!$C:$C,$L$1),
    SUMIFS('환경부사업(F)'!$I:$I,'환경부사업(F)'!$G:$G,AA$2,'환경부사업(F)'!$Q:$Q,$J15,'환경부사업(F)'!$C:$C,$L$1),
    SUMIFS('프로젝트(G)'!$I:$I,'프로젝트(G)'!$G:$G,AA$2,'프로젝트(G)'!$Q:$Q,$J15,'프로젝트(G)'!$C:$C,$L$1),
    SUMIFS('협력사 EPC(H)'!$I:$I,'협력사 EPC(H)'!$G:$G,AA$2,'협력사 EPC(H)'!$Q:$Q,$J15,'협력사 EPC(H)'!$C:$C,$L$1),
    SUMIFS('기타(Z)'!$I:$I,'기타(Z)'!$G:$G,AA$2,'기타(Z)'!$Q:$Q,$J15,'기타(Z)'!$C:$C,$L$1)
  )=0,
  "",
  SUM(
    SUMIFS('발전사업(A)'!$I:$I,'발전사업(A)'!$G:$G,AA$2,'발전사업(A)'!$Q:$Q,$J15,'발전사업(A)'!$C:$C,$L$1),
    SUMIFS('자가소비(B)'!$I:$I,'자가소비(B)'!$G:$G,AA$2,'자가소비(B)'!$Q:$Q,$J15,'자가소비(B)'!$C:$C,$L$1),
    SUMIFS('PPA 사업(C)'!$I:$I,'PPA 사업(C)'!$G:$G,AA$2,'PPA 사업(C)'!$Q:$Q,$J15,'PPA 사업(C)'!$C:$C,$L$1),
    SUMIFS('리스사업(D)'!$I:$I,'리스사업(D)'!$G:$G,AA$2,'리스사업(D)'!$Q:$Q,$J15,'리스사업(D)'!$C:$C,$L$1),
    SUMIFS('임대사업(E)'!$I:$I,'임대사업(E)'!$G:$G,AA$2,'임대사업(E)'!$Q:$Q,$J15,'임대사업(E)'!$C:$C,$L$1),
    SUMIFS('환경부사업(F)'!$I:$I,'환경부사업(F)'!$G:$G,AA$2,'환경부사업(F)'!$Q:$Q,$J15,'환경부사업(F)'!$C:$C,$L$1),
    SUMIFS('프로젝트(G)'!$I:$I,'프로젝트(G)'!$G:$G,AA$2,'프로젝트(G)'!$Q:$Q,$J15,'프로젝트(G)'!$C:$C,$L$1),
    SUMIFS('협력사 EPC(H)'!$I:$I,'협력사 EPC(H)'!$G:$G,AA$2,'협력사 EPC(H)'!$Q:$Q,$J15,'협력사 EPC(H)'!$C:$C,$L$1),
    SUMIFS('기타(Z)'!$I:$I,'기타(Z)'!$G:$G,AA$2,'기타(Z)'!$Q:$Q,$J15,'기타(Z)'!$C:$C,$L$1)
  )
)</f>
        <v/>
      </c>
      <c r="AB15" s="387" t="str">
        <f>IF(
  SUM(
    COUNTIFS('발전사업(A)'!$G:$G, AA$2, '발전사업(A)'!$Q:$Q, $J15, '발전사업(A)'!$C:$C, $L$1),
    COUNTIFS('자가소비(B)'!$G:$G, AA$2, '자가소비(B)'!$Q:$Q, $J15, '자가소비(B)'!$C:$C, $L$1),
    COUNTIFS('PPA 사업(C)'!$G:$G, AA$2, 'PPA 사업(C)'!$Q:$Q, $J15, 'PPA 사업(C)'!$C:$C, $L$1),
    COUNTIFS('리스사업(D)'!$G:$G, AA$2, '리스사업(D)'!$Q:$Q, $J15, '리스사업(D)'!$C:$C, $L$1),
    COUNTIFS('임대사업(E)'!$G:$G, AA$2, '임대사업(E)'!$Q:$Q, $J15, '임대사업(E)'!$C:$C, $L$1),
    COUNTIFS('환경부사업(F)'!$G:$G, AA$2, '환경부사업(F)'!$Q:$Q, $J15, '환경부사업(F)'!$C:$C, $L$1),
    COUNTIFS('프로젝트(G)'!$G:$G, AA$2, '프로젝트(G)'!$Q:$Q, $J15, '프로젝트(G)'!$C:$C, $L$1),
    COUNTIFS('협력사 EPC(H)'!$G:$G, AA$2, '협력사 EPC(H)'!$Q:$Q, $J15, '협력사 EPC(H)'!$C:$C, $L$1),
    COUNTIFS('기타(Z)'!$G:$G, AA$2, '기타(Z)'!$Q:$Q, $J15, '기타(Z)'!$C:$C, $L$1)
  ) = 0,
  "",
  COUNTIFS('발전사업(A)'!$G:$G, AA$2, '발전사업(A)'!$Q:$Q, $J15, '발전사업(A)'!$C:$C, $L$1)
  + COUNTIFS('자가소비(B)'!$G:$G, AA$2, '자가소비(B)'!$Q:$Q, $J15, '자가소비(B)'!$C:$C, $L$1)
  + COUNTIFS('PPA 사업(C)'!$G:$G, AA$2, 'PPA 사업(C)'!$Q:$Q, $J15, 'PPA 사업(C)'!$C:$C, $L$1)
  + COUNTIFS('리스사업(D)'!$G:$G, AA$2, '리스사업(D)'!$Q:$Q, $J15, '리스사업(D)'!$C:$C, $L$1)
  + COUNTIFS('임대사업(E)'!$G:$G, AA$2, '임대사업(E)'!$Q:$Q, $J15, '임대사업(E)'!$C:$C, $L$1)
  + COUNTIFS('환경부사업(F)'!$G:$G, AA$2, '환경부사업(F)'!$Q:$Q, $J15, '환경부사업(F)'!$C:$C, $L$1)
  + COUNTIFS('프로젝트(G)'!$G:$G, AA$2, '프로젝트(G)'!$Q:$Q, $J15, '프로젝트(G)'!$C:$C, $L$1)
  + COUNTIFS('협력사 EPC(H)'!$G:$G, AA$2, '협력사 EPC(H)'!$Q:$Q, $J15, '협력사 EPC(H)'!$C:$C, $L$1)
  + COUNTIFS('기타(Z)'!$G:$G, AA$2, '기타(Z)'!$Q:$Q, $J15, '기타(Z)'!$C:$C, $L$1)
)</f>
        <v/>
      </c>
      <c r="AC15" s="386" t="str">
        <f>IF(
  SUM(
    SUMIFS('발전사업(A)'!$I:$I,'발전사업(A)'!$G:$G,AC$2,'발전사업(A)'!$Q:$Q,$J15,'발전사업(A)'!$C:$C,$L$1),
    SUMIFS('자가소비(B)'!$I:$I,'자가소비(B)'!$G:$G,AC$2,'자가소비(B)'!$Q:$Q,$J15,'자가소비(B)'!$C:$C,$L$1),
    SUMIFS('PPA 사업(C)'!$I:$I,'PPA 사업(C)'!$G:$G,AC$2,'PPA 사업(C)'!$Q:$Q,$J15,'PPA 사업(C)'!$C:$C,$L$1),
    SUMIFS('리스사업(D)'!$I:$I,'리스사업(D)'!$G:$G,AC$2,'리스사업(D)'!$Q:$Q,$J15,'리스사업(D)'!$C:$C,$L$1),
    SUMIFS('임대사업(E)'!$I:$I,'임대사업(E)'!$G:$G,AC$2,'임대사업(E)'!$Q:$Q,$J15,'임대사업(E)'!$C:$C,$L$1),
    SUMIFS('환경부사업(F)'!$I:$I,'환경부사업(F)'!$G:$G,AC$2,'환경부사업(F)'!$Q:$Q,$J15,'환경부사업(F)'!$C:$C,$L$1),
    SUMIFS('프로젝트(G)'!$I:$I,'프로젝트(G)'!$G:$G,AC$2,'프로젝트(G)'!$Q:$Q,$J15,'프로젝트(G)'!$C:$C,$L$1),
    SUMIFS('협력사 EPC(H)'!$I:$I,'협력사 EPC(H)'!$G:$G,AC$2,'협력사 EPC(H)'!$Q:$Q,$J15,'협력사 EPC(H)'!$C:$C,$L$1),
    SUMIFS('기타(Z)'!$I:$I,'기타(Z)'!$G:$G,AC$2,'기타(Z)'!$Q:$Q,$J15,'기타(Z)'!$C:$C,$L$1)
  )=0,
  "",
  SUM(
    SUMIFS('발전사업(A)'!$I:$I,'발전사업(A)'!$G:$G,AC$2,'발전사업(A)'!$Q:$Q,$J15,'발전사업(A)'!$C:$C,$L$1),
    SUMIFS('자가소비(B)'!$I:$I,'자가소비(B)'!$G:$G,AC$2,'자가소비(B)'!$Q:$Q,$J15,'자가소비(B)'!$C:$C,$L$1),
    SUMIFS('PPA 사업(C)'!$I:$I,'PPA 사업(C)'!$G:$G,AC$2,'PPA 사업(C)'!$Q:$Q,$J15,'PPA 사업(C)'!$C:$C,$L$1),
    SUMIFS('리스사업(D)'!$I:$I,'리스사업(D)'!$G:$G,AC$2,'리스사업(D)'!$Q:$Q,$J15,'리스사업(D)'!$C:$C,$L$1),
    SUMIFS('임대사업(E)'!$I:$I,'임대사업(E)'!$G:$G,AC$2,'임대사업(E)'!$Q:$Q,$J15,'임대사업(E)'!$C:$C,$L$1),
    SUMIFS('환경부사업(F)'!$I:$I,'환경부사업(F)'!$G:$G,AC$2,'환경부사업(F)'!$Q:$Q,$J15,'환경부사업(F)'!$C:$C,$L$1),
    SUMIFS('프로젝트(G)'!$I:$I,'프로젝트(G)'!$G:$G,AC$2,'프로젝트(G)'!$Q:$Q,$J15,'프로젝트(G)'!$C:$C,$L$1),
    SUMIFS('협력사 EPC(H)'!$I:$I,'협력사 EPC(H)'!$G:$G,AC$2,'협력사 EPC(H)'!$Q:$Q,$J15,'협력사 EPC(H)'!$C:$C,$L$1),
    SUMIFS('기타(Z)'!$I:$I,'기타(Z)'!$G:$G,AC$2,'기타(Z)'!$Q:$Q,$J15,'기타(Z)'!$C:$C,$L$1)
  )
)</f>
        <v/>
      </c>
      <c r="AD15" s="387" t="str">
        <f>IF(
  SUM(
    COUNTIFS('발전사업(A)'!$G:$G, AC$2, '발전사업(A)'!$Q:$Q, $J15, '발전사업(A)'!$C:$C, $L$1),
    COUNTIFS('자가소비(B)'!$G:$G, AC$2, '자가소비(B)'!$Q:$Q, $J15, '자가소비(B)'!$C:$C, $L$1),
    COUNTIFS('PPA 사업(C)'!$G:$G, AC$2, 'PPA 사업(C)'!$Q:$Q, $J15, 'PPA 사업(C)'!$C:$C, $L$1),
    COUNTIFS('리스사업(D)'!$G:$G, AC$2, '리스사업(D)'!$Q:$Q, $J15, '리스사업(D)'!$C:$C, $L$1),
    COUNTIFS('임대사업(E)'!$G:$G, AC$2, '임대사업(E)'!$Q:$Q, $J15, '임대사업(E)'!$C:$C, $L$1),
    COUNTIFS('환경부사업(F)'!$G:$G, AC$2, '환경부사업(F)'!$Q:$Q, $J15, '환경부사업(F)'!$C:$C, $L$1),
    COUNTIFS('프로젝트(G)'!$G:$G, AC$2, '프로젝트(G)'!$Q:$Q, $J15, '프로젝트(G)'!$C:$C, $L$1),
    COUNTIFS('협력사 EPC(H)'!$G:$G, AC$2, '협력사 EPC(H)'!$Q:$Q, $J15, '협력사 EPC(H)'!$C:$C, $L$1),
    COUNTIFS('기타(Z)'!$G:$G, AC$2, '기타(Z)'!$Q:$Q, $J15, '기타(Z)'!$C:$C, $L$1)
  ) = 0,
  "",
  COUNTIFS('발전사업(A)'!$G:$G, AC$2, '발전사업(A)'!$Q:$Q, $J15, '발전사업(A)'!$C:$C, $L$1)
  + COUNTIFS('자가소비(B)'!$G:$G, AC$2, '자가소비(B)'!$Q:$Q, $J15, '자가소비(B)'!$C:$C, $L$1)
  + COUNTIFS('PPA 사업(C)'!$G:$G, AC$2, 'PPA 사업(C)'!$Q:$Q, $J15, 'PPA 사업(C)'!$C:$C, $L$1)
  + COUNTIFS('리스사업(D)'!$G:$G, AC$2, '리스사업(D)'!$Q:$Q, $J15, '리스사업(D)'!$C:$C, $L$1)
  + COUNTIFS('임대사업(E)'!$G:$G, AC$2, '임대사업(E)'!$Q:$Q, $J15, '임대사업(E)'!$C:$C, $L$1)
  + COUNTIFS('환경부사업(F)'!$G:$G, AC$2, '환경부사업(F)'!$Q:$Q, $J15, '환경부사업(F)'!$C:$C, $L$1)
  + COUNTIFS('프로젝트(G)'!$G:$G, AC$2, '프로젝트(G)'!$Q:$Q, $J15, '프로젝트(G)'!$C:$C, $L$1)
  + COUNTIFS('협력사 EPC(H)'!$G:$G, AC$2, '협력사 EPC(H)'!$Q:$Q, $J15, '협력사 EPC(H)'!$C:$C, $L$1)
  + COUNTIFS('기타(Z)'!$G:$G, AC$2, '기타(Z)'!$Q:$Q, $J15, '기타(Z)'!$C:$C, $L$1)
)</f>
        <v/>
      </c>
      <c r="AE15" s="386">
        <f>IF(
  SUM(
    SUMIFS('발전사업(A)'!$I:$I,'발전사업(A)'!$G:$G,AE$2,'발전사업(A)'!$Q:$Q,$J15,'발전사업(A)'!$C:$C,$L$1),
    SUMIFS('자가소비(B)'!$I:$I,'자가소비(B)'!$G:$G,AE$2,'자가소비(B)'!$Q:$Q,$J15,'자가소비(B)'!$C:$C,$L$1),
    SUMIFS('PPA 사업(C)'!$I:$I,'PPA 사업(C)'!$G:$G,AE$2,'PPA 사업(C)'!$Q:$Q,$J15,'PPA 사업(C)'!$C:$C,$L$1),
    SUMIFS('리스사업(D)'!$I:$I,'리스사업(D)'!$G:$G,AE$2,'리스사업(D)'!$Q:$Q,$J15,'리스사업(D)'!$C:$C,$L$1),
    SUMIFS('임대사업(E)'!$I:$I,'임대사업(E)'!$G:$G,AE$2,'임대사업(E)'!$Q:$Q,$J15,'임대사업(E)'!$C:$C,$L$1),
    SUMIFS('환경부사업(F)'!$I:$I,'환경부사업(F)'!$G:$G,AE$2,'환경부사업(F)'!$Q:$Q,$J15,'환경부사업(F)'!$C:$C,$L$1),
    SUMIFS('프로젝트(G)'!$I:$I,'프로젝트(G)'!$G:$G,AE$2,'프로젝트(G)'!$Q:$Q,$J15,'프로젝트(G)'!$C:$C,$L$1),
    SUMIFS('협력사 EPC(H)'!$I:$I,'협력사 EPC(H)'!$G:$G,AE$2,'협력사 EPC(H)'!$Q:$Q,$J15,'협력사 EPC(H)'!$C:$C,$L$1),
    SUMIFS('기타(Z)'!$I:$I,'기타(Z)'!$G:$G,AE$2,'기타(Z)'!$Q:$Q,$J15,'기타(Z)'!$C:$C,$L$1)
  )=0,
  "",
  SUM(
    SUMIFS('발전사업(A)'!$I:$I,'발전사업(A)'!$G:$G,AE$2,'발전사업(A)'!$Q:$Q,$J15,'발전사업(A)'!$C:$C,$L$1),
    SUMIFS('자가소비(B)'!$I:$I,'자가소비(B)'!$G:$G,AE$2,'자가소비(B)'!$Q:$Q,$J15,'자가소비(B)'!$C:$C,$L$1),
    SUMIFS('PPA 사업(C)'!$I:$I,'PPA 사업(C)'!$G:$G,AE$2,'PPA 사업(C)'!$Q:$Q,$J15,'PPA 사업(C)'!$C:$C,$L$1),
    SUMIFS('리스사업(D)'!$I:$I,'리스사업(D)'!$G:$G,AE$2,'리스사업(D)'!$Q:$Q,$J15,'리스사업(D)'!$C:$C,$L$1),
    SUMIFS('임대사업(E)'!$I:$I,'임대사업(E)'!$G:$G,AE$2,'임대사업(E)'!$Q:$Q,$J15,'임대사업(E)'!$C:$C,$L$1),
    SUMIFS('환경부사업(F)'!$I:$I,'환경부사업(F)'!$G:$G,AE$2,'환경부사업(F)'!$Q:$Q,$J15,'환경부사업(F)'!$C:$C,$L$1),
    SUMIFS('프로젝트(G)'!$I:$I,'프로젝트(G)'!$G:$G,AE$2,'프로젝트(G)'!$Q:$Q,$J15,'프로젝트(G)'!$C:$C,$L$1),
    SUMIFS('협력사 EPC(H)'!$I:$I,'협력사 EPC(H)'!$G:$G,AE$2,'협력사 EPC(H)'!$Q:$Q,$J15,'협력사 EPC(H)'!$C:$C,$L$1),
    SUMIFS('기타(Z)'!$I:$I,'기타(Z)'!$G:$G,AE$2,'기타(Z)'!$Q:$Q,$J15,'기타(Z)'!$C:$C,$L$1)
  )
)</f>
        <v>362.24</v>
      </c>
      <c r="AF15" s="387">
        <f>IF(
  SUM(
    COUNTIFS('발전사업(A)'!$G:$G, AE$2, '발전사업(A)'!$Q:$Q, $J15, '발전사업(A)'!$C:$C, $L$1),
    COUNTIFS('자가소비(B)'!$G:$G, AE$2, '자가소비(B)'!$Q:$Q, $J15, '자가소비(B)'!$C:$C, $L$1),
    COUNTIFS('PPA 사업(C)'!$G:$G, AE$2, 'PPA 사업(C)'!$Q:$Q, $J15, 'PPA 사업(C)'!$C:$C, $L$1),
    COUNTIFS('리스사업(D)'!$G:$G, AE$2, '리스사업(D)'!$Q:$Q, $J15, '리스사업(D)'!$C:$C, $L$1),
    COUNTIFS('임대사업(E)'!$G:$G, AE$2, '임대사업(E)'!$Q:$Q, $J15, '임대사업(E)'!$C:$C, $L$1),
    COUNTIFS('환경부사업(F)'!$G:$G, AE$2, '환경부사업(F)'!$Q:$Q, $J15, '환경부사업(F)'!$C:$C, $L$1),
    COUNTIFS('프로젝트(G)'!$G:$G, AE$2, '프로젝트(G)'!$Q:$Q, $J15, '프로젝트(G)'!$C:$C, $L$1),
    COUNTIFS('협력사 EPC(H)'!$G:$G, AE$2, '협력사 EPC(H)'!$Q:$Q, $J15, '협력사 EPC(H)'!$C:$C, $L$1),
    COUNTIFS('기타(Z)'!$G:$G, AE$2, '기타(Z)'!$Q:$Q, $J15, '기타(Z)'!$C:$C, $L$1)
  ) = 0,
  "",
  COUNTIFS('발전사업(A)'!$G:$G, AE$2, '발전사업(A)'!$Q:$Q, $J15, '발전사업(A)'!$C:$C, $L$1)
  + COUNTIFS('자가소비(B)'!$G:$G, AE$2, '자가소비(B)'!$Q:$Q, $J15, '자가소비(B)'!$C:$C, $L$1)
  + COUNTIFS('PPA 사업(C)'!$G:$G, AE$2, 'PPA 사업(C)'!$Q:$Q, $J15, 'PPA 사업(C)'!$C:$C, $L$1)
  + COUNTIFS('리스사업(D)'!$G:$G, AE$2, '리스사업(D)'!$Q:$Q, $J15, '리스사업(D)'!$C:$C, $L$1)
  + COUNTIFS('임대사업(E)'!$G:$G, AE$2, '임대사업(E)'!$Q:$Q, $J15, '임대사업(E)'!$C:$C, $L$1)
  + COUNTIFS('환경부사업(F)'!$G:$G, AE$2, '환경부사업(F)'!$Q:$Q, $J15, '환경부사업(F)'!$C:$C, $L$1)
  + COUNTIFS('프로젝트(G)'!$G:$G, AE$2, '프로젝트(G)'!$Q:$Q, $J15, '프로젝트(G)'!$C:$C, $L$1)
  + COUNTIFS('협력사 EPC(H)'!$G:$G, AE$2, '협력사 EPC(H)'!$Q:$Q, $J15, '협력사 EPC(H)'!$C:$C, $L$1)
  + COUNTIFS('기타(Z)'!$G:$G, AE$2, '기타(Z)'!$Q:$Q, $J15, '기타(Z)'!$C:$C, $L$1)
)</f>
        <v>1</v>
      </c>
      <c r="AG15" s="386" t="str">
        <f>IF(
  SUM(
    SUMIFS('발전사업(A)'!$I:$I,'발전사업(A)'!$G:$G,AG$2,'발전사업(A)'!$Q:$Q,$J15,'발전사업(A)'!$C:$C,$L$1),
    SUMIFS('자가소비(B)'!$I:$I,'자가소비(B)'!$G:$G,AG$2,'자가소비(B)'!$Q:$Q,$J15,'자가소비(B)'!$C:$C,$L$1),
    SUMIFS('PPA 사업(C)'!$I:$I,'PPA 사업(C)'!$G:$G,AG$2,'PPA 사업(C)'!$Q:$Q,$J15,'PPA 사업(C)'!$C:$C,$L$1),
    SUMIFS('리스사업(D)'!$I:$I,'리스사업(D)'!$G:$G,AG$2,'리스사업(D)'!$Q:$Q,$J15,'리스사업(D)'!$C:$C,$L$1),
    SUMIFS('임대사업(E)'!$I:$I,'임대사업(E)'!$G:$G,AG$2,'임대사업(E)'!$Q:$Q,$J15,'임대사업(E)'!$C:$C,$L$1),
    SUMIFS('환경부사업(F)'!$I:$I,'환경부사업(F)'!$G:$G,AG$2,'환경부사업(F)'!$Q:$Q,$J15,'환경부사업(F)'!$C:$C,$L$1),
    SUMIFS('프로젝트(G)'!$I:$I,'프로젝트(G)'!$G:$G,AG$2,'프로젝트(G)'!$Q:$Q,$J15,'프로젝트(G)'!$C:$C,$L$1),
    SUMIFS('협력사 EPC(H)'!$I:$I,'협력사 EPC(H)'!$G:$G,AG$2,'협력사 EPC(H)'!$Q:$Q,$J15,'협력사 EPC(H)'!$C:$C,$L$1),
    SUMIFS('기타(Z)'!$I:$I,'기타(Z)'!$G:$G,AG$2,'기타(Z)'!$Q:$Q,$J15,'기타(Z)'!$C:$C,$L$1)
  )=0,
  "",
  SUM(
    SUMIFS('발전사업(A)'!$I:$I,'발전사업(A)'!$G:$G,AG$2,'발전사업(A)'!$Q:$Q,$J15,'발전사업(A)'!$C:$C,$L$1),
    SUMIFS('자가소비(B)'!$I:$I,'자가소비(B)'!$G:$G,AG$2,'자가소비(B)'!$Q:$Q,$J15,'자가소비(B)'!$C:$C,$L$1),
    SUMIFS('PPA 사업(C)'!$I:$I,'PPA 사업(C)'!$G:$G,AG$2,'PPA 사업(C)'!$Q:$Q,$J15,'PPA 사업(C)'!$C:$C,$L$1),
    SUMIFS('리스사업(D)'!$I:$I,'리스사업(D)'!$G:$G,AG$2,'리스사업(D)'!$Q:$Q,$J15,'리스사업(D)'!$C:$C,$L$1),
    SUMIFS('임대사업(E)'!$I:$I,'임대사업(E)'!$G:$G,AG$2,'임대사업(E)'!$Q:$Q,$J15,'임대사업(E)'!$C:$C,$L$1),
    SUMIFS('환경부사업(F)'!$I:$I,'환경부사업(F)'!$G:$G,AG$2,'환경부사업(F)'!$Q:$Q,$J15,'환경부사업(F)'!$C:$C,$L$1),
    SUMIFS('프로젝트(G)'!$I:$I,'프로젝트(G)'!$G:$G,AG$2,'프로젝트(G)'!$Q:$Q,$J15,'프로젝트(G)'!$C:$C,$L$1),
    SUMIFS('협력사 EPC(H)'!$I:$I,'협력사 EPC(H)'!$G:$G,AG$2,'협력사 EPC(H)'!$Q:$Q,$J15,'협력사 EPC(H)'!$C:$C,$L$1),
    SUMIFS('기타(Z)'!$I:$I,'기타(Z)'!$G:$G,AG$2,'기타(Z)'!$Q:$Q,$J15,'기타(Z)'!$C:$C,$L$1)
  )
)</f>
        <v/>
      </c>
      <c r="AH15" s="387" t="str">
        <f>IF(
  SUM(
    COUNTIFS('발전사업(A)'!$G:$G, AG$2, '발전사업(A)'!$Q:$Q, $J15, '발전사업(A)'!$C:$C, $L$1),
    COUNTIFS('자가소비(B)'!$G:$G, AG$2, '자가소비(B)'!$Q:$Q, $J15, '자가소비(B)'!$C:$C, $L$1),
    COUNTIFS('PPA 사업(C)'!$G:$G, AG$2, 'PPA 사업(C)'!$Q:$Q, $J15, 'PPA 사업(C)'!$C:$C, $L$1),
    COUNTIFS('리스사업(D)'!$G:$G, AG$2, '리스사업(D)'!$Q:$Q, $J15, '리스사업(D)'!$C:$C, $L$1),
    COUNTIFS('임대사업(E)'!$G:$G, AG$2, '임대사업(E)'!$Q:$Q, $J15, '임대사업(E)'!$C:$C, $L$1),
    COUNTIFS('환경부사업(F)'!$G:$G, AG$2, '환경부사업(F)'!$Q:$Q, $J15, '환경부사업(F)'!$C:$C, $L$1),
    COUNTIFS('프로젝트(G)'!$G:$G, AG$2, '프로젝트(G)'!$Q:$Q, $J15, '프로젝트(G)'!$C:$C, $L$1),
    COUNTIFS('협력사 EPC(H)'!$G:$G, AG$2, '협력사 EPC(H)'!$Q:$Q, $J15, '협력사 EPC(H)'!$C:$C, $L$1),
    COUNTIFS('기타(Z)'!$G:$G, AG$2, '기타(Z)'!$Q:$Q, $J15, '기타(Z)'!$C:$C, $L$1)
  ) = 0,
  "",
  COUNTIFS('발전사업(A)'!$G:$G, AG$2, '발전사업(A)'!$Q:$Q, $J15, '발전사업(A)'!$C:$C, $L$1)
  + COUNTIFS('자가소비(B)'!$G:$G, AG$2, '자가소비(B)'!$Q:$Q, $J15, '자가소비(B)'!$C:$C, $L$1)
  + COUNTIFS('PPA 사업(C)'!$G:$G, AG$2, 'PPA 사업(C)'!$Q:$Q, $J15, 'PPA 사업(C)'!$C:$C, $L$1)
  + COUNTIFS('리스사업(D)'!$G:$G, AG$2, '리스사업(D)'!$Q:$Q, $J15, '리스사업(D)'!$C:$C, $L$1)
  + COUNTIFS('임대사업(E)'!$G:$G, AG$2, '임대사업(E)'!$Q:$Q, $J15, '임대사업(E)'!$C:$C, $L$1)
  + COUNTIFS('환경부사업(F)'!$G:$G, AG$2, '환경부사업(F)'!$Q:$Q, $J15, '환경부사업(F)'!$C:$C, $L$1)
  + COUNTIFS('프로젝트(G)'!$G:$G, AG$2, '프로젝트(G)'!$Q:$Q, $J15, '프로젝트(G)'!$C:$C, $L$1)
  + COUNTIFS('협력사 EPC(H)'!$G:$G, AG$2, '협력사 EPC(H)'!$Q:$Q, $J15, '협력사 EPC(H)'!$C:$C, $L$1)
  + COUNTIFS('기타(Z)'!$G:$G, AG$2, '기타(Z)'!$Q:$Q, $J15, '기타(Z)'!$C:$C, $L$1)
)</f>
        <v/>
      </c>
      <c r="AI15" s="386" t="str">
        <f>IF(
  SUM(
    SUMIFS('발전사업(A)'!$I:$I,'발전사업(A)'!$G:$G,AI$2,'발전사업(A)'!$Q:$Q,$J15,'발전사업(A)'!$C:$C,$L$1),
    SUMIFS('자가소비(B)'!$I:$I,'자가소비(B)'!$G:$G,AI$2,'자가소비(B)'!$Q:$Q,$J15,'자가소비(B)'!$C:$C,$L$1),
    SUMIFS('PPA 사업(C)'!$I:$I,'PPA 사업(C)'!$G:$G,AI$2,'PPA 사업(C)'!$Q:$Q,$J15,'PPA 사업(C)'!$C:$C,$L$1),
    SUMIFS('리스사업(D)'!$I:$I,'리스사업(D)'!$G:$G,AI$2,'리스사업(D)'!$Q:$Q,$J15,'리스사업(D)'!$C:$C,$L$1),
    SUMIFS('임대사업(E)'!$I:$I,'임대사업(E)'!$G:$G,AI$2,'임대사업(E)'!$Q:$Q,$J15,'임대사업(E)'!$C:$C,$L$1),
    SUMIFS('환경부사업(F)'!$I:$I,'환경부사업(F)'!$G:$G,AI$2,'환경부사업(F)'!$Q:$Q,$J15,'환경부사업(F)'!$C:$C,$L$1),
    SUMIFS('프로젝트(G)'!$I:$I,'프로젝트(G)'!$G:$G,AI$2,'프로젝트(G)'!$Q:$Q,$J15,'프로젝트(G)'!$C:$C,$L$1),
    SUMIFS('협력사 EPC(H)'!$I:$I,'협력사 EPC(H)'!$G:$G,AI$2,'협력사 EPC(H)'!$Q:$Q,$J15,'협력사 EPC(H)'!$C:$C,$L$1),
    SUMIFS('기타(Z)'!$I:$I,'기타(Z)'!$G:$G,AI$2,'기타(Z)'!$Q:$Q,$J15,'기타(Z)'!$C:$C,$L$1)
  )=0,
  "",
  SUM(
    SUMIFS('발전사업(A)'!$I:$I,'발전사업(A)'!$G:$G,AI$2,'발전사업(A)'!$Q:$Q,$J15,'발전사업(A)'!$C:$C,$L$1),
    SUMIFS('자가소비(B)'!$I:$I,'자가소비(B)'!$G:$G,AI$2,'자가소비(B)'!$Q:$Q,$J15,'자가소비(B)'!$C:$C,$L$1),
    SUMIFS('PPA 사업(C)'!$I:$I,'PPA 사업(C)'!$G:$G,AI$2,'PPA 사업(C)'!$Q:$Q,$J15,'PPA 사업(C)'!$C:$C,$L$1),
    SUMIFS('리스사업(D)'!$I:$I,'리스사업(D)'!$G:$G,AI$2,'리스사업(D)'!$Q:$Q,$J15,'리스사업(D)'!$C:$C,$L$1),
    SUMIFS('임대사업(E)'!$I:$I,'임대사업(E)'!$G:$G,AI$2,'임대사업(E)'!$Q:$Q,$J15,'임대사업(E)'!$C:$C,$L$1),
    SUMIFS('환경부사업(F)'!$I:$I,'환경부사업(F)'!$G:$G,AI$2,'환경부사업(F)'!$Q:$Q,$J15,'환경부사업(F)'!$C:$C,$L$1),
    SUMIFS('프로젝트(G)'!$I:$I,'프로젝트(G)'!$G:$G,AI$2,'프로젝트(G)'!$Q:$Q,$J15,'프로젝트(G)'!$C:$C,$L$1),
    SUMIFS('협력사 EPC(H)'!$I:$I,'협력사 EPC(H)'!$G:$G,AI$2,'협력사 EPC(H)'!$Q:$Q,$J15,'협력사 EPC(H)'!$C:$C,$L$1),
    SUMIFS('기타(Z)'!$I:$I,'기타(Z)'!$G:$G,AI$2,'기타(Z)'!$Q:$Q,$J15,'기타(Z)'!$C:$C,$L$1)
  )
)</f>
        <v/>
      </c>
      <c r="AJ15" s="385" t="str">
        <f>IF(
  SUM(
    COUNTIFS('발전사업(A)'!$G:$G, AI$2, '발전사업(A)'!$Q:$Q, $J15, '발전사업(A)'!$C:$C, $L$1),
    COUNTIFS('자가소비(B)'!$G:$G, AI$2, '자가소비(B)'!$Q:$Q, $J15, '자가소비(B)'!$C:$C, $L$1),
    COUNTIFS('PPA 사업(C)'!$G:$G, AI$2, 'PPA 사업(C)'!$Q:$Q, $J15, 'PPA 사업(C)'!$C:$C, $L$1),
    COUNTIFS('리스사업(D)'!$G:$G, AI$2, '리스사업(D)'!$Q:$Q, $J15, '리스사업(D)'!$C:$C, $L$1),
    COUNTIFS('임대사업(E)'!$G:$G, AI$2, '임대사업(E)'!$Q:$Q, $J15, '임대사업(E)'!$C:$C, $L$1),
    COUNTIFS('환경부사업(F)'!$G:$G, AI$2, '환경부사업(F)'!$Q:$Q, $J15, '환경부사업(F)'!$C:$C, $L$1),
    COUNTIFS('프로젝트(G)'!$G:$G, AI$2, '프로젝트(G)'!$Q:$Q, $J15, '프로젝트(G)'!$C:$C, $L$1),
    COUNTIFS('협력사 EPC(H)'!$G:$G, AI$2, '협력사 EPC(H)'!$Q:$Q, $J15, '협력사 EPC(H)'!$C:$C, $L$1),
    COUNTIFS('기타(Z)'!$G:$G, AI$2, '기타(Z)'!$Q:$Q, $J15, '기타(Z)'!$C:$C, $L$1)
  ) = 0,
  "",
  COUNTIFS('발전사업(A)'!$G:$G, AI$2, '발전사업(A)'!$Q:$Q, $J15, '발전사업(A)'!$C:$C, $L$1)
  + COUNTIFS('자가소비(B)'!$G:$G, AI$2, '자가소비(B)'!$Q:$Q, $J15, '자가소비(B)'!$C:$C, $L$1)
  + COUNTIFS('PPA 사업(C)'!$G:$G, AI$2, 'PPA 사업(C)'!$Q:$Q, $J15, 'PPA 사업(C)'!$C:$C, $L$1)
  + COUNTIFS('리스사업(D)'!$G:$G, AI$2, '리스사업(D)'!$Q:$Q, $J15, '리스사업(D)'!$C:$C, $L$1)
  + COUNTIFS('임대사업(E)'!$G:$G, AI$2, '임대사업(E)'!$Q:$Q, $J15, '임대사업(E)'!$C:$C, $L$1)
  + COUNTIFS('환경부사업(F)'!$G:$G, AI$2, '환경부사업(F)'!$Q:$Q, $J15, '환경부사업(F)'!$C:$C, $L$1)
  + COUNTIFS('프로젝트(G)'!$G:$G, AI$2, '프로젝트(G)'!$Q:$Q, $J15, '프로젝트(G)'!$C:$C, $L$1)
  + COUNTIFS('협력사 EPC(H)'!$G:$G, AI$2, '협력사 EPC(H)'!$Q:$Q, $J15, '협력사 EPC(H)'!$C:$C, $L$1)
  + COUNTIFS('기타(Z)'!$G:$G, AI$2, '기타(Z)'!$Q:$Q, $J15, '기타(Z)'!$C:$C, $L$1)
)</f>
        <v/>
      </c>
    </row>
    <row r="16" spans="2:36" ht="16.5" x14ac:dyDescent="0.25">
      <c r="B16" s="202" t="s">
        <v>270</v>
      </c>
      <c r="C16" s="280">
        <f>IF(
  SUM(
    SUMIFS('발전사업(A)'!I:I, '발전사업(A)'!C:C, $E$1, '발전사업(A)'!G:G, B15, '발전사업(A)'!W:W, B16),
    SUMIFS('자가소비(B)'!I:I, '자가소비(B)'!C:C, $E$1, '자가소비(B)'!G:G, B15, '자가소비(B)'!W:W, B16),
    SUMIFS('PPA 사업(C)'!I:I, 'PPA 사업(C)'!C:C, $E$1, 'PPA 사업(C)'!G:G, B15, 'PPA 사업(C)'!W:W, B16),
    SUMIFS('리스사업(D)'!I:I, '리스사업(D)'!C:C, $E$1, '리스사업(D)'!G:G, B15, '리스사업(D)'!W:W, B16),
    SUMIFS('임대사업(E)'!I:I, '임대사업(E)'!C:C, $E$1, '임대사업(E)'!G:G, B15, '임대사업(E)'!W:W, B16),
    SUMIFS('환경부사업(F)'!I:I, '환경부사업(F)'!C:C, $E$1, '환경부사업(F)'!G:G, B15, '환경부사업(F)'!W:W, B16),
    SUMIFS('프로젝트(G)'!I:I, '프로젝트(G)'!C:C, $E$1, '프로젝트(G)'!G:G, B15, '프로젝트(G)'!W:W, B16),
    SUMIFS('협력사 EPC(H)'!I:I, '협력사 EPC(H)'!C:C, $E$1, '협력사 EPC(H)'!G:G, B15, '협력사 EPC(H)'!W:W, B16),
    SUMIFS('기타(Z)'!I:I, '기타(Z)'!C:C, $E$1, '기타(Z)'!G:G, B15, '기타(Z)'!W:W, B16)
  ) = 0,
  "",
  SUMIFS('발전사업(A)'!I:I, '발전사업(A)'!C:C, $E$1, '발전사업(A)'!G:G, B15, '발전사업(A)'!W:W, B16)
  + SUMIFS('자가소비(B)'!I:I, '자가소비(B)'!C:C, $E$1, '자가소비(B)'!G:G, B15, '자가소비(B)'!W:W, B16)
  + SUMIFS('PPA 사업(C)'!I:I, 'PPA 사업(C)'!C:C, $E$1, 'PPA 사업(C)'!G:G, B15, 'PPA 사업(C)'!W:W, B16)
  + SUMIFS('리스사업(D)'!I:I, '리스사업(D)'!C:C, $E$1, '리스사업(D)'!G:G, B15, '리스사업(D)'!W:W, B16)
  + SUMIFS('임대사업(E)'!I:I, '임대사업(E)'!C:C, $E$1, '임대사업(E)'!G:G, B15, '임대사업(E)'!W:W, B16)
  + SUMIFS('환경부사업(F)'!I:I, '환경부사업(F)'!C:C, $E$1, '환경부사업(F)'!G:G, B15, '환경부사업(F)'!W:W, B16)
  + SUMIFS('프로젝트(G)'!I:I, '프로젝트(G)'!C:C, $E$1, '프로젝트(G)'!G:G, B15, '프로젝트(G)'!W:W, B16)
  + SUMIFS('협력사 EPC(H)'!I:I, '협력사 EPC(H)'!C:C, $E$1, '협력사 EPC(H)'!G:G, B15, '협력사 EPC(H)'!W:W, B16)
  + SUMIFS('기타(Z)'!I:I, '기타(Z)'!C:C, $E$1, '기타(Z)'!G:G, B15, '기타(Z)'!W:W, B16)
)</f>
        <v>2062.81</v>
      </c>
      <c r="D16" s="281">
        <f>IF(
  COUNTIFS('발전사업(A)'!C:C, $E$1, '발전사업(A)'!G:G, B15, '발전사업(A)'!W:W, B16)
  + COUNTIFS('자가소비(B)'!C:C, $E$1, '자가소비(B)'!G:G, B15, '자가소비(B)'!W:W, B16)
  + COUNTIFS('PPA 사업(C)'!C:C, $E$1, 'PPA 사업(C)'!G:G, B15, 'PPA 사업(C)'!W:W, B16)
  + COUNTIFS('리스사업(D)'!C:C, $E$1, '리스사업(D)'!G:G, B15, '리스사업(D)'!W:W, B16)
  + COUNTIFS('임대사업(E)'!C:C, $E$1, '임대사업(E)'!G:G, B15, '임대사업(E)'!W:W, B16)
  + COUNTIFS('환경부사업(F)'!C:C, $E$1, '환경부사업(F)'!G:G, B15, '환경부사업(F)'!W:W, B16)
  + COUNTIFS('프로젝트(G)'!C:C, $E$1, '프로젝트(G)'!G:G, B15, '프로젝트(G)'!W:W, B16)
  + COUNTIFS('협력사 EPC(H)'!C:C, $E$1, '협력사 EPC(H)'!G:G, B15, '협력사 EPC(H)'!W:W, B16)
  + COUNTIFS('기타(Z)'!C:C, $E$1, '기타(Z)'!G:G, B15, '기타(Z)'!W:W, B16)
  = 0,
  "",
  COUNTIFS('발전사업(A)'!C:C, $E$1, '발전사업(A)'!G:G, B15, '발전사업(A)'!W:W, B16)
  + COUNTIFS('자가소비(B)'!C:C, $E$1, '자가소비(B)'!G:G, B15, '자가소비(B)'!W:W, B16)
  + COUNTIFS('PPA 사업(C)'!C:C, $E$1, 'PPA 사업(C)'!G:G, B15, 'PPA 사업(C)'!W:W, B16)
  + COUNTIFS('리스사업(D)'!C:C, $E$1, '리스사업(D)'!G:G, B15, '리스사업(D)'!W:W, B16)
  + COUNTIFS('임대사업(E)'!C:C, $E$1, '임대사업(E)'!G:G, B15, '임대사업(E)'!W:W, B16)
  + COUNTIFS('환경부사업(F)'!C:C, $E$1, '환경부사업(F)'!G:G, B15, '환경부사업(F)'!W:W, B16)
  + COUNTIFS('프로젝트(G)'!C:C, $E$1, '프로젝트(G)'!G:G, B15, '프로젝트(G)'!W:W, B16)
  + COUNTIFS('협력사 EPC(H)'!C:C, $E$1, '협력사 EPC(H)'!G:G, B15, '협력사 EPC(H)'!W:W, B16)
  + COUNTIFS('기타(Z)'!C:C, $E$1, '기타(Z)'!G:G, B15, '기타(Z)'!W:W, B16)
)</f>
        <v>3</v>
      </c>
      <c r="E16" s="280">
        <f>IF(
  SUM(
    SUMIFS('발전사업(A)'!I:I, '발전사업(A)'!C:C, $E$1, '발전사업(A)'!G:G, B15, '발전사업(A)'!W:W, B16, '발전사업(A)'!U:U, $C$1),
    SUMIFS('자가소비(B)'!I:I, '자가소비(B)'!C:C, $E$1, '자가소비(B)'!G:G, B15, '자가소비(B)'!W:W, B16, '자가소비(B)'!U:U, $C$1),
    SUMIFS('PPA 사업(C)'!I:I, 'PPA 사업(C)'!C:C, $E$1, 'PPA 사업(C)'!G:G, B15, 'PPA 사업(C)'!W:W, B16, 'PPA 사업(C)'!U:U, $C$1),
    SUMIFS('리스사업(D)'!I:I, '리스사업(D)'!C:C, $E$1, '리스사업(D)'!G:G, B15, '리스사업(D)'!W:W, B16, '리스사업(D)'!U:U, $C$1),
    SUMIFS('임대사업(E)'!I:I, '임대사업(E)'!C:C, $E$1, '임대사업(E)'!G:G, B15, '임대사업(E)'!W:W, B16, '임대사업(E)'!U:U, $C$1),
    SUMIFS('환경부사업(F)'!I:I, '환경부사업(F)'!C:C, $E$1, '환경부사업(F)'!G:G, B15, '환경부사업(F)'!W:W, B16, '환경부사업(F)'!U:U, $C$1),
    SUMIFS('프로젝트(G)'!I:I, '프로젝트(G)'!C:C, $E$1, '프로젝트(G)'!G:G, B15, '프로젝트(G)'!W:W, B16, '프로젝트(G)'!U:U, $C$1),
    SUMIFS('협력사 EPC(H)'!I:I, '협력사 EPC(H)'!C:C, $E$1, '협력사 EPC(H)'!G:G, B15, '협력사 EPC(H)'!W:W, B16, '협력사 EPC(H)'!U:U, $C$1),
    SUMIFS('기타(Z)'!I:I, '기타(Z)'!C:C, $E$1, '기타(Z)'!G:G, B15, '기타(Z)'!W:W, B16, '기타(Z)'!U:U, $C$1)
  ) = 0,
  "",
  SUM(
    SUMIFS('발전사업(A)'!I:I, '발전사업(A)'!C:C, $E$1, '발전사업(A)'!G:G, B15, '발전사업(A)'!W:W, B16, '발전사업(A)'!U:U, $C$1),
    SUMIFS('자가소비(B)'!I:I, '자가소비(B)'!C:C, $E$1, '자가소비(B)'!G:G, B15, '자가소비(B)'!W:W, B16, '자가소비(B)'!U:U, $C$1),
    SUMIFS('PPA 사업(C)'!I:I, 'PPA 사업(C)'!C:C, $E$1, 'PPA 사업(C)'!G:G, B15, 'PPA 사업(C)'!W:W, B16, 'PPA 사업(C)'!U:U, $C$1),
    SUMIFS('리스사업(D)'!I:I, '리스사업(D)'!C:C, $E$1, '리스사업(D)'!G:G, B15, '리스사업(D)'!W:W, B16, '리스사업(D)'!U:U, $C$1),
    SUMIFS('임대사업(E)'!I:I, '임대사업(E)'!C:C, $E$1, '임대사업(E)'!G:G, B15, '임대사업(E)'!W:W, B16, '임대사업(E)'!U:U, $C$1),
    SUMIFS('환경부사업(F)'!I:I, '환경부사업(F)'!C:C, $E$1, '환경부사업(F)'!G:G, B15, '환경부사업(F)'!W:W, B16, '환경부사업(F)'!U:U, $C$1),
    SUMIFS('프로젝트(G)'!I:I, '프로젝트(G)'!C:C, $E$1, '프로젝트(G)'!G:G, B15, '프로젝트(G)'!W:W, B16, '프로젝트(G)'!U:U, $C$1),
    SUMIFS('협력사 EPC(H)'!I:I, '협력사 EPC(H)'!C:C, $E$1, '협력사 EPC(H)'!G:G, B15, '협력사 EPC(H)'!W:W, B16, '협력사 EPC(H)'!U:U, $C$1),
    SUMIFS('기타(Z)'!I:I, '기타(Z)'!C:C, $E$1, '기타(Z)'!G:G, B15, '기타(Z)'!W:W, B16, '기타(Z)'!U:U, $C$1)
  )
)</f>
        <v>1126.4000000000001</v>
      </c>
      <c r="F16" s="281">
        <f>IF(
  SUM(
    COUNTIFS('발전사업(A)'!C:C, $E$1, '발전사업(A)'!G:G, B15, '발전사업(A)'!W:W, B16, '발전사업(A)'!U:U, $C$1),
    COUNTIFS('자가소비(B)'!C:C, $E$1, '자가소비(B)'!G:G, B15, '자가소비(B)'!W:W, B16, '자가소비(B)'!U:U, $C$1),
    COUNTIFS('PPA 사업(C)'!C:C, $E$1, 'PPA 사업(C)'!G:G, B15, 'PPA 사업(C)'!W:W, B16, 'PPA 사업(C)'!U:U, $C$1),
    COUNTIFS('리스사업(D)'!C:C, $E$1, '리스사업(D)'!G:G, B15, '리스사업(D)'!W:W, B16, '리스사업(D)'!U:U, $C$1),
    COUNTIFS('임대사업(E)'!C:C, $E$1, '임대사업(E)'!G:G, B15, '임대사업(E)'!W:W, B16, '임대사업(E)'!U:U, $C$1),
    COUNTIFS('환경부사업(F)'!C:C, $E$1, '환경부사업(F)'!G:G, B15, '환경부사업(F)'!W:W, B16, '환경부사업(F)'!U:U, $C$1),
    COUNTIFS('프로젝트(G)'!C:C, $E$1, '프로젝트(G)'!G:G, B15, '프로젝트(G)'!W:W, B16, '프로젝트(G)'!U:U, $C$1),
    COUNTIFS('협력사 EPC(H)'!C:C, $E$1, '협력사 EPC(H)'!G:G, B15, '협력사 EPC(H)'!W:W, B16, '협력사 EPC(H)'!U:U, $C$1),
    COUNTIFS('기타(Z)'!C:C, $E$1, '기타(Z)'!G:G, B15, '기타(Z)'!W:W, B16, '기타(Z)'!U:U, $C$1)
  ) = 0,
  "",
  SUM(
    COUNTIFS('발전사업(A)'!C:C, $E$1, '발전사업(A)'!G:G, B15, '발전사업(A)'!W:W, B16, '발전사업(A)'!U:U, $C$1),
    COUNTIFS('자가소비(B)'!C:C, $E$1, '자가소비(B)'!G:G, B15, '자가소비(B)'!W:W, B16, '자가소비(B)'!U:U, $C$1),
    COUNTIFS('PPA 사업(C)'!C:C, $E$1, 'PPA 사업(C)'!G:G, B15, 'PPA 사업(C)'!W:W, B16, 'PPA 사업(C)'!U:U, $C$1),
    COUNTIFS('리스사업(D)'!C:C, $E$1, '리스사업(D)'!G:G, B15, '리스사업(D)'!W:W, B16, '리스사업(D)'!U:U, $C$1),
    COUNTIFS('임대사업(E)'!C:C, $E$1, '임대사업(E)'!G:G, B15, '임대사업(E)'!W:W, B16, '임대사업(E)'!U:U, $C$1),
    COUNTIFS('환경부사업(F)'!C:C, $E$1, '환경부사업(F)'!G:G, B15, '환경부사업(F)'!W:W, B16, '환경부사업(F)'!U:U, $C$1),
    COUNTIFS('프로젝트(G)'!C:C, $E$1, '프로젝트(G)'!G:G, B15, '프로젝트(G)'!W:W, B16, '프로젝트(G)'!U:U, $C$1),
    COUNTIFS('협력사 EPC(H)'!C:C, $E$1, '협력사 EPC(H)'!G:G, B15, '협력사 EPC(H)'!W:W, B16, '협력사 EPC(H)'!U:U, $C$1),
    COUNTIFS('기타(Z)'!C:C, $E$1, '기타(Z)'!G:G, B15, '기타(Z)'!W:W, B16, '기타(Z)'!U:U, $C$1)
  )
)</f>
        <v>1</v>
      </c>
      <c r="G16" s="280">
        <f>IF(
  SUM(
    SUMIFS('발전사업(A)'!I:I, '발전사업(A)'!C:C, $E$1, '발전사업(A)'!G:G, B15, '발전사업(A)'!W:W, B16, '발전사업(A)'!U:U, $D$1),
    SUMIFS('자가소비(B)'!I:I, '자가소비(B)'!C:C, $E$1, '자가소비(B)'!G:G, B15, '자가소비(B)'!W:W, B16, '자가소비(B)'!U:U, $D$1),
    SUMIFS('PPA 사업(C)'!I:I, 'PPA 사업(C)'!C:C, $E$1, 'PPA 사업(C)'!G:G, B15, 'PPA 사업(C)'!W:W, B16, 'PPA 사업(C)'!U:U, $D$1),
    SUMIFS('리스사업(D)'!I:I, '리스사업(D)'!C:C, $E$1, '리스사업(D)'!G:G, B15, '리스사업(D)'!W:W, B16, '리스사업(D)'!U:U, $D$1),
    SUMIFS('임대사업(E)'!I:I, '임대사업(E)'!C:C, $E$1, '임대사업(E)'!G:G, B15, '임대사업(E)'!W:W, B16, '임대사업(E)'!U:U, $D$1),
    SUMIFS('환경부사업(F)'!I:I, '환경부사업(F)'!C:C, $E$1, '환경부사업(F)'!G:G, B15, '환경부사업(F)'!W:W, B16, '환경부사업(F)'!U:U, $D$1),
    SUMIFS('프로젝트(G)'!I:I, '프로젝트(G)'!C:C, $E$1, '프로젝트(G)'!G:G, B15, '프로젝트(G)'!W:W, B16, '프로젝트(G)'!U:U, $D$1),
    SUMIFS('협력사 EPC(H)'!I:I, '협력사 EPC(H)'!C:C, $E$1, '협력사 EPC(H)'!G:G, B15, '협력사 EPC(H)'!W:W, B16, '협력사 EPC(H)'!U:U, $D$1),
    SUMIFS('기타(Z)'!I:I, '기타(Z)'!C:C, $E$1, '기타(Z)'!G:G, B15, '기타(Z)'!W:W, B16, '기타(Z)'!U:U, $D$1)
  ) = 0,
  "",
  SUM(
    SUMIFS('발전사업(A)'!I:I, '발전사업(A)'!C:C, $E$1, '발전사업(A)'!G:G, B15, '발전사업(A)'!W:W, B16, '발전사업(A)'!U:U, $D$1),
    SUMIFS('자가소비(B)'!I:I, '자가소비(B)'!C:C, $E$1, '자가소비(B)'!G:G, B15, '자가소비(B)'!W:W, B16, '자가소비(B)'!U:U, $D$1),
    SUMIFS('PPA 사업(C)'!I:I, 'PPA 사업(C)'!C:C, $E$1, 'PPA 사업(C)'!G:G, B15, 'PPA 사업(C)'!W:W, B16, 'PPA 사업(C)'!U:U, $D$1),
    SUMIFS('리스사업(D)'!I:I, '리스사업(D)'!C:C, $E$1, '리스사업(D)'!G:G, B15, '리스사업(D)'!W:W, B16, '리스사업(D)'!U:U, $D$1),
    SUMIFS('임대사업(E)'!I:I, '임대사업(E)'!C:C, $E$1, '임대사업(E)'!G:G, B15, '임대사업(E)'!W:W, B16, '임대사업(E)'!U:U, $D$1),
    SUMIFS('환경부사업(F)'!I:I, '환경부사업(F)'!C:C, $E$1, '환경부사업(F)'!G:G, B15, '환경부사업(F)'!W:W, B16, '환경부사업(F)'!U:U, $D$1),
    SUMIFS('프로젝트(G)'!I:I, '프로젝트(G)'!C:C, $E$1, '프로젝트(G)'!G:G, B15, '프로젝트(G)'!W:W, B16, '프로젝트(G)'!U:U, $D$1),
    SUMIFS('협력사 EPC(H)'!I:I, '협력사 EPC(H)'!C:C, $E$1, '협력사 EPC(H)'!G:G, B15, '협력사 EPC(H)'!W:W, B16, '협력사 EPC(H)'!U:U, $D$1),
    SUMIFS('기타(Z)'!I:I, '기타(Z)'!C:C, $E$1, '기타(Z)'!G:G, B15, '기타(Z)'!W:W, B16, '기타(Z)'!U:U, $D$1)
  )
)</f>
        <v>936.41</v>
      </c>
      <c r="H16" s="281">
        <f>IF(
  (
    COUNTIFS('발전사업(A)'!C:C, $E$1, '발전사업(A)'!G:G, B15, '발전사업(A)'!W:W, B16, '발전사업(A)'!U:U, $D$1)
    + COUNTIFS('자가소비(B)'!C:C, $E$1, '자가소비(B)'!G:G, B15, '자가소비(B)'!W:W, B16, '자가소비(B)'!U:U, $D$1)
    + COUNTIFS('PPA 사업(C)'!C:C, $E$1, 'PPA 사업(C)'!G:G, B15, 'PPA 사업(C)'!W:W, B16, 'PPA 사업(C)'!U:U, $D$1)
    + COUNTIFS('리스사업(D)'!C:C, $E$1, '리스사업(D)'!G:G, B15, '리스사업(D)'!W:W, B16, '리스사업(D)'!U:U, $D$1)
    + COUNTIFS('임대사업(E)'!C:C, $E$1, '임대사업(E)'!G:G, B15, '임대사업(E)'!W:W, B16, '임대사업(E)'!U:U, $D$1)
    + COUNTIFS('환경부사업(F)'!C:C, $E$1, '환경부사업(F)'!G:G, B15, '환경부사업(F)'!W:W, B16, '환경부사업(F)'!U:U, $D$1)
    + COUNTIFS('프로젝트(G)'!C:C, $E$1, '프로젝트(G)'!G:G, B15, '프로젝트(G)'!W:W, B16, '프로젝트(G)'!U:U, $D$1)
    + COUNTIFS('협력사 EPC(H)'!C:C, $E$1, '협력사 EPC(H)'!G:G, B15, '협력사 EPC(H)'!W:W, B16, '협력사 EPC(H)'!U:U, $D$1)
    + COUNTIFS('기타(Z)'!C:C, $E$1, '기타(Z)'!G:G, B15, '기타(Z)'!W:W, B16, '기타(Z)'!U:U, $D$1)
  ) = 0,
  "",
  COUNTIFS('발전사업(A)'!C:C, $E$1, '발전사업(A)'!G:G, B15, '발전사업(A)'!W:W, B16, '발전사업(A)'!U:U, $D$1)
  + COUNTIFS('자가소비(B)'!C:C, $E$1, '자가소비(B)'!G:G, B15, '자가소비(B)'!W:W, B16, '자가소비(B)'!U:U, $D$1)
  + COUNTIFS('PPA 사업(C)'!C:C, $E$1, 'PPA 사업(C)'!G:G, B15, 'PPA 사업(C)'!W:W, B16, 'PPA 사업(C)'!U:U, $D$1)
  + COUNTIFS('리스사업(D)'!C:C, $E$1, '리스사업(D)'!G:G, B15, '리스사업(D)'!W:W, B16, '리스사업(D)'!U:U, $D$1)
  + COUNTIFS('임대사업(E)'!C:C, $E$1, '임대사업(E)'!G:G, B15, '임대사업(E)'!W:W, B16, '임대사업(E)'!U:U, $D$1)
  + COUNTIFS('환경부사업(F)'!C:C, $E$1, '환경부사업(F)'!G:G, B15, '환경부사업(F)'!W:W, B16, '환경부사업(F)'!U:U, $D$1)
  + COUNTIFS('프로젝트(G)'!C:C, $E$1, '프로젝트(G)'!G:G, B15, '프로젝트(G)'!W:W, B16, '프로젝트(G)'!U:U, $D$1)
  + COUNTIFS('협력사 EPC(H)'!C:C, $E$1, '협력사 EPC(H)'!G:G, B15, '협력사 EPC(H)'!W:W, B16, '협력사 EPC(H)'!U:U, $D$1)
  + COUNTIFS('기타(Z)'!C:C, $E$1, '기타(Z)'!G:G, B15, '기타(Z)'!W:W, B16, '기타(Z)'!U:U, $D$1)
)</f>
        <v>2</v>
      </c>
      <c r="J16" s="390" t="s">
        <v>2154</v>
      </c>
      <c r="K16" s="374" t="str">
        <f t="shared" si="7"/>
        <v/>
      </c>
      <c r="L16" s="368" t="str">
        <f t="shared" si="8"/>
        <v/>
      </c>
      <c r="M16" s="386" t="str">
        <f>IF(
  SUM(
    SUMIFS('발전사업(A)'!$I:$I,'발전사업(A)'!$G:$G,M$2,'발전사업(A)'!$Q:$Q,$J16,'발전사업(A)'!$C:$C,$L$1),
    SUMIFS('자가소비(B)'!$I:$I,'자가소비(B)'!$G:$G,M$2,'자가소비(B)'!$Q:$Q,$J16,'자가소비(B)'!$C:$C,$L$1),
    SUMIFS('PPA 사업(C)'!$I:$I,'PPA 사업(C)'!$G:$G,M$2,'PPA 사업(C)'!$Q:$Q,$J16,'PPA 사업(C)'!$C:$C,$L$1),
    SUMIFS('리스사업(D)'!$I:$I,'리스사업(D)'!$G:$G,M$2,'리스사업(D)'!$Q:$Q,$J16,'리스사업(D)'!$C:$C,$L$1),
    SUMIFS('임대사업(E)'!$I:$I,'임대사업(E)'!$G:$G,M$2,'임대사업(E)'!$Q:$Q,$J16,'임대사업(E)'!$C:$C,$L$1),
    SUMIFS('환경부사업(F)'!$I:$I,'환경부사업(F)'!$G:$G,M$2,'환경부사업(F)'!$Q:$Q,$J16,'환경부사업(F)'!$C:$C,$L$1),
    SUMIFS('프로젝트(G)'!$I:$I,'프로젝트(G)'!$G:$G,M$2,'프로젝트(G)'!$Q:$Q,$J16,'프로젝트(G)'!$C:$C,$L$1),
    SUMIFS('협력사 EPC(H)'!$I:$I,'협력사 EPC(H)'!$G:$G,M$2,'협력사 EPC(H)'!$Q:$Q,$J16,'협력사 EPC(H)'!$C:$C,$L$1),
    SUMIFS('기타(Z)'!$I:$I,'기타(Z)'!$G:$G,M$2,'기타(Z)'!$Q:$Q,$J16,'기타(Z)'!$C:$C,$L$1)
  )=0,
  "",
  SUM(
    SUMIFS('발전사업(A)'!$I:$I,'발전사업(A)'!$G:$G,M$2,'발전사업(A)'!$Q:$Q,$J16,'발전사업(A)'!$C:$C,$L$1),
    SUMIFS('자가소비(B)'!$I:$I,'자가소비(B)'!$G:$G,M$2,'자가소비(B)'!$Q:$Q,$J16,'자가소비(B)'!$C:$C,$L$1),
    SUMIFS('PPA 사업(C)'!$I:$I,'PPA 사업(C)'!$G:$G,M$2,'PPA 사업(C)'!$Q:$Q,$J16,'PPA 사업(C)'!$C:$C,$L$1),
    SUMIFS('리스사업(D)'!$I:$I,'리스사업(D)'!$G:$G,M$2,'리스사업(D)'!$Q:$Q,$J16,'리스사업(D)'!$C:$C,$L$1),
    SUMIFS('임대사업(E)'!$I:$I,'임대사업(E)'!$G:$G,M$2,'임대사업(E)'!$Q:$Q,$J16,'임대사업(E)'!$C:$C,$L$1),
    SUMIFS('환경부사업(F)'!$I:$I,'환경부사업(F)'!$G:$G,M$2,'환경부사업(F)'!$Q:$Q,$J16,'환경부사업(F)'!$C:$C,$L$1),
    SUMIFS('프로젝트(G)'!$I:$I,'프로젝트(G)'!$G:$G,M$2,'프로젝트(G)'!$Q:$Q,$J16,'프로젝트(G)'!$C:$C,$L$1),
    SUMIFS('협력사 EPC(H)'!$I:$I,'협력사 EPC(H)'!$G:$G,M$2,'협력사 EPC(H)'!$Q:$Q,$J16,'협력사 EPC(H)'!$C:$C,$L$1),
    SUMIFS('기타(Z)'!$I:$I,'기타(Z)'!$G:$G,M$2,'기타(Z)'!$Q:$Q,$J16,'기타(Z)'!$C:$C,$L$1)
  )
)</f>
        <v/>
      </c>
      <c r="N16" s="387" t="str">
        <f>IF(
  SUM(
    COUNTIFS('발전사업(A)'!$G:$G, M$2, '발전사업(A)'!$Q:$Q, $J16, '발전사업(A)'!$C:$C, $L$1),
    COUNTIFS('자가소비(B)'!$G:$G, M$2, '자가소비(B)'!$Q:$Q, $J16, '자가소비(B)'!$C:$C, $L$1),
    COUNTIFS('PPA 사업(C)'!$G:$G, M$2, 'PPA 사업(C)'!$Q:$Q, $J16, 'PPA 사업(C)'!$C:$C, $L$1),
    COUNTIFS('리스사업(D)'!$G:$G, M$2, '리스사업(D)'!$Q:$Q, $J16, '리스사업(D)'!$C:$C, $L$1),
    COUNTIFS('임대사업(E)'!$G:$G, M$2, '임대사업(E)'!$Q:$Q, $J16, '임대사업(E)'!$C:$C, $L$1),
    COUNTIFS('환경부사업(F)'!$G:$G, M$2, '환경부사업(F)'!$Q:$Q, $J16, '환경부사업(F)'!$C:$C, $L$1),
    COUNTIFS('프로젝트(G)'!$G:$G, M$2, '프로젝트(G)'!$Q:$Q, $J16, '프로젝트(G)'!$C:$C, $L$1),
    COUNTIFS('협력사 EPC(H)'!$G:$G, M$2, '협력사 EPC(H)'!$Q:$Q, $J16, '협력사 EPC(H)'!$C:$C, $L$1),
    COUNTIFS('기타(Z)'!$G:$G, M$2, '기타(Z)'!$Q:$Q, $J16, '기타(Z)'!$C:$C, $L$1)
  ) = 0,
  "",
  COUNTIFS('발전사업(A)'!$G:$G, M$2, '발전사업(A)'!$Q:$Q, $J16, '발전사업(A)'!$C:$C, $L$1)
  + COUNTIFS('자가소비(B)'!$G:$G, M$2, '자가소비(B)'!$Q:$Q, $J16, '자가소비(B)'!$C:$C, $L$1)
  + COUNTIFS('PPA 사업(C)'!$G:$G, M$2, 'PPA 사업(C)'!$Q:$Q, $J16, 'PPA 사업(C)'!$C:$C, $L$1)
  + COUNTIFS('리스사업(D)'!$G:$G, M$2, '리스사업(D)'!$Q:$Q, $J16, '리스사업(D)'!$C:$C, $L$1)
  + COUNTIFS('임대사업(E)'!$G:$G, M$2, '임대사업(E)'!$Q:$Q, $J16, '임대사업(E)'!$C:$C, $L$1)
  + COUNTIFS('환경부사업(F)'!$G:$G, M$2, '환경부사업(F)'!$Q:$Q, $J16, '환경부사업(F)'!$C:$C, $L$1)
  + COUNTIFS('프로젝트(G)'!$G:$G, M$2, '프로젝트(G)'!$Q:$Q, $J16, '프로젝트(G)'!$C:$C, $L$1)
  + COUNTIFS('협력사 EPC(H)'!$G:$G, M$2, '협력사 EPC(H)'!$Q:$Q, $J16, '협력사 EPC(H)'!$C:$C, $L$1)
  + COUNTIFS('기타(Z)'!$G:$G, M$2, '기타(Z)'!$Q:$Q, $J16, '기타(Z)'!$C:$C, $L$1)
)</f>
        <v/>
      </c>
      <c r="O16" s="386" t="str">
        <f>IF(
  SUM(
    SUMIFS('발전사업(A)'!$I:$I,'발전사업(A)'!$G:$G,O$2,'발전사업(A)'!$Q:$Q,$J16,'발전사업(A)'!$C:$C,$L$1),
    SUMIFS('자가소비(B)'!$I:$I,'자가소비(B)'!$G:$G,O$2,'자가소비(B)'!$Q:$Q,$J16,'자가소비(B)'!$C:$C,$L$1),
    SUMIFS('PPA 사업(C)'!$I:$I,'PPA 사업(C)'!$G:$G,O$2,'PPA 사업(C)'!$Q:$Q,$J16,'PPA 사업(C)'!$C:$C,$L$1),
    SUMIFS('리스사업(D)'!$I:$I,'리스사업(D)'!$G:$G,O$2,'리스사업(D)'!$Q:$Q,$J16,'리스사업(D)'!$C:$C,$L$1),
    SUMIFS('임대사업(E)'!$I:$I,'임대사업(E)'!$G:$G,O$2,'임대사업(E)'!$Q:$Q,$J16,'임대사업(E)'!$C:$C,$L$1),
    SUMIFS('환경부사업(F)'!$I:$I,'환경부사업(F)'!$G:$G,O$2,'환경부사업(F)'!$Q:$Q,$J16,'환경부사업(F)'!$C:$C,$L$1),
    SUMIFS('프로젝트(G)'!$I:$I,'프로젝트(G)'!$G:$G,O$2,'프로젝트(G)'!$Q:$Q,$J16,'프로젝트(G)'!$C:$C,$L$1),
    SUMIFS('협력사 EPC(H)'!$I:$I,'협력사 EPC(H)'!$G:$G,O$2,'협력사 EPC(H)'!$Q:$Q,$J16,'협력사 EPC(H)'!$C:$C,$L$1),
    SUMIFS('기타(Z)'!$I:$I,'기타(Z)'!$G:$G,O$2,'기타(Z)'!$Q:$Q,$J16,'기타(Z)'!$C:$C,$L$1)
  )=0,
  "",
  SUM(
    SUMIFS('발전사업(A)'!$I:$I,'발전사업(A)'!$G:$G,O$2,'발전사업(A)'!$Q:$Q,$J16,'발전사업(A)'!$C:$C,$L$1),
    SUMIFS('자가소비(B)'!$I:$I,'자가소비(B)'!$G:$G,O$2,'자가소비(B)'!$Q:$Q,$J16,'자가소비(B)'!$C:$C,$L$1),
    SUMIFS('PPA 사업(C)'!$I:$I,'PPA 사업(C)'!$G:$G,O$2,'PPA 사업(C)'!$Q:$Q,$J16,'PPA 사업(C)'!$C:$C,$L$1),
    SUMIFS('리스사업(D)'!$I:$I,'리스사업(D)'!$G:$G,O$2,'리스사업(D)'!$Q:$Q,$J16,'리스사업(D)'!$C:$C,$L$1),
    SUMIFS('임대사업(E)'!$I:$I,'임대사업(E)'!$G:$G,O$2,'임대사업(E)'!$Q:$Q,$J16,'임대사업(E)'!$C:$C,$L$1),
    SUMIFS('환경부사업(F)'!$I:$I,'환경부사업(F)'!$G:$G,O$2,'환경부사업(F)'!$Q:$Q,$J16,'환경부사업(F)'!$C:$C,$L$1),
    SUMIFS('프로젝트(G)'!$I:$I,'프로젝트(G)'!$G:$G,O$2,'프로젝트(G)'!$Q:$Q,$J16,'프로젝트(G)'!$C:$C,$L$1),
    SUMIFS('협력사 EPC(H)'!$I:$I,'협력사 EPC(H)'!$G:$G,O$2,'협력사 EPC(H)'!$Q:$Q,$J16,'협력사 EPC(H)'!$C:$C,$L$1),
    SUMIFS('기타(Z)'!$I:$I,'기타(Z)'!$G:$G,O$2,'기타(Z)'!$Q:$Q,$J16,'기타(Z)'!$C:$C,$L$1)
  )
)</f>
        <v/>
      </c>
      <c r="P16" s="387" t="str">
        <f>IF(
  SUM(
    COUNTIFS('발전사업(A)'!$G:$G, O$2, '발전사업(A)'!$Q:$Q, $J16, '발전사업(A)'!$C:$C, $L$1),
    COUNTIFS('자가소비(B)'!$G:$G, O$2, '자가소비(B)'!$Q:$Q, $J16, '자가소비(B)'!$C:$C, $L$1),
    COUNTIFS('PPA 사업(C)'!$G:$G, O$2, 'PPA 사업(C)'!$Q:$Q, $J16, 'PPA 사업(C)'!$C:$C, $L$1),
    COUNTIFS('리스사업(D)'!$G:$G, O$2, '리스사업(D)'!$Q:$Q, $J16, '리스사업(D)'!$C:$C, $L$1),
    COUNTIFS('임대사업(E)'!$G:$G, O$2, '임대사업(E)'!$Q:$Q, $J16, '임대사업(E)'!$C:$C, $L$1),
    COUNTIFS('환경부사업(F)'!$G:$G, O$2, '환경부사업(F)'!$Q:$Q, $J16, '환경부사업(F)'!$C:$C, $L$1),
    COUNTIFS('프로젝트(G)'!$G:$G, O$2, '프로젝트(G)'!$Q:$Q, $J16, '프로젝트(G)'!$C:$C, $L$1),
    COUNTIFS('협력사 EPC(H)'!$G:$G, O$2, '협력사 EPC(H)'!$Q:$Q, $J16, '협력사 EPC(H)'!$C:$C, $L$1),
    COUNTIFS('기타(Z)'!$G:$G, O$2, '기타(Z)'!$Q:$Q, $J16, '기타(Z)'!$C:$C, $L$1)
  ) = 0,
  "",
  COUNTIFS('발전사업(A)'!$G:$G, O$2, '발전사업(A)'!$Q:$Q, $J16, '발전사업(A)'!$C:$C, $L$1)
  + COUNTIFS('자가소비(B)'!$G:$G, O$2, '자가소비(B)'!$Q:$Q, $J16, '자가소비(B)'!$C:$C, $L$1)
  + COUNTIFS('PPA 사업(C)'!$G:$G, O$2, 'PPA 사업(C)'!$Q:$Q, $J16, 'PPA 사업(C)'!$C:$C, $L$1)
  + COUNTIFS('리스사업(D)'!$G:$G, O$2, '리스사업(D)'!$Q:$Q, $J16, '리스사업(D)'!$C:$C, $L$1)
  + COUNTIFS('임대사업(E)'!$G:$G, O$2, '임대사업(E)'!$Q:$Q, $J16, '임대사업(E)'!$C:$C, $L$1)
  + COUNTIFS('환경부사업(F)'!$G:$G, O$2, '환경부사업(F)'!$Q:$Q, $J16, '환경부사업(F)'!$C:$C, $L$1)
  + COUNTIFS('프로젝트(G)'!$G:$G, O$2, '프로젝트(G)'!$Q:$Q, $J16, '프로젝트(G)'!$C:$C, $L$1)
  + COUNTIFS('협력사 EPC(H)'!$G:$G, O$2, '협력사 EPC(H)'!$Q:$Q, $J16, '협력사 EPC(H)'!$C:$C, $L$1)
  + COUNTIFS('기타(Z)'!$G:$G, O$2, '기타(Z)'!$Q:$Q, $J16, '기타(Z)'!$C:$C, $L$1)
)</f>
        <v/>
      </c>
      <c r="Q16" s="386" t="str">
        <f>IF(
  SUM(
    SUMIFS('발전사업(A)'!$I:$I,'발전사업(A)'!$G:$G,Q$2,'발전사업(A)'!$Q:$Q,$J16,'발전사업(A)'!$C:$C,$L$1),
    SUMIFS('자가소비(B)'!$I:$I,'자가소비(B)'!$G:$G,Q$2,'자가소비(B)'!$Q:$Q,$J16,'자가소비(B)'!$C:$C,$L$1),
    SUMIFS('PPA 사업(C)'!$I:$I,'PPA 사업(C)'!$G:$G,Q$2,'PPA 사업(C)'!$Q:$Q,$J16,'PPA 사업(C)'!$C:$C,$L$1),
    SUMIFS('리스사업(D)'!$I:$I,'리스사업(D)'!$G:$G,Q$2,'리스사업(D)'!$Q:$Q,$J16,'리스사업(D)'!$C:$C,$L$1),
    SUMIFS('임대사업(E)'!$I:$I,'임대사업(E)'!$G:$G,Q$2,'임대사업(E)'!$Q:$Q,$J16,'임대사업(E)'!$C:$C,$L$1),
    SUMIFS('환경부사업(F)'!$I:$I,'환경부사업(F)'!$G:$G,Q$2,'환경부사업(F)'!$Q:$Q,$J16,'환경부사업(F)'!$C:$C,$L$1),
    SUMIFS('프로젝트(G)'!$I:$I,'프로젝트(G)'!$G:$G,Q$2,'프로젝트(G)'!$Q:$Q,$J16,'프로젝트(G)'!$C:$C,$L$1),
    SUMIFS('협력사 EPC(H)'!$I:$I,'협력사 EPC(H)'!$G:$G,Q$2,'협력사 EPC(H)'!$Q:$Q,$J16,'협력사 EPC(H)'!$C:$C,$L$1),
    SUMIFS('기타(Z)'!$I:$I,'기타(Z)'!$G:$G,Q$2,'기타(Z)'!$Q:$Q,$J16,'기타(Z)'!$C:$C,$L$1)
  )=0,
  "",
  SUM(
    SUMIFS('발전사업(A)'!$I:$I,'발전사업(A)'!$G:$G,Q$2,'발전사업(A)'!$Q:$Q,$J16,'발전사업(A)'!$C:$C,$L$1),
    SUMIFS('자가소비(B)'!$I:$I,'자가소비(B)'!$G:$G,Q$2,'자가소비(B)'!$Q:$Q,$J16,'자가소비(B)'!$C:$C,$L$1),
    SUMIFS('PPA 사업(C)'!$I:$I,'PPA 사업(C)'!$G:$G,Q$2,'PPA 사업(C)'!$Q:$Q,$J16,'PPA 사업(C)'!$C:$C,$L$1),
    SUMIFS('리스사업(D)'!$I:$I,'리스사업(D)'!$G:$G,Q$2,'리스사업(D)'!$Q:$Q,$J16,'리스사업(D)'!$C:$C,$L$1),
    SUMIFS('임대사업(E)'!$I:$I,'임대사업(E)'!$G:$G,Q$2,'임대사업(E)'!$Q:$Q,$J16,'임대사업(E)'!$C:$C,$L$1),
    SUMIFS('환경부사업(F)'!$I:$I,'환경부사업(F)'!$G:$G,Q$2,'환경부사업(F)'!$Q:$Q,$J16,'환경부사업(F)'!$C:$C,$L$1),
    SUMIFS('프로젝트(G)'!$I:$I,'프로젝트(G)'!$G:$G,Q$2,'프로젝트(G)'!$Q:$Q,$J16,'프로젝트(G)'!$C:$C,$L$1),
    SUMIFS('협력사 EPC(H)'!$I:$I,'협력사 EPC(H)'!$G:$G,Q$2,'협력사 EPC(H)'!$Q:$Q,$J16,'협력사 EPC(H)'!$C:$C,$L$1),
    SUMIFS('기타(Z)'!$I:$I,'기타(Z)'!$G:$G,Q$2,'기타(Z)'!$Q:$Q,$J16,'기타(Z)'!$C:$C,$L$1)
  )
)</f>
        <v/>
      </c>
      <c r="R16" s="387" t="str">
        <f>IF(
  SUM(
    COUNTIFS('발전사업(A)'!$G:$G, Q$2, '발전사업(A)'!$Q:$Q, $J16, '발전사업(A)'!$C:$C, $L$1),
    COUNTIFS('자가소비(B)'!$G:$G, Q$2, '자가소비(B)'!$Q:$Q, $J16, '자가소비(B)'!$C:$C, $L$1),
    COUNTIFS('PPA 사업(C)'!$G:$G, Q$2, 'PPA 사업(C)'!$Q:$Q, $J16, 'PPA 사업(C)'!$C:$C, $L$1),
    COUNTIFS('리스사업(D)'!$G:$G, Q$2, '리스사업(D)'!$Q:$Q, $J16, '리스사업(D)'!$C:$C, $L$1),
    COUNTIFS('임대사업(E)'!$G:$G, Q$2, '임대사업(E)'!$Q:$Q, $J16, '임대사업(E)'!$C:$C, $L$1),
    COUNTIFS('환경부사업(F)'!$G:$G, Q$2, '환경부사업(F)'!$Q:$Q, $J16, '환경부사업(F)'!$C:$C, $L$1),
    COUNTIFS('프로젝트(G)'!$G:$G, Q$2, '프로젝트(G)'!$Q:$Q, $J16, '프로젝트(G)'!$C:$C, $L$1),
    COUNTIFS('협력사 EPC(H)'!$G:$G, Q$2, '협력사 EPC(H)'!$Q:$Q, $J16, '협력사 EPC(H)'!$C:$C, $L$1),
    COUNTIFS('기타(Z)'!$G:$G, Q$2, '기타(Z)'!$Q:$Q, $J16, '기타(Z)'!$C:$C, $L$1)
  ) = 0,
  "",
  COUNTIFS('발전사업(A)'!$G:$G, Q$2, '발전사업(A)'!$Q:$Q, $J16, '발전사업(A)'!$C:$C, $L$1)
  + COUNTIFS('자가소비(B)'!$G:$G, Q$2, '자가소비(B)'!$Q:$Q, $J16, '자가소비(B)'!$C:$C, $L$1)
  + COUNTIFS('PPA 사업(C)'!$G:$G, Q$2, 'PPA 사업(C)'!$Q:$Q, $J16, 'PPA 사업(C)'!$C:$C, $L$1)
  + COUNTIFS('리스사업(D)'!$G:$G, Q$2, '리스사업(D)'!$Q:$Q, $J16, '리스사업(D)'!$C:$C, $L$1)
  + COUNTIFS('임대사업(E)'!$G:$G, Q$2, '임대사업(E)'!$Q:$Q, $J16, '임대사업(E)'!$C:$C, $L$1)
  + COUNTIFS('환경부사업(F)'!$G:$G, Q$2, '환경부사업(F)'!$Q:$Q, $J16, '환경부사업(F)'!$C:$C, $L$1)
  + COUNTIFS('프로젝트(G)'!$G:$G, Q$2, '프로젝트(G)'!$Q:$Q, $J16, '프로젝트(G)'!$C:$C, $L$1)
  + COUNTIFS('협력사 EPC(H)'!$G:$G, Q$2, '협력사 EPC(H)'!$Q:$Q, $J16, '협력사 EPC(H)'!$C:$C, $L$1)
  + COUNTIFS('기타(Z)'!$G:$G, Q$2, '기타(Z)'!$Q:$Q, $J16, '기타(Z)'!$C:$C, $L$1)
)</f>
        <v/>
      </c>
      <c r="S16" s="386" t="str">
        <f>IF(
  SUM(
    SUMIFS('발전사업(A)'!$I:$I,'발전사업(A)'!$G:$G,S$2,'발전사업(A)'!$Q:$Q,$J16,'발전사업(A)'!$C:$C,$L$1),
    SUMIFS('자가소비(B)'!$I:$I,'자가소비(B)'!$G:$G,S$2,'자가소비(B)'!$Q:$Q,$J16,'자가소비(B)'!$C:$C,$L$1),
    SUMIFS('PPA 사업(C)'!$I:$I,'PPA 사업(C)'!$G:$G,S$2,'PPA 사업(C)'!$Q:$Q,$J16,'PPA 사업(C)'!$C:$C,$L$1),
    SUMIFS('리스사업(D)'!$I:$I,'리스사업(D)'!$G:$G,S$2,'리스사업(D)'!$Q:$Q,$J16,'리스사업(D)'!$C:$C,$L$1),
    SUMIFS('임대사업(E)'!$I:$I,'임대사업(E)'!$G:$G,S$2,'임대사업(E)'!$Q:$Q,$J16,'임대사업(E)'!$C:$C,$L$1),
    SUMIFS('환경부사업(F)'!$I:$I,'환경부사업(F)'!$G:$G,S$2,'환경부사업(F)'!$Q:$Q,$J16,'환경부사업(F)'!$C:$C,$L$1),
    SUMIFS('프로젝트(G)'!$I:$I,'프로젝트(G)'!$G:$G,S$2,'프로젝트(G)'!$Q:$Q,$J16,'프로젝트(G)'!$C:$C,$L$1),
    SUMIFS('협력사 EPC(H)'!$I:$I,'협력사 EPC(H)'!$G:$G,S$2,'협력사 EPC(H)'!$Q:$Q,$J16,'협력사 EPC(H)'!$C:$C,$L$1),
    SUMIFS('기타(Z)'!$I:$I,'기타(Z)'!$G:$G,S$2,'기타(Z)'!$Q:$Q,$J16,'기타(Z)'!$C:$C,$L$1)
  )=0,
  "",
  SUM(
    SUMIFS('발전사업(A)'!$I:$I,'발전사업(A)'!$G:$G,S$2,'발전사업(A)'!$Q:$Q,$J16,'발전사업(A)'!$C:$C,$L$1),
    SUMIFS('자가소비(B)'!$I:$I,'자가소비(B)'!$G:$G,S$2,'자가소비(B)'!$Q:$Q,$J16,'자가소비(B)'!$C:$C,$L$1),
    SUMIFS('PPA 사업(C)'!$I:$I,'PPA 사업(C)'!$G:$G,S$2,'PPA 사업(C)'!$Q:$Q,$J16,'PPA 사업(C)'!$C:$C,$L$1),
    SUMIFS('리스사업(D)'!$I:$I,'리스사업(D)'!$G:$G,S$2,'리스사업(D)'!$Q:$Q,$J16,'리스사업(D)'!$C:$C,$L$1),
    SUMIFS('임대사업(E)'!$I:$I,'임대사업(E)'!$G:$G,S$2,'임대사업(E)'!$Q:$Q,$J16,'임대사업(E)'!$C:$C,$L$1),
    SUMIFS('환경부사업(F)'!$I:$I,'환경부사업(F)'!$G:$G,S$2,'환경부사업(F)'!$Q:$Q,$J16,'환경부사업(F)'!$C:$C,$L$1),
    SUMIFS('프로젝트(G)'!$I:$I,'프로젝트(G)'!$G:$G,S$2,'프로젝트(G)'!$Q:$Q,$J16,'프로젝트(G)'!$C:$C,$L$1),
    SUMIFS('협력사 EPC(H)'!$I:$I,'협력사 EPC(H)'!$G:$G,S$2,'협력사 EPC(H)'!$Q:$Q,$J16,'협력사 EPC(H)'!$C:$C,$L$1),
    SUMIFS('기타(Z)'!$I:$I,'기타(Z)'!$G:$G,S$2,'기타(Z)'!$Q:$Q,$J16,'기타(Z)'!$C:$C,$L$1)
  )
)</f>
        <v/>
      </c>
      <c r="T16" s="387" t="str">
        <f>IF(
  SUM(
    COUNTIFS('발전사업(A)'!$G:$G, S$2, '발전사업(A)'!$Q:$Q, $J16, '발전사업(A)'!$C:$C, $L$1),
    COUNTIFS('자가소비(B)'!$G:$G, S$2, '자가소비(B)'!$Q:$Q, $J16, '자가소비(B)'!$C:$C, $L$1),
    COUNTIFS('PPA 사업(C)'!$G:$G, S$2, 'PPA 사업(C)'!$Q:$Q, $J16, 'PPA 사업(C)'!$C:$C, $L$1),
    COUNTIFS('리스사업(D)'!$G:$G, S$2, '리스사업(D)'!$Q:$Q, $J16, '리스사업(D)'!$C:$C, $L$1),
    COUNTIFS('임대사업(E)'!$G:$G, S$2, '임대사업(E)'!$Q:$Q, $J16, '임대사업(E)'!$C:$C, $L$1),
    COUNTIFS('환경부사업(F)'!$G:$G, S$2, '환경부사업(F)'!$Q:$Q, $J16, '환경부사업(F)'!$C:$C, $L$1),
    COUNTIFS('프로젝트(G)'!$G:$G, S$2, '프로젝트(G)'!$Q:$Q, $J16, '프로젝트(G)'!$C:$C, $L$1),
    COUNTIFS('협력사 EPC(H)'!$G:$G, S$2, '협력사 EPC(H)'!$Q:$Q, $J16, '협력사 EPC(H)'!$C:$C, $L$1),
    COUNTIFS('기타(Z)'!$G:$G, S$2, '기타(Z)'!$Q:$Q, $J16, '기타(Z)'!$C:$C, $L$1)
  ) = 0,
  "",
  COUNTIFS('발전사업(A)'!$G:$G, S$2, '발전사업(A)'!$Q:$Q, $J16, '발전사업(A)'!$C:$C, $L$1)
  + COUNTIFS('자가소비(B)'!$G:$G, S$2, '자가소비(B)'!$Q:$Q, $J16, '자가소비(B)'!$C:$C, $L$1)
  + COUNTIFS('PPA 사업(C)'!$G:$G, S$2, 'PPA 사업(C)'!$Q:$Q, $J16, 'PPA 사업(C)'!$C:$C, $L$1)
  + COUNTIFS('리스사업(D)'!$G:$G, S$2, '리스사업(D)'!$Q:$Q, $J16, '리스사업(D)'!$C:$C, $L$1)
  + COUNTIFS('임대사업(E)'!$G:$G, S$2, '임대사업(E)'!$Q:$Q, $J16, '임대사업(E)'!$C:$C, $L$1)
  + COUNTIFS('환경부사업(F)'!$G:$G, S$2, '환경부사업(F)'!$Q:$Q, $J16, '환경부사업(F)'!$C:$C, $L$1)
  + COUNTIFS('프로젝트(G)'!$G:$G, S$2, '프로젝트(G)'!$Q:$Q, $J16, '프로젝트(G)'!$C:$C, $L$1)
  + COUNTIFS('협력사 EPC(H)'!$G:$G, S$2, '협력사 EPC(H)'!$Q:$Q, $J16, '협력사 EPC(H)'!$C:$C, $L$1)
  + COUNTIFS('기타(Z)'!$G:$G, S$2, '기타(Z)'!$Q:$Q, $J16, '기타(Z)'!$C:$C, $L$1)
)</f>
        <v/>
      </c>
      <c r="U16" s="386" t="str">
        <f>IF(
  SUM(
    SUMIFS('발전사업(A)'!$I:$I,'발전사업(A)'!$G:$G,U$2,'발전사업(A)'!$Q:$Q,$J16,'발전사업(A)'!$C:$C,$L$1),
    SUMIFS('자가소비(B)'!$I:$I,'자가소비(B)'!$G:$G,U$2,'자가소비(B)'!$Q:$Q,$J16,'자가소비(B)'!$C:$C,$L$1),
    SUMIFS('PPA 사업(C)'!$I:$I,'PPA 사업(C)'!$G:$G,U$2,'PPA 사업(C)'!$Q:$Q,$J16,'PPA 사업(C)'!$C:$C,$L$1),
    SUMIFS('리스사업(D)'!$I:$I,'리스사업(D)'!$G:$G,U$2,'리스사업(D)'!$Q:$Q,$J16,'리스사업(D)'!$C:$C,$L$1),
    SUMIFS('임대사업(E)'!$I:$I,'임대사업(E)'!$G:$G,U$2,'임대사업(E)'!$Q:$Q,$J16,'임대사업(E)'!$C:$C,$L$1),
    SUMIFS('환경부사업(F)'!$I:$I,'환경부사업(F)'!$G:$G,U$2,'환경부사업(F)'!$Q:$Q,$J16,'환경부사업(F)'!$C:$C,$L$1),
    SUMIFS('프로젝트(G)'!$I:$I,'프로젝트(G)'!$G:$G,U$2,'프로젝트(G)'!$Q:$Q,$J16,'프로젝트(G)'!$C:$C,$L$1),
    SUMIFS('협력사 EPC(H)'!$I:$I,'협력사 EPC(H)'!$G:$G,U$2,'협력사 EPC(H)'!$Q:$Q,$J16,'협력사 EPC(H)'!$C:$C,$L$1),
    SUMIFS('기타(Z)'!$I:$I,'기타(Z)'!$G:$G,U$2,'기타(Z)'!$Q:$Q,$J16,'기타(Z)'!$C:$C,$L$1)
  )=0,
  "",
  SUM(
    SUMIFS('발전사업(A)'!$I:$I,'발전사업(A)'!$G:$G,U$2,'발전사업(A)'!$Q:$Q,$J16,'발전사업(A)'!$C:$C,$L$1),
    SUMIFS('자가소비(B)'!$I:$I,'자가소비(B)'!$G:$G,U$2,'자가소비(B)'!$Q:$Q,$J16,'자가소비(B)'!$C:$C,$L$1),
    SUMIFS('PPA 사업(C)'!$I:$I,'PPA 사업(C)'!$G:$G,U$2,'PPA 사업(C)'!$Q:$Q,$J16,'PPA 사업(C)'!$C:$C,$L$1),
    SUMIFS('리스사업(D)'!$I:$I,'리스사업(D)'!$G:$G,U$2,'리스사업(D)'!$Q:$Q,$J16,'리스사업(D)'!$C:$C,$L$1),
    SUMIFS('임대사업(E)'!$I:$I,'임대사업(E)'!$G:$G,U$2,'임대사업(E)'!$Q:$Q,$J16,'임대사업(E)'!$C:$C,$L$1),
    SUMIFS('환경부사업(F)'!$I:$I,'환경부사업(F)'!$G:$G,U$2,'환경부사업(F)'!$Q:$Q,$J16,'환경부사업(F)'!$C:$C,$L$1),
    SUMIFS('프로젝트(G)'!$I:$I,'프로젝트(G)'!$G:$G,U$2,'프로젝트(G)'!$Q:$Q,$J16,'프로젝트(G)'!$C:$C,$L$1),
    SUMIFS('협력사 EPC(H)'!$I:$I,'협력사 EPC(H)'!$G:$G,U$2,'협력사 EPC(H)'!$Q:$Q,$J16,'협력사 EPC(H)'!$C:$C,$L$1),
    SUMIFS('기타(Z)'!$I:$I,'기타(Z)'!$G:$G,U$2,'기타(Z)'!$Q:$Q,$J16,'기타(Z)'!$C:$C,$L$1)
  )
)</f>
        <v/>
      </c>
      <c r="V16" s="387" t="str">
        <f>IF(
  SUM(
    COUNTIFS('발전사업(A)'!$G:$G, U$2, '발전사업(A)'!$Q:$Q, $J16, '발전사업(A)'!$C:$C, $L$1),
    COUNTIFS('자가소비(B)'!$G:$G, U$2, '자가소비(B)'!$Q:$Q, $J16, '자가소비(B)'!$C:$C, $L$1),
    COUNTIFS('PPA 사업(C)'!$G:$G, U$2, 'PPA 사업(C)'!$Q:$Q, $J16, 'PPA 사업(C)'!$C:$C, $L$1),
    COUNTIFS('리스사업(D)'!$G:$G, U$2, '리스사업(D)'!$Q:$Q, $J16, '리스사업(D)'!$C:$C, $L$1),
    COUNTIFS('임대사업(E)'!$G:$G, U$2, '임대사업(E)'!$Q:$Q, $J16, '임대사업(E)'!$C:$C, $L$1),
    COUNTIFS('환경부사업(F)'!$G:$G, U$2, '환경부사업(F)'!$Q:$Q, $J16, '환경부사업(F)'!$C:$C, $L$1),
    COUNTIFS('프로젝트(G)'!$G:$G, U$2, '프로젝트(G)'!$Q:$Q, $J16, '프로젝트(G)'!$C:$C, $L$1),
    COUNTIFS('협력사 EPC(H)'!$G:$G, U$2, '협력사 EPC(H)'!$Q:$Q, $J16, '협력사 EPC(H)'!$C:$C, $L$1),
    COUNTIFS('기타(Z)'!$G:$G, U$2, '기타(Z)'!$Q:$Q, $J16, '기타(Z)'!$C:$C, $L$1)
  ) = 0,
  "",
  COUNTIFS('발전사업(A)'!$G:$G, U$2, '발전사업(A)'!$Q:$Q, $J16, '발전사업(A)'!$C:$C, $L$1)
  + COUNTIFS('자가소비(B)'!$G:$G, U$2, '자가소비(B)'!$Q:$Q, $J16, '자가소비(B)'!$C:$C, $L$1)
  + COUNTIFS('PPA 사업(C)'!$G:$G, U$2, 'PPA 사업(C)'!$Q:$Q, $J16, 'PPA 사업(C)'!$C:$C, $L$1)
  + COUNTIFS('리스사업(D)'!$G:$G, U$2, '리스사업(D)'!$Q:$Q, $J16, '리스사업(D)'!$C:$C, $L$1)
  + COUNTIFS('임대사업(E)'!$G:$G, U$2, '임대사업(E)'!$Q:$Q, $J16, '임대사업(E)'!$C:$C, $L$1)
  + COUNTIFS('환경부사업(F)'!$G:$G, U$2, '환경부사업(F)'!$Q:$Q, $J16, '환경부사업(F)'!$C:$C, $L$1)
  + COUNTIFS('프로젝트(G)'!$G:$G, U$2, '프로젝트(G)'!$Q:$Q, $J16, '프로젝트(G)'!$C:$C, $L$1)
  + COUNTIFS('협력사 EPC(H)'!$G:$G, U$2, '협력사 EPC(H)'!$Q:$Q, $J16, '협력사 EPC(H)'!$C:$C, $L$1)
  + COUNTIFS('기타(Z)'!$G:$G, U$2, '기타(Z)'!$Q:$Q, $J16, '기타(Z)'!$C:$C, $L$1)
)</f>
        <v/>
      </c>
      <c r="W16" s="386" t="str">
        <f>IF(
  SUM(
    SUMIFS('발전사업(A)'!$I:$I,'발전사업(A)'!$G:$G,W$2,'발전사업(A)'!$Q:$Q,$J16,'발전사업(A)'!$C:$C,$L$1),
    SUMIFS('자가소비(B)'!$I:$I,'자가소비(B)'!$G:$G,W$2,'자가소비(B)'!$Q:$Q,$J16,'자가소비(B)'!$C:$C,$L$1),
    SUMIFS('PPA 사업(C)'!$I:$I,'PPA 사업(C)'!$G:$G,W$2,'PPA 사업(C)'!$Q:$Q,$J16,'PPA 사업(C)'!$C:$C,$L$1),
    SUMIFS('리스사업(D)'!$I:$I,'리스사업(D)'!$G:$G,W$2,'리스사업(D)'!$Q:$Q,$J16,'리스사업(D)'!$C:$C,$L$1),
    SUMIFS('임대사업(E)'!$I:$I,'임대사업(E)'!$G:$G,W$2,'임대사업(E)'!$Q:$Q,$J16,'임대사업(E)'!$C:$C,$L$1),
    SUMIFS('환경부사업(F)'!$I:$I,'환경부사업(F)'!$G:$G,W$2,'환경부사업(F)'!$Q:$Q,$J16,'환경부사업(F)'!$C:$C,$L$1),
    SUMIFS('프로젝트(G)'!$I:$I,'프로젝트(G)'!$G:$G,W$2,'프로젝트(G)'!$Q:$Q,$J16,'프로젝트(G)'!$C:$C,$L$1),
    SUMIFS('협력사 EPC(H)'!$I:$I,'협력사 EPC(H)'!$G:$G,W$2,'협력사 EPC(H)'!$Q:$Q,$J16,'협력사 EPC(H)'!$C:$C,$L$1),
    SUMIFS('기타(Z)'!$I:$I,'기타(Z)'!$G:$G,W$2,'기타(Z)'!$Q:$Q,$J16,'기타(Z)'!$C:$C,$L$1)
  )=0,
  "",
  SUM(
    SUMIFS('발전사업(A)'!$I:$I,'발전사업(A)'!$G:$G,W$2,'발전사업(A)'!$Q:$Q,$J16,'발전사업(A)'!$C:$C,$L$1),
    SUMIFS('자가소비(B)'!$I:$I,'자가소비(B)'!$G:$G,W$2,'자가소비(B)'!$Q:$Q,$J16,'자가소비(B)'!$C:$C,$L$1),
    SUMIFS('PPA 사업(C)'!$I:$I,'PPA 사업(C)'!$G:$G,W$2,'PPA 사업(C)'!$Q:$Q,$J16,'PPA 사업(C)'!$C:$C,$L$1),
    SUMIFS('리스사업(D)'!$I:$I,'리스사업(D)'!$G:$G,W$2,'리스사업(D)'!$Q:$Q,$J16,'리스사업(D)'!$C:$C,$L$1),
    SUMIFS('임대사업(E)'!$I:$I,'임대사업(E)'!$G:$G,W$2,'임대사업(E)'!$Q:$Q,$J16,'임대사업(E)'!$C:$C,$L$1),
    SUMIFS('환경부사업(F)'!$I:$I,'환경부사업(F)'!$G:$G,W$2,'환경부사업(F)'!$Q:$Q,$J16,'환경부사업(F)'!$C:$C,$L$1),
    SUMIFS('프로젝트(G)'!$I:$I,'프로젝트(G)'!$G:$G,W$2,'프로젝트(G)'!$Q:$Q,$J16,'프로젝트(G)'!$C:$C,$L$1),
    SUMIFS('협력사 EPC(H)'!$I:$I,'협력사 EPC(H)'!$G:$G,W$2,'협력사 EPC(H)'!$Q:$Q,$J16,'협력사 EPC(H)'!$C:$C,$L$1),
    SUMIFS('기타(Z)'!$I:$I,'기타(Z)'!$G:$G,W$2,'기타(Z)'!$Q:$Q,$J16,'기타(Z)'!$C:$C,$L$1)
  )
)</f>
        <v/>
      </c>
      <c r="X16" s="387" t="str">
        <f>IF(
  SUM(
    COUNTIFS('발전사업(A)'!$G:$G, W$2, '발전사업(A)'!$Q:$Q, $J16, '발전사업(A)'!$C:$C, $L$1),
    COUNTIFS('자가소비(B)'!$G:$G, W$2, '자가소비(B)'!$Q:$Q, $J16, '자가소비(B)'!$C:$C, $L$1),
    COUNTIFS('PPA 사업(C)'!$G:$G, W$2, 'PPA 사업(C)'!$Q:$Q, $J16, 'PPA 사업(C)'!$C:$C, $L$1),
    COUNTIFS('리스사업(D)'!$G:$G, W$2, '리스사업(D)'!$Q:$Q, $J16, '리스사업(D)'!$C:$C, $L$1),
    COUNTIFS('임대사업(E)'!$G:$G, W$2, '임대사업(E)'!$Q:$Q, $J16, '임대사업(E)'!$C:$C, $L$1),
    COUNTIFS('환경부사업(F)'!$G:$G, W$2, '환경부사업(F)'!$Q:$Q, $J16, '환경부사업(F)'!$C:$C, $L$1),
    COUNTIFS('프로젝트(G)'!$G:$G, W$2, '프로젝트(G)'!$Q:$Q, $J16, '프로젝트(G)'!$C:$C, $L$1),
    COUNTIFS('협력사 EPC(H)'!$G:$G, W$2, '협력사 EPC(H)'!$Q:$Q, $J16, '협력사 EPC(H)'!$C:$C, $L$1),
    COUNTIFS('기타(Z)'!$G:$G, W$2, '기타(Z)'!$Q:$Q, $J16, '기타(Z)'!$C:$C, $L$1)
  ) = 0,
  "",
  COUNTIFS('발전사업(A)'!$G:$G, W$2, '발전사업(A)'!$Q:$Q, $J16, '발전사업(A)'!$C:$C, $L$1)
  + COUNTIFS('자가소비(B)'!$G:$G, W$2, '자가소비(B)'!$Q:$Q, $J16, '자가소비(B)'!$C:$C, $L$1)
  + COUNTIFS('PPA 사업(C)'!$G:$G, W$2, 'PPA 사업(C)'!$Q:$Q, $J16, 'PPA 사업(C)'!$C:$C, $L$1)
  + COUNTIFS('리스사업(D)'!$G:$G, W$2, '리스사업(D)'!$Q:$Q, $J16, '리스사업(D)'!$C:$C, $L$1)
  + COUNTIFS('임대사업(E)'!$G:$G, W$2, '임대사업(E)'!$Q:$Q, $J16, '임대사업(E)'!$C:$C, $L$1)
  + COUNTIFS('환경부사업(F)'!$G:$G, W$2, '환경부사업(F)'!$Q:$Q, $J16, '환경부사업(F)'!$C:$C, $L$1)
  + COUNTIFS('프로젝트(G)'!$G:$G, W$2, '프로젝트(G)'!$Q:$Q, $J16, '프로젝트(G)'!$C:$C, $L$1)
  + COUNTIFS('협력사 EPC(H)'!$G:$G, W$2, '협력사 EPC(H)'!$Q:$Q, $J16, '협력사 EPC(H)'!$C:$C, $L$1)
  + COUNTIFS('기타(Z)'!$G:$G, W$2, '기타(Z)'!$Q:$Q, $J16, '기타(Z)'!$C:$C, $L$1)
)</f>
        <v/>
      </c>
      <c r="Y16" s="386" t="str">
        <f>IF(
  SUM(
    SUMIFS('발전사업(A)'!$I:$I,'발전사업(A)'!$G:$G,Y$2,'발전사업(A)'!$Q:$Q,$J16,'발전사업(A)'!$C:$C,$L$1),
    SUMIFS('자가소비(B)'!$I:$I,'자가소비(B)'!$G:$G,Y$2,'자가소비(B)'!$Q:$Q,$J16,'자가소비(B)'!$C:$C,$L$1),
    SUMIFS('PPA 사업(C)'!$I:$I,'PPA 사업(C)'!$G:$G,Y$2,'PPA 사업(C)'!$Q:$Q,$J16,'PPA 사업(C)'!$C:$C,$L$1),
    SUMIFS('리스사업(D)'!$I:$I,'리스사업(D)'!$G:$G,Y$2,'리스사업(D)'!$Q:$Q,$J16,'리스사업(D)'!$C:$C,$L$1),
    SUMIFS('임대사업(E)'!$I:$I,'임대사업(E)'!$G:$G,Y$2,'임대사업(E)'!$Q:$Q,$J16,'임대사업(E)'!$C:$C,$L$1),
    SUMIFS('환경부사업(F)'!$I:$I,'환경부사업(F)'!$G:$G,Y$2,'환경부사업(F)'!$Q:$Q,$J16,'환경부사업(F)'!$C:$C,$L$1),
    SUMIFS('프로젝트(G)'!$I:$I,'프로젝트(G)'!$G:$G,Y$2,'프로젝트(G)'!$Q:$Q,$J16,'프로젝트(G)'!$C:$C,$L$1),
    SUMIFS('협력사 EPC(H)'!$I:$I,'협력사 EPC(H)'!$G:$G,Y$2,'협력사 EPC(H)'!$Q:$Q,$J16,'협력사 EPC(H)'!$C:$C,$L$1),
    SUMIFS('기타(Z)'!$I:$I,'기타(Z)'!$G:$G,Y$2,'기타(Z)'!$Q:$Q,$J16,'기타(Z)'!$C:$C,$L$1)
  )=0,
  "",
  SUM(
    SUMIFS('발전사업(A)'!$I:$I,'발전사업(A)'!$G:$G,Y$2,'발전사업(A)'!$Q:$Q,$J16,'발전사업(A)'!$C:$C,$L$1),
    SUMIFS('자가소비(B)'!$I:$I,'자가소비(B)'!$G:$G,Y$2,'자가소비(B)'!$Q:$Q,$J16,'자가소비(B)'!$C:$C,$L$1),
    SUMIFS('PPA 사업(C)'!$I:$I,'PPA 사업(C)'!$G:$G,Y$2,'PPA 사업(C)'!$Q:$Q,$J16,'PPA 사업(C)'!$C:$C,$L$1),
    SUMIFS('리스사업(D)'!$I:$I,'리스사업(D)'!$G:$G,Y$2,'리스사업(D)'!$Q:$Q,$J16,'리스사업(D)'!$C:$C,$L$1),
    SUMIFS('임대사업(E)'!$I:$I,'임대사업(E)'!$G:$G,Y$2,'임대사업(E)'!$Q:$Q,$J16,'임대사업(E)'!$C:$C,$L$1),
    SUMIFS('환경부사업(F)'!$I:$I,'환경부사업(F)'!$G:$G,Y$2,'환경부사업(F)'!$Q:$Q,$J16,'환경부사업(F)'!$C:$C,$L$1),
    SUMIFS('프로젝트(G)'!$I:$I,'프로젝트(G)'!$G:$G,Y$2,'프로젝트(G)'!$Q:$Q,$J16,'프로젝트(G)'!$C:$C,$L$1),
    SUMIFS('협력사 EPC(H)'!$I:$I,'협력사 EPC(H)'!$G:$G,Y$2,'협력사 EPC(H)'!$Q:$Q,$J16,'협력사 EPC(H)'!$C:$C,$L$1),
    SUMIFS('기타(Z)'!$I:$I,'기타(Z)'!$G:$G,Y$2,'기타(Z)'!$Q:$Q,$J16,'기타(Z)'!$C:$C,$L$1)
  )
)</f>
        <v/>
      </c>
      <c r="Z16" s="387" t="str">
        <f>IF(
  SUM(
    COUNTIFS('발전사업(A)'!$G:$G, Y$2, '발전사업(A)'!$Q:$Q, $J16, '발전사업(A)'!$C:$C, $L$1),
    COUNTIFS('자가소비(B)'!$G:$G, Y$2, '자가소비(B)'!$Q:$Q, $J16, '자가소비(B)'!$C:$C, $L$1),
    COUNTIFS('PPA 사업(C)'!$G:$G, Y$2, 'PPA 사업(C)'!$Q:$Q, $J16, 'PPA 사업(C)'!$C:$C, $L$1),
    COUNTIFS('리스사업(D)'!$G:$G, Y$2, '리스사업(D)'!$Q:$Q, $J16, '리스사업(D)'!$C:$C, $L$1),
    COUNTIFS('임대사업(E)'!$G:$G, Y$2, '임대사업(E)'!$Q:$Q, $J16, '임대사업(E)'!$C:$C, $L$1),
    COUNTIFS('환경부사업(F)'!$G:$G, Y$2, '환경부사업(F)'!$Q:$Q, $J16, '환경부사업(F)'!$C:$C, $L$1),
    COUNTIFS('프로젝트(G)'!$G:$G, Y$2, '프로젝트(G)'!$Q:$Q, $J16, '프로젝트(G)'!$C:$C, $L$1),
    COUNTIFS('협력사 EPC(H)'!$G:$G, Y$2, '협력사 EPC(H)'!$Q:$Q, $J16, '협력사 EPC(H)'!$C:$C, $L$1),
    COUNTIFS('기타(Z)'!$G:$G, Y$2, '기타(Z)'!$Q:$Q, $J16, '기타(Z)'!$C:$C, $L$1)
  ) = 0,
  "",
  COUNTIFS('발전사업(A)'!$G:$G, Y$2, '발전사업(A)'!$Q:$Q, $J16, '발전사업(A)'!$C:$C, $L$1)
  + COUNTIFS('자가소비(B)'!$G:$G, Y$2, '자가소비(B)'!$Q:$Q, $J16, '자가소비(B)'!$C:$C, $L$1)
  + COUNTIFS('PPA 사업(C)'!$G:$G, Y$2, 'PPA 사업(C)'!$Q:$Q, $J16, 'PPA 사업(C)'!$C:$C, $L$1)
  + COUNTIFS('리스사업(D)'!$G:$G, Y$2, '리스사업(D)'!$Q:$Q, $J16, '리스사업(D)'!$C:$C, $L$1)
  + COUNTIFS('임대사업(E)'!$G:$G, Y$2, '임대사업(E)'!$Q:$Q, $J16, '임대사업(E)'!$C:$C, $L$1)
  + COUNTIFS('환경부사업(F)'!$G:$G, Y$2, '환경부사업(F)'!$Q:$Q, $J16, '환경부사업(F)'!$C:$C, $L$1)
  + COUNTIFS('프로젝트(G)'!$G:$G, Y$2, '프로젝트(G)'!$Q:$Q, $J16, '프로젝트(G)'!$C:$C, $L$1)
  + COUNTIFS('협력사 EPC(H)'!$G:$G, Y$2, '협력사 EPC(H)'!$Q:$Q, $J16, '협력사 EPC(H)'!$C:$C, $L$1)
  + COUNTIFS('기타(Z)'!$G:$G, Y$2, '기타(Z)'!$Q:$Q, $J16, '기타(Z)'!$C:$C, $L$1)
)</f>
        <v/>
      </c>
      <c r="AA16" s="386" t="str">
        <f>IF(
  SUM(
    SUMIFS('발전사업(A)'!$I:$I,'발전사업(A)'!$G:$G,AA$2,'발전사업(A)'!$Q:$Q,$J16,'발전사업(A)'!$C:$C,$L$1),
    SUMIFS('자가소비(B)'!$I:$I,'자가소비(B)'!$G:$G,AA$2,'자가소비(B)'!$Q:$Q,$J16,'자가소비(B)'!$C:$C,$L$1),
    SUMIFS('PPA 사업(C)'!$I:$I,'PPA 사업(C)'!$G:$G,AA$2,'PPA 사업(C)'!$Q:$Q,$J16,'PPA 사업(C)'!$C:$C,$L$1),
    SUMIFS('리스사업(D)'!$I:$I,'리스사업(D)'!$G:$G,AA$2,'리스사업(D)'!$Q:$Q,$J16,'리스사업(D)'!$C:$C,$L$1),
    SUMIFS('임대사업(E)'!$I:$I,'임대사업(E)'!$G:$G,AA$2,'임대사업(E)'!$Q:$Q,$J16,'임대사업(E)'!$C:$C,$L$1),
    SUMIFS('환경부사업(F)'!$I:$I,'환경부사업(F)'!$G:$G,AA$2,'환경부사업(F)'!$Q:$Q,$J16,'환경부사업(F)'!$C:$C,$L$1),
    SUMIFS('프로젝트(G)'!$I:$I,'프로젝트(G)'!$G:$G,AA$2,'프로젝트(G)'!$Q:$Q,$J16,'프로젝트(G)'!$C:$C,$L$1),
    SUMIFS('협력사 EPC(H)'!$I:$I,'협력사 EPC(H)'!$G:$G,AA$2,'협력사 EPC(H)'!$Q:$Q,$J16,'협력사 EPC(H)'!$C:$C,$L$1),
    SUMIFS('기타(Z)'!$I:$I,'기타(Z)'!$G:$G,AA$2,'기타(Z)'!$Q:$Q,$J16,'기타(Z)'!$C:$C,$L$1)
  )=0,
  "",
  SUM(
    SUMIFS('발전사업(A)'!$I:$I,'발전사업(A)'!$G:$G,AA$2,'발전사업(A)'!$Q:$Q,$J16,'발전사업(A)'!$C:$C,$L$1),
    SUMIFS('자가소비(B)'!$I:$I,'자가소비(B)'!$G:$G,AA$2,'자가소비(B)'!$Q:$Q,$J16,'자가소비(B)'!$C:$C,$L$1),
    SUMIFS('PPA 사업(C)'!$I:$I,'PPA 사업(C)'!$G:$G,AA$2,'PPA 사업(C)'!$Q:$Q,$J16,'PPA 사업(C)'!$C:$C,$L$1),
    SUMIFS('리스사업(D)'!$I:$I,'리스사업(D)'!$G:$G,AA$2,'리스사업(D)'!$Q:$Q,$J16,'리스사업(D)'!$C:$C,$L$1),
    SUMIFS('임대사업(E)'!$I:$I,'임대사업(E)'!$G:$G,AA$2,'임대사업(E)'!$Q:$Q,$J16,'임대사업(E)'!$C:$C,$L$1),
    SUMIFS('환경부사업(F)'!$I:$I,'환경부사업(F)'!$G:$G,AA$2,'환경부사업(F)'!$Q:$Q,$J16,'환경부사업(F)'!$C:$C,$L$1),
    SUMIFS('프로젝트(G)'!$I:$I,'프로젝트(G)'!$G:$G,AA$2,'프로젝트(G)'!$Q:$Q,$J16,'프로젝트(G)'!$C:$C,$L$1),
    SUMIFS('협력사 EPC(H)'!$I:$I,'협력사 EPC(H)'!$G:$G,AA$2,'협력사 EPC(H)'!$Q:$Q,$J16,'협력사 EPC(H)'!$C:$C,$L$1),
    SUMIFS('기타(Z)'!$I:$I,'기타(Z)'!$G:$G,AA$2,'기타(Z)'!$Q:$Q,$J16,'기타(Z)'!$C:$C,$L$1)
  )
)</f>
        <v/>
      </c>
      <c r="AB16" s="387" t="str">
        <f>IF(
  SUM(
    COUNTIFS('발전사업(A)'!$G:$G, AA$2, '발전사업(A)'!$Q:$Q, $J16, '발전사업(A)'!$C:$C, $L$1),
    COUNTIFS('자가소비(B)'!$G:$G, AA$2, '자가소비(B)'!$Q:$Q, $J16, '자가소비(B)'!$C:$C, $L$1),
    COUNTIFS('PPA 사업(C)'!$G:$G, AA$2, 'PPA 사업(C)'!$Q:$Q, $J16, 'PPA 사업(C)'!$C:$C, $L$1),
    COUNTIFS('리스사업(D)'!$G:$G, AA$2, '리스사업(D)'!$Q:$Q, $J16, '리스사업(D)'!$C:$C, $L$1),
    COUNTIFS('임대사업(E)'!$G:$G, AA$2, '임대사업(E)'!$Q:$Q, $J16, '임대사업(E)'!$C:$C, $L$1),
    COUNTIFS('환경부사업(F)'!$G:$G, AA$2, '환경부사업(F)'!$Q:$Q, $J16, '환경부사업(F)'!$C:$C, $L$1),
    COUNTIFS('프로젝트(G)'!$G:$G, AA$2, '프로젝트(G)'!$Q:$Q, $J16, '프로젝트(G)'!$C:$C, $L$1),
    COUNTIFS('협력사 EPC(H)'!$G:$G, AA$2, '협력사 EPC(H)'!$Q:$Q, $J16, '협력사 EPC(H)'!$C:$C, $L$1),
    COUNTIFS('기타(Z)'!$G:$G, AA$2, '기타(Z)'!$Q:$Q, $J16, '기타(Z)'!$C:$C, $L$1)
  ) = 0,
  "",
  COUNTIFS('발전사업(A)'!$G:$G, AA$2, '발전사업(A)'!$Q:$Q, $J16, '발전사업(A)'!$C:$C, $L$1)
  + COUNTIFS('자가소비(B)'!$G:$G, AA$2, '자가소비(B)'!$Q:$Q, $J16, '자가소비(B)'!$C:$C, $L$1)
  + COUNTIFS('PPA 사업(C)'!$G:$G, AA$2, 'PPA 사업(C)'!$Q:$Q, $J16, 'PPA 사업(C)'!$C:$C, $L$1)
  + COUNTIFS('리스사업(D)'!$G:$G, AA$2, '리스사업(D)'!$Q:$Q, $J16, '리스사업(D)'!$C:$C, $L$1)
  + COUNTIFS('임대사업(E)'!$G:$G, AA$2, '임대사업(E)'!$Q:$Q, $J16, '임대사업(E)'!$C:$C, $L$1)
  + COUNTIFS('환경부사업(F)'!$G:$G, AA$2, '환경부사업(F)'!$Q:$Q, $J16, '환경부사업(F)'!$C:$C, $L$1)
  + COUNTIFS('프로젝트(G)'!$G:$G, AA$2, '프로젝트(G)'!$Q:$Q, $J16, '프로젝트(G)'!$C:$C, $L$1)
  + COUNTIFS('협력사 EPC(H)'!$G:$G, AA$2, '협력사 EPC(H)'!$Q:$Q, $J16, '협력사 EPC(H)'!$C:$C, $L$1)
  + COUNTIFS('기타(Z)'!$G:$G, AA$2, '기타(Z)'!$Q:$Q, $J16, '기타(Z)'!$C:$C, $L$1)
)</f>
        <v/>
      </c>
      <c r="AC16" s="386" t="str">
        <f>IF(
  SUM(
    SUMIFS('발전사업(A)'!$I:$I,'발전사업(A)'!$G:$G,AC$2,'발전사업(A)'!$Q:$Q,$J16,'발전사업(A)'!$C:$C,$L$1),
    SUMIFS('자가소비(B)'!$I:$I,'자가소비(B)'!$G:$G,AC$2,'자가소비(B)'!$Q:$Q,$J16,'자가소비(B)'!$C:$C,$L$1),
    SUMIFS('PPA 사업(C)'!$I:$I,'PPA 사업(C)'!$G:$G,AC$2,'PPA 사업(C)'!$Q:$Q,$J16,'PPA 사업(C)'!$C:$C,$L$1),
    SUMIFS('리스사업(D)'!$I:$I,'리스사업(D)'!$G:$G,AC$2,'리스사업(D)'!$Q:$Q,$J16,'리스사업(D)'!$C:$C,$L$1),
    SUMIFS('임대사업(E)'!$I:$I,'임대사업(E)'!$G:$G,AC$2,'임대사업(E)'!$Q:$Q,$J16,'임대사업(E)'!$C:$C,$L$1),
    SUMIFS('환경부사업(F)'!$I:$I,'환경부사업(F)'!$G:$G,AC$2,'환경부사업(F)'!$Q:$Q,$J16,'환경부사업(F)'!$C:$C,$L$1),
    SUMIFS('프로젝트(G)'!$I:$I,'프로젝트(G)'!$G:$G,AC$2,'프로젝트(G)'!$Q:$Q,$J16,'프로젝트(G)'!$C:$C,$L$1),
    SUMIFS('협력사 EPC(H)'!$I:$I,'협력사 EPC(H)'!$G:$G,AC$2,'협력사 EPC(H)'!$Q:$Q,$J16,'협력사 EPC(H)'!$C:$C,$L$1),
    SUMIFS('기타(Z)'!$I:$I,'기타(Z)'!$G:$G,AC$2,'기타(Z)'!$Q:$Q,$J16,'기타(Z)'!$C:$C,$L$1)
  )=0,
  "",
  SUM(
    SUMIFS('발전사업(A)'!$I:$I,'발전사업(A)'!$G:$G,AC$2,'발전사업(A)'!$Q:$Q,$J16,'발전사업(A)'!$C:$C,$L$1),
    SUMIFS('자가소비(B)'!$I:$I,'자가소비(B)'!$G:$G,AC$2,'자가소비(B)'!$Q:$Q,$J16,'자가소비(B)'!$C:$C,$L$1),
    SUMIFS('PPA 사업(C)'!$I:$I,'PPA 사업(C)'!$G:$G,AC$2,'PPA 사업(C)'!$Q:$Q,$J16,'PPA 사업(C)'!$C:$C,$L$1),
    SUMIFS('리스사업(D)'!$I:$I,'리스사업(D)'!$G:$G,AC$2,'리스사업(D)'!$Q:$Q,$J16,'리스사업(D)'!$C:$C,$L$1),
    SUMIFS('임대사업(E)'!$I:$I,'임대사업(E)'!$G:$G,AC$2,'임대사업(E)'!$Q:$Q,$J16,'임대사업(E)'!$C:$C,$L$1),
    SUMIFS('환경부사업(F)'!$I:$I,'환경부사업(F)'!$G:$G,AC$2,'환경부사업(F)'!$Q:$Q,$J16,'환경부사업(F)'!$C:$C,$L$1),
    SUMIFS('프로젝트(G)'!$I:$I,'프로젝트(G)'!$G:$G,AC$2,'프로젝트(G)'!$Q:$Q,$J16,'프로젝트(G)'!$C:$C,$L$1),
    SUMIFS('협력사 EPC(H)'!$I:$I,'협력사 EPC(H)'!$G:$G,AC$2,'협력사 EPC(H)'!$Q:$Q,$J16,'협력사 EPC(H)'!$C:$C,$L$1),
    SUMIFS('기타(Z)'!$I:$I,'기타(Z)'!$G:$G,AC$2,'기타(Z)'!$Q:$Q,$J16,'기타(Z)'!$C:$C,$L$1)
  )
)</f>
        <v/>
      </c>
      <c r="AD16" s="387" t="str">
        <f>IF(
  SUM(
    COUNTIFS('발전사업(A)'!$G:$G, AC$2, '발전사업(A)'!$Q:$Q, $J16, '발전사업(A)'!$C:$C, $L$1),
    COUNTIFS('자가소비(B)'!$G:$G, AC$2, '자가소비(B)'!$Q:$Q, $J16, '자가소비(B)'!$C:$C, $L$1),
    COUNTIFS('PPA 사업(C)'!$G:$G, AC$2, 'PPA 사업(C)'!$Q:$Q, $J16, 'PPA 사업(C)'!$C:$C, $L$1),
    COUNTIFS('리스사업(D)'!$G:$G, AC$2, '리스사업(D)'!$Q:$Q, $J16, '리스사업(D)'!$C:$C, $L$1),
    COUNTIFS('임대사업(E)'!$G:$G, AC$2, '임대사업(E)'!$Q:$Q, $J16, '임대사업(E)'!$C:$C, $L$1),
    COUNTIFS('환경부사업(F)'!$G:$G, AC$2, '환경부사업(F)'!$Q:$Q, $J16, '환경부사업(F)'!$C:$C, $L$1),
    COUNTIFS('프로젝트(G)'!$G:$G, AC$2, '프로젝트(G)'!$Q:$Q, $J16, '프로젝트(G)'!$C:$C, $L$1),
    COUNTIFS('협력사 EPC(H)'!$G:$G, AC$2, '협력사 EPC(H)'!$Q:$Q, $J16, '협력사 EPC(H)'!$C:$C, $L$1),
    COUNTIFS('기타(Z)'!$G:$G, AC$2, '기타(Z)'!$Q:$Q, $J16, '기타(Z)'!$C:$C, $L$1)
  ) = 0,
  "",
  COUNTIFS('발전사업(A)'!$G:$G, AC$2, '발전사업(A)'!$Q:$Q, $J16, '발전사업(A)'!$C:$C, $L$1)
  + COUNTIFS('자가소비(B)'!$G:$G, AC$2, '자가소비(B)'!$Q:$Q, $J16, '자가소비(B)'!$C:$C, $L$1)
  + COUNTIFS('PPA 사업(C)'!$G:$G, AC$2, 'PPA 사업(C)'!$Q:$Q, $J16, 'PPA 사업(C)'!$C:$C, $L$1)
  + COUNTIFS('리스사업(D)'!$G:$G, AC$2, '리스사업(D)'!$Q:$Q, $J16, '리스사업(D)'!$C:$C, $L$1)
  + COUNTIFS('임대사업(E)'!$G:$G, AC$2, '임대사업(E)'!$Q:$Q, $J16, '임대사업(E)'!$C:$C, $L$1)
  + COUNTIFS('환경부사업(F)'!$G:$G, AC$2, '환경부사업(F)'!$Q:$Q, $J16, '환경부사업(F)'!$C:$C, $L$1)
  + COUNTIFS('프로젝트(G)'!$G:$G, AC$2, '프로젝트(G)'!$Q:$Q, $J16, '프로젝트(G)'!$C:$C, $L$1)
  + COUNTIFS('협력사 EPC(H)'!$G:$G, AC$2, '협력사 EPC(H)'!$Q:$Q, $J16, '협력사 EPC(H)'!$C:$C, $L$1)
  + COUNTIFS('기타(Z)'!$G:$G, AC$2, '기타(Z)'!$Q:$Q, $J16, '기타(Z)'!$C:$C, $L$1)
)</f>
        <v/>
      </c>
      <c r="AE16" s="386" t="str">
        <f>IF(
  SUM(
    SUMIFS('발전사업(A)'!$I:$I,'발전사업(A)'!$G:$G,AE$2,'발전사업(A)'!$Q:$Q,$J16,'발전사업(A)'!$C:$C,$L$1),
    SUMIFS('자가소비(B)'!$I:$I,'자가소비(B)'!$G:$G,AE$2,'자가소비(B)'!$Q:$Q,$J16,'자가소비(B)'!$C:$C,$L$1),
    SUMIFS('PPA 사업(C)'!$I:$I,'PPA 사업(C)'!$G:$G,AE$2,'PPA 사업(C)'!$Q:$Q,$J16,'PPA 사업(C)'!$C:$C,$L$1),
    SUMIFS('리스사업(D)'!$I:$I,'리스사업(D)'!$G:$G,AE$2,'리스사업(D)'!$Q:$Q,$J16,'리스사업(D)'!$C:$C,$L$1),
    SUMIFS('임대사업(E)'!$I:$I,'임대사업(E)'!$G:$G,AE$2,'임대사업(E)'!$Q:$Q,$J16,'임대사업(E)'!$C:$C,$L$1),
    SUMIFS('환경부사업(F)'!$I:$I,'환경부사업(F)'!$G:$G,AE$2,'환경부사업(F)'!$Q:$Q,$J16,'환경부사업(F)'!$C:$C,$L$1),
    SUMIFS('프로젝트(G)'!$I:$I,'프로젝트(G)'!$G:$G,AE$2,'프로젝트(G)'!$Q:$Q,$J16,'프로젝트(G)'!$C:$C,$L$1),
    SUMIFS('협력사 EPC(H)'!$I:$I,'협력사 EPC(H)'!$G:$G,AE$2,'협력사 EPC(H)'!$Q:$Q,$J16,'협력사 EPC(H)'!$C:$C,$L$1),
    SUMIFS('기타(Z)'!$I:$I,'기타(Z)'!$G:$G,AE$2,'기타(Z)'!$Q:$Q,$J16,'기타(Z)'!$C:$C,$L$1)
  )=0,
  "",
  SUM(
    SUMIFS('발전사업(A)'!$I:$I,'발전사업(A)'!$G:$G,AE$2,'발전사업(A)'!$Q:$Q,$J16,'발전사업(A)'!$C:$C,$L$1),
    SUMIFS('자가소비(B)'!$I:$I,'자가소비(B)'!$G:$G,AE$2,'자가소비(B)'!$Q:$Q,$J16,'자가소비(B)'!$C:$C,$L$1),
    SUMIFS('PPA 사업(C)'!$I:$I,'PPA 사업(C)'!$G:$G,AE$2,'PPA 사업(C)'!$Q:$Q,$J16,'PPA 사업(C)'!$C:$C,$L$1),
    SUMIFS('리스사업(D)'!$I:$I,'리스사업(D)'!$G:$G,AE$2,'리스사업(D)'!$Q:$Q,$J16,'리스사업(D)'!$C:$C,$L$1),
    SUMIFS('임대사업(E)'!$I:$I,'임대사업(E)'!$G:$G,AE$2,'임대사업(E)'!$Q:$Q,$J16,'임대사업(E)'!$C:$C,$L$1),
    SUMIFS('환경부사업(F)'!$I:$I,'환경부사업(F)'!$G:$G,AE$2,'환경부사업(F)'!$Q:$Q,$J16,'환경부사업(F)'!$C:$C,$L$1),
    SUMIFS('프로젝트(G)'!$I:$I,'프로젝트(G)'!$G:$G,AE$2,'프로젝트(G)'!$Q:$Q,$J16,'프로젝트(G)'!$C:$C,$L$1),
    SUMIFS('협력사 EPC(H)'!$I:$I,'협력사 EPC(H)'!$G:$G,AE$2,'협력사 EPC(H)'!$Q:$Q,$J16,'협력사 EPC(H)'!$C:$C,$L$1),
    SUMIFS('기타(Z)'!$I:$I,'기타(Z)'!$G:$G,AE$2,'기타(Z)'!$Q:$Q,$J16,'기타(Z)'!$C:$C,$L$1)
  )
)</f>
        <v/>
      </c>
      <c r="AF16" s="387" t="str">
        <f>IF(
  SUM(
    COUNTIFS('발전사업(A)'!$G:$G, AE$2, '발전사업(A)'!$Q:$Q, $J16, '발전사업(A)'!$C:$C, $L$1),
    COUNTIFS('자가소비(B)'!$G:$G, AE$2, '자가소비(B)'!$Q:$Q, $J16, '자가소비(B)'!$C:$C, $L$1),
    COUNTIFS('PPA 사업(C)'!$G:$G, AE$2, 'PPA 사업(C)'!$Q:$Q, $J16, 'PPA 사업(C)'!$C:$C, $L$1),
    COUNTIFS('리스사업(D)'!$G:$G, AE$2, '리스사업(D)'!$Q:$Q, $J16, '리스사업(D)'!$C:$C, $L$1),
    COUNTIFS('임대사업(E)'!$G:$G, AE$2, '임대사업(E)'!$Q:$Q, $J16, '임대사업(E)'!$C:$C, $L$1),
    COUNTIFS('환경부사업(F)'!$G:$G, AE$2, '환경부사업(F)'!$Q:$Q, $J16, '환경부사업(F)'!$C:$C, $L$1),
    COUNTIFS('프로젝트(G)'!$G:$G, AE$2, '프로젝트(G)'!$Q:$Q, $J16, '프로젝트(G)'!$C:$C, $L$1),
    COUNTIFS('협력사 EPC(H)'!$G:$G, AE$2, '협력사 EPC(H)'!$Q:$Q, $J16, '협력사 EPC(H)'!$C:$C, $L$1),
    COUNTIFS('기타(Z)'!$G:$G, AE$2, '기타(Z)'!$Q:$Q, $J16, '기타(Z)'!$C:$C, $L$1)
  ) = 0,
  "",
  COUNTIFS('발전사업(A)'!$G:$G, AE$2, '발전사업(A)'!$Q:$Q, $J16, '발전사업(A)'!$C:$C, $L$1)
  + COUNTIFS('자가소비(B)'!$G:$G, AE$2, '자가소비(B)'!$Q:$Q, $J16, '자가소비(B)'!$C:$C, $L$1)
  + COUNTIFS('PPA 사업(C)'!$G:$G, AE$2, 'PPA 사업(C)'!$Q:$Q, $J16, 'PPA 사업(C)'!$C:$C, $L$1)
  + COUNTIFS('리스사업(D)'!$G:$G, AE$2, '리스사업(D)'!$Q:$Q, $J16, '리스사업(D)'!$C:$C, $L$1)
  + COUNTIFS('임대사업(E)'!$G:$G, AE$2, '임대사업(E)'!$Q:$Q, $J16, '임대사업(E)'!$C:$C, $L$1)
  + COUNTIFS('환경부사업(F)'!$G:$G, AE$2, '환경부사업(F)'!$Q:$Q, $J16, '환경부사업(F)'!$C:$C, $L$1)
  + COUNTIFS('프로젝트(G)'!$G:$G, AE$2, '프로젝트(G)'!$Q:$Q, $J16, '프로젝트(G)'!$C:$C, $L$1)
  + COUNTIFS('협력사 EPC(H)'!$G:$G, AE$2, '협력사 EPC(H)'!$Q:$Q, $J16, '협력사 EPC(H)'!$C:$C, $L$1)
  + COUNTIFS('기타(Z)'!$G:$G, AE$2, '기타(Z)'!$Q:$Q, $J16, '기타(Z)'!$C:$C, $L$1)
)</f>
        <v/>
      </c>
      <c r="AG16" s="386" t="str">
        <f>IF(
  SUM(
    SUMIFS('발전사업(A)'!$I:$I,'발전사업(A)'!$G:$G,AG$2,'발전사업(A)'!$Q:$Q,$J16,'발전사업(A)'!$C:$C,$L$1),
    SUMIFS('자가소비(B)'!$I:$I,'자가소비(B)'!$G:$G,AG$2,'자가소비(B)'!$Q:$Q,$J16,'자가소비(B)'!$C:$C,$L$1),
    SUMIFS('PPA 사업(C)'!$I:$I,'PPA 사업(C)'!$G:$G,AG$2,'PPA 사업(C)'!$Q:$Q,$J16,'PPA 사업(C)'!$C:$C,$L$1),
    SUMIFS('리스사업(D)'!$I:$I,'리스사업(D)'!$G:$G,AG$2,'리스사업(D)'!$Q:$Q,$J16,'리스사업(D)'!$C:$C,$L$1),
    SUMIFS('임대사업(E)'!$I:$I,'임대사업(E)'!$G:$G,AG$2,'임대사업(E)'!$Q:$Q,$J16,'임대사업(E)'!$C:$C,$L$1),
    SUMIFS('환경부사업(F)'!$I:$I,'환경부사업(F)'!$G:$G,AG$2,'환경부사업(F)'!$Q:$Q,$J16,'환경부사업(F)'!$C:$C,$L$1),
    SUMIFS('프로젝트(G)'!$I:$I,'프로젝트(G)'!$G:$G,AG$2,'프로젝트(G)'!$Q:$Q,$J16,'프로젝트(G)'!$C:$C,$L$1),
    SUMIFS('협력사 EPC(H)'!$I:$I,'협력사 EPC(H)'!$G:$G,AG$2,'협력사 EPC(H)'!$Q:$Q,$J16,'협력사 EPC(H)'!$C:$C,$L$1),
    SUMIFS('기타(Z)'!$I:$I,'기타(Z)'!$G:$G,AG$2,'기타(Z)'!$Q:$Q,$J16,'기타(Z)'!$C:$C,$L$1)
  )=0,
  "",
  SUM(
    SUMIFS('발전사업(A)'!$I:$I,'발전사업(A)'!$G:$G,AG$2,'발전사업(A)'!$Q:$Q,$J16,'발전사업(A)'!$C:$C,$L$1),
    SUMIFS('자가소비(B)'!$I:$I,'자가소비(B)'!$G:$G,AG$2,'자가소비(B)'!$Q:$Q,$J16,'자가소비(B)'!$C:$C,$L$1),
    SUMIFS('PPA 사업(C)'!$I:$I,'PPA 사업(C)'!$G:$G,AG$2,'PPA 사업(C)'!$Q:$Q,$J16,'PPA 사업(C)'!$C:$C,$L$1),
    SUMIFS('리스사업(D)'!$I:$I,'리스사업(D)'!$G:$G,AG$2,'리스사업(D)'!$Q:$Q,$J16,'리스사업(D)'!$C:$C,$L$1),
    SUMIFS('임대사업(E)'!$I:$I,'임대사업(E)'!$G:$G,AG$2,'임대사업(E)'!$Q:$Q,$J16,'임대사업(E)'!$C:$C,$L$1),
    SUMIFS('환경부사업(F)'!$I:$I,'환경부사업(F)'!$G:$G,AG$2,'환경부사업(F)'!$Q:$Q,$J16,'환경부사업(F)'!$C:$C,$L$1),
    SUMIFS('프로젝트(G)'!$I:$I,'프로젝트(G)'!$G:$G,AG$2,'프로젝트(G)'!$Q:$Q,$J16,'프로젝트(G)'!$C:$C,$L$1),
    SUMIFS('협력사 EPC(H)'!$I:$I,'협력사 EPC(H)'!$G:$G,AG$2,'협력사 EPC(H)'!$Q:$Q,$J16,'협력사 EPC(H)'!$C:$C,$L$1),
    SUMIFS('기타(Z)'!$I:$I,'기타(Z)'!$G:$G,AG$2,'기타(Z)'!$Q:$Q,$J16,'기타(Z)'!$C:$C,$L$1)
  )
)</f>
        <v/>
      </c>
      <c r="AH16" s="387" t="str">
        <f>IF(
  SUM(
    COUNTIFS('발전사업(A)'!$G:$G, AG$2, '발전사업(A)'!$Q:$Q, $J16, '발전사업(A)'!$C:$C, $L$1),
    COUNTIFS('자가소비(B)'!$G:$G, AG$2, '자가소비(B)'!$Q:$Q, $J16, '자가소비(B)'!$C:$C, $L$1),
    COUNTIFS('PPA 사업(C)'!$G:$G, AG$2, 'PPA 사업(C)'!$Q:$Q, $J16, 'PPA 사업(C)'!$C:$C, $L$1),
    COUNTIFS('리스사업(D)'!$G:$G, AG$2, '리스사업(D)'!$Q:$Q, $J16, '리스사업(D)'!$C:$C, $L$1),
    COUNTIFS('임대사업(E)'!$G:$G, AG$2, '임대사업(E)'!$Q:$Q, $J16, '임대사업(E)'!$C:$C, $L$1),
    COUNTIFS('환경부사업(F)'!$G:$G, AG$2, '환경부사업(F)'!$Q:$Q, $J16, '환경부사업(F)'!$C:$C, $L$1),
    COUNTIFS('프로젝트(G)'!$G:$G, AG$2, '프로젝트(G)'!$Q:$Q, $J16, '프로젝트(G)'!$C:$C, $L$1),
    COUNTIFS('협력사 EPC(H)'!$G:$G, AG$2, '협력사 EPC(H)'!$Q:$Q, $J16, '협력사 EPC(H)'!$C:$C, $L$1),
    COUNTIFS('기타(Z)'!$G:$G, AG$2, '기타(Z)'!$Q:$Q, $J16, '기타(Z)'!$C:$C, $L$1)
  ) = 0,
  "",
  COUNTIFS('발전사업(A)'!$G:$G, AG$2, '발전사업(A)'!$Q:$Q, $J16, '발전사업(A)'!$C:$C, $L$1)
  + COUNTIFS('자가소비(B)'!$G:$G, AG$2, '자가소비(B)'!$Q:$Q, $J16, '자가소비(B)'!$C:$C, $L$1)
  + COUNTIFS('PPA 사업(C)'!$G:$G, AG$2, 'PPA 사업(C)'!$Q:$Q, $J16, 'PPA 사업(C)'!$C:$C, $L$1)
  + COUNTIFS('리스사업(D)'!$G:$G, AG$2, '리스사업(D)'!$Q:$Q, $J16, '리스사업(D)'!$C:$C, $L$1)
  + COUNTIFS('임대사업(E)'!$G:$G, AG$2, '임대사업(E)'!$Q:$Q, $J16, '임대사업(E)'!$C:$C, $L$1)
  + COUNTIFS('환경부사업(F)'!$G:$G, AG$2, '환경부사업(F)'!$Q:$Q, $J16, '환경부사업(F)'!$C:$C, $L$1)
  + COUNTIFS('프로젝트(G)'!$G:$G, AG$2, '프로젝트(G)'!$Q:$Q, $J16, '프로젝트(G)'!$C:$C, $L$1)
  + COUNTIFS('협력사 EPC(H)'!$G:$G, AG$2, '협력사 EPC(H)'!$Q:$Q, $J16, '협력사 EPC(H)'!$C:$C, $L$1)
  + COUNTIFS('기타(Z)'!$G:$G, AG$2, '기타(Z)'!$Q:$Q, $J16, '기타(Z)'!$C:$C, $L$1)
)</f>
        <v/>
      </c>
      <c r="AI16" s="386" t="str">
        <f>IF(
  SUM(
    SUMIFS('발전사업(A)'!$I:$I,'발전사업(A)'!$G:$G,AI$2,'발전사업(A)'!$Q:$Q,$J16,'발전사업(A)'!$C:$C,$L$1),
    SUMIFS('자가소비(B)'!$I:$I,'자가소비(B)'!$G:$G,AI$2,'자가소비(B)'!$Q:$Q,$J16,'자가소비(B)'!$C:$C,$L$1),
    SUMIFS('PPA 사업(C)'!$I:$I,'PPA 사업(C)'!$G:$G,AI$2,'PPA 사업(C)'!$Q:$Q,$J16,'PPA 사업(C)'!$C:$C,$L$1),
    SUMIFS('리스사업(D)'!$I:$I,'리스사업(D)'!$G:$G,AI$2,'리스사업(D)'!$Q:$Q,$J16,'리스사업(D)'!$C:$C,$L$1),
    SUMIFS('임대사업(E)'!$I:$I,'임대사업(E)'!$G:$G,AI$2,'임대사업(E)'!$Q:$Q,$J16,'임대사업(E)'!$C:$C,$L$1),
    SUMIFS('환경부사업(F)'!$I:$I,'환경부사업(F)'!$G:$G,AI$2,'환경부사업(F)'!$Q:$Q,$J16,'환경부사업(F)'!$C:$C,$L$1),
    SUMIFS('프로젝트(G)'!$I:$I,'프로젝트(G)'!$G:$G,AI$2,'프로젝트(G)'!$Q:$Q,$J16,'프로젝트(G)'!$C:$C,$L$1),
    SUMIFS('협력사 EPC(H)'!$I:$I,'협력사 EPC(H)'!$G:$G,AI$2,'협력사 EPC(H)'!$Q:$Q,$J16,'협력사 EPC(H)'!$C:$C,$L$1),
    SUMIFS('기타(Z)'!$I:$I,'기타(Z)'!$G:$G,AI$2,'기타(Z)'!$Q:$Q,$J16,'기타(Z)'!$C:$C,$L$1)
  )=0,
  "",
  SUM(
    SUMIFS('발전사업(A)'!$I:$I,'발전사업(A)'!$G:$G,AI$2,'발전사업(A)'!$Q:$Q,$J16,'발전사업(A)'!$C:$C,$L$1),
    SUMIFS('자가소비(B)'!$I:$I,'자가소비(B)'!$G:$G,AI$2,'자가소비(B)'!$Q:$Q,$J16,'자가소비(B)'!$C:$C,$L$1),
    SUMIFS('PPA 사업(C)'!$I:$I,'PPA 사업(C)'!$G:$G,AI$2,'PPA 사업(C)'!$Q:$Q,$J16,'PPA 사업(C)'!$C:$C,$L$1),
    SUMIFS('리스사업(D)'!$I:$I,'리스사업(D)'!$G:$G,AI$2,'리스사업(D)'!$Q:$Q,$J16,'리스사업(D)'!$C:$C,$L$1),
    SUMIFS('임대사업(E)'!$I:$I,'임대사업(E)'!$G:$G,AI$2,'임대사업(E)'!$Q:$Q,$J16,'임대사업(E)'!$C:$C,$L$1),
    SUMIFS('환경부사업(F)'!$I:$I,'환경부사업(F)'!$G:$G,AI$2,'환경부사업(F)'!$Q:$Q,$J16,'환경부사업(F)'!$C:$C,$L$1),
    SUMIFS('프로젝트(G)'!$I:$I,'프로젝트(G)'!$G:$G,AI$2,'프로젝트(G)'!$Q:$Q,$J16,'프로젝트(G)'!$C:$C,$L$1),
    SUMIFS('협력사 EPC(H)'!$I:$I,'협력사 EPC(H)'!$G:$G,AI$2,'협력사 EPC(H)'!$Q:$Q,$J16,'협력사 EPC(H)'!$C:$C,$L$1),
    SUMIFS('기타(Z)'!$I:$I,'기타(Z)'!$G:$G,AI$2,'기타(Z)'!$Q:$Q,$J16,'기타(Z)'!$C:$C,$L$1)
  )
)</f>
        <v/>
      </c>
      <c r="AJ16" s="385" t="str">
        <f>IF(
  SUM(
    COUNTIFS('발전사업(A)'!$G:$G, AI$2, '발전사업(A)'!$Q:$Q, $J16, '발전사업(A)'!$C:$C, $L$1),
    COUNTIFS('자가소비(B)'!$G:$G, AI$2, '자가소비(B)'!$Q:$Q, $J16, '자가소비(B)'!$C:$C, $L$1),
    COUNTIFS('PPA 사업(C)'!$G:$G, AI$2, 'PPA 사업(C)'!$Q:$Q, $J16, 'PPA 사업(C)'!$C:$C, $L$1),
    COUNTIFS('리스사업(D)'!$G:$G, AI$2, '리스사업(D)'!$Q:$Q, $J16, '리스사업(D)'!$C:$C, $L$1),
    COUNTIFS('임대사업(E)'!$G:$G, AI$2, '임대사업(E)'!$Q:$Q, $J16, '임대사업(E)'!$C:$C, $L$1),
    COUNTIFS('환경부사업(F)'!$G:$G, AI$2, '환경부사업(F)'!$Q:$Q, $J16, '환경부사업(F)'!$C:$C, $L$1),
    COUNTIFS('프로젝트(G)'!$G:$G, AI$2, '프로젝트(G)'!$Q:$Q, $J16, '프로젝트(G)'!$C:$C, $L$1),
    COUNTIFS('협력사 EPC(H)'!$G:$G, AI$2, '협력사 EPC(H)'!$Q:$Q, $J16, '협력사 EPC(H)'!$C:$C, $L$1),
    COUNTIFS('기타(Z)'!$G:$G, AI$2, '기타(Z)'!$Q:$Q, $J16, '기타(Z)'!$C:$C, $L$1)
  ) = 0,
  "",
  COUNTIFS('발전사업(A)'!$G:$G, AI$2, '발전사업(A)'!$Q:$Q, $J16, '발전사업(A)'!$C:$C, $L$1)
  + COUNTIFS('자가소비(B)'!$G:$G, AI$2, '자가소비(B)'!$Q:$Q, $J16, '자가소비(B)'!$C:$C, $L$1)
  + COUNTIFS('PPA 사업(C)'!$G:$G, AI$2, 'PPA 사업(C)'!$Q:$Q, $J16, 'PPA 사업(C)'!$C:$C, $L$1)
  + COUNTIFS('리스사업(D)'!$G:$G, AI$2, '리스사업(D)'!$Q:$Q, $J16, '리스사업(D)'!$C:$C, $L$1)
  + COUNTIFS('임대사업(E)'!$G:$G, AI$2, '임대사업(E)'!$Q:$Q, $J16, '임대사업(E)'!$C:$C, $L$1)
  + COUNTIFS('환경부사업(F)'!$G:$G, AI$2, '환경부사업(F)'!$Q:$Q, $J16, '환경부사업(F)'!$C:$C, $L$1)
  + COUNTIFS('프로젝트(G)'!$G:$G, AI$2, '프로젝트(G)'!$Q:$Q, $J16, '프로젝트(G)'!$C:$C, $L$1)
  + COUNTIFS('협력사 EPC(H)'!$G:$G, AI$2, '협력사 EPC(H)'!$Q:$Q, $J16, '협력사 EPC(H)'!$C:$C, $L$1)
  + COUNTIFS('기타(Z)'!$G:$G, AI$2, '기타(Z)'!$Q:$Q, $J16, '기타(Z)'!$C:$C, $L$1)
)</f>
        <v/>
      </c>
    </row>
    <row r="17" spans="2:36" ht="15" x14ac:dyDescent="0.25">
      <c r="B17" s="202" t="s">
        <v>259</v>
      </c>
      <c r="C17" s="280">
        <f>IF(
  SUM(
    SUMIFS('발전사업(A)'!I:I, '발전사업(A)'!C:C, $E$1, '발전사업(A)'!G:G, B15, '발전사업(A)'!W:W, B17),
    SUMIFS('자가소비(B)'!I:I, '자가소비(B)'!C:C, $E$1, '자가소비(B)'!G:G, B15, '자가소비(B)'!W:W, B17),
    SUMIFS('PPA 사업(C)'!I:I, 'PPA 사업(C)'!C:C, $E$1, 'PPA 사업(C)'!G:G, B15, 'PPA 사업(C)'!W:W, B17),
    SUMIFS('리스사업(D)'!I:I, '리스사업(D)'!C:C, $E$1, '리스사업(D)'!G:G, B15, '리스사업(D)'!W:W, B17),
    SUMIFS('임대사업(E)'!I:I, '임대사업(E)'!C:C, $E$1, '임대사업(E)'!G:G, B15, '임대사업(E)'!W:W, B17),
    SUMIFS('환경부사업(F)'!I:I, '환경부사업(F)'!C:C, $E$1, '환경부사업(F)'!G:G, B15, '환경부사업(F)'!W:W, B17),
    SUMIFS('프로젝트(G)'!I:I, '프로젝트(G)'!C:C, $E$1, '프로젝트(G)'!G:G, B15, '프로젝트(G)'!W:W, B17),
    SUMIFS('협력사 EPC(H)'!I:I, '협력사 EPC(H)'!C:C, $E$1, '협력사 EPC(H)'!G:G, B15, '협력사 EPC(H)'!W:W, B17),
    SUMIFS('기타(Z)'!I:I, '기타(Z)'!C:C, $E$1, '기타(Z)'!G:G, B15, '기타(Z)'!W:W, B17)
  ) = 0,
  "",
  SUMIFS('발전사업(A)'!I:I, '발전사업(A)'!C:C, $E$1, '발전사업(A)'!G:G, B15, '발전사업(A)'!W:W, B17)
  + SUMIFS('자가소비(B)'!I:I, '자가소비(B)'!C:C, $E$1, '자가소비(B)'!G:G, B15, '자가소비(B)'!W:W, B17)
  + SUMIFS('PPA 사업(C)'!I:I, 'PPA 사업(C)'!C:C, $E$1, 'PPA 사업(C)'!G:G, B15, 'PPA 사업(C)'!W:W, B17)
  + SUMIFS('리스사업(D)'!I:I, '리스사업(D)'!C:C, $E$1, '리스사업(D)'!G:G, B15, '리스사업(D)'!W:W, B17)
  + SUMIFS('임대사업(E)'!I:I, '임대사업(E)'!C:C, $E$1, '임대사업(E)'!G:G, B15, '임대사업(E)'!W:W, B17)
  + SUMIFS('환경부사업(F)'!I:I, '환경부사업(F)'!C:C, $E$1, '환경부사업(F)'!G:G, B15, '환경부사업(F)'!W:W, B17)
  + SUMIFS('프로젝트(G)'!I:I, '프로젝트(G)'!C:C, $E$1, '프로젝트(G)'!G:G, B15, '프로젝트(G)'!W:W, B17)
  + SUMIFS('협력사 EPC(H)'!I:I, '협력사 EPC(H)'!C:C, $E$1, '협력사 EPC(H)'!G:G, B15, '협력사 EPC(H)'!W:W, B17)
  + SUMIFS('기타(Z)'!I:I, '기타(Z)'!C:C, $E$1, '기타(Z)'!G:G, B15, '기타(Z)'!W:W, B17)
)</f>
        <v>549.43499999999995</v>
      </c>
      <c r="D17" s="281">
        <f>IF(
  COUNTIFS('발전사업(A)'!C:C, $E$1, '발전사업(A)'!G:G, B15, '발전사업(A)'!W:W, B17)
  + COUNTIFS('자가소비(B)'!C:C, $E$1, '자가소비(B)'!G:G, B15, '자가소비(B)'!W:W, B17)
  + COUNTIFS('PPA 사업(C)'!C:C, $E$1, 'PPA 사업(C)'!G:G, B15, 'PPA 사업(C)'!W:W, B17)
  + COUNTIFS('리스사업(D)'!C:C, $E$1, '리스사업(D)'!G:G, B15, '리스사업(D)'!W:W, B17)
  + COUNTIFS('임대사업(E)'!C:C, $E$1, '임대사업(E)'!G:G, B15, '임대사업(E)'!W:W, B17)
  + COUNTIFS('환경부사업(F)'!C:C, $E$1, '환경부사업(F)'!G:G, B15, '환경부사업(F)'!W:W, B17)
  + COUNTIFS('프로젝트(G)'!C:C, $E$1, '프로젝트(G)'!G:G, B15, '프로젝트(G)'!W:W, B17)
  + COUNTIFS('협력사 EPC(H)'!C:C, $E$1, '협력사 EPC(H)'!G:G, B15, '협력사 EPC(H)'!W:W, B17)
  + COUNTIFS('기타(Z)'!C:C, $E$1, '기타(Z)'!G:G, B15, '기타(Z)'!W:W, B17)
  = 0,
  "",
  COUNTIFS('발전사업(A)'!C:C, $E$1, '발전사업(A)'!G:G, B15, '발전사업(A)'!W:W, B17)
  + COUNTIFS('자가소비(B)'!C:C, $E$1, '자가소비(B)'!G:G, B15, '자가소비(B)'!W:W, B17)
  + COUNTIFS('PPA 사업(C)'!C:C, $E$1, 'PPA 사업(C)'!G:G, B15, 'PPA 사업(C)'!W:W, B17)
  + COUNTIFS('리스사업(D)'!C:C, $E$1, '리스사업(D)'!G:G, B15, '리스사업(D)'!W:W, B17)
  + COUNTIFS('임대사업(E)'!C:C, $E$1, '임대사업(E)'!G:G, B15, '임대사업(E)'!W:W, B17)
  + COUNTIFS('환경부사업(F)'!C:C, $E$1, '환경부사업(F)'!G:G, B15, '환경부사업(F)'!W:W, B17)
  + COUNTIFS('프로젝트(G)'!C:C, $E$1, '프로젝트(G)'!G:G, B15, '프로젝트(G)'!W:W, B17)
  + COUNTIFS('협력사 EPC(H)'!C:C, $E$1, '협력사 EPC(H)'!G:G, B15, '협력사 EPC(H)'!W:W, B17)
  + COUNTIFS('기타(Z)'!C:C, $E$1, '기타(Z)'!G:G, B15, '기타(Z)'!W:W, B17)
)</f>
        <v>2</v>
      </c>
      <c r="E17" s="280" t="str">
        <f>IF(
  SUM(
    SUMIFS('발전사업(A)'!I:I, '발전사업(A)'!C:C, $E$1, '발전사업(A)'!G:G, B15, '발전사업(A)'!W:W, B17, '발전사업(A)'!U:U, $C$1),
    SUMIFS('자가소비(B)'!I:I, '자가소비(B)'!C:C, $E$1, '자가소비(B)'!G:G, B15, '자가소비(B)'!W:W, B17, '자가소비(B)'!U:U, $C$1),
    SUMIFS('PPA 사업(C)'!I:I, 'PPA 사업(C)'!C:C, $E$1, 'PPA 사업(C)'!G:G, B15, 'PPA 사업(C)'!W:W, B17, 'PPA 사업(C)'!U:U, $C$1),
    SUMIFS('리스사업(D)'!I:I, '리스사업(D)'!C:C, $E$1, '리스사업(D)'!G:G, B15, '리스사업(D)'!W:W, B17, '리스사업(D)'!U:U, $C$1),
    SUMIFS('임대사업(E)'!I:I, '임대사업(E)'!C:C, $E$1, '임대사업(E)'!G:G, B15, '임대사업(E)'!W:W, B17, '임대사업(E)'!U:U, $C$1),
    SUMIFS('환경부사업(F)'!I:I, '환경부사업(F)'!C:C, $E$1, '환경부사업(F)'!G:G, B15, '환경부사업(F)'!W:W, B17, '환경부사업(F)'!U:U, $C$1),
    SUMIFS('프로젝트(G)'!I:I, '프로젝트(G)'!C:C, $E$1, '프로젝트(G)'!G:G, B15, '프로젝트(G)'!W:W, B17, '프로젝트(G)'!U:U, $C$1),
    SUMIFS('협력사 EPC(H)'!I:I, '협력사 EPC(H)'!C:C, $E$1, '협력사 EPC(H)'!G:G, B15, '협력사 EPC(H)'!W:W, B17, '협력사 EPC(H)'!U:U, $C$1),
    SUMIFS('기타(Z)'!I:I, '기타(Z)'!C:C, $E$1, '기타(Z)'!G:G, B15, '기타(Z)'!W:W, B17, '기타(Z)'!U:U, $C$1)
  ) = 0,
  "",
  SUM(
    SUMIFS('발전사업(A)'!I:I, '발전사업(A)'!C:C, $E$1, '발전사업(A)'!G:G, B15, '발전사업(A)'!W:W, B17, '발전사업(A)'!U:U, $C$1),
    SUMIFS('자가소비(B)'!I:I, '자가소비(B)'!C:C, $E$1, '자가소비(B)'!G:G, B15, '자가소비(B)'!W:W, B17, '자가소비(B)'!U:U, $C$1),
    SUMIFS('PPA 사업(C)'!I:I, 'PPA 사업(C)'!C:C, $E$1, 'PPA 사업(C)'!G:G, B15, 'PPA 사업(C)'!W:W, B17, 'PPA 사업(C)'!U:U, $C$1),
    SUMIFS('리스사업(D)'!I:I, '리스사업(D)'!C:C, $E$1, '리스사업(D)'!G:G, B15, '리스사업(D)'!W:W, B17, '리스사업(D)'!U:U, $C$1),
    SUMIFS('임대사업(E)'!I:I, '임대사업(E)'!C:C, $E$1, '임대사업(E)'!G:G, B15, '임대사업(E)'!W:W, B17, '임대사업(E)'!U:U, $C$1),
    SUMIFS('환경부사업(F)'!I:I, '환경부사업(F)'!C:C, $E$1, '환경부사업(F)'!G:G, B15, '환경부사업(F)'!W:W, B17, '환경부사업(F)'!U:U, $C$1),
    SUMIFS('프로젝트(G)'!I:I, '프로젝트(G)'!C:C, $E$1, '프로젝트(G)'!G:G, B15, '프로젝트(G)'!W:W, B17, '프로젝트(G)'!U:U, $C$1),
    SUMIFS('협력사 EPC(H)'!I:I, '협력사 EPC(H)'!C:C, $E$1, '협력사 EPC(H)'!G:G, B15, '협력사 EPC(H)'!W:W, B17, '협력사 EPC(H)'!U:U, $C$1),
    SUMIFS('기타(Z)'!I:I, '기타(Z)'!C:C, $E$1, '기타(Z)'!G:G, B15, '기타(Z)'!W:W, B17, '기타(Z)'!U:U, $C$1)
  )
)</f>
        <v/>
      </c>
      <c r="F17" s="281" t="str">
        <f>IF(
  SUM(
    COUNTIFS('발전사업(A)'!C:C, $E$1, '발전사업(A)'!G:G, B15, '발전사업(A)'!W:W, B17, '발전사업(A)'!U:U, $C$1),
    COUNTIFS('자가소비(B)'!C:C, $E$1, '자가소비(B)'!G:G, B15, '자가소비(B)'!W:W, B17, '자가소비(B)'!U:U, $C$1),
    COUNTIFS('PPA 사업(C)'!C:C, $E$1, 'PPA 사업(C)'!G:G, B15, 'PPA 사업(C)'!W:W, B17, 'PPA 사업(C)'!U:U, $C$1),
    COUNTIFS('리스사업(D)'!C:C, $E$1, '리스사업(D)'!G:G, B15, '리스사업(D)'!W:W, B17, '리스사업(D)'!U:U, $C$1),
    COUNTIFS('임대사업(E)'!C:C, $E$1, '임대사업(E)'!G:G, B15, '임대사업(E)'!W:W, B17, '임대사업(E)'!U:U, $C$1),
    COUNTIFS('환경부사업(F)'!C:C, $E$1, '환경부사업(F)'!G:G, B15, '환경부사업(F)'!W:W, B17, '환경부사업(F)'!U:U, $C$1),
    COUNTIFS('프로젝트(G)'!C:C, $E$1, '프로젝트(G)'!G:G, B15, '프로젝트(G)'!W:W, B17, '프로젝트(G)'!U:U, $C$1),
    COUNTIFS('협력사 EPC(H)'!C:C, $E$1, '협력사 EPC(H)'!G:G, B15, '협력사 EPC(H)'!W:W, B17, '협력사 EPC(H)'!U:U, $C$1),
    COUNTIFS('기타(Z)'!C:C, $E$1, '기타(Z)'!G:G, B15, '기타(Z)'!W:W, B17, '기타(Z)'!U:U, $C$1)
  ) = 0,
  "",
  SUM(
    COUNTIFS('발전사업(A)'!C:C, $E$1, '발전사업(A)'!G:G, B15, '발전사업(A)'!W:W, B17, '발전사업(A)'!U:U, $C$1),
    COUNTIFS('자가소비(B)'!C:C, $E$1, '자가소비(B)'!G:G, B15, '자가소비(B)'!W:W, B17, '자가소비(B)'!U:U, $C$1),
    COUNTIFS('PPA 사업(C)'!C:C, $E$1, 'PPA 사업(C)'!G:G, B15, 'PPA 사업(C)'!W:W, B17, 'PPA 사업(C)'!U:U, $C$1),
    COUNTIFS('리스사업(D)'!C:C, $E$1, '리스사업(D)'!G:G, B15, '리스사업(D)'!W:W, B17, '리스사업(D)'!U:U, $C$1),
    COUNTIFS('임대사업(E)'!C:C, $E$1, '임대사업(E)'!G:G, B15, '임대사업(E)'!W:W, B17, '임대사업(E)'!U:U, $C$1),
    COUNTIFS('환경부사업(F)'!C:C, $E$1, '환경부사업(F)'!G:G, B15, '환경부사업(F)'!W:W, B17, '환경부사업(F)'!U:U, $C$1),
    COUNTIFS('프로젝트(G)'!C:C, $E$1, '프로젝트(G)'!G:G, B15, '프로젝트(G)'!W:W, B17, '프로젝트(G)'!U:U, $C$1),
    COUNTIFS('협력사 EPC(H)'!C:C, $E$1, '협력사 EPC(H)'!G:G, B15, '협력사 EPC(H)'!W:W, B17, '협력사 EPC(H)'!U:U, $C$1),
    COUNTIFS('기타(Z)'!C:C, $E$1, '기타(Z)'!G:G, B15, '기타(Z)'!W:W, B17, '기타(Z)'!U:U, $C$1)
  )
)</f>
        <v/>
      </c>
      <c r="G17" s="280">
        <f>IF(
  SUM(
    SUMIFS('발전사업(A)'!I:I, '발전사업(A)'!C:C, $E$1, '발전사업(A)'!G:G, B15, '발전사업(A)'!W:W, B17, '발전사업(A)'!U:U, $D$1),
    SUMIFS('자가소비(B)'!I:I, '자가소비(B)'!C:C, $E$1, '자가소비(B)'!G:G, B15, '자가소비(B)'!W:W, B17, '자가소비(B)'!U:U, $D$1),
    SUMIFS('PPA 사업(C)'!I:I, 'PPA 사업(C)'!C:C, $E$1, 'PPA 사업(C)'!G:G, B15, 'PPA 사업(C)'!W:W, B17, 'PPA 사업(C)'!U:U, $D$1),
    SUMIFS('리스사업(D)'!I:I, '리스사업(D)'!C:C, $E$1, '리스사업(D)'!G:G, B15, '리스사업(D)'!W:W, B17, '리스사업(D)'!U:U, $D$1),
    SUMIFS('임대사업(E)'!I:I, '임대사업(E)'!C:C, $E$1, '임대사업(E)'!G:G, B15, '임대사업(E)'!W:W, B17, '임대사업(E)'!U:U, $D$1),
    SUMIFS('환경부사업(F)'!I:I, '환경부사업(F)'!C:C, $E$1, '환경부사업(F)'!G:G, B15, '환경부사업(F)'!W:W, B17, '환경부사업(F)'!U:U, $D$1),
    SUMIFS('프로젝트(G)'!I:I, '프로젝트(G)'!C:C, $E$1, '프로젝트(G)'!G:G, B15, '프로젝트(G)'!W:W, B17, '프로젝트(G)'!U:U, $D$1),
    SUMIFS('협력사 EPC(H)'!I:I, '협력사 EPC(H)'!C:C, $E$1, '협력사 EPC(H)'!G:G, B15, '협력사 EPC(H)'!W:W, B17, '협력사 EPC(H)'!U:U, $D$1),
    SUMIFS('기타(Z)'!I:I, '기타(Z)'!C:C, $E$1, '기타(Z)'!G:G, B15, '기타(Z)'!W:W, B17, '기타(Z)'!U:U, $D$1)
  ) = 0,
  "",
  SUM(
    SUMIFS('발전사업(A)'!I:I, '발전사업(A)'!C:C, $E$1, '발전사업(A)'!G:G, B15, '발전사업(A)'!W:W, B17, '발전사업(A)'!U:U, $D$1),
    SUMIFS('자가소비(B)'!I:I, '자가소비(B)'!C:C, $E$1, '자가소비(B)'!G:G, B15, '자가소비(B)'!W:W, B17, '자가소비(B)'!U:U, $D$1),
    SUMIFS('PPA 사업(C)'!I:I, 'PPA 사업(C)'!C:C, $E$1, 'PPA 사업(C)'!G:G, B15, 'PPA 사업(C)'!W:W, B17, 'PPA 사업(C)'!U:U, $D$1),
    SUMIFS('리스사업(D)'!I:I, '리스사업(D)'!C:C, $E$1, '리스사업(D)'!G:G, B15, '리스사업(D)'!W:W, B17, '리스사업(D)'!U:U, $D$1),
    SUMIFS('임대사업(E)'!I:I, '임대사업(E)'!C:C, $E$1, '임대사업(E)'!G:G, B15, '임대사업(E)'!W:W, B17, '임대사업(E)'!U:U, $D$1),
    SUMIFS('환경부사업(F)'!I:I, '환경부사업(F)'!C:C, $E$1, '환경부사업(F)'!G:G, B15, '환경부사업(F)'!W:W, B17, '환경부사업(F)'!U:U, $D$1),
    SUMIFS('프로젝트(G)'!I:I, '프로젝트(G)'!C:C, $E$1, '프로젝트(G)'!G:G, B15, '프로젝트(G)'!W:W, B17, '프로젝트(G)'!U:U, $D$1),
    SUMIFS('협력사 EPC(H)'!I:I, '협력사 EPC(H)'!C:C, $E$1, '협력사 EPC(H)'!G:G, B15, '협력사 EPC(H)'!W:W, B17, '협력사 EPC(H)'!U:U, $D$1),
    SUMIFS('기타(Z)'!I:I, '기타(Z)'!C:C, $E$1, '기타(Z)'!G:G, B15, '기타(Z)'!W:W, B17, '기타(Z)'!U:U, $D$1)
  )
)</f>
        <v>549.43499999999995</v>
      </c>
      <c r="H17" s="281">
        <f>IF(
  (
    COUNTIFS('발전사업(A)'!C:C, $E$1, '발전사업(A)'!G:G, B15, '발전사업(A)'!W:W, B17, '발전사업(A)'!U:U, $D$1)
    + COUNTIFS('자가소비(B)'!C:C, $E$1, '자가소비(B)'!G:G, B15, '자가소비(B)'!W:W, B17, '자가소비(B)'!U:U, $D$1)
    + COUNTIFS('PPA 사업(C)'!C:C, $E$1, 'PPA 사업(C)'!G:G, B15, 'PPA 사업(C)'!W:W, B17, 'PPA 사업(C)'!U:U, $D$1)
    + COUNTIFS('리스사업(D)'!C:C, $E$1, '리스사업(D)'!G:G, B15, '리스사업(D)'!W:W, B17, '리스사업(D)'!U:U, $D$1)
    + COUNTIFS('임대사업(E)'!C:C, $E$1, '임대사업(E)'!G:G, B15, '임대사업(E)'!W:W, B17, '임대사업(E)'!U:U, $D$1)
    + COUNTIFS('환경부사업(F)'!C:C, $E$1, '환경부사업(F)'!G:G, B15, '환경부사업(F)'!W:W, B17, '환경부사업(F)'!U:U, $D$1)
    + COUNTIFS('프로젝트(G)'!C:C, $E$1, '프로젝트(G)'!G:G, B15, '프로젝트(G)'!W:W, B17, '프로젝트(G)'!U:U, $D$1)
    + COUNTIFS('협력사 EPC(H)'!C:C, $E$1, '협력사 EPC(H)'!G:G, B15, '협력사 EPC(H)'!W:W, B17, '협력사 EPC(H)'!U:U, $D$1)
    + COUNTIFS('기타(Z)'!C:C, $E$1, '기타(Z)'!G:G, B15, '기타(Z)'!W:W, B17, '기타(Z)'!U:U, $D$1)
  ) = 0,
  "",
  COUNTIFS('발전사업(A)'!C:C, $E$1, '발전사업(A)'!G:G, B15, '발전사업(A)'!W:W, B17, '발전사업(A)'!U:U, $D$1)
  + COUNTIFS('자가소비(B)'!C:C, $E$1, '자가소비(B)'!G:G, B15, '자가소비(B)'!W:W, B17, '자가소비(B)'!U:U, $D$1)
  + COUNTIFS('PPA 사업(C)'!C:C, $E$1, 'PPA 사업(C)'!G:G, B15, 'PPA 사업(C)'!W:W, B17, 'PPA 사업(C)'!U:U, $D$1)
  + COUNTIFS('리스사업(D)'!C:C, $E$1, '리스사업(D)'!G:G, B15, '리스사업(D)'!W:W, B17, '리스사업(D)'!U:U, $D$1)
  + COUNTIFS('임대사업(E)'!C:C, $E$1, '임대사업(E)'!G:G, B15, '임대사업(E)'!W:W, B17, '임대사업(E)'!U:U, $D$1)
  + COUNTIFS('환경부사업(F)'!C:C, $E$1, '환경부사업(F)'!G:G, B15, '환경부사업(F)'!W:W, B17, '환경부사업(F)'!U:U, $D$1)
  + COUNTIFS('프로젝트(G)'!C:C, $E$1, '프로젝트(G)'!G:G, B15, '프로젝트(G)'!W:W, B17, '프로젝트(G)'!U:U, $D$1)
  + COUNTIFS('협력사 EPC(H)'!C:C, $E$1, '협력사 EPC(H)'!G:G, B15, '협력사 EPC(H)'!W:W, B17, '협력사 EPC(H)'!U:U, $D$1)
  + COUNTIFS('기타(Z)'!C:C, $E$1, '기타(Z)'!G:G, B15, '기타(Z)'!W:W, B17, '기타(Z)'!U:U, $D$1)
)</f>
        <v>2</v>
      </c>
      <c r="J17" s="391" t="s">
        <v>2136</v>
      </c>
      <c r="K17" s="374">
        <f t="shared" si="7"/>
        <v>8413.3050000000003</v>
      </c>
      <c r="L17" s="368">
        <f t="shared" si="8"/>
        <v>31</v>
      </c>
      <c r="M17" s="386">
        <f>IF(
  SUM(
    SUMIFS('발전사업(A)'!$I:$I,'발전사업(A)'!$G:$G,M$2,'발전사업(A)'!$Q:$Q,$J17,'발전사업(A)'!$C:$C,$L$1),
    SUMIFS('자가소비(B)'!$I:$I,'자가소비(B)'!$G:$G,M$2,'자가소비(B)'!$Q:$Q,$J17,'자가소비(B)'!$C:$C,$L$1),
    SUMIFS('PPA 사업(C)'!$I:$I,'PPA 사업(C)'!$G:$G,M$2,'PPA 사업(C)'!$Q:$Q,$J17,'PPA 사업(C)'!$C:$C,$L$1),
    SUMIFS('리스사업(D)'!$I:$I,'리스사업(D)'!$G:$G,M$2,'리스사업(D)'!$Q:$Q,$J17,'리스사업(D)'!$C:$C,$L$1),
    SUMIFS('임대사업(E)'!$I:$I,'임대사업(E)'!$G:$G,M$2,'임대사업(E)'!$Q:$Q,$J17,'임대사업(E)'!$C:$C,$L$1),
    SUMIFS('환경부사업(F)'!$I:$I,'환경부사업(F)'!$G:$G,M$2,'환경부사업(F)'!$Q:$Q,$J17,'환경부사업(F)'!$C:$C,$L$1),
    SUMIFS('프로젝트(G)'!$I:$I,'프로젝트(G)'!$G:$G,M$2,'프로젝트(G)'!$Q:$Q,$J17,'프로젝트(G)'!$C:$C,$L$1),
    SUMIFS('협력사 EPC(H)'!$I:$I,'협력사 EPC(H)'!$G:$G,M$2,'협력사 EPC(H)'!$Q:$Q,$J17,'협력사 EPC(H)'!$C:$C,$L$1),
    SUMIFS('기타(Z)'!$I:$I,'기타(Z)'!$G:$G,M$2,'기타(Z)'!$Q:$Q,$J17,'기타(Z)'!$C:$C,$L$1)
  )=0,
  "",
  SUM(
    SUMIFS('발전사업(A)'!$I:$I,'발전사업(A)'!$G:$G,M$2,'발전사업(A)'!$Q:$Q,$J17,'발전사업(A)'!$C:$C,$L$1),
    SUMIFS('자가소비(B)'!$I:$I,'자가소비(B)'!$G:$G,M$2,'자가소비(B)'!$Q:$Q,$J17,'자가소비(B)'!$C:$C,$L$1),
    SUMIFS('PPA 사업(C)'!$I:$I,'PPA 사업(C)'!$G:$G,M$2,'PPA 사업(C)'!$Q:$Q,$J17,'PPA 사업(C)'!$C:$C,$L$1),
    SUMIFS('리스사업(D)'!$I:$I,'리스사업(D)'!$G:$G,M$2,'리스사업(D)'!$Q:$Q,$J17,'리스사업(D)'!$C:$C,$L$1),
    SUMIFS('임대사업(E)'!$I:$I,'임대사업(E)'!$G:$G,M$2,'임대사업(E)'!$Q:$Q,$J17,'임대사업(E)'!$C:$C,$L$1),
    SUMIFS('환경부사업(F)'!$I:$I,'환경부사업(F)'!$G:$G,M$2,'환경부사업(F)'!$Q:$Q,$J17,'환경부사업(F)'!$C:$C,$L$1),
    SUMIFS('프로젝트(G)'!$I:$I,'프로젝트(G)'!$G:$G,M$2,'프로젝트(G)'!$Q:$Q,$J17,'프로젝트(G)'!$C:$C,$L$1),
    SUMIFS('협력사 EPC(H)'!$I:$I,'협력사 EPC(H)'!$G:$G,M$2,'협력사 EPC(H)'!$Q:$Q,$J17,'협력사 EPC(H)'!$C:$C,$L$1),
    SUMIFS('기타(Z)'!$I:$I,'기타(Z)'!$G:$G,M$2,'기타(Z)'!$Q:$Q,$J17,'기타(Z)'!$C:$C,$L$1)
  )
)</f>
        <v>1830.4</v>
      </c>
      <c r="N17" s="387">
        <f>IF(
  SUM(
    COUNTIFS('발전사업(A)'!$G:$G, M$2, '발전사업(A)'!$Q:$Q, $J17, '발전사업(A)'!$C:$C, $L$1),
    COUNTIFS('자가소비(B)'!$G:$G, M$2, '자가소비(B)'!$Q:$Q, $J17, '자가소비(B)'!$C:$C, $L$1),
    COUNTIFS('PPA 사업(C)'!$G:$G, M$2, 'PPA 사업(C)'!$Q:$Q, $J17, 'PPA 사업(C)'!$C:$C, $L$1),
    COUNTIFS('리스사업(D)'!$G:$G, M$2, '리스사업(D)'!$Q:$Q, $J17, '리스사업(D)'!$C:$C, $L$1),
    COUNTIFS('임대사업(E)'!$G:$G, M$2, '임대사업(E)'!$Q:$Q, $J17, '임대사업(E)'!$C:$C, $L$1),
    COUNTIFS('환경부사업(F)'!$G:$G, M$2, '환경부사업(F)'!$Q:$Q, $J17, '환경부사업(F)'!$C:$C, $L$1),
    COUNTIFS('프로젝트(G)'!$G:$G, M$2, '프로젝트(G)'!$Q:$Q, $J17, '프로젝트(G)'!$C:$C, $L$1),
    COUNTIFS('협력사 EPC(H)'!$G:$G, M$2, '협력사 EPC(H)'!$Q:$Q, $J17, '협력사 EPC(H)'!$C:$C, $L$1),
    COUNTIFS('기타(Z)'!$G:$G, M$2, '기타(Z)'!$Q:$Q, $J17, '기타(Z)'!$C:$C, $L$1)
  ) = 0,
  "",
  COUNTIFS('발전사업(A)'!$G:$G, M$2, '발전사업(A)'!$Q:$Q, $J17, '발전사업(A)'!$C:$C, $L$1)
  + COUNTIFS('자가소비(B)'!$G:$G, M$2, '자가소비(B)'!$Q:$Q, $J17, '자가소비(B)'!$C:$C, $L$1)
  + COUNTIFS('PPA 사업(C)'!$G:$G, M$2, 'PPA 사업(C)'!$Q:$Q, $J17, 'PPA 사업(C)'!$C:$C, $L$1)
  + COUNTIFS('리스사업(D)'!$G:$G, M$2, '리스사업(D)'!$Q:$Q, $J17, '리스사업(D)'!$C:$C, $L$1)
  + COUNTIFS('임대사업(E)'!$G:$G, M$2, '임대사업(E)'!$Q:$Q, $J17, '임대사업(E)'!$C:$C, $L$1)
  + COUNTIFS('환경부사업(F)'!$G:$G, M$2, '환경부사업(F)'!$Q:$Q, $J17, '환경부사업(F)'!$C:$C, $L$1)
  + COUNTIFS('프로젝트(G)'!$G:$G, M$2, '프로젝트(G)'!$Q:$Q, $J17, '프로젝트(G)'!$C:$C, $L$1)
  + COUNTIFS('협력사 EPC(H)'!$G:$G, M$2, '협력사 EPC(H)'!$Q:$Q, $J17, '협력사 EPC(H)'!$C:$C, $L$1)
  + COUNTIFS('기타(Z)'!$G:$G, M$2, '기타(Z)'!$Q:$Q, $J17, '기타(Z)'!$C:$C, $L$1)
)</f>
        <v>2</v>
      </c>
      <c r="O17" s="386" t="str">
        <f>IF(
  SUM(
    SUMIFS('발전사업(A)'!$I:$I,'발전사업(A)'!$G:$G,O$2,'발전사업(A)'!$Q:$Q,$J17,'발전사업(A)'!$C:$C,$L$1),
    SUMIFS('자가소비(B)'!$I:$I,'자가소비(B)'!$G:$G,O$2,'자가소비(B)'!$Q:$Q,$J17,'자가소비(B)'!$C:$C,$L$1),
    SUMIFS('PPA 사업(C)'!$I:$I,'PPA 사업(C)'!$G:$G,O$2,'PPA 사업(C)'!$Q:$Q,$J17,'PPA 사업(C)'!$C:$C,$L$1),
    SUMIFS('리스사업(D)'!$I:$I,'리스사업(D)'!$G:$G,O$2,'리스사업(D)'!$Q:$Q,$J17,'리스사업(D)'!$C:$C,$L$1),
    SUMIFS('임대사업(E)'!$I:$I,'임대사업(E)'!$G:$G,O$2,'임대사업(E)'!$Q:$Q,$J17,'임대사업(E)'!$C:$C,$L$1),
    SUMIFS('환경부사업(F)'!$I:$I,'환경부사업(F)'!$G:$G,O$2,'환경부사업(F)'!$Q:$Q,$J17,'환경부사업(F)'!$C:$C,$L$1),
    SUMIFS('프로젝트(G)'!$I:$I,'프로젝트(G)'!$G:$G,O$2,'프로젝트(G)'!$Q:$Q,$J17,'프로젝트(G)'!$C:$C,$L$1),
    SUMIFS('협력사 EPC(H)'!$I:$I,'협력사 EPC(H)'!$G:$G,O$2,'협력사 EPC(H)'!$Q:$Q,$J17,'협력사 EPC(H)'!$C:$C,$L$1),
    SUMIFS('기타(Z)'!$I:$I,'기타(Z)'!$G:$G,O$2,'기타(Z)'!$Q:$Q,$J17,'기타(Z)'!$C:$C,$L$1)
  )=0,
  "",
  SUM(
    SUMIFS('발전사업(A)'!$I:$I,'발전사업(A)'!$G:$G,O$2,'발전사업(A)'!$Q:$Q,$J17,'발전사업(A)'!$C:$C,$L$1),
    SUMIFS('자가소비(B)'!$I:$I,'자가소비(B)'!$G:$G,O$2,'자가소비(B)'!$Q:$Q,$J17,'자가소비(B)'!$C:$C,$L$1),
    SUMIFS('PPA 사업(C)'!$I:$I,'PPA 사업(C)'!$G:$G,O$2,'PPA 사업(C)'!$Q:$Q,$J17,'PPA 사업(C)'!$C:$C,$L$1),
    SUMIFS('리스사업(D)'!$I:$I,'리스사업(D)'!$G:$G,O$2,'리스사업(D)'!$Q:$Q,$J17,'리스사업(D)'!$C:$C,$L$1),
    SUMIFS('임대사업(E)'!$I:$I,'임대사업(E)'!$G:$G,O$2,'임대사업(E)'!$Q:$Q,$J17,'임대사업(E)'!$C:$C,$L$1),
    SUMIFS('환경부사업(F)'!$I:$I,'환경부사업(F)'!$G:$G,O$2,'환경부사업(F)'!$Q:$Q,$J17,'환경부사업(F)'!$C:$C,$L$1),
    SUMIFS('프로젝트(G)'!$I:$I,'프로젝트(G)'!$G:$G,O$2,'프로젝트(G)'!$Q:$Q,$J17,'프로젝트(G)'!$C:$C,$L$1),
    SUMIFS('협력사 EPC(H)'!$I:$I,'협력사 EPC(H)'!$G:$G,O$2,'협력사 EPC(H)'!$Q:$Q,$J17,'협력사 EPC(H)'!$C:$C,$L$1),
    SUMIFS('기타(Z)'!$I:$I,'기타(Z)'!$G:$G,O$2,'기타(Z)'!$Q:$Q,$J17,'기타(Z)'!$C:$C,$L$1)
  )
)</f>
        <v/>
      </c>
      <c r="P17" s="387" t="str">
        <f>IF(
  SUM(
    COUNTIFS('발전사업(A)'!$G:$G, O$2, '발전사업(A)'!$Q:$Q, $J17, '발전사업(A)'!$C:$C, $L$1),
    COUNTIFS('자가소비(B)'!$G:$G, O$2, '자가소비(B)'!$Q:$Q, $J17, '자가소비(B)'!$C:$C, $L$1),
    COUNTIFS('PPA 사업(C)'!$G:$G, O$2, 'PPA 사업(C)'!$Q:$Q, $J17, 'PPA 사업(C)'!$C:$C, $L$1),
    COUNTIFS('리스사업(D)'!$G:$G, O$2, '리스사업(D)'!$Q:$Q, $J17, '리스사업(D)'!$C:$C, $L$1),
    COUNTIFS('임대사업(E)'!$G:$G, O$2, '임대사업(E)'!$Q:$Q, $J17, '임대사업(E)'!$C:$C, $L$1),
    COUNTIFS('환경부사업(F)'!$G:$G, O$2, '환경부사업(F)'!$Q:$Q, $J17, '환경부사업(F)'!$C:$C, $L$1),
    COUNTIFS('프로젝트(G)'!$G:$G, O$2, '프로젝트(G)'!$Q:$Q, $J17, '프로젝트(G)'!$C:$C, $L$1),
    COUNTIFS('협력사 EPC(H)'!$G:$G, O$2, '협력사 EPC(H)'!$Q:$Q, $J17, '협력사 EPC(H)'!$C:$C, $L$1),
    COUNTIFS('기타(Z)'!$G:$G, O$2, '기타(Z)'!$Q:$Q, $J17, '기타(Z)'!$C:$C, $L$1)
  ) = 0,
  "",
  COUNTIFS('발전사업(A)'!$G:$G, O$2, '발전사업(A)'!$Q:$Q, $J17, '발전사업(A)'!$C:$C, $L$1)
  + COUNTIFS('자가소비(B)'!$G:$G, O$2, '자가소비(B)'!$Q:$Q, $J17, '자가소비(B)'!$C:$C, $L$1)
  + COUNTIFS('PPA 사업(C)'!$G:$G, O$2, 'PPA 사업(C)'!$Q:$Q, $J17, 'PPA 사업(C)'!$C:$C, $L$1)
  + COUNTIFS('리스사업(D)'!$G:$G, O$2, '리스사업(D)'!$Q:$Q, $J17, '리스사업(D)'!$C:$C, $L$1)
  + COUNTIFS('임대사업(E)'!$G:$G, O$2, '임대사업(E)'!$Q:$Q, $J17, '임대사업(E)'!$C:$C, $L$1)
  + COUNTIFS('환경부사업(F)'!$G:$G, O$2, '환경부사업(F)'!$Q:$Q, $J17, '환경부사업(F)'!$C:$C, $L$1)
  + COUNTIFS('프로젝트(G)'!$G:$G, O$2, '프로젝트(G)'!$Q:$Q, $J17, '프로젝트(G)'!$C:$C, $L$1)
  + COUNTIFS('협력사 EPC(H)'!$G:$G, O$2, '협력사 EPC(H)'!$Q:$Q, $J17, '협력사 EPC(H)'!$C:$C, $L$1)
  + COUNTIFS('기타(Z)'!$G:$G, O$2, '기타(Z)'!$Q:$Q, $J17, '기타(Z)'!$C:$C, $L$1)
)</f>
        <v/>
      </c>
      <c r="Q17" s="386">
        <f>IF(
  SUM(
    SUMIFS('발전사업(A)'!$I:$I,'발전사업(A)'!$G:$G,Q$2,'발전사업(A)'!$Q:$Q,$J17,'발전사업(A)'!$C:$C,$L$1),
    SUMIFS('자가소비(B)'!$I:$I,'자가소비(B)'!$G:$G,Q$2,'자가소비(B)'!$Q:$Q,$J17,'자가소비(B)'!$C:$C,$L$1),
    SUMIFS('PPA 사업(C)'!$I:$I,'PPA 사업(C)'!$G:$G,Q$2,'PPA 사업(C)'!$Q:$Q,$J17,'PPA 사업(C)'!$C:$C,$L$1),
    SUMIFS('리스사업(D)'!$I:$I,'리스사업(D)'!$G:$G,Q$2,'리스사업(D)'!$Q:$Q,$J17,'리스사업(D)'!$C:$C,$L$1),
    SUMIFS('임대사업(E)'!$I:$I,'임대사업(E)'!$G:$G,Q$2,'임대사업(E)'!$Q:$Q,$J17,'임대사업(E)'!$C:$C,$L$1),
    SUMIFS('환경부사업(F)'!$I:$I,'환경부사업(F)'!$G:$G,Q$2,'환경부사업(F)'!$Q:$Q,$J17,'환경부사업(F)'!$C:$C,$L$1),
    SUMIFS('프로젝트(G)'!$I:$I,'프로젝트(G)'!$G:$G,Q$2,'프로젝트(G)'!$Q:$Q,$J17,'프로젝트(G)'!$C:$C,$L$1),
    SUMIFS('협력사 EPC(H)'!$I:$I,'협력사 EPC(H)'!$G:$G,Q$2,'협력사 EPC(H)'!$Q:$Q,$J17,'협력사 EPC(H)'!$C:$C,$L$1),
    SUMIFS('기타(Z)'!$I:$I,'기타(Z)'!$G:$G,Q$2,'기타(Z)'!$Q:$Q,$J17,'기타(Z)'!$C:$C,$L$1)
  )=0,
  "",
  SUM(
    SUMIFS('발전사업(A)'!$I:$I,'발전사업(A)'!$G:$G,Q$2,'발전사업(A)'!$Q:$Q,$J17,'발전사업(A)'!$C:$C,$L$1),
    SUMIFS('자가소비(B)'!$I:$I,'자가소비(B)'!$G:$G,Q$2,'자가소비(B)'!$Q:$Q,$J17,'자가소비(B)'!$C:$C,$L$1),
    SUMIFS('PPA 사업(C)'!$I:$I,'PPA 사업(C)'!$G:$G,Q$2,'PPA 사업(C)'!$Q:$Q,$J17,'PPA 사업(C)'!$C:$C,$L$1),
    SUMIFS('리스사업(D)'!$I:$I,'리스사업(D)'!$G:$G,Q$2,'리스사업(D)'!$Q:$Q,$J17,'리스사업(D)'!$C:$C,$L$1),
    SUMIFS('임대사업(E)'!$I:$I,'임대사업(E)'!$G:$G,Q$2,'임대사업(E)'!$Q:$Q,$J17,'임대사업(E)'!$C:$C,$L$1),
    SUMIFS('환경부사업(F)'!$I:$I,'환경부사업(F)'!$G:$G,Q$2,'환경부사업(F)'!$Q:$Q,$J17,'환경부사업(F)'!$C:$C,$L$1),
    SUMIFS('프로젝트(G)'!$I:$I,'프로젝트(G)'!$G:$G,Q$2,'프로젝트(G)'!$Q:$Q,$J17,'프로젝트(G)'!$C:$C,$L$1),
    SUMIFS('협력사 EPC(H)'!$I:$I,'협력사 EPC(H)'!$G:$G,Q$2,'협력사 EPC(H)'!$Q:$Q,$J17,'협력사 EPC(H)'!$C:$C,$L$1),
    SUMIFS('기타(Z)'!$I:$I,'기타(Z)'!$G:$G,Q$2,'기타(Z)'!$Q:$Q,$J17,'기타(Z)'!$C:$C,$L$1)
  )
)</f>
        <v>839.04</v>
      </c>
      <c r="R17" s="387">
        <f>IF(
  SUM(
    COUNTIFS('발전사업(A)'!$G:$G, Q$2, '발전사업(A)'!$Q:$Q, $J17, '발전사업(A)'!$C:$C, $L$1),
    COUNTIFS('자가소비(B)'!$G:$G, Q$2, '자가소비(B)'!$Q:$Q, $J17, '자가소비(B)'!$C:$C, $L$1),
    COUNTIFS('PPA 사업(C)'!$G:$G, Q$2, 'PPA 사업(C)'!$Q:$Q, $J17, 'PPA 사업(C)'!$C:$C, $L$1),
    COUNTIFS('리스사업(D)'!$G:$G, Q$2, '리스사업(D)'!$Q:$Q, $J17, '리스사업(D)'!$C:$C, $L$1),
    COUNTIFS('임대사업(E)'!$G:$G, Q$2, '임대사업(E)'!$Q:$Q, $J17, '임대사업(E)'!$C:$C, $L$1),
    COUNTIFS('환경부사업(F)'!$G:$G, Q$2, '환경부사업(F)'!$Q:$Q, $J17, '환경부사업(F)'!$C:$C, $L$1),
    COUNTIFS('프로젝트(G)'!$G:$G, Q$2, '프로젝트(G)'!$Q:$Q, $J17, '프로젝트(G)'!$C:$C, $L$1),
    COUNTIFS('협력사 EPC(H)'!$G:$G, Q$2, '협력사 EPC(H)'!$Q:$Q, $J17, '협력사 EPC(H)'!$C:$C, $L$1),
    COUNTIFS('기타(Z)'!$G:$G, Q$2, '기타(Z)'!$Q:$Q, $J17, '기타(Z)'!$C:$C, $L$1)
  ) = 0,
  "",
  COUNTIFS('발전사업(A)'!$G:$G, Q$2, '발전사업(A)'!$Q:$Q, $J17, '발전사업(A)'!$C:$C, $L$1)
  + COUNTIFS('자가소비(B)'!$G:$G, Q$2, '자가소비(B)'!$Q:$Q, $J17, '자가소비(B)'!$C:$C, $L$1)
  + COUNTIFS('PPA 사업(C)'!$G:$G, Q$2, 'PPA 사업(C)'!$Q:$Q, $J17, 'PPA 사업(C)'!$C:$C, $L$1)
  + COUNTIFS('리스사업(D)'!$G:$G, Q$2, '리스사업(D)'!$Q:$Q, $J17, '리스사업(D)'!$C:$C, $L$1)
  + COUNTIFS('임대사업(E)'!$G:$G, Q$2, '임대사업(E)'!$Q:$Q, $J17, '임대사업(E)'!$C:$C, $L$1)
  + COUNTIFS('환경부사업(F)'!$G:$G, Q$2, '환경부사업(F)'!$Q:$Q, $J17, '환경부사업(F)'!$C:$C, $L$1)
  + COUNTIFS('프로젝트(G)'!$G:$G, Q$2, '프로젝트(G)'!$Q:$Q, $J17, '프로젝트(G)'!$C:$C, $L$1)
  + COUNTIFS('협력사 EPC(H)'!$G:$G, Q$2, '협력사 EPC(H)'!$Q:$Q, $J17, '협력사 EPC(H)'!$C:$C, $L$1)
  + COUNTIFS('기타(Z)'!$G:$G, Q$2, '기타(Z)'!$Q:$Q, $J17, '기타(Z)'!$C:$C, $L$1)
)</f>
        <v>4</v>
      </c>
      <c r="S17" s="386" t="str">
        <f>IF(
  SUM(
    SUMIFS('발전사업(A)'!$I:$I,'발전사업(A)'!$G:$G,S$2,'발전사업(A)'!$Q:$Q,$J17,'발전사업(A)'!$C:$C,$L$1),
    SUMIFS('자가소비(B)'!$I:$I,'자가소비(B)'!$G:$G,S$2,'자가소비(B)'!$Q:$Q,$J17,'자가소비(B)'!$C:$C,$L$1),
    SUMIFS('PPA 사업(C)'!$I:$I,'PPA 사업(C)'!$G:$G,S$2,'PPA 사업(C)'!$Q:$Q,$J17,'PPA 사업(C)'!$C:$C,$L$1),
    SUMIFS('리스사업(D)'!$I:$I,'리스사업(D)'!$G:$G,S$2,'리스사업(D)'!$Q:$Q,$J17,'리스사업(D)'!$C:$C,$L$1),
    SUMIFS('임대사업(E)'!$I:$I,'임대사업(E)'!$G:$G,S$2,'임대사업(E)'!$Q:$Q,$J17,'임대사업(E)'!$C:$C,$L$1),
    SUMIFS('환경부사업(F)'!$I:$I,'환경부사업(F)'!$G:$G,S$2,'환경부사업(F)'!$Q:$Q,$J17,'환경부사업(F)'!$C:$C,$L$1),
    SUMIFS('프로젝트(G)'!$I:$I,'프로젝트(G)'!$G:$G,S$2,'프로젝트(G)'!$Q:$Q,$J17,'프로젝트(G)'!$C:$C,$L$1),
    SUMIFS('협력사 EPC(H)'!$I:$I,'협력사 EPC(H)'!$G:$G,S$2,'협력사 EPC(H)'!$Q:$Q,$J17,'협력사 EPC(H)'!$C:$C,$L$1),
    SUMIFS('기타(Z)'!$I:$I,'기타(Z)'!$G:$G,S$2,'기타(Z)'!$Q:$Q,$J17,'기타(Z)'!$C:$C,$L$1)
  )=0,
  "",
  SUM(
    SUMIFS('발전사업(A)'!$I:$I,'발전사업(A)'!$G:$G,S$2,'발전사업(A)'!$Q:$Q,$J17,'발전사업(A)'!$C:$C,$L$1),
    SUMIFS('자가소비(B)'!$I:$I,'자가소비(B)'!$G:$G,S$2,'자가소비(B)'!$Q:$Q,$J17,'자가소비(B)'!$C:$C,$L$1),
    SUMIFS('PPA 사업(C)'!$I:$I,'PPA 사업(C)'!$G:$G,S$2,'PPA 사업(C)'!$Q:$Q,$J17,'PPA 사업(C)'!$C:$C,$L$1),
    SUMIFS('리스사업(D)'!$I:$I,'리스사업(D)'!$G:$G,S$2,'리스사업(D)'!$Q:$Q,$J17,'리스사업(D)'!$C:$C,$L$1),
    SUMIFS('임대사업(E)'!$I:$I,'임대사업(E)'!$G:$G,S$2,'임대사업(E)'!$Q:$Q,$J17,'임대사업(E)'!$C:$C,$L$1),
    SUMIFS('환경부사업(F)'!$I:$I,'환경부사업(F)'!$G:$G,S$2,'환경부사업(F)'!$Q:$Q,$J17,'환경부사업(F)'!$C:$C,$L$1),
    SUMIFS('프로젝트(G)'!$I:$I,'프로젝트(G)'!$G:$G,S$2,'프로젝트(G)'!$Q:$Q,$J17,'프로젝트(G)'!$C:$C,$L$1),
    SUMIFS('협력사 EPC(H)'!$I:$I,'협력사 EPC(H)'!$G:$G,S$2,'협력사 EPC(H)'!$Q:$Q,$J17,'협력사 EPC(H)'!$C:$C,$L$1),
    SUMIFS('기타(Z)'!$I:$I,'기타(Z)'!$G:$G,S$2,'기타(Z)'!$Q:$Q,$J17,'기타(Z)'!$C:$C,$L$1)
  )
)</f>
        <v/>
      </c>
      <c r="T17" s="387" t="str">
        <f>IF(
  SUM(
    COUNTIFS('발전사업(A)'!$G:$G, S$2, '발전사업(A)'!$Q:$Q, $J17, '발전사업(A)'!$C:$C, $L$1),
    COUNTIFS('자가소비(B)'!$G:$G, S$2, '자가소비(B)'!$Q:$Q, $J17, '자가소비(B)'!$C:$C, $L$1),
    COUNTIFS('PPA 사업(C)'!$G:$G, S$2, 'PPA 사업(C)'!$Q:$Q, $J17, 'PPA 사업(C)'!$C:$C, $L$1),
    COUNTIFS('리스사업(D)'!$G:$G, S$2, '리스사업(D)'!$Q:$Q, $J17, '리스사업(D)'!$C:$C, $L$1),
    COUNTIFS('임대사업(E)'!$G:$G, S$2, '임대사업(E)'!$Q:$Q, $J17, '임대사업(E)'!$C:$C, $L$1),
    COUNTIFS('환경부사업(F)'!$G:$G, S$2, '환경부사업(F)'!$Q:$Q, $J17, '환경부사업(F)'!$C:$C, $L$1),
    COUNTIFS('프로젝트(G)'!$G:$G, S$2, '프로젝트(G)'!$Q:$Q, $J17, '프로젝트(G)'!$C:$C, $L$1),
    COUNTIFS('협력사 EPC(H)'!$G:$G, S$2, '협력사 EPC(H)'!$Q:$Q, $J17, '협력사 EPC(H)'!$C:$C, $L$1),
    COUNTIFS('기타(Z)'!$G:$G, S$2, '기타(Z)'!$Q:$Q, $J17, '기타(Z)'!$C:$C, $L$1)
  ) = 0,
  "",
  COUNTIFS('발전사업(A)'!$G:$G, S$2, '발전사업(A)'!$Q:$Q, $J17, '발전사업(A)'!$C:$C, $L$1)
  + COUNTIFS('자가소비(B)'!$G:$G, S$2, '자가소비(B)'!$Q:$Q, $J17, '자가소비(B)'!$C:$C, $L$1)
  + COUNTIFS('PPA 사업(C)'!$G:$G, S$2, 'PPA 사업(C)'!$Q:$Q, $J17, 'PPA 사업(C)'!$C:$C, $L$1)
  + COUNTIFS('리스사업(D)'!$G:$G, S$2, '리스사업(D)'!$Q:$Q, $J17, '리스사업(D)'!$C:$C, $L$1)
  + COUNTIFS('임대사업(E)'!$G:$G, S$2, '임대사업(E)'!$Q:$Q, $J17, '임대사업(E)'!$C:$C, $L$1)
  + COUNTIFS('환경부사업(F)'!$G:$G, S$2, '환경부사업(F)'!$Q:$Q, $J17, '환경부사업(F)'!$C:$C, $L$1)
  + COUNTIFS('프로젝트(G)'!$G:$G, S$2, '프로젝트(G)'!$Q:$Q, $J17, '프로젝트(G)'!$C:$C, $L$1)
  + COUNTIFS('협력사 EPC(H)'!$G:$G, S$2, '협력사 EPC(H)'!$Q:$Q, $J17, '협력사 EPC(H)'!$C:$C, $L$1)
  + COUNTIFS('기타(Z)'!$G:$G, S$2, '기타(Z)'!$Q:$Q, $J17, '기타(Z)'!$C:$C, $L$1)
)</f>
        <v/>
      </c>
      <c r="U17" s="386">
        <f>IF(
  SUM(
    SUMIFS('발전사업(A)'!$I:$I,'발전사업(A)'!$G:$G,U$2,'발전사업(A)'!$Q:$Q,$J17,'발전사업(A)'!$C:$C,$L$1),
    SUMIFS('자가소비(B)'!$I:$I,'자가소비(B)'!$G:$G,U$2,'자가소비(B)'!$Q:$Q,$J17,'자가소비(B)'!$C:$C,$L$1),
    SUMIFS('PPA 사업(C)'!$I:$I,'PPA 사업(C)'!$G:$G,U$2,'PPA 사업(C)'!$Q:$Q,$J17,'PPA 사업(C)'!$C:$C,$L$1),
    SUMIFS('리스사업(D)'!$I:$I,'리스사업(D)'!$G:$G,U$2,'리스사업(D)'!$Q:$Q,$J17,'리스사업(D)'!$C:$C,$L$1),
    SUMIFS('임대사업(E)'!$I:$I,'임대사업(E)'!$G:$G,U$2,'임대사업(E)'!$Q:$Q,$J17,'임대사업(E)'!$C:$C,$L$1),
    SUMIFS('환경부사업(F)'!$I:$I,'환경부사업(F)'!$G:$G,U$2,'환경부사업(F)'!$Q:$Q,$J17,'환경부사업(F)'!$C:$C,$L$1),
    SUMIFS('프로젝트(G)'!$I:$I,'프로젝트(G)'!$G:$G,U$2,'프로젝트(G)'!$Q:$Q,$J17,'프로젝트(G)'!$C:$C,$L$1),
    SUMIFS('협력사 EPC(H)'!$I:$I,'협력사 EPC(H)'!$G:$G,U$2,'협력사 EPC(H)'!$Q:$Q,$J17,'협력사 EPC(H)'!$C:$C,$L$1),
    SUMIFS('기타(Z)'!$I:$I,'기타(Z)'!$G:$G,U$2,'기타(Z)'!$Q:$Q,$J17,'기타(Z)'!$C:$C,$L$1)
  )=0,
  "",
  SUM(
    SUMIFS('발전사업(A)'!$I:$I,'발전사업(A)'!$G:$G,U$2,'발전사업(A)'!$Q:$Q,$J17,'발전사업(A)'!$C:$C,$L$1),
    SUMIFS('자가소비(B)'!$I:$I,'자가소비(B)'!$G:$G,U$2,'자가소비(B)'!$Q:$Q,$J17,'자가소비(B)'!$C:$C,$L$1),
    SUMIFS('PPA 사업(C)'!$I:$I,'PPA 사업(C)'!$G:$G,U$2,'PPA 사업(C)'!$Q:$Q,$J17,'PPA 사업(C)'!$C:$C,$L$1),
    SUMIFS('리스사업(D)'!$I:$I,'리스사업(D)'!$G:$G,U$2,'리스사업(D)'!$Q:$Q,$J17,'리스사업(D)'!$C:$C,$L$1),
    SUMIFS('임대사업(E)'!$I:$I,'임대사업(E)'!$G:$G,U$2,'임대사업(E)'!$Q:$Q,$J17,'임대사업(E)'!$C:$C,$L$1),
    SUMIFS('환경부사업(F)'!$I:$I,'환경부사업(F)'!$G:$G,U$2,'환경부사업(F)'!$Q:$Q,$J17,'환경부사업(F)'!$C:$C,$L$1),
    SUMIFS('프로젝트(G)'!$I:$I,'프로젝트(G)'!$G:$G,U$2,'프로젝트(G)'!$Q:$Q,$J17,'프로젝트(G)'!$C:$C,$L$1),
    SUMIFS('협력사 EPC(H)'!$I:$I,'협력사 EPC(H)'!$G:$G,U$2,'협력사 EPC(H)'!$Q:$Q,$J17,'협력사 EPC(H)'!$C:$C,$L$1),
    SUMIFS('기타(Z)'!$I:$I,'기타(Z)'!$G:$G,U$2,'기타(Z)'!$Q:$Q,$J17,'기타(Z)'!$C:$C,$L$1)
  )
)</f>
        <v>474.24</v>
      </c>
      <c r="V17" s="387">
        <f>IF(
  SUM(
    COUNTIFS('발전사업(A)'!$G:$G, U$2, '발전사업(A)'!$Q:$Q, $J17, '발전사업(A)'!$C:$C, $L$1),
    COUNTIFS('자가소비(B)'!$G:$G, U$2, '자가소비(B)'!$Q:$Q, $J17, '자가소비(B)'!$C:$C, $L$1),
    COUNTIFS('PPA 사업(C)'!$G:$G, U$2, 'PPA 사업(C)'!$Q:$Q, $J17, 'PPA 사업(C)'!$C:$C, $L$1),
    COUNTIFS('리스사업(D)'!$G:$G, U$2, '리스사업(D)'!$Q:$Q, $J17, '리스사업(D)'!$C:$C, $L$1),
    COUNTIFS('임대사업(E)'!$G:$G, U$2, '임대사업(E)'!$Q:$Q, $J17, '임대사업(E)'!$C:$C, $L$1),
    COUNTIFS('환경부사업(F)'!$G:$G, U$2, '환경부사업(F)'!$Q:$Q, $J17, '환경부사업(F)'!$C:$C, $L$1),
    COUNTIFS('프로젝트(G)'!$G:$G, U$2, '프로젝트(G)'!$Q:$Q, $J17, '프로젝트(G)'!$C:$C, $L$1),
    COUNTIFS('협력사 EPC(H)'!$G:$G, U$2, '협력사 EPC(H)'!$Q:$Q, $J17, '협력사 EPC(H)'!$C:$C, $L$1),
    COUNTIFS('기타(Z)'!$G:$G, U$2, '기타(Z)'!$Q:$Q, $J17, '기타(Z)'!$C:$C, $L$1)
  ) = 0,
  "",
  COUNTIFS('발전사업(A)'!$G:$G, U$2, '발전사업(A)'!$Q:$Q, $J17, '발전사업(A)'!$C:$C, $L$1)
  + COUNTIFS('자가소비(B)'!$G:$G, U$2, '자가소비(B)'!$Q:$Q, $J17, '자가소비(B)'!$C:$C, $L$1)
  + COUNTIFS('PPA 사업(C)'!$G:$G, U$2, 'PPA 사업(C)'!$Q:$Q, $J17, 'PPA 사업(C)'!$C:$C, $L$1)
  + COUNTIFS('리스사업(D)'!$G:$G, U$2, '리스사업(D)'!$Q:$Q, $J17, '리스사업(D)'!$C:$C, $L$1)
  + COUNTIFS('임대사업(E)'!$G:$G, U$2, '임대사업(E)'!$Q:$Q, $J17, '임대사업(E)'!$C:$C, $L$1)
  + COUNTIFS('환경부사업(F)'!$G:$G, U$2, '환경부사업(F)'!$Q:$Q, $J17, '환경부사업(F)'!$C:$C, $L$1)
  + COUNTIFS('프로젝트(G)'!$G:$G, U$2, '프로젝트(G)'!$Q:$Q, $J17, '프로젝트(G)'!$C:$C, $L$1)
  + COUNTIFS('협력사 EPC(H)'!$G:$G, U$2, '협력사 EPC(H)'!$Q:$Q, $J17, '협력사 EPC(H)'!$C:$C, $L$1)
  + COUNTIFS('기타(Z)'!$G:$G, U$2, '기타(Z)'!$Q:$Q, $J17, '기타(Z)'!$C:$C, $L$1)
)</f>
        <v>3</v>
      </c>
      <c r="W17" s="386">
        <f>IF(
  SUM(
    SUMIFS('발전사업(A)'!$I:$I,'발전사업(A)'!$G:$G,W$2,'발전사업(A)'!$Q:$Q,$J17,'발전사업(A)'!$C:$C,$L$1),
    SUMIFS('자가소비(B)'!$I:$I,'자가소비(B)'!$G:$G,W$2,'자가소비(B)'!$Q:$Q,$J17,'자가소비(B)'!$C:$C,$L$1),
    SUMIFS('PPA 사업(C)'!$I:$I,'PPA 사업(C)'!$G:$G,W$2,'PPA 사업(C)'!$Q:$Q,$J17,'PPA 사업(C)'!$C:$C,$L$1),
    SUMIFS('리스사업(D)'!$I:$I,'리스사업(D)'!$G:$G,W$2,'리스사업(D)'!$Q:$Q,$J17,'리스사업(D)'!$C:$C,$L$1),
    SUMIFS('임대사업(E)'!$I:$I,'임대사업(E)'!$G:$G,W$2,'임대사업(E)'!$Q:$Q,$J17,'임대사업(E)'!$C:$C,$L$1),
    SUMIFS('환경부사업(F)'!$I:$I,'환경부사업(F)'!$G:$G,W$2,'환경부사업(F)'!$Q:$Q,$J17,'환경부사업(F)'!$C:$C,$L$1),
    SUMIFS('프로젝트(G)'!$I:$I,'프로젝트(G)'!$G:$G,W$2,'프로젝트(G)'!$Q:$Q,$J17,'프로젝트(G)'!$C:$C,$L$1),
    SUMIFS('협력사 EPC(H)'!$I:$I,'협력사 EPC(H)'!$G:$G,W$2,'협력사 EPC(H)'!$Q:$Q,$J17,'협력사 EPC(H)'!$C:$C,$L$1),
    SUMIFS('기타(Z)'!$I:$I,'기타(Z)'!$G:$G,W$2,'기타(Z)'!$Q:$Q,$J17,'기타(Z)'!$C:$C,$L$1)
  )=0,
  "",
  SUM(
    SUMIFS('발전사업(A)'!$I:$I,'발전사업(A)'!$G:$G,W$2,'발전사업(A)'!$Q:$Q,$J17,'발전사업(A)'!$C:$C,$L$1),
    SUMIFS('자가소비(B)'!$I:$I,'자가소비(B)'!$G:$G,W$2,'자가소비(B)'!$Q:$Q,$J17,'자가소비(B)'!$C:$C,$L$1),
    SUMIFS('PPA 사업(C)'!$I:$I,'PPA 사업(C)'!$G:$G,W$2,'PPA 사업(C)'!$Q:$Q,$J17,'PPA 사업(C)'!$C:$C,$L$1),
    SUMIFS('리스사업(D)'!$I:$I,'리스사업(D)'!$G:$G,W$2,'리스사업(D)'!$Q:$Q,$J17,'리스사업(D)'!$C:$C,$L$1),
    SUMIFS('임대사업(E)'!$I:$I,'임대사업(E)'!$G:$G,W$2,'임대사업(E)'!$Q:$Q,$J17,'임대사업(E)'!$C:$C,$L$1),
    SUMIFS('환경부사업(F)'!$I:$I,'환경부사업(F)'!$G:$G,W$2,'환경부사업(F)'!$Q:$Q,$J17,'환경부사업(F)'!$C:$C,$L$1),
    SUMIFS('프로젝트(G)'!$I:$I,'프로젝트(G)'!$G:$G,W$2,'프로젝트(G)'!$Q:$Q,$J17,'프로젝트(G)'!$C:$C,$L$1),
    SUMIFS('협력사 EPC(H)'!$I:$I,'협력사 EPC(H)'!$G:$G,W$2,'협력사 EPC(H)'!$Q:$Q,$J17,'협력사 EPC(H)'!$C:$C,$L$1),
    SUMIFS('기타(Z)'!$I:$I,'기타(Z)'!$G:$G,W$2,'기타(Z)'!$Q:$Q,$J17,'기타(Z)'!$C:$C,$L$1)
  )
)</f>
        <v>1774.08</v>
      </c>
      <c r="X17" s="387">
        <f>IF(
  SUM(
    COUNTIFS('발전사업(A)'!$G:$G, W$2, '발전사업(A)'!$Q:$Q, $J17, '발전사업(A)'!$C:$C, $L$1),
    COUNTIFS('자가소비(B)'!$G:$G, W$2, '자가소비(B)'!$Q:$Q, $J17, '자가소비(B)'!$C:$C, $L$1),
    COUNTIFS('PPA 사업(C)'!$G:$G, W$2, 'PPA 사업(C)'!$Q:$Q, $J17, 'PPA 사업(C)'!$C:$C, $L$1),
    COUNTIFS('리스사업(D)'!$G:$G, W$2, '리스사업(D)'!$Q:$Q, $J17, '리스사업(D)'!$C:$C, $L$1),
    COUNTIFS('임대사업(E)'!$G:$G, W$2, '임대사업(E)'!$Q:$Q, $J17, '임대사업(E)'!$C:$C, $L$1),
    COUNTIFS('환경부사업(F)'!$G:$G, W$2, '환경부사업(F)'!$Q:$Q, $J17, '환경부사업(F)'!$C:$C, $L$1),
    COUNTIFS('프로젝트(G)'!$G:$G, W$2, '프로젝트(G)'!$Q:$Q, $J17, '프로젝트(G)'!$C:$C, $L$1),
    COUNTIFS('협력사 EPC(H)'!$G:$G, W$2, '협력사 EPC(H)'!$Q:$Q, $J17, '협력사 EPC(H)'!$C:$C, $L$1),
    COUNTIFS('기타(Z)'!$G:$G, W$2, '기타(Z)'!$Q:$Q, $J17, '기타(Z)'!$C:$C, $L$1)
  ) = 0,
  "",
  COUNTIFS('발전사업(A)'!$G:$G, W$2, '발전사업(A)'!$Q:$Q, $J17, '발전사업(A)'!$C:$C, $L$1)
  + COUNTIFS('자가소비(B)'!$G:$G, W$2, '자가소비(B)'!$Q:$Q, $J17, '자가소비(B)'!$C:$C, $L$1)
  + COUNTIFS('PPA 사업(C)'!$G:$G, W$2, 'PPA 사업(C)'!$Q:$Q, $J17, 'PPA 사업(C)'!$C:$C, $L$1)
  + COUNTIFS('리스사업(D)'!$G:$G, W$2, '리스사업(D)'!$Q:$Q, $J17, '리스사업(D)'!$C:$C, $L$1)
  + COUNTIFS('임대사업(E)'!$G:$G, W$2, '임대사업(E)'!$Q:$Q, $J17, '임대사업(E)'!$C:$C, $L$1)
  + COUNTIFS('환경부사업(F)'!$G:$G, W$2, '환경부사업(F)'!$Q:$Q, $J17, '환경부사업(F)'!$C:$C, $L$1)
  + COUNTIFS('프로젝트(G)'!$G:$G, W$2, '프로젝트(G)'!$Q:$Q, $J17, '프로젝트(G)'!$C:$C, $L$1)
  + COUNTIFS('협력사 EPC(H)'!$G:$G, W$2, '협력사 EPC(H)'!$Q:$Q, $J17, '협력사 EPC(H)'!$C:$C, $L$1)
  + COUNTIFS('기타(Z)'!$G:$G, W$2, '기타(Z)'!$Q:$Q, $J17, '기타(Z)'!$C:$C, $L$1)
)</f>
        <v>5</v>
      </c>
      <c r="Y17" s="386">
        <f>IF(
  SUM(
    SUMIFS('발전사업(A)'!$I:$I,'발전사업(A)'!$G:$G,Y$2,'발전사업(A)'!$Q:$Q,$J17,'발전사업(A)'!$C:$C,$L$1),
    SUMIFS('자가소비(B)'!$I:$I,'자가소비(B)'!$G:$G,Y$2,'자가소비(B)'!$Q:$Q,$J17,'자가소비(B)'!$C:$C,$L$1),
    SUMIFS('PPA 사업(C)'!$I:$I,'PPA 사업(C)'!$G:$G,Y$2,'PPA 사업(C)'!$Q:$Q,$J17,'PPA 사업(C)'!$C:$C,$L$1),
    SUMIFS('리스사업(D)'!$I:$I,'리스사업(D)'!$G:$G,Y$2,'리스사업(D)'!$Q:$Q,$J17,'리스사업(D)'!$C:$C,$L$1),
    SUMIFS('임대사업(E)'!$I:$I,'임대사업(E)'!$G:$G,Y$2,'임대사업(E)'!$Q:$Q,$J17,'임대사업(E)'!$C:$C,$L$1),
    SUMIFS('환경부사업(F)'!$I:$I,'환경부사업(F)'!$G:$G,Y$2,'환경부사업(F)'!$Q:$Q,$J17,'환경부사업(F)'!$C:$C,$L$1),
    SUMIFS('프로젝트(G)'!$I:$I,'프로젝트(G)'!$G:$G,Y$2,'프로젝트(G)'!$Q:$Q,$J17,'프로젝트(G)'!$C:$C,$L$1),
    SUMIFS('협력사 EPC(H)'!$I:$I,'협력사 EPC(H)'!$G:$G,Y$2,'협력사 EPC(H)'!$Q:$Q,$J17,'협력사 EPC(H)'!$C:$C,$L$1),
    SUMIFS('기타(Z)'!$I:$I,'기타(Z)'!$G:$G,Y$2,'기타(Z)'!$Q:$Q,$J17,'기타(Z)'!$C:$C,$L$1)
  )=0,
  "",
  SUM(
    SUMIFS('발전사업(A)'!$I:$I,'발전사업(A)'!$G:$G,Y$2,'발전사업(A)'!$Q:$Q,$J17,'발전사업(A)'!$C:$C,$L$1),
    SUMIFS('자가소비(B)'!$I:$I,'자가소비(B)'!$G:$G,Y$2,'자가소비(B)'!$Q:$Q,$J17,'자가소비(B)'!$C:$C,$L$1),
    SUMIFS('PPA 사업(C)'!$I:$I,'PPA 사업(C)'!$G:$G,Y$2,'PPA 사업(C)'!$Q:$Q,$J17,'PPA 사업(C)'!$C:$C,$L$1),
    SUMIFS('리스사업(D)'!$I:$I,'리스사업(D)'!$G:$G,Y$2,'리스사업(D)'!$Q:$Q,$J17,'리스사업(D)'!$C:$C,$L$1),
    SUMIFS('임대사업(E)'!$I:$I,'임대사업(E)'!$G:$G,Y$2,'임대사업(E)'!$Q:$Q,$J17,'임대사업(E)'!$C:$C,$L$1),
    SUMIFS('환경부사업(F)'!$I:$I,'환경부사업(F)'!$G:$G,Y$2,'환경부사업(F)'!$Q:$Q,$J17,'환경부사업(F)'!$C:$C,$L$1),
    SUMIFS('프로젝트(G)'!$I:$I,'프로젝트(G)'!$G:$G,Y$2,'프로젝트(G)'!$Q:$Q,$J17,'프로젝트(G)'!$C:$C,$L$1),
    SUMIFS('협력사 EPC(H)'!$I:$I,'협력사 EPC(H)'!$G:$G,Y$2,'협력사 EPC(H)'!$Q:$Q,$J17,'협력사 EPC(H)'!$C:$C,$L$1),
    SUMIFS('기타(Z)'!$I:$I,'기타(Z)'!$G:$G,Y$2,'기타(Z)'!$Q:$Q,$J17,'기타(Z)'!$C:$C,$L$1)
  )
)</f>
        <v>625.28</v>
      </c>
      <c r="Z17" s="387">
        <f>IF(
  SUM(
    COUNTIFS('발전사업(A)'!$G:$G, Y$2, '발전사업(A)'!$Q:$Q, $J17, '발전사업(A)'!$C:$C, $L$1),
    COUNTIFS('자가소비(B)'!$G:$G, Y$2, '자가소비(B)'!$Q:$Q, $J17, '자가소비(B)'!$C:$C, $L$1),
    COUNTIFS('PPA 사업(C)'!$G:$G, Y$2, 'PPA 사업(C)'!$Q:$Q, $J17, 'PPA 사업(C)'!$C:$C, $L$1),
    COUNTIFS('리스사업(D)'!$G:$G, Y$2, '리스사업(D)'!$Q:$Q, $J17, '리스사업(D)'!$C:$C, $L$1),
    COUNTIFS('임대사업(E)'!$G:$G, Y$2, '임대사업(E)'!$Q:$Q, $J17, '임대사업(E)'!$C:$C, $L$1),
    COUNTIFS('환경부사업(F)'!$G:$G, Y$2, '환경부사업(F)'!$Q:$Q, $J17, '환경부사업(F)'!$C:$C, $L$1),
    COUNTIFS('프로젝트(G)'!$G:$G, Y$2, '프로젝트(G)'!$Q:$Q, $J17, '프로젝트(G)'!$C:$C, $L$1),
    COUNTIFS('협력사 EPC(H)'!$G:$G, Y$2, '협력사 EPC(H)'!$Q:$Q, $J17, '협력사 EPC(H)'!$C:$C, $L$1),
    COUNTIFS('기타(Z)'!$G:$G, Y$2, '기타(Z)'!$Q:$Q, $J17, '기타(Z)'!$C:$C, $L$1)
  ) = 0,
  "",
  COUNTIFS('발전사업(A)'!$G:$G, Y$2, '발전사업(A)'!$Q:$Q, $J17, '발전사업(A)'!$C:$C, $L$1)
  + COUNTIFS('자가소비(B)'!$G:$G, Y$2, '자가소비(B)'!$Q:$Q, $J17, '자가소비(B)'!$C:$C, $L$1)
  + COUNTIFS('PPA 사업(C)'!$G:$G, Y$2, 'PPA 사업(C)'!$Q:$Q, $J17, 'PPA 사업(C)'!$C:$C, $L$1)
  + COUNTIFS('리스사업(D)'!$G:$G, Y$2, '리스사업(D)'!$Q:$Q, $J17, '리스사업(D)'!$C:$C, $L$1)
  + COUNTIFS('임대사업(E)'!$G:$G, Y$2, '임대사업(E)'!$Q:$Q, $J17, '임대사업(E)'!$C:$C, $L$1)
  + COUNTIFS('환경부사업(F)'!$G:$G, Y$2, '환경부사업(F)'!$Q:$Q, $J17, '환경부사업(F)'!$C:$C, $L$1)
  + COUNTIFS('프로젝트(G)'!$G:$G, Y$2, '프로젝트(G)'!$Q:$Q, $J17, '프로젝트(G)'!$C:$C, $L$1)
  + COUNTIFS('협력사 EPC(H)'!$G:$G, Y$2, '협력사 EPC(H)'!$Q:$Q, $J17, '협력사 EPC(H)'!$C:$C, $L$1)
  + COUNTIFS('기타(Z)'!$G:$G, Y$2, '기타(Z)'!$Q:$Q, $J17, '기타(Z)'!$C:$C, $L$1)
)</f>
        <v>4</v>
      </c>
      <c r="AA17" s="386">
        <f>IF(
  SUM(
    SUMIFS('발전사업(A)'!$I:$I,'발전사업(A)'!$G:$G,AA$2,'발전사업(A)'!$Q:$Q,$J17,'발전사업(A)'!$C:$C,$L$1),
    SUMIFS('자가소비(B)'!$I:$I,'자가소비(B)'!$G:$G,AA$2,'자가소비(B)'!$Q:$Q,$J17,'자가소비(B)'!$C:$C,$L$1),
    SUMIFS('PPA 사업(C)'!$I:$I,'PPA 사업(C)'!$G:$G,AA$2,'PPA 사업(C)'!$Q:$Q,$J17,'PPA 사업(C)'!$C:$C,$L$1),
    SUMIFS('리스사업(D)'!$I:$I,'리스사업(D)'!$G:$G,AA$2,'리스사업(D)'!$Q:$Q,$J17,'리스사업(D)'!$C:$C,$L$1),
    SUMIFS('임대사업(E)'!$I:$I,'임대사업(E)'!$G:$G,AA$2,'임대사업(E)'!$Q:$Q,$J17,'임대사업(E)'!$C:$C,$L$1),
    SUMIFS('환경부사업(F)'!$I:$I,'환경부사업(F)'!$G:$G,AA$2,'환경부사업(F)'!$Q:$Q,$J17,'환경부사업(F)'!$C:$C,$L$1),
    SUMIFS('프로젝트(G)'!$I:$I,'프로젝트(G)'!$G:$G,AA$2,'프로젝트(G)'!$Q:$Q,$J17,'프로젝트(G)'!$C:$C,$L$1),
    SUMIFS('협력사 EPC(H)'!$I:$I,'협력사 EPC(H)'!$G:$G,AA$2,'협력사 EPC(H)'!$Q:$Q,$J17,'협력사 EPC(H)'!$C:$C,$L$1),
    SUMIFS('기타(Z)'!$I:$I,'기타(Z)'!$G:$G,AA$2,'기타(Z)'!$Q:$Q,$J17,'기타(Z)'!$C:$C,$L$1)
  )=0,
  "",
  SUM(
    SUMIFS('발전사업(A)'!$I:$I,'발전사업(A)'!$G:$G,AA$2,'발전사업(A)'!$Q:$Q,$J17,'발전사업(A)'!$C:$C,$L$1),
    SUMIFS('자가소비(B)'!$I:$I,'자가소비(B)'!$G:$G,AA$2,'자가소비(B)'!$Q:$Q,$J17,'자가소비(B)'!$C:$C,$L$1),
    SUMIFS('PPA 사업(C)'!$I:$I,'PPA 사업(C)'!$G:$G,AA$2,'PPA 사업(C)'!$Q:$Q,$J17,'PPA 사업(C)'!$C:$C,$L$1),
    SUMIFS('리스사업(D)'!$I:$I,'리스사업(D)'!$G:$G,AA$2,'리스사업(D)'!$Q:$Q,$J17,'리스사업(D)'!$C:$C,$L$1),
    SUMIFS('임대사업(E)'!$I:$I,'임대사업(E)'!$G:$G,AA$2,'임대사업(E)'!$Q:$Q,$J17,'임대사업(E)'!$C:$C,$L$1),
    SUMIFS('환경부사업(F)'!$I:$I,'환경부사업(F)'!$G:$G,AA$2,'환경부사업(F)'!$Q:$Q,$J17,'환경부사업(F)'!$C:$C,$L$1),
    SUMIFS('프로젝트(G)'!$I:$I,'프로젝트(G)'!$G:$G,AA$2,'프로젝트(G)'!$Q:$Q,$J17,'프로젝트(G)'!$C:$C,$L$1),
    SUMIFS('협력사 EPC(H)'!$I:$I,'협력사 EPC(H)'!$G:$G,AA$2,'협력사 EPC(H)'!$Q:$Q,$J17,'협력사 EPC(H)'!$C:$C,$L$1),
    SUMIFS('기타(Z)'!$I:$I,'기타(Z)'!$G:$G,AA$2,'기타(Z)'!$Q:$Q,$J17,'기타(Z)'!$C:$C,$L$1)
  )
)</f>
        <v>51.2</v>
      </c>
      <c r="AB17" s="387">
        <f>IF(
  SUM(
    COUNTIFS('발전사업(A)'!$G:$G, AA$2, '발전사업(A)'!$Q:$Q, $J17, '발전사업(A)'!$C:$C, $L$1),
    COUNTIFS('자가소비(B)'!$G:$G, AA$2, '자가소비(B)'!$Q:$Q, $J17, '자가소비(B)'!$C:$C, $L$1),
    COUNTIFS('PPA 사업(C)'!$G:$G, AA$2, 'PPA 사업(C)'!$Q:$Q, $J17, 'PPA 사업(C)'!$C:$C, $L$1),
    COUNTIFS('리스사업(D)'!$G:$G, AA$2, '리스사업(D)'!$Q:$Q, $J17, '리스사업(D)'!$C:$C, $L$1),
    COUNTIFS('임대사업(E)'!$G:$G, AA$2, '임대사업(E)'!$Q:$Q, $J17, '임대사업(E)'!$C:$C, $L$1),
    COUNTIFS('환경부사업(F)'!$G:$G, AA$2, '환경부사업(F)'!$Q:$Q, $J17, '환경부사업(F)'!$C:$C, $L$1),
    COUNTIFS('프로젝트(G)'!$G:$G, AA$2, '프로젝트(G)'!$Q:$Q, $J17, '프로젝트(G)'!$C:$C, $L$1),
    COUNTIFS('협력사 EPC(H)'!$G:$G, AA$2, '협력사 EPC(H)'!$Q:$Q, $J17, '협력사 EPC(H)'!$C:$C, $L$1),
    COUNTIFS('기타(Z)'!$G:$G, AA$2, '기타(Z)'!$Q:$Q, $J17, '기타(Z)'!$C:$C, $L$1)
  ) = 0,
  "",
  COUNTIFS('발전사업(A)'!$G:$G, AA$2, '발전사업(A)'!$Q:$Q, $J17, '발전사업(A)'!$C:$C, $L$1)
  + COUNTIFS('자가소비(B)'!$G:$G, AA$2, '자가소비(B)'!$Q:$Q, $J17, '자가소비(B)'!$C:$C, $L$1)
  + COUNTIFS('PPA 사업(C)'!$G:$G, AA$2, 'PPA 사업(C)'!$Q:$Q, $J17, 'PPA 사업(C)'!$C:$C, $L$1)
  + COUNTIFS('리스사업(D)'!$G:$G, AA$2, '리스사업(D)'!$Q:$Q, $J17, '리스사업(D)'!$C:$C, $L$1)
  + COUNTIFS('임대사업(E)'!$G:$G, AA$2, '임대사업(E)'!$Q:$Q, $J17, '임대사업(E)'!$C:$C, $L$1)
  + COUNTIFS('환경부사업(F)'!$G:$G, AA$2, '환경부사업(F)'!$Q:$Q, $J17, '환경부사업(F)'!$C:$C, $L$1)
  + COUNTIFS('프로젝트(G)'!$G:$G, AA$2, '프로젝트(G)'!$Q:$Q, $J17, '프로젝트(G)'!$C:$C, $L$1)
  + COUNTIFS('협력사 EPC(H)'!$G:$G, AA$2, '협력사 EPC(H)'!$Q:$Q, $J17, '협력사 EPC(H)'!$C:$C, $L$1)
  + COUNTIFS('기타(Z)'!$G:$G, AA$2, '기타(Z)'!$Q:$Q, $J17, '기타(Z)'!$C:$C, $L$1)
)</f>
        <v>1</v>
      </c>
      <c r="AC17" s="386">
        <f>IF(
  SUM(
    SUMIFS('발전사업(A)'!$I:$I,'발전사업(A)'!$G:$G,AC$2,'발전사업(A)'!$Q:$Q,$J17,'발전사업(A)'!$C:$C,$L$1),
    SUMIFS('자가소비(B)'!$I:$I,'자가소비(B)'!$G:$G,AC$2,'자가소비(B)'!$Q:$Q,$J17,'자가소비(B)'!$C:$C,$L$1),
    SUMIFS('PPA 사업(C)'!$I:$I,'PPA 사업(C)'!$G:$G,AC$2,'PPA 사업(C)'!$Q:$Q,$J17,'PPA 사업(C)'!$C:$C,$L$1),
    SUMIFS('리스사업(D)'!$I:$I,'리스사업(D)'!$G:$G,AC$2,'리스사업(D)'!$Q:$Q,$J17,'리스사업(D)'!$C:$C,$L$1),
    SUMIFS('임대사업(E)'!$I:$I,'임대사업(E)'!$G:$G,AC$2,'임대사업(E)'!$Q:$Q,$J17,'임대사업(E)'!$C:$C,$L$1),
    SUMIFS('환경부사업(F)'!$I:$I,'환경부사업(F)'!$G:$G,AC$2,'환경부사업(F)'!$Q:$Q,$J17,'환경부사업(F)'!$C:$C,$L$1),
    SUMIFS('프로젝트(G)'!$I:$I,'프로젝트(G)'!$G:$G,AC$2,'프로젝트(G)'!$Q:$Q,$J17,'프로젝트(G)'!$C:$C,$L$1),
    SUMIFS('협력사 EPC(H)'!$I:$I,'협력사 EPC(H)'!$G:$G,AC$2,'협력사 EPC(H)'!$Q:$Q,$J17,'협력사 EPC(H)'!$C:$C,$L$1),
    SUMIFS('기타(Z)'!$I:$I,'기타(Z)'!$G:$G,AC$2,'기타(Z)'!$Q:$Q,$J17,'기타(Z)'!$C:$C,$L$1)
  )=0,
  "",
  SUM(
    SUMIFS('발전사업(A)'!$I:$I,'발전사업(A)'!$G:$G,AC$2,'발전사업(A)'!$Q:$Q,$J17,'발전사업(A)'!$C:$C,$L$1),
    SUMIFS('자가소비(B)'!$I:$I,'자가소비(B)'!$G:$G,AC$2,'자가소비(B)'!$Q:$Q,$J17,'자가소비(B)'!$C:$C,$L$1),
    SUMIFS('PPA 사업(C)'!$I:$I,'PPA 사업(C)'!$G:$G,AC$2,'PPA 사업(C)'!$Q:$Q,$J17,'PPA 사업(C)'!$C:$C,$L$1),
    SUMIFS('리스사업(D)'!$I:$I,'리스사업(D)'!$G:$G,AC$2,'리스사업(D)'!$Q:$Q,$J17,'리스사업(D)'!$C:$C,$L$1),
    SUMIFS('임대사업(E)'!$I:$I,'임대사업(E)'!$G:$G,AC$2,'임대사업(E)'!$Q:$Q,$J17,'임대사업(E)'!$C:$C,$L$1),
    SUMIFS('환경부사업(F)'!$I:$I,'환경부사업(F)'!$G:$G,AC$2,'환경부사업(F)'!$Q:$Q,$J17,'환경부사업(F)'!$C:$C,$L$1),
    SUMIFS('프로젝트(G)'!$I:$I,'프로젝트(G)'!$G:$G,AC$2,'프로젝트(G)'!$Q:$Q,$J17,'프로젝트(G)'!$C:$C,$L$1),
    SUMIFS('협력사 EPC(H)'!$I:$I,'협력사 EPC(H)'!$G:$G,AC$2,'협력사 EPC(H)'!$Q:$Q,$J17,'협력사 EPC(H)'!$C:$C,$L$1),
    SUMIFS('기타(Z)'!$I:$I,'기타(Z)'!$G:$G,AC$2,'기타(Z)'!$Q:$Q,$J17,'기타(Z)'!$C:$C,$L$1)
  )
)</f>
        <v>447.36</v>
      </c>
      <c r="AD17" s="387">
        <f>IF(
  SUM(
    COUNTIFS('발전사업(A)'!$G:$G, AC$2, '발전사업(A)'!$Q:$Q, $J17, '발전사업(A)'!$C:$C, $L$1),
    COUNTIFS('자가소비(B)'!$G:$G, AC$2, '자가소비(B)'!$Q:$Q, $J17, '자가소비(B)'!$C:$C, $L$1),
    COUNTIFS('PPA 사업(C)'!$G:$G, AC$2, 'PPA 사업(C)'!$Q:$Q, $J17, 'PPA 사업(C)'!$C:$C, $L$1),
    COUNTIFS('리스사업(D)'!$G:$G, AC$2, '리스사업(D)'!$Q:$Q, $J17, '리스사업(D)'!$C:$C, $L$1),
    COUNTIFS('임대사업(E)'!$G:$G, AC$2, '임대사업(E)'!$Q:$Q, $J17, '임대사업(E)'!$C:$C, $L$1),
    COUNTIFS('환경부사업(F)'!$G:$G, AC$2, '환경부사업(F)'!$Q:$Q, $J17, '환경부사업(F)'!$C:$C, $L$1),
    COUNTIFS('프로젝트(G)'!$G:$G, AC$2, '프로젝트(G)'!$Q:$Q, $J17, '프로젝트(G)'!$C:$C, $L$1),
    COUNTIFS('협력사 EPC(H)'!$G:$G, AC$2, '협력사 EPC(H)'!$Q:$Q, $J17, '협력사 EPC(H)'!$C:$C, $L$1),
    COUNTIFS('기타(Z)'!$G:$G, AC$2, '기타(Z)'!$Q:$Q, $J17, '기타(Z)'!$C:$C, $L$1)
  ) = 0,
  "",
  COUNTIFS('발전사업(A)'!$G:$G, AC$2, '발전사업(A)'!$Q:$Q, $J17, '발전사업(A)'!$C:$C, $L$1)
  + COUNTIFS('자가소비(B)'!$G:$G, AC$2, '자가소비(B)'!$Q:$Q, $J17, '자가소비(B)'!$C:$C, $L$1)
  + COUNTIFS('PPA 사업(C)'!$G:$G, AC$2, 'PPA 사업(C)'!$Q:$Q, $J17, 'PPA 사업(C)'!$C:$C, $L$1)
  + COUNTIFS('리스사업(D)'!$G:$G, AC$2, '리스사업(D)'!$Q:$Q, $J17, '리스사업(D)'!$C:$C, $L$1)
  + COUNTIFS('임대사업(E)'!$G:$G, AC$2, '임대사업(E)'!$Q:$Q, $J17, '임대사업(E)'!$C:$C, $L$1)
  + COUNTIFS('환경부사업(F)'!$G:$G, AC$2, '환경부사업(F)'!$Q:$Q, $J17, '환경부사업(F)'!$C:$C, $L$1)
  + COUNTIFS('프로젝트(G)'!$G:$G, AC$2, '프로젝트(G)'!$Q:$Q, $J17, '프로젝트(G)'!$C:$C, $L$1)
  + COUNTIFS('협력사 EPC(H)'!$G:$G, AC$2, '협력사 EPC(H)'!$Q:$Q, $J17, '협력사 EPC(H)'!$C:$C, $L$1)
  + COUNTIFS('기타(Z)'!$G:$G, AC$2, '기타(Z)'!$Q:$Q, $J17, '기타(Z)'!$C:$C, $L$1)
)</f>
        <v>3</v>
      </c>
      <c r="AE17" s="386">
        <f>IF(
  SUM(
    SUMIFS('발전사업(A)'!$I:$I,'발전사업(A)'!$G:$G,AE$2,'발전사업(A)'!$Q:$Q,$J17,'발전사업(A)'!$C:$C,$L$1),
    SUMIFS('자가소비(B)'!$I:$I,'자가소비(B)'!$G:$G,AE$2,'자가소비(B)'!$Q:$Q,$J17,'자가소비(B)'!$C:$C,$L$1),
    SUMIFS('PPA 사업(C)'!$I:$I,'PPA 사업(C)'!$G:$G,AE$2,'PPA 사업(C)'!$Q:$Q,$J17,'PPA 사업(C)'!$C:$C,$L$1),
    SUMIFS('리스사업(D)'!$I:$I,'리스사업(D)'!$G:$G,AE$2,'리스사업(D)'!$Q:$Q,$J17,'리스사업(D)'!$C:$C,$L$1),
    SUMIFS('임대사업(E)'!$I:$I,'임대사업(E)'!$G:$G,AE$2,'임대사업(E)'!$Q:$Q,$J17,'임대사업(E)'!$C:$C,$L$1),
    SUMIFS('환경부사업(F)'!$I:$I,'환경부사업(F)'!$G:$G,AE$2,'환경부사업(F)'!$Q:$Q,$J17,'환경부사업(F)'!$C:$C,$L$1),
    SUMIFS('프로젝트(G)'!$I:$I,'프로젝트(G)'!$G:$G,AE$2,'프로젝트(G)'!$Q:$Q,$J17,'프로젝트(G)'!$C:$C,$L$1),
    SUMIFS('협력사 EPC(H)'!$I:$I,'협력사 EPC(H)'!$G:$G,AE$2,'협력사 EPC(H)'!$Q:$Q,$J17,'협력사 EPC(H)'!$C:$C,$L$1),
    SUMIFS('기타(Z)'!$I:$I,'기타(Z)'!$G:$G,AE$2,'기타(Z)'!$Q:$Q,$J17,'기타(Z)'!$C:$C,$L$1)
  )=0,
  "",
  SUM(
    SUMIFS('발전사업(A)'!$I:$I,'발전사업(A)'!$G:$G,AE$2,'발전사업(A)'!$Q:$Q,$J17,'발전사업(A)'!$C:$C,$L$1),
    SUMIFS('자가소비(B)'!$I:$I,'자가소비(B)'!$G:$G,AE$2,'자가소비(B)'!$Q:$Q,$J17,'자가소비(B)'!$C:$C,$L$1),
    SUMIFS('PPA 사업(C)'!$I:$I,'PPA 사업(C)'!$G:$G,AE$2,'PPA 사업(C)'!$Q:$Q,$J17,'PPA 사업(C)'!$C:$C,$L$1),
    SUMIFS('리스사업(D)'!$I:$I,'리스사업(D)'!$G:$G,AE$2,'리스사업(D)'!$Q:$Q,$J17,'리스사업(D)'!$C:$C,$L$1),
    SUMIFS('임대사업(E)'!$I:$I,'임대사업(E)'!$G:$G,AE$2,'임대사업(E)'!$Q:$Q,$J17,'임대사업(E)'!$C:$C,$L$1),
    SUMIFS('환경부사업(F)'!$I:$I,'환경부사업(F)'!$G:$G,AE$2,'환경부사업(F)'!$Q:$Q,$J17,'환경부사업(F)'!$C:$C,$L$1),
    SUMIFS('프로젝트(G)'!$I:$I,'프로젝트(G)'!$G:$G,AE$2,'프로젝트(G)'!$Q:$Q,$J17,'프로젝트(G)'!$C:$C,$L$1),
    SUMIFS('협력사 EPC(H)'!$I:$I,'협력사 EPC(H)'!$G:$G,AE$2,'협력사 EPC(H)'!$Q:$Q,$J17,'협력사 EPC(H)'!$C:$C,$L$1),
    SUMIFS('기타(Z)'!$I:$I,'기타(Z)'!$G:$G,AE$2,'기타(Z)'!$Q:$Q,$J17,'기타(Z)'!$C:$C,$L$1)
  )
)</f>
        <v>500.48</v>
      </c>
      <c r="AF17" s="387">
        <f>IF(
  SUM(
    COUNTIFS('발전사업(A)'!$G:$G, AE$2, '발전사업(A)'!$Q:$Q, $J17, '발전사업(A)'!$C:$C, $L$1),
    COUNTIFS('자가소비(B)'!$G:$G, AE$2, '자가소비(B)'!$Q:$Q, $J17, '자가소비(B)'!$C:$C, $L$1),
    COUNTIFS('PPA 사업(C)'!$G:$G, AE$2, 'PPA 사업(C)'!$Q:$Q, $J17, 'PPA 사업(C)'!$C:$C, $L$1),
    COUNTIFS('리스사업(D)'!$G:$G, AE$2, '리스사업(D)'!$Q:$Q, $J17, '리스사업(D)'!$C:$C, $L$1),
    COUNTIFS('임대사업(E)'!$G:$G, AE$2, '임대사업(E)'!$Q:$Q, $J17, '임대사업(E)'!$C:$C, $L$1),
    COUNTIFS('환경부사업(F)'!$G:$G, AE$2, '환경부사업(F)'!$Q:$Q, $J17, '환경부사업(F)'!$C:$C, $L$1),
    COUNTIFS('프로젝트(G)'!$G:$G, AE$2, '프로젝트(G)'!$Q:$Q, $J17, '프로젝트(G)'!$C:$C, $L$1),
    COUNTIFS('협력사 EPC(H)'!$G:$G, AE$2, '협력사 EPC(H)'!$Q:$Q, $J17, '협력사 EPC(H)'!$C:$C, $L$1),
    COUNTIFS('기타(Z)'!$G:$G, AE$2, '기타(Z)'!$Q:$Q, $J17, '기타(Z)'!$C:$C, $L$1)
  ) = 0,
  "",
  COUNTIFS('발전사업(A)'!$G:$G, AE$2, '발전사업(A)'!$Q:$Q, $J17, '발전사업(A)'!$C:$C, $L$1)
  + COUNTIFS('자가소비(B)'!$G:$G, AE$2, '자가소비(B)'!$Q:$Q, $J17, '자가소비(B)'!$C:$C, $L$1)
  + COUNTIFS('PPA 사업(C)'!$G:$G, AE$2, 'PPA 사업(C)'!$Q:$Q, $J17, 'PPA 사업(C)'!$C:$C, $L$1)
  + COUNTIFS('리스사업(D)'!$G:$G, AE$2, '리스사업(D)'!$Q:$Q, $J17, '리스사업(D)'!$C:$C, $L$1)
  + COUNTIFS('임대사업(E)'!$G:$G, AE$2, '임대사업(E)'!$Q:$Q, $J17, '임대사업(E)'!$C:$C, $L$1)
  + COUNTIFS('환경부사업(F)'!$G:$G, AE$2, '환경부사업(F)'!$Q:$Q, $J17, '환경부사업(F)'!$C:$C, $L$1)
  + COUNTIFS('프로젝트(G)'!$G:$G, AE$2, '프로젝트(G)'!$Q:$Q, $J17, '프로젝트(G)'!$C:$C, $L$1)
  + COUNTIFS('협력사 EPC(H)'!$G:$G, AE$2, '협력사 EPC(H)'!$Q:$Q, $J17, '협력사 EPC(H)'!$C:$C, $L$1)
  + COUNTIFS('기타(Z)'!$G:$G, AE$2, '기타(Z)'!$Q:$Q, $J17, '기타(Z)'!$C:$C, $L$1)
)</f>
        <v>3</v>
      </c>
      <c r="AG17" s="386">
        <f>IF(
  SUM(
    SUMIFS('발전사업(A)'!$I:$I,'발전사업(A)'!$G:$G,AG$2,'발전사업(A)'!$Q:$Q,$J17,'발전사업(A)'!$C:$C,$L$1),
    SUMIFS('자가소비(B)'!$I:$I,'자가소비(B)'!$G:$G,AG$2,'자가소비(B)'!$Q:$Q,$J17,'자가소비(B)'!$C:$C,$L$1),
    SUMIFS('PPA 사업(C)'!$I:$I,'PPA 사업(C)'!$G:$G,AG$2,'PPA 사업(C)'!$Q:$Q,$J17,'PPA 사업(C)'!$C:$C,$L$1),
    SUMIFS('리스사업(D)'!$I:$I,'리스사업(D)'!$G:$G,AG$2,'리스사업(D)'!$Q:$Q,$J17,'리스사업(D)'!$C:$C,$L$1),
    SUMIFS('임대사업(E)'!$I:$I,'임대사업(E)'!$G:$G,AG$2,'임대사업(E)'!$Q:$Q,$J17,'임대사업(E)'!$C:$C,$L$1),
    SUMIFS('환경부사업(F)'!$I:$I,'환경부사업(F)'!$G:$G,AG$2,'환경부사업(F)'!$Q:$Q,$J17,'환경부사업(F)'!$C:$C,$L$1),
    SUMIFS('프로젝트(G)'!$I:$I,'프로젝트(G)'!$G:$G,AG$2,'프로젝트(G)'!$Q:$Q,$J17,'프로젝트(G)'!$C:$C,$L$1),
    SUMIFS('협력사 EPC(H)'!$I:$I,'협력사 EPC(H)'!$G:$G,AG$2,'협력사 EPC(H)'!$Q:$Q,$J17,'협력사 EPC(H)'!$C:$C,$L$1),
    SUMIFS('기타(Z)'!$I:$I,'기타(Z)'!$G:$G,AG$2,'기타(Z)'!$Q:$Q,$J17,'기타(Z)'!$C:$C,$L$1)
  )=0,
  "",
  SUM(
    SUMIFS('발전사업(A)'!$I:$I,'발전사업(A)'!$G:$G,AG$2,'발전사업(A)'!$Q:$Q,$J17,'발전사업(A)'!$C:$C,$L$1),
    SUMIFS('자가소비(B)'!$I:$I,'자가소비(B)'!$G:$G,AG$2,'자가소비(B)'!$Q:$Q,$J17,'자가소비(B)'!$C:$C,$L$1),
    SUMIFS('PPA 사업(C)'!$I:$I,'PPA 사업(C)'!$G:$G,AG$2,'PPA 사업(C)'!$Q:$Q,$J17,'PPA 사업(C)'!$C:$C,$L$1),
    SUMIFS('리스사업(D)'!$I:$I,'리스사업(D)'!$G:$G,AG$2,'리스사업(D)'!$Q:$Q,$J17,'리스사업(D)'!$C:$C,$L$1),
    SUMIFS('임대사업(E)'!$I:$I,'임대사업(E)'!$G:$G,AG$2,'임대사업(E)'!$Q:$Q,$J17,'임대사업(E)'!$C:$C,$L$1),
    SUMIFS('환경부사업(F)'!$I:$I,'환경부사업(F)'!$G:$G,AG$2,'환경부사업(F)'!$Q:$Q,$J17,'환경부사업(F)'!$C:$C,$L$1),
    SUMIFS('프로젝트(G)'!$I:$I,'프로젝트(G)'!$G:$G,AG$2,'프로젝트(G)'!$Q:$Q,$J17,'프로젝트(G)'!$C:$C,$L$1),
    SUMIFS('협력사 EPC(H)'!$I:$I,'협력사 EPC(H)'!$G:$G,AG$2,'협력사 EPC(H)'!$Q:$Q,$J17,'협력사 EPC(H)'!$C:$C,$L$1),
    SUMIFS('기타(Z)'!$I:$I,'기타(Z)'!$G:$G,AG$2,'기타(Z)'!$Q:$Q,$J17,'기타(Z)'!$C:$C,$L$1)
  )
)</f>
        <v>1734.4850000000001</v>
      </c>
      <c r="AH17" s="387">
        <f>IF(
  SUM(
    COUNTIFS('발전사업(A)'!$G:$G, AG$2, '발전사업(A)'!$Q:$Q, $J17, '발전사업(A)'!$C:$C, $L$1),
    COUNTIFS('자가소비(B)'!$G:$G, AG$2, '자가소비(B)'!$Q:$Q, $J17, '자가소비(B)'!$C:$C, $L$1),
    COUNTIFS('PPA 사업(C)'!$G:$G, AG$2, 'PPA 사업(C)'!$Q:$Q, $J17, 'PPA 사업(C)'!$C:$C, $L$1),
    COUNTIFS('리스사업(D)'!$G:$G, AG$2, '리스사업(D)'!$Q:$Q, $J17, '리스사업(D)'!$C:$C, $L$1),
    COUNTIFS('임대사업(E)'!$G:$G, AG$2, '임대사업(E)'!$Q:$Q, $J17, '임대사업(E)'!$C:$C, $L$1),
    COUNTIFS('환경부사업(F)'!$G:$G, AG$2, '환경부사업(F)'!$Q:$Q, $J17, '환경부사업(F)'!$C:$C, $L$1),
    COUNTIFS('프로젝트(G)'!$G:$G, AG$2, '프로젝트(G)'!$Q:$Q, $J17, '프로젝트(G)'!$C:$C, $L$1),
    COUNTIFS('협력사 EPC(H)'!$G:$G, AG$2, '협력사 EPC(H)'!$Q:$Q, $J17, '협력사 EPC(H)'!$C:$C, $L$1),
    COUNTIFS('기타(Z)'!$G:$G, AG$2, '기타(Z)'!$Q:$Q, $J17, '기타(Z)'!$C:$C, $L$1)
  ) = 0,
  "",
  COUNTIFS('발전사업(A)'!$G:$G, AG$2, '발전사업(A)'!$Q:$Q, $J17, '발전사업(A)'!$C:$C, $L$1)
  + COUNTIFS('자가소비(B)'!$G:$G, AG$2, '자가소비(B)'!$Q:$Q, $J17, '자가소비(B)'!$C:$C, $L$1)
  + COUNTIFS('PPA 사업(C)'!$G:$G, AG$2, 'PPA 사업(C)'!$Q:$Q, $J17, 'PPA 사업(C)'!$C:$C, $L$1)
  + COUNTIFS('리스사업(D)'!$G:$G, AG$2, '리스사업(D)'!$Q:$Q, $J17, '리스사업(D)'!$C:$C, $L$1)
  + COUNTIFS('임대사업(E)'!$G:$G, AG$2, '임대사업(E)'!$Q:$Q, $J17, '임대사업(E)'!$C:$C, $L$1)
  + COUNTIFS('환경부사업(F)'!$G:$G, AG$2, '환경부사업(F)'!$Q:$Q, $J17, '환경부사업(F)'!$C:$C, $L$1)
  + COUNTIFS('프로젝트(G)'!$G:$G, AG$2, '프로젝트(G)'!$Q:$Q, $J17, '프로젝트(G)'!$C:$C, $L$1)
  + COUNTIFS('협력사 EPC(H)'!$G:$G, AG$2, '협력사 EPC(H)'!$Q:$Q, $J17, '협력사 EPC(H)'!$C:$C, $L$1)
  + COUNTIFS('기타(Z)'!$G:$G, AG$2, '기타(Z)'!$Q:$Q, $J17, '기타(Z)'!$C:$C, $L$1)
)</f>
        <v>4</v>
      </c>
      <c r="AI17" s="386">
        <f>IF(
  SUM(
    SUMIFS('발전사업(A)'!$I:$I,'발전사업(A)'!$G:$G,AI$2,'발전사업(A)'!$Q:$Q,$J17,'발전사업(A)'!$C:$C,$L$1),
    SUMIFS('자가소비(B)'!$I:$I,'자가소비(B)'!$G:$G,AI$2,'자가소비(B)'!$Q:$Q,$J17,'자가소비(B)'!$C:$C,$L$1),
    SUMIFS('PPA 사업(C)'!$I:$I,'PPA 사업(C)'!$G:$G,AI$2,'PPA 사업(C)'!$Q:$Q,$J17,'PPA 사업(C)'!$C:$C,$L$1),
    SUMIFS('리스사업(D)'!$I:$I,'리스사업(D)'!$G:$G,AI$2,'리스사업(D)'!$Q:$Q,$J17,'리스사업(D)'!$C:$C,$L$1),
    SUMIFS('임대사업(E)'!$I:$I,'임대사업(E)'!$G:$G,AI$2,'임대사업(E)'!$Q:$Q,$J17,'임대사업(E)'!$C:$C,$L$1),
    SUMIFS('환경부사업(F)'!$I:$I,'환경부사업(F)'!$G:$G,AI$2,'환경부사업(F)'!$Q:$Q,$J17,'환경부사업(F)'!$C:$C,$L$1),
    SUMIFS('프로젝트(G)'!$I:$I,'프로젝트(G)'!$G:$G,AI$2,'프로젝트(G)'!$Q:$Q,$J17,'프로젝트(G)'!$C:$C,$L$1),
    SUMIFS('협력사 EPC(H)'!$I:$I,'협력사 EPC(H)'!$G:$G,AI$2,'협력사 EPC(H)'!$Q:$Q,$J17,'협력사 EPC(H)'!$C:$C,$L$1),
    SUMIFS('기타(Z)'!$I:$I,'기타(Z)'!$G:$G,AI$2,'기타(Z)'!$Q:$Q,$J17,'기타(Z)'!$C:$C,$L$1)
  )=0,
  "",
  SUM(
    SUMIFS('발전사업(A)'!$I:$I,'발전사업(A)'!$G:$G,AI$2,'발전사업(A)'!$Q:$Q,$J17,'발전사업(A)'!$C:$C,$L$1),
    SUMIFS('자가소비(B)'!$I:$I,'자가소비(B)'!$G:$G,AI$2,'자가소비(B)'!$Q:$Q,$J17,'자가소비(B)'!$C:$C,$L$1),
    SUMIFS('PPA 사업(C)'!$I:$I,'PPA 사업(C)'!$G:$G,AI$2,'PPA 사업(C)'!$Q:$Q,$J17,'PPA 사업(C)'!$C:$C,$L$1),
    SUMIFS('리스사업(D)'!$I:$I,'리스사업(D)'!$G:$G,AI$2,'리스사업(D)'!$Q:$Q,$J17,'리스사업(D)'!$C:$C,$L$1),
    SUMIFS('임대사업(E)'!$I:$I,'임대사업(E)'!$G:$G,AI$2,'임대사업(E)'!$Q:$Q,$J17,'임대사업(E)'!$C:$C,$L$1),
    SUMIFS('환경부사업(F)'!$I:$I,'환경부사업(F)'!$G:$G,AI$2,'환경부사업(F)'!$Q:$Q,$J17,'환경부사업(F)'!$C:$C,$L$1),
    SUMIFS('프로젝트(G)'!$I:$I,'프로젝트(G)'!$G:$G,AI$2,'프로젝트(G)'!$Q:$Q,$J17,'프로젝트(G)'!$C:$C,$L$1),
    SUMIFS('협력사 EPC(H)'!$I:$I,'협력사 EPC(H)'!$G:$G,AI$2,'협력사 EPC(H)'!$Q:$Q,$J17,'협력사 EPC(H)'!$C:$C,$L$1),
    SUMIFS('기타(Z)'!$I:$I,'기타(Z)'!$G:$G,AI$2,'기타(Z)'!$Q:$Q,$J17,'기타(Z)'!$C:$C,$L$1)
  )
)</f>
        <v>136.74</v>
      </c>
      <c r="AJ17" s="385">
        <f>IF(
  SUM(
    COUNTIFS('발전사업(A)'!$G:$G, AI$2, '발전사업(A)'!$Q:$Q, $J17, '발전사업(A)'!$C:$C, $L$1),
    COUNTIFS('자가소비(B)'!$G:$G, AI$2, '자가소비(B)'!$Q:$Q, $J17, '자가소비(B)'!$C:$C, $L$1),
    COUNTIFS('PPA 사업(C)'!$G:$G, AI$2, 'PPA 사업(C)'!$Q:$Q, $J17, 'PPA 사업(C)'!$C:$C, $L$1),
    COUNTIFS('리스사업(D)'!$G:$G, AI$2, '리스사업(D)'!$Q:$Q, $J17, '리스사업(D)'!$C:$C, $L$1),
    COUNTIFS('임대사업(E)'!$G:$G, AI$2, '임대사업(E)'!$Q:$Q, $J17, '임대사업(E)'!$C:$C, $L$1),
    COUNTIFS('환경부사업(F)'!$G:$G, AI$2, '환경부사업(F)'!$Q:$Q, $J17, '환경부사업(F)'!$C:$C, $L$1),
    COUNTIFS('프로젝트(G)'!$G:$G, AI$2, '프로젝트(G)'!$Q:$Q, $J17, '프로젝트(G)'!$C:$C, $L$1),
    COUNTIFS('협력사 EPC(H)'!$G:$G, AI$2, '협력사 EPC(H)'!$Q:$Q, $J17, '협력사 EPC(H)'!$C:$C, $L$1),
    COUNTIFS('기타(Z)'!$G:$G, AI$2, '기타(Z)'!$Q:$Q, $J17, '기타(Z)'!$C:$C, $L$1)
  ) = 0,
  "",
  COUNTIFS('발전사업(A)'!$G:$G, AI$2, '발전사업(A)'!$Q:$Q, $J17, '발전사업(A)'!$C:$C, $L$1)
  + COUNTIFS('자가소비(B)'!$G:$G, AI$2, '자가소비(B)'!$Q:$Q, $J17, '자가소비(B)'!$C:$C, $L$1)
  + COUNTIFS('PPA 사업(C)'!$G:$G, AI$2, 'PPA 사업(C)'!$Q:$Q, $J17, 'PPA 사업(C)'!$C:$C, $L$1)
  + COUNTIFS('리스사업(D)'!$G:$G, AI$2, '리스사업(D)'!$Q:$Q, $J17, '리스사업(D)'!$C:$C, $L$1)
  + COUNTIFS('임대사업(E)'!$G:$G, AI$2, '임대사업(E)'!$Q:$Q, $J17, '임대사업(E)'!$C:$C, $L$1)
  + COUNTIFS('환경부사업(F)'!$G:$G, AI$2, '환경부사업(F)'!$Q:$Q, $J17, '환경부사업(F)'!$C:$C, $L$1)
  + COUNTIFS('프로젝트(G)'!$G:$G, AI$2, '프로젝트(G)'!$Q:$Q, $J17, '프로젝트(G)'!$C:$C, $L$1)
  + COUNTIFS('협력사 EPC(H)'!$G:$G, AI$2, '협력사 EPC(H)'!$Q:$Q, $J17, '협력사 EPC(H)'!$C:$C, $L$1)
  + COUNTIFS('기타(Z)'!$G:$G, AI$2, '기타(Z)'!$Q:$Q, $J17, '기타(Z)'!$C:$C, $L$1)
)</f>
        <v>2</v>
      </c>
    </row>
    <row r="18" spans="2:36" ht="15" x14ac:dyDescent="0.25">
      <c r="B18" s="202" t="s">
        <v>260</v>
      </c>
      <c r="C18" s="280" t="str">
        <f>IF(
  SUM(
    SUMIFS('발전사업(A)'!I:I, '발전사업(A)'!C:C, $E$1, '발전사업(A)'!G:G, B15, '발전사업(A)'!W:W, B18),
    SUMIFS('자가소비(B)'!I:I, '자가소비(B)'!C:C, $E$1, '자가소비(B)'!G:G, B15, '자가소비(B)'!W:W, B18),
    SUMIFS('PPA 사업(C)'!I:I, 'PPA 사업(C)'!C:C, $E$1, 'PPA 사업(C)'!G:G, B15, 'PPA 사업(C)'!W:W, B18),
    SUMIFS('리스사업(D)'!I:I, '리스사업(D)'!C:C, $E$1, '리스사업(D)'!G:G, B15, '리스사업(D)'!W:W, B18),
    SUMIFS('임대사업(E)'!I:I, '임대사업(E)'!C:C, $E$1, '임대사업(E)'!G:G, B15, '임대사업(E)'!W:W, B18),
    SUMIFS('환경부사업(F)'!I:I, '환경부사업(F)'!C:C, $E$1, '환경부사업(F)'!G:G, B15, '환경부사업(F)'!W:W, B18),
    SUMIFS('프로젝트(G)'!I:I, '프로젝트(G)'!C:C, $E$1, '프로젝트(G)'!G:G, B15, '프로젝트(G)'!W:W, B18),
    SUMIFS('협력사 EPC(H)'!I:I, '협력사 EPC(H)'!C:C, $E$1, '협력사 EPC(H)'!G:G, B15, '협력사 EPC(H)'!W:W, B18),
    SUMIFS('기타(Z)'!I:I, '기타(Z)'!C:C, $E$1, '기타(Z)'!G:G, B15, '기타(Z)'!W:W, B18)
  ) = 0,
  "",
  SUMIFS('발전사업(A)'!I:I, '발전사업(A)'!C:C, $E$1, '발전사업(A)'!G:G, B15, '발전사업(A)'!W:W, B18)
  + SUMIFS('자가소비(B)'!I:I, '자가소비(B)'!C:C, $E$1, '자가소비(B)'!G:G, B15, '자가소비(B)'!W:W, B18)
  + SUMIFS('PPA 사업(C)'!I:I, 'PPA 사업(C)'!C:C, $E$1, 'PPA 사업(C)'!G:G, B15, 'PPA 사업(C)'!W:W, B18)
  + SUMIFS('리스사업(D)'!I:I, '리스사업(D)'!C:C, $E$1, '리스사업(D)'!G:G, B15, '리스사업(D)'!W:W, B18)
  + SUMIFS('임대사업(E)'!I:I, '임대사업(E)'!C:C, $E$1, '임대사업(E)'!G:G, B15, '임대사업(E)'!W:W, B18)
  + SUMIFS('환경부사업(F)'!I:I, '환경부사업(F)'!C:C, $E$1, '환경부사업(F)'!G:G, B15, '환경부사업(F)'!W:W, B18)
  + SUMIFS('프로젝트(G)'!I:I, '프로젝트(G)'!C:C, $E$1, '프로젝트(G)'!G:G, B15, '프로젝트(G)'!W:W, B18)
  + SUMIFS('협력사 EPC(H)'!I:I, '협력사 EPC(H)'!C:C, $E$1, '협력사 EPC(H)'!G:G, B15, '협력사 EPC(H)'!W:W, B18)
  + SUMIFS('기타(Z)'!I:I, '기타(Z)'!C:C, $E$1, '기타(Z)'!G:G, B15, '기타(Z)'!W:W, B18)
)</f>
        <v/>
      </c>
      <c r="D18" s="281" t="str">
        <f>IF(
  COUNTIFS('발전사업(A)'!C:C, $E$1, '발전사업(A)'!G:G, B15, '발전사업(A)'!W:W, B18)
  + COUNTIFS('자가소비(B)'!C:C, $E$1, '자가소비(B)'!G:G, B15, '자가소비(B)'!W:W, B18)
  + COUNTIFS('PPA 사업(C)'!C:C, $E$1, 'PPA 사업(C)'!G:G, B15, 'PPA 사업(C)'!W:W, B18)
  + COUNTIFS('리스사업(D)'!C:C, $E$1, '리스사업(D)'!G:G, B15, '리스사업(D)'!W:W, B18)
  + COUNTIFS('임대사업(E)'!C:C, $E$1, '임대사업(E)'!G:G, B15, '임대사업(E)'!W:W, B18)
  + COUNTIFS('환경부사업(F)'!C:C, $E$1, '환경부사업(F)'!G:G, B15, '환경부사업(F)'!W:W, B18)
  + COUNTIFS('프로젝트(G)'!C:C, $E$1, '프로젝트(G)'!G:G, B15, '프로젝트(G)'!W:W, B18)
  + COUNTIFS('협력사 EPC(H)'!C:C, $E$1, '협력사 EPC(H)'!G:G, B15, '협력사 EPC(H)'!W:W, B18)
  + COUNTIFS('기타(Z)'!C:C, $E$1, '기타(Z)'!G:G, B15, '기타(Z)'!W:W, B18)
  = 0,
  "",
  COUNTIFS('발전사업(A)'!C:C, $E$1, '발전사업(A)'!G:G, B15, '발전사업(A)'!W:W, B18)
  + COUNTIFS('자가소비(B)'!C:C, $E$1, '자가소비(B)'!G:G, B15, '자가소비(B)'!W:W, B18)
  + COUNTIFS('PPA 사업(C)'!C:C, $E$1, 'PPA 사업(C)'!G:G, B15, 'PPA 사업(C)'!W:W, B18)
  + COUNTIFS('리스사업(D)'!C:C, $E$1, '리스사업(D)'!G:G, B15, '리스사업(D)'!W:W, B18)
  + COUNTIFS('임대사업(E)'!C:C, $E$1, '임대사업(E)'!G:G, B15, '임대사업(E)'!W:W, B18)
  + COUNTIFS('환경부사업(F)'!C:C, $E$1, '환경부사업(F)'!G:G, B15, '환경부사업(F)'!W:W, B18)
  + COUNTIFS('프로젝트(G)'!C:C, $E$1, '프로젝트(G)'!G:G, B15, '프로젝트(G)'!W:W, B18)
  + COUNTIFS('협력사 EPC(H)'!C:C, $E$1, '협력사 EPC(H)'!G:G, B15, '협력사 EPC(H)'!W:W, B18)
  + COUNTIFS('기타(Z)'!C:C, $E$1, '기타(Z)'!G:G, B15, '기타(Z)'!W:W, B18)
)</f>
        <v/>
      </c>
      <c r="E18" s="280" t="str">
        <f>IF(
  SUM(
    SUMIFS('발전사업(A)'!I:I, '발전사업(A)'!C:C, $E$1, '발전사업(A)'!G:G, B15, '발전사업(A)'!W:W, B18, '발전사업(A)'!U:U, $C$1),
    SUMIFS('자가소비(B)'!I:I, '자가소비(B)'!C:C, $E$1, '자가소비(B)'!G:G, B15, '자가소비(B)'!W:W, B18, '자가소비(B)'!U:U, $C$1),
    SUMIFS('PPA 사업(C)'!I:I, 'PPA 사업(C)'!C:C, $E$1, 'PPA 사업(C)'!G:G, B15, 'PPA 사업(C)'!W:W, B18, 'PPA 사업(C)'!U:U, $C$1),
    SUMIFS('리스사업(D)'!I:I, '리스사업(D)'!C:C, $E$1, '리스사업(D)'!G:G, B15, '리스사업(D)'!W:W, B18, '리스사업(D)'!U:U, $C$1),
    SUMIFS('임대사업(E)'!I:I, '임대사업(E)'!C:C, $E$1, '임대사업(E)'!G:G, B15, '임대사업(E)'!W:W, B18, '임대사업(E)'!U:U, $C$1),
    SUMIFS('환경부사업(F)'!I:I, '환경부사업(F)'!C:C, $E$1, '환경부사업(F)'!G:G, B15, '환경부사업(F)'!W:W, B18, '환경부사업(F)'!U:U, $C$1),
    SUMIFS('프로젝트(G)'!I:I, '프로젝트(G)'!C:C, $E$1, '프로젝트(G)'!G:G, B15, '프로젝트(G)'!W:W, B18, '프로젝트(G)'!U:U, $C$1),
    SUMIFS('협력사 EPC(H)'!I:I, '협력사 EPC(H)'!C:C, $E$1, '협력사 EPC(H)'!G:G, B15, '협력사 EPC(H)'!W:W, B18, '협력사 EPC(H)'!U:U, $C$1),
    SUMIFS('기타(Z)'!I:I, '기타(Z)'!C:C, $E$1, '기타(Z)'!G:G, B15, '기타(Z)'!W:W, B18, '기타(Z)'!U:U, $C$1)
  ) = 0,
  "",
  SUM(
    SUMIFS('발전사업(A)'!I:I, '발전사업(A)'!C:C, $E$1, '발전사업(A)'!G:G, B15, '발전사업(A)'!W:W, B18, '발전사업(A)'!U:U, $C$1),
    SUMIFS('자가소비(B)'!I:I, '자가소비(B)'!C:C, $E$1, '자가소비(B)'!G:G, B15, '자가소비(B)'!W:W, B18, '자가소비(B)'!U:U, $C$1),
    SUMIFS('PPA 사업(C)'!I:I, 'PPA 사업(C)'!C:C, $E$1, 'PPA 사업(C)'!G:G, B15, 'PPA 사업(C)'!W:W, B18, 'PPA 사업(C)'!U:U, $C$1),
    SUMIFS('리스사업(D)'!I:I, '리스사업(D)'!C:C, $E$1, '리스사업(D)'!G:G, B15, '리스사업(D)'!W:W, B18, '리스사업(D)'!U:U, $C$1),
    SUMIFS('임대사업(E)'!I:I, '임대사업(E)'!C:C, $E$1, '임대사업(E)'!G:G, B15, '임대사업(E)'!W:W, B18, '임대사업(E)'!U:U, $C$1),
    SUMIFS('환경부사업(F)'!I:I, '환경부사업(F)'!C:C, $E$1, '환경부사업(F)'!G:G, B15, '환경부사업(F)'!W:W, B18, '환경부사업(F)'!U:U, $C$1),
    SUMIFS('프로젝트(G)'!I:I, '프로젝트(G)'!C:C, $E$1, '프로젝트(G)'!G:G, B15, '프로젝트(G)'!W:W, B18, '프로젝트(G)'!U:U, $C$1),
    SUMIFS('협력사 EPC(H)'!I:I, '협력사 EPC(H)'!C:C, $E$1, '협력사 EPC(H)'!G:G, B15, '협력사 EPC(H)'!W:W, B18, '협력사 EPC(H)'!U:U, $C$1),
    SUMIFS('기타(Z)'!I:I, '기타(Z)'!C:C, $E$1, '기타(Z)'!G:G, B15, '기타(Z)'!W:W, B18, '기타(Z)'!U:U, $C$1)
  )
)</f>
        <v/>
      </c>
      <c r="F18" s="281" t="str">
        <f>IF(
  SUM(
    COUNTIFS('발전사업(A)'!C:C, $E$1, '발전사업(A)'!G:G, B15, '발전사업(A)'!W:W, B18, '발전사업(A)'!U:U, $C$1),
    COUNTIFS('자가소비(B)'!C:C, $E$1, '자가소비(B)'!G:G, B15, '자가소비(B)'!W:W, B18, '자가소비(B)'!U:U, $C$1),
    COUNTIFS('PPA 사업(C)'!C:C, $E$1, 'PPA 사업(C)'!G:G, B15, 'PPA 사업(C)'!W:W, B18, 'PPA 사업(C)'!U:U, $C$1),
    COUNTIFS('리스사업(D)'!C:C, $E$1, '리스사업(D)'!G:G, B15, '리스사업(D)'!W:W, B18, '리스사업(D)'!U:U, $C$1),
    COUNTIFS('임대사업(E)'!C:C, $E$1, '임대사업(E)'!G:G, B15, '임대사업(E)'!W:W, B18, '임대사업(E)'!U:U, $C$1),
    COUNTIFS('환경부사업(F)'!C:C, $E$1, '환경부사업(F)'!G:G, B15, '환경부사업(F)'!W:W, B18, '환경부사업(F)'!U:U, $C$1),
    COUNTIFS('프로젝트(G)'!C:C, $E$1, '프로젝트(G)'!G:G, B15, '프로젝트(G)'!W:W, B18, '프로젝트(G)'!U:U, $C$1),
    COUNTIFS('협력사 EPC(H)'!C:C, $E$1, '협력사 EPC(H)'!G:G, B15, '협력사 EPC(H)'!W:W, B18, '협력사 EPC(H)'!U:U, $C$1),
    COUNTIFS('기타(Z)'!C:C, $E$1, '기타(Z)'!G:G, B15, '기타(Z)'!W:W, B18, '기타(Z)'!U:U, $C$1)
  ) = 0,
  "",
  SUM(
    COUNTIFS('발전사업(A)'!C:C, $E$1, '발전사업(A)'!G:G, B15, '발전사업(A)'!W:W, B18, '발전사업(A)'!U:U, $C$1),
    COUNTIFS('자가소비(B)'!C:C, $E$1, '자가소비(B)'!G:G, B15, '자가소비(B)'!W:W, B18, '자가소비(B)'!U:U, $C$1),
    COUNTIFS('PPA 사업(C)'!C:C, $E$1, 'PPA 사업(C)'!G:G, B15, 'PPA 사업(C)'!W:W, B18, 'PPA 사업(C)'!U:U, $C$1),
    COUNTIFS('리스사업(D)'!C:C, $E$1, '리스사업(D)'!G:G, B15, '리스사업(D)'!W:W, B18, '리스사업(D)'!U:U, $C$1),
    COUNTIFS('임대사업(E)'!C:C, $E$1, '임대사업(E)'!G:G, B15, '임대사업(E)'!W:W, B18, '임대사업(E)'!U:U, $C$1),
    COUNTIFS('환경부사업(F)'!C:C, $E$1, '환경부사업(F)'!G:G, B15, '환경부사업(F)'!W:W, B18, '환경부사업(F)'!U:U, $C$1),
    COUNTIFS('프로젝트(G)'!C:C, $E$1, '프로젝트(G)'!G:G, B15, '프로젝트(G)'!W:W, B18, '프로젝트(G)'!U:U, $C$1),
    COUNTIFS('협력사 EPC(H)'!C:C, $E$1, '협력사 EPC(H)'!G:G, B15, '협력사 EPC(H)'!W:W, B18, '협력사 EPC(H)'!U:U, $C$1),
    COUNTIFS('기타(Z)'!C:C, $E$1, '기타(Z)'!G:G, B15, '기타(Z)'!W:W, B18, '기타(Z)'!U:U, $C$1)
  )
)</f>
        <v/>
      </c>
      <c r="G18" s="280" t="str">
        <f>IF(
  SUM(
    SUMIFS('발전사업(A)'!I:I, '발전사업(A)'!C:C, $E$1, '발전사업(A)'!G:G, B15, '발전사업(A)'!W:W, B18, '발전사업(A)'!U:U, $D$1),
    SUMIFS('자가소비(B)'!I:I, '자가소비(B)'!C:C, $E$1, '자가소비(B)'!G:G, B15, '자가소비(B)'!W:W, B18, '자가소비(B)'!U:U, $D$1),
    SUMIFS('PPA 사업(C)'!I:I, 'PPA 사업(C)'!C:C, $E$1, 'PPA 사업(C)'!G:G, B15, 'PPA 사업(C)'!W:W, B18, 'PPA 사업(C)'!U:U, $D$1),
    SUMIFS('리스사업(D)'!I:I, '리스사업(D)'!C:C, $E$1, '리스사업(D)'!G:G, B15, '리스사업(D)'!W:W, B18, '리스사업(D)'!U:U, $D$1),
    SUMIFS('임대사업(E)'!I:I, '임대사업(E)'!C:C, $E$1, '임대사업(E)'!G:G, B15, '임대사업(E)'!W:W, B18, '임대사업(E)'!U:U, $D$1),
    SUMIFS('환경부사업(F)'!I:I, '환경부사업(F)'!C:C, $E$1, '환경부사업(F)'!G:G, B15, '환경부사업(F)'!W:W, B18, '환경부사업(F)'!U:U, $D$1),
    SUMIFS('프로젝트(G)'!I:I, '프로젝트(G)'!C:C, $E$1, '프로젝트(G)'!G:G, B15, '프로젝트(G)'!W:W, B18, '프로젝트(G)'!U:U, $D$1),
    SUMIFS('협력사 EPC(H)'!I:I, '협력사 EPC(H)'!C:C, $E$1, '협력사 EPC(H)'!G:G, B15, '협력사 EPC(H)'!W:W, B18, '협력사 EPC(H)'!U:U, $D$1),
    SUMIFS('기타(Z)'!I:I, '기타(Z)'!C:C, $E$1, '기타(Z)'!G:G, B15, '기타(Z)'!W:W, B18, '기타(Z)'!U:U, $D$1)
  ) = 0,
  "",
  SUM(
    SUMIFS('발전사업(A)'!I:I, '발전사업(A)'!C:C, $E$1, '발전사업(A)'!G:G, B15, '발전사업(A)'!W:W, B18, '발전사업(A)'!U:U, $D$1),
    SUMIFS('자가소비(B)'!I:I, '자가소비(B)'!C:C, $E$1, '자가소비(B)'!G:G, B15, '자가소비(B)'!W:W, B18, '자가소비(B)'!U:U, $D$1),
    SUMIFS('PPA 사업(C)'!I:I, 'PPA 사업(C)'!C:C, $E$1, 'PPA 사업(C)'!G:G, B15, 'PPA 사업(C)'!W:W, B18, 'PPA 사업(C)'!U:U, $D$1),
    SUMIFS('리스사업(D)'!I:I, '리스사업(D)'!C:C, $E$1, '리스사업(D)'!G:G, B15, '리스사업(D)'!W:W, B18, '리스사업(D)'!U:U, $D$1),
    SUMIFS('임대사업(E)'!I:I, '임대사업(E)'!C:C, $E$1, '임대사업(E)'!G:G, B15, '임대사업(E)'!W:W, B18, '임대사업(E)'!U:U, $D$1),
    SUMIFS('환경부사업(F)'!I:I, '환경부사업(F)'!C:C, $E$1, '환경부사업(F)'!G:G, B15, '환경부사업(F)'!W:W, B18, '환경부사업(F)'!U:U, $D$1),
    SUMIFS('프로젝트(G)'!I:I, '프로젝트(G)'!C:C, $E$1, '프로젝트(G)'!G:G, B15, '프로젝트(G)'!W:W, B18, '프로젝트(G)'!U:U, $D$1),
    SUMIFS('협력사 EPC(H)'!I:I, '협력사 EPC(H)'!C:C, $E$1, '협력사 EPC(H)'!G:G, B15, '협력사 EPC(H)'!W:W, B18, '협력사 EPC(H)'!U:U, $D$1),
    SUMIFS('기타(Z)'!I:I, '기타(Z)'!C:C, $E$1, '기타(Z)'!G:G, B15, '기타(Z)'!W:W, B18, '기타(Z)'!U:U, $D$1)
  )
)</f>
        <v/>
      </c>
      <c r="H18" s="281" t="str">
        <f>IF(
  (
    COUNTIFS('발전사업(A)'!C:C, $E$1, '발전사업(A)'!G:G, B15, '발전사업(A)'!W:W, B18, '발전사업(A)'!U:U, $D$1)
    + COUNTIFS('자가소비(B)'!C:C, $E$1, '자가소비(B)'!G:G, B15, '자가소비(B)'!W:W, B18, '자가소비(B)'!U:U, $D$1)
    + COUNTIFS('PPA 사업(C)'!C:C, $E$1, 'PPA 사업(C)'!G:G, B15, 'PPA 사업(C)'!W:W, B18, 'PPA 사업(C)'!U:U, $D$1)
    + COUNTIFS('리스사업(D)'!C:C, $E$1, '리스사업(D)'!G:G, B15, '리스사업(D)'!W:W, B18, '리스사업(D)'!U:U, $D$1)
    + COUNTIFS('임대사업(E)'!C:C, $E$1, '임대사업(E)'!G:G, B15, '임대사업(E)'!W:W, B18, '임대사업(E)'!U:U, $D$1)
    + COUNTIFS('환경부사업(F)'!C:C, $E$1, '환경부사업(F)'!G:G, B15, '환경부사업(F)'!W:W, B18, '환경부사업(F)'!U:U, $D$1)
    + COUNTIFS('프로젝트(G)'!C:C, $E$1, '프로젝트(G)'!G:G, B15, '프로젝트(G)'!W:W, B18, '프로젝트(G)'!U:U, $D$1)
    + COUNTIFS('협력사 EPC(H)'!C:C, $E$1, '협력사 EPC(H)'!G:G, B15, '협력사 EPC(H)'!W:W, B18, '협력사 EPC(H)'!U:U, $D$1)
    + COUNTIFS('기타(Z)'!C:C, $E$1, '기타(Z)'!G:G, B15, '기타(Z)'!W:W, B18, '기타(Z)'!U:U, $D$1)
  ) = 0,
  "",
  COUNTIFS('발전사업(A)'!C:C, $E$1, '발전사업(A)'!G:G, B15, '발전사업(A)'!W:W, B18, '발전사업(A)'!U:U, $D$1)
  + COUNTIFS('자가소비(B)'!C:C, $E$1, '자가소비(B)'!G:G, B15, '자가소비(B)'!W:W, B18, '자가소비(B)'!U:U, $D$1)
  + COUNTIFS('PPA 사업(C)'!C:C, $E$1, 'PPA 사업(C)'!G:G, B15, 'PPA 사업(C)'!W:W, B18, 'PPA 사업(C)'!U:U, $D$1)
  + COUNTIFS('리스사업(D)'!C:C, $E$1, '리스사업(D)'!G:G, B15, '리스사업(D)'!W:W, B18, '리스사업(D)'!U:U, $D$1)
  + COUNTIFS('임대사업(E)'!C:C, $E$1, '임대사업(E)'!G:G, B15, '임대사업(E)'!W:W, B18, '임대사업(E)'!U:U, $D$1)
  + COUNTIFS('환경부사업(F)'!C:C, $E$1, '환경부사업(F)'!G:G, B15, '환경부사업(F)'!W:W, B18, '환경부사업(F)'!U:U, $D$1)
  + COUNTIFS('프로젝트(G)'!C:C, $E$1, '프로젝트(G)'!G:G, B15, '프로젝트(G)'!W:W, B18, '프로젝트(G)'!U:U, $D$1)
  + COUNTIFS('협력사 EPC(H)'!C:C, $E$1, '협력사 EPC(H)'!G:G, B15, '협력사 EPC(H)'!W:W, B18, '협력사 EPC(H)'!U:U, $D$1)
  + COUNTIFS('기타(Z)'!C:C, $E$1, '기타(Z)'!G:G, B15, '기타(Z)'!W:W, B18, '기타(Z)'!U:U, $D$1)
)</f>
        <v/>
      </c>
      <c r="J18" s="391" t="s">
        <v>2137</v>
      </c>
      <c r="K18" s="374">
        <f t="shared" si="7"/>
        <v>223.785</v>
      </c>
      <c r="L18" s="368">
        <f t="shared" si="8"/>
        <v>4</v>
      </c>
      <c r="M18" s="386">
        <f>IF(
  SUM(
    SUMIFS('발전사업(A)'!$I:$I,'발전사업(A)'!$G:$G,M$2,'발전사업(A)'!$Q:$Q,$J18,'발전사업(A)'!$C:$C,$L$1),
    SUMIFS('자가소비(B)'!$I:$I,'자가소비(B)'!$G:$G,M$2,'자가소비(B)'!$Q:$Q,$J18,'자가소비(B)'!$C:$C,$L$1),
    SUMIFS('PPA 사업(C)'!$I:$I,'PPA 사업(C)'!$G:$G,M$2,'PPA 사업(C)'!$Q:$Q,$J18,'PPA 사업(C)'!$C:$C,$L$1),
    SUMIFS('리스사업(D)'!$I:$I,'리스사업(D)'!$G:$G,M$2,'리스사업(D)'!$Q:$Q,$J18,'리스사업(D)'!$C:$C,$L$1),
    SUMIFS('임대사업(E)'!$I:$I,'임대사업(E)'!$G:$G,M$2,'임대사업(E)'!$Q:$Q,$J18,'임대사업(E)'!$C:$C,$L$1),
    SUMIFS('환경부사업(F)'!$I:$I,'환경부사업(F)'!$G:$G,M$2,'환경부사업(F)'!$Q:$Q,$J18,'환경부사업(F)'!$C:$C,$L$1),
    SUMIFS('프로젝트(G)'!$I:$I,'프로젝트(G)'!$G:$G,M$2,'프로젝트(G)'!$Q:$Q,$J18,'프로젝트(G)'!$C:$C,$L$1),
    SUMIFS('협력사 EPC(H)'!$I:$I,'협력사 EPC(H)'!$G:$G,M$2,'협력사 EPC(H)'!$Q:$Q,$J18,'협력사 EPC(H)'!$C:$C,$L$1),
    SUMIFS('기타(Z)'!$I:$I,'기타(Z)'!$G:$G,M$2,'기타(Z)'!$Q:$Q,$J18,'기타(Z)'!$C:$C,$L$1)
  )=0,
  "",
  SUM(
    SUMIFS('발전사업(A)'!$I:$I,'발전사업(A)'!$G:$G,M$2,'발전사업(A)'!$Q:$Q,$J18,'발전사업(A)'!$C:$C,$L$1),
    SUMIFS('자가소비(B)'!$I:$I,'자가소비(B)'!$G:$G,M$2,'자가소비(B)'!$Q:$Q,$J18,'자가소비(B)'!$C:$C,$L$1),
    SUMIFS('PPA 사업(C)'!$I:$I,'PPA 사업(C)'!$G:$G,M$2,'PPA 사업(C)'!$Q:$Q,$J18,'PPA 사업(C)'!$C:$C,$L$1),
    SUMIFS('리스사업(D)'!$I:$I,'리스사업(D)'!$G:$G,M$2,'리스사업(D)'!$Q:$Q,$J18,'리스사업(D)'!$C:$C,$L$1),
    SUMIFS('임대사업(E)'!$I:$I,'임대사업(E)'!$G:$G,M$2,'임대사업(E)'!$Q:$Q,$J18,'임대사업(E)'!$C:$C,$L$1),
    SUMIFS('환경부사업(F)'!$I:$I,'환경부사업(F)'!$G:$G,M$2,'환경부사업(F)'!$Q:$Q,$J18,'환경부사업(F)'!$C:$C,$L$1),
    SUMIFS('프로젝트(G)'!$I:$I,'프로젝트(G)'!$G:$G,M$2,'프로젝트(G)'!$Q:$Q,$J18,'프로젝트(G)'!$C:$C,$L$1),
    SUMIFS('협력사 EPC(H)'!$I:$I,'협력사 EPC(H)'!$G:$G,M$2,'협력사 EPC(H)'!$Q:$Q,$J18,'협력사 EPC(H)'!$C:$C,$L$1),
    SUMIFS('기타(Z)'!$I:$I,'기타(Z)'!$G:$G,M$2,'기타(Z)'!$Q:$Q,$J18,'기타(Z)'!$C:$C,$L$1)
  )
)</f>
        <v>34.29</v>
      </c>
      <c r="N18" s="387">
        <f>IF(
  SUM(
    COUNTIFS('발전사업(A)'!$G:$G, M$2, '발전사업(A)'!$Q:$Q, $J18, '발전사업(A)'!$C:$C, $L$1),
    COUNTIFS('자가소비(B)'!$G:$G, M$2, '자가소비(B)'!$Q:$Q, $J18, '자가소비(B)'!$C:$C, $L$1),
    COUNTIFS('PPA 사업(C)'!$G:$G, M$2, 'PPA 사업(C)'!$Q:$Q, $J18, 'PPA 사업(C)'!$C:$C, $L$1),
    COUNTIFS('리스사업(D)'!$G:$G, M$2, '리스사업(D)'!$Q:$Q, $J18, '리스사업(D)'!$C:$C, $L$1),
    COUNTIFS('임대사업(E)'!$G:$G, M$2, '임대사업(E)'!$Q:$Q, $J18, '임대사업(E)'!$C:$C, $L$1),
    COUNTIFS('환경부사업(F)'!$G:$G, M$2, '환경부사업(F)'!$Q:$Q, $J18, '환경부사업(F)'!$C:$C, $L$1),
    COUNTIFS('프로젝트(G)'!$G:$G, M$2, '프로젝트(G)'!$Q:$Q, $J18, '프로젝트(G)'!$C:$C, $L$1),
    COUNTIFS('협력사 EPC(H)'!$G:$G, M$2, '협력사 EPC(H)'!$Q:$Q, $J18, '협력사 EPC(H)'!$C:$C, $L$1),
    COUNTIFS('기타(Z)'!$G:$G, M$2, '기타(Z)'!$Q:$Q, $J18, '기타(Z)'!$C:$C, $L$1)
  ) = 0,
  "",
  COUNTIFS('발전사업(A)'!$G:$G, M$2, '발전사업(A)'!$Q:$Q, $J18, '발전사업(A)'!$C:$C, $L$1)
  + COUNTIFS('자가소비(B)'!$G:$G, M$2, '자가소비(B)'!$Q:$Q, $J18, '자가소비(B)'!$C:$C, $L$1)
  + COUNTIFS('PPA 사업(C)'!$G:$G, M$2, 'PPA 사업(C)'!$Q:$Q, $J18, 'PPA 사업(C)'!$C:$C, $L$1)
  + COUNTIFS('리스사업(D)'!$G:$G, M$2, '리스사업(D)'!$Q:$Q, $J18, '리스사업(D)'!$C:$C, $L$1)
  + COUNTIFS('임대사업(E)'!$G:$G, M$2, '임대사업(E)'!$Q:$Q, $J18, '임대사업(E)'!$C:$C, $L$1)
  + COUNTIFS('환경부사업(F)'!$G:$G, M$2, '환경부사업(F)'!$Q:$Q, $J18, '환경부사업(F)'!$C:$C, $L$1)
  + COUNTIFS('프로젝트(G)'!$G:$G, M$2, '프로젝트(G)'!$Q:$Q, $J18, '프로젝트(G)'!$C:$C, $L$1)
  + COUNTIFS('협력사 EPC(H)'!$G:$G, M$2, '협력사 EPC(H)'!$Q:$Q, $J18, '협력사 EPC(H)'!$C:$C, $L$1)
  + COUNTIFS('기타(Z)'!$G:$G, M$2, '기타(Z)'!$Q:$Q, $J18, '기타(Z)'!$C:$C, $L$1)
)</f>
        <v>1</v>
      </c>
      <c r="O18" s="386" t="str">
        <f>IF(
  SUM(
    SUMIFS('발전사업(A)'!$I:$I,'발전사업(A)'!$G:$G,O$2,'발전사업(A)'!$Q:$Q,$J18,'발전사업(A)'!$C:$C,$L$1),
    SUMIFS('자가소비(B)'!$I:$I,'자가소비(B)'!$G:$G,O$2,'자가소비(B)'!$Q:$Q,$J18,'자가소비(B)'!$C:$C,$L$1),
    SUMIFS('PPA 사업(C)'!$I:$I,'PPA 사업(C)'!$G:$G,O$2,'PPA 사업(C)'!$Q:$Q,$J18,'PPA 사업(C)'!$C:$C,$L$1),
    SUMIFS('리스사업(D)'!$I:$I,'리스사업(D)'!$G:$G,O$2,'리스사업(D)'!$Q:$Q,$J18,'리스사업(D)'!$C:$C,$L$1),
    SUMIFS('임대사업(E)'!$I:$I,'임대사업(E)'!$G:$G,O$2,'임대사업(E)'!$Q:$Q,$J18,'임대사업(E)'!$C:$C,$L$1),
    SUMIFS('환경부사업(F)'!$I:$I,'환경부사업(F)'!$G:$G,O$2,'환경부사업(F)'!$Q:$Q,$J18,'환경부사업(F)'!$C:$C,$L$1),
    SUMIFS('프로젝트(G)'!$I:$I,'프로젝트(G)'!$G:$G,O$2,'프로젝트(G)'!$Q:$Q,$J18,'프로젝트(G)'!$C:$C,$L$1),
    SUMIFS('협력사 EPC(H)'!$I:$I,'협력사 EPC(H)'!$G:$G,O$2,'협력사 EPC(H)'!$Q:$Q,$J18,'협력사 EPC(H)'!$C:$C,$L$1),
    SUMIFS('기타(Z)'!$I:$I,'기타(Z)'!$G:$G,O$2,'기타(Z)'!$Q:$Q,$J18,'기타(Z)'!$C:$C,$L$1)
  )=0,
  "",
  SUM(
    SUMIFS('발전사업(A)'!$I:$I,'발전사업(A)'!$G:$G,O$2,'발전사업(A)'!$Q:$Q,$J18,'발전사업(A)'!$C:$C,$L$1),
    SUMIFS('자가소비(B)'!$I:$I,'자가소비(B)'!$G:$G,O$2,'자가소비(B)'!$Q:$Q,$J18,'자가소비(B)'!$C:$C,$L$1),
    SUMIFS('PPA 사업(C)'!$I:$I,'PPA 사업(C)'!$G:$G,O$2,'PPA 사업(C)'!$Q:$Q,$J18,'PPA 사업(C)'!$C:$C,$L$1),
    SUMIFS('리스사업(D)'!$I:$I,'리스사업(D)'!$G:$G,O$2,'리스사업(D)'!$Q:$Q,$J18,'리스사업(D)'!$C:$C,$L$1),
    SUMIFS('임대사업(E)'!$I:$I,'임대사업(E)'!$G:$G,O$2,'임대사업(E)'!$Q:$Q,$J18,'임대사업(E)'!$C:$C,$L$1),
    SUMIFS('환경부사업(F)'!$I:$I,'환경부사업(F)'!$G:$G,O$2,'환경부사업(F)'!$Q:$Q,$J18,'환경부사업(F)'!$C:$C,$L$1),
    SUMIFS('프로젝트(G)'!$I:$I,'프로젝트(G)'!$G:$G,O$2,'프로젝트(G)'!$Q:$Q,$J18,'프로젝트(G)'!$C:$C,$L$1),
    SUMIFS('협력사 EPC(H)'!$I:$I,'협력사 EPC(H)'!$G:$G,O$2,'협력사 EPC(H)'!$Q:$Q,$J18,'협력사 EPC(H)'!$C:$C,$L$1),
    SUMIFS('기타(Z)'!$I:$I,'기타(Z)'!$G:$G,O$2,'기타(Z)'!$Q:$Q,$J18,'기타(Z)'!$C:$C,$L$1)
  )
)</f>
        <v/>
      </c>
      <c r="P18" s="387" t="str">
        <f>IF(
  SUM(
    COUNTIFS('발전사업(A)'!$G:$G, O$2, '발전사업(A)'!$Q:$Q, $J18, '발전사업(A)'!$C:$C, $L$1),
    COUNTIFS('자가소비(B)'!$G:$G, O$2, '자가소비(B)'!$Q:$Q, $J18, '자가소비(B)'!$C:$C, $L$1),
    COUNTIFS('PPA 사업(C)'!$G:$G, O$2, 'PPA 사업(C)'!$Q:$Q, $J18, 'PPA 사업(C)'!$C:$C, $L$1),
    COUNTIFS('리스사업(D)'!$G:$G, O$2, '리스사업(D)'!$Q:$Q, $J18, '리스사업(D)'!$C:$C, $L$1),
    COUNTIFS('임대사업(E)'!$G:$G, O$2, '임대사업(E)'!$Q:$Q, $J18, '임대사업(E)'!$C:$C, $L$1),
    COUNTIFS('환경부사업(F)'!$G:$G, O$2, '환경부사업(F)'!$Q:$Q, $J18, '환경부사업(F)'!$C:$C, $L$1),
    COUNTIFS('프로젝트(G)'!$G:$G, O$2, '프로젝트(G)'!$Q:$Q, $J18, '프로젝트(G)'!$C:$C, $L$1),
    COUNTIFS('협력사 EPC(H)'!$G:$G, O$2, '협력사 EPC(H)'!$Q:$Q, $J18, '협력사 EPC(H)'!$C:$C, $L$1),
    COUNTIFS('기타(Z)'!$G:$G, O$2, '기타(Z)'!$Q:$Q, $J18, '기타(Z)'!$C:$C, $L$1)
  ) = 0,
  "",
  COUNTIFS('발전사업(A)'!$G:$G, O$2, '발전사업(A)'!$Q:$Q, $J18, '발전사업(A)'!$C:$C, $L$1)
  + COUNTIFS('자가소비(B)'!$G:$G, O$2, '자가소비(B)'!$Q:$Q, $J18, '자가소비(B)'!$C:$C, $L$1)
  + COUNTIFS('PPA 사업(C)'!$G:$G, O$2, 'PPA 사업(C)'!$Q:$Q, $J18, 'PPA 사업(C)'!$C:$C, $L$1)
  + COUNTIFS('리스사업(D)'!$G:$G, O$2, '리스사업(D)'!$Q:$Q, $J18, '리스사업(D)'!$C:$C, $L$1)
  + COUNTIFS('임대사업(E)'!$G:$G, O$2, '임대사업(E)'!$Q:$Q, $J18, '임대사업(E)'!$C:$C, $L$1)
  + COUNTIFS('환경부사업(F)'!$G:$G, O$2, '환경부사업(F)'!$Q:$Q, $J18, '환경부사업(F)'!$C:$C, $L$1)
  + COUNTIFS('프로젝트(G)'!$G:$G, O$2, '프로젝트(G)'!$Q:$Q, $J18, '프로젝트(G)'!$C:$C, $L$1)
  + COUNTIFS('협력사 EPC(H)'!$G:$G, O$2, '협력사 EPC(H)'!$Q:$Q, $J18, '협력사 EPC(H)'!$C:$C, $L$1)
  + COUNTIFS('기타(Z)'!$G:$G, O$2, '기타(Z)'!$Q:$Q, $J18, '기타(Z)'!$C:$C, $L$1)
)</f>
        <v/>
      </c>
      <c r="Q18" s="386" t="str">
        <f>IF(
  SUM(
    SUMIFS('발전사업(A)'!$I:$I,'발전사업(A)'!$G:$G,Q$2,'발전사업(A)'!$Q:$Q,$J18,'발전사업(A)'!$C:$C,$L$1),
    SUMIFS('자가소비(B)'!$I:$I,'자가소비(B)'!$G:$G,Q$2,'자가소비(B)'!$Q:$Q,$J18,'자가소비(B)'!$C:$C,$L$1),
    SUMIFS('PPA 사업(C)'!$I:$I,'PPA 사업(C)'!$G:$G,Q$2,'PPA 사업(C)'!$Q:$Q,$J18,'PPA 사업(C)'!$C:$C,$L$1),
    SUMIFS('리스사업(D)'!$I:$I,'리스사업(D)'!$G:$G,Q$2,'리스사업(D)'!$Q:$Q,$J18,'리스사업(D)'!$C:$C,$L$1),
    SUMIFS('임대사업(E)'!$I:$I,'임대사업(E)'!$G:$G,Q$2,'임대사업(E)'!$Q:$Q,$J18,'임대사업(E)'!$C:$C,$L$1),
    SUMIFS('환경부사업(F)'!$I:$I,'환경부사업(F)'!$G:$G,Q$2,'환경부사업(F)'!$Q:$Q,$J18,'환경부사업(F)'!$C:$C,$L$1),
    SUMIFS('프로젝트(G)'!$I:$I,'프로젝트(G)'!$G:$G,Q$2,'프로젝트(G)'!$Q:$Q,$J18,'프로젝트(G)'!$C:$C,$L$1),
    SUMIFS('협력사 EPC(H)'!$I:$I,'협력사 EPC(H)'!$G:$G,Q$2,'협력사 EPC(H)'!$Q:$Q,$J18,'협력사 EPC(H)'!$C:$C,$L$1),
    SUMIFS('기타(Z)'!$I:$I,'기타(Z)'!$G:$G,Q$2,'기타(Z)'!$Q:$Q,$J18,'기타(Z)'!$C:$C,$L$1)
  )=0,
  "",
  SUM(
    SUMIFS('발전사업(A)'!$I:$I,'발전사업(A)'!$G:$G,Q$2,'발전사업(A)'!$Q:$Q,$J18,'발전사업(A)'!$C:$C,$L$1),
    SUMIFS('자가소비(B)'!$I:$I,'자가소비(B)'!$G:$G,Q$2,'자가소비(B)'!$Q:$Q,$J18,'자가소비(B)'!$C:$C,$L$1),
    SUMIFS('PPA 사업(C)'!$I:$I,'PPA 사업(C)'!$G:$G,Q$2,'PPA 사업(C)'!$Q:$Q,$J18,'PPA 사업(C)'!$C:$C,$L$1),
    SUMIFS('리스사업(D)'!$I:$I,'리스사업(D)'!$G:$G,Q$2,'리스사업(D)'!$Q:$Q,$J18,'리스사업(D)'!$C:$C,$L$1),
    SUMIFS('임대사업(E)'!$I:$I,'임대사업(E)'!$G:$G,Q$2,'임대사업(E)'!$Q:$Q,$J18,'임대사업(E)'!$C:$C,$L$1),
    SUMIFS('환경부사업(F)'!$I:$I,'환경부사업(F)'!$G:$G,Q$2,'환경부사업(F)'!$Q:$Q,$J18,'환경부사업(F)'!$C:$C,$L$1),
    SUMIFS('프로젝트(G)'!$I:$I,'프로젝트(G)'!$G:$G,Q$2,'프로젝트(G)'!$Q:$Q,$J18,'프로젝트(G)'!$C:$C,$L$1),
    SUMIFS('협력사 EPC(H)'!$I:$I,'협력사 EPC(H)'!$G:$G,Q$2,'협력사 EPC(H)'!$Q:$Q,$J18,'협력사 EPC(H)'!$C:$C,$L$1),
    SUMIFS('기타(Z)'!$I:$I,'기타(Z)'!$G:$G,Q$2,'기타(Z)'!$Q:$Q,$J18,'기타(Z)'!$C:$C,$L$1)
  )
)</f>
        <v/>
      </c>
      <c r="R18" s="387" t="str">
        <f>IF(
  SUM(
    COUNTIFS('발전사업(A)'!$G:$G, Q$2, '발전사업(A)'!$Q:$Q, $J18, '발전사업(A)'!$C:$C, $L$1),
    COUNTIFS('자가소비(B)'!$G:$G, Q$2, '자가소비(B)'!$Q:$Q, $J18, '자가소비(B)'!$C:$C, $L$1),
    COUNTIFS('PPA 사업(C)'!$G:$G, Q$2, 'PPA 사업(C)'!$Q:$Q, $J18, 'PPA 사업(C)'!$C:$C, $L$1),
    COUNTIFS('리스사업(D)'!$G:$G, Q$2, '리스사업(D)'!$Q:$Q, $J18, '리스사업(D)'!$C:$C, $L$1),
    COUNTIFS('임대사업(E)'!$G:$G, Q$2, '임대사업(E)'!$Q:$Q, $J18, '임대사업(E)'!$C:$C, $L$1),
    COUNTIFS('환경부사업(F)'!$G:$G, Q$2, '환경부사업(F)'!$Q:$Q, $J18, '환경부사업(F)'!$C:$C, $L$1),
    COUNTIFS('프로젝트(G)'!$G:$G, Q$2, '프로젝트(G)'!$Q:$Q, $J18, '프로젝트(G)'!$C:$C, $L$1),
    COUNTIFS('협력사 EPC(H)'!$G:$G, Q$2, '협력사 EPC(H)'!$Q:$Q, $J18, '협력사 EPC(H)'!$C:$C, $L$1),
    COUNTIFS('기타(Z)'!$G:$G, Q$2, '기타(Z)'!$Q:$Q, $J18, '기타(Z)'!$C:$C, $L$1)
  ) = 0,
  "",
  COUNTIFS('발전사업(A)'!$G:$G, Q$2, '발전사업(A)'!$Q:$Q, $J18, '발전사업(A)'!$C:$C, $L$1)
  + COUNTIFS('자가소비(B)'!$G:$G, Q$2, '자가소비(B)'!$Q:$Q, $J18, '자가소비(B)'!$C:$C, $L$1)
  + COUNTIFS('PPA 사업(C)'!$G:$G, Q$2, 'PPA 사업(C)'!$Q:$Q, $J18, 'PPA 사업(C)'!$C:$C, $L$1)
  + COUNTIFS('리스사업(D)'!$G:$G, Q$2, '리스사업(D)'!$Q:$Q, $J18, '리스사업(D)'!$C:$C, $L$1)
  + COUNTIFS('임대사업(E)'!$G:$G, Q$2, '임대사업(E)'!$Q:$Q, $J18, '임대사업(E)'!$C:$C, $L$1)
  + COUNTIFS('환경부사업(F)'!$G:$G, Q$2, '환경부사업(F)'!$Q:$Q, $J18, '환경부사업(F)'!$C:$C, $L$1)
  + COUNTIFS('프로젝트(G)'!$G:$G, Q$2, '프로젝트(G)'!$Q:$Q, $J18, '프로젝트(G)'!$C:$C, $L$1)
  + COUNTIFS('협력사 EPC(H)'!$G:$G, Q$2, '협력사 EPC(H)'!$Q:$Q, $J18, '협력사 EPC(H)'!$C:$C, $L$1)
  + COUNTIFS('기타(Z)'!$G:$G, Q$2, '기타(Z)'!$Q:$Q, $J18, '기타(Z)'!$C:$C, $L$1)
)</f>
        <v/>
      </c>
      <c r="S18" s="386">
        <f>IF(
  SUM(
    SUMIFS('발전사업(A)'!$I:$I,'발전사업(A)'!$G:$G,S$2,'발전사업(A)'!$Q:$Q,$J18,'발전사업(A)'!$C:$C,$L$1),
    SUMIFS('자가소비(B)'!$I:$I,'자가소비(B)'!$G:$G,S$2,'자가소비(B)'!$Q:$Q,$J18,'자가소비(B)'!$C:$C,$L$1),
    SUMIFS('PPA 사업(C)'!$I:$I,'PPA 사업(C)'!$G:$G,S$2,'PPA 사업(C)'!$Q:$Q,$J18,'PPA 사업(C)'!$C:$C,$L$1),
    SUMIFS('리스사업(D)'!$I:$I,'리스사업(D)'!$G:$G,S$2,'리스사업(D)'!$Q:$Q,$J18,'리스사업(D)'!$C:$C,$L$1),
    SUMIFS('임대사업(E)'!$I:$I,'임대사업(E)'!$G:$G,S$2,'임대사업(E)'!$Q:$Q,$J18,'임대사업(E)'!$C:$C,$L$1),
    SUMIFS('환경부사업(F)'!$I:$I,'환경부사업(F)'!$G:$G,S$2,'환경부사업(F)'!$Q:$Q,$J18,'환경부사업(F)'!$C:$C,$L$1),
    SUMIFS('프로젝트(G)'!$I:$I,'프로젝트(G)'!$G:$G,S$2,'프로젝트(G)'!$Q:$Q,$J18,'프로젝트(G)'!$C:$C,$L$1),
    SUMIFS('협력사 EPC(H)'!$I:$I,'협력사 EPC(H)'!$G:$G,S$2,'협력사 EPC(H)'!$Q:$Q,$J18,'협력사 EPC(H)'!$C:$C,$L$1),
    SUMIFS('기타(Z)'!$I:$I,'기타(Z)'!$G:$G,S$2,'기타(Z)'!$Q:$Q,$J18,'기타(Z)'!$C:$C,$L$1)
  )=0,
  "",
  SUM(
    SUMIFS('발전사업(A)'!$I:$I,'발전사업(A)'!$G:$G,S$2,'발전사업(A)'!$Q:$Q,$J18,'발전사업(A)'!$C:$C,$L$1),
    SUMIFS('자가소비(B)'!$I:$I,'자가소비(B)'!$G:$G,S$2,'자가소비(B)'!$Q:$Q,$J18,'자가소비(B)'!$C:$C,$L$1),
    SUMIFS('PPA 사업(C)'!$I:$I,'PPA 사업(C)'!$G:$G,S$2,'PPA 사업(C)'!$Q:$Q,$J18,'PPA 사업(C)'!$C:$C,$L$1),
    SUMIFS('리스사업(D)'!$I:$I,'리스사업(D)'!$G:$G,S$2,'리스사업(D)'!$Q:$Q,$J18,'리스사업(D)'!$C:$C,$L$1),
    SUMIFS('임대사업(E)'!$I:$I,'임대사업(E)'!$G:$G,S$2,'임대사업(E)'!$Q:$Q,$J18,'임대사업(E)'!$C:$C,$L$1),
    SUMIFS('환경부사업(F)'!$I:$I,'환경부사업(F)'!$G:$G,S$2,'환경부사업(F)'!$Q:$Q,$J18,'환경부사업(F)'!$C:$C,$L$1),
    SUMIFS('프로젝트(G)'!$I:$I,'프로젝트(G)'!$G:$G,S$2,'프로젝트(G)'!$Q:$Q,$J18,'프로젝트(G)'!$C:$C,$L$1),
    SUMIFS('협력사 EPC(H)'!$I:$I,'협력사 EPC(H)'!$G:$G,S$2,'협력사 EPC(H)'!$Q:$Q,$J18,'협력사 EPC(H)'!$C:$C,$L$1),
    SUMIFS('기타(Z)'!$I:$I,'기타(Z)'!$G:$G,S$2,'기타(Z)'!$Q:$Q,$J18,'기타(Z)'!$C:$C,$L$1)
  )
)</f>
        <v>42.24</v>
      </c>
      <c r="T18" s="387">
        <f>IF(
  SUM(
    COUNTIFS('발전사업(A)'!$G:$G, S$2, '발전사업(A)'!$Q:$Q, $J18, '발전사업(A)'!$C:$C, $L$1),
    COUNTIFS('자가소비(B)'!$G:$G, S$2, '자가소비(B)'!$Q:$Q, $J18, '자가소비(B)'!$C:$C, $L$1),
    COUNTIFS('PPA 사업(C)'!$G:$G, S$2, 'PPA 사업(C)'!$Q:$Q, $J18, 'PPA 사업(C)'!$C:$C, $L$1),
    COUNTIFS('리스사업(D)'!$G:$G, S$2, '리스사업(D)'!$Q:$Q, $J18, '리스사업(D)'!$C:$C, $L$1),
    COUNTIFS('임대사업(E)'!$G:$G, S$2, '임대사업(E)'!$Q:$Q, $J18, '임대사업(E)'!$C:$C, $L$1),
    COUNTIFS('환경부사업(F)'!$G:$G, S$2, '환경부사업(F)'!$Q:$Q, $J18, '환경부사업(F)'!$C:$C, $L$1),
    COUNTIFS('프로젝트(G)'!$G:$G, S$2, '프로젝트(G)'!$Q:$Q, $J18, '프로젝트(G)'!$C:$C, $L$1),
    COUNTIFS('협력사 EPC(H)'!$G:$G, S$2, '협력사 EPC(H)'!$Q:$Q, $J18, '협력사 EPC(H)'!$C:$C, $L$1),
    COUNTIFS('기타(Z)'!$G:$G, S$2, '기타(Z)'!$Q:$Q, $J18, '기타(Z)'!$C:$C, $L$1)
  ) = 0,
  "",
  COUNTIFS('발전사업(A)'!$G:$G, S$2, '발전사업(A)'!$Q:$Q, $J18, '발전사업(A)'!$C:$C, $L$1)
  + COUNTIFS('자가소비(B)'!$G:$G, S$2, '자가소비(B)'!$Q:$Q, $J18, '자가소비(B)'!$C:$C, $L$1)
  + COUNTIFS('PPA 사업(C)'!$G:$G, S$2, 'PPA 사업(C)'!$Q:$Q, $J18, 'PPA 사업(C)'!$C:$C, $L$1)
  + COUNTIFS('리스사업(D)'!$G:$G, S$2, '리스사업(D)'!$Q:$Q, $J18, '리스사업(D)'!$C:$C, $L$1)
  + COUNTIFS('임대사업(E)'!$G:$G, S$2, '임대사업(E)'!$Q:$Q, $J18, '임대사업(E)'!$C:$C, $L$1)
  + COUNTIFS('환경부사업(F)'!$G:$G, S$2, '환경부사업(F)'!$Q:$Q, $J18, '환경부사업(F)'!$C:$C, $L$1)
  + COUNTIFS('프로젝트(G)'!$G:$G, S$2, '프로젝트(G)'!$Q:$Q, $J18, '프로젝트(G)'!$C:$C, $L$1)
  + COUNTIFS('협력사 EPC(H)'!$G:$G, S$2, '협력사 EPC(H)'!$Q:$Q, $J18, '협력사 EPC(H)'!$C:$C, $L$1)
  + COUNTIFS('기타(Z)'!$G:$G, S$2, '기타(Z)'!$Q:$Q, $J18, '기타(Z)'!$C:$C, $L$1)
)</f>
        <v>1</v>
      </c>
      <c r="U18" s="386" t="str">
        <f>IF(
  SUM(
    SUMIFS('발전사업(A)'!$I:$I,'발전사업(A)'!$G:$G,U$2,'발전사업(A)'!$Q:$Q,$J18,'발전사업(A)'!$C:$C,$L$1),
    SUMIFS('자가소비(B)'!$I:$I,'자가소비(B)'!$G:$G,U$2,'자가소비(B)'!$Q:$Q,$J18,'자가소비(B)'!$C:$C,$L$1),
    SUMIFS('PPA 사업(C)'!$I:$I,'PPA 사업(C)'!$G:$G,U$2,'PPA 사업(C)'!$Q:$Q,$J18,'PPA 사업(C)'!$C:$C,$L$1),
    SUMIFS('리스사업(D)'!$I:$I,'리스사업(D)'!$G:$G,U$2,'리스사업(D)'!$Q:$Q,$J18,'리스사업(D)'!$C:$C,$L$1),
    SUMIFS('임대사업(E)'!$I:$I,'임대사업(E)'!$G:$G,U$2,'임대사업(E)'!$Q:$Q,$J18,'임대사업(E)'!$C:$C,$L$1),
    SUMIFS('환경부사업(F)'!$I:$I,'환경부사업(F)'!$G:$G,U$2,'환경부사업(F)'!$Q:$Q,$J18,'환경부사업(F)'!$C:$C,$L$1),
    SUMIFS('프로젝트(G)'!$I:$I,'프로젝트(G)'!$G:$G,U$2,'프로젝트(G)'!$Q:$Q,$J18,'프로젝트(G)'!$C:$C,$L$1),
    SUMIFS('협력사 EPC(H)'!$I:$I,'협력사 EPC(H)'!$G:$G,U$2,'협력사 EPC(H)'!$Q:$Q,$J18,'협력사 EPC(H)'!$C:$C,$L$1),
    SUMIFS('기타(Z)'!$I:$I,'기타(Z)'!$G:$G,U$2,'기타(Z)'!$Q:$Q,$J18,'기타(Z)'!$C:$C,$L$1)
  )=0,
  "",
  SUM(
    SUMIFS('발전사업(A)'!$I:$I,'발전사업(A)'!$G:$G,U$2,'발전사업(A)'!$Q:$Q,$J18,'발전사업(A)'!$C:$C,$L$1),
    SUMIFS('자가소비(B)'!$I:$I,'자가소비(B)'!$G:$G,U$2,'자가소비(B)'!$Q:$Q,$J18,'자가소비(B)'!$C:$C,$L$1),
    SUMIFS('PPA 사업(C)'!$I:$I,'PPA 사업(C)'!$G:$G,U$2,'PPA 사업(C)'!$Q:$Q,$J18,'PPA 사업(C)'!$C:$C,$L$1),
    SUMIFS('리스사업(D)'!$I:$I,'리스사업(D)'!$G:$G,U$2,'리스사업(D)'!$Q:$Q,$J18,'리스사업(D)'!$C:$C,$L$1),
    SUMIFS('임대사업(E)'!$I:$I,'임대사업(E)'!$G:$G,U$2,'임대사업(E)'!$Q:$Q,$J18,'임대사업(E)'!$C:$C,$L$1),
    SUMIFS('환경부사업(F)'!$I:$I,'환경부사업(F)'!$G:$G,U$2,'환경부사업(F)'!$Q:$Q,$J18,'환경부사업(F)'!$C:$C,$L$1),
    SUMIFS('프로젝트(G)'!$I:$I,'프로젝트(G)'!$G:$G,U$2,'프로젝트(G)'!$Q:$Q,$J18,'프로젝트(G)'!$C:$C,$L$1),
    SUMIFS('협력사 EPC(H)'!$I:$I,'협력사 EPC(H)'!$G:$G,U$2,'협력사 EPC(H)'!$Q:$Q,$J18,'협력사 EPC(H)'!$C:$C,$L$1),
    SUMIFS('기타(Z)'!$I:$I,'기타(Z)'!$G:$G,U$2,'기타(Z)'!$Q:$Q,$J18,'기타(Z)'!$C:$C,$L$1)
  )
)</f>
        <v/>
      </c>
      <c r="V18" s="387" t="str">
        <f>IF(
  SUM(
    COUNTIFS('발전사업(A)'!$G:$G, U$2, '발전사업(A)'!$Q:$Q, $J18, '발전사업(A)'!$C:$C, $L$1),
    COUNTIFS('자가소비(B)'!$G:$G, U$2, '자가소비(B)'!$Q:$Q, $J18, '자가소비(B)'!$C:$C, $L$1),
    COUNTIFS('PPA 사업(C)'!$G:$G, U$2, 'PPA 사업(C)'!$Q:$Q, $J18, 'PPA 사업(C)'!$C:$C, $L$1),
    COUNTIFS('리스사업(D)'!$G:$G, U$2, '리스사업(D)'!$Q:$Q, $J18, '리스사업(D)'!$C:$C, $L$1),
    COUNTIFS('임대사업(E)'!$G:$G, U$2, '임대사업(E)'!$Q:$Q, $J18, '임대사업(E)'!$C:$C, $L$1),
    COUNTIFS('환경부사업(F)'!$G:$G, U$2, '환경부사업(F)'!$Q:$Q, $J18, '환경부사업(F)'!$C:$C, $L$1),
    COUNTIFS('프로젝트(G)'!$G:$G, U$2, '프로젝트(G)'!$Q:$Q, $J18, '프로젝트(G)'!$C:$C, $L$1),
    COUNTIFS('협력사 EPC(H)'!$G:$G, U$2, '협력사 EPC(H)'!$Q:$Q, $J18, '협력사 EPC(H)'!$C:$C, $L$1),
    COUNTIFS('기타(Z)'!$G:$G, U$2, '기타(Z)'!$Q:$Q, $J18, '기타(Z)'!$C:$C, $L$1)
  ) = 0,
  "",
  COUNTIFS('발전사업(A)'!$G:$G, U$2, '발전사업(A)'!$Q:$Q, $J18, '발전사업(A)'!$C:$C, $L$1)
  + COUNTIFS('자가소비(B)'!$G:$G, U$2, '자가소비(B)'!$Q:$Q, $J18, '자가소비(B)'!$C:$C, $L$1)
  + COUNTIFS('PPA 사업(C)'!$G:$G, U$2, 'PPA 사업(C)'!$Q:$Q, $J18, 'PPA 사업(C)'!$C:$C, $L$1)
  + COUNTIFS('리스사업(D)'!$G:$G, U$2, '리스사업(D)'!$Q:$Q, $J18, '리스사업(D)'!$C:$C, $L$1)
  + COUNTIFS('임대사업(E)'!$G:$G, U$2, '임대사업(E)'!$Q:$Q, $J18, '임대사업(E)'!$C:$C, $L$1)
  + COUNTIFS('환경부사업(F)'!$G:$G, U$2, '환경부사업(F)'!$Q:$Q, $J18, '환경부사업(F)'!$C:$C, $L$1)
  + COUNTIFS('프로젝트(G)'!$G:$G, U$2, '프로젝트(G)'!$Q:$Q, $J18, '프로젝트(G)'!$C:$C, $L$1)
  + COUNTIFS('협력사 EPC(H)'!$G:$G, U$2, '협력사 EPC(H)'!$Q:$Q, $J18, '협력사 EPC(H)'!$C:$C, $L$1)
  + COUNTIFS('기타(Z)'!$G:$G, U$2, '기타(Z)'!$Q:$Q, $J18, '기타(Z)'!$C:$C, $L$1)
)</f>
        <v/>
      </c>
      <c r="W18" s="386" t="str">
        <f>IF(
  SUM(
    SUMIFS('발전사업(A)'!$I:$I,'발전사업(A)'!$G:$G,W$2,'발전사업(A)'!$Q:$Q,$J18,'발전사업(A)'!$C:$C,$L$1),
    SUMIFS('자가소비(B)'!$I:$I,'자가소비(B)'!$G:$G,W$2,'자가소비(B)'!$Q:$Q,$J18,'자가소비(B)'!$C:$C,$L$1),
    SUMIFS('PPA 사업(C)'!$I:$I,'PPA 사업(C)'!$G:$G,W$2,'PPA 사업(C)'!$Q:$Q,$J18,'PPA 사업(C)'!$C:$C,$L$1),
    SUMIFS('리스사업(D)'!$I:$I,'리스사업(D)'!$G:$G,W$2,'리스사업(D)'!$Q:$Q,$J18,'리스사업(D)'!$C:$C,$L$1),
    SUMIFS('임대사업(E)'!$I:$I,'임대사업(E)'!$G:$G,W$2,'임대사업(E)'!$Q:$Q,$J18,'임대사업(E)'!$C:$C,$L$1),
    SUMIFS('환경부사업(F)'!$I:$I,'환경부사업(F)'!$G:$G,W$2,'환경부사업(F)'!$Q:$Q,$J18,'환경부사업(F)'!$C:$C,$L$1),
    SUMIFS('프로젝트(G)'!$I:$I,'프로젝트(G)'!$G:$G,W$2,'프로젝트(G)'!$Q:$Q,$J18,'프로젝트(G)'!$C:$C,$L$1),
    SUMIFS('협력사 EPC(H)'!$I:$I,'협력사 EPC(H)'!$G:$G,W$2,'협력사 EPC(H)'!$Q:$Q,$J18,'협력사 EPC(H)'!$C:$C,$L$1),
    SUMIFS('기타(Z)'!$I:$I,'기타(Z)'!$G:$G,W$2,'기타(Z)'!$Q:$Q,$J18,'기타(Z)'!$C:$C,$L$1)
  )=0,
  "",
  SUM(
    SUMIFS('발전사업(A)'!$I:$I,'발전사업(A)'!$G:$G,W$2,'발전사업(A)'!$Q:$Q,$J18,'발전사업(A)'!$C:$C,$L$1),
    SUMIFS('자가소비(B)'!$I:$I,'자가소비(B)'!$G:$G,W$2,'자가소비(B)'!$Q:$Q,$J18,'자가소비(B)'!$C:$C,$L$1),
    SUMIFS('PPA 사업(C)'!$I:$I,'PPA 사업(C)'!$G:$G,W$2,'PPA 사업(C)'!$Q:$Q,$J18,'PPA 사업(C)'!$C:$C,$L$1),
    SUMIFS('리스사업(D)'!$I:$I,'리스사업(D)'!$G:$G,W$2,'리스사업(D)'!$Q:$Q,$J18,'리스사업(D)'!$C:$C,$L$1),
    SUMIFS('임대사업(E)'!$I:$I,'임대사업(E)'!$G:$G,W$2,'임대사업(E)'!$Q:$Q,$J18,'임대사업(E)'!$C:$C,$L$1),
    SUMIFS('환경부사업(F)'!$I:$I,'환경부사업(F)'!$G:$G,W$2,'환경부사업(F)'!$Q:$Q,$J18,'환경부사업(F)'!$C:$C,$L$1),
    SUMIFS('프로젝트(G)'!$I:$I,'프로젝트(G)'!$G:$G,W$2,'프로젝트(G)'!$Q:$Q,$J18,'프로젝트(G)'!$C:$C,$L$1),
    SUMIFS('협력사 EPC(H)'!$I:$I,'협력사 EPC(H)'!$G:$G,W$2,'협력사 EPC(H)'!$Q:$Q,$J18,'협력사 EPC(H)'!$C:$C,$L$1),
    SUMIFS('기타(Z)'!$I:$I,'기타(Z)'!$G:$G,W$2,'기타(Z)'!$Q:$Q,$J18,'기타(Z)'!$C:$C,$L$1)
  )
)</f>
        <v/>
      </c>
      <c r="X18" s="387" t="str">
        <f>IF(
  SUM(
    COUNTIFS('발전사업(A)'!$G:$G, W$2, '발전사업(A)'!$Q:$Q, $J18, '발전사업(A)'!$C:$C, $L$1),
    COUNTIFS('자가소비(B)'!$G:$G, W$2, '자가소비(B)'!$Q:$Q, $J18, '자가소비(B)'!$C:$C, $L$1),
    COUNTIFS('PPA 사업(C)'!$G:$G, W$2, 'PPA 사업(C)'!$Q:$Q, $J18, 'PPA 사업(C)'!$C:$C, $L$1),
    COUNTIFS('리스사업(D)'!$G:$G, W$2, '리스사업(D)'!$Q:$Q, $J18, '리스사업(D)'!$C:$C, $L$1),
    COUNTIFS('임대사업(E)'!$G:$G, W$2, '임대사업(E)'!$Q:$Q, $J18, '임대사업(E)'!$C:$C, $L$1),
    COUNTIFS('환경부사업(F)'!$G:$G, W$2, '환경부사업(F)'!$Q:$Q, $J18, '환경부사업(F)'!$C:$C, $L$1),
    COUNTIFS('프로젝트(G)'!$G:$G, W$2, '프로젝트(G)'!$Q:$Q, $J18, '프로젝트(G)'!$C:$C, $L$1),
    COUNTIFS('협력사 EPC(H)'!$G:$G, W$2, '협력사 EPC(H)'!$Q:$Q, $J18, '협력사 EPC(H)'!$C:$C, $L$1),
    COUNTIFS('기타(Z)'!$G:$G, W$2, '기타(Z)'!$Q:$Q, $J18, '기타(Z)'!$C:$C, $L$1)
  ) = 0,
  "",
  COUNTIFS('발전사업(A)'!$G:$G, W$2, '발전사업(A)'!$Q:$Q, $J18, '발전사업(A)'!$C:$C, $L$1)
  + COUNTIFS('자가소비(B)'!$G:$G, W$2, '자가소비(B)'!$Q:$Q, $J18, '자가소비(B)'!$C:$C, $L$1)
  + COUNTIFS('PPA 사업(C)'!$G:$G, W$2, 'PPA 사업(C)'!$Q:$Q, $J18, 'PPA 사업(C)'!$C:$C, $L$1)
  + COUNTIFS('리스사업(D)'!$G:$G, W$2, '리스사업(D)'!$Q:$Q, $J18, '리스사업(D)'!$C:$C, $L$1)
  + COUNTIFS('임대사업(E)'!$G:$G, W$2, '임대사업(E)'!$Q:$Q, $J18, '임대사업(E)'!$C:$C, $L$1)
  + COUNTIFS('환경부사업(F)'!$G:$G, W$2, '환경부사업(F)'!$Q:$Q, $J18, '환경부사업(F)'!$C:$C, $L$1)
  + COUNTIFS('프로젝트(G)'!$G:$G, W$2, '프로젝트(G)'!$Q:$Q, $J18, '프로젝트(G)'!$C:$C, $L$1)
  + COUNTIFS('협력사 EPC(H)'!$G:$G, W$2, '협력사 EPC(H)'!$Q:$Q, $J18, '협력사 EPC(H)'!$C:$C, $L$1)
  + COUNTIFS('기타(Z)'!$G:$G, W$2, '기타(Z)'!$Q:$Q, $J18, '기타(Z)'!$C:$C, $L$1)
)</f>
        <v/>
      </c>
      <c r="Y18" s="386" t="str">
        <f>IF(
  SUM(
    SUMIFS('발전사업(A)'!$I:$I,'발전사업(A)'!$G:$G,Y$2,'발전사업(A)'!$Q:$Q,$J18,'발전사업(A)'!$C:$C,$L$1),
    SUMIFS('자가소비(B)'!$I:$I,'자가소비(B)'!$G:$G,Y$2,'자가소비(B)'!$Q:$Q,$J18,'자가소비(B)'!$C:$C,$L$1),
    SUMIFS('PPA 사업(C)'!$I:$I,'PPA 사업(C)'!$G:$G,Y$2,'PPA 사업(C)'!$Q:$Q,$J18,'PPA 사업(C)'!$C:$C,$L$1),
    SUMIFS('리스사업(D)'!$I:$I,'리스사업(D)'!$G:$G,Y$2,'리스사업(D)'!$Q:$Q,$J18,'리스사업(D)'!$C:$C,$L$1),
    SUMIFS('임대사업(E)'!$I:$I,'임대사업(E)'!$G:$G,Y$2,'임대사업(E)'!$Q:$Q,$J18,'임대사업(E)'!$C:$C,$L$1),
    SUMIFS('환경부사업(F)'!$I:$I,'환경부사업(F)'!$G:$G,Y$2,'환경부사업(F)'!$Q:$Q,$J18,'환경부사업(F)'!$C:$C,$L$1),
    SUMIFS('프로젝트(G)'!$I:$I,'프로젝트(G)'!$G:$G,Y$2,'프로젝트(G)'!$Q:$Q,$J18,'프로젝트(G)'!$C:$C,$L$1),
    SUMIFS('협력사 EPC(H)'!$I:$I,'협력사 EPC(H)'!$G:$G,Y$2,'협력사 EPC(H)'!$Q:$Q,$J18,'협력사 EPC(H)'!$C:$C,$L$1),
    SUMIFS('기타(Z)'!$I:$I,'기타(Z)'!$G:$G,Y$2,'기타(Z)'!$Q:$Q,$J18,'기타(Z)'!$C:$C,$L$1)
  )=0,
  "",
  SUM(
    SUMIFS('발전사업(A)'!$I:$I,'발전사업(A)'!$G:$G,Y$2,'발전사업(A)'!$Q:$Q,$J18,'발전사업(A)'!$C:$C,$L$1),
    SUMIFS('자가소비(B)'!$I:$I,'자가소비(B)'!$G:$G,Y$2,'자가소비(B)'!$Q:$Q,$J18,'자가소비(B)'!$C:$C,$L$1),
    SUMIFS('PPA 사업(C)'!$I:$I,'PPA 사업(C)'!$G:$G,Y$2,'PPA 사업(C)'!$Q:$Q,$J18,'PPA 사업(C)'!$C:$C,$L$1),
    SUMIFS('리스사업(D)'!$I:$I,'리스사업(D)'!$G:$G,Y$2,'리스사업(D)'!$Q:$Q,$J18,'리스사업(D)'!$C:$C,$L$1),
    SUMIFS('임대사업(E)'!$I:$I,'임대사업(E)'!$G:$G,Y$2,'임대사업(E)'!$Q:$Q,$J18,'임대사업(E)'!$C:$C,$L$1),
    SUMIFS('환경부사업(F)'!$I:$I,'환경부사업(F)'!$G:$G,Y$2,'환경부사업(F)'!$Q:$Q,$J18,'환경부사업(F)'!$C:$C,$L$1),
    SUMIFS('프로젝트(G)'!$I:$I,'프로젝트(G)'!$G:$G,Y$2,'프로젝트(G)'!$Q:$Q,$J18,'프로젝트(G)'!$C:$C,$L$1),
    SUMIFS('협력사 EPC(H)'!$I:$I,'협력사 EPC(H)'!$G:$G,Y$2,'협력사 EPC(H)'!$Q:$Q,$J18,'협력사 EPC(H)'!$C:$C,$L$1),
    SUMIFS('기타(Z)'!$I:$I,'기타(Z)'!$G:$G,Y$2,'기타(Z)'!$Q:$Q,$J18,'기타(Z)'!$C:$C,$L$1)
  )
)</f>
        <v/>
      </c>
      <c r="Z18" s="387" t="str">
        <f>IF(
  SUM(
    COUNTIFS('발전사업(A)'!$G:$G, Y$2, '발전사업(A)'!$Q:$Q, $J18, '발전사업(A)'!$C:$C, $L$1),
    COUNTIFS('자가소비(B)'!$G:$G, Y$2, '자가소비(B)'!$Q:$Q, $J18, '자가소비(B)'!$C:$C, $L$1),
    COUNTIFS('PPA 사업(C)'!$G:$G, Y$2, 'PPA 사업(C)'!$Q:$Q, $J18, 'PPA 사업(C)'!$C:$C, $L$1),
    COUNTIFS('리스사업(D)'!$G:$G, Y$2, '리스사업(D)'!$Q:$Q, $J18, '리스사업(D)'!$C:$C, $L$1),
    COUNTIFS('임대사업(E)'!$G:$G, Y$2, '임대사업(E)'!$Q:$Q, $J18, '임대사업(E)'!$C:$C, $L$1),
    COUNTIFS('환경부사업(F)'!$G:$G, Y$2, '환경부사업(F)'!$Q:$Q, $J18, '환경부사업(F)'!$C:$C, $L$1),
    COUNTIFS('프로젝트(G)'!$G:$G, Y$2, '프로젝트(G)'!$Q:$Q, $J18, '프로젝트(G)'!$C:$C, $L$1),
    COUNTIFS('협력사 EPC(H)'!$G:$G, Y$2, '협력사 EPC(H)'!$Q:$Q, $J18, '협력사 EPC(H)'!$C:$C, $L$1),
    COUNTIFS('기타(Z)'!$G:$G, Y$2, '기타(Z)'!$Q:$Q, $J18, '기타(Z)'!$C:$C, $L$1)
  ) = 0,
  "",
  COUNTIFS('발전사업(A)'!$G:$G, Y$2, '발전사업(A)'!$Q:$Q, $J18, '발전사업(A)'!$C:$C, $L$1)
  + COUNTIFS('자가소비(B)'!$G:$G, Y$2, '자가소비(B)'!$Q:$Q, $J18, '자가소비(B)'!$C:$C, $L$1)
  + COUNTIFS('PPA 사업(C)'!$G:$G, Y$2, 'PPA 사업(C)'!$Q:$Q, $J18, 'PPA 사업(C)'!$C:$C, $L$1)
  + COUNTIFS('리스사업(D)'!$G:$G, Y$2, '리스사업(D)'!$Q:$Q, $J18, '리스사업(D)'!$C:$C, $L$1)
  + COUNTIFS('임대사업(E)'!$G:$G, Y$2, '임대사업(E)'!$Q:$Q, $J18, '임대사업(E)'!$C:$C, $L$1)
  + COUNTIFS('환경부사업(F)'!$G:$G, Y$2, '환경부사업(F)'!$Q:$Q, $J18, '환경부사업(F)'!$C:$C, $L$1)
  + COUNTIFS('프로젝트(G)'!$G:$G, Y$2, '프로젝트(G)'!$Q:$Q, $J18, '프로젝트(G)'!$C:$C, $L$1)
  + COUNTIFS('협력사 EPC(H)'!$G:$G, Y$2, '협력사 EPC(H)'!$Q:$Q, $J18, '협력사 EPC(H)'!$C:$C, $L$1)
  + COUNTIFS('기타(Z)'!$G:$G, Y$2, '기타(Z)'!$Q:$Q, $J18, '기타(Z)'!$C:$C, $L$1)
)</f>
        <v/>
      </c>
      <c r="AA18" s="386">
        <f>IF(
  SUM(
    SUMIFS('발전사업(A)'!$I:$I,'발전사업(A)'!$G:$G,AA$2,'발전사업(A)'!$Q:$Q,$J18,'발전사업(A)'!$C:$C,$L$1),
    SUMIFS('자가소비(B)'!$I:$I,'자가소비(B)'!$G:$G,AA$2,'자가소비(B)'!$Q:$Q,$J18,'자가소비(B)'!$C:$C,$L$1),
    SUMIFS('PPA 사업(C)'!$I:$I,'PPA 사업(C)'!$G:$G,AA$2,'PPA 사업(C)'!$Q:$Q,$J18,'PPA 사업(C)'!$C:$C,$L$1),
    SUMIFS('리스사업(D)'!$I:$I,'리스사업(D)'!$G:$G,AA$2,'리스사업(D)'!$Q:$Q,$J18,'리스사업(D)'!$C:$C,$L$1),
    SUMIFS('임대사업(E)'!$I:$I,'임대사업(E)'!$G:$G,AA$2,'임대사업(E)'!$Q:$Q,$J18,'임대사업(E)'!$C:$C,$L$1),
    SUMIFS('환경부사업(F)'!$I:$I,'환경부사업(F)'!$G:$G,AA$2,'환경부사업(F)'!$Q:$Q,$J18,'환경부사업(F)'!$C:$C,$L$1),
    SUMIFS('프로젝트(G)'!$I:$I,'프로젝트(G)'!$G:$G,AA$2,'프로젝트(G)'!$Q:$Q,$J18,'프로젝트(G)'!$C:$C,$L$1),
    SUMIFS('협력사 EPC(H)'!$I:$I,'협력사 EPC(H)'!$G:$G,AA$2,'협력사 EPC(H)'!$Q:$Q,$J18,'협력사 EPC(H)'!$C:$C,$L$1),
    SUMIFS('기타(Z)'!$I:$I,'기타(Z)'!$G:$G,AA$2,'기타(Z)'!$Q:$Q,$J18,'기타(Z)'!$C:$C,$L$1)
  )=0,
  "",
  SUM(
    SUMIFS('발전사업(A)'!$I:$I,'발전사업(A)'!$G:$G,AA$2,'발전사업(A)'!$Q:$Q,$J18,'발전사업(A)'!$C:$C,$L$1),
    SUMIFS('자가소비(B)'!$I:$I,'자가소비(B)'!$G:$G,AA$2,'자가소비(B)'!$Q:$Q,$J18,'자가소비(B)'!$C:$C,$L$1),
    SUMIFS('PPA 사업(C)'!$I:$I,'PPA 사업(C)'!$G:$G,AA$2,'PPA 사업(C)'!$Q:$Q,$J18,'PPA 사업(C)'!$C:$C,$L$1),
    SUMIFS('리스사업(D)'!$I:$I,'리스사업(D)'!$G:$G,AA$2,'리스사업(D)'!$Q:$Q,$J18,'리스사업(D)'!$C:$C,$L$1),
    SUMIFS('임대사업(E)'!$I:$I,'임대사업(E)'!$G:$G,AA$2,'임대사업(E)'!$Q:$Q,$J18,'임대사업(E)'!$C:$C,$L$1),
    SUMIFS('환경부사업(F)'!$I:$I,'환경부사업(F)'!$G:$G,AA$2,'환경부사업(F)'!$Q:$Q,$J18,'환경부사업(F)'!$C:$C,$L$1),
    SUMIFS('프로젝트(G)'!$I:$I,'프로젝트(G)'!$G:$G,AA$2,'프로젝트(G)'!$Q:$Q,$J18,'프로젝트(G)'!$C:$C,$L$1),
    SUMIFS('협력사 EPC(H)'!$I:$I,'협력사 EPC(H)'!$G:$G,AA$2,'협력사 EPC(H)'!$Q:$Q,$J18,'협력사 EPC(H)'!$C:$C,$L$1),
    SUMIFS('기타(Z)'!$I:$I,'기타(Z)'!$G:$G,AA$2,'기타(Z)'!$Q:$Q,$J18,'기타(Z)'!$C:$C,$L$1)
  )
)</f>
        <v>57.6</v>
      </c>
      <c r="AB18" s="387">
        <f>IF(
  SUM(
    COUNTIFS('발전사업(A)'!$G:$G, AA$2, '발전사업(A)'!$Q:$Q, $J18, '발전사업(A)'!$C:$C, $L$1),
    COUNTIFS('자가소비(B)'!$G:$G, AA$2, '자가소비(B)'!$Q:$Q, $J18, '자가소비(B)'!$C:$C, $L$1),
    COUNTIFS('PPA 사업(C)'!$G:$G, AA$2, 'PPA 사업(C)'!$Q:$Q, $J18, 'PPA 사업(C)'!$C:$C, $L$1),
    COUNTIFS('리스사업(D)'!$G:$G, AA$2, '리스사업(D)'!$Q:$Q, $J18, '리스사업(D)'!$C:$C, $L$1),
    COUNTIFS('임대사업(E)'!$G:$G, AA$2, '임대사업(E)'!$Q:$Q, $J18, '임대사업(E)'!$C:$C, $L$1),
    COUNTIFS('환경부사업(F)'!$G:$G, AA$2, '환경부사업(F)'!$Q:$Q, $J18, '환경부사업(F)'!$C:$C, $L$1),
    COUNTIFS('프로젝트(G)'!$G:$G, AA$2, '프로젝트(G)'!$Q:$Q, $J18, '프로젝트(G)'!$C:$C, $L$1),
    COUNTIFS('협력사 EPC(H)'!$G:$G, AA$2, '협력사 EPC(H)'!$Q:$Q, $J18, '협력사 EPC(H)'!$C:$C, $L$1),
    COUNTIFS('기타(Z)'!$G:$G, AA$2, '기타(Z)'!$Q:$Q, $J18, '기타(Z)'!$C:$C, $L$1)
  ) = 0,
  "",
  COUNTIFS('발전사업(A)'!$G:$G, AA$2, '발전사업(A)'!$Q:$Q, $J18, '발전사업(A)'!$C:$C, $L$1)
  + COUNTIFS('자가소비(B)'!$G:$G, AA$2, '자가소비(B)'!$Q:$Q, $J18, '자가소비(B)'!$C:$C, $L$1)
  + COUNTIFS('PPA 사업(C)'!$G:$G, AA$2, 'PPA 사업(C)'!$Q:$Q, $J18, 'PPA 사업(C)'!$C:$C, $L$1)
  + COUNTIFS('리스사업(D)'!$G:$G, AA$2, '리스사업(D)'!$Q:$Q, $J18, '리스사업(D)'!$C:$C, $L$1)
  + COUNTIFS('임대사업(E)'!$G:$G, AA$2, '임대사업(E)'!$Q:$Q, $J18, '임대사업(E)'!$C:$C, $L$1)
  + COUNTIFS('환경부사업(F)'!$G:$G, AA$2, '환경부사업(F)'!$Q:$Q, $J18, '환경부사업(F)'!$C:$C, $L$1)
  + COUNTIFS('프로젝트(G)'!$G:$G, AA$2, '프로젝트(G)'!$Q:$Q, $J18, '프로젝트(G)'!$C:$C, $L$1)
  + COUNTIFS('협력사 EPC(H)'!$G:$G, AA$2, '협력사 EPC(H)'!$Q:$Q, $J18, '협력사 EPC(H)'!$C:$C, $L$1)
  + COUNTIFS('기타(Z)'!$G:$G, AA$2, '기타(Z)'!$Q:$Q, $J18, '기타(Z)'!$C:$C, $L$1)
)</f>
        <v>1</v>
      </c>
      <c r="AC18" s="386" t="str">
        <f>IF(
  SUM(
    SUMIFS('발전사업(A)'!$I:$I,'발전사업(A)'!$G:$G,AC$2,'발전사업(A)'!$Q:$Q,$J18,'발전사업(A)'!$C:$C,$L$1),
    SUMIFS('자가소비(B)'!$I:$I,'자가소비(B)'!$G:$G,AC$2,'자가소비(B)'!$Q:$Q,$J18,'자가소비(B)'!$C:$C,$L$1),
    SUMIFS('PPA 사업(C)'!$I:$I,'PPA 사업(C)'!$G:$G,AC$2,'PPA 사업(C)'!$Q:$Q,$J18,'PPA 사업(C)'!$C:$C,$L$1),
    SUMIFS('리스사업(D)'!$I:$I,'리스사업(D)'!$G:$G,AC$2,'리스사업(D)'!$Q:$Q,$J18,'리스사업(D)'!$C:$C,$L$1),
    SUMIFS('임대사업(E)'!$I:$I,'임대사업(E)'!$G:$G,AC$2,'임대사업(E)'!$Q:$Q,$J18,'임대사업(E)'!$C:$C,$L$1),
    SUMIFS('환경부사업(F)'!$I:$I,'환경부사업(F)'!$G:$G,AC$2,'환경부사업(F)'!$Q:$Q,$J18,'환경부사업(F)'!$C:$C,$L$1),
    SUMIFS('프로젝트(G)'!$I:$I,'프로젝트(G)'!$G:$G,AC$2,'프로젝트(G)'!$Q:$Q,$J18,'프로젝트(G)'!$C:$C,$L$1),
    SUMIFS('협력사 EPC(H)'!$I:$I,'협력사 EPC(H)'!$G:$G,AC$2,'협력사 EPC(H)'!$Q:$Q,$J18,'협력사 EPC(H)'!$C:$C,$L$1),
    SUMIFS('기타(Z)'!$I:$I,'기타(Z)'!$G:$G,AC$2,'기타(Z)'!$Q:$Q,$J18,'기타(Z)'!$C:$C,$L$1)
  )=0,
  "",
  SUM(
    SUMIFS('발전사업(A)'!$I:$I,'발전사업(A)'!$G:$G,AC$2,'발전사업(A)'!$Q:$Q,$J18,'발전사업(A)'!$C:$C,$L$1),
    SUMIFS('자가소비(B)'!$I:$I,'자가소비(B)'!$G:$G,AC$2,'자가소비(B)'!$Q:$Q,$J18,'자가소비(B)'!$C:$C,$L$1),
    SUMIFS('PPA 사업(C)'!$I:$I,'PPA 사업(C)'!$G:$G,AC$2,'PPA 사업(C)'!$Q:$Q,$J18,'PPA 사업(C)'!$C:$C,$L$1),
    SUMIFS('리스사업(D)'!$I:$I,'리스사업(D)'!$G:$G,AC$2,'리스사업(D)'!$Q:$Q,$J18,'리스사업(D)'!$C:$C,$L$1),
    SUMIFS('임대사업(E)'!$I:$I,'임대사업(E)'!$G:$G,AC$2,'임대사업(E)'!$Q:$Q,$J18,'임대사업(E)'!$C:$C,$L$1),
    SUMIFS('환경부사업(F)'!$I:$I,'환경부사업(F)'!$G:$G,AC$2,'환경부사업(F)'!$Q:$Q,$J18,'환경부사업(F)'!$C:$C,$L$1),
    SUMIFS('프로젝트(G)'!$I:$I,'프로젝트(G)'!$G:$G,AC$2,'프로젝트(G)'!$Q:$Q,$J18,'프로젝트(G)'!$C:$C,$L$1),
    SUMIFS('협력사 EPC(H)'!$I:$I,'협력사 EPC(H)'!$G:$G,AC$2,'협력사 EPC(H)'!$Q:$Q,$J18,'협력사 EPC(H)'!$C:$C,$L$1),
    SUMIFS('기타(Z)'!$I:$I,'기타(Z)'!$G:$G,AC$2,'기타(Z)'!$Q:$Q,$J18,'기타(Z)'!$C:$C,$L$1)
  )
)</f>
        <v/>
      </c>
      <c r="AD18" s="387" t="str">
        <f>IF(
  SUM(
    COUNTIFS('발전사업(A)'!$G:$G, AC$2, '발전사업(A)'!$Q:$Q, $J18, '발전사업(A)'!$C:$C, $L$1),
    COUNTIFS('자가소비(B)'!$G:$G, AC$2, '자가소비(B)'!$Q:$Q, $J18, '자가소비(B)'!$C:$C, $L$1),
    COUNTIFS('PPA 사업(C)'!$G:$G, AC$2, 'PPA 사업(C)'!$Q:$Q, $J18, 'PPA 사업(C)'!$C:$C, $L$1),
    COUNTIFS('리스사업(D)'!$G:$G, AC$2, '리스사업(D)'!$Q:$Q, $J18, '리스사업(D)'!$C:$C, $L$1),
    COUNTIFS('임대사업(E)'!$G:$G, AC$2, '임대사업(E)'!$Q:$Q, $J18, '임대사업(E)'!$C:$C, $L$1),
    COUNTIFS('환경부사업(F)'!$G:$G, AC$2, '환경부사업(F)'!$Q:$Q, $J18, '환경부사업(F)'!$C:$C, $L$1),
    COUNTIFS('프로젝트(G)'!$G:$G, AC$2, '프로젝트(G)'!$Q:$Q, $J18, '프로젝트(G)'!$C:$C, $L$1),
    COUNTIFS('협력사 EPC(H)'!$G:$G, AC$2, '협력사 EPC(H)'!$Q:$Q, $J18, '협력사 EPC(H)'!$C:$C, $L$1),
    COUNTIFS('기타(Z)'!$G:$G, AC$2, '기타(Z)'!$Q:$Q, $J18, '기타(Z)'!$C:$C, $L$1)
  ) = 0,
  "",
  COUNTIFS('발전사업(A)'!$G:$G, AC$2, '발전사업(A)'!$Q:$Q, $J18, '발전사업(A)'!$C:$C, $L$1)
  + COUNTIFS('자가소비(B)'!$G:$G, AC$2, '자가소비(B)'!$Q:$Q, $J18, '자가소비(B)'!$C:$C, $L$1)
  + COUNTIFS('PPA 사업(C)'!$G:$G, AC$2, 'PPA 사업(C)'!$Q:$Q, $J18, 'PPA 사업(C)'!$C:$C, $L$1)
  + COUNTIFS('리스사업(D)'!$G:$G, AC$2, '리스사업(D)'!$Q:$Q, $J18, '리스사업(D)'!$C:$C, $L$1)
  + COUNTIFS('임대사업(E)'!$G:$G, AC$2, '임대사업(E)'!$Q:$Q, $J18, '임대사업(E)'!$C:$C, $L$1)
  + COUNTIFS('환경부사업(F)'!$G:$G, AC$2, '환경부사업(F)'!$Q:$Q, $J18, '환경부사업(F)'!$C:$C, $L$1)
  + COUNTIFS('프로젝트(G)'!$G:$G, AC$2, '프로젝트(G)'!$Q:$Q, $J18, '프로젝트(G)'!$C:$C, $L$1)
  + COUNTIFS('협력사 EPC(H)'!$G:$G, AC$2, '협력사 EPC(H)'!$Q:$Q, $J18, '협력사 EPC(H)'!$C:$C, $L$1)
  + COUNTIFS('기타(Z)'!$G:$G, AC$2, '기타(Z)'!$Q:$Q, $J18, '기타(Z)'!$C:$C, $L$1)
)</f>
        <v/>
      </c>
      <c r="AE18" s="386" t="str">
        <f>IF(
  SUM(
    SUMIFS('발전사업(A)'!$I:$I,'발전사업(A)'!$G:$G,AE$2,'발전사업(A)'!$Q:$Q,$J18,'발전사업(A)'!$C:$C,$L$1),
    SUMIFS('자가소비(B)'!$I:$I,'자가소비(B)'!$G:$G,AE$2,'자가소비(B)'!$Q:$Q,$J18,'자가소비(B)'!$C:$C,$L$1),
    SUMIFS('PPA 사업(C)'!$I:$I,'PPA 사업(C)'!$G:$G,AE$2,'PPA 사업(C)'!$Q:$Q,$J18,'PPA 사업(C)'!$C:$C,$L$1),
    SUMIFS('리스사업(D)'!$I:$I,'리스사업(D)'!$G:$G,AE$2,'리스사업(D)'!$Q:$Q,$J18,'리스사업(D)'!$C:$C,$L$1),
    SUMIFS('임대사업(E)'!$I:$I,'임대사업(E)'!$G:$G,AE$2,'임대사업(E)'!$Q:$Q,$J18,'임대사업(E)'!$C:$C,$L$1),
    SUMIFS('환경부사업(F)'!$I:$I,'환경부사업(F)'!$G:$G,AE$2,'환경부사업(F)'!$Q:$Q,$J18,'환경부사업(F)'!$C:$C,$L$1),
    SUMIFS('프로젝트(G)'!$I:$I,'프로젝트(G)'!$G:$G,AE$2,'프로젝트(G)'!$Q:$Q,$J18,'프로젝트(G)'!$C:$C,$L$1),
    SUMIFS('협력사 EPC(H)'!$I:$I,'협력사 EPC(H)'!$G:$G,AE$2,'협력사 EPC(H)'!$Q:$Q,$J18,'협력사 EPC(H)'!$C:$C,$L$1),
    SUMIFS('기타(Z)'!$I:$I,'기타(Z)'!$G:$G,AE$2,'기타(Z)'!$Q:$Q,$J18,'기타(Z)'!$C:$C,$L$1)
  )=0,
  "",
  SUM(
    SUMIFS('발전사업(A)'!$I:$I,'발전사업(A)'!$G:$G,AE$2,'발전사업(A)'!$Q:$Q,$J18,'발전사업(A)'!$C:$C,$L$1),
    SUMIFS('자가소비(B)'!$I:$I,'자가소비(B)'!$G:$G,AE$2,'자가소비(B)'!$Q:$Q,$J18,'자가소비(B)'!$C:$C,$L$1),
    SUMIFS('PPA 사업(C)'!$I:$I,'PPA 사업(C)'!$G:$G,AE$2,'PPA 사업(C)'!$Q:$Q,$J18,'PPA 사업(C)'!$C:$C,$L$1),
    SUMIFS('리스사업(D)'!$I:$I,'리스사업(D)'!$G:$G,AE$2,'리스사업(D)'!$Q:$Q,$J18,'리스사업(D)'!$C:$C,$L$1),
    SUMIFS('임대사업(E)'!$I:$I,'임대사업(E)'!$G:$G,AE$2,'임대사업(E)'!$Q:$Q,$J18,'임대사업(E)'!$C:$C,$L$1),
    SUMIFS('환경부사업(F)'!$I:$I,'환경부사업(F)'!$G:$G,AE$2,'환경부사업(F)'!$Q:$Q,$J18,'환경부사업(F)'!$C:$C,$L$1),
    SUMIFS('프로젝트(G)'!$I:$I,'프로젝트(G)'!$G:$G,AE$2,'프로젝트(G)'!$Q:$Q,$J18,'프로젝트(G)'!$C:$C,$L$1),
    SUMIFS('협력사 EPC(H)'!$I:$I,'협력사 EPC(H)'!$G:$G,AE$2,'협력사 EPC(H)'!$Q:$Q,$J18,'협력사 EPC(H)'!$C:$C,$L$1),
    SUMIFS('기타(Z)'!$I:$I,'기타(Z)'!$G:$G,AE$2,'기타(Z)'!$Q:$Q,$J18,'기타(Z)'!$C:$C,$L$1)
  )
)</f>
        <v/>
      </c>
      <c r="AF18" s="387" t="str">
        <f>IF(
  SUM(
    COUNTIFS('발전사업(A)'!$G:$G, AE$2, '발전사업(A)'!$Q:$Q, $J18, '발전사업(A)'!$C:$C, $L$1),
    COUNTIFS('자가소비(B)'!$G:$G, AE$2, '자가소비(B)'!$Q:$Q, $J18, '자가소비(B)'!$C:$C, $L$1),
    COUNTIFS('PPA 사업(C)'!$G:$G, AE$2, 'PPA 사업(C)'!$Q:$Q, $J18, 'PPA 사업(C)'!$C:$C, $L$1),
    COUNTIFS('리스사업(D)'!$G:$G, AE$2, '리스사업(D)'!$Q:$Q, $J18, '리스사업(D)'!$C:$C, $L$1),
    COUNTIFS('임대사업(E)'!$G:$G, AE$2, '임대사업(E)'!$Q:$Q, $J18, '임대사업(E)'!$C:$C, $L$1),
    COUNTIFS('환경부사업(F)'!$G:$G, AE$2, '환경부사업(F)'!$Q:$Q, $J18, '환경부사업(F)'!$C:$C, $L$1),
    COUNTIFS('프로젝트(G)'!$G:$G, AE$2, '프로젝트(G)'!$Q:$Q, $J18, '프로젝트(G)'!$C:$C, $L$1),
    COUNTIFS('협력사 EPC(H)'!$G:$G, AE$2, '협력사 EPC(H)'!$Q:$Q, $J18, '협력사 EPC(H)'!$C:$C, $L$1),
    COUNTIFS('기타(Z)'!$G:$G, AE$2, '기타(Z)'!$Q:$Q, $J18, '기타(Z)'!$C:$C, $L$1)
  ) = 0,
  "",
  COUNTIFS('발전사업(A)'!$G:$G, AE$2, '발전사업(A)'!$Q:$Q, $J18, '발전사업(A)'!$C:$C, $L$1)
  + COUNTIFS('자가소비(B)'!$G:$G, AE$2, '자가소비(B)'!$Q:$Q, $J18, '자가소비(B)'!$C:$C, $L$1)
  + COUNTIFS('PPA 사업(C)'!$G:$G, AE$2, 'PPA 사업(C)'!$Q:$Q, $J18, 'PPA 사업(C)'!$C:$C, $L$1)
  + COUNTIFS('리스사업(D)'!$G:$G, AE$2, '리스사업(D)'!$Q:$Q, $J18, '리스사업(D)'!$C:$C, $L$1)
  + COUNTIFS('임대사업(E)'!$G:$G, AE$2, '임대사업(E)'!$Q:$Q, $J18, '임대사업(E)'!$C:$C, $L$1)
  + COUNTIFS('환경부사업(F)'!$G:$G, AE$2, '환경부사업(F)'!$Q:$Q, $J18, '환경부사업(F)'!$C:$C, $L$1)
  + COUNTIFS('프로젝트(G)'!$G:$G, AE$2, '프로젝트(G)'!$Q:$Q, $J18, '프로젝트(G)'!$C:$C, $L$1)
  + COUNTIFS('협력사 EPC(H)'!$G:$G, AE$2, '협력사 EPC(H)'!$Q:$Q, $J18, '협력사 EPC(H)'!$C:$C, $L$1)
  + COUNTIFS('기타(Z)'!$G:$G, AE$2, '기타(Z)'!$Q:$Q, $J18, '기타(Z)'!$C:$C, $L$1)
)</f>
        <v/>
      </c>
      <c r="AG18" s="386">
        <f>IF(
  SUM(
    SUMIFS('발전사업(A)'!$I:$I,'발전사업(A)'!$G:$G,AG$2,'발전사업(A)'!$Q:$Q,$J18,'발전사업(A)'!$C:$C,$L$1),
    SUMIFS('자가소비(B)'!$I:$I,'자가소비(B)'!$G:$G,AG$2,'자가소비(B)'!$Q:$Q,$J18,'자가소비(B)'!$C:$C,$L$1),
    SUMIFS('PPA 사업(C)'!$I:$I,'PPA 사업(C)'!$G:$G,AG$2,'PPA 사업(C)'!$Q:$Q,$J18,'PPA 사업(C)'!$C:$C,$L$1),
    SUMIFS('리스사업(D)'!$I:$I,'리스사업(D)'!$G:$G,AG$2,'리스사업(D)'!$Q:$Q,$J18,'리스사업(D)'!$C:$C,$L$1),
    SUMIFS('임대사업(E)'!$I:$I,'임대사업(E)'!$G:$G,AG$2,'임대사업(E)'!$Q:$Q,$J18,'임대사업(E)'!$C:$C,$L$1),
    SUMIFS('환경부사업(F)'!$I:$I,'환경부사업(F)'!$G:$G,AG$2,'환경부사업(F)'!$Q:$Q,$J18,'환경부사업(F)'!$C:$C,$L$1),
    SUMIFS('프로젝트(G)'!$I:$I,'프로젝트(G)'!$G:$G,AG$2,'프로젝트(G)'!$Q:$Q,$J18,'프로젝트(G)'!$C:$C,$L$1),
    SUMIFS('협력사 EPC(H)'!$I:$I,'협력사 EPC(H)'!$G:$G,AG$2,'협력사 EPC(H)'!$Q:$Q,$J18,'협력사 EPC(H)'!$C:$C,$L$1),
    SUMIFS('기타(Z)'!$I:$I,'기타(Z)'!$G:$G,AG$2,'기타(Z)'!$Q:$Q,$J18,'기타(Z)'!$C:$C,$L$1)
  )=0,
  "",
  SUM(
    SUMIFS('발전사업(A)'!$I:$I,'발전사업(A)'!$G:$G,AG$2,'발전사업(A)'!$Q:$Q,$J18,'발전사업(A)'!$C:$C,$L$1),
    SUMIFS('자가소비(B)'!$I:$I,'자가소비(B)'!$G:$G,AG$2,'자가소비(B)'!$Q:$Q,$J18,'자가소비(B)'!$C:$C,$L$1),
    SUMIFS('PPA 사업(C)'!$I:$I,'PPA 사업(C)'!$G:$G,AG$2,'PPA 사업(C)'!$Q:$Q,$J18,'PPA 사업(C)'!$C:$C,$L$1),
    SUMIFS('리스사업(D)'!$I:$I,'리스사업(D)'!$G:$G,AG$2,'리스사업(D)'!$Q:$Q,$J18,'리스사업(D)'!$C:$C,$L$1),
    SUMIFS('임대사업(E)'!$I:$I,'임대사업(E)'!$G:$G,AG$2,'임대사업(E)'!$Q:$Q,$J18,'임대사업(E)'!$C:$C,$L$1),
    SUMIFS('환경부사업(F)'!$I:$I,'환경부사업(F)'!$G:$G,AG$2,'환경부사업(F)'!$Q:$Q,$J18,'환경부사업(F)'!$C:$C,$L$1),
    SUMIFS('프로젝트(G)'!$I:$I,'프로젝트(G)'!$G:$G,AG$2,'프로젝트(G)'!$Q:$Q,$J18,'프로젝트(G)'!$C:$C,$L$1),
    SUMIFS('협력사 EPC(H)'!$I:$I,'협력사 EPC(H)'!$G:$G,AG$2,'협력사 EPC(H)'!$Q:$Q,$J18,'협력사 EPC(H)'!$C:$C,$L$1),
    SUMIFS('기타(Z)'!$I:$I,'기타(Z)'!$G:$G,AG$2,'기타(Z)'!$Q:$Q,$J18,'기타(Z)'!$C:$C,$L$1)
  )
)</f>
        <v>89.655000000000001</v>
      </c>
      <c r="AH18" s="387">
        <f>IF(
  SUM(
    COUNTIFS('발전사업(A)'!$G:$G, AG$2, '발전사업(A)'!$Q:$Q, $J18, '발전사업(A)'!$C:$C, $L$1),
    COUNTIFS('자가소비(B)'!$G:$G, AG$2, '자가소비(B)'!$Q:$Q, $J18, '자가소비(B)'!$C:$C, $L$1),
    COUNTIFS('PPA 사업(C)'!$G:$G, AG$2, 'PPA 사업(C)'!$Q:$Q, $J18, 'PPA 사업(C)'!$C:$C, $L$1),
    COUNTIFS('리스사업(D)'!$G:$G, AG$2, '리스사업(D)'!$Q:$Q, $J18, '리스사업(D)'!$C:$C, $L$1),
    COUNTIFS('임대사업(E)'!$G:$G, AG$2, '임대사업(E)'!$Q:$Q, $J18, '임대사업(E)'!$C:$C, $L$1),
    COUNTIFS('환경부사업(F)'!$G:$G, AG$2, '환경부사업(F)'!$Q:$Q, $J18, '환경부사업(F)'!$C:$C, $L$1),
    COUNTIFS('프로젝트(G)'!$G:$G, AG$2, '프로젝트(G)'!$Q:$Q, $J18, '프로젝트(G)'!$C:$C, $L$1),
    COUNTIFS('협력사 EPC(H)'!$G:$G, AG$2, '협력사 EPC(H)'!$Q:$Q, $J18, '협력사 EPC(H)'!$C:$C, $L$1),
    COUNTIFS('기타(Z)'!$G:$G, AG$2, '기타(Z)'!$Q:$Q, $J18, '기타(Z)'!$C:$C, $L$1)
  ) = 0,
  "",
  COUNTIFS('발전사업(A)'!$G:$G, AG$2, '발전사업(A)'!$Q:$Q, $J18, '발전사업(A)'!$C:$C, $L$1)
  + COUNTIFS('자가소비(B)'!$G:$G, AG$2, '자가소비(B)'!$Q:$Q, $J18, '자가소비(B)'!$C:$C, $L$1)
  + COUNTIFS('PPA 사업(C)'!$G:$G, AG$2, 'PPA 사업(C)'!$Q:$Q, $J18, 'PPA 사업(C)'!$C:$C, $L$1)
  + COUNTIFS('리스사업(D)'!$G:$G, AG$2, '리스사업(D)'!$Q:$Q, $J18, '리스사업(D)'!$C:$C, $L$1)
  + COUNTIFS('임대사업(E)'!$G:$G, AG$2, '임대사업(E)'!$Q:$Q, $J18, '임대사업(E)'!$C:$C, $L$1)
  + COUNTIFS('환경부사업(F)'!$G:$G, AG$2, '환경부사업(F)'!$Q:$Q, $J18, '환경부사업(F)'!$C:$C, $L$1)
  + COUNTIFS('프로젝트(G)'!$G:$G, AG$2, '프로젝트(G)'!$Q:$Q, $J18, '프로젝트(G)'!$C:$C, $L$1)
  + COUNTIFS('협력사 EPC(H)'!$G:$G, AG$2, '협력사 EPC(H)'!$Q:$Q, $J18, '협력사 EPC(H)'!$C:$C, $L$1)
  + COUNTIFS('기타(Z)'!$G:$G, AG$2, '기타(Z)'!$Q:$Q, $J18, '기타(Z)'!$C:$C, $L$1)
)</f>
        <v>1</v>
      </c>
      <c r="AI18" s="386" t="str">
        <f>IF(
  SUM(
    SUMIFS('발전사업(A)'!$I:$I,'발전사업(A)'!$G:$G,AI$2,'발전사업(A)'!$Q:$Q,$J18,'발전사업(A)'!$C:$C,$L$1),
    SUMIFS('자가소비(B)'!$I:$I,'자가소비(B)'!$G:$G,AI$2,'자가소비(B)'!$Q:$Q,$J18,'자가소비(B)'!$C:$C,$L$1),
    SUMIFS('PPA 사업(C)'!$I:$I,'PPA 사업(C)'!$G:$G,AI$2,'PPA 사업(C)'!$Q:$Q,$J18,'PPA 사업(C)'!$C:$C,$L$1),
    SUMIFS('리스사업(D)'!$I:$I,'리스사업(D)'!$G:$G,AI$2,'리스사업(D)'!$Q:$Q,$J18,'리스사업(D)'!$C:$C,$L$1),
    SUMIFS('임대사업(E)'!$I:$I,'임대사업(E)'!$G:$G,AI$2,'임대사업(E)'!$Q:$Q,$J18,'임대사업(E)'!$C:$C,$L$1),
    SUMIFS('환경부사업(F)'!$I:$I,'환경부사업(F)'!$G:$G,AI$2,'환경부사업(F)'!$Q:$Q,$J18,'환경부사업(F)'!$C:$C,$L$1),
    SUMIFS('프로젝트(G)'!$I:$I,'프로젝트(G)'!$G:$G,AI$2,'프로젝트(G)'!$Q:$Q,$J18,'프로젝트(G)'!$C:$C,$L$1),
    SUMIFS('협력사 EPC(H)'!$I:$I,'협력사 EPC(H)'!$G:$G,AI$2,'협력사 EPC(H)'!$Q:$Q,$J18,'협력사 EPC(H)'!$C:$C,$L$1),
    SUMIFS('기타(Z)'!$I:$I,'기타(Z)'!$G:$G,AI$2,'기타(Z)'!$Q:$Q,$J18,'기타(Z)'!$C:$C,$L$1)
  )=0,
  "",
  SUM(
    SUMIFS('발전사업(A)'!$I:$I,'발전사업(A)'!$G:$G,AI$2,'발전사업(A)'!$Q:$Q,$J18,'발전사업(A)'!$C:$C,$L$1),
    SUMIFS('자가소비(B)'!$I:$I,'자가소비(B)'!$G:$G,AI$2,'자가소비(B)'!$Q:$Q,$J18,'자가소비(B)'!$C:$C,$L$1),
    SUMIFS('PPA 사업(C)'!$I:$I,'PPA 사업(C)'!$G:$G,AI$2,'PPA 사업(C)'!$Q:$Q,$J18,'PPA 사업(C)'!$C:$C,$L$1),
    SUMIFS('리스사업(D)'!$I:$I,'리스사업(D)'!$G:$G,AI$2,'리스사업(D)'!$Q:$Q,$J18,'리스사업(D)'!$C:$C,$L$1),
    SUMIFS('임대사업(E)'!$I:$I,'임대사업(E)'!$G:$G,AI$2,'임대사업(E)'!$Q:$Q,$J18,'임대사업(E)'!$C:$C,$L$1),
    SUMIFS('환경부사업(F)'!$I:$I,'환경부사업(F)'!$G:$G,AI$2,'환경부사업(F)'!$Q:$Q,$J18,'환경부사업(F)'!$C:$C,$L$1),
    SUMIFS('프로젝트(G)'!$I:$I,'프로젝트(G)'!$G:$G,AI$2,'프로젝트(G)'!$Q:$Q,$J18,'프로젝트(G)'!$C:$C,$L$1),
    SUMIFS('협력사 EPC(H)'!$I:$I,'협력사 EPC(H)'!$G:$G,AI$2,'협력사 EPC(H)'!$Q:$Q,$J18,'협력사 EPC(H)'!$C:$C,$L$1),
    SUMIFS('기타(Z)'!$I:$I,'기타(Z)'!$G:$G,AI$2,'기타(Z)'!$Q:$Q,$J18,'기타(Z)'!$C:$C,$L$1)
  )
)</f>
        <v/>
      </c>
      <c r="AJ18" s="385" t="str">
        <f>IF(
  SUM(
    COUNTIFS('발전사업(A)'!$G:$G, AI$2, '발전사업(A)'!$Q:$Q, $J18, '발전사업(A)'!$C:$C, $L$1),
    COUNTIFS('자가소비(B)'!$G:$G, AI$2, '자가소비(B)'!$Q:$Q, $J18, '자가소비(B)'!$C:$C, $L$1),
    COUNTIFS('PPA 사업(C)'!$G:$G, AI$2, 'PPA 사업(C)'!$Q:$Q, $J18, 'PPA 사업(C)'!$C:$C, $L$1),
    COUNTIFS('리스사업(D)'!$G:$G, AI$2, '리스사업(D)'!$Q:$Q, $J18, '리스사업(D)'!$C:$C, $L$1),
    COUNTIFS('임대사업(E)'!$G:$G, AI$2, '임대사업(E)'!$Q:$Q, $J18, '임대사업(E)'!$C:$C, $L$1),
    COUNTIFS('환경부사업(F)'!$G:$G, AI$2, '환경부사업(F)'!$Q:$Q, $J18, '환경부사업(F)'!$C:$C, $L$1),
    COUNTIFS('프로젝트(G)'!$G:$G, AI$2, '프로젝트(G)'!$Q:$Q, $J18, '프로젝트(G)'!$C:$C, $L$1),
    COUNTIFS('협력사 EPC(H)'!$G:$G, AI$2, '협력사 EPC(H)'!$Q:$Q, $J18, '협력사 EPC(H)'!$C:$C, $L$1),
    COUNTIFS('기타(Z)'!$G:$G, AI$2, '기타(Z)'!$Q:$Q, $J18, '기타(Z)'!$C:$C, $L$1)
  ) = 0,
  "",
  COUNTIFS('발전사업(A)'!$G:$G, AI$2, '발전사업(A)'!$Q:$Q, $J18, '발전사업(A)'!$C:$C, $L$1)
  + COUNTIFS('자가소비(B)'!$G:$G, AI$2, '자가소비(B)'!$Q:$Q, $J18, '자가소비(B)'!$C:$C, $L$1)
  + COUNTIFS('PPA 사업(C)'!$G:$G, AI$2, 'PPA 사업(C)'!$Q:$Q, $J18, 'PPA 사업(C)'!$C:$C, $L$1)
  + COUNTIFS('리스사업(D)'!$G:$G, AI$2, '리스사업(D)'!$Q:$Q, $J18, '리스사업(D)'!$C:$C, $L$1)
  + COUNTIFS('임대사업(E)'!$G:$G, AI$2, '임대사업(E)'!$Q:$Q, $J18, '임대사업(E)'!$C:$C, $L$1)
  + COUNTIFS('환경부사업(F)'!$G:$G, AI$2, '환경부사업(F)'!$Q:$Q, $J18, '환경부사업(F)'!$C:$C, $L$1)
  + COUNTIFS('프로젝트(G)'!$G:$G, AI$2, '프로젝트(G)'!$Q:$Q, $J18, '프로젝트(G)'!$C:$C, $L$1)
  + COUNTIFS('협력사 EPC(H)'!$G:$G, AI$2, '협력사 EPC(H)'!$Q:$Q, $J18, '협력사 EPC(H)'!$C:$C, $L$1)
  + COUNTIFS('기타(Z)'!$G:$G, AI$2, '기타(Z)'!$Q:$Q, $J18, '기타(Z)'!$C:$C, $L$1)
)</f>
        <v/>
      </c>
    </row>
    <row r="19" spans="2:36" ht="15" x14ac:dyDescent="0.25">
      <c r="B19" s="202" t="s">
        <v>261</v>
      </c>
      <c r="C19" s="280" t="str">
        <f>IF(
  SUM(
    SUMIFS('발전사업(A)'!I:I, '발전사업(A)'!C:C, $E$1, '발전사업(A)'!G:G, B15, '발전사업(A)'!W:W, B19),
    SUMIFS('자가소비(B)'!I:I, '자가소비(B)'!C:C, $E$1, '자가소비(B)'!G:G, B15, '자가소비(B)'!W:W, B19),
    SUMIFS('PPA 사업(C)'!I:I, 'PPA 사업(C)'!C:C, $E$1, 'PPA 사업(C)'!G:G, B15, 'PPA 사업(C)'!W:W, B19),
    SUMIFS('리스사업(D)'!I:I, '리스사업(D)'!C:C, $E$1, '리스사업(D)'!G:G, B15, '리스사업(D)'!W:W, B19),
    SUMIFS('임대사업(E)'!I:I, '임대사업(E)'!C:C, $E$1, '임대사업(E)'!G:G, B15, '임대사업(E)'!W:W, B19),
    SUMIFS('환경부사업(F)'!I:I, '환경부사업(F)'!C:C, $E$1, '환경부사업(F)'!G:G, B15, '환경부사업(F)'!W:W, B19),
    SUMIFS('프로젝트(G)'!I:I, '프로젝트(G)'!C:C, $E$1, '프로젝트(G)'!G:G, B15, '프로젝트(G)'!W:W, B19),
    SUMIFS('협력사 EPC(H)'!I:I, '협력사 EPC(H)'!C:C, $E$1, '협력사 EPC(H)'!G:G, B15, '협력사 EPC(H)'!W:W, B19),
    SUMIFS('기타(Z)'!I:I, '기타(Z)'!C:C, $E$1, '기타(Z)'!G:G, B15, '기타(Z)'!W:W, B19)
  ) = 0,
  "",
  SUMIFS('발전사업(A)'!I:I, '발전사업(A)'!C:C, $E$1, '발전사업(A)'!G:G, B15, '발전사업(A)'!W:W, B19)
  + SUMIFS('자가소비(B)'!I:I, '자가소비(B)'!C:C, $E$1, '자가소비(B)'!G:G, B15, '자가소비(B)'!W:W, B19)
  + SUMIFS('PPA 사업(C)'!I:I, 'PPA 사업(C)'!C:C, $E$1, 'PPA 사업(C)'!G:G, B15, 'PPA 사업(C)'!W:W, B19)
  + SUMIFS('리스사업(D)'!I:I, '리스사업(D)'!C:C, $E$1, '리스사업(D)'!G:G, B15, '리스사업(D)'!W:W, B19)
  + SUMIFS('임대사업(E)'!I:I, '임대사업(E)'!C:C, $E$1, '임대사업(E)'!G:G, B15, '임대사업(E)'!W:W, B19)
  + SUMIFS('환경부사업(F)'!I:I, '환경부사업(F)'!C:C, $E$1, '환경부사업(F)'!G:G, B15, '환경부사업(F)'!W:W, B19)
  + SUMIFS('프로젝트(G)'!I:I, '프로젝트(G)'!C:C, $E$1, '프로젝트(G)'!G:G, B15, '프로젝트(G)'!W:W, B19)
  + SUMIFS('협력사 EPC(H)'!I:I, '협력사 EPC(H)'!C:C, $E$1, '협력사 EPC(H)'!G:G, B15, '협력사 EPC(H)'!W:W, B19)
  + SUMIFS('기타(Z)'!I:I, '기타(Z)'!C:C, $E$1, '기타(Z)'!G:G, B15, '기타(Z)'!W:W, B19)
)</f>
        <v/>
      </c>
      <c r="D19" s="281" t="str">
        <f>IF(
  COUNTIFS('발전사업(A)'!C:C, $E$1, '발전사업(A)'!G:G, B15, '발전사업(A)'!W:W, B19)
  + COUNTIFS('자가소비(B)'!C:C, $E$1, '자가소비(B)'!G:G, B15, '자가소비(B)'!W:W, B19)
  + COUNTIFS('PPA 사업(C)'!C:C, $E$1, 'PPA 사업(C)'!G:G, B15, 'PPA 사업(C)'!W:W, B19)
  + COUNTIFS('리스사업(D)'!C:C, $E$1, '리스사업(D)'!G:G, B15, '리스사업(D)'!W:W, B19)
  + COUNTIFS('임대사업(E)'!C:C, $E$1, '임대사업(E)'!G:G, B15, '임대사업(E)'!W:W, B19)
  + COUNTIFS('환경부사업(F)'!C:C, $E$1, '환경부사업(F)'!G:G, B15, '환경부사업(F)'!W:W, B19)
  + COUNTIFS('프로젝트(G)'!C:C, $E$1, '프로젝트(G)'!G:G, B15, '프로젝트(G)'!W:W, B19)
  + COUNTIFS('협력사 EPC(H)'!C:C, $E$1, '협력사 EPC(H)'!G:G, B15, '협력사 EPC(H)'!W:W, B19)
  + COUNTIFS('기타(Z)'!C:C, $E$1, '기타(Z)'!G:G, B15, '기타(Z)'!W:W, B19)
  = 0,
  "",
  COUNTIFS('발전사업(A)'!C:C, $E$1, '발전사업(A)'!G:G, B15, '발전사업(A)'!W:W, B19)
  + COUNTIFS('자가소비(B)'!C:C, $E$1, '자가소비(B)'!G:G, B15, '자가소비(B)'!W:W, B19)
  + COUNTIFS('PPA 사업(C)'!C:C, $E$1, 'PPA 사업(C)'!G:G, B15, 'PPA 사업(C)'!W:W, B19)
  + COUNTIFS('리스사업(D)'!C:C, $E$1, '리스사업(D)'!G:G, B15, '리스사업(D)'!W:W, B19)
  + COUNTIFS('임대사업(E)'!C:C, $E$1, '임대사업(E)'!G:G, B15, '임대사업(E)'!W:W, B19)
  + COUNTIFS('환경부사업(F)'!C:C, $E$1, '환경부사업(F)'!G:G, B15, '환경부사업(F)'!W:W, B19)
  + COUNTIFS('프로젝트(G)'!C:C, $E$1, '프로젝트(G)'!G:G, B15, '프로젝트(G)'!W:W, B19)
  + COUNTIFS('협력사 EPC(H)'!C:C, $E$1, '협력사 EPC(H)'!G:G, B15, '협력사 EPC(H)'!W:W, B19)
  + COUNTIFS('기타(Z)'!C:C, $E$1, '기타(Z)'!G:G, B15, '기타(Z)'!W:W, B19)
)</f>
        <v/>
      </c>
      <c r="E19" s="280" t="str">
        <f>IF(
  SUM(
    SUMIFS('발전사업(A)'!I:I, '발전사업(A)'!C:C, $E$1, '발전사업(A)'!G:G, B15, '발전사업(A)'!W:W, B19, '발전사업(A)'!U:U, $C$1),
    SUMIFS('자가소비(B)'!I:I, '자가소비(B)'!C:C, $E$1, '자가소비(B)'!G:G, B15, '자가소비(B)'!W:W, B19, '자가소비(B)'!U:U, $C$1),
    SUMIFS('PPA 사업(C)'!I:I, 'PPA 사업(C)'!C:C, $E$1, 'PPA 사업(C)'!G:G, B15, 'PPA 사업(C)'!W:W, B19, 'PPA 사업(C)'!U:U, $C$1),
    SUMIFS('리스사업(D)'!I:I, '리스사업(D)'!C:C, $E$1, '리스사업(D)'!G:G, B15, '리스사업(D)'!W:W, B19, '리스사업(D)'!U:U, $C$1),
    SUMIFS('임대사업(E)'!I:I, '임대사업(E)'!C:C, $E$1, '임대사업(E)'!G:G, B15, '임대사업(E)'!W:W, B19, '임대사업(E)'!U:U, $C$1),
    SUMIFS('환경부사업(F)'!I:I, '환경부사업(F)'!C:C, $E$1, '환경부사업(F)'!G:G, B15, '환경부사업(F)'!W:W, B19, '환경부사업(F)'!U:U, $C$1),
    SUMIFS('프로젝트(G)'!I:I, '프로젝트(G)'!C:C, $E$1, '프로젝트(G)'!G:G, B15, '프로젝트(G)'!W:W, B19, '프로젝트(G)'!U:U, $C$1),
    SUMIFS('협력사 EPC(H)'!I:I, '협력사 EPC(H)'!C:C, $E$1, '협력사 EPC(H)'!G:G, B15, '협력사 EPC(H)'!W:W, B19, '협력사 EPC(H)'!U:U, $C$1),
    SUMIFS('기타(Z)'!I:I, '기타(Z)'!C:C, $E$1, '기타(Z)'!G:G, B15, '기타(Z)'!W:W, B19, '기타(Z)'!U:U, $C$1)
  ) = 0,
  "",
  SUM(
    SUMIFS('발전사업(A)'!I:I, '발전사업(A)'!C:C, $E$1, '발전사업(A)'!G:G, B15, '발전사업(A)'!W:W, B19, '발전사업(A)'!U:U, $C$1),
    SUMIFS('자가소비(B)'!I:I, '자가소비(B)'!C:C, $E$1, '자가소비(B)'!G:G, B15, '자가소비(B)'!W:W, B19, '자가소비(B)'!U:U, $C$1),
    SUMIFS('PPA 사업(C)'!I:I, 'PPA 사업(C)'!C:C, $E$1, 'PPA 사업(C)'!G:G, B15, 'PPA 사업(C)'!W:W, B19, 'PPA 사업(C)'!U:U, $C$1),
    SUMIFS('리스사업(D)'!I:I, '리스사업(D)'!C:C, $E$1, '리스사업(D)'!G:G, B15, '리스사업(D)'!W:W, B19, '리스사업(D)'!U:U, $C$1),
    SUMIFS('임대사업(E)'!I:I, '임대사업(E)'!C:C, $E$1, '임대사업(E)'!G:G, B15, '임대사업(E)'!W:W, B19, '임대사업(E)'!U:U, $C$1),
    SUMIFS('환경부사업(F)'!I:I, '환경부사업(F)'!C:C, $E$1, '환경부사업(F)'!G:G, B15, '환경부사업(F)'!W:W, B19, '환경부사업(F)'!U:U, $C$1),
    SUMIFS('프로젝트(G)'!I:I, '프로젝트(G)'!C:C, $E$1, '프로젝트(G)'!G:G, B15, '프로젝트(G)'!W:W, B19, '프로젝트(G)'!U:U, $C$1),
    SUMIFS('협력사 EPC(H)'!I:I, '협력사 EPC(H)'!C:C, $E$1, '협력사 EPC(H)'!G:G, B15, '협력사 EPC(H)'!W:W, B19, '협력사 EPC(H)'!U:U, $C$1),
    SUMIFS('기타(Z)'!I:I, '기타(Z)'!C:C, $E$1, '기타(Z)'!G:G, B15, '기타(Z)'!W:W, B19, '기타(Z)'!U:U, $C$1)
  )
)</f>
        <v/>
      </c>
      <c r="F19" s="281" t="str">
        <f>IF(
  SUM(
    COUNTIFS('발전사업(A)'!C:C, $E$1, '발전사업(A)'!G:G, B15, '발전사업(A)'!W:W, B19, '발전사업(A)'!U:U, $C$1),
    COUNTIFS('자가소비(B)'!C:C, $E$1, '자가소비(B)'!G:G, B15, '자가소비(B)'!W:W, B19, '자가소비(B)'!U:U, $C$1),
    COUNTIFS('PPA 사업(C)'!C:C, $E$1, 'PPA 사업(C)'!G:G, B15, 'PPA 사업(C)'!W:W, B19, 'PPA 사업(C)'!U:U, $C$1),
    COUNTIFS('리스사업(D)'!C:C, $E$1, '리스사업(D)'!G:G, B15, '리스사업(D)'!W:W, B19, '리스사업(D)'!U:U, $C$1),
    COUNTIFS('임대사업(E)'!C:C, $E$1, '임대사업(E)'!G:G, B15, '임대사업(E)'!W:W, B19, '임대사업(E)'!U:U, $C$1),
    COUNTIFS('환경부사업(F)'!C:C, $E$1, '환경부사업(F)'!G:G, B15, '환경부사업(F)'!W:W, B19, '환경부사업(F)'!U:U, $C$1),
    COUNTIFS('프로젝트(G)'!C:C, $E$1, '프로젝트(G)'!G:G, B15, '프로젝트(G)'!W:W, B19, '프로젝트(G)'!U:U, $C$1),
    COUNTIFS('협력사 EPC(H)'!C:C, $E$1, '협력사 EPC(H)'!G:G, B15, '협력사 EPC(H)'!W:W, B19, '협력사 EPC(H)'!U:U, $C$1),
    COUNTIFS('기타(Z)'!C:C, $E$1, '기타(Z)'!G:G, B15, '기타(Z)'!W:W, B19, '기타(Z)'!U:U, $C$1)
  ) = 0,
  "",
  SUM(
    COUNTIFS('발전사업(A)'!C:C, $E$1, '발전사업(A)'!G:G, B15, '발전사업(A)'!W:W, B19, '발전사업(A)'!U:U, $C$1),
    COUNTIFS('자가소비(B)'!C:C, $E$1, '자가소비(B)'!G:G, B15, '자가소비(B)'!W:W, B19, '자가소비(B)'!U:U, $C$1),
    COUNTIFS('PPA 사업(C)'!C:C, $E$1, 'PPA 사업(C)'!G:G, B15, 'PPA 사업(C)'!W:W, B19, 'PPA 사업(C)'!U:U, $C$1),
    COUNTIFS('리스사업(D)'!C:C, $E$1, '리스사업(D)'!G:G, B15, '리스사업(D)'!W:W, B19, '리스사업(D)'!U:U, $C$1),
    COUNTIFS('임대사업(E)'!C:C, $E$1, '임대사업(E)'!G:G, B15, '임대사업(E)'!W:W, B19, '임대사업(E)'!U:U, $C$1),
    COUNTIFS('환경부사업(F)'!C:C, $E$1, '환경부사업(F)'!G:G, B15, '환경부사업(F)'!W:W, B19, '환경부사업(F)'!U:U, $C$1),
    COUNTIFS('프로젝트(G)'!C:C, $E$1, '프로젝트(G)'!G:G, B15, '프로젝트(G)'!W:W, B19, '프로젝트(G)'!U:U, $C$1),
    COUNTIFS('협력사 EPC(H)'!C:C, $E$1, '협력사 EPC(H)'!G:G, B15, '협력사 EPC(H)'!W:W, B19, '협력사 EPC(H)'!U:U, $C$1),
    COUNTIFS('기타(Z)'!C:C, $E$1, '기타(Z)'!G:G, B15, '기타(Z)'!W:W, B19, '기타(Z)'!U:U, $C$1)
  )
)</f>
        <v/>
      </c>
      <c r="G19" s="280" t="str">
        <f>IF(
  SUM(
    SUMIFS('발전사업(A)'!I:I, '발전사업(A)'!C:C, $E$1, '발전사업(A)'!G:G, B15, '발전사업(A)'!W:W, B19, '발전사업(A)'!U:U, $D$1),
    SUMIFS('자가소비(B)'!I:I, '자가소비(B)'!C:C, $E$1, '자가소비(B)'!G:G, B15, '자가소비(B)'!W:W, B19, '자가소비(B)'!U:U, $D$1),
    SUMIFS('PPA 사업(C)'!I:I, 'PPA 사업(C)'!C:C, $E$1, 'PPA 사업(C)'!G:G, B15, 'PPA 사업(C)'!W:W, B19, 'PPA 사업(C)'!U:U, $D$1),
    SUMIFS('리스사업(D)'!I:I, '리스사업(D)'!C:C, $E$1, '리스사업(D)'!G:G, B15, '리스사업(D)'!W:W, B19, '리스사업(D)'!U:U, $D$1),
    SUMIFS('임대사업(E)'!I:I, '임대사업(E)'!C:C, $E$1, '임대사업(E)'!G:G, B15, '임대사업(E)'!W:W, B19, '임대사업(E)'!U:U, $D$1),
    SUMIFS('환경부사업(F)'!I:I, '환경부사업(F)'!C:C, $E$1, '환경부사업(F)'!G:G, B15, '환경부사업(F)'!W:W, B19, '환경부사업(F)'!U:U, $D$1),
    SUMIFS('프로젝트(G)'!I:I, '프로젝트(G)'!C:C, $E$1, '프로젝트(G)'!G:G, B15, '프로젝트(G)'!W:W, B19, '프로젝트(G)'!U:U, $D$1),
    SUMIFS('협력사 EPC(H)'!I:I, '협력사 EPC(H)'!C:C, $E$1, '협력사 EPC(H)'!G:G, B15, '협력사 EPC(H)'!W:W, B19, '협력사 EPC(H)'!U:U, $D$1),
    SUMIFS('기타(Z)'!I:I, '기타(Z)'!C:C, $E$1, '기타(Z)'!G:G, B15, '기타(Z)'!W:W, B19, '기타(Z)'!U:U, $D$1)
  ) = 0,
  "",
  SUM(
    SUMIFS('발전사업(A)'!I:I, '발전사업(A)'!C:C, $E$1, '발전사업(A)'!G:G, B15, '발전사업(A)'!W:W, B19, '발전사업(A)'!U:U, $D$1),
    SUMIFS('자가소비(B)'!I:I, '자가소비(B)'!C:C, $E$1, '자가소비(B)'!G:G, B15, '자가소비(B)'!W:W, B19, '자가소비(B)'!U:U, $D$1),
    SUMIFS('PPA 사업(C)'!I:I, 'PPA 사업(C)'!C:C, $E$1, 'PPA 사업(C)'!G:G, B15, 'PPA 사업(C)'!W:W, B19, 'PPA 사업(C)'!U:U, $D$1),
    SUMIFS('리스사업(D)'!I:I, '리스사업(D)'!C:C, $E$1, '리스사업(D)'!G:G, B15, '리스사업(D)'!W:W, B19, '리스사업(D)'!U:U, $D$1),
    SUMIFS('임대사업(E)'!I:I, '임대사업(E)'!C:C, $E$1, '임대사업(E)'!G:G, B15, '임대사업(E)'!W:W, B19, '임대사업(E)'!U:U, $D$1),
    SUMIFS('환경부사업(F)'!I:I, '환경부사업(F)'!C:C, $E$1, '환경부사업(F)'!G:G, B15, '환경부사업(F)'!W:W, B19, '환경부사업(F)'!U:U, $D$1),
    SUMIFS('프로젝트(G)'!I:I, '프로젝트(G)'!C:C, $E$1, '프로젝트(G)'!G:G, B15, '프로젝트(G)'!W:W, B19, '프로젝트(G)'!U:U, $D$1),
    SUMIFS('협력사 EPC(H)'!I:I, '협력사 EPC(H)'!C:C, $E$1, '협력사 EPC(H)'!G:G, B15, '협력사 EPC(H)'!W:W, B19, '협력사 EPC(H)'!U:U, $D$1),
    SUMIFS('기타(Z)'!I:I, '기타(Z)'!C:C, $E$1, '기타(Z)'!G:G, B15, '기타(Z)'!W:W, B19, '기타(Z)'!U:U, $D$1)
  )
)</f>
        <v/>
      </c>
      <c r="H19" s="281" t="str">
        <f>IF(
  (
    COUNTIFS('발전사업(A)'!C:C, $E$1, '발전사업(A)'!G:G, B15, '발전사업(A)'!W:W, B19, '발전사업(A)'!U:U, $D$1)
    + COUNTIFS('자가소비(B)'!C:C, $E$1, '자가소비(B)'!G:G, B15, '자가소비(B)'!W:W, B19, '자가소비(B)'!U:U, $D$1)
    + COUNTIFS('PPA 사업(C)'!C:C, $E$1, 'PPA 사업(C)'!G:G, B15, 'PPA 사업(C)'!W:W, B19, 'PPA 사업(C)'!U:U, $D$1)
    + COUNTIFS('리스사업(D)'!C:C, $E$1, '리스사업(D)'!G:G, B15, '리스사업(D)'!W:W, B19, '리스사업(D)'!U:U, $D$1)
    + COUNTIFS('임대사업(E)'!C:C, $E$1, '임대사업(E)'!G:G, B15, '임대사업(E)'!W:W, B19, '임대사업(E)'!U:U, $D$1)
    + COUNTIFS('환경부사업(F)'!C:C, $E$1, '환경부사업(F)'!G:G, B15, '환경부사업(F)'!W:W, B19, '환경부사업(F)'!U:U, $D$1)
    + COUNTIFS('프로젝트(G)'!C:C, $E$1, '프로젝트(G)'!G:G, B15, '프로젝트(G)'!W:W, B19, '프로젝트(G)'!U:U, $D$1)
    + COUNTIFS('협력사 EPC(H)'!C:C, $E$1, '협력사 EPC(H)'!G:G, B15, '협력사 EPC(H)'!W:W, B19, '협력사 EPC(H)'!U:U, $D$1)
    + COUNTIFS('기타(Z)'!C:C, $E$1, '기타(Z)'!G:G, B15, '기타(Z)'!W:W, B19, '기타(Z)'!U:U, $D$1)
  ) = 0,
  "",
  COUNTIFS('발전사업(A)'!C:C, $E$1, '발전사업(A)'!G:G, B15, '발전사업(A)'!W:W, B19, '발전사업(A)'!U:U, $D$1)
  + COUNTIFS('자가소비(B)'!C:C, $E$1, '자가소비(B)'!G:G, B15, '자가소비(B)'!W:W, B19, '자가소비(B)'!U:U, $D$1)
  + COUNTIFS('PPA 사업(C)'!C:C, $E$1, 'PPA 사업(C)'!G:G, B15, 'PPA 사업(C)'!W:W, B19, 'PPA 사업(C)'!U:U, $D$1)
  + COUNTIFS('리스사업(D)'!C:C, $E$1, '리스사업(D)'!G:G, B15, '리스사업(D)'!W:W, B19, '리스사업(D)'!U:U, $D$1)
  + COUNTIFS('임대사업(E)'!C:C, $E$1, '임대사업(E)'!G:G, B15, '임대사업(E)'!W:W, B19, '임대사업(E)'!U:U, $D$1)
  + COUNTIFS('환경부사업(F)'!C:C, $E$1, '환경부사업(F)'!G:G, B15, '환경부사업(F)'!W:W, B19, '환경부사업(F)'!U:U, $D$1)
  + COUNTIFS('프로젝트(G)'!C:C, $E$1, '프로젝트(G)'!G:G, B15, '프로젝트(G)'!W:W, B19, '프로젝트(G)'!U:U, $D$1)
  + COUNTIFS('협력사 EPC(H)'!C:C, $E$1, '협력사 EPC(H)'!G:G, B15, '협력사 EPC(H)'!W:W, B19, '협력사 EPC(H)'!U:U, $D$1)
  + COUNTIFS('기타(Z)'!C:C, $E$1, '기타(Z)'!G:G, B15, '기타(Z)'!W:W, B19, '기타(Z)'!U:U, $D$1)
)</f>
        <v/>
      </c>
      <c r="J19" s="391" t="s">
        <v>2138</v>
      </c>
      <c r="K19" s="374">
        <f t="shared" si="7"/>
        <v>3560.58</v>
      </c>
      <c r="L19" s="368">
        <f t="shared" si="8"/>
        <v>7</v>
      </c>
      <c r="M19" s="386">
        <f>IF(
  SUM(
    SUMIFS('발전사업(A)'!$I:$I,'발전사업(A)'!$G:$G,M$2,'발전사업(A)'!$Q:$Q,$J19,'발전사업(A)'!$C:$C,$L$1),
    SUMIFS('자가소비(B)'!$I:$I,'자가소비(B)'!$G:$G,M$2,'자가소비(B)'!$Q:$Q,$J19,'자가소비(B)'!$C:$C,$L$1),
    SUMIFS('PPA 사업(C)'!$I:$I,'PPA 사업(C)'!$G:$G,M$2,'PPA 사업(C)'!$Q:$Q,$J19,'PPA 사업(C)'!$C:$C,$L$1),
    SUMIFS('리스사업(D)'!$I:$I,'리스사업(D)'!$G:$G,M$2,'리스사업(D)'!$Q:$Q,$J19,'리스사업(D)'!$C:$C,$L$1),
    SUMIFS('임대사업(E)'!$I:$I,'임대사업(E)'!$G:$G,M$2,'임대사업(E)'!$Q:$Q,$J19,'임대사업(E)'!$C:$C,$L$1),
    SUMIFS('환경부사업(F)'!$I:$I,'환경부사업(F)'!$G:$G,M$2,'환경부사업(F)'!$Q:$Q,$J19,'환경부사업(F)'!$C:$C,$L$1),
    SUMIFS('프로젝트(G)'!$I:$I,'프로젝트(G)'!$G:$G,M$2,'프로젝트(G)'!$Q:$Q,$J19,'프로젝트(G)'!$C:$C,$L$1),
    SUMIFS('협력사 EPC(H)'!$I:$I,'협력사 EPC(H)'!$G:$G,M$2,'협력사 EPC(H)'!$Q:$Q,$J19,'협력사 EPC(H)'!$C:$C,$L$1),
    SUMIFS('기타(Z)'!$I:$I,'기타(Z)'!$G:$G,M$2,'기타(Z)'!$Q:$Q,$J19,'기타(Z)'!$C:$C,$L$1)
  )=0,
  "",
  SUM(
    SUMIFS('발전사업(A)'!$I:$I,'발전사업(A)'!$G:$G,M$2,'발전사업(A)'!$Q:$Q,$J19,'발전사업(A)'!$C:$C,$L$1),
    SUMIFS('자가소비(B)'!$I:$I,'자가소비(B)'!$G:$G,M$2,'자가소비(B)'!$Q:$Q,$J19,'자가소비(B)'!$C:$C,$L$1),
    SUMIFS('PPA 사업(C)'!$I:$I,'PPA 사업(C)'!$G:$G,M$2,'PPA 사업(C)'!$Q:$Q,$J19,'PPA 사업(C)'!$C:$C,$L$1),
    SUMIFS('리스사업(D)'!$I:$I,'리스사업(D)'!$G:$G,M$2,'리스사업(D)'!$Q:$Q,$J19,'리스사업(D)'!$C:$C,$L$1),
    SUMIFS('임대사업(E)'!$I:$I,'임대사업(E)'!$G:$G,M$2,'임대사업(E)'!$Q:$Q,$J19,'임대사업(E)'!$C:$C,$L$1),
    SUMIFS('환경부사업(F)'!$I:$I,'환경부사업(F)'!$G:$G,M$2,'환경부사업(F)'!$Q:$Q,$J19,'환경부사업(F)'!$C:$C,$L$1),
    SUMIFS('프로젝트(G)'!$I:$I,'프로젝트(G)'!$G:$G,M$2,'프로젝트(G)'!$Q:$Q,$J19,'프로젝트(G)'!$C:$C,$L$1),
    SUMIFS('협력사 EPC(H)'!$I:$I,'협력사 EPC(H)'!$G:$G,M$2,'협력사 EPC(H)'!$Q:$Q,$J19,'협력사 EPC(H)'!$C:$C,$L$1),
    SUMIFS('기타(Z)'!$I:$I,'기타(Z)'!$G:$G,M$2,'기타(Z)'!$Q:$Q,$J19,'기타(Z)'!$C:$C,$L$1)
  )
)</f>
        <v>598.80499999999995</v>
      </c>
      <c r="N19" s="387">
        <f>IF(
  SUM(
    COUNTIFS('발전사업(A)'!$G:$G, M$2, '발전사업(A)'!$Q:$Q, $J19, '발전사업(A)'!$C:$C, $L$1),
    COUNTIFS('자가소비(B)'!$G:$G, M$2, '자가소비(B)'!$Q:$Q, $J19, '자가소비(B)'!$C:$C, $L$1),
    COUNTIFS('PPA 사업(C)'!$G:$G, M$2, 'PPA 사업(C)'!$Q:$Q, $J19, 'PPA 사업(C)'!$C:$C, $L$1),
    COUNTIFS('리스사업(D)'!$G:$G, M$2, '리스사업(D)'!$Q:$Q, $J19, '리스사업(D)'!$C:$C, $L$1),
    COUNTIFS('임대사업(E)'!$G:$G, M$2, '임대사업(E)'!$Q:$Q, $J19, '임대사업(E)'!$C:$C, $L$1),
    COUNTIFS('환경부사업(F)'!$G:$G, M$2, '환경부사업(F)'!$Q:$Q, $J19, '환경부사업(F)'!$C:$C, $L$1),
    COUNTIFS('프로젝트(G)'!$G:$G, M$2, '프로젝트(G)'!$Q:$Q, $J19, '프로젝트(G)'!$C:$C, $L$1),
    COUNTIFS('협력사 EPC(H)'!$G:$G, M$2, '협력사 EPC(H)'!$Q:$Q, $J19, '협력사 EPC(H)'!$C:$C, $L$1),
    COUNTIFS('기타(Z)'!$G:$G, M$2, '기타(Z)'!$Q:$Q, $J19, '기타(Z)'!$C:$C, $L$1)
  ) = 0,
  "",
  COUNTIFS('발전사업(A)'!$G:$G, M$2, '발전사업(A)'!$Q:$Q, $J19, '발전사업(A)'!$C:$C, $L$1)
  + COUNTIFS('자가소비(B)'!$G:$G, M$2, '자가소비(B)'!$Q:$Q, $J19, '자가소비(B)'!$C:$C, $L$1)
  + COUNTIFS('PPA 사업(C)'!$G:$G, M$2, 'PPA 사업(C)'!$Q:$Q, $J19, 'PPA 사업(C)'!$C:$C, $L$1)
  + COUNTIFS('리스사업(D)'!$G:$G, M$2, '리스사업(D)'!$Q:$Q, $J19, '리스사업(D)'!$C:$C, $L$1)
  + COUNTIFS('임대사업(E)'!$G:$G, M$2, '임대사업(E)'!$Q:$Q, $J19, '임대사업(E)'!$C:$C, $L$1)
  + COUNTIFS('환경부사업(F)'!$G:$G, M$2, '환경부사업(F)'!$Q:$Q, $J19, '환경부사업(F)'!$C:$C, $L$1)
  + COUNTIFS('프로젝트(G)'!$G:$G, M$2, '프로젝트(G)'!$Q:$Q, $J19, '프로젝트(G)'!$C:$C, $L$1)
  + COUNTIFS('협력사 EPC(H)'!$G:$G, M$2, '협력사 EPC(H)'!$Q:$Q, $J19, '협력사 EPC(H)'!$C:$C, $L$1)
  + COUNTIFS('기타(Z)'!$G:$G, M$2, '기타(Z)'!$Q:$Q, $J19, '기타(Z)'!$C:$C, $L$1)
)</f>
        <v>2</v>
      </c>
      <c r="O19" s="386" t="str">
        <f>IF(
  SUM(
    SUMIFS('발전사업(A)'!$I:$I,'발전사업(A)'!$G:$G,O$2,'발전사업(A)'!$Q:$Q,$J19,'발전사업(A)'!$C:$C,$L$1),
    SUMIFS('자가소비(B)'!$I:$I,'자가소비(B)'!$G:$G,O$2,'자가소비(B)'!$Q:$Q,$J19,'자가소비(B)'!$C:$C,$L$1),
    SUMIFS('PPA 사업(C)'!$I:$I,'PPA 사업(C)'!$G:$G,O$2,'PPA 사업(C)'!$Q:$Q,$J19,'PPA 사업(C)'!$C:$C,$L$1),
    SUMIFS('리스사업(D)'!$I:$I,'리스사업(D)'!$G:$G,O$2,'리스사업(D)'!$Q:$Q,$J19,'리스사업(D)'!$C:$C,$L$1),
    SUMIFS('임대사업(E)'!$I:$I,'임대사업(E)'!$G:$G,O$2,'임대사업(E)'!$Q:$Q,$J19,'임대사업(E)'!$C:$C,$L$1),
    SUMIFS('환경부사업(F)'!$I:$I,'환경부사업(F)'!$G:$G,O$2,'환경부사업(F)'!$Q:$Q,$J19,'환경부사업(F)'!$C:$C,$L$1),
    SUMIFS('프로젝트(G)'!$I:$I,'프로젝트(G)'!$G:$G,O$2,'프로젝트(G)'!$Q:$Q,$J19,'프로젝트(G)'!$C:$C,$L$1),
    SUMIFS('협력사 EPC(H)'!$I:$I,'협력사 EPC(H)'!$G:$G,O$2,'협력사 EPC(H)'!$Q:$Q,$J19,'협력사 EPC(H)'!$C:$C,$L$1),
    SUMIFS('기타(Z)'!$I:$I,'기타(Z)'!$G:$G,O$2,'기타(Z)'!$Q:$Q,$J19,'기타(Z)'!$C:$C,$L$1)
  )=0,
  "",
  SUM(
    SUMIFS('발전사업(A)'!$I:$I,'발전사업(A)'!$G:$G,O$2,'발전사업(A)'!$Q:$Q,$J19,'발전사업(A)'!$C:$C,$L$1),
    SUMIFS('자가소비(B)'!$I:$I,'자가소비(B)'!$G:$G,O$2,'자가소비(B)'!$Q:$Q,$J19,'자가소비(B)'!$C:$C,$L$1),
    SUMIFS('PPA 사업(C)'!$I:$I,'PPA 사업(C)'!$G:$G,O$2,'PPA 사업(C)'!$Q:$Q,$J19,'PPA 사업(C)'!$C:$C,$L$1),
    SUMIFS('리스사업(D)'!$I:$I,'리스사업(D)'!$G:$G,O$2,'리스사업(D)'!$Q:$Q,$J19,'리스사업(D)'!$C:$C,$L$1),
    SUMIFS('임대사업(E)'!$I:$I,'임대사업(E)'!$G:$G,O$2,'임대사업(E)'!$Q:$Q,$J19,'임대사업(E)'!$C:$C,$L$1),
    SUMIFS('환경부사업(F)'!$I:$I,'환경부사업(F)'!$G:$G,O$2,'환경부사업(F)'!$Q:$Q,$J19,'환경부사업(F)'!$C:$C,$L$1),
    SUMIFS('프로젝트(G)'!$I:$I,'프로젝트(G)'!$G:$G,O$2,'프로젝트(G)'!$Q:$Q,$J19,'프로젝트(G)'!$C:$C,$L$1),
    SUMIFS('협력사 EPC(H)'!$I:$I,'협력사 EPC(H)'!$G:$G,O$2,'협력사 EPC(H)'!$Q:$Q,$J19,'협력사 EPC(H)'!$C:$C,$L$1),
    SUMIFS('기타(Z)'!$I:$I,'기타(Z)'!$G:$G,O$2,'기타(Z)'!$Q:$Q,$J19,'기타(Z)'!$C:$C,$L$1)
  )
)</f>
        <v/>
      </c>
      <c r="P19" s="387" t="str">
        <f>IF(
  SUM(
    COUNTIFS('발전사업(A)'!$G:$G, O$2, '발전사업(A)'!$Q:$Q, $J19, '발전사업(A)'!$C:$C, $L$1),
    COUNTIFS('자가소비(B)'!$G:$G, O$2, '자가소비(B)'!$Q:$Q, $J19, '자가소비(B)'!$C:$C, $L$1),
    COUNTIFS('PPA 사업(C)'!$G:$G, O$2, 'PPA 사업(C)'!$Q:$Q, $J19, 'PPA 사업(C)'!$C:$C, $L$1),
    COUNTIFS('리스사업(D)'!$G:$G, O$2, '리스사업(D)'!$Q:$Q, $J19, '리스사업(D)'!$C:$C, $L$1),
    COUNTIFS('임대사업(E)'!$G:$G, O$2, '임대사업(E)'!$Q:$Q, $J19, '임대사업(E)'!$C:$C, $L$1),
    COUNTIFS('환경부사업(F)'!$G:$G, O$2, '환경부사업(F)'!$Q:$Q, $J19, '환경부사업(F)'!$C:$C, $L$1),
    COUNTIFS('프로젝트(G)'!$G:$G, O$2, '프로젝트(G)'!$Q:$Q, $J19, '프로젝트(G)'!$C:$C, $L$1),
    COUNTIFS('협력사 EPC(H)'!$G:$G, O$2, '협력사 EPC(H)'!$Q:$Q, $J19, '협력사 EPC(H)'!$C:$C, $L$1),
    COUNTIFS('기타(Z)'!$G:$G, O$2, '기타(Z)'!$Q:$Q, $J19, '기타(Z)'!$C:$C, $L$1)
  ) = 0,
  "",
  COUNTIFS('발전사업(A)'!$G:$G, O$2, '발전사업(A)'!$Q:$Q, $J19, '발전사업(A)'!$C:$C, $L$1)
  + COUNTIFS('자가소비(B)'!$G:$G, O$2, '자가소비(B)'!$Q:$Q, $J19, '자가소비(B)'!$C:$C, $L$1)
  + COUNTIFS('PPA 사업(C)'!$G:$G, O$2, 'PPA 사업(C)'!$Q:$Q, $J19, 'PPA 사업(C)'!$C:$C, $L$1)
  + COUNTIFS('리스사업(D)'!$G:$G, O$2, '리스사업(D)'!$Q:$Q, $J19, '리스사업(D)'!$C:$C, $L$1)
  + COUNTIFS('임대사업(E)'!$G:$G, O$2, '임대사업(E)'!$Q:$Q, $J19, '임대사업(E)'!$C:$C, $L$1)
  + COUNTIFS('환경부사업(F)'!$G:$G, O$2, '환경부사업(F)'!$Q:$Q, $J19, '환경부사업(F)'!$C:$C, $L$1)
  + COUNTIFS('프로젝트(G)'!$G:$G, O$2, '프로젝트(G)'!$Q:$Q, $J19, '프로젝트(G)'!$C:$C, $L$1)
  + COUNTIFS('협력사 EPC(H)'!$G:$G, O$2, '협력사 EPC(H)'!$Q:$Q, $J19, '협력사 EPC(H)'!$C:$C, $L$1)
  + COUNTIFS('기타(Z)'!$G:$G, O$2, '기타(Z)'!$Q:$Q, $J19, '기타(Z)'!$C:$C, $L$1)
)</f>
        <v/>
      </c>
      <c r="Q19" s="386">
        <f>IF(
  SUM(
    SUMIFS('발전사업(A)'!$I:$I,'발전사업(A)'!$G:$G,Q$2,'발전사업(A)'!$Q:$Q,$J19,'발전사업(A)'!$C:$C,$L$1),
    SUMIFS('자가소비(B)'!$I:$I,'자가소비(B)'!$G:$G,Q$2,'자가소비(B)'!$Q:$Q,$J19,'자가소비(B)'!$C:$C,$L$1),
    SUMIFS('PPA 사업(C)'!$I:$I,'PPA 사업(C)'!$G:$G,Q$2,'PPA 사업(C)'!$Q:$Q,$J19,'PPA 사업(C)'!$C:$C,$L$1),
    SUMIFS('리스사업(D)'!$I:$I,'리스사업(D)'!$G:$G,Q$2,'리스사업(D)'!$Q:$Q,$J19,'리스사업(D)'!$C:$C,$L$1),
    SUMIFS('임대사업(E)'!$I:$I,'임대사업(E)'!$G:$G,Q$2,'임대사업(E)'!$Q:$Q,$J19,'임대사업(E)'!$C:$C,$L$1),
    SUMIFS('환경부사업(F)'!$I:$I,'환경부사업(F)'!$G:$G,Q$2,'환경부사업(F)'!$Q:$Q,$J19,'환경부사업(F)'!$C:$C,$L$1),
    SUMIFS('프로젝트(G)'!$I:$I,'프로젝트(G)'!$G:$G,Q$2,'프로젝트(G)'!$Q:$Q,$J19,'프로젝트(G)'!$C:$C,$L$1),
    SUMIFS('협력사 EPC(H)'!$I:$I,'협력사 EPC(H)'!$G:$G,Q$2,'협력사 EPC(H)'!$Q:$Q,$J19,'협력사 EPC(H)'!$C:$C,$L$1),
    SUMIFS('기타(Z)'!$I:$I,'기타(Z)'!$G:$G,Q$2,'기타(Z)'!$Q:$Q,$J19,'기타(Z)'!$C:$C,$L$1)
  )=0,
  "",
  SUM(
    SUMIFS('발전사업(A)'!$I:$I,'발전사업(A)'!$G:$G,Q$2,'발전사업(A)'!$Q:$Q,$J19,'발전사업(A)'!$C:$C,$L$1),
    SUMIFS('자가소비(B)'!$I:$I,'자가소비(B)'!$G:$G,Q$2,'자가소비(B)'!$Q:$Q,$J19,'자가소비(B)'!$C:$C,$L$1),
    SUMIFS('PPA 사업(C)'!$I:$I,'PPA 사업(C)'!$G:$G,Q$2,'PPA 사업(C)'!$Q:$Q,$J19,'PPA 사업(C)'!$C:$C,$L$1),
    SUMIFS('리스사업(D)'!$I:$I,'리스사업(D)'!$G:$G,Q$2,'리스사업(D)'!$Q:$Q,$J19,'리스사업(D)'!$C:$C,$L$1),
    SUMIFS('임대사업(E)'!$I:$I,'임대사업(E)'!$G:$G,Q$2,'임대사업(E)'!$Q:$Q,$J19,'임대사업(E)'!$C:$C,$L$1),
    SUMIFS('환경부사업(F)'!$I:$I,'환경부사업(F)'!$G:$G,Q$2,'환경부사업(F)'!$Q:$Q,$J19,'환경부사업(F)'!$C:$C,$L$1),
    SUMIFS('프로젝트(G)'!$I:$I,'프로젝트(G)'!$G:$G,Q$2,'프로젝트(G)'!$Q:$Q,$J19,'프로젝트(G)'!$C:$C,$L$1),
    SUMIFS('협력사 EPC(H)'!$I:$I,'협력사 EPC(H)'!$G:$G,Q$2,'협력사 EPC(H)'!$Q:$Q,$J19,'협력사 EPC(H)'!$C:$C,$L$1),
    SUMIFS('기타(Z)'!$I:$I,'기타(Z)'!$G:$G,Q$2,'기타(Z)'!$Q:$Q,$J19,'기타(Z)'!$C:$C,$L$1)
  )
)</f>
        <v>1206.2550000000001</v>
      </c>
      <c r="R19" s="387">
        <f>IF(
  SUM(
    COUNTIFS('발전사업(A)'!$G:$G, Q$2, '발전사업(A)'!$Q:$Q, $J19, '발전사업(A)'!$C:$C, $L$1),
    COUNTIFS('자가소비(B)'!$G:$G, Q$2, '자가소비(B)'!$Q:$Q, $J19, '자가소비(B)'!$C:$C, $L$1),
    COUNTIFS('PPA 사업(C)'!$G:$G, Q$2, 'PPA 사업(C)'!$Q:$Q, $J19, 'PPA 사업(C)'!$C:$C, $L$1),
    COUNTIFS('리스사업(D)'!$G:$G, Q$2, '리스사업(D)'!$Q:$Q, $J19, '리스사업(D)'!$C:$C, $L$1),
    COUNTIFS('임대사업(E)'!$G:$G, Q$2, '임대사업(E)'!$Q:$Q, $J19, '임대사업(E)'!$C:$C, $L$1),
    COUNTIFS('환경부사업(F)'!$G:$G, Q$2, '환경부사업(F)'!$Q:$Q, $J19, '환경부사업(F)'!$C:$C, $L$1),
    COUNTIFS('프로젝트(G)'!$G:$G, Q$2, '프로젝트(G)'!$Q:$Q, $J19, '프로젝트(G)'!$C:$C, $L$1),
    COUNTIFS('협력사 EPC(H)'!$G:$G, Q$2, '협력사 EPC(H)'!$Q:$Q, $J19, '협력사 EPC(H)'!$C:$C, $L$1),
    COUNTIFS('기타(Z)'!$G:$G, Q$2, '기타(Z)'!$Q:$Q, $J19, '기타(Z)'!$C:$C, $L$1)
  ) = 0,
  "",
  COUNTIFS('발전사업(A)'!$G:$G, Q$2, '발전사업(A)'!$Q:$Q, $J19, '발전사업(A)'!$C:$C, $L$1)
  + COUNTIFS('자가소비(B)'!$G:$G, Q$2, '자가소비(B)'!$Q:$Q, $J19, '자가소비(B)'!$C:$C, $L$1)
  + COUNTIFS('PPA 사업(C)'!$G:$G, Q$2, 'PPA 사업(C)'!$Q:$Q, $J19, 'PPA 사업(C)'!$C:$C, $L$1)
  + COUNTIFS('리스사업(D)'!$G:$G, Q$2, '리스사업(D)'!$Q:$Q, $J19, '리스사업(D)'!$C:$C, $L$1)
  + COUNTIFS('임대사업(E)'!$G:$G, Q$2, '임대사업(E)'!$Q:$Q, $J19, '임대사업(E)'!$C:$C, $L$1)
  + COUNTIFS('환경부사업(F)'!$G:$G, Q$2, '환경부사업(F)'!$Q:$Q, $J19, '환경부사업(F)'!$C:$C, $L$1)
  + COUNTIFS('프로젝트(G)'!$G:$G, Q$2, '프로젝트(G)'!$Q:$Q, $J19, '프로젝트(G)'!$C:$C, $L$1)
  + COUNTIFS('협력사 EPC(H)'!$G:$G, Q$2, '협력사 EPC(H)'!$Q:$Q, $J19, '협력사 EPC(H)'!$C:$C, $L$1)
  + COUNTIFS('기타(Z)'!$G:$G, Q$2, '기타(Z)'!$Q:$Q, $J19, '기타(Z)'!$C:$C, $L$1)
)</f>
        <v>2</v>
      </c>
      <c r="S19" s="386" t="str">
        <f>IF(
  SUM(
    SUMIFS('발전사업(A)'!$I:$I,'발전사업(A)'!$G:$G,S$2,'발전사업(A)'!$Q:$Q,$J19,'발전사업(A)'!$C:$C,$L$1),
    SUMIFS('자가소비(B)'!$I:$I,'자가소비(B)'!$G:$G,S$2,'자가소비(B)'!$Q:$Q,$J19,'자가소비(B)'!$C:$C,$L$1),
    SUMIFS('PPA 사업(C)'!$I:$I,'PPA 사업(C)'!$G:$G,S$2,'PPA 사업(C)'!$Q:$Q,$J19,'PPA 사업(C)'!$C:$C,$L$1),
    SUMIFS('리스사업(D)'!$I:$I,'리스사업(D)'!$G:$G,S$2,'리스사업(D)'!$Q:$Q,$J19,'리스사업(D)'!$C:$C,$L$1),
    SUMIFS('임대사업(E)'!$I:$I,'임대사업(E)'!$G:$G,S$2,'임대사업(E)'!$Q:$Q,$J19,'임대사업(E)'!$C:$C,$L$1),
    SUMIFS('환경부사업(F)'!$I:$I,'환경부사업(F)'!$G:$G,S$2,'환경부사업(F)'!$Q:$Q,$J19,'환경부사업(F)'!$C:$C,$L$1),
    SUMIFS('프로젝트(G)'!$I:$I,'프로젝트(G)'!$G:$G,S$2,'프로젝트(G)'!$Q:$Q,$J19,'프로젝트(G)'!$C:$C,$L$1),
    SUMIFS('협력사 EPC(H)'!$I:$I,'협력사 EPC(H)'!$G:$G,S$2,'협력사 EPC(H)'!$Q:$Q,$J19,'협력사 EPC(H)'!$C:$C,$L$1),
    SUMIFS('기타(Z)'!$I:$I,'기타(Z)'!$G:$G,S$2,'기타(Z)'!$Q:$Q,$J19,'기타(Z)'!$C:$C,$L$1)
  )=0,
  "",
  SUM(
    SUMIFS('발전사업(A)'!$I:$I,'발전사업(A)'!$G:$G,S$2,'발전사업(A)'!$Q:$Q,$J19,'발전사업(A)'!$C:$C,$L$1),
    SUMIFS('자가소비(B)'!$I:$I,'자가소비(B)'!$G:$G,S$2,'자가소비(B)'!$Q:$Q,$J19,'자가소비(B)'!$C:$C,$L$1),
    SUMIFS('PPA 사업(C)'!$I:$I,'PPA 사업(C)'!$G:$G,S$2,'PPA 사업(C)'!$Q:$Q,$J19,'PPA 사업(C)'!$C:$C,$L$1),
    SUMIFS('리스사업(D)'!$I:$I,'리스사업(D)'!$G:$G,S$2,'리스사업(D)'!$Q:$Q,$J19,'리스사업(D)'!$C:$C,$L$1),
    SUMIFS('임대사업(E)'!$I:$I,'임대사업(E)'!$G:$G,S$2,'임대사업(E)'!$Q:$Q,$J19,'임대사업(E)'!$C:$C,$L$1),
    SUMIFS('환경부사업(F)'!$I:$I,'환경부사업(F)'!$G:$G,S$2,'환경부사업(F)'!$Q:$Q,$J19,'환경부사업(F)'!$C:$C,$L$1),
    SUMIFS('프로젝트(G)'!$I:$I,'프로젝트(G)'!$G:$G,S$2,'프로젝트(G)'!$Q:$Q,$J19,'프로젝트(G)'!$C:$C,$L$1),
    SUMIFS('협력사 EPC(H)'!$I:$I,'협력사 EPC(H)'!$G:$G,S$2,'협력사 EPC(H)'!$Q:$Q,$J19,'협력사 EPC(H)'!$C:$C,$L$1),
    SUMIFS('기타(Z)'!$I:$I,'기타(Z)'!$G:$G,S$2,'기타(Z)'!$Q:$Q,$J19,'기타(Z)'!$C:$C,$L$1)
  )
)</f>
        <v/>
      </c>
      <c r="T19" s="387" t="str">
        <f>IF(
  SUM(
    COUNTIFS('발전사업(A)'!$G:$G, S$2, '발전사업(A)'!$Q:$Q, $J19, '발전사업(A)'!$C:$C, $L$1),
    COUNTIFS('자가소비(B)'!$G:$G, S$2, '자가소비(B)'!$Q:$Q, $J19, '자가소비(B)'!$C:$C, $L$1),
    COUNTIFS('PPA 사업(C)'!$G:$G, S$2, 'PPA 사업(C)'!$Q:$Q, $J19, 'PPA 사업(C)'!$C:$C, $L$1),
    COUNTIFS('리스사업(D)'!$G:$G, S$2, '리스사업(D)'!$Q:$Q, $J19, '리스사업(D)'!$C:$C, $L$1),
    COUNTIFS('임대사업(E)'!$G:$G, S$2, '임대사업(E)'!$Q:$Q, $J19, '임대사업(E)'!$C:$C, $L$1),
    COUNTIFS('환경부사업(F)'!$G:$G, S$2, '환경부사업(F)'!$Q:$Q, $J19, '환경부사업(F)'!$C:$C, $L$1),
    COUNTIFS('프로젝트(G)'!$G:$G, S$2, '프로젝트(G)'!$Q:$Q, $J19, '프로젝트(G)'!$C:$C, $L$1),
    COUNTIFS('협력사 EPC(H)'!$G:$G, S$2, '협력사 EPC(H)'!$Q:$Q, $J19, '협력사 EPC(H)'!$C:$C, $L$1),
    COUNTIFS('기타(Z)'!$G:$G, S$2, '기타(Z)'!$Q:$Q, $J19, '기타(Z)'!$C:$C, $L$1)
  ) = 0,
  "",
  COUNTIFS('발전사업(A)'!$G:$G, S$2, '발전사업(A)'!$Q:$Q, $J19, '발전사업(A)'!$C:$C, $L$1)
  + COUNTIFS('자가소비(B)'!$G:$G, S$2, '자가소비(B)'!$Q:$Q, $J19, '자가소비(B)'!$C:$C, $L$1)
  + COUNTIFS('PPA 사업(C)'!$G:$G, S$2, 'PPA 사업(C)'!$Q:$Q, $J19, 'PPA 사업(C)'!$C:$C, $L$1)
  + COUNTIFS('리스사업(D)'!$G:$G, S$2, '리스사업(D)'!$Q:$Q, $J19, '리스사업(D)'!$C:$C, $L$1)
  + COUNTIFS('임대사업(E)'!$G:$G, S$2, '임대사업(E)'!$Q:$Q, $J19, '임대사업(E)'!$C:$C, $L$1)
  + COUNTIFS('환경부사업(F)'!$G:$G, S$2, '환경부사업(F)'!$Q:$Q, $J19, '환경부사업(F)'!$C:$C, $L$1)
  + COUNTIFS('프로젝트(G)'!$G:$G, S$2, '프로젝트(G)'!$Q:$Q, $J19, '프로젝트(G)'!$C:$C, $L$1)
  + COUNTIFS('협력사 EPC(H)'!$G:$G, S$2, '협력사 EPC(H)'!$Q:$Q, $J19, '협력사 EPC(H)'!$C:$C, $L$1)
  + COUNTIFS('기타(Z)'!$G:$G, S$2, '기타(Z)'!$Q:$Q, $J19, '기타(Z)'!$C:$C, $L$1)
)</f>
        <v/>
      </c>
      <c r="U19" s="386" t="str">
        <f>IF(
  SUM(
    SUMIFS('발전사업(A)'!$I:$I,'발전사업(A)'!$G:$G,U$2,'발전사업(A)'!$Q:$Q,$J19,'발전사업(A)'!$C:$C,$L$1),
    SUMIFS('자가소비(B)'!$I:$I,'자가소비(B)'!$G:$G,U$2,'자가소비(B)'!$Q:$Q,$J19,'자가소비(B)'!$C:$C,$L$1),
    SUMIFS('PPA 사업(C)'!$I:$I,'PPA 사업(C)'!$G:$G,U$2,'PPA 사업(C)'!$Q:$Q,$J19,'PPA 사업(C)'!$C:$C,$L$1),
    SUMIFS('리스사업(D)'!$I:$I,'리스사업(D)'!$G:$G,U$2,'리스사업(D)'!$Q:$Q,$J19,'리스사업(D)'!$C:$C,$L$1),
    SUMIFS('임대사업(E)'!$I:$I,'임대사업(E)'!$G:$G,U$2,'임대사업(E)'!$Q:$Q,$J19,'임대사업(E)'!$C:$C,$L$1),
    SUMIFS('환경부사업(F)'!$I:$I,'환경부사업(F)'!$G:$G,U$2,'환경부사업(F)'!$Q:$Q,$J19,'환경부사업(F)'!$C:$C,$L$1),
    SUMIFS('프로젝트(G)'!$I:$I,'프로젝트(G)'!$G:$G,U$2,'프로젝트(G)'!$Q:$Q,$J19,'프로젝트(G)'!$C:$C,$L$1),
    SUMIFS('협력사 EPC(H)'!$I:$I,'협력사 EPC(H)'!$G:$G,U$2,'협력사 EPC(H)'!$Q:$Q,$J19,'협력사 EPC(H)'!$C:$C,$L$1),
    SUMIFS('기타(Z)'!$I:$I,'기타(Z)'!$G:$G,U$2,'기타(Z)'!$Q:$Q,$J19,'기타(Z)'!$C:$C,$L$1)
  )=0,
  "",
  SUM(
    SUMIFS('발전사업(A)'!$I:$I,'발전사업(A)'!$G:$G,U$2,'발전사업(A)'!$Q:$Q,$J19,'발전사업(A)'!$C:$C,$L$1),
    SUMIFS('자가소비(B)'!$I:$I,'자가소비(B)'!$G:$G,U$2,'자가소비(B)'!$Q:$Q,$J19,'자가소비(B)'!$C:$C,$L$1),
    SUMIFS('PPA 사업(C)'!$I:$I,'PPA 사업(C)'!$G:$G,U$2,'PPA 사업(C)'!$Q:$Q,$J19,'PPA 사업(C)'!$C:$C,$L$1),
    SUMIFS('리스사업(D)'!$I:$I,'리스사업(D)'!$G:$G,U$2,'리스사업(D)'!$Q:$Q,$J19,'리스사업(D)'!$C:$C,$L$1),
    SUMIFS('임대사업(E)'!$I:$I,'임대사업(E)'!$G:$G,U$2,'임대사업(E)'!$Q:$Q,$J19,'임대사업(E)'!$C:$C,$L$1),
    SUMIFS('환경부사업(F)'!$I:$I,'환경부사업(F)'!$G:$G,U$2,'환경부사업(F)'!$Q:$Q,$J19,'환경부사업(F)'!$C:$C,$L$1),
    SUMIFS('프로젝트(G)'!$I:$I,'프로젝트(G)'!$G:$G,U$2,'프로젝트(G)'!$Q:$Q,$J19,'프로젝트(G)'!$C:$C,$L$1),
    SUMIFS('협력사 EPC(H)'!$I:$I,'협력사 EPC(H)'!$G:$G,U$2,'협력사 EPC(H)'!$Q:$Q,$J19,'협력사 EPC(H)'!$C:$C,$L$1),
    SUMIFS('기타(Z)'!$I:$I,'기타(Z)'!$G:$G,U$2,'기타(Z)'!$Q:$Q,$J19,'기타(Z)'!$C:$C,$L$1)
  )
)</f>
        <v/>
      </c>
      <c r="V19" s="387" t="str">
        <f>IF(
  SUM(
    COUNTIFS('발전사업(A)'!$G:$G, U$2, '발전사업(A)'!$Q:$Q, $J19, '발전사업(A)'!$C:$C, $L$1),
    COUNTIFS('자가소비(B)'!$G:$G, U$2, '자가소비(B)'!$Q:$Q, $J19, '자가소비(B)'!$C:$C, $L$1),
    COUNTIFS('PPA 사업(C)'!$G:$G, U$2, 'PPA 사업(C)'!$Q:$Q, $J19, 'PPA 사업(C)'!$C:$C, $L$1),
    COUNTIFS('리스사업(D)'!$G:$G, U$2, '리스사업(D)'!$Q:$Q, $J19, '리스사업(D)'!$C:$C, $L$1),
    COUNTIFS('임대사업(E)'!$G:$G, U$2, '임대사업(E)'!$Q:$Q, $J19, '임대사업(E)'!$C:$C, $L$1),
    COUNTIFS('환경부사업(F)'!$G:$G, U$2, '환경부사업(F)'!$Q:$Q, $J19, '환경부사업(F)'!$C:$C, $L$1),
    COUNTIFS('프로젝트(G)'!$G:$G, U$2, '프로젝트(G)'!$Q:$Q, $J19, '프로젝트(G)'!$C:$C, $L$1),
    COUNTIFS('협력사 EPC(H)'!$G:$G, U$2, '협력사 EPC(H)'!$Q:$Q, $J19, '협력사 EPC(H)'!$C:$C, $L$1),
    COUNTIFS('기타(Z)'!$G:$G, U$2, '기타(Z)'!$Q:$Q, $J19, '기타(Z)'!$C:$C, $L$1)
  ) = 0,
  "",
  COUNTIFS('발전사업(A)'!$G:$G, U$2, '발전사업(A)'!$Q:$Q, $J19, '발전사업(A)'!$C:$C, $L$1)
  + COUNTIFS('자가소비(B)'!$G:$G, U$2, '자가소비(B)'!$Q:$Q, $J19, '자가소비(B)'!$C:$C, $L$1)
  + COUNTIFS('PPA 사업(C)'!$G:$G, U$2, 'PPA 사업(C)'!$Q:$Q, $J19, 'PPA 사업(C)'!$C:$C, $L$1)
  + COUNTIFS('리스사업(D)'!$G:$G, U$2, '리스사업(D)'!$Q:$Q, $J19, '리스사업(D)'!$C:$C, $L$1)
  + COUNTIFS('임대사업(E)'!$G:$G, U$2, '임대사업(E)'!$Q:$Q, $J19, '임대사업(E)'!$C:$C, $L$1)
  + COUNTIFS('환경부사업(F)'!$G:$G, U$2, '환경부사업(F)'!$Q:$Q, $J19, '환경부사업(F)'!$C:$C, $L$1)
  + COUNTIFS('프로젝트(G)'!$G:$G, U$2, '프로젝트(G)'!$Q:$Q, $J19, '프로젝트(G)'!$C:$C, $L$1)
  + COUNTIFS('협력사 EPC(H)'!$G:$G, U$2, '협력사 EPC(H)'!$Q:$Q, $J19, '협력사 EPC(H)'!$C:$C, $L$1)
  + COUNTIFS('기타(Z)'!$G:$G, U$2, '기타(Z)'!$Q:$Q, $J19, '기타(Z)'!$C:$C, $L$1)
)</f>
        <v/>
      </c>
      <c r="W19" s="386" t="str">
        <f>IF(
  SUM(
    SUMIFS('발전사업(A)'!$I:$I,'발전사업(A)'!$G:$G,W$2,'발전사업(A)'!$Q:$Q,$J19,'발전사업(A)'!$C:$C,$L$1),
    SUMIFS('자가소비(B)'!$I:$I,'자가소비(B)'!$G:$G,W$2,'자가소비(B)'!$Q:$Q,$J19,'자가소비(B)'!$C:$C,$L$1),
    SUMIFS('PPA 사업(C)'!$I:$I,'PPA 사업(C)'!$G:$G,W$2,'PPA 사업(C)'!$Q:$Q,$J19,'PPA 사업(C)'!$C:$C,$L$1),
    SUMIFS('리스사업(D)'!$I:$I,'리스사업(D)'!$G:$G,W$2,'리스사업(D)'!$Q:$Q,$J19,'리스사업(D)'!$C:$C,$L$1),
    SUMIFS('임대사업(E)'!$I:$I,'임대사업(E)'!$G:$G,W$2,'임대사업(E)'!$Q:$Q,$J19,'임대사업(E)'!$C:$C,$L$1),
    SUMIFS('환경부사업(F)'!$I:$I,'환경부사업(F)'!$G:$G,W$2,'환경부사업(F)'!$Q:$Q,$J19,'환경부사업(F)'!$C:$C,$L$1),
    SUMIFS('프로젝트(G)'!$I:$I,'프로젝트(G)'!$G:$G,W$2,'프로젝트(G)'!$Q:$Q,$J19,'프로젝트(G)'!$C:$C,$L$1),
    SUMIFS('협력사 EPC(H)'!$I:$I,'협력사 EPC(H)'!$G:$G,W$2,'협력사 EPC(H)'!$Q:$Q,$J19,'협력사 EPC(H)'!$C:$C,$L$1),
    SUMIFS('기타(Z)'!$I:$I,'기타(Z)'!$G:$G,W$2,'기타(Z)'!$Q:$Q,$J19,'기타(Z)'!$C:$C,$L$1)
  )=0,
  "",
  SUM(
    SUMIFS('발전사업(A)'!$I:$I,'발전사업(A)'!$G:$G,W$2,'발전사업(A)'!$Q:$Q,$J19,'발전사업(A)'!$C:$C,$L$1),
    SUMIFS('자가소비(B)'!$I:$I,'자가소비(B)'!$G:$G,W$2,'자가소비(B)'!$Q:$Q,$J19,'자가소비(B)'!$C:$C,$L$1),
    SUMIFS('PPA 사업(C)'!$I:$I,'PPA 사업(C)'!$G:$G,W$2,'PPA 사업(C)'!$Q:$Q,$J19,'PPA 사업(C)'!$C:$C,$L$1),
    SUMIFS('리스사업(D)'!$I:$I,'리스사업(D)'!$G:$G,W$2,'리스사업(D)'!$Q:$Q,$J19,'리스사업(D)'!$C:$C,$L$1),
    SUMIFS('임대사업(E)'!$I:$I,'임대사업(E)'!$G:$G,W$2,'임대사업(E)'!$Q:$Q,$J19,'임대사업(E)'!$C:$C,$L$1),
    SUMIFS('환경부사업(F)'!$I:$I,'환경부사업(F)'!$G:$G,W$2,'환경부사업(F)'!$Q:$Q,$J19,'환경부사업(F)'!$C:$C,$L$1),
    SUMIFS('프로젝트(G)'!$I:$I,'프로젝트(G)'!$G:$G,W$2,'프로젝트(G)'!$Q:$Q,$J19,'프로젝트(G)'!$C:$C,$L$1),
    SUMIFS('협력사 EPC(H)'!$I:$I,'협력사 EPC(H)'!$G:$G,W$2,'협력사 EPC(H)'!$Q:$Q,$J19,'협력사 EPC(H)'!$C:$C,$L$1),
    SUMIFS('기타(Z)'!$I:$I,'기타(Z)'!$G:$G,W$2,'기타(Z)'!$Q:$Q,$J19,'기타(Z)'!$C:$C,$L$1)
  )
)</f>
        <v/>
      </c>
      <c r="X19" s="387" t="str">
        <f>IF(
  SUM(
    COUNTIFS('발전사업(A)'!$G:$G, W$2, '발전사업(A)'!$Q:$Q, $J19, '발전사업(A)'!$C:$C, $L$1),
    COUNTIFS('자가소비(B)'!$G:$G, W$2, '자가소비(B)'!$Q:$Q, $J19, '자가소비(B)'!$C:$C, $L$1),
    COUNTIFS('PPA 사업(C)'!$G:$G, W$2, 'PPA 사업(C)'!$Q:$Q, $J19, 'PPA 사업(C)'!$C:$C, $L$1),
    COUNTIFS('리스사업(D)'!$G:$G, W$2, '리스사업(D)'!$Q:$Q, $J19, '리스사업(D)'!$C:$C, $L$1),
    COUNTIFS('임대사업(E)'!$G:$G, W$2, '임대사업(E)'!$Q:$Q, $J19, '임대사업(E)'!$C:$C, $L$1),
    COUNTIFS('환경부사업(F)'!$G:$G, W$2, '환경부사업(F)'!$Q:$Q, $J19, '환경부사업(F)'!$C:$C, $L$1),
    COUNTIFS('프로젝트(G)'!$G:$G, W$2, '프로젝트(G)'!$Q:$Q, $J19, '프로젝트(G)'!$C:$C, $L$1),
    COUNTIFS('협력사 EPC(H)'!$G:$G, W$2, '협력사 EPC(H)'!$Q:$Q, $J19, '협력사 EPC(H)'!$C:$C, $L$1),
    COUNTIFS('기타(Z)'!$G:$G, W$2, '기타(Z)'!$Q:$Q, $J19, '기타(Z)'!$C:$C, $L$1)
  ) = 0,
  "",
  COUNTIFS('발전사업(A)'!$G:$G, W$2, '발전사업(A)'!$Q:$Q, $J19, '발전사업(A)'!$C:$C, $L$1)
  + COUNTIFS('자가소비(B)'!$G:$G, W$2, '자가소비(B)'!$Q:$Q, $J19, '자가소비(B)'!$C:$C, $L$1)
  + COUNTIFS('PPA 사업(C)'!$G:$G, W$2, 'PPA 사업(C)'!$Q:$Q, $J19, 'PPA 사업(C)'!$C:$C, $L$1)
  + COUNTIFS('리스사업(D)'!$G:$G, W$2, '리스사업(D)'!$Q:$Q, $J19, '리스사업(D)'!$C:$C, $L$1)
  + COUNTIFS('임대사업(E)'!$G:$G, W$2, '임대사업(E)'!$Q:$Q, $J19, '임대사업(E)'!$C:$C, $L$1)
  + COUNTIFS('환경부사업(F)'!$G:$G, W$2, '환경부사업(F)'!$Q:$Q, $J19, '환경부사업(F)'!$C:$C, $L$1)
  + COUNTIFS('프로젝트(G)'!$G:$G, W$2, '프로젝트(G)'!$Q:$Q, $J19, '프로젝트(G)'!$C:$C, $L$1)
  + COUNTIFS('협력사 EPC(H)'!$G:$G, W$2, '협력사 EPC(H)'!$Q:$Q, $J19, '협력사 EPC(H)'!$C:$C, $L$1)
  + COUNTIFS('기타(Z)'!$G:$G, W$2, '기타(Z)'!$Q:$Q, $J19, '기타(Z)'!$C:$C, $L$1)
)</f>
        <v/>
      </c>
      <c r="Y19" s="386">
        <f>IF(
  SUM(
    SUMIFS('발전사업(A)'!$I:$I,'발전사업(A)'!$G:$G,Y$2,'발전사업(A)'!$Q:$Q,$J19,'발전사업(A)'!$C:$C,$L$1),
    SUMIFS('자가소비(B)'!$I:$I,'자가소비(B)'!$G:$G,Y$2,'자가소비(B)'!$Q:$Q,$J19,'자가소비(B)'!$C:$C,$L$1),
    SUMIFS('PPA 사업(C)'!$I:$I,'PPA 사업(C)'!$G:$G,Y$2,'PPA 사업(C)'!$Q:$Q,$J19,'PPA 사업(C)'!$C:$C,$L$1),
    SUMIFS('리스사업(D)'!$I:$I,'리스사업(D)'!$G:$G,Y$2,'리스사업(D)'!$Q:$Q,$J19,'리스사업(D)'!$C:$C,$L$1),
    SUMIFS('임대사업(E)'!$I:$I,'임대사업(E)'!$G:$G,Y$2,'임대사업(E)'!$Q:$Q,$J19,'임대사업(E)'!$C:$C,$L$1),
    SUMIFS('환경부사업(F)'!$I:$I,'환경부사업(F)'!$G:$G,Y$2,'환경부사업(F)'!$Q:$Q,$J19,'환경부사업(F)'!$C:$C,$L$1),
    SUMIFS('프로젝트(G)'!$I:$I,'프로젝트(G)'!$G:$G,Y$2,'프로젝트(G)'!$Q:$Q,$J19,'프로젝트(G)'!$C:$C,$L$1),
    SUMIFS('협력사 EPC(H)'!$I:$I,'협력사 EPC(H)'!$G:$G,Y$2,'협력사 EPC(H)'!$Q:$Q,$J19,'협력사 EPC(H)'!$C:$C,$L$1),
    SUMIFS('기타(Z)'!$I:$I,'기타(Z)'!$G:$G,Y$2,'기타(Z)'!$Q:$Q,$J19,'기타(Z)'!$C:$C,$L$1)
  )=0,
  "",
  SUM(
    SUMIFS('발전사업(A)'!$I:$I,'발전사업(A)'!$G:$G,Y$2,'발전사업(A)'!$Q:$Q,$J19,'발전사업(A)'!$C:$C,$L$1),
    SUMIFS('자가소비(B)'!$I:$I,'자가소비(B)'!$G:$G,Y$2,'자가소비(B)'!$Q:$Q,$J19,'자가소비(B)'!$C:$C,$L$1),
    SUMIFS('PPA 사업(C)'!$I:$I,'PPA 사업(C)'!$G:$G,Y$2,'PPA 사업(C)'!$Q:$Q,$J19,'PPA 사업(C)'!$C:$C,$L$1),
    SUMIFS('리스사업(D)'!$I:$I,'리스사업(D)'!$G:$G,Y$2,'리스사업(D)'!$Q:$Q,$J19,'리스사업(D)'!$C:$C,$L$1),
    SUMIFS('임대사업(E)'!$I:$I,'임대사업(E)'!$G:$G,Y$2,'임대사업(E)'!$Q:$Q,$J19,'임대사업(E)'!$C:$C,$L$1),
    SUMIFS('환경부사업(F)'!$I:$I,'환경부사업(F)'!$G:$G,Y$2,'환경부사업(F)'!$Q:$Q,$J19,'환경부사업(F)'!$C:$C,$L$1),
    SUMIFS('프로젝트(G)'!$I:$I,'프로젝트(G)'!$G:$G,Y$2,'프로젝트(G)'!$Q:$Q,$J19,'프로젝트(G)'!$C:$C,$L$1),
    SUMIFS('협력사 EPC(H)'!$I:$I,'협력사 EPC(H)'!$G:$G,Y$2,'협력사 EPC(H)'!$Q:$Q,$J19,'협력사 EPC(H)'!$C:$C,$L$1),
    SUMIFS('기타(Z)'!$I:$I,'기타(Z)'!$G:$G,Y$2,'기타(Z)'!$Q:$Q,$J19,'기타(Z)'!$C:$C,$L$1)
  )
)</f>
        <v>1350.4</v>
      </c>
      <c r="Z19" s="387">
        <f>IF(
  SUM(
    COUNTIFS('발전사업(A)'!$G:$G, Y$2, '발전사업(A)'!$Q:$Q, $J19, '발전사업(A)'!$C:$C, $L$1),
    COUNTIFS('자가소비(B)'!$G:$G, Y$2, '자가소비(B)'!$Q:$Q, $J19, '자가소비(B)'!$C:$C, $L$1),
    COUNTIFS('PPA 사업(C)'!$G:$G, Y$2, 'PPA 사업(C)'!$Q:$Q, $J19, 'PPA 사업(C)'!$C:$C, $L$1),
    COUNTIFS('리스사업(D)'!$G:$G, Y$2, '리스사업(D)'!$Q:$Q, $J19, '리스사업(D)'!$C:$C, $L$1),
    COUNTIFS('임대사업(E)'!$G:$G, Y$2, '임대사업(E)'!$Q:$Q, $J19, '임대사업(E)'!$C:$C, $L$1),
    COUNTIFS('환경부사업(F)'!$G:$G, Y$2, '환경부사업(F)'!$Q:$Q, $J19, '환경부사업(F)'!$C:$C, $L$1),
    COUNTIFS('프로젝트(G)'!$G:$G, Y$2, '프로젝트(G)'!$Q:$Q, $J19, '프로젝트(G)'!$C:$C, $L$1),
    COUNTIFS('협력사 EPC(H)'!$G:$G, Y$2, '협력사 EPC(H)'!$Q:$Q, $J19, '협력사 EPC(H)'!$C:$C, $L$1),
    COUNTIFS('기타(Z)'!$G:$G, Y$2, '기타(Z)'!$Q:$Q, $J19, '기타(Z)'!$C:$C, $L$1)
  ) = 0,
  "",
  COUNTIFS('발전사업(A)'!$G:$G, Y$2, '발전사업(A)'!$Q:$Q, $J19, '발전사업(A)'!$C:$C, $L$1)
  + COUNTIFS('자가소비(B)'!$G:$G, Y$2, '자가소비(B)'!$Q:$Q, $J19, '자가소비(B)'!$C:$C, $L$1)
  + COUNTIFS('PPA 사업(C)'!$G:$G, Y$2, 'PPA 사업(C)'!$Q:$Q, $J19, 'PPA 사업(C)'!$C:$C, $L$1)
  + COUNTIFS('리스사업(D)'!$G:$G, Y$2, '리스사업(D)'!$Q:$Q, $J19, '리스사업(D)'!$C:$C, $L$1)
  + COUNTIFS('임대사업(E)'!$G:$G, Y$2, '임대사업(E)'!$Q:$Q, $J19, '임대사업(E)'!$C:$C, $L$1)
  + COUNTIFS('환경부사업(F)'!$G:$G, Y$2, '환경부사업(F)'!$Q:$Q, $J19, '환경부사업(F)'!$C:$C, $L$1)
  + COUNTIFS('프로젝트(G)'!$G:$G, Y$2, '프로젝트(G)'!$Q:$Q, $J19, '프로젝트(G)'!$C:$C, $L$1)
  + COUNTIFS('협력사 EPC(H)'!$G:$G, Y$2, '협력사 EPC(H)'!$Q:$Q, $J19, '협력사 EPC(H)'!$C:$C, $L$1)
  + COUNTIFS('기타(Z)'!$G:$G, Y$2, '기타(Z)'!$Q:$Q, $J19, '기타(Z)'!$C:$C, $L$1)
)</f>
        <v>1</v>
      </c>
      <c r="AA19" s="386">
        <f>IF(
  SUM(
    SUMIFS('발전사업(A)'!$I:$I,'발전사업(A)'!$G:$G,AA$2,'발전사업(A)'!$Q:$Q,$J19,'발전사업(A)'!$C:$C,$L$1),
    SUMIFS('자가소비(B)'!$I:$I,'자가소비(B)'!$G:$G,AA$2,'자가소비(B)'!$Q:$Q,$J19,'자가소비(B)'!$C:$C,$L$1),
    SUMIFS('PPA 사업(C)'!$I:$I,'PPA 사업(C)'!$G:$G,AA$2,'PPA 사업(C)'!$Q:$Q,$J19,'PPA 사업(C)'!$C:$C,$L$1),
    SUMIFS('리스사업(D)'!$I:$I,'리스사업(D)'!$G:$G,AA$2,'리스사업(D)'!$Q:$Q,$J19,'리스사업(D)'!$C:$C,$L$1),
    SUMIFS('임대사업(E)'!$I:$I,'임대사업(E)'!$G:$G,AA$2,'임대사업(E)'!$Q:$Q,$J19,'임대사업(E)'!$C:$C,$L$1),
    SUMIFS('환경부사업(F)'!$I:$I,'환경부사업(F)'!$G:$G,AA$2,'환경부사업(F)'!$Q:$Q,$J19,'환경부사업(F)'!$C:$C,$L$1),
    SUMIFS('프로젝트(G)'!$I:$I,'프로젝트(G)'!$G:$G,AA$2,'프로젝트(G)'!$Q:$Q,$J19,'프로젝트(G)'!$C:$C,$L$1),
    SUMIFS('협력사 EPC(H)'!$I:$I,'협력사 EPC(H)'!$G:$G,AA$2,'협력사 EPC(H)'!$Q:$Q,$J19,'협력사 EPC(H)'!$C:$C,$L$1),
    SUMIFS('기타(Z)'!$I:$I,'기타(Z)'!$G:$G,AA$2,'기타(Z)'!$Q:$Q,$J19,'기타(Z)'!$C:$C,$L$1)
  )=0,
  "",
  SUM(
    SUMIFS('발전사업(A)'!$I:$I,'발전사업(A)'!$G:$G,AA$2,'발전사업(A)'!$Q:$Q,$J19,'발전사업(A)'!$C:$C,$L$1),
    SUMIFS('자가소비(B)'!$I:$I,'자가소비(B)'!$G:$G,AA$2,'자가소비(B)'!$Q:$Q,$J19,'자가소비(B)'!$C:$C,$L$1),
    SUMIFS('PPA 사업(C)'!$I:$I,'PPA 사업(C)'!$G:$G,AA$2,'PPA 사업(C)'!$Q:$Q,$J19,'PPA 사업(C)'!$C:$C,$L$1),
    SUMIFS('리스사업(D)'!$I:$I,'리스사업(D)'!$G:$G,AA$2,'리스사업(D)'!$Q:$Q,$J19,'리스사업(D)'!$C:$C,$L$1),
    SUMIFS('임대사업(E)'!$I:$I,'임대사업(E)'!$G:$G,AA$2,'임대사업(E)'!$Q:$Q,$J19,'임대사업(E)'!$C:$C,$L$1),
    SUMIFS('환경부사업(F)'!$I:$I,'환경부사업(F)'!$G:$G,AA$2,'환경부사업(F)'!$Q:$Q,$J19,'환경부사업(F)'!$C:$C,$L$1),
    SUMIFS('프로젝트(G)'!$I:$I,'프로젝트(G)'!$G:$G,AA$2,'프로젝트(G)'!$Q:$Q,$J19,'프로젝트(G)'!$C:$C,$L$1),
    SUMIFS('협력사 EPC(H)'!$I:$I,'협력사 EPC(H)'!$G:$G,AA$2,'협력사 EPC(H)'!$Q:$Q,$J19,'협력사 EPC(H)'!$C:$C,$L$1),
    SUMIFS('기타(Z)'!$I:$I,'기타(Z)'!$G:$G,AA$2,'기타(Z)'!$Q:$Q,$J19,'기타(Z)'!$C:$C,$L$1)
  )
)</f>
        <v>405.12</v>
      </c>
      <c r="AB19" s="387">
        <f>IF(
  SUM(
    COUNTIFS('발전사업(A)'!$G:$G, AA$2, '발전사업(A)'!$Q:$Q, $J19, '발전사업(A)'!$C:$C, $L$1),
    COUNTIFS('자가소비(B)'!$G:$G, AA$2, '자가소비(B)'!$Q:$Q, $J19, '자가소비(B)'!$C:$C, $L$1),
    COUNTIFS('PPA 사업(C)'!$G:$G, AA$2, 'PPA 사업(C)'!$Q:$Q, $J19, 'PPA 사업(C)'!$C:$C, $L$1),
    COUNTIFS('리스사업(D)'!$G:$G, AA$2, '리스사업(D)'!$Q:$Q, $J19, '리스사업(D)'!$C:$C, $L$1),
    COUNTIFS('임대사업(E)'!$G:$G, AA$2, '임대사업(E)'!$Q:$Q, $J19, '임대사업(E)'!$C:$C, $L$1),
    COUNTIFS('환경부사업(F)'!$G:$G, AA$2, '환경부사업(F)'!$Q:$Q, $J19, '환경부사업(F)'!$C:$C, $L$1),
    COUNTIFS('프로젝트(G)'!$G:$G, AA$2, '프로젝트(G)'!$Q:$Q, $J19, '프로젝트(G)'!$C:$C, $L$1),
    COUNTIFS('협력사 EPC(H)'!$G:$G, AA$2, '협력사 EPC(H)'!$Q:$Q, $J19, '협력사 EPC(H)'!$C:$C, $L$1),
    COUNTIFS('기타(Z)'!$G:$G, AA$2, '기타(Z)'!$Q:$Q, $J19, '기타(Z)'!$C:$C, $L$1)
  ) = 0,
  "",
  COUNTIFS('발전사업(A)'!$G:$G, AA$2, '발전사업(A)'!$Q:$Q, $J19, '발전사업(A)'!$C:$C, $L$1)
  + COUNTIFS('자가소비(B)'!$G:$G, AA$2, '자가소비(B)'!$Q:$Q, $J19, '자가소비(B)'!$C:$C, $L$1)
  + COUNTIFS('PPA 사업(C)'!$G:$G, AA$2, 'PPA 사업(C)'!$Q:$Q, $J19, 'PPA 사업(C)'!$C:$C, $L$1)
  + COUNTIFS('리스사업(D)'!$G:$G, AA$2, '리스사업(D)'!$Q:$Q, $J19, '리스사업(D)'!$C:$C, $L$1)
  + COUNTIFS('임대사업(E)'!$G:$G, AA$2, '임대사업(E)'!$Q:$Q, $J19, '임대사업(E)'!$C:$C, $L$1)
  + COUNTIFS('환경부사업(F)'!$G:$G, AA$2, '환경부사업(F)'!$Q:$Q, $J19, '환경부사업(F)'!$C:$C, $L$1)
  + COUNTIFS('프로젝트(G)'!$G:$G, AA$2, '프로젝트(G)'!$Q:$Q, $J19, '프로젝트(G)'!$C:$C, $L$1)
  + COUNTIFS('협력사 EPC(H)'!$G:$G, AA$2, '협력사 EPC(H)'!$Q:$Q, $J19, '협력사 EPC(H)'!$C:$C, $L$1)
  + COUNTIFS('기타(Z)'!$G:$G, AA$2, '기타(Z)'!$Q:$Q, $J19, '기타(Z)'!$C:$C, $L$1)
)</f>
        <v>2</v>
      </c>
      <c r="AC19" s="386" t="str">
        <f>IF(
  SUM(
    SUMIFS('발전사업(A)'!$I:$I,'발전사업(A)'!$G:$G,AC$2,'발전사업(A)'!$Q:$Q,$J19,'발전사업(A)'!$C:$C,$L$1),
    SUMIFS('자가소비(B)'!$I:$I,'자가소비(B)'!$G:$G,AC$2,'자가소비(B)'!$Q:$Q,$J19,'자가소비(B)'!$C:$C,$L$1),
    SUMIFS('PPA 사업(C)'!$I:$I,'PPA 사업(C)'!$G:$G,AC$2,'PPA 사업(C)'!$Q:$Q,$J19,'PPA 사업(C)'!$C:$C,$L$1),
    SUMIFS('리스사업(D)'!$I:$I,'리스사업(D)'!$G:$G,AC$2,'리스사업(D)'!$Q:$Q,$J19,'리스사업(D)'!$C:$C,$L$1),
    SUMIFS('임대사업(E)'!$I:$I,'임대사업(E)'!$G:$G,AC$2,'임대사업(E)'!$Q:$Q,$J19,'임대사업(E)'!$C:$C,$L$1),
    SUMIFS('환경부사업(F)'!$I:$I,'환경부사업(F)'!$G:$G,AC$2,'환경부사업(F)'!$Q:$Q,$J19,'환경부사업(F)'!$C:$C,$L$1),
    SUMIFS('프로젝트(G)'!$I:$I,'프로젝트(G)'!$G:$G,AC$2,'프로젝트(G)'!$Q:$Q,$J19,'프로젝트(G)'!$C:$C,$L$1),
    SUMIFS('협력사 EPC(H)'!$I:$I,'협력사 EPC(H)'!$G:$G,AC$2,'협력사 EPC(H)'!$Q:$Q,$J19,'협력사 EPC(H)'!$C:$C,$L$1),
    SUMIFS('기타(Z)'!$I:$I,'기타(Z)'!$G:$G,AC$2,'기타(Z)'!$Q:$Q,$J19,'기타(Z)'!$C:$C,$L$1)
  )=0,
  "",
  SUM(
    SUMIFS('발전사업(A)'!$I:$I,'발전사업(A)'!$G:$G,AC$2,'발전사업(A)'!$Q:$Q,$J19,'발전사업(A)'!$C:$C,$L$1),
    SUMIFS('자가소비(B)'!$I:$I,'자가소비(B)'!$G:$G,AC$2,'자가소비(B)'!$Q:$Q,$J19,'자가소비(B)'!$C:$C,$L$1),
    SUMIFS('PPA 사업(C)'!$I:$I,'PPA 사업(C)'!$G:$G,AC$2,'PPA 사업(C)'!$Q:$Q,$J19,'PPA 사업(C)'!$C:$C,$L$1),
    SUMIFS('리스사업(D)'!$I:$I,'리스사업(D)'!$G:$G,AC$2,'리스사업(D)'!$Q:$Q,$J19,'리스사업(D)'!$C:$C,$L$1),
    SUMIFS('임대사업(E)'!$I:$I,'임대사업(E)'!$G:$G,AC$2,'임대사업(E)'!$Q:$Q,$J19,'임대사업(E)'!$C:$C,$L$1),
    SUMIFS('환경부사업(F)'!$I:$I,'환경부사업(F)'!$G:$G,AC$2,'환경부사업(F)'!$Q:$Q,$J19,'환경부사업(F)'!$C:$C,$L$1),
    SUMIFS('프로젝트(G)'!$I:$I,'프로젝트(G)'!$G:$G,AC$2,'프로젝트(G)'!$Q:$Q,$J19,'프로젝트(G)'!$C:$C,$L$1),
    SUMIFS('협력사 EPC(H)'!$I:$I,'협력사 EPC(H)'!$G:$G,AC$2,'협력사 EPC(H)'!$Q:$Q,$J19,'협력사 EPC(H)'!$C:$C,$L$1),
    SUMIFS('기타(Z)'!$I:$I,'기타(Z)'!$G:$G,AC$2,'기타(Z)'!$Q:$Q,$J19,'기타(Z)'!$C:$C,$L$1)
  )
)</f>
        <v/>
      </c>
      <c r="AD19" s="387" t="str">
        <f>IF(
  SUM(
    COUNTIFS('발전사업(A)'!$G:$G, AC$2, '발전사업(A)'!$Q:$Q, $J19, '발전사업(A)'!$C:$C, $L$1),
    COUNTIFS('자가소비(B)'!$G:$G, AC$2, '자가소비(B)'!$Q:$Q, $J19, '자가소비(B)'!$C:$C, $L$1),
    COUNTIFS('PPA 사업(C)'!$G:$G, AC$2, 'PPA 사업(C)'!$Q:$Q, $J19, 'PPA 사업(C)'!$C:$C, $L$1),
    COUNTIFS('리스사업(D)'!$G:$G, AC$2, '리스사업(D)'!$Q:$Q, $J19, '리스사업(D)'!$C:$C, $L$1),
    COUNTIFS('임대사업(E)'!$G:$G, AC$2, '임대사업(E)'!$Q:$Q, $J19, '임대사업(E)'!$C:$C, $L$1),
    COUNTIFS('환경부사업(F)'!$G:$G, AC$2, '환경부사업(F)'!$Q:$Q, $J19, '환경부사업(F)'!$C:$C, $L$1),
    COUNTIFS('프로젝트(G)'!$G:$G, AC$2, '프로젝트(G)'!$Q:$Q, $J19, '프로젝트(G)'!$C:$C, $L$1),
    COUNTIFS('협력사 EPC(H)'!$G:$G, AC$2, '협력사 EPC(H)'!$Q:$Q, $J19, '협력사 EPC(H)'!$C:$C, $L$1),
    COUNTIFS('기타(Z)'!$G:$G, AC$2, '기타(Z)'!$Q:$Q, $J19, '기타(Z)'!$C:$C, $L$1)
  ) = 0,
  "",
  COUNTIFS('발전사업(A)'!$G:$G, AC$2, '발전사업(A)'!$Q:$Q, $J19, '발전사업(A)'!$C:$C, $L$1)
  + COUNTIFS('자가소비(B)'!$G:$G, AC$2, '자가소비(B)'!$Q:$Q, $J19, '자가소비(B)'!$C:$C, $L$1)
  + COUNTIFS('PPA 사업(C)'!$G:$G, AC$2, 'PPA 사업(C)'!$Q:$Q, $J19, 'PPA 사업(C)'!$C:$C, $L$1)
  + COUNTIFS('리스사업(D)'!$G:$G, AC$2, '리스사업(D)'!$Q:$Q, $J19, '리스사업(D)'!$C:$C, $L$1)
  + COUNTIFS('임대사업(E)'!$G:$G, AC$2, '임대사업(E)'!$Q:$Q, $J19, '임대사업(E)'!$C:$C, $L$1)
  + COUNTIFS('환경부사업(F)'!$G:$G, AC$2, '환경부사업(F)'!$Q:$Q, $J19, '환경부사업(F)'!$C:$C, $L$1)
  + COUNTIFS('프로젝트(G)'!$G:$G, AC$2, '프로젝트(G)'!$Q:$Q, $J19, '프로젝트(G)'!$C:$C, $L$1)
  + COUNTIFS('협력사 EPC(H)'!$G:$G, AC$2, '협력사 EPC(H)'!$Q:$Q, $J19, '협력사 EPC(H)'!$C:$C, $L$1)
  + COUNTIFS('기타(Z)'!$G:$G, AC$2, '기타(Z)'!$Q:$Q, $J19, '기타(Z)'!$C:$C, $L$1)
)</f>
        <v/>
      </c>
      <c r="AE19" s="386" t="str">
        <f>IF(
  SUM(
    SUMIFS('발전사업(A)'!$I:$I,'발전사업(A)'!$G:$G,AE$2,'발전사업(A)'!$Q:$Q,$J19,'발전사업(A)'!$C:$C,$L$1),
    SUMIFS('자가소비(B)'!$I:$I,'자가소비(B)'!$G:$G,AE$2,'자가소비(B)'!$Q:$Q,$J19,'자가소비(B)'!$C:$C,$L$1),
    SUMIFS('PPA 사업(C)'!$I:$I,'PPA 사업(C)'!$G:$G,AE$2,'PPA 사업(C)'!$Q:$Q,$J19,'PPA 사업(C)'!$C:$C,$L$1),
    SUMIFS('리스사업(D)'!$I:$I,'리스사업(D)'!$G:$G,AE$2,'리스사업(D)'!$Q:$Q,$J19,'리스사업(D)'!$C:$C,$L$1),
    SUMIFS('임대사업(E)'!$I:$I,'임대사업(E)'!$G:$G,AE$2,'임대사업(E)'!$Q:$Q,$J19,'임대사업(E)'!$C:$C,$L$1),
    SUMIFS('환경부사업(F)'!$I:$I,'환경부사업(F)'!$G:$G,AE$2,'환경부사업(F)'!$Q:$Q,$J19,'환경부사업(F)'!$C:$C,$L$1),
    SUMIFS('프로젝트(G)'!$I:$I,'프로젝트(G)'!$G:$G,AE$2,'프로젝트(G)'!$Q:$Q,$J19,'프로젝트(G)'!$C:$C,$L$1),
    SUMIFS('협력사 EPC(H)'!$I:$I,'협력사 EPC(H)'!$G:$G,AE$2,'협력사 EPC(H)'!$Q:$Q,$J19,'협력사 EPC(H)'!$C:$C,$L$1),
    SUMIFS('기타(Z)'!$I:$I,'기타(Z)'!$G:$G,AE$2,'기타(Z)'!$Q:$Q,$J19,'기타(Z)'!$C:$C,$L$1)
  )=0,
  "",
  SUM(
    SUMIFS('발전사업(A)'!$I:$I,'발전사업(A)'!$G:$G,AE$2,'발전사업(A)'!$Q:$Q,$J19,'발전사업(A)'!$C:$C,$L$1),
    SUMIFS('자가소비(B)'!$I:$I,'자가소비(B)'!$G:$G,AE$2,'자가소비(B)'!$Q:$Q,$J19,'자가소비(B)'!$C:$C,$L$1),
    SUMIFS('PPA 사업(C)'!$I:$I,'PPA 사업(C)'!$G:$G,AE$2,'PPA 사업(C)'!$Q:$Q,$J19,'PPA 사업(C)'!$C:$C,$L$1),
    SUMIFS('리스사업(D)'!$I:$I,'리스사업(D)'!$G:$G,AE$2,'리스사업(D)'!$Q:$Q,$J19,'리스사업(D)'!$C:$C,$L$1),
    SUMIFS('임대사업(E)'!$I:$I,'임대사업(E)'!$G:$G,AE$2,'임대사업(E)'!$Q:$Q,$J19,'임대사업(E)'!$C:$C,$L$1),
    SUMIFS('환경부사업(F)'!$I:$I,'환경부사업(F)'!$G:$G,AE$2,'환경부사업(F)'!$Q:$Q,$J19,'환경부사업(F)'!$C:$C,$L$1),
    SUMIFS('프로젝트(G)'!$I:$I,'프로젝트(G)'!$G:$G,AE$2,'프로젝트(G)'!$Q:$Q,$J19,'프로젝트(G)'!$C:$C,$L$1),
    SUMIFS('협력사 EPC(H)'!$I:$I,'협력사 EPC(H)'!$G:$G,AE$2,'협력사 EPC(H)'!$Q:$Q,$J19,'협력사 EPC(H)'!$C:$C,$L$1),
    SUMIFS('기타(Z)'!$I:$I,'기타(Z)'!$G:$G,AE$2,'기타(Z)'!$Q:$Q,$J19,'기타(Z)'!$C:$C,$L$1)
  )
)</f>
        <v/>
      </c>
      <c r="AF19" s="387" t="str">
        <f>IF(
  SUM(
    COUNTIFS('발전사업(A)'!$G:$G, AE$2, '발전사업(A)'!$Q:$Q, $J19, '발전사업(A)'!$C:$C, $L$1),
    COUNTIFS('자가소비(B)'!$G:$G, AE$2, '자가소비(B)'!$Q:$Q, $J19, '자가소비(B)'!$C:$C, $L$1),
    COUNTIFS('PPA 사업(C)'!$G:$G, AE$2, 'PPA 사업(C)'!$Q:$Q, $J19, 'PPA 사업(C)'!$C:$C, $L$1),
    COUNTIFS('리스사업(D)'!$G:$G, AE$2, '리스사업(D)'!$Q:$Q, $J19, '리스사업(D)'!$C:$C, $L$1),
    COUNTIFS('임대사업(E)'!$G:$G, AE$2, '임대사업(E)'!$Q:$Q, $J19, '임대사업(E)'!$C:$C, $L$1),
    COUNTIFS('환경부사업(F)'!$G:$G, AE$2, '환경부사업(F)'!$Q:$Q, $J19, '환경부사업(F)'!$C:$C, $L$1),
    COUNTIFS('프로젝트(G)'!$G:$G, AE$2, '프로젝트(G)'!$Q:$Q, $J19, '프로젝트(G)'!$C:$C, $L$1),
    COUNTIFS('협력사 EPC(H)'!$G:$G, AE$2, '협력사 EPC(H)'!$Q:$Q, $J19, '협력사 EPC(H)'!$C:$C, $L$1),
    COUNTIFS('기타(Z)'!$G:$G, AE$2, '기타(Z)'!$Q:$Q, $J19, '기타(Z)'!$C:$C, $L$1)
  ) = 0,
  "",
  COUNTIFS('발전사업(A)'!$G:$G, AE$2, '발전사업(A)'!$Q:$Q, $J19, '발전사업(A)'!$C:$C, $L$1)
  + COUNTIFS('자가소비(B)'!$G:$G, AE$2, '자가소비(B)'!$Q:$Q, $J19, '자가소비(B)'!$C:$C, $L$1)
  + COUNTIFS('PPA 사업(C)'!$G:$G, AE$2, 'PPA 사업(C)'!$Q:$Q, $J19, 'PPA 사업(C)'!$C:$C, $L$1)
  + COUNTIFS('리스사업(D)'!$G:$G, AE$2, '리스사업(D)'!$Q:$Q, $J19, '리스사업(D)'!$C:$C, $L$1)
  + COUNTIFS('임대사업(E)'!$G:$G, AE$2, '임대사업(E)'!$Q:$Q, $J19, '임대사업(E)'!$C:$C, $L$1)
  + COUNTIFS('환경부사업(F)'!$G:$G, AE$2, '환경부사업(F)'!$Q:$Q, $J19, '환경부사업(F)'!$C:$C, $L$1)
  + COUNTIFS('프로젝트(G)'!$G:$G, AE$2, '프로젝트(G)'!$Q:$Q, $J19, '프로젝트(G)'!$C:$C, $L$1)
  + COUNTIFS('협력사 EPC(H)'!$G:$G, AE$2, '협력사 EPC(H)'!$Q:$Q, $J19, '협력사 EPC(H)'!$C:$C, $L$1)
  + COUNTIFS('기타(Z)'!$G:$G, AE$2, '기타(Z)'!$Q:$Q, $J19, '기타(Z)'!$C:$C, $L$1)
)</f>
        <v/>
      </c>
      <c r="AG19" s="386" t="str">
        <f>IF(
  SUM(
    SUMIFS('발전사업(A)'!$I:$I,'발전사업(A)'!$G:$G,AG$2,'발전사업(A)'!$Q:$Q,$J19,'발전사업(A)'!$C:$C,$L$1),
    SUMIFS('자가소비(B)'!$I:$I,'자가소비(B)'!$G:$G,AG$2,'자가소비(B)'!$Q:$Q,$J19,'자가소비(B)'!$C:$C,$L$1),
    SUMIFS('PPA 사업(C)'!$I:$I,'PPA 사업(C)'!$G:$G,AG$2,'PPA 사업(C)'!$Q:$Q,$J19,'PPA 사업(C)'!$C:$C,$L$1),
    SUMIFS('리스사업(D)'!$I:$I,'리스사업(D)'!$G:$G,AG$2,'리스사업(D)'!$Q:$Q,$J19,'리스사업(D)'!$C:$C,$L$1),
    SUMIFS('임대사업(E)'!$I:$I,'임대사업(E)'!$G:$G,AG$2,'임대사업(E)'!$Q:$Q,$J19,'임대사업(E)'!$C:$C,$L$1),
    SUMIFS('환경부사업(F)'!$I:$I,'환경부사업(F)'!$G:$G,AG$2,'환경부사업(F)'!$Q:$Q,$J19,'환경부사업(F)'!$C:$C,$L$1),
    SUMIFS('프로젝트(G)'!$I:$I,'프로젝트(G)'!$G:$G,AG$2,'프로젝트(G)'!$Q:$Q,$J19,'프로젝트(G)'!$C:$C,$L$1),
    SUMIFS('협력사 EPC(H)'!$I:$I,'협력사 EPC(H)'!$G:$G,AG$2,'협력사 EPC(H)'!$Q:$Q,$J19,'협력사 EPC(H)'!$C:$C,$L$1),
    SUMIFS('기타(Z)'!$I:$I,'기타(Z)'!$G:$G,AG$2,'기타(Z)'!$Q:$Q,$J19,'기타(Z)'!$C:$C,$L$1)
  )=0,
  "",
  SUM(
    SUMIFS('발전사업(A)'!$I:$I,'발전사업(A)'!$G:$G,AG$2,'발전사업(A)'!$Q:$Q,$J19,'발전사업(A)'!$C:$C,$L$1),
    SUMIFS('자가소비(B)'!$I:$I,'자가소비(B)'!$G:$G,AG$2,'자가소비(B)'!$Q:$Q,$J19,'자가소비(B)'!$C:$C,$L$1),
    SUMIFS('PPA 사업(C)'!$I:$I,'PPA 사업(C)'!$G:$G,AG$2,'PPA 사업(C)'!$Q:$Q,$J19,'PPA 사업(C)'!$C:$C,$L$1),
    SUMIFS('리스사업(D)'!$I:$I,'리스사업(D)'!$G:$G,AG$2,'리스사업(D)'!$Q:$Q,$J19,'리스사업(D)'!$C:$C,$L$1),
    SUMIFS('임대사업(E)'!$I:$I,'임대사업(E)'!$G:$G,AG$2,'임대사업(E)'!$Q:$Q,$J19,'임대사업(E)'!$C:$C,$L$1),
    SUMIFS('환경부사업(F)'!$I:$I,'환경부사업(F)'!$G:$G,AG$2,'환경부사업(F)'!$Q:$Q,$J19,'환경부사업(F)'!$C:$C,$L$1),
    SUMIFS('프로젝트(G)'!$I:$I,'프로젝트(G)'!$G:$G,AG$2,'프로젝트(G)'!$Q:$Q,$J19,'프로젝트(G)'!$C:$C,$L$1),
    SUMIFS('협력사 EPC(H)'!$I:$I,'협력사 EPC(H)'!$G:$G,AG$2,'협력사 EPC(H)'!$Q:$Q,$J19,'협력사 EPC(H)'!$C:$C,$L$1),
    SUMIFS('기타(Z)'!$I:$I,'기타(Z)'!$G:$G,AG$2,'기타(Z)'!$Q:$Q,$J19,'기타(Z)'!$C:$C,$L$1)
  )
)</f>
        <v/>
      </c>
      <c r="AH19" s="387" t="str">
        <f>IF(
  SUM(
    COUNTIFS('발전사업(A)'!$G:$G, AG$2, '발전사업(A)'!$Q:$Q, $J19, '발전사업(A)'!$C:$C, $L$1),
    COUNTIFS('자가소비(B)'!$G:$G, AG$2, '자가소비(B)'!$Q:$Q, $J19, '자가소비(B)'!$C:$C, $L$1),
    COUNTIFS('PPA 사업(C)'!$G:$G, AG$2, 'PPA 사업(C)'!$Q:$Q, $J19, 'PPA 사업(C)'!$C:$C, $L$1),
    COUNTIFS('리스사업(D)'!$G:$G, AG$2, '리스사업(D)'!$Q:$Q, $J19, '리스사업(D)'!$C:$C, $L$1),
    COUNTIFS('임대사업(E)'!$G:$G, AG$2, '임대사업(E)'!$Q:$Q, $J19, '임대사업(E)'!$C:$C, $L$1),
    COUNTIFS('환경부사업(F)'!$G:$G, AG$2, '환경부사업(F)'!$Q:$Q, $J19, '환경부사업(F)'!$C:$C, $L$1),
    COUNTIFS('프로젝트(G)'!$G:$G, AG$2, '프로젝트(G)'!$Q:$Q, $J19, '프로젝트(G)'!$C:$C, $L$1),
    COUNTIFS('협력사 EPC(H)'!$G:$G, AG$2, '협력사 EPC(H)'!$Q:$Q, $J19, '협력사 EPC(H)'!$C:$C, $L$1),
    COUNTIFS('기타(Z)'!$G:$G, AG$2, '기타(Z)'!$Q:$Q, $J19, '기타(Z)'!$C:$C, $L$1)
  ) = 0,
  "",
  COUNTIFS('발전사업(A)'!$G:$G, AG$2, '발전사업(A)'!$Q:$Q, $J19, '발전사업(A)'!$C:$C, $L$1)
  + COUNTIFS('자가소비(B)'!$G:$G, AG$2, '자가소비(B)'!$Q:$Q, $J19, '자가소비(B)'!$C:$C, $L$1)
  + COUNTIFS('PPA 사업(C)'!$G:$G, AG$2, 'PPA 사업(C)'!$Q:$Q, $J19, 'PPA 사업(C)'!$C:$C, $L$1)
  + COUNTIFS('리스사업(D)'!$G:$G, AG$2, '리스사업(D)'!$Q:$Q, $J19, '리스사업(D)'!$C:$C, $L$1)
  + COUNTIFS('임대사업(E)'!$G:$G, AG$2, '임대사업(E)'!$Q:$Q, $J19, '임대사업(E)'!$C:$C, $L$1)
  + COUNTIFS('환경부사업(F)'!$G:$G, AG$2, '환경부사업(F)'!$Q:$Q, $J19, '환경부사업(F)'!$C:$C, $L$1)
  + COUNTIFS('프로젝트(G)'!$G:$G, AG$2, '프로젝트(G)'!$Q:$Q, $J19, '프로젝트(G)'!$C:$C, $L$1)
  + COUNTIFS('협력사 EPC(H)'!$G:$G, AG$2, '협력사 EPC(H)'!$Q:$Q, $J19, '협력사 EPC(H)'!$C:$C, $L$1)
  + COUNTIFS('기타(Z)'!$G:$G, AG$2, '기타(Z)'!$Q:$Q, $J19, '기타(Z)'!$C:$C, $L$1)
)</f>
        <v/>
      </c>
      <c r="AI19" s="386" t="str">
        <f>IF(
  SUM(
    SUMIFS('발전사업(A)'!$I:$I,'발전사업(A)'!$G:$G,AI$2,'발전사업(A)'!$Q:$Q,$J19,'발전사업(A)'!$C:$C,$L$1),
    SUMIFS('자가소비(B)'!$I:$I,'자가소비(B)'!$G:$G,AI$2,'자가소비(B)'!$Q:$Q,$J19,'자가소비(B)'!$C:$C,$L$1),
    SUMIFS('PPA 사업(C)'!$I:$I,'PPA 사업(C)'!$G:$G,AI$2,'PPA 사업(C)'!$Q:$Q,$J19,'PPA 사업(C)'!$C:$C,$L$1),
    SUMIFS('리스사업(D)'!$I:$I,'리스사업(D)'!$G:$G,AI$2,'리스사업(D)'!$Q:$Q,$J19,'리스사업(D)'!$C:$C,$L$1),
    SUMIFS('임대사업(E)'!$I:$I,'임대사업(E)'!$G:$G,AI$2,'임대사업(E)'!$Q:$Q,$J19,'임대사업(E)'!$C:$C,$L$1),
    SUMIFS('환경부사업(F)'!$I:$I,'환경부사업(F)'!$G:$G,AI$2,'환경부사업(F)'!$Q:$Q,$J19,'환경부사업(F)'!$C:$C,$L$1),
    SUMIFS('프로젝트(G)'!$I:$I,'프로젝트(G)'!$G:$G,AI$2,'프로젝트(G)'!$Q:$Q,$J19,'프로젝트(G)'!$C:$C,$L$1),
    SUMIFS('협력사 EPC(H)'!$I:$I,'협력사 EPC(H)'!$G:$G,AI$2,'협력사 EPC(H)'!$Q:$Q,$J19,'협력사 EPC(H)'!$C:$C,$L$1),
    SUMIFS('기타(Z)'!$I:$I,'기타(Z)'!$G:$G,AI$2,'기타(Z)'!$Q:$Q,$J19,'기타(Z)'!$C:$C,$L$1)
  )=0,
  "",
  SUM(
    SUMIFS('발전사업(A)'!$I:$I,'발전사업(A)'!$G:$G,AI$2,'발전사업(A)'!$Q:$Q,$J19,'발전사업(A)'!$C:$C,$L$1),
    SUMIFS('자가소비(B)'!$I:$I,'자가소비(B)'!$G:$G,AI$2,'자가소비(B)'!$Q:$Q,$J19,'자가소비(B)'!$C:$C,$L$1),
    SUMIFS('PPA 사업(C)'!$I:$I,'PPA 사업(C)'!$G:$G,AI$2,'PPA 사업(C)'!$Q:$Q,$J19,'PPA 사업(C)'!$C:$C,$L$1),
    SUMIFS('리스사업(D)'!$I:$I,'리스사업(D)'!$G:$G,AI$2,'리스사업(D)'!$Q:$Q,$J19,'리스사업(D)'!$C:$C,$L$1),
    SUMIFS('임대사업(E)'!$I:$I,'임대사업(E)'!$G:$G,AI$2,'임대사업(E)'!$Q:$Q,$J19,'임대사업(E)'!$C:$C,$L$1),
    SUMIFS('환경부사업(F)'!$I:$I,'환경부사업(F)'!$G:$G,AI$2,'환경부사업(F)'!$Q:$Q,$J19,'환경부사업(F)'!$C:$C,$L$1),
    SUMIFS('프로젝트(G)'!$I:$I,'프로젝트(G)'!$G:$G,AI$2,'프로젝트(G)'!$Q:$Q,$J19,'프로젝트(G)'!$C:$C,$L$1),
    SUMIFS('협력사 EPC(H)'!$I:$I,'협력사 EPC(H)'!$G:$G,AI$2,'협력사 EPC(H)'!$Q:$Q,$J19,'협력사 EPC(H)'!$C:$C,$L$1),
    SUMIFS('기타(Z)'!$I:$I,'기타(Z)'!$G:$G,AI$2,'기타(Z)'!$Q:$Q,$J19,'기타(Z)'!$C:$C,$L$1)
  )
)</f>
        <v/>
      </c>
      <c r="AJ19" s="385" t="str">
        <f>IF(
  SUM(
    COUNTIFS('발전사업(A)'!$G:$G, AI$2, '발전사업(A)'!$Q:$Q, $J19, '발전사업(A)'!$C:$C, $L$1),
    COUNTIFS('자가소비(B)'!$G:$G, AI$2, '자가소비(B)'!$Q:$Q, $J19, '자가소비(B)'!$C:$C, $L$1),
    COUNTIFS('PPA 사업(C)'!$G:$G, AI$2, 'PPA 사업(C)'!$Q:$Q, $J19, 'PPA 사업(C)'!$C:$C, $L$1),
    COUNTIFS('리스사업(D)'!$G:$G, AI$2, '리스사업(D)'!$Q:$Q, $J19, '리스사업(D)'!$C:$C, $L$1),
    COUNTIFS('임대사업(E)'!$G:$G, AI$2, '임대사업(E)'!$Q:$Q, $J19, '임대사업(E)'!$C:$C, $L$1),
    COUNTIFS('환경부사업(F)'!$G:$G, AI$2, '환경부사업(F)'!$Q:$Q, $J19, '환경부사업(F)'!$C:$C, $L$1),
    COUNTIFS('프로젝트(G)'!$G:$G, AI$2, '프로젝트(G)'!$Q:$Q, $J19, '프로젝트(G)'!$C:$C, $L$1),
    COUNTIFS('협력사 EPC(H)'!$G:$G, AI$2, '협력사 EPC(H)'!$Q:$Q, $J19, '협력사 EPC(H)'!$C:$C, $L$1),
    COUNTIFS('기타(Z)'!$G:$G, AI$2, '기타(Z)'!$Q:$Q, $J19, '기타(Z)'!$C:$C, $L$1)
  ) = 0,
  "",
  COUNTIFS('발전사업(A)'!$G:$G, AI$2, '발전사업(A)'!$Q:$Q, $J19, '발전사업(A)'!$C:$C, $L$1)
  + COUNTIFS('자가소비(B)'!$G:$G, AI$2, '자가소비(B)'!$Q:$Q, $J19, '자가소비(B)'!$C:$C, $L$1)
  + COUNTIFS('PPA 사업(C)'!$G:$G, AI$2, 'PPA 사업(C)'!$Q:$Q, $J19, 'PPA 사업(C)'!$C:$C, $L$1)
  + COUNTIFS('리스사업(D)'!$G:$G, AI$2, '리스사업(D)'!$Q:$Q, $J19, '리스사업(D)'!$C:$C, $L$1)
  + COUNTIFS('임대사업(E)'!$G:$G, AI$2, '임대사업(E)'!$Q:$Q, $J19, '임대사업(E)'!$C:$C, $L$1)
  + COUNTIFS('환경부사업(F)'!$G:$G, AI$2, '환경부사업(F)'!$Q:$Q, $J19, '환경부사업(F)'!$C:$C, $L$1)
  + COUNTIFS('프로젝트(G)'!$G:$G, AI$2, '프로젝트(G)'!$Q:$Q, $J19, '프로젝트(G)'!$C:$C, $L$1)
  + COUNTIFS('협력사 EPC(H)'!$G:$G, AI$2, '협력사 EPC(H)'!$Q:$Q, $J19, '협력사 EPC(H)'!$C:$C, $L$1)
  + COUNTIFS('기타(Z)'!$G:$G, AI$2, '기타(Z)'!$Q:$Q, $J19, '기타(Z)'!$C:$C, $L$1)
)</f>
        <v/>
      </c>
    </row>
    <row r="20" spans="2:36" ht="15" x14ac:dyDescent="0.25">
      <c r="B20" s="202" t="s">
        <v>262</v>
      </c>
      <c r="C20" s="280">
        <f>IF(
  SUM(
    SUMIFS('발전사업(A)'!I:I, '발전사업(A)'!C:C, $E$1, '발전사업(A)'!G:G, B15, '발전사업(A)'!W:W, B20),
    SUMIFS('자가소비(B)'!I:I, '자가소비(B)'!C:C, $E$1, '자가소비(B)'!G:G, B15, '자가소비(B)'!W:W, B20),
    SUMIFS('PPA 사업(C)'!I:I, 'PPA 사업(C)'!C:C, $E$1, 'PPA 사업(C)'!G:G, B15, 'PPA 사업(C)'!W:W, B20),
    SUMIFS('리스사업(D)'!I:I, '리스사업(D)'!C:C, $E$1, '리스사업(D)'!G:G, B15, '리스사업(D)'!W:W, B20),
    SUMIFS('임대사업(E)'!I:I, '임대사업(E)'!C:C, $E$1, '임대사업(E)'!G:G, B15, '임대사업(E)'!W:W, B20),
    SUMIFS('환경부사업(F)'!I:I, '환경부사업(F)'!C:C, $E$1, '환경부사업(F)'!G:G, B15, '환경부사업(F)'!W:W, B20),
    SUMIFS('프로젝트(G)'!I:I, '프로젝트(G)'!C:C, $E$1, '프로젝트(G)'!G:G, B15, '프로젝트(G)'!W:W, B20),
    SUMIFS('협력사 EPC(H)'!I:I, '협력사 EPC(H)'!C:C, $E$1, '협력사 EPC(H)'!G:G, B15, '협력사 EPC(H)'!W:W, B20),
    SUMIFS('기타(Z)'!I:I, '기타(Z)'!C:C, $E$1, '기타(Z)'!G:G, B15, '기타(Z)'!W:W, B20)
  ) = 0,
  "",
  SUMIFS('발전사업(A)'!I:I, '발전사업(A)'!C:C, $E$1, '발전사업(A)'!G:G, B15, '발전사업(A)'!W:W, B20)
  + SUMIFS('자가소비(B)'!I:I, '자가소비(B)'!C:C, $E$1, '자가소비(B)'!G:G, B15, '자가소비(B)'!W:W, B20)
  + SUMIFS('PPA 사업(C)'!I:I, 'PPA 사업(C)'!C:C, $E$1, 'PPA 사업(C)'!G:G, B15, 'PPA 사업(C)'!W:W, B20)
  + SUMIFS('리스사업(D)'!I:I, '리스사업(D)'!C:C, $E$1, '리스사업(D)'!G:G, B15, '리스사업(D)'!W:W, B20)
  + SUMIFS('임대사업(E)'!I:I, '임대사업(E)'!C:C, $E$1, '임대사업(E)'!G:G, B15, '임대사업(E)'!W:W, B20)
  + SUMIFS('환경부사업(F)'!I:I, '환경부사업(F)'!C:C, $E$1, '환경부사업(F)'!G:G, B15, '환경부사업(F)'!W:W, B20)
  + SUMIFS('프로젝트(G)'!I:I, '프로젝트(G)'!C:C, $E$1, '프로젝트(G)'!G:G, B15, '프로젝트(G)'!W:W, B20)
  + SUMIFS('협력사 EPC(H)'!I:I, '협력사 EPC(H)'!C:C, $E$1, '협력사 EPC(H)'!G:G, B15, '협력사 EPC(H)'!W:W, B20)
  + SUMIFS('기타(Z)'!I:I, '기타(Z)'!C:C, $E$1, '기타(Z)'!G:G, B15, '기타(Z)'!W:W, B20)
)</f>
        <v>34.29</v>
      </c>
      <c r="D20" s="281">
        <f>IF(
  COUNTIFS('발전사업(A)'!C:C, $E$1, '발전사업(A)'!G:G, B15, '발전사업(A)'!W:W, B20)
  + COUNTIFS('자가소비(B)'!C:C, $E$1, '자가소비(B)'!G:G, B15, '자가소비(B)'!W:W, B20)
  + COUNTIFS('PPA 사업(C)'!C:C, $E$1, 'PPA 사업(C)'!G:G, B15, 'PPA 사업(C)'!W:W, B20)
  + COUNTIFS('리스사업(D)'!C:C, $E$1, '리스사업(D)'!G:G, B15, '리스사업(D)'!W:W, B20)
  + COUNTIFS('임대사업(E)'!C:C, $E$1, '임대사업(E)'!G:G, B15, '임대사업(E)'!W:W, B20)
  + COUNTIFS('환경부사업(F)'!C:C, $E$1, '환경부사업(F)'!G:G, B15, '환경부사업(F)'!W:W, B20)
  + COUNTIFS('프로젝트(G)'!C:C, $E$1, '프로젝트(G)'!G:G, B15, '프로젝트(G)'!W:W, B20)
  + COUNTIFS('협력사 EPC(H)'!C:C, $E$1, '협력사 EPC(H)'!G:G, B15, '협력사 EPC(H)'!W:W, B20)
  + COUNTIFS('기타(Z)'!C:C, $E$1, '기타(Z)'!G:G, B15, '기타(Z)'!W:W, B20)
  = 0,
  "",
  COUNTIFS('발전사업(A)'!C:C, $E$1, '발전사업(A)'!G:G, B15, '발전사업(A)'!W:W, B20)
  + COUNTIFS('자가소비(B)'!C:C, $E$1, '자가소비(B)'!G:G, B15, '자가소비(B)'!W:W, B20)
  + COUNTIFS('PPA 사업(C)'!C:C, $E$1, 'PPA 사업(C)'!G:G, B15, 'PPA 사업(C)'!W:W, B20)
  + COUNTIFS('리스사업(D)'!C:C, $E$1, '리스사업(D)'!G:G, B15, '리스사업(D)'!W:W, B20)
  + COUNTIFS('임대사업(E)'!C:C, $E$1, '임대사업(E)'!G:G, B15, '임대사업(E)'!W:W, B20)
  + COUNTIFS('환경부사업(F)'!C:C, $E$1, '환경부사업(F)'!G:G, B15, '환경부사업(F)'!W:W, B20)
  + COUNTIFS('프로젝트(G)'!C:C, $E$1, '프로젝트(G)'!G:G, B15, '프로젝트(G)'!W:W, B20)
  + COUNTIFS('협력사 EPC(H)'!C:C, $E$1, '협력사 EPC(H)'!G:G, B15, '협력사 EPC(H)'!W:W, B20)
  + COUNTIFS('기타(Z)'!C:C, $E$1, '기타(Z)'!G:G, B15, '기타(Z)'!W:W, B20)
)</f>
        <v>1</v>
      </c>
      <c r="E20" s="280" t="str">
        <f>IF(
  SUM(
    SUMIFS('발전사업(A)'!I:I, '발전사업(A)'!C:C, $E$1, '발전사업(A)'!G:G, B15, '발전사업(A)'!W:W, B20, '발전사업(A)'!U:U, $C$1),
    SUMIFS('자가소비(B)'!I:I, '자가소비(B)'!C:C, $E$1, '자가소비(B)'!G:G, B15, '자가소비(B)'!W:W, B20, '자가소비(B)'!U:U, $C$1),
    SUMIFS('PPA 사업(C)'!I:I, 'PPA 사업(C)'!C:C, $E$1, 'PPA 사업(C)'!G:G, B15, 'PPA 사업(C)'!W:W, B20, 'PPA 사업(C)'!U:U, $C$1),
    SUMIFS('리스사업(D)'!I:I, '리스사업(D)'!C:C, $E$1, '리스사업(D)'!G:G, B15, '리스사업(D)'!W:W, B20, '리스사업(D)'!U:U, $C$1),
    SUMIFS('임대사업(E)'!I:I, '임대사업(E)'!C:C, $E$1, '임대사업(E)'!G:G, B15, '임대사업(E)'!W:W, B20, '임대사업(E)'!U:U, $C$1),
    SUMIFS('환경부사업(F)'!I:I, '환경부사업(F)'!C:C, $E$1, '환경부사업(F)'!G:G, B15, '환경부사업(F)'!W:W, B20, '환경부사업(F)'!U:U, $C$1),
    SUMIFS('프로젝트(G)'!I:I, '프로젝트(G)'!C:C, $E$1, '프로젝트(G)'!G:G, B15, '프로젝트(G)'!W:W, B20, '프로젝트(G)'!U:U, $C$1),
    SUMIFS('협력사 EPC(H)'!I:I, '협력사 EPC(H)'!C:C, $E$1, '협력사 EPC(H)'!G:G, B15, '협력사 EPC(H)'!W:W, B20, '협력사 EPC(H)'!U:U, $C$1),
    SUMIFS('기타(Z)'!I:I, '기타(Z)'!C:C, $E$1, '기타(Z)'!G:G, B15, '기타(Z)'!W:W, B20, '기타(Z)'!U:U, $C$1)
  ) = 0,
  "",
  SUM(
    SUMIFS('발전사업(A)'!I:I, '발전사업(A)'!C:C, $E$1, '발전사업(A)'!G:G, B15, '발전사업(A)'!W:W, B20, '발전사업(A)'!U:U, $C$1),
    SUMIFS('자가소비(B)'!I:I, '자가소비(B)'!C:C, $E$1, '자가소비(B)'!G:G, B15, '자가소비(B)'!W:W, B20, '자가소비(B)'!U:U, $C$1),
    SUMIFS('PPA 사업(C)'!I:I, 'PPA 사업(C)'!C:C, $E$1, 'PPA 사업(C)'!G:G, B15, 'PPA 사업(C)'!W:W, B20, 'PPA 사업(C)'!U:U, $C$1),
    SUMIFS('리스사업(D)'!I:I, '리스사업(D)'!C:C, $E$1, '리스사업(D)'!G:G, B15, '리스사업(D)'!W:W, B20, '리스사업(D)'!U:U, $C$1),
    SUMIFS('임대사업(E)'!I:I, '임대사업(E)'!C:C, $E$1, '임대사업(E)'!G:G, B15, '임대사업(E)'!W:W, B20, '임대사업(E)'!U:U, $C$1),
    SUMIFS('환경부사업(F)'!I:I, '환경부사업(F)'!C:C, $E$1, '환경부사업(F)'!G:G, B15, '환경부사업(F)'!W:W, B20, '환경부사업(F)'!U:U, $C$1),
    SUMIFS('프로젝트(G)'!I:I, '프로젝트(G)'!C:C, $E$1, '프로젝트(G)'!G:G, B15, '프로젝트(G)'!W:W, B20, '프로젝트(G)'!U:U, $C$1),
    SUMIFS('협력사 EPC(H)'!I:I, '협력사 EPC(H)'!C:C, $E$1, '협력사 EPC(H)'!G:G, B15, '협력사 EPC(H)'!W:W, B20, '협력사 EPC(H)'!U:U, $C$1),
    SUMIFS('기타(Z)'!I:I, '기타(Z)'!C:C, $E$1, '기타(Z)'!G:G, B15, '기타(Z)'!W:W, B20, '기타(Z)'!U:U, $C$1)
  )
)</f>
        <v/>
      </c>
      <c r="F20" s="281" t="str">
        <f>IF(
  SUM(
    COUNTIFS('발전사업(A)'!C:C, $E$1, '발전사업(A)'!G:G, B15, '발전사업(A)'!W:W, B20, '발전사업(A)'!U:U, $C$1),
    COUNTIFS('자가소비(B)'!C:C, $E$1, '자가소비(B)'!G:G, B15, '자가소비(B)'!W:W, B20, '자가소비(B)'!U:U, $C$1),
    COUNTIFS('PPA 사업(C)'!C:C, $E$1, 'PPA 사업(C)'!G:G, B15, 'PPA 사업(C)'!W:W, B20, 'PPA 사업(C)'!U:U, $C$1),
    COUNTIFS('리스사업(D)'!C:C, $E$1, '리스사업(D)'!G:G, B15, '리스사업(D)'!W:W, B20, '리스사업(D)'!U:U, $C$1),
    COUNTIFS('임대사업(E)'!C:C, $E$1, '임대사업(E)'!G:G, B15, '임대사업(E)'!W:W, B20, '임대사업(E)'!U:U, $C$1),
    COUNTIFS('환경부사업(F)'!C:C, $E$1, '환경부사업(F)'!G:G, B15, '환경부사업(F)'!W:W, B20, '환경부사업(F)'!U:U, $C$1),
    COUNTIFS('프로젝트(G)'!C:C, $E$1, '프로젝트(G)'!G:G, B15, '프로젝트(G)'!W:W, B20, '프로젝트(G)'!U:U, $C$1),
    COUNTIFS('협력사 EPC(H)'!C:C, $E$1, '협력사 EPC(H)'!G:G, B15, '협력사 EPC(H)'!W:W, B20, '협력사 EPC(H)'!U:U, $C$1),
    COUNTIFS('기타(Z)'!C:C, $E$1, '기타(Z)'!G:G, B15, '기타(Z)'!W:W, B20, '기타(Z)'!U:U, $C$1)
  ) = 0,
  "",
  SUM(
    COUNTIFS('발전사업(A)'!C:C, $E$1, '발전사업(A)'!G:G, B15, '발전사업(A)'!W:W, B20, '발전사업(A)'!U:U, $C$1),
    COUNTIFS('자가소비(B)'!C:C, $E$1, '자가소비(B)'!G:G, B15, '자가소비(B)'!W:W, B20, '자가소비(B)'!U:U, $C$1),
    COUNTIFS('PPA 사업(C)'!C:C, $E$1, 'PPA 사업(C)'!G:G, B15, 'PPA 사업(C)'!W:W, B20, 'PPA 사업(C)'!U:U, $C$1),
    COUNTIFS('리스사업(D)'!C:C, $E$1, '리스사업(D)'!G:G, B15, '리스사업(D)'!W:W, B20, '리스사업(D)'!U:U, $C$1),
    COUNTIFS('임대사업(E)'!C:C, $E$1, '임대사업(E)'!G:G, B15, '임대사업(E)'!W:W, B20, '임대사업(E)'!U:U, $C$1),
    COUNTIFS('환경부사업(F)'!C:C, $E$1, '환경부사업(F)'!G:G, B15, '환경부사업(F)'!W:W, B20, '환경부사업(F)'!U:U, $C$1),
    COUNTIFS('프로젝트(G)'!C:C, $E$1, '프로젝트(G)'!G:G, B15, '프로젝트(G)'!W:W, B20, '프로젝트(G)'!U:U, $C$1),
    COUNTIFS('협력사 EPC(H)'!C:C, $E$1, '협력사 EPC(H)'!G:G, B15, '협력사 EPC(H)'!W:W, B20, '협력사 EPC(H)'!U:U, $C$1),
    COUNTIFS('기타(Z)'!C:C, $E$1, '기타(Z)'!G:G, B15, '기타(Z)'!W:W, B20, '기타(Z)'!U:U, $C$1)
  )
)</f>
        <v/>
      </c>
      <c r="G20" s="280">
        <f>IF(
  SUM(
    SUMIFS('발전사업(A)'!I:I, '발전사업(A)'!C:C, $E$1, '발전사업(A)'!G:G, B15, '발전사업(A)'!W:W, B20, '발전사업(A)'!U:U, $D$1),
    SUMIFS('자가소비(B)'!I:I, '자가소비(B)'!C:C, $E$1, '자가소비(B)'!G:G, B15, '자가소비(B)'!W:W, B20, '자가소비(B)'!U:U, $D$1),
    SUMIFS('PPA 사업(C)'!I:I, 'PPA 사업(C)'!C:C, $E$1, 'PPA 사업(C)'!G:G, B15, 'PPA 사업(C)'!W:W, B20, 'PPA 사업(C)'!U:U, $D$1),
    SUMIFS('리스사업(D)'!I:I, '리스사업(D)'!C:C, $E$1, '리스사업(D)'!G:G, B15, '리스사업(D)'!W:W, B20, '리스사업(D)'!U:U, $D$1),
    SUMIFS('임대사업(E)'!I:I, '임대사업(E)'!C:C, $E$1, '임대사업(E)'!G:G, B15, '임대사업(E)'!W:W, B20, '임대사업(E)'!U:U, $D$1),
    SUMIFS('환경부사업(F)'!I:I, '환경부사업(F)'!C:C, $E$1, '환경부사업(F)'!G:G, B15, '환경부사업(F)'!W:W, B20, '환경부사업(F)'!U:U, $D$1),
    SUMIFS('프로젝트(G)'!I:I, '프로젝트(G)'!C:C, $E$1, '프로젝트(G)'!G:G, B15, '프로젝트(G)'!W:W, B20, '프로젝트(G)'!U:U, $D$1),
    SUMIFS('협력사 EPC(H)'!I:I, '협력사 EPC(H)'!C:C, $E$1, '협력사 EPC(H)'!G:G, B15, '협력사 EPC(H)'!W:W, B20, '협력사 EPC(H)'!U:U, $D$1),
    SUMIFS('기타(Z)'!I:I, '기타(Z)'!C:C, $E$1, '기타(Z)'!G:G, B15, '기타(Z)'!W:W, B20, '기타(Z)'!U:U, $D$1)
  ) = 0,
  "",
  SUM(
    SUMIFS('발전사업(A)'!I:I, '발전사업(A)'!C:C, $E$1, '발전사업(A)'!G:G, B15, '발전사업(A)'!W:W, B20, '발전사업(A)'!U:U, $D$1),
    SUMIFS('자가소비(B)'!I:I, '자가소비(B)'!C:C, $E$1, '자가소비(B)'!G:G, B15, '자가소비(B)'!W:W, B20, '자가소비(B)'!U:U, $D$1),
    SUMIFS('PPA 사업(C)'!I:I, 'PPA 사업(C)'!C:C, $E$1, 'PPA 사업(C)'!G:G, B15, 'PPA 사업(C)'!W:W, B20, 'PPA 사업(C)'!U:U, $D$1),
    SUMIFS('리스사업(D)'!I:I, '리스사업(D)'!C:C, $E$1, '리스사업(D)'!G:G, B15, '리스사업(D)'!W:W, B20, '리스사업(D)'!U:U, $D$1),
    SUMIFS('임대사업(E)'!I:I, '임대사업(E)'!C:C, $E$1, '임대사업(E)'!G:G, B15, '임대사업(E)'!W:W, B20, '임대사업(E)'!U:U, $D$1),
    SUMIFS('환경부사업(F)'!I:I, '환경부사업(F)'!C:C, $E$1, '환경부사업(F)'!G:G, B15, '환경부사업(F)'!W:W, B20, '환경부사업(F)'!U:U, $D$1),
    SUMIFS('프로젝트(G)'!I:I, '프로젝트(G)'!C:C, $E$1, '프로젝트(G)'!G:G, B15, '프로젝트(G)'!W:W, B20, '프로젝트(G)'!U:U, $D$1),
    SUMIFS('협력사 EPC(H)'!I:I, '협력사 EPC(H)'!C:C, $E$1, '협력사 EPC(H)'!G:G, B15, '협력사 EPC(H)'!W:W, B20, '협력사 EPC(H)'!U:U, $D$1),
    SUMIFS('기타(Z)'!I:I, '기타(Z)'!C:C, $E$1, '기타(Z)'!G:G, B15, '기타(Z)'!W:W, B20, '기타(Z)'!U:U, $D$1)
  )
)</f>
        <v>34.29</v>
      </c>
      <c r="H20" s="281">
        <f>IF(
  (
    COUNTIFS('발전사업(A)'!C:C, $E$1, '발전사업(A)'!G:G, B15, '발전사업(A)'!W:W, B20, '발전사업(A)'!U:U, $D$1)
    + COUNTIFS('자가소비(B)'!C:C, $E$1, '자가소비(B)'!G:G, B15, '자가소비(B)'!W:W, B20, '자가소비(B)'!U:U, $D$1)
    + COUNTIFS('PPA 사업(C)'!C:C, $E$1, 'PPA 사업(C)'!G:G, B15, 'PPA 사업(C)'!W:W, B20, 'PPA 사업(C)'!U:U, $D$1)
    + COUNTIFS('리스사업(D)'!C:C, $E$1, '리스사업(D)'!G:G, B15, '리스사업(D)'!W:W, B20, '리스사업(D)'!U:U, $D$1)
    + COUNTIFS('임대사업(E)'!C:C, $E$1, '임대사업(E)'!G:G, B15, '임대사업(E)'!W:W, B20, '임대사업(E)'!U:U, $D$1)
    + COUNTIFS('환경부사업(F)'!C:C, $E$1, '환경부사업(F)'!G:G, B15, '환경부사업(F)'!W:W, B20, '환경부사업(F)'!U:U, $D$1)
    + COUNTIFS('프로젝트(G)'!C:C, $E$1, '프로젝트(G)'!G:G, B15, '프로젝트(G)'!W:W, B20, '프로젝트(G)'!U:U, $D$1)
    + COUNTIFS('협력사 EPC(H)'!C:C, $E$1, '협력사 EPC(H)'!G:G, B15, '협력사 EPC(H)'!W:W, B20, '협력사 EPC(H)'!U:U, $D$1)
    + COUNTIFS('기타(Z)'!C:C, $E$1, '기타(Z)'!G:G, B15, '기타(Z)'!W:W, B20, '기타(Z)'!U:U, $D$1)
  ) = 0,
  "",
  COUNTIFS('발전사업(A)'!C:C, $E$1, '발전사업(A)'!G:G, B15, '발전사업(A)'!W:W, B20, '발전사업(A)'!U:U, $D$1)
  + COUNTIFS('자가소비(B)'!C:C, $E$1, '자가소비(B)'!G:G, B15, '자가소비(B)'!W:W, B20, '자가소비(B)'!U:U, $D$1)
  + COUNTIFS('PPA 사업(C)'!C:C, $E$1, 'PPA 사업(C)'!G:G, B15, 'PPA 사업(C)'!W:W, B20, 'PPA 사업(C)'!U:U, $D$1)
  + COUNTIFS('리스사업(D)'!C:C, $E$1, '리스사업(D)'!G:G, B15, '리스사업(D)'!W:W, B20, '리스사업(D)'!U:U, $D$1)
  + COUNTIFS('임대사업(E)'!C:C, $E$1, '임대사업(E)'!G:G, B15, '임대사업(E)'!W:W, B20, '임대사업(E)'!U:U, $D$1)
  + COUNTIFS('환경부사업(F)'!C:C, $E$1, '환경부사업(F)'!G:G, B15, '환경부사업(F)'!W:W, B20, '환경부사업(F)'!U:U, $D$1)
  + COUNTIFS('프로젝트(G)'!C:C, $E$1, '프로젝트(G)'!G:G, B15, '프로젝트(G)'!W:W, B20, '프로젝트(G)'!U:U, $D$1)
  + COUNTIFS('협력사 EPC(H)'!C:C, $E$1, '협력사 EPC(H)'!G:G, B15, '협력사 EPC(H)'!W:W, B20, '협력사 EPC(H)'!U:U, $D$1)
  + COUNTIFS('기타(Z)'!C:C, $E$1, '기타(Z)'!G:G, B15, '기타(Z)'!W:W, B20, '기타(Z)'!U:U, $D$1)
)</f>
        <v>1</v>
      </c>
      <c r="J20" s="391" t="s">
        <v>2139</v>
      </c>
      <c r="K20" s="374" t="str">
        <f t="shared" si="7"/>
        <v/>
      </c>
      <c r="L20" s="368" t="str">
        <f t="shared" si="8"/>
        <v/>
      </c>
      <c r="M20" s="386" t="str">
        <f>IF(
  SUM(
    SUMIFS('발전사업(A)'!$I:$I,'발전사업(A)'!$G:$G,M$2,'발전사업(A)'!$Q:$Q,$J20,'발전사업(A)'!$C:$C,$L$1),
    SUMIFS('자가소비(B)'!$I:$I,'자가소비(B)'!$G:$G,M$2,'자가소비(B)'!$Q:$Q,$J20,'자가소비(B)'!$C:$C,$L$1),
    SUMIFS('PPA 사업(C)'!$I:$I,'PPA 사업(C)'!$G:$G,M$2,'PPA 사업(C)'!$Q:$Q,$J20,'PPA 사업(C)'!$C:$C,$L$1),
    SUMIFS('리스사업(D)'!$I:$I,'리스사업(D)'!$G:$G,M$2,'리스사업(D)'!$Q:$Q,$J20,'리스사업(D)'!$C:$C,$L$1),
    SUMIFS('임대사업(E)'!$I:$I,'임대사업(E)'!$G:$G,M$2,'임대사업(E)'!$Q:$Q,$J20,'임대사업(E)'!$C:$C,$L$1),
    SUMIFS('환경부사업(F)'!$I:$I,'환경부사업(F)'!$G:$G,M$2,'환경부사업(F)'!$Q:$Q,$J20,'환경부사업(F)'!$C:$C,$L$1),
    SUMIFS('프로젝트(G)'!$I:$I,'프로젝트(G)'!$G:$G,M$2,'프로젝트(G)'!$Q:$Q,$J20,'프로젝트(G)'!$C:$C,$L$1),
    SUMIFS('협력사 EPC(H)'!$I:$I,'협력사 EPC(H)'!$G:$G,M$2,'협력사 EPC(H)'!$Q:$Q,$J20,'협력사 EPC(H)'!$C:$C,$L$1),
    SUMIFS('기타(Z)'!$I:$I,'기타(Z)'!$G:$G,M$2,'기타(Z)'!$Q:$Q,$J20,'기타(Z)'!$C:$C,$L$1)
  )=0,
  "",
  SUM(
    SUMIFS('발전사업(A)'!$I:$I,'발전사업(A)'!$G:$G,M$2,'발전사업(A)'!$Q:$Q,$J20,'발전사업(A)'!$C:$C,$L$1),
    SUMIFS('자가소비(B)'!$I:$I,'자가소비(B)'!$G:$G,M$2,'자가소비(B)'!$Q:$Q,$J20,'자가소비(B)'!$C:$C,$L$1),
    SUMIFS('PPA 사업(C)'!$I:$I,'PPA 사업(C)'!$G:$G,M$2,'PPA 사업(C)'!$Q:$Q,$J20,'PPA 사업(C)'!$C:$C,$L$1),
    SUMIFS('리스사업(D)'!$I:$I,'리스사업(D)'!$G:$G,M$2,'리스사업(D)'!$Q:$Q,$J20,'리스사업(D)'!$C:$C,$L$1),
    SUMIFS('임대사업(E)'!$I:$I,'임대사업(E)'!$G:$G,M$2,'임대사업(E)'!$Q:$Q,$J20,'임대사업(E)'!$C:$C,$L$1),
    SUMIFS('환경부사업(F)'!$I:$I,'환경부사업(F)'!$G:$G,M$2,'환경부사업(F)'!$Q:$Q,$J20,'환경부사업(F)'!$C:$C,$L$1),
    SUMIFS('프로젝트(G)'!$I:$I,'프로젝트(G)'!$G:$G,M$2,'프로젝트(G)'!$Q:$Q,$J20,'프로젝트(G)'!$C:$C,$L$1),
    SUMIFS('협력사 EPC(H)'!$I:$I,'협력사 EPC(H)'!$G:$G,M$2,'협력사 EPC(H)'!$Q:$Q,$J20,'협력사 EPC(H)'!$C:$C,$L$1),
    SUMIFS('기타(Z)'!$I:$I,'기타(Z)'!$G:$G,M$2,'기타(Z)'!$Q:$Q,$J20,'기타(Z)'!$C:$C,$L$1)
  )
)</f>
        <v/>
      </c>
      <c r="N20" s="387" t="str">
        <f>IF(
  SUM(
    COUNTIFS('발전사업(A)'!$G:$G, M$2, '발전사업(A)'!$Q:$Q, $J20, '발전사업(A)'!$C:$C, $L$1),
    COUNTIFS('자가소비(B)'!$G:$G, M$2, '자가소비(B)'!$Q:$Q, $J20, '자가소비(B)'!$C:$C, $L$1),
    COUNTIFS('PPA 사업(C)'!$G:$G, M$2, 'PPA 사업(C)'!$Q:$Q, $J20, 'PPA 사업(C)'!$C:$C, $L$1),
    COUNTIFS('리스사업(D)'!$G:$G, M$2, '리스사업(D)'!$Q:$Q, $J20, '리스사업(D)'!$C:$C, $L$1),
    COUNTIFS('임대사업(E)'!$G:$G, M$2, '임대사업(E)'!$Q:$Q, $J20, '임대사업(E)'!$C:$C, $L$1),
    COUNTIFS('환경부사업(F)'!$G:$G, M$2, '환경부사업(F)'!$Q:$Q, $J20, '환경부사업(F)'!$C:$C, $L$1),
    COUNTIFS('프로젝트(G)'!$G:$G, M$2, '프로젝트(G)'!$Q:$Q, $J20, '프로젝트(G)'!$C:$C, $L$1),
    COUNTIFS('협력사 EPC(H)'!$G:$G, M$2, '협력사 EPC(H)'!$Q:$Q, $J20, '협력사 EPC(H)'!$C:$C, $L$1),
    COUNTIFS('기타(Z)'!$G:$G, M$2, '기타(Z)'!$Q:$Q, $J20, '기타(Z)'!$C:$C, $L$1)
  ) = 0,
  "",
  COUNTIFS('발전사업(A)'!$G:$G, M$2, '발전사업(A)'!$Q:$Q, $J20, '발전사업(A)'!$C:$C, $L$1)
  + COUNTIFS('자가소비(B)'!$G:$G, M$2, '자가소비(B)'!$Q:$Q, $J20, '자가소비(B)'!$C:$C, $L$1)
  + COUNTIFS('PPA 사업(C)'!$G:$G, M$2, 'PPA 사업(C)'!$Q:$Q, $J20, 'PPA 사업(C)'!$C:$C, $L$1)
  + COUNTIFS('리스사업(D)'!$G:$G, M$2, '리스사업(D)'!$Q:$Q, $J20, '리스사업(D)'!$C:$C, $L$1)
  + COUNTIFS('임대사업(E)'!$G:$G, M$2, '임대사업(E)'!$Q:$Q, $J20, '임대사업(E)'!$C:$C, $L$1)
  + COUNTIFS('환경부사업(F)'!$G:$G, M$2, '환경부사업(F)'!$Q:$Q, $J20, '환경부사업(F)'!$C:$C, $L$1)
  + COUNTIFS('프로젝트(G)'!$G:$G, M$2, '프로젝트(G)'!$Q:$Q, $J20, '프로젝트(G)'!$C:$C, $L$1)
  + COUNTIFS('협력사 EPC(H)'!$G:$G, M$2, '협력사 EPC(H)'!$Q:$Q, $J20, '협력사 EPC(H)'!$C:$C, $L$1)
  + COUNTIFS('기타(Z)'!$G:$G, M$2, '기타(Z)'!$Q:$Q, $J20, '기타(Z)'!$C:$C, $L$1)
)</f>
        <v/>
      </c>
      <c r="O20" s="386" t="str">
        <f>IF(
  SUM(
    SUMIFS('발전사업(A)'!$I:$I,'발전사업(A)'!$G:$G,O$2,'발전사업(A)'!$Q:$Q,$J20,'발전사업(A)'!$C:$C,$L$1),
    SUMIFS('자가소비(B)'!$I:$I,'자가소비(B)'!$G:$G,O$2,'자가소비(B)'!$Q:$Q,$J20,'자가소비(B)'!$C:$C,$L$1),
    SUMIFS('PPA 사업(C)'!$I:$I,'PPA 사업(C)'!$G:$G,O$2,'PPA 사업(C)'!$Q:$Q,$J20,'PPA 사업(C)'!$C:$C,$L$1),
    SUMIFS('리스사업(D)'!$I:$I,'리스사업(D)'!$G:$G,O$2,'리스사업(D)'!$Q:$Q,$J20,'리스사업(D)'!$C:$C,$L$1),
    SUMIFS('임대사업(E)'!$I:$I,'임대사업(E)'!$G:$G,O$2,'임대사업(E)'!$Q:$Q,$J20,'임대사업(E)'!$C:$C,$L$1),
    SUMIFS('환경부사업(F)'!$I:$I,'환경부사업(F)'!$G:$G,O$2,'환경부사업(F)'!$Q:$Q,$J20,'환경부사업(F)'!$C:$C,$L$1),
    SUMIFS('프로젝트(G)'!$I:$I,'프로젝트(G)'!$G:$G,O$2,'프로젝트(G)'!$Q:$Q,$J20,'프로젝트(G)'!$C:$C,$L$1),
    SUMIFS('협력사 EPC(H)'!$I:$I,'협력사 EPC(H)'!$G:$G,O$2,'협력사 EPC(H)'!$Q:$Q,$J20,'협력사 EPC(H)'!$C:$C,$L$1),
    SUMIFS('기타(Z)'!$I:$I,'기타(Z)'!$G:$G,O$2,'기타(Z)'!$Q:$Q,$J20,'기타(Z)'!$C:$C,$L$1)
  )=0,
  "",
  SUM(
    SUMIFS('발전사업(A)'!$I:$I,'발전사업(A)'!$G:$G,O$2,'발전사업(A)'!$Q:$Q,$J20,'발전사업(A)'!$C:$C,$L$1),
    SUMIFS('자가소비(B)'!$I:$I,'자가소비(B)'!$G:$G,O$2,'자가소비(B)'!$Q:$Q,$J20,'자가소비(B)'!$C:$C,$L$1),
    SUMIFS('PPA 사업(C)'!$I:$I,'PPA 사업(C)'!$G:$G,O$2,'PPA 사업(C)'!$Q:$Q,$J20,'PPA 사업(C)'!$C:$C,$L$1),
    SUMIFS('리스사업(D)'!$I:$I,'리스사업(D)'!$G:$G,O$2,'리스사업(D)'!$Q:$Q,$J20,'리스사업(D)'!$C:$C,$L$1),
    SUMIFS('임대사업(E)'!$I:$I,'임대사업(E)'!$G:$G,O$2,'임대사업(E)'!$Q:$Q,$J20,'임대사업(E)'!$C:$C,$L$1),
    SUMIFS('환경부사업(F)'!$I:$I,'환경부사업(F)'!$G:$G,O$2,'환경부사업(F)'!$Q:$Q,$J20,'환경부사업(F)'!$C:$C,$L$1),
    SUMIFS('프로젝트(G)'!$I:$I,'프로젝트(G)'!$G:$G,O$2,'프로젝트(G)'!$Q:$Q,$J20,'프로젝트(G)'!$C:$C,$L$1),
    SUMIFS('협력사 EPC(H)'!$I:$I,'협력사 EPC(H)'!$G:$G,O$2,'협력사 EPC(H)'!$Q:$Q,$J20,'협력사 EPC(H)'!$C:$C,$L$1),
    SUMIFS('기타(Z)'!$I:$I,'기타(Z)'!$G:$G,O$2,'기타(Z)'!$Q:$Q,$J20,'기타(Z)'!$C:$C,$L$1)
  )
)</f>
        <v/>
      </c>
      <c r="P20" s="387" t="str">
        <f>IF(
  SUM(
    COUNTIFS('발전사업(A)'!$G:$G, O$2, '발전사업(A)'!$Q:$Q, $J20, '발전사업(A)'!$C:$C, $L$1),
    COUNTIFS('자가소비(B)'!$G:$G, O$2, '자가소비(B)'!$Q:$Q, $J20, '자가소비(B)'!$C:$C, $L$1),
    COUNTIFS('PPA 사업(C)'!$G:$G, O$2, 'PPA 사업(C)'!$Q:$Q, $J20, 'PPA 사업(C)'!$C:$C, $L$1),
    COUNTIFS('리스사업(D)'!$G:$G, O$2, '리스사업(D)'!$Q:$Q, $J20, '리스사업(D)'!$C:$C, $L$1),
    COUNTIFS('임대사업(E)'!$G:$G, O$2, '임대사업(E)'!$Q:$Q, $J20, '임대사업(E)'!$C:$C, $L$1),
    COUNTIFS('환경부사업(F)'!$G:$G, O$2, '환경부사업(F)'!$Q:$Q, $J20, '환경부사업(F)'!$C:$C, $L$1),
    COUNTIFS('프로젝트(G)'!$G:$G, O$2, '프로젝트(G)'!$Q:$Q, $J20, '프로젝트(G)'!$C:$C, $L$1),
    COUNTIFS('협력사 EPC(H)'!$G:$G, O$2, '협력사 EPC(H)'!$Q:$Q, $J20, '협력사 EPC(H)'!$C:$C, $L$1),
    COUNTIFS('기타(Z)'!$G:$G, O$2, '기타(Z)'!$Q:$Q, $J20, '기타(Z)'!$C:$C, $L$1)
  ) = 0,
  "",
  COUNTIFS('발전사업(A)'!$G:$G, O$2, '발전사업(A)'!$Q:$Q, $J20, '발전사업(A)'!$C:$C, $L$1)
  + COUNTIFS('자가소비(B)'!$G:$G, O$2, '자가소비(B)'!$Q:$Q, $J20, '자가소비(B)'!$C:$C, $L$1)
  + COUNTIFS('PPA 사업(C)'!$G:$G, O$2, 'PPA 사업(C)'!$Q:$Q, $J20, 'PPA 사업(C)'!$C:$C, $L$1)
  + COUNTIFS('리스사업(D)'!$G:$G, O$2, '리스사업(D)'!$Q:$Q, $J20, '리스사업(D)'!$C:$C, $L$1)
  + COUNTIFS('임대사업(E)'!$G:$G, O$2, '임대사업(E)'!$Q:$Q, $J20, '임대사업(E)'!$C:$C, $L$1)
  + COUNTIFS('환경부사업(F)'!$G:$G, O$2, '환경부사업(F)'!$Q:$Q, $J20, '환경부사업(F)'!$C:$C, $L$1)
  + COUNTIFS('프로젝트(G)'!$G:$G, O$2, '프로젝트(G)'!$Q:$Q, $J20, '프로젝트(G)'!$C:$C, $L$1)
  + COUNTIFS('협력사 EPC(H)'!$G:$G, O$2, '협력사 EPC(H)'!$Q:$Q, $J20, '협력사 EPC(H)'!$C:$C, $L$1)
  + COUNTIFS('기타(Z)'!$G:$G, O$2, '기타(Z)'!$Q:$Q, $J20, '기타(Z)'!$C:$C, $L$1)
)</f>
        <v/>
      </c>
      <c r="Q20" s="386" t="str">
        <f>IF(
  SUM(
    SUMIFS('발전사업(A)'!$I:$I,'발전사업(A)'!$G:$G,Q$2,'발전사업(A)'!$Q:$Q,$J20,'발전사업(A)'!$C:$C,$L$1),
    SUMIFS('자가소비(B)'!$I:$I,'자가소비(B)'!$G:$G,Q$2,'자가소비(B)'!$Q:$Q,$J20,'자가소비(B)'!$C:$C,$L$1),
    SUMIFS('PPA 사업(C)'!$I:$I,'PPA 사업(C)'!$G:$G,Q$2,'PPA 사업(C)'!$Q:$Q,$J20,'PPA 사업(C)'!$C:$C,$L$1),
    SUMIFS('리스사업(D)'!$I:$I,'리스사업(D)'!$G:$G,Q$2,'리스사업(D)'!$Q:$Q,$J20,'리스사업(D)'!$C:$C,$L$1),
    SUMIFS('임대사업(E)'!$I:$I,'임대사업(E)'!$G:$G,Q$2,'임대사업(E)'!$Q:$Q,$J20,'임대사업(E)'!$C:$C,$L$1),
    SUMIFS('환경부사업(F)'!$I:$I,'환경부사업(F)'!$G:$G,Q$2,'환경부사업(F)'!$Q:$Q,$J20,'환경부사업(F)'!$C:$C,$L$1),
    SUMIFS('프로젝트(G)'!$I:$I,'프로젝트(G)'!$G:$G,Q$2,'프로젝트(G)'!$Q:$Q,$J20,'프로젝트(G)'!$C:$C,$L$1),
    SUMIFS('협력사 EPC(H)'!$I:$I,'협력사 EPC(H)'!$G:$G,Q$2,'협력사 EPC(H)'!$Q:$Q,$J20,'협력사 EPC(H)'!$C:$C,$L$1),
    SUMIFS('기타(Z)'!$I:$I,'기타(Z)'!$G:$G,Q$2,'기타(Z)'!$Q:$Q,$J20,'기타(Z)'!$C:$C,$L$1)
  )=0,
  "",
  SUM(
    SUMIFS('발전사업(A)'!$I:$I,'발전사업(A)'!$G:$G,Q$2,'발전사업(A)'!$Q:$Q,$J20,'발전사업(A)'!$C:$C,$L$1),
    SUMIFS('자가소비(B)'!$I:$I,'자가소비(B)'!$G:$G,Q$2,'자가소비(B)'!$Q:$Q,$J20,'자가소비(B)'!$C:$C,$L$1),
    SUMIFS('PPA 사업(C)'!$I:$I,'PPA 사업(C)'!$G:$G,Q$2,'PPA 사업(C)'!$Q:$Q,$J20,'PPA 사업(C)'!$C:$C,$L$1),
    SUMIFS('리스사업(D)'!$I:$I,'리스사업(D)'!$G:$G,Q$2,'리스사업(D)'!$Q:$Q,$J20,'리스사업(D)'!$C:$C,$L$1),
    SUMIFS('임대사업(E)'!$I:$I,'임대사업(E)'!$G:$G,Q$2,'임대사업(E)'!$Q:$Q,$J20,'임대사업(E)'!$C:$C,$L$1),
    SUMIFS('환경부사업(F)'!$I:$I,'환경부사업(F)'!$G:$G,Q$2,'환경부사업(F)'!$Q:$Q,$J20,'환경부사업(F)'!$C:$C,$L$1),
    SUMIFS('프로젝트(G)'!$I:$I,'프로젝트(G)'!$G:$G,Q$2,'프로젝트(G)'!$Q:$Q,$J20,'프로젝트(G)'!$C:$C,$L$1),
    SUMIFS('협력사 EPC(H)'!$I:$I,'협력사 EPC(H)'!$G:$G,Q$2,'협력사 EPC(H)'!$Q:$Q,$J20,'협력사 EPC(H)'!$C:$C,$L$1),
    SUMIFS('기타(Z)'!$I:$I,'기타(Z)'!$G:$G,Q$2,'기타(Z)'!$Q:$Q,$J20,'기타(Z)'!$C:$C,$L$1)
  )
)</f>
        <v/>
      </c>
      <c r="R20" s="387" t="str">
        <f>IF(
  SUM(
    COUNTIFS('발전사업(A)'!$G:$G, Q$2, '발전사업(A)'!$Q:$Q, $J20, '발전사업(A)'!$C:$C, $L$1),
    COUNTIFS('자가소비(B)'!$G:$G, Q$2, '자가소비(B)'!$Q:$Q, $J20, '자가소비(B)'!$C:$C, $L$1),
    COUNTIFS('PPA 사업(C)'!$G:$G, Q$2, 'PPA 사업(C)'!$Q:$Q, $J20, 'PPA 사업(C)'!$C:$C, $L$1),
    COUNTIFS('리스사업(D)'!$G:$G, Q$2, '리스사업(D)'!$Q:$Q, $J20, '리스사업(D)'!$C:$C, $L$1),
    COUNTIFS('임대사업(E)'!$G:$G, Q$2, '임대사업(E)'!$Q:$Q, $J20, '임대사업(E)'!$C:$C, $L$1),
    COUNTIFS('환경부사업(F)'!$G:$G, Q$2, '환경부사업(F)'!$Q:$Q, $J20, '환경부사업(F)'!$C:$C, $L$1),
    COUNTIFS('프로젝트(G)'!$G:$G, Q$2, '프로젝트(G)'!$Q:$Q, $J20, '프로젝트(G)'!$C:$C, $L$1),
    COUNTIFS('협력사 EPC(H)'!$G:$G, Q$2, '협력사 EPC(H)'!$Q:$Q, $J20, '협력사 EPC(H)'!$C:$C, $L$1),
    COUNTIFS('기타(Z)'!$G:$G, Q$2, '기타(Z)'!$Q:$Q, $J20, '기타(Z)'!$C:$C, $L$1)
  ) = 0,
  "",
  COUNTIFS('발전사업(A)'!$G:$G, Q$2, '발전사업(A)'!$Q:$Q, $J20, '발전사업(A)'!$C:$C, $L$1)
  + COUNTIFS('자가소비(B)'!$G:$G, Q$2, '자가소비(B)'!$Q:$Q, $J20, '자가소비(B)'!$C:$C, $L$1)
  + COUNTIFS('PPA 사업(C)'!$G:$G, Q$2, 'PPA 사업(C)'!$Q:$Q, $J20, 'PPA 사업(C)'!$C:$C, $L$1)
  + COUNTIFS('리스사업(D)'!$G:$G, Q$2, '리스사업(D)'!$Q:$Q, $J20, '리스사업(D)'!$C:$C, $L$1)
  + COUNTIFS('임대사업(E)'!$G:$G, Q$2, '임대사업(E)'!$Q:$Q, $J20, '임대사업(E)'!$C:$C, $L$1)
  + COUNTIFS('환경부사업(F)'!$G:$G, Q$2, '환경부사업(F)'!$Q:$Q, $J20, '환경부사업(F)'!$C:$C, $L$1)
  + COUNTIFS('프로젝트(G)'!$G:$G, Q$2, '프로젝트(G)'!$Q:$Q, $J20, '프로젝트(G)'!$C:$C, $L$1)
  + COUNTIFS('협력사 EPC(H)'!$G:$G, Q$2, '협력사 EPC(H)'!$Q:$Q, $J20, '협력사 EPC(H)'!$C:$C, $L$1)
  + COUNTIFS('기타(Z)'!$G:$G, Q$2, '기타(Z)'!$Q:$Q, $J20, '기타(Z)'!$C:$C, $L$1)
)</f>
        <v/>
      </c>
      <c r="S20" s="386" t="str">
        <f>IF(
  SUM(
    SUMIFS('발전사업(A)'!$I:$I,'발전사업(A)'!$G:$G,S$2,'발전사업(A)'!$Q:$Q,$J20,'발전사업(A)'!$C:$C,$L$1),
    SUMIFS('자가소비(B)'!$I:$I,'자가소비(B)'!$G:$G,S$2,'자가소비(B)'!$Q:$Q,$J20,'자가소비(B)'!$C:$C,$L$1),
    SUMIFS('PPA 사업(C)'!$I:$I,'PPA 사업(C)'!$G:$G,S$2,'PPA 사업(C)'!$Q:$Q,$J20,'PPA 사업(C)'!$C:$C,$L$1),
    SUMIFS('리스사업(D)'!$I:$I,'리스사업(D)'!$G:$G,S$2,'리스사업(D)'!$Q:$Q,$J20,'리스사업(D)'!$C:$C,$L$1),
    SUMIFS('임대사업(E)'!$I:$I,'임대사업(E)'!$G:$G,S$2,'임대사업(E)'!$Q:$Q,$J20,'임대사업(E)'!$C:$C,$L$1),
    SUMIFS('환경부사업(F)'!$I:$I,'환경부사업(F)'!$G:$G,S$2,'환경부사업(F)'!$Q:$Q,$J20,'환경부사업(F)'!$C:$C,$L$1),
    SUMIFS('프로젝트(G)'!$I:$I,'프로젝트(G)'!$G:$G,S$2,'프로젝트(G)'!$Q:$Q,$J20,'프로젝트(G)'!$C:$C,$L$1),
    SUMIFS('협력사 EPC(H)'!$I:$I,'협력사 EPC(H)'!$G:$G,S$2,'협력사 EPC(H)'!$Q:$Q,$J20,'협력사 EPC(H)'!$C:$C,$L$1),
    SUMIFS('기타(Z)'!$I:$I,'기타(Z)'!$G:$G,S$2,'기타(Z)'!$Q:$Q,$J20,'기타(Z)'!$C:$C,$L$1)
  )=0,
  "",
  SUM(
    SUMIFS('발전사업(A)'!$I:$I,'발전사업(A)'!$G:$G,S$2,'발전사업(A)'!$Q:$Q,$J20,'발전사업(A)'!$C:$C,$L$1),
    SUMIFS('자가소비(B)'!$I:$I,'자가소비(B)'!$G:$G,S$2,'자가소비(B)'!$Q:$Q,$J20,'자가소비(B)'!$C:$C,$L$1),
    SUMIFS('PPA 사업(C)'!$I:$I,'PPA 사업(C)'!$G:$G,S$2,'PPA 사업(C)'!$Q:$Q,$J20,'PPA 사업(C)'!$C:$C,$L$1),
    SUMIFS('리스사업(D)'!$I:$I,'리스사업(D)'!$G:$G,S$2,'리스사업(D)'!$Q:$Q,$J20,'리스사업(D)'!$C:$C,$L$1),
    SUMIFS('임대사업(E)'!$I:$I,'임대사업(E)'!$G:$G,S$2,'임대사업(E)'!$Q:$Q,$J20,'임대사업(E)'!$C:$C,$L$1),
    SUMIFS('환경부사업(F)'!$I:$I,'환경부사업(F)'!$G:$G,S$2,'환경부사업(F)'!$Q:$Q,$J20,'환경부사업(F)'!$C:$C,$L$1),
    SUMIFS('프로젝트(G)'!$I:$I,'프로젝트(G)'!$G:$G,S$2,'프로젝트(G)'!$Q:$Q,$J20,'프로젝트(G)'!$C:$C,$L$1),
    SUMIFS('협력사 EPC(H)'!$I:$I,'협력사 EPC(H)'!$G:$G,S$2,'협력사 EPC(H)'!$Q:$Q,$J20,'협력사 EPC(H)'!$C:$C,$L$1),
    SUMIFS('기타(Z)'!$I:$I,'기타(Z)'!$G:$G,S$2,'기타(Z)'!$Q:$Q,$J20,'기타(Z)'!$C:$C,$L$1)
  )
)</f>
        <v/>
      </c>
      <c r="T20" s="387" t="str">
        <f>IF(
  SUM(
    COUNTIFS('발전사업(A)'!$G:$G, S$2, '발전사업(A)'!$Q:$Q, $J20, '발전사업(A)'!$C:$C, $L$1),
    COUNTIFS('자가소비(B)'!$G:$G, S$2, '자가소비(B)'!$Q:$Q, $J20, '자가소비(B)'!$C:$C, $L$1),
    COUNTIFS('PPA 사업(C)'!$G:$G, S$2, 'PPA 사업(C)'!$Q:$Q, $J20, 'PPA 사업(C)'!$C:$C, $L$1),
    COUNTIFS('리스사업(D)'!$G:$G, S$2, '리스사업(D)'!$Q:$Q, $J20, '리스사업(D)'!$C:$C, $L$1),
    COUNTIFS('임대사업(E)'!$G:$G, S$2, '임대사업(E)'!$Q:$Q, $J20, '임대사업(E)'!$C:$C, $L$1),
    COUNTIFS('환경부사업(F)'!$G:$G, S$2, '환경부사업(F)'!$Q:$Q, $J20, '환경부사업(F)'!$C:$C, $L$1),
    COUNTIFS('프로젝트(G)'!$G:$G, S$2, '프로젝트(G)'!$Q:$Q, $J20, '프로젝트(G)'!$C:$C, $L$1),
    COUNTIFS('협력사 EPC(H)'!$G:$G, S$2, '협력사 EPC(H)'!$Q:$Q, $J20, '협력사 EPC(H)'!$C:$C, $L$1),
    COUNTIFS('기타(Z)'!$G:$G, S$2, '기타(Z)'!$Q:$Q, $J20, '기타(Z)'!$C:$C, $L$1)
  ) = 0,
  "",
  COUNTIFS('발전사업(A)'!$G:$G, S$2, '발전사업(A)'!$Q:$Q, $J20, '발전사업(A)'!$C:$C, $L$1)
  + COUNTIFS('자가소비(B)'!$G:$G, S$2, '자가소비(B)'!$Q:$Q, $J20, '자가소비(B)'!$C:$C, $L$1)
  + COUNTIFS('PPA 사업(C)'!$G:$G, S$2, 'PPA 사업(C)'!$Q:$Q, $J20, 'PPA 사업(C)'!$C:$C, $L$1)
  + COUNTIFS('리스사업(D)'!$G:$G, S$2, '리스사업(D)'!$Q:$Q, $J20, '리스사업(D)'!$C:$C, $L$1)
  + COUNTIFS('임대사업(E)'!$G:$G, S$2, '임대사업(E)'!$Q:$Q, $J20, '임대사업(E)'!$C:$C, $L$1)
  + COUNTIFS('환경부사업(F)'!$G:$G, S$2, '환경부사업(F)'!$Q:$Q, $J20, '환경부사업(F)'!$C:$C, $L$1)
  + COUNTIFS('프로젝트(G)'!$G:$G, S$2, '프로젝트(G)'!$Q:$Q, $J20, '프로젝트(G)'!$C:$C, $L$1)
  + COUNTIFS('협력사 EPC(H)'!$G:$G, S$2, '협력사 EPC(H)'!$Q:$Q, $J20, '협력사 EPC(H)'!$C:$C, $L$1)
  + COUNTIFS('기타(Z)'!$G:$G, S$2, '기타(Z)'!$Q:$Q, $J20, '기타(Z)'!$C:$C, $L$1)
)</f>
        <v/>
      </c>
      <c r="U20" s="386" t="str">
        <f>IF(
  SUM(
    SUMIFS('발전사업(A)'!$I:$I,'발전사업(A)'!$G:$G,U$2,'발전사업(A)'!$Q:$Q,$J20,'발전사업(A)'!$C:$C,$L$1),
    SUMIFS('자가소비(B)'!$I:$I,'자가소비(B)'!$G:$G,U$2,'자가소비(B)'!$Q:$Q,$J20,'자가소비(B)'!$C:$C,$L$1),
    SUMIFS('PPA 사업(C)'!$I:$I,'PPA 사업(C)'!$G:$G,U$2,'PPA 사업(C)'!$Q:$Q,$J20,'PPA 사업(C)'!$C:$C,$L$1),
    SUMIFS('리스사업(D)'!$I:$I,'리스사업(D)'!$G:$G,U$2,'리스사업(D)'!$Q:$Q,$J20,'리스사업(D)'!$C:$C,$L$1),
    SUMIFS('임대사업(E)'!$I:$I,'임대사업(E)'!$G:$G,U$2,'임대사업(E)'!$Q:$Q,$J20,'임대사업(E)'!$C:$C,$L$1),
    SUMIFS('환경부사업(F)'!$I:$I,'환경부사업(F)'!$G:$G,U$2,'환경부사업(F)'!$Q:$Q,$J20,'환경부사업(F)'!$C:$C,$L$1),
    SUMIFS('프로젝트(G)'!$I:$I,'프로젝트(G)'!$G:$G,U$2,'프로젝트(G)'!$Q:$Q,$J20,'프로젝트(G)'!$C:$C,$L$1),
    SUMIFS('협력사 EPC(H)'!$I:$I,'협력사 EPC(H)'!$G:$G,U$2,'협력사 EPC(H)'!$Q:$Q,$J20,'협력사 EPC(H)'!$C:$C,$L$1),
    SUMIFS('기타(Z)'!$I:$I,'기타(Z)'!$G:$G,U$2,'기타(Z)'!$Q:$Q,$J20,'기타(Z)'!$C:$C,$L$1)
  )=0,
  "",
  SUM(
    SUMIFS('발전사업(A)'!$I:$I,'발전사업(A)'!$G:$G,U$2,'발전사업(A)'!$Q:$Q,$J20,'발전사업(A)'!$C:$C,$L$1),
    SUMIFS('자가소비(B)'!$I:$I,'자가소비(B)'!$G:$G,U$2,'자가소비(B)'!$Q:$Q,$J20,'자가소비(B)'!$C:$C,$L$1),
    SUMIFS('PPA 사업(C)'!$I:$I,'PPA 사업(C)'!$G:$G,U$2,'PPA 사업(C)'!$Q:$Q,$J20,'PPA 사업(C)'!$C:$C,$L$1),
    SUMIFS('리스사업(D)'!$I:$I,'리스사업(D)'!$G:$G,U$2,'리스사업(D)'!$Q:$Q,$J20,'리스사업(D)'!$C:$C,$L$1),
    SUMIFS('임대사업(E)'!$I:$I,'임대사업(E)'!$G:$G,U$2,'임대사업(E)'!$Q:$Q,$J20,'임대사업(E)'!$C:$C,$L$1),
    SUMIFS('환경부사업(F)'!$I:$I,'환경부사업(F)'!$G:$G,U$2,'환경부사업(F)'!$Q:$Q,$J20,'환경부사업(F)'!$C:$C,$L$1),
    SUMIFS('프로젝트(G)'!$I:$I,'프로젝트(G)'!$G:$G,U$2,'프로젝트(G)'!$Q:$Q,$J20,'프로젝트(G)'!$C:$C,$L$1),
    SUMIFS('협력사 EPC(H)'!$I:$I,'협력사 EPC(H)'!$G:$G,U$2,'협력사 EPC(H)'!$Q:$Q,$J20,'협력사 EPC(H)'!$C:$C,$L$1),
    SUMIFS('기타(Z)'!$I:$I,'기타(Z)'!$G:$G,U$2,'기타(Z)'!$Q:$Q,$J20,'기타(Z)'!$C:$C,$L$1)
  )
)</f>
        <v/>
      </c>
      <c r="V20" s="387" t="str">
        <f>IF(
  SUM(
    COUNTIFS('발전사업(A)'!$G:$G, U$2, '발전사업(A)'!$Q:$Q, $J20, '발전사업(A)'!$C:$C, $L$1),
    COUNTIFS('자가소비(B)'!$G:$G, U$2, '자가소비(B)'!$Q:$Q, $J20, '자가소비(B)'!$C:$C, $L$1),
    COUNTIFS('PPA 사업(C)'!$G:$G, U$2, 'PPA 사업(C)'!$Q:$Q, $J20, 'PPA 사업(C)'!$C:$C, $L$1),
    COUNTIFS('리스사업(D)'!$G:$G, U$2, '리스사업(D)'!$Q:$Q, $J20, '리스사업(D)'!$C:$C, $L$1),
    COUNTIFS('임대사업(E)'!$G:$G, U$2, '임대사업(E)'!$Q:$Q, $J20, '임대사업(E)'!$C:$C, $L$1),
    COUNTIFS('환경부사업(F)'!$G:$G, U$2, '환경부사업(F)'!$Q:$Q, $J20, '환경부사업(F)'!$C:$C, $L$1),
    COUNTIFS('프로젝트(G)'!$G:$G, U$2, '프로젝트(G)'!$Q:$Q, $J20, '프로젝트(G)'!$C:$C, $L$1),
    COUNTIFS('협력사 EPC(H)'!$G:$G, U$2, '협력사 EPC(H)'!$Q:$Q, $J20, '협력사 EPC(H)'!$C:$C, $L$1),
    COUNTIFS('기타(Z)'!$G:$G, U$2, '기타(Z)'!$Q:$Q, $J20, '기타(Z)'!$C:$C, $L$1)
  ) = 0,
  "",
  COUNTIFS('발전사업(A)'!$G:$G, U$2, '발전사업(A)'!$Q:$Q, $J20, '발전사업(A)'!$C:$C, $L$1)
  + COUNTIFS('자가소비(B)'!$G:$G, U$2, '자가소비(B)'!$Q:$Q, $J20, '자가소비(B)'!$C:$C, $L$1)
  + COUNTIFS('PPA 사업(C)'!$G:$G, U$2, 'PPA 사업(C)'!$Q:$Q, $J20, 'PPA 사업(C)'!$C:$C, $L$1)
  + COUNTIFS('리스사업(D)'!$G:$G, U$2, '리스사업(D)'!$Q:$Q, $J20, '리스사업(D)'!$C:$C, $L$1)
  + COUNTIFS('임대사업(E)'!$G:$G, U$2, '임대사업(E)'!$Q:$Q, $J20, '임대사업(E)'!$C:$C, $L$1)
  + COUNTIFS('환경부사업(F)'!$G:$G, U$2, '환경부사업(F)'!$Q:$Q, $J20, '환경부사업(F)'!$C:$C, $L$1)
  + COUNTIFS('프로젝트(G)'!$G:$G, U$2, '프로젝트(G)'!$Q:$Q, $J20, '프로젝트(G)'!$C:$C, $L$1)
  + COUNTIFS('협력사 EPC(H)'!$G:$G, U$2, '협력사 EPC(H)'!$Q:$Q, $J20, '협력사 EPC(H)'!$C:$C, $L$1)
  + COUNTIFS('기타(Z)'!$G:$G, U$2, '기타(Z)'!$Q:$Q, $J20, '기타(Z)'!$C:$C, $L$1)
)</f>
        <v/>
      </c>
      <c r="W20" s="386" t="str">
        <f>IF(
  SUM(
    SUMIFS('발전사업(A)'!$I:$I,'발전사업(A)'!$G:$G,W$2,'발전사업(A)'!$Q:$Q,$J20,'발전사업(A)'!$C:$C,$L$1),
    SUMIFS('자가소비(B)'!$I:$I,'자가소비(B)'!$G:$G,W$2,'자가소비(B)'!$Q:$Q,$J20,'자가소비(B)'!$C:$C,$L$1),
    SUMIFS('PPA 사업(C)'!$I:$I,'PPA 사업(C)'!$G:$G,W$2,'PPA 사업(C)'!$Q:$Q,$J20,'PPA 사업(C)'!$C:$C,$L$1),
    SUMIFS('리스사업(D)'!$I:$I,'리스사업(D)'!$G:$G,W$2,'리스사업(D)'!$Q:$Q,$J20,'리스사업(D)'!$C:$C,$L$1),
    SUMIFS('임대사업(E)'!$I:$I,'임대사업(E)'!$G:$G,W$2,'임대사업(E)'!$Q:$Q,$J20,'임대사업(E)'!$C:$C,$L$1),
    SUMIFS('환경부사업(F)'!$I:$I,'환경부사업(F)'!$G:$G,W$2,'환경부사업(F)'!$Q:$Q,$J20,'환경부사업(F)'!$C:$C,$L$1),
    SUMIFS('프로젝트(G)'!$I:$I,'프로젝트(G)'!$G:$G,W$2,'프로젝트(G)'!$Q:$Q,$J20,'프로젝트(G)'!$C:$C,$L$1),
    SUMIFS('협력사 EPC(H)'!$I:$I,'협력사 EPC(H)'!$G:$G,W$2,'협력사 EPC(H)'!$Q:$Q,$J20,'협력사 EPC(H)'!$C:$C,$L$1),
    SUMIFS('기타(Z)'!$I:$I,'기타(Z)'!$G:$G,W$2,'기타(Z)'!$Q:$Q,$J20,'기타(Z)'!$C:$C,$L$1)
  )=0,
  "",
  SUM(
    SUMIFS('발전사업(A)'!$I:$I,'발전사업(A)'!$G:$G,W$2,'발전사업(A)'!$Q:$Q,$J20,'발전사업(A)'!$C:$C,$L$1),
    SUMIFS('자가소비(B)'!$I:$I,'자가소비(B)'!$G:$G,W$2,'자가소비(B)'!$Q:$Q,$J20,'자가소비(B)'!$C:$C,$L$1),
    SUMIFS('PPA 사업(C)'!$I:$I,'PPA 사업(C)'!$G:$G,W$2,'PPA 사업(C)'!$Q:$Q,$J20,'PPA 사업(C)'!$C:$C,$L$1),
    SUMIFS('리스사업(D)'!$I:$I,'리스사업(D)'!$G:$G,W$2,'리스사업(D)'!$Q:$Q,$J20,'리스사업(D)'!$C:$C,$L$1),
    SUMIFS('임대사업(E)'!$I:$I,'임대사업(E)'!$G:$G,W$2,'임대사업(E)'!$Q:$Q,$J20,'임대사업(E)'!$C:$C,$L$1),
    SUMIFS('환경부사업(F)'!$I:$I,'환경부사업(F)'!$G:$G,W$2,'환경부사업(F)'!$Q:$Q,$J20,'환경부사업(F)'!$C:$C,$L$1),
    SUMIFS('프로젝트(G)'!$I:$I,'프로젝트(G)'!$G:$G,W$2,'프로젝트(G)'!$Q:$Q,$J20,'프로젝트(G)'!$C:$C,$L$1),
    SUMIFS('협력사 EPC(H)'!$I:$I,'협력사 EPC(H)'!$G:$G,W$2,'협력사 EPC(H)'!$Q:$Q,$J20,'협력사 EPC(H)'!$C:$C,$L$1),
    SUMIFS('기타(Z)'!$I:$I,'기타(Z)'!$G:$G,W$2,'기타(Z)'!$Q:$Q,$J20,'기타(Z)'!$C:$C,$L$1)
  )
)</f>
        <v/>
      </c>
      <c r="X20" s="387" t="str">
        <f>IF(
  SUM(
    COUNTIFS('발전사업(A)'!$G:$G, W$2, '발전사업(A)'!$Q:$Q, $J20, '발전사업(A)'!$C:$C, $L$1),
    COUNTIFS('자가소비(B)'!$G:$G, W$2, '자가소비(B)'!$Q:$Q, $J20, '자가소비(B)'!$C:$C, $L$1),
    COUNTIFS('PPA 사업(C)'!$G:$G, W$2, 'PPA 사업(C)'!$Q:$Q, $J20, 'PPA 사업(C)'!$C:$C, $L$1),
    COUNTIFS('리스사업(D)'!$G:$G, W$2, '리스사업(D)'!$Q:$Q, $J20, '리스사업(D)'!$C:$C, $L$1),
    COUNTIFS('임대사업(E)'!$G:$G, W$2, '임대사업(E)'!$Q:$Q, $J20, '임대사업(E)'!$C:$C, $L$1),
    COUNTIFS('환경부사업(F)'!$G:$G, W$2, '환경부사업(F)'!$Q:$Q, $J20, '환경부사업(F)'!$C:$C, $L$1),
    COUNTIFS('프로젝트(G)'!$G:$G, W$2, '프로젝트(G)'!$Q:$Q, $J20, '프로젝트(G)'!$C:$C, $L$1),
    COUNTIFS('협력사 EPC(H)'!$G:$G, W$2, '협력사 EPC(H)'!$Q:$Q, $J20, '협력사 EPC(H)'!$C:$C, $L$1),
    COUNTIFS('기타(Z)'!$G:$G, W$2, '기타(Z)'!$Q:$Q, $J20, '기타(Z)'!$C:$C, $L$1)
  ) = 0,
  "",
  COUNTIFS('발전사업(A)'!$G:$G, W$2, '발전사업(A)'!$Q:$Q, $J20, '발전사업(A)'!$C:$C, $L$1)
  + COUNTIFS('자가소비(B)'!$G:$G, W$2, '자가소비(B)'!$Q:$Q, $J20, '자가소비(B)'!$C:$C, $L$1)
  + COUNTIFS('PPA 사업(C)'!$G:$G, W$2, 'PPA 사업(C)'!$Q:$Q, $J20, 'PPA 사업(C)'!$C:$C, $L$1)
  + COUNTIFS('리스사업(D)'!$G:$G, W$2, '리스사업(D)'!$Q:$Q, $J20, '리스사업(D)'!$C:$C, $L$1)
  + COUNTIFS('임대사업(E)'!$G:$G, W$2, '임대사업(E)'!$Q:$Q, $J20, '임대사업(E)'!$C:$C, $L$1)
  + COUNTIFS('환경부사업(F)'!$G:$G, W$2, '환경부사업(F)'!$Q:$Q, $J20, '환경부사업(F)'!$C:$C, $L$1)
  + COUNTIFS('프로젝트(G)'!$G:$G, W$2, '프로젝트(G)'!$Q:$Q, $J20, '프로젝트(G)'!$C:$C, $L$1)
  + COUNTIFS('협력사 EPC(H)'!$G:$G, W$2, '협력사 EPC(H)'!$Q:$Q, $J20, '협력사 EPC(H)'!$C:$C, $L$1)
  + COUNTIFS('기타(Z)'!$G:$G, W$2, '기타(Z)'!$Q:$Q, $J20, '기타(Z)'!$C:$C, $L$1)
)</f>
        <v/>
      </c>
      <c r="Y20" s="386" t="str">
        <f>IF(
  SUM(
    SUMIFS('발전사업(A)'!$I:$I,'발전사업(A)'!$G:$G,Y$2,'발전사업(A)'!$Q:$Q,$J20,'발전사업(A)'!$C:$C,$L$1),
    SUMIFS('자가소비(B)'!$I:$I,'자가소비(B)'!$G:$G,Y$2,'자가소비(B)'!$Q:$Q,$J20,'자가소비(B)'!$C:$C,$L$1),
    SUMIFS('PPA 사업(C)'!$I:$I,'PPA 사업(C)'!$G:$G,Y$2,'PPA 사업(C)'!$Q:$Q,$J20,'PPA 사업(C)'!$C:$C,$L$1),
    SUMIFS('리스사업(D)'!$I:$I,'리스사업(D)'!$G:$G,Y$2,'리스사업(D)'!$Q:$Q,$J20,'리스사업(D)'!$C:$C,$L$1),
    SUMIFS('임대사업(E)'!$I:$I,'임대사업(E)'!$G:$G,Y$2,'임대사업(E)'!$Q:$Q,$J20,'임대사업(E)'!$C:$C,$L$1),
    SUMIFS('환경부사업(F)'!$I:$I,'환경부사업(F)'!$G:$G,Y$2,'환경부사업(F)'!$Q:$Q,$J20,'환경부사업(F)'!$C:$C,$L$1),
    SUMIFS('프로젝트(G)'!$I:$I,'프로젝트(G)'!$G:$G,Y$2,'프로젝트(G)'!$Q:$Q,$J20,'프로젝트(G)'!$C:$C,$L$1),
    SUMIFS('협력사 EPC(H)'!$I:$I,'협력사 EPC(H)'!$G:$G,Y$2,'협력사 EPC(H)'!$Q:$Q,$J20,'협력사 EPC(H)'!$C:$C,$L$1),
    SUMIFS('기타(Z)'!$I:$I,'기타(Z)'!$G:$G,Y$2,'기타(Z)'!$Q:$Q,$J20,'기타(Z)'!$C:$C,$L$1)
  )=0,
  "",
  SUM(
    SUMIFS('발전사업(A)'!$I:$I,'발전사업(A)'!$G:$G,Y$2,'발전사업(A)'!$Q:$Q,$J20,'발전사업(A)'!$C:$C,$L$1),
    SUMIFS('자가소비(B)'!$I:$I,'자가소비(B)'!$G:$G,Y$2,'자가소비(B)'!$Q:$Q,$J20,'자가소비(B)'!$C:$C,$L$1),
    SUMIFS('PPA 사업(C)'!$I:$I,'PPA 사업(C)'!$G:$G,Y$2,'PPA 사업(C)'!$Q:$Q,$J20,'PPA 사업(C)'!$C:$C,$L$1),
    SUMIFS('리스사업(D)'!$I:$I,'리스사업(D)'!$G:$G,Y$2,'리스사업(D)'!$Q:$Q,$J20,'리스사업(D)'!$C:$C,$L$1),
    SUMIFS('임대사업(E)'!$I:$I,'임대사업(E)'!$G:$G,Y$2,'임대사업(E)'!$Q:$Q,$J20,'임대사업(E)'!$C:$C,$L$1),
    SUMIFS('환경부사업(F)'!$I:$I,'환경부사업(F)'!$G:$G,Y$2,'환경부사업(F)'!$Q:$Q,$J20,'환경부사업(F)'!$C:$C,$L$1),
    SUMIFS('프로젝트(G)'!$I:$I,'프로젝트(G)'!$G:$G,Y$2,'프로젝트(G)'!$Q:$Q,$J20,'프로젝트(G)'!$C:$C,$L$1),
    SUMIFS('협력사 EPC(H)'!$I:$I,'협력사 EPC(H)'!$G:$G,Y$2,'협력사 EPC(H)'!$Q:$Q,$J20,'협력사 EPC(H)'!$C:$C,$L$1),
    SUMIFS('기타(Z)'!$I:$I,'기타(Z)'!$G:$G,Y$2,'기타(Z)'!$Q:$Q,$J20,'기타(Z)'!$C:$C,$L$1)
  )
)</f>
        <v/>
      </c>
      <c r="Z20" s="387" t="str">
        <f>IF(
  SUM(
    COUNTIFS('발전사업(A)'!$G:$G, Y$2, '발전사업(A)'!$Q:$Q, $J20, '발전사업(A)'!$C:$C, $L$1),
    COUNTIFS('자가소비(B)'!$G:$G, Y$2, '자가소비(B)'!$Q:$Q, $J20, '자가소비(B)'!$C:$C, $L$1),
    COUNTIFS('PPA 사업(C)'!$G:$G, Y$2, 'PPA 사업(C)'!$Q:$Q, $J20, 'PPA 사업(C)'!$C:$C, $L$1),
    COUNTIFS('리스사업(D)'!$G:$G, Y$2, '리스사업(D)'!$Q:$Q, $J20, '리스사업(D)'!$C:$C, $L$1),
    COUNTIFS('임대사업(E)'!$G:$G, Y$2, '임대사업(E)'!$Q:$Q, $J20, '임대사업(E)'!$C:$C, $L$1),
    COUNTIFS('환경부사업(F)'!$G:$G, Y$2, '환경부사업(F)'!$Q:$Q, $J20, '환경부사업(F)'!$C:$C, $L$1),
    COUNTIFS('프로젝트(G)'!$G:$G, Y$2, '프로젝트(G)'!$Q:$Q, $J20, '프로젝트(G)'!$C:$C, $L$1),
    COUNTIFS('협력사 EPC(H)'!$G:$G, Y$2, '협력사 EPC(H)'!$Q:$Q, $J20, '협력사 EPC(H)'!$C:$C, $L$1),
    COUNTIFS('기타(Z)'!$G:$G, Y$2, '기타(Z)'!$Q:$Q, $J20, '기타(Z)'!$C:$C, $L$1)
  ) = 0,
  "",
  COUNTIFS('발전사업(A)'!$G:$G, Y$2, '발전사업(A)'!$Q:$Q, $J20, '발전사업(A)'!$C:$C, $L$1)
  + COUNTIFS('자가소비(B)'!$G:$G, Y$2, '자가소비(B)'!$Q:$Q, $J20, '자가소비(B)'!$C:$C, $L$1)
  + COUNTIFS('PPA 사업(C)'!$G:$G, Y$2, 'PPA 사업(C)'!$Q:$Q, $J20, 'PPA 사업(C)'!$C:$C, $L$1)
  + COUNTIFS('리스사업(D)'!$G:$G, Y$2, '리스사업(D)'!$Q:$Q, $J20, '리스사업(D)'!$C:$C, $L$1)
  + COUNTIFS('임대사업(E)'!$G:$G, Y$2, '임대사업(E)'!$Q:$Q, $J20, '임대사업(E)'!$C:$C, $L$1)
  + COUNTIFS('환경부사업(F)'!$G:$G, Y$2, '환경부사업(F)'!$Q:$Q, $J20, '환경부사업(F)'!$C:$C, $L$1)
  + COUNTIFS('프로젝트(G)'!$G:$G, Y$2, '프로젝트(G)'!$Q:$Q, $J20, '프로젝트(G)'!$C:$C, $L$1)
  + COUNTIFS('협력사 EPC(H)'!$G:$G, Y$2, '협력사 EPC(H)'!$Q:$Q, $J20, '협력사 EPC(H)'!$C:$C, $L$1)
  + COUNTIFS('기타(Z)'!$G:$G, Y$2, '기타(Z)'!$Q:$Q, $J20, '기타(Z)'!$C:$C, $L$1)
)</f>
        <v/>
      </c>
      <c r="AA20" s="386" t="str">
        <f>IF(
  SUM(
    SUMIFS('발전사업(A)'!$I:$I,'발전사업(A)'!$G:$G,AA$2,'발전사업(A)'!$Q:$Q,$J20,'발전사업(A)'!$C:$C,$L$1),
    SUMIFS('자가소비(B)'!$I:$I,'자가소비(B)'!$G:$G,AA$2,'자가소비(B)'!$Q:$Q,$J20,'자가소비(B)'!$C:$C,$L$1),
    SUMIFS('PPA 사업(C)'!$I:$I,'PPA 사업(C)'!$G:$G,AA$2,'PPA 사업(C)'!$Q:$Q,$J20,'PPA 사업(C)'!$C:$C,$L$1),
    SUMIFS('리스사업(D)'!$I:$I,'리스사업(D)'!$G:$G,AA$2,'리스사업(D)'!$Q:$Q,$J20,'리스사업(D)'!$C:$C,$L$1),
    SUMIFS('임대사업(E)'!$I:$I,'임대사업(E)'!$G:$G,AA$2,'임대사업(E)'!$Q:$Q,$J20,'임대사업(E)'!$C:$C,$L$1),
    SUMIFS('환경부사업(F)'!$I:$I,'환경부사업(F)'!$G:$G,AA$2,'환경부사업(F)'!$Q:$Q,$J20,'환경부사업(F)'!$C:$C,$L$1),
    SUMIFS('프로젝트(G)'!$I:$I,'프로젝트(G)'!$G:$G,AA$2,'프로젝트(G)'!$Q:$Q,$J20,'프로젝트(G)'!$C:$C,$L$1),
    SUMIFS('협력사 EPC(H)'!$I:$I,'협력사 EPC(H)'!$G:$G,AA$2,'협력사 EPC(H)'!$Q:$Q,$J20,'협력사 EPC(H)'!$C:$C,$L$1),
    SUMIFS('기타(Z)'!$I:$I,'기타(Z)'!$G:$G,AA$2,'기타(Z)'!$Q:$Q,$J20,'기타(Z)'!$C:$C,$L$1)
  )=0,
  "",
  SUM(
    SUMIFS('발전사업(A)'!$I:$I,'발전사업(A)'!$G:$G,AA$2,'발전사업(A)'!$Q:$Q,$J20,'발전사업(A)'!$C:$C,$L$1),
    SUMIFS('자가소비(B)'!$I:$I,'자가소비(B)'!$G:$G,AA$2,'자가소비(B)'!$Q:$Q,$J20,'자가소비(B)'!$C:$C,$L$1),
    SUMIFS('PPA 사업(C)'!$I:$I,'PPA 사업(C)'!$G:$G,AA$2,'PPA 사업(C)'!$Q:$Q,$J20,'PPA 사업(C)'!$C:$C,$L$1),
    SUMIFS('리스사업(D)'!$I:$I,'리스사업(D)'!$G:$G,AA$2,'리스사업(D)'!$Q:$Q,$J20,'리스사업(D)'!$C:$C,$L$1),
    SUMIFS('임대사업(E)'!$I:$I,'임대사업(E)'!$G:$G,AA$2,'임대사업(E)'!$Q:$Q,$J20,'임대사업(E)'!$C:$C,$L$1),
    SUMIFS('환경부사업(F)'!$I:$I,'환경부사업(F)'!$G:$G,AA$2,'환경부사업(F)'!$Q:$Q,$J20,'환경부사업(F)'!$C:$C,$L$1),
    SUMIFS('프로젝트(G)'!$I:$I,'프로젝트(G)'!$G:$G,AA$2,'프로젝트(G)'!$Q:$Q,$J20,'프로젝트(G)'!$C:$C,$L$1),
    SUMIFS('협력사 EPC(H)'!$I:$I,'협력사 EPC(H)'!$G:$G,AA$2,'협력사 EPC(H)'!$Q:$Q,$J20,'협력사 EPC(H)'!$C:$C,$L$1),
    SUMIFS('기타(Z)'!$I:$I,'기타(Z)'!$G:$G,AA$2,'기타(Z)'!$Q:$Q,$J20,'기타(Z)'!$C:$C,$L$1)
  )
)</f>
        <v/>
      </c>
      <c r="AB20" s="387" t="str">
        <f>IF(
  SUM(
    COUNTIFS('발전사업(A)'!$G:$G, AA$2, '발전사업(A)'!$Q:$Q, $J20, '발전사업(A)'!$C:$C, $L$1),
    COUNTIFS('자가소비(B)'!$G:$G, AA$2, '자가소비(B)'!$Q:$Q, $J20, '자가소비(B)'!$C:$C, $L$1),
    COUNTIFS('PPA 사업(C)'!$G:$G, AA$2, 'PPA 사업(C)'!$Q:$Q, $J20, 'PPA 사업(C)'!$C:$C, $L$1),
    COUNTIFS('리스사업(D)'!$G:$G, AA$2, '리스사업(D)'!$Q:$Q, $J20, '리스사업(D)'!$C:$C, $L$1),
    COUNTIFS('임대사업(E)'!$G:$G, AA$2, '임대사업(E)'!$Q:$Q, $J20, '임대사업(E)'!$C:$C, $L$1),
    COUNTIFS('환경부사업(F)'!$G:$G, AA$2, '환경부사업(F)'!$Q:$Q, $J20, '환경부사업(F)'!$C:$C, $L$1),
    COUNTIFS('프로젝트(G)'!$G:$G, AA$2, '프로젝트(G)'!$Q:$Q, $J20, '프로젝트(G)'!$C:$C, $L$1),
    COUNTIFS('협력사 EPC(H)'!$G:$G, AA$2, '협력사 EPC(H)'!$Q:$Q, $J20, '협력사 EPC(H)'!$C:$C, $L$1),
    COUNTIFS('기타(Z)'!$G:$G, AA$2, '기타(Z)'!$Q:$Q, $J20, '기타(Z)'!$C:$C, $L$1)
  ) = 0,
  "",
  COUNTIFS('발전사업(A)'!$G:$G, AA$2, '발전사업(A)'!$Q:$Q, $J20, '발전사업(A)'!$C:$C, $L$1)
  + COUNTIFS('자가소비(B)'!$G:$G, AA$2, '자가소비(B)'!$Q:$Q, $J20, '자가소비(B)'!$C:$C, $L$1)
  + COUNTIFS('PPA 사업(C)'!$G:$G, AA$2, 'PPA 사업(C)'!$Q:$Q, $J20, 'PPA 사업(C)'!$C:$C, $L$1)
  + COUNTIFS('리스사업(D)'!$G:$G, AA$2, '리스사업(D)'!$Q:$Q, $J20, '리스사업(D)'!$C:$C, $L$1)
  + COUNTIFS('임대사업(E)'!$G:$G, AA$2, '임대사업(E)'!$Q:$Q, $J20, '임대사업(E)'!$C:$C, $L$1)
  + COUNTIFS('환경부사업(F)'!$G:$G, AA$2, '환경부사업(F)'!$Q:$Q, $J20, '환경부사업(F)'!$C:$C, $L$1)
  + COUNTIFS('프로젝트(G)'!$G:$G, AA$2, '프로젝트(G)'!$Q:$Q, $J20, '프로젝트(G)'!$C:$C, $L$1)
  + COUNTIFS('협력사 EPC(H)'!$G:$G, AA$2, '협력사 EPC(H)'!$Q:$Q, $J20, '협력사 EPC(H)'!$C:$C, $L$1)
  + COUNTIFS('기타(Z)'!$G:$G, AA$2, '기타(Z)'!$Q:$Q, $J20, '기타(Z)'!$C:$C, $L$1)
)</f>
        <v/>
      </c>
      <c r="AC20" s="386" t="str">
        <f>IF(
  SUM(
    SUMIFS('발전사업(A)'!$I:$I,'발전사업(A)'!$G:$G,AC$2,'발전사업(A)'!$Q:$Q,$J20,'발전사업(A)'!$C:$C,$L$1),
    SUMIFS('자가소비(B)'!$I:$I,'자가소비(B)'!$G:$G,AC$2,'자가소비(B)'!$Q:$Q,$J20,'자가소비(B)'!$C:$C,$L$1),
    SUMIFS('PPA 사업(C)'!$I:$I,'PPA 사업(C)'!$G:$G,AC$2,'PPA 사업(C)'!$Q:$Q,$J20,'PPA 사업(C)'!$C:$C,$L$1),
    SUMIFS('리스사업(D)'!$I:$I,'리스사업(D)'!$G:$G,AC$2,'리스사업(D)'!$Q:$Q,$J20,'리스사업(D)'!$C:$C,$L$1),
    SUMIFS('임대사업(E)'!$I:$I,'임대사업(E)'!$G:$G,AC$2,'임대사업(E)'!$Q:$Q,$J20,'임대사업(E)'!$C:$C,$L$1),
    SUMIFS('환경부사업(F)'!$I:$I,'환경부사업(F)'!$G:$G,AC$2,'환경부사업(F)'!$Q:$Q,$J20,'환경부사업(F)'!$C:$C,$L$1),
    SUMIFS('프로젝트(G)'!$I:$I,'프로젝트(G)'!$G:$G,AC$2,'프로젝트(G)'!$Q:$Q,$J20,'프로젝트(G)'!$C:$C,$L$1),
    SUMIFS('협력사 EPC(H)'!$I:$I,'협력사 EPC(H)'!$G:$G,AC$2,'협력사 EPC(H)'!$Q:$Q,$J20,'협력사 EPC(H)'!$C:$C,$L$1),
    SUMIFS('기타(Z)'!$I:$I,'기타(Z)'!$G:$G,AC$2,'기타(Z)'!$Q:$Q,$J20,'기타(Z)'!$C:$C,$L$1)
  )=0,
  "",
  SUM(
    SUMIFS('발전사업(A)'!$I:$I,'발전사업(A)'!$G:$G,AC$2,'발전사업(A)'!$Q:$Q,$J20,'발전사업(A)'!$C:$C,$L$1),
    SUMIFS('자가소비(B)'!$I:$I,'자가소비(B)'!$G:$G,AC$2,'자가소비(B)'!$Q:$Q,$J20,'자가소비(B)'!$C:$C,$L$1),
    SUMIFS('PPA 사업(C)'!$I:$I,'PPA 사업(C)'!$G:$G,AC$2,'PPA 사업(C)'!$Q:$Q,$J20,'PPA 사업(C)'!$C:$C,$L$1),
    SUMIFS('리스사업(D)'!$I:$I,'리스사업(D)'!$G:$G,AC$2,'리스사업(D)'!$Q:$Q,$J20,'리스사업(D)'!$C:$C,$L$1),
    SUMIFS('임대사업(E)'!$I:$I,'임대사업(E)'!$G:$G,AC$2,'임대사업(E)'!$Q:$Q,$J20,'임대사업(E)'!$C:$C,$L$1),
    SUMIFS('환경부사업(F)'!$I:$I,'환경부사업(F)'!$G:$G,AC$2,'환경부사업(F)'!$Q:$Q,$J20,'환경부사업(F)'!$C:$C,$L$1),
    SUMIFS('프로젝트(G)'!$I:$I,'프로젝트(G)'!$G:$G,AC$2,'프로젝트(G)'!$Q:$Q,$J20,'프로젝트(G)'!$C:$C,$L$1),
    SUMIFS('협력사 EPC(H)'!$I:$I,'협력사 EPC(H)'!$G:$G,AC$2,'협력사 EPC(H)'!$Q:$Q,$J20,'협력사 EPC(H)'!$C:$C,$L$1),
    SUMIFS('기타(Z)'!$I:$I,'기타(Z)'!$G:$G,AC$2,'기타(Z)'!$Q:$Q,$J20,'기타(Z)'!$C:$C,$L$1)
  )
)</f>
        <v/>
      </c>
      <c r="AD20" s="387" t="str">
        <f>IF(
  SUM(
    COUNTIFS('발전사업(A)'!$G:$G, AC$2, '발전사업(A)'!$Q:$Q, $J20, '발전사업(A)'!$C:$C, $L$1),
    COUNTIFS('자가소비(B)'!$G:$G, AC$2, '자가소비(B)'!$Q:$Q, $J20, '자가소비(B)'!$C:$C, $L$1),
    COUNTIFS('PPA 사업(C)'!$G:$G, AC$2, 'PPA 사업(C)'!$Q:$Q, $J20, 'PPA 사업(C)'!$C:$C, $L$1),
    COUNTIFS('리스사업(D)'!$G:$G, AC$2, '리스사업(D)'!$Q:$Q, $J20, '리스사업(D)'!$C:$C, $L$1),
    COUNTIFS('임대사업(E)'!$G:$G, AC$2, '임대사업(E)'!$Q:$Q, $J20, '임대사업(E)'!$C:$C, $L$1),
    COUNTIFS('환경부사업(F)'!$G:$G, AC$2, '환경부사업(F)'!$Q:$Q, $J20, '환경부사업(F)'!$C:$C, $L$1),
    COUNTIFS('프로젝트(G)'!$G:$G, AC$2, '프로젝트(G)'!$Q:$Q, $J20, '프로젝트(G)'!$C:$C, $L$1),
    COUNTIFS('협력사 EPC(H)'!$G:$G, AC$2, '협력사 EPC(H)'!$Q:$Q, $J20, '협력사 EPC(H)'!$C:$C, $L$1),
    COUNTIFS('기타(Z)'!$G:$G, AC$2, '기타(Z)'!$Q:$Q, $J20, '기타(Z)'!$C:$C, $L$1)
  ) = 0,
  "",
  COUNTIFS('발전사업(A)'!$G:$G, AC$2, '발전사업(A)'!$Q:$Q, $J20, '발전사업(A)'!$C:$C, $L$1)
  + COUNTIFS('자가소비(B)'!$G:$G, AC$2, '자가소비(B)'!$Q:$Q, $J20, '자가소비(B)'!$C:$C, $L$1)
  + COUNTIFS('PPA 사업(C)'!$G:$G, AC$2, 'PPA 사업(C)'!$Q:$Q, $J20, 'PPA 사업(C)'!$C:$C, $L$1)
  + COUNTIFS('리스사업(D)'!$G:$G, AC$2, '리스사업(D)'!$Q:$Q, $J20, '리스사업(D)'!$C:$C, $L$1)
  + COUNTIFS('임대사업(E)'!$G:$G, AC$2, '임대사업(E)'!$Q:$Q, $J20, '임대사업(E)'!$C:$C, $L$1)
  + COUNTIFS('환경부사업(F)'!$G:$G, AC$2, '환경부사업(F)'!$Q:$Q, $J20, '환경부사업(F)'!$C:$C, $L$1)
  + COUNTIFS('프로젝트(G)'!$G:$G, AC$2, '프로젝트(G)'!$Q:$Q, $J20, '프로젝트(G)'!$C:$C, $L$1)
  + COUNTIFS('협력사 EPC(H)'!$G:$G, AC$2, '협력사 EPC(H)'!$Q:$Q, $J20, '협력사 EPC(H)'!$C:$C, $L$1)
  + COUNTIFS('기타(Z)'!$G:$G, AC$2, '기타(Z)'!$Q:$Q, $J20, '기타(Z)'!$C:$C, $L$1)
)</f>
        <v/>
      </c>
      <c r="AE20" s="386" t="str">
        <f>IF(
  SUM(
    SUMIFS('발전사업(A)'!$I:$I,'발전사업(A)'!$G:$G,AE$2,'발전사업(A)'!$Q:$Q,$J20,'발전사업(A)'!$C:$C,$L$1),
    SUMIFS('자가소비(B)'!$I:$I,'자가소비(B)'!$G:$G,AE$2,'자가소비(B)'!$Q:$Q,$J20,'자가소비(B)'!$C:$C,$L$1),
    SUMIFS('PPA 사업(C)'!$I:$I,'PPA 사업(C)'!$G:$G,AE$2,'PPA 사업(C)'!$Q:$Q,$J20,'PPA 사업(C)'!$C:$C,$L$1),
    SUMIFS('리스사업(D)'!$I:$I,'리스사업(D)'!$G:$G,AE$2,'리스사업(D)'!$Q:$Q,$J20,'리스사업(D)'!$C:$C,$L$1),
    SUMIFS('임대사업(E)'!$I:$I,'임대사업(E)'!$G:$G,AE$2,'임대사업(E)'!$Q:$Q,$J20,'임대사업(E)'!$C:$C,$L$1),
    SUMIFS('환경부사업(F)'!$I:$I,'환경부사업(F)'!$G:$G,AE$2,'환경부사업(F)'!$Q:$Q,$J20,'환경부사업(F)'!$C:$C,$L$1),
    SUMIFS('프로젝트(G)'!$I:$I,'프로젝트(G)'!$G:$G,AE$2,'프로젝트(G)'!$Q:$Q,$J20,'프로젝트(G)'!$C:$C,$L$1),
    SUMIFS('협력사 EPC(H)'!$I:$I,'협력사 EPC(H)'!$G:$G,AE$2,'협력사 EPC(H)'!$Q:$Q,$J20,'협력사 EPC(H)'!$C:$C,$L$1),
    SUMIFS('기타(Z)'!$I:$I,'기타(Z)'!$G:$G,AE$2,'기타(Z)'!$Q:$Q,$J20,'기타(Z)'!$C:$C,$L$1)
  )=0,
  "",
  SUM(
    SUMIFS('발전사업(A)'!$I:$I,'발전사업(A)'!$G:$G,AE$2,'발전사업(A)'!$Q:$Q,$J20,'발전사업(A)'!$C:$C,$L$1),
    SUMIFS('자가소비(B)'!$I:$I,'자가소비(B)'!$G:$G,AE$2,'자가소비(B)'!$Q:$Q,$J20,'자가소비(B)'!$C:$C,$L$1),
    SUMIFS('PPA 사업(C)'!$I:$I,'PPA 사업(C)'!$G:$G,AE$2,'PPA 사업(C)'!$Q:$Q,$J20,'PPA 사업(C)'!$C:$C,$L$1),
    SUMIFS('리스사업(D)'!$I:$I,'리스사업(D)'!$G:$G,AE$2,'리스사업(D)'!$Q:$Q,$J20,'리스사업(D)'!$C:$C,$L$1),
    SUMIFS('임대사업(E)'!$I:$I,'임대사업(E)'!$G:$G,AE$2,'임대사업(E)'!$Q:$Q,$J20,'임대사업(E)'!$C:$C,$L$1),
    SUMIFS('환경부사업(F)'!$I:$I,'환경부사업(F)'!$G:$G,AE$2,'환경부사업(F)'!$Q:$Q,$J20,'환경부사업(F)'!$C:$C,$L$1),
    SUMIFS('프로젝트(G)'!$I:$I,'프로젝트(G)'!$G:$G,AE$2,'프로젝트(G)'!$Q:$Q,$J20,'프로젝트(G)'!$C:$C,$L$1),
    SUMIFS('협력사 EPC(H)'!$I:$I,'협력사 EPC(H)'!$G:$G,AE$2,'협력사 EPC(H)'!$Q:$Q,$J20,'협력사 EPC(H)'!$C:$C,$L$1),
    SUMIFS('기타(Z)'!$I:$I,'기타(Z)'!$G:$G,AE$2,'기타(Z)'!$Q:$Q,$J20,'기타(Z)'!$C:$C,$L$1)
  )
)</f>
        <v/>
      </c>
      <c r="AF20" s="387" t="str">
        <f>IF(
  SUM(
    COUNTIFS('발전사업(A)'!$G:$G, AE$2, '발전사업(A)'!$Q:$Q, $J20, '발전사업(A)'!$C:$C, $L$1),
    COUNTIFS('자가소비(B)'!$G:$G, AE$2, '자가소비(B)'!$Q:$Q, $J20, '자가소비(B)'!$C:$C, $L$1),
    COUNTIFS('PPA 사업(C)'!$G:$G, AE$2, 'PPA 사업(C)'!$Q:$Q, $J20, 'PPA 사업(C)'!$C:$C, $L$1),
    COUNTIFS('리스사업(D)'!$G:$G, AE$2, '리스사업(D)'!$Q:$Q, $J20, '리스사업(D)'!$C:$C, $L$1),
    COUNTIFS('임대사업(E)'!$G:$G, AE$2, '임대사업(E)'!$Q:$Q, $J20, '임대사업(E)'!$C:$C, $L$1),
    COUNTIFS('환경부사업(F)'!$G:$G, AE$2, '환경부사업(F)'!$Q:$Q, $J20, '환경부사업(F)'!$C:$C, $L$1),
    COUNTIFS('프로젝트(G)'!$G:$G, AE$2, '프로젝트(G)'!$Q:$Q, $J20, '프로젝트(G)'!$C:$C, $L$1),
    COUNTIFS('협력사 EPC(H)'!$G:$G, AE$2, '협력사 EPC(H)'!$Q:$Q, $J20, '협력사 EPC(H)'!$C:$C, $L$1),
    COUNTIFS('기타(Z)'!$G:$G, AE$2, '기타(Z)'!$Q:$Q, $J20, '기타(Z)'!$C:$C, $L$1)
  ) = 0,
  "",
  COUNTIFS('발전사업(A)'!$G:$G, AE$2, '발전사업(A)'!$Q:$Q, $J20, '발전사업(A)'!$C:$C, $L$1)
  + COUNTIFS('자가소비(B)'!$G:$G, AE$2, '자가소비(B)'!$Q:$Q, $J20, '자가소비(B)'!$C:$C, $L$1)
  + COUNTIFS('PPA 사업(C)'!$G:$G, AE$2, 'PPA 사업(C)'!$Q:$Q, $J20, 'PPA 사업(C)'!$C:$C, $L$1)
  + COUNTIFS('리스사업(D)'!$G:$G, AE$2, '리스사업(D)'!$Q:$Q, $J20, '리스사업(D)'!$C:$C, $L$1)
  + COUNTIFS('임대사업(E)'!$G:$G, AE$2, '임대사업(E)'!$Q:$Q, $J20, '임대사업(E)'!$C:$C, $L$1)
  + COUNTIFS('환경부사업(F)'!$G:$G, AE$2, '환경부사업(F)'!$Q:$Q, $J20, '환경부사업(F)'!$C:$C, $L$1)
  + COUNTIFS('프로젝트(G)'!$G:$G, AE$2, '프로젝트(G)'!$Q:$Q, $J20, '프로젝트(G)'!$C:$C, $L$1)
  + COUNTIFS('협력사 EPC(H)'!$G:$G, AE$2, '협력사 EPC(H)'!$Q:$Q, $J20, '협력사 EPC(H)'!$C:$C, $L$1)
  + COUNTIFS('기타(Z)'!$G:$G, AE$2, '기타(Z)'!$Q:$Q, $J20, '기타(Z)'!$C:$C, $L$1)
)</f>
        <v/>
      </c>
      <c r="AG20" s="386" t="str">
        <f>IF(
  SUM(
    SUMIFS('발전사업(A)'!$I:$I,'발전사업(A)'!$G:$G,AG$2,'발전사업(A)'!$Q:$Q,$J20,'발전사업(A)'!$C:$C,$L$1),
    SUMIFS('자가소비(B)'!$I:$I,'자가소비(B)'!$G:$G,AG$2,'자가소비(B)'!$Q:$Q,$J20,'자가소비(B)'!$C:$C,$L$1),
    SUMIFS('PPA 사업(C)'!$I:$I,'PPA 사업(C)'!$G:$G,AG$2,'PPA 사업(C)'!$Q:$Q,$J20,'PPA 사업(C)'!$C:$C,$L$1),
    SUMIFS('리스사업(D)'!$I:$I,'리스사업(D)'!$G:$G,AG$2,'리스사업(D)'!$Q:$Q,$J20,'리스사업(D)'!$C:$C,$L$1),
    SUMIFS('임대사업(E)'!$I:$I,'임대사업(E)'!$G:$G,AG$2,'임대사업(E)'!$Q:$Q,$J20,'임대사업(E)'!$C:$C,$L$1),
    SUMIFS('환경부사업(F)'!$I:$I,'환경부사업(F)'!$G:$G,AG$2,'환경부사업(F)'!$Q:$Q,$J20,'환경부사업(F)'!$C:$C,$L$1),
    SUMIFS('프로젝트(G)'!$I:$I,'프로젝트(G)'!$G:$G,AG$2,'프로젝트(G)'!$Q:$Q,$J20,'프로젝트(G)'!$C:$C,$L$1),
    SUMIFS('협력사 EPC(H)'!$I:$I,'협력사 EPC(H)'!$G:$G,AG$2,'협력사 EPC(H)'!$Q:$Q,$J20,'협력사 EPC(H)'!$C:$C,$L$1),
    SUMIFS('기타(Z)'!$I:$I,'기타(Z)'!$G:$G,AG$2,'기타(Z)'!$Q:$Q,$J20,'기타(Z)'!$C:$C,$L$1)
  )=0,
  "",
  SUM(
    SUMIFS('발전사업(A)'!$I:$I,'발전사업(A)'!$G:$G,AG$2,'발전사업(A)'!$Q:$Q,$J20,'발전사업(A)'!$C:$C,$L$1),
    SUMIFS('자가소비(B)'!$I:$I,'자가소비(B)'!$G:$G,AG$2,'자가소비(B)'!$Q:$Q,$J20,'자가소비(B)'!$C:$C,$L$1),
    SUMIFS('PPA 사업(C)'!$I:$I,'PPA 사업(C)'!$G:$G,AG$2,'PPA 사업(C)'!$Q:$Q,$J20,'PPA 사업(C)'!$C:$C,$L$1),
    SUMIFS('리스사업(D)'!$I:$I,'리스사업(D)'!$G:$G,AG$2,'리스사업(D)'!$Q:$Q,$J20,'리스사업(D)'!$C:$C,$L$1),
    SUMIFS('임대사업(E)'!$I:$I,'임대사업(E)'!$G:$G,AG$2,'임대사업(E)'!$Q:$Q,$J20,'임대사업(E)'!$C:$C,$L$1),
    SUMIFS('환경부사업(F)'!$I:$I,'환경부사업(F)'!$G:$G,AG$2,'환경부사업(F)'!$Q:$Q,$J20,'환경부사업(F)'!$C:$C,$L$1),
    SUMIFS('프로젝트(G)'!$I:$I,'프로젝트(G)'!$G:$G,AG$2,'프로젝트(G)'!$Q:$Q,$J20,'프로젝트(G)'!$C:$C,$L$1),
    SUMIFS('협력사 EPC(H)'!$I:$I,'협력사 EPC(H)'!$G:$G,AG$2,'협력사 EPC(H)'!$Q:$Q,$J20,'협력사 EPC(H)'!$C:$C,$L$1),
    SUMIFS('기타(Z)'!$I:$I,'기타(Z)'!$G:$G,AG$2,'기타(Z)'!$Q:$Q,$J20,'기타(Z)'!$C:$C,$L$1)
  )
)</f>
        <v/>
      </c>
      <c r="AH20" s="387" t="str">
        <f>IF(
  SUM(
    COUNTIFS('발전사업(A)'!$G:$G, AG$2, '발전사업(A)'!$Q:$Q, $J20, '발전사업(A)'!$C:$C, $L$1),
    COUNTIFS('자가소비(B)'!$G:$G, AG$2, '자가소비(B)'!$Q:$Q, $J20, '자가소비(B)'!$C:$C, $L$1),
    COUNTIFS('PPA 사업(C)'!$G:$G, AG$2, 'PPA 사업(C)'!$Q:$Q, $J20, 'PPA 사업(C)'!$C:$C, $L$1),
    COUNTIFS('리스사업(D)'!$G:$G, AG$2, '리스사업(D)'!$Q:$Q, $J20, '리스사업(D)'!$C:$C, $L$1),
    COUNTIFS('임대사업(E)'!$G:$G, AG$2, '임대사업(E)'!$Q:$Q, $J20, '임대사업(E)'!$C:$C, $L$1),
    COUNTIFS('환경부사업(F)'!$G:$G, AG$2, '환경부사업(F)'!$Q:$Q, $J20, '환경부사업(F)'!$C:$C, $L$1),
    COUNTIFS('프로젝트(G)'!$G:$G, AG$2, '프로젝트(G)'!$Q:$Q, $J20, '프로젝트(G)'!$C:$C, $L$1),
    COUNTIFS('협력사 EPC(H)'!$G:$G, AG$2, '협력사 EPC(H)'!$Q:$Q, $J20, '협력사 EPC(H)'!$C:$C, $L$1),
    COUNTIFS('기타(Z)'!$G:$G, AG$2, '기타(Z)'!$Q:$Q, $J20, '기타(Z)'!$C:$C, $L$1)
  ) = 0,
  "",
  COUNTIFS('발전사업(A)'!$G:$G, AG$2, '발전사업(A)'!$Q:$Q, $J20, '발전사업(A)'!$C:$C, $L$1)
  + COUNTIFS('자가소비(B)'!$G:$G, AG$2, '자가소비(B)'!$Q:$Q, $J20, '자가소비(B)'!$C:$C, $L$1)
  + COUNTIFS('PPA 사업(C)'!$G:$G, AG$2, 'PPA 사업(C)'!$Q:$Q, $J20, 'PPA 사업(C)'!$C:$C, $L$1)
  + COUNTIFS('리스사업(D)'!$G:$G, AG$2, '리스사업(D)'!$Q:$Q, $J20, '리스사업(D)'!$C:$C, $L$1)
  + COUNTIFS('임대사업(E)'!$G:$G, AG$2, '임대사업(E)'!$Q:$Q, $J20, '임대사업(E)'!$C:$C, $L$1)
  + COUNTIFS('환경부사업(F)'!$G:$G, AG$2, '환경부사업(F)'!$Q:$Q, $J20, '환경부사업(F)'!$C:$C, $L$1)
  + COUNTIFS('프로젝트(G)'!$G:$G, AG$2, '프로젝트(G)'!$Q:$Q, $J20, '프로젝트(G)'!$C:$C, $L$1)
  + COUNTIFS('협력사 EPC(H)'!$G:$G, AG$2, '협력사 EPC(H)'!$Q:$Q, $J20, '협력사 EPC(H)'!$C:$C, $L$1)
  + COUNTIFS('기타(Z)'!$G:$G, AG$2, '기타(Z)'!$Q:$Q, $J20, '기타(Z)'!$C:$C, $L$1)
)</f>
        <v/>
      </c>
      <c r="AI20" s="386" t="str">
        <f>IF(
  SUM(
    SUMIFS('발전사업(A)'!$I:$I,'발전사업(A)'!$G:$G,AI$2,'발전사업(A)'!$Q:$Q,$J20,'발전사업(A)'!$C:$C,$L$1),
    SUMIFS('자가소비(B)'!$I:$I,'자가소비(B)'!$G:$G,AI$2,'자가소비(B)'!$Q:$Q,$J20,'자가소비(B)'!$C:$C,$L$1),
    SUMIFS('PPA 사업(C)'!$I:$I,'PPA 사업(C)'!$G:$G,AI$2,'PPA 사업(C)'!$Q:$Q,$J20,'PPA 사업(C)'!$C:$C,$L$1),
    SUMIFS('리스사업(D)'!$I:$I,'리스사업(D)'!$G:$G,AI$2,'리스사업(D)'!$Q:$Q,$J20,'리스사업(D)'!$C:$C,$L$1),
    SUMIFS('임대사업(E)'!$I:$I,'임대사업(E)'!$G:$G,AI$2,'임대사업(E)'!$Q:$Q,$J20,'임대사업(E)'!$C:$C,$L$1),
    SUMIFS('환경부사업(F)'!$I:$I,'환경부사업(F)'!$G:$G,AI$2,'환경부사업(F)'!$Q:$Q,$J20,'환경부사업(F)'!$C:$C,$L$1),
    SUMIFS('프로젝트(G)'!$I:$I,'프로젝트(G)'!$G:$G,AI$2,'프로젝트(G)'!$Q:$Q,$J20,'프로젝트(G)'!$C:$C,$L$1),
    SUMIFS('협력사 EPC(H)'!$I:$I,'협력사 EPC(H)'!$G:$G,AI$2,'협력사 EPC(H)'!$Q:$Q,$J20,'협력사 EPC(H)'!$C:$C,$L$1),
    SUMIFS('기타(Z)'!$I:$I,'기타(Z)'!$G:$G,AI$2,'기타(Z)'!$Q:$Q,$J20,'기타(Z)'!$C:$C,$L$1)
  )=0,
  "",
  SUM(
    SUMIFS('발전사업(A)'!$I:$I,'발전사업(A)'!$G:$G,AI$2,'발전사업(A)'!$Q:$Q,$J20,'발전사업(A)'!$C:$C,$L$1),
    SUMIFS('자가소비(B)'!$I:$I,'자가소비(B)'!$G:$G,AI$2,'자가소비(B)'!$Q:$Q,$J20,'자가소비(B)'!$C:$C,$L$1),
    SUMIFS('PPA 사업(C)'!$I:$I,'PPA 사업(C)'!$G:$G,AI$2,'PPA 사업(C)'!$Q:$Q,$J20,'PPA 사업(C)'!$C:$C,$L$1),
    SUMIFS('리스사업(D)'!$I:$I,'리스사업(D)'!$G:$G,AI$2,'리스사업(D)'!$Q:$Q,$J20,'리스사업(D)'!$C:$C,$L$1),
    SUMIFS('임대사업(E)'!$I:$I,'임대사업(E)'!$G:$G,AI$2,'임대사업(E)'!$Q:$Q,$J20,'임대사업(E)'!$C:$C,$L$1),
    SUMIFS('환경부사업(F)'!$I:$I,'환경부사업(F)'!$G:$G,AI$2,'환경부사업(F)'!$Q:$Q,$J20,'환경부사업(F)'!$C:$C,$L$1),
    SUMIFS('프로젝트(G)'!$I:$I,'프로젝트(G)'!$G:$G,AI$2,'프로젝트(G)'!$Q:$Q,$J20,'프로젝트(G)'!$C:$C,$L$1),
    SUMIFS('협력사 EPC(H)'!$I:$I,'협력사 EPC(H)'!$G:$G,AI$2,'협력사 EPC(H)'!$Q:$Q,$J20,'협력사 EPC(H)'!$C:$C,$L$1),
    SUMIFS('기타(Z)'!$I:$I,'기타(Z)'!$G:$G,AI$2,'기타(Z)'!$Q:$Q,$J20,'기타(Z)'!$C:$C,$L$1)
  )
)</f>
        <v/>
      </c>
      <c r="AJ20" s="385" t="str">
        <f>IF(
  SUM(
    COUNTIFS('발전사업(A)'!$G:$G, AI$2, '발전사업(A)'!$Q:$Q, $J20, '발전사업(A)'!$C:$C, $L$1),
    COUNTIFS('자가소비(B)'!$G:$G, AI$2, '자가소비(B)'!$Q:$Q, $J20, '자가소비(B)'!$C:$C, $L$1),
    COUNTIFS('PPA 사업(C)'!$G:$G, AI$2, 'PPA 사업(C)'!$Q:$Q, $J20, 'PPA 사업(C)'!$C:$C, $L$1),
    COUNTIFS('리스사업(D)'!$G:$G, AI$2, '리스사업(D)'!$Q:$Q, $J20, '리스사업(D)'!$C:$C, $L$1),
    COUNTIFS('임대사업(E)'!$G:$G, AI$2, '임대사업(E)'!$Q:$Q, $J20, '임대사업(E)'!$C:$C, $L$1),
    COUNTIFS('환경부사업(F)'!$G:$G, AI$2, '환경부사업(F)'!$Q:$Q, $J20, '환경부사업(F)'!$C:$C, $L$1),
    COUNTIFS('프로젝트(G)'!$G:$G, AI$2, '프로젝트(G)'!$Q:$Q, $J20, '프로젝트(G)'!$C:$C, $L$1),
    COUNTIFS('협력사 EPC(H)'!$G:$G, AI$2, '협력사 EPC(H)'!$Q:$Q, $J20, '협력사 EPC(H)'!$C:$C, $L$1),
    COUNTIFS('기타(Z)'!$G:$G, AI$2, '기타(Z)'!$Q:$Q, $J20, '기타(Z)'!$C:$C, $L$1)
  ) = 0,
  "",
  COUNTIFS('발전사업(A)'!$G:$G, AI$2, '발전사업(A)'!$Q:$Q, $J20, '발전사업(A)'!$C:$C, $L$1)
  + COUNTIFS('자가소비(B)'!$G:$G, AI$2, '자가소비(B)'!$Q:$Q, $J20, '자가소비(B)'!$C:$C, $L$1)
  + COUNTIFS('PPA 사업(C)'!$G:$G, AI$2, 'PPA 사업(C)'!$Q:$Q, $J20, 'PPA 사업(C)'!$C:$C, $L$1)
  + COUNTIFS('리스사업(D)'!$G:$G, AI$2, '리스사업(D)'!$Q:$Q, $J20, '리스사업(D)'!$C:$C, $L$1)
  + COUNTIFS('임대사업(E)'!$G:$G, AI$2, '임대사업(E)'!$Q:$Q, $J20, '임대사업(E)'!$C:$C, $L$1)
  + COUNTIFS('환경부사업(F)'!$G:$G, AI$2, '환경부사업(F)'!$Q:$Q, $J20, '환경부사업(F)'!$C:$C, $L$1)
  + COUNTIFS('프로젝트(G)'!$G:$G, AI$2, '프로젝트(G)'!$Q:$Q, $J20, '프로젝트(G)'!$C:$C, $L$1)
  + COUNTIFS('협력사 EPC(H)'!$G:$G, AI$2, '협력사 EPC(H)'!$Q:$Q, $J20, '협력사 EPC(H)'!$C:$C, $L$1)
  + COUNTIFS('기타(Z)'!$G:$G, AI$2, '기타(Z)'!$Q:$Q, $J20, '기타(Z)'!$C:$C, $L$1)
)</f>
        <v/>
      </c>
    </row>
    <row r="21" spans="2:36" ht="15" x14ac:dyDescent="0.25">
      <c r="B21" s="202" t="s">
        <v>263</v>
      </c>
      <c r="C21" s="280" t="str">
        <f>IF(
  SUM(
    SUMIFS('발전사업(A)'!I:I, '발전사업(A)'!C:C, $E$1, '발전사업(A)'!G:G, B15, '발전사업(A)'!W:W, B21),
    SUMIFS('자가소비(B)'!I:I, '자가소비(B)'!C:C, $E$1, '자가소비(B)'!G:G, B15, '자가소비(B)'!W:W, B21),
    SUMIFS('PPA 사업(C)'!I:I, 'PPA 사업(C)'!C:C, $E$1, 'PPA 사업(C)'!G:G, B15, 'PPA 사업(C)'!W:W, B21),
    SUMIFS('리스사업(D)'!I:I, '리스사업(D)'!C:C, $E$1, '리스사업(D)'!G:G, B15, '리스사업(D)'!W:W, B21),
    SUMIFS('임대사업(E)'!I:I, '임대사업(E)'!C:C, $E$1, '임대사업(E)'!G:G, B15, '임대사업(E)'!W:W, B21),
    SUMIFS('환경부사업(F)'!I:I, '환경부사업(F)'!C:C, $E$1, '환경부사업(F)'!G:G, B15, '환경부사업(F)'!W:W, B21),
    SUMIFS('프로젝트(G)'!I:I, '프로젝트(G)'!C:C, $E$1, '프로젝트(G)'!G:G, B15, '프로젝트(G)'!W:W, B21),
    SUMIFS('협력사 EPC(H)'!I:I, '협력사 EPC(H)'!C:C, $E$1, '협력사 EPC(H)'!G:G, B15, '협력사 EPC(H)'!W:W, B21),
    SUMIFS('기타(Z)'!I:I, '기타(Z)'!C:C, $E$1, '기타(Z)'!G:G, B15, '기타(Z)'!W:W, B21)
  ) = 0,
  "",
  SUMIFS('발전사업(A)'!I:I, '발전사업(A)'!C:C, $E$1, '발전사업(A)'!G:G, B15, '발전사업(A)'!W:W, B21)
  + SUMIFS('자가소비(B)'!I:I, '자가소비(B)'!C:C, $E$1, '자가소비(B)'!G:G, B15, '자가소비(B)'!W:W, B21)
  + SUMIFS('PPA 사업(C)'!I:I, 'PPA 사업(C)'!C:C, $E$1, 'PPA 사업(C)'!G:G, B15, 'PPA 사업(C)'!W:W, B21)
  + SUMIFS('리스사업(D)'!I:I, '리스사업(D)'!C:C, $E$1, '리스사업(D)'!G:G, B15, '리스사업(D)'!W:W, B21)
  + SUMIFS('임대사업(E)'!I:I, '임대사업(E)'!C:C, $E$1, '임대사업(E)'!G:G, B15, '임대사업(E)'!W:W, B21)
  + SUMIFS('환경부사업(F)'!I:I, '환경부사업(F)'!C:C, $E$1, '환경부사업(F)'!G:G, B15, '환경부사업(F)'!W:W, B21)
  + SUMIFS('프로젝트(G)'!I:I, '프로젝트(G)'!C:C, $E$1, '프로젝트(G)'!G:G, B15, '프로젝트(G)'!W:W, B21)
  + SUMIFS('협력사 EPC(H)'!I:I, '협력사 EPC(H)'!C:C, $E$1, '협력사 EPC(H)'!G:G, B15, '협력사 EPC(H)'!W:W, B21)
  + SUMIFS('기타(Z)'!I:I, '기타(Z)'!C:C, $E$1, '기타(Z)'!G:G, B15, '기타(Z)'!W:W, B21)
)</f>
        <v/>
      </c>
      <c r="D21" s="281" t="str">
        <f>IF(
  COUNTIFS('발전사업(A)'!C:C, $E$1, '발전사업(A)'!G:G, B15, '발전사업(A)'!W:W, B21)
  + COUNTIFS('자가소비(B)'!C:C, $E$1, '자가소비(B)'!G:G, B15, '자가소비(B)'!W:W, B21)
  + COUNTIFS('PPA 사업(C)'!C:C, $E$1, 'PPA 사업(C)'!G:G, B15, 'PPA 사업(C)'!W:W, B21)
  + COUNTIFS('리스사업(D)'!C:C, $E$1, '리스사업(D)'!G:G, B15, '리스사업(D)'!W:W, B21)
  + COUNTIFS('임대사업(E)'!C:C, $E$1, '임대사업(E)'!G:G, B15, '임대사업(E)'!W:W, B21)
  + COUNTIFS('환경부사업(F)'!C:C, $E$1, '환경부사업(F)'!G:G, B15, '환경부사업(F)'!W:W, B21)
  + COUNTIFS('프로젝트(G)'!C:C, $E$1, '프로젝트(G)'!G:G, B15, '프로젝트(G)'!W:W, B21)
  + COUNTIFS('협력사 EPC(H)'!C:C, $E$1, '협력사 EPC(H)'!G:G, B15, '협력사 EPC(H)'!W:W, B21)
  + COUNTIFS('기타(Z)'!C:C, $E$1, '기타(Z)'!G:G, B15, '기타(Z)'!W:W, B21)
  = 0,
  "",
  COUNTIFS('발전사업(A)'!C:C, $E$1, '발전사업(A)'!G:G, B15, '발전사업(A)'!W:W, B21)
  + COUNTIFS('자가소비(B)'!C:C, $E$1, '자가소비(B)'!G:G, B15, '자가소비(B)'!W:W, B21)
  + COUNTIFS('PPA 사업(C)'!C:C, $E$1, 'PPA 사업(C)'!G:G, B15, 'PPA 사업(C)'!W:W, B21)
  + COUNTIFS('리스사업(D)'!C:C, $E$1, '리스사업(D)'!G:G, B15, '리스사업(D)'!W:W, B21)
  + COUNTIFS('임대사업(E)'!C:C, $E$1, '임대사업(E)'!G:G, B15, '임대사업(E)'!W:W, B21)
  + COUNTIFS('환경부사업(F)'!C:C, $E$1, '환경부사업(F)'!G:G, B15, '환경부사업(F)'!W:W, B21)
  + COUNTIFS('프로젝트(G)'!C:C, $E$1, '프로젝트(G)'!G:G, B15, '프로젝트(G)'!W:W, B21)
  + COUNTIFS('협력사 EPC(H)'!C:C, $E$1, '협력사 EPC(H)'!G:G, B15, '협력사 EPC(H)'!W:W, B21)
  + COUNTIFS('기타(Z)'!C:C, $E$1, '기타(Z)'!G:G, B15, '기타(Z)'!W:W, B21)
)</f>
        <v/>
      </c>
      <c r="E21" s="280" t="str">
        <f>IF(
  SUM(
    SUMIFS('발전사업(A)'!I:I, '발전사업(A)'!C:C, $E$1, '발전사업(A)'!G:G, B15, '발전사업(A)'!W:W, B21, '발전사업(A)'!U:U, $C$1),
    SUMIFS('자가소비(B)'!I:I, '자가소비(B)'!C:C, $E$1, '자가소비(B)'!G:G, B15, '자가소비(B)'!W:W, B21, '자가소비(B)'!U:U, $C$1),
    SUMIFS('PPA 사업(C)'!I:I, 'PPA 사업(C)'!C:C, $E$1, 'PPA 사업(C)'!G:G, B15, 'PPA 사업(C)'!W:W, B21, 'PPA 사업(C)'!U:U, $C$1),
    SUMIFS('리스사업(D)'!I:I, '리스사업(D)'!C:C, $E$1, '리스사업(D)'!G:G, B15, '리스사업(D)'!W:W, B21, '리스사업(D)'!U:U, $C$1),
    SUMIFS('임대사업(E)'!I:I, '임대사업(E)'!C:C, $E$1, '임대사업(E)'!G:G, B15, '임대사업(E)'!W:W, B21, '임대사업(E)'!U:U, $C$1),
    SUMIFS('환경부사업(F)'!I:I, '환경부사업(F)'!C:C, $E$1, '환경부사업(F)'!G:G, B15, '환경부사업(F)'!W:W, B21, '환경부사업(F)'!U:U, $C$1),
    SUMIFS('프로젝트(G)'!I:I, '프로젝트(G)'!C:C, $E$1, '프로젝트(G)'!G:G, B15, '프로젝트(G)'!W:W, B21, '프로젝트(G)'!U:U, $C$1),
    SUMIFS('협력사 EPC(H)'!I:I, '협력사 EPC(H)'!C:C, $E$1, '협력사 EPC(H)'!G:G, B15, '협력사 EPC(H)'!W:W, B21, '협력사 EPC(H)'!U:U, $C$1),
    SUMIFS('기타(Z)'!I:I, '기타(Z)'!C:C, $E$1, '기타(Z)'!G:G, B15, '기타(Z)'!W:W, B21, '기타(Z)'!U:U, $C$1)
  ) = 0,
  "",
  SUM(
    SUMIFS('발전사업(A)'!I:I, '발전사업(A)'!C:C, $E$1, '발전사업(A)'!G:G, B15, '발전사업(A)'!W:W, B21, '발전사업(A)'!U:U, $C$1),
    SUMIFS('자가소비(B)'!I:I, '자가소비(B)'!C:C, $E$1, '자가소비(B)'!G:G, B15, '자가소비(B)'!W:W, B21, '자가소비(B)'!U:U, $C$1),
    SUMIFS('PPA 사업(C)'!I:I, 'PPA 사업(C)'!C:C, $E$1, 'PPA 사업(C)'!G:G, B15, 'PPA 사업(C)'!W:W, B21, 'PPA 사업(C)'!U:U, $C$1),
    SUMIFS('리스사업(D)'!I:I, '리스사업(D)'!C:C, $E$1, '리스사업(D)'!G:G, B15, '리스사업(D)'!W:W, B21, '리스사업(D)'!U:U, $C$1),
    SUMIFS('임대사업(E)'!I:I, '임대사업(E)'!C:C, $E$1, '임대사업(E)'!G:G, B15, '임대사업(E)'!W:W, B21, '임대사업(E)'!U:U, $C$1),
    SUMIFS('환경부사업(F)'!I:I, '환경부사업(F)'!C:C, $E$1, '환경부사업(F)'!G:G, B15, '환경부사업(F)'!W:W, B21, '환경부사업(F)'!U:U, $C$1),
    SUMIFS('프로젝트(G)'!I:I, '프로젝트(G)'!C:C, $E$1, '프로젝트(G)'!G:G, B15, '프로젝트(G)'!W:W, B21, '프로젝트(G)'!U:U, $C$1),
    SUMIFS('협력사 EPC(H)'!I:I, '협력사 EPC(H)'!C:C, $E$1, '협력사 EPC(H)'!G:G, B15, '협력사 EPC(H)'!W:W, B21, '협력사 EPC(H)'!U:U, $C$1),
    SUMIFS('기타(Z)'!I:I, '기타(Z)'!C:C, $E$1, '기타(Z)'!G:G, B15, '기타(Z)'!W:W, B21, '기타(Z)'!U:U, $C$1)
  )
)</f>
        <v/>
      </c>
      <c r="F21" s="281" t="str">
        <f>IF(
  SUM(
    COUNTIFS('발전사업(A)'!C:C, $E$1, '발전사업(A)'!G:G, B15, '발전사업(A)'!W:W, B21, '발전사업(A)'!U:U, $C$1),
    COUNTIFS('자가소비(B)'!C:C, $E$1, '자가소비(B)'!G:G, B15, '자가소비(B)'!W:W, B21, '자가소비(B)'!U:U, $C$1),
    COUNTIFS('PPA 사업(C)'!C:C, $E$1, 'PPA 사업(C)'!G:G, B15, 'PPA 사업(C)'!W:W, B21, 'PPA 사업(C)'!U:U, $C$1),
    COUNTIFS('리스사업(D)'!C:C, $E$1, '리스사업(D)'!G:G, B15, '리스사업(D)'!W:W, B21, '리스사업(D)'!U:U, $C$1),
    COUNTIFS('임대사업(E)'!C:C, $E$1, '임대사업(E)'!G:G, B15, '임대사업(E)'!W:W, B21, '임대사업(E)'!U:U, $C$1),
    COUNTIFS('환경부사업(F)'!C:C, $E$1, '환경부사업(F)'!G:G, B15, '환경부사업(F)'!W:W, B21, '환경부사업(F)'!U:U, $C$1),
    COUNTIFS('프로젝트(G)'!C:C, $E$1, '프로젝트(G)'!G:G, B15, '프로젝트(G)'!W:W, B21, '프로젝트(G)'!U:U, $C$1),
    COUNTIFS('협력사 EPC(H)'!C:C, $E$1, '협력사 EPC(H)'!G:G, B15, '협력사 EPC(H)'!W:W, B21, '협력사 EPC(H)'!U:U, $C$1),
    COUNTIFS('기타(Z)'!C:C, $E$1, '기타(Z)'!G:G, B15, '기타(Z)'!W:W, B21, '기타(Z)'!U:U, $C$1)
  ) = 0,
  "",
  SUM(
    COUNTIFS('발전사업(A)'!C:C, $E$1, '발전사업(A)'!G:G, B15, '발전사업(A)'!W:W, B21, '발전사업(A)'!U:U, $C$1),
    COUNTIFS('자가소비(B)'!C:C, $E$1, '자가소비(B)'!G:G, B15, '자가소비(B)'!W:W, B21, '자가소비(B)'!U:U, $C$1),
    COUNTIFS('PPA 사업(C)'!C:C, $E$1, 'PPA 사업(C)'!G:G, B15, 'PPA 사업(C)'!W:W, B21, 'PPA 사업(C)'!U:U, $C$1),
    COUNTIFS('리스사업(D)'!C:C, $E$1, '리스사업(D)'!G:G, B15, '리스사업(D)'!W:W, B21, '리스사업(D)'!U:U, $C$1),
    COUNTIFS('임대사업(E)'!C:C, $E$1, '임대사업(E)'!G:G, B15, '임대사업(E)'!W:W, B21, '임대사업(E)'!U:U, $C$1),
    COUNTIFS('환경부사업(F)'!C:C, $E$1, '환경부사업(F)'!G:G, B15, '환경부사업(F)'!W:W, B21, '환경부사업(F)'!U:U, $C$1),
    COUNTIFS('프로젝트(G)'!C:C, $E$1, '프로젝트(G)'!G:G, B15, '프로젝트(G)'!W:W, B21, '프로젝트(G)'!U:U, $C$1),
    COUNTIFS('협력사 EPC(H)'!C:C, $E$1, '협력사 EPC(H)'!G:G, B15, '협력사 EPC(H)'!W:W, B21, '협력사 EPC(H)'!U:U, $C$1),
    COUNTIFS('기타(Z)'!C:C, $E$1, '기타(Z)'!G:G, B15, '기타(Z)'!W:W, B21, '기타(Z)'!U:U, $C$1)
  )
)</f>
        <v/>
      </c>
      <c r="G21" s="280" t="str">
        <f>IF(
  SUM(
    SUMIFS('발전사업(A)'!I:I, '발전사업(A)'!C:C, $E$1, '발전사업(A)'!G:G, B15, '발전사업(A)'!W:W, B21, '발전사업(A)'!U:U, $D$1),
    SUMIFS('자가소비(B)'!I:I, '자가소비(B)'!C:C, $E$1, '자가소비(B)'!G:G, B15, '자가소비(B)'!W:W, B21, '자가소비(B)'!U:U, $D$1),
    SUMIFS('PPA 사업(C)'!I:I, 'PPA 사업(C)'!C:C, $E$1, 'PPA 사업(C)'!G:G, B15, 'PPA 사업(C)'!W:W, B21, 'PPA 사업(C)'!U:U, $D$1),
    SUMIFS('리스사업(D)'!I:I, '리스사업(D)'!C:C, $E$1, '리스사업(D)'!G:G, B15, '리스사업(D)'!W:W, B21, '리스사업(D)'!U:U, $D$1),
    SUMIFS('임대사업(E)'!I:I, '임대사업(E)'!C:C, $E$1, '임대사업(E)'!G:G, B15, '임대사업(E)'!W:W, B21, '임대사업(E)'!U:U, $D$1),
    SUMIFS('환경부사업(F)'!I:I, '환경부사업(F)'!C:C, $E$1, '환경부사업(F)'!G:G, B15, '환경부사업(F)'!W:W, B21, '환경부사업(F)'!U:U, $D$1),
    SUMIFS('프로젝트(G)'!I:I, '프로젝트(G)'!C:C, $E$1, '프로젝트(G)'!G:G, B15, '프로젝트(G)'!W:W, B21, '프로젝트(G)'!U:U, $D$1),
    SUMIFS('협력사 EPC(H)'!I:I, '협력사 EPC(H)'!C:C, $E$1, '협력사 EPC(H)'!G:G, B15, '협력사 EPC(H)'!W:W, B21, '협력사 EPC(H)'!U:U, $D$1),
    SUMIFS('기타(Z)'!I:I, '기타(Z)'!C:C, $E$1, '기타(Z)'!G:G, B15, '기타(Z)'!W:W, B21, '기타(Z)'!U:U, $D$1)
  ) = 0,
  "",
  SUM(
    SUMIFS('발전사업(A)'!I:I, '발전사업(A)'!C:C, $E$1, '발전사업(A)'!G:G, B15, '발전사업(A)'!W:W, B21, '발전사업(A)'!U:U, $D$1),
    SUMIFS('자가소비(B)'!I:I, '자가소비(B)'!C:C, $E$1, '자가소비(B)'!G:G, B15, '자가소비(B)'!W:W, B21, '자가소비(B)'!U:U, $D$1),
    SUMIFS('PPA 사업(C)'!I:I, 'PPA 사업(C)'!C:C, $E$1, 'PPA 사업(C)'!G:G, B15, 'PPA 사업(C)'!W:W, B21, 'PPA 사업(C)'!U:U, $D$1),
    SUMIFS('리스사업(D)'!I:I, '리스사업(D)'!C:C, $E$1, '리스사업(D)'!G:G, B15, '리스사업(D)'!W:W, B21, '리스사업(D)'!U:U, $D$1),
    SUMIFS('임대사업(E)'!I:I, '임대사업(E)'!C:C, $E$1, '임대사업(E)'!G:G, B15, '임대사업(E)'!W:W, B21, '임대사업(E)'!U:U, $D$1),
    SUMIFS('환경부사업(F)'!I:I, '환경부사업(F)'!C:C, $E$1, '환경부사업(F)'!G:G, B15, '환경부사업(F)'!W:W, B21, '환경부사업(F)'!U:U, $D$1),
    SUMIFS('프로젝트(G)'!I:I, '프로젝트(G)'!C:C, $E$1, '프로젝트(G)'!G:G, B15, '프로젝트(G)'!W:W, B21, '프로젝트(G)'!U:U, $D$1),
    SUMIFS('협력사 EPC(H)'!I:I, '협력사 EPC(H)'!C:C, $E$1, '협력사 EPC(H)'!G:G, B15, '협력사 EPC(H)'!W:W, B21, '협력사 EPC(H)'!U:U, $D$1),
    SUMIFS('기타(Z)'!I:I, '기타(Z)'!C:C, $E$1, '기타(Z)'!G:G, B15, '기타(Z)'!W:W, B21, '기타(Z)'!U:U, $D$1)
  )
)</f>
        <v/>
      </c>
      <c r="H21" s="281" t="str">
        <f>IF(
  (
    COUNTIFS('발전사업(A)'!C:C, $E$1, '발전사업(A)'!G:G, B15, '발전사업(A)'!W:W, B21, '발전사업(A)'!U:U, $D$1)
    + COUNTIFS('자가소비(B)'!C:C, $E$1, '자가소비(B)'!G:G, B15, '자가소비(B)'!W:W, B21, '자가소비(B)'!U:U, $D$1)
    + COUNTIFS('PPA 사업(C)'!C:C, $E$1, 'PPA 사업(C)'!G:G, B15, 'PPA 사업(C)'!W:W, B21, 'PPA 사업(C)'!U:U, $D$1)
    + COUNTIFS('리스사업(D)'!C:C, $E$1, '리스사업(D)'!G:G, B15, '리스사업(D)'!W:W, B21, '리스사업(D)'!U:U, $D$1)
    + COUNTIFS('임대사업(E)'!C:C, $E$1, '임대사업(E)'!G:G, B15, '임대사업(E)'!W:W, B21, '임대사업(E)'!U:U, $D$1)
    + COUNTIFS('환경부사업(F)'!C:C, $E$1, '환경부사업(F)'!G:G, B15, '환경부사업(F)'!W:W, B21, '환경부사업(F)'!U:U, $D$1)
    + COUNTIFS('프로젝트(G)'!C:C, $E$1, '프로젝트(G)'!G:G, B15, '프로젝트(G)'!W:W, B21, '프로젝트(G)'!U:U, $D$1)
    + COUNTIFS('협력사 EPC(H)'!C:C, $E$1, '협력사 EPC(H)'!G:G, B15, '협력사 EPC(H)'!W:W, B21, '협력사 EPC(H)'!U:U, $D$1)
    + COUNTIFS('기타(Z)'!C:C, $E$1, '기타(Z)'!G:G, B15, '기타(Z)'!W:W, B21, '기타(Z)'!U:U, $D$1)
  ) = 0,
  "",
  COUNTIFS('발전사업(A)'!C:C, $E$1, '발전사업(A)'!G:G, B15, '발전사업(A)'!W:W, B21, '발전사업(A)'!U:U, $D$1)
  + COUNTIFS('자가소비(B)'!C:C, $E$1, '자가소비(B)'!G:G, B15, '자가소비(B)'!W:W, B21, '자가소비(B)'!U:U, $D$1)
  + COUNTIFS('PPA 사업(C)'!C:C, $E$1, 'PPA 사업(C)'!G:G, B15, 'PPA 사업(C)'!W:W, B21, 'PPA 사업(C)'!U:U, $D$1)
  + COUNTIFS('리스사업(D)'!C:C, $E$1, '리스사업(D)'!G:G, B15, '리스사업(D)'!W:W, B21, '리스사업(D)'!U:U, $D$1)
  + COUNTIFS('임대사업(E)'!C:C, $E$1, '임대사업(E)'!G:G, B15, '임대사업(E)'!W:W, B21, '임대사업(E)'!U:U, $D$1)
  + COUNTIFS('환경부사업(F)'!C:C, $E$1, '환경부사업(F)'!G:G, B15, '환경부사업(F)'!W:W, B21, '환경부사업(F)'!U:U, $D$1)
  + COUNTIFS('프로젝트(G)'!C:C, $E$1, '프로젝트(G)'!G:G, B15, '프로젝트(G)'!W:W, B21, '프로젝트(G)'!U:U, $D$1)
  + COUNTIFS('협력사 EPC(H)'!C:C, $E$1, '협력사 EPC(H)'!G:G, B15, '협력사 EPC(H)'!W:W, B21, '협력사 EPC(H)'!U:U, $D$1)
  + COUNTIFS('기타(Z)'!C:C, $E$1, '기타(Z)'!G:G, B15, '기타(Z)'!W:W, B21, '기타(Z)'!U:U, $D$1)
)</f>
        <v/>
      </c>
      <c r="J21" s="391" t="s">
        <v>2140</v>
      </c>
      <c r="K21" s="374" t="str">
        <f t="shared" si="7"/>
        <v/>
      </c>
      <c r="L21" s="368" t="str">
        <f t="shared" si="8"/>
        <v/>
      </c>
      <c r="M21" s="386" t="str">
        <f>IF(
  SUM(
    SUMIFS('발전사업(A)'!$I:$I,'발전사업(A)'!$G:$G,M$2,'발전사업(A)'!$Q:$Q,$J21,'발전사업(A)'!$C:$C,$L$1),
    SUMIFS('자가소비(B)'!$I:$I,'자가소비(B)'!$G:$G,M$2,'자가소비(B)'!$Q:$Q,$J21,'자가소비(B)'!$C:$C,$L$1),
    SUMIFS('PPA 사업(C)'!$I:$I,'PPA 사업(C)'!$G:$G,M$2,'PPA 사업(C)'!$Q:$Q,$J21,'PPA 사업(C)'!$C:$C,$L$1),
    SUMIFS('리스사업(D)'!$I:$I,'리스사업(D)'!$G:$G,M$2,'리스사업(D)'!$Q:$Q,$J21,'리스사업(D)'!$C:$C,$L$1),
    SUMIFS('임대사업(E)'!$I:$I,'임대사업(E)'!$G:$G,M$2,'임대사업(E)'!$Q:$Q,$J21,'임대사업(E)'!$C:$C,$L$1),
    SUMIFS('환경부사업(F)'!$I:$I,'환경부사업(F)'!$G:$G,M$2,'환경부사업(F)'!$Q:$Q,$J21,'환경부사업(F)'!$C:$C,$L$1),
    SUMIFS('프로젝트(G)'!$I:$I,'프로젝트(G)'!$G:$G,M$2,'프로젝트(G)'!$Q:$Q,$J21,'프로젝트(G)'!$C:$C,$L$1),
    SUMIFS('협력사 EPC(H)'!$I:$I,'협력사 EPC(H)'!$G:$G,M$2,'협력사 EPC(H)'!$Q:$Q,$J21,'협력사 EPC(H)'!$C:$C,$L$1),
    SUMIFS('기타(Z)'!$I:$I,'기타(Z)'!$G:$G,M$2,'기타(Z)'!$Q:$Q,$J21,'기타(Z)'!$C:$C,$L$1)
  )=0,
  "",
  SUM(
    SUMIFS('발전사업(A)'!$I:$I,'발전사업(A)'!$G:$G,M$2,'발전사업(A)'!$Q:$Q,$J21,'발전사업(A)'!$C:$C,$L$1),
    SUMIFS('자가소비(B)'!$I:$I,'자가소비(B)'!$G:$G,M$2,'자가소비(B)'!$Q:$Q,$J21,'자가소비(B)'!$C:$C,$L$1),
    SUMIFS('PPA 사업(C)'!$I:$I,'PPA 사업(C)'!$G:$G,M$2,'PPA 사업(C)'!$Q:$Q,$J21,'PPA 사업(C)'!$C:$C,$L$1),
    SUMIFS('리스사업(D)'!$I:$I,'리스사업(D)'!$G:$G,M$2,'리스사업(D)'!$Q:$Q,$J21,'리스사업(D)'!$C:$C,$L$1),
    SUMIFS('임대사업(E)'!$I:$I,'임대사업(E)'!$G:$G,M$2,'임대사업(E)'!$Q:$Q,$J21,'임대사업(E)'!$C:$C,$L$1),
    SUMIFS('환경부사업(F)'!$I:$I,'환경부사업(F)'!$G:$G,M$2,'환경부사업(F)'!$Q:$Q,$J21,'환경부사업(F)'!$C:$C,$L$1),
    SUMIFS('프로젝트(G)'!$I:$I,'프로젝트(G)'!$G:$G,M$2,'프로젝트(G)'!$Q:$Q,$J21,'프로젝트(G)'!$C:$C,$L$1),
    SUMIFS('협력사 EPC(H)'!$I:$I,'협력사 EPC(H)'!$G:$G,M$2,'협력사 EPC(H)'!$Q:$Q,$J21,'협력사 EPC(H)'!$C:$C,$L$1),
    SUMIFS('기타(Z)'!$I:$I,'기타(Z)'!$G:$G,M$2,'기타(Z)'!$Q:$Q,$J21,'기타(Z)'!$C:$C,$L$1)
  )
)</f>
        <v/>
      </c>
      <c r="N21" s="387" t="str">
        <f>IF(
  SUM(
    COUNTIFS('발전사업(A)'!$G:$G, M$2, '발전사업(A)'!$Q:$Q, $J21, '발전사업(A)'!$C:$C, $L$1),
    COUNTIFS('자가소비(B)'!$G:$G, M$2, '자가소비(B)'!$Q:$Q, $J21, '자가소비(B)'!$C:$C, $L$1),
    COUNTIFS('PPA 사업(C)'!$G:$G, M$2, 'PPA 사업(C)'!$Q:$Q, $J21, 'PPA 사업(C)'!$C:$C, $L$1),
    COUNTIFS('리스사업(D)'!$G:$G, M$2, '리스사업(D)'!$Q:$Q, $J21, '리스사업(D)'!$C:$C, $L$1),
    COUNTIFS('임대사업(E)'!$G:$G, M$2, '임대사업(E)'!$Q:$Q, $J21, '임대사업(E)'!$C:$C, $L$1),
    COUNTIFS('환경부사업(F)'!$G:$G, M$2, '환경부사업(F)'!$Q:$Q, $J21, '환경부사업(F)'!$C:$C, $L$1),
    COUNTIFS('프로젝트(G)'!$G:$G, M$2, '프로젝트(G)'!$Q:$Q, $J21, '프로젝트(G)'!$C:$C, $L$1),
    COUNTIFS('협력사 EPC(H)'!$G:$G, M$2, '협력사 EPC(H)'!$Q:$Q, $J21, '협력사 EPC(H)'!$C:$C, $L$1),
    COUNTIFS('기타(Z)'!$G:$G, M$2, '기타(Z)'!$Q:$Q, $J21, '기타(Z)'!$C:$C, $L$1)
  ) = 0,
  "",
  COUNTIFS('발전사업(A)'!$G:$G, M$2, '발전사업(A)'!$Q:$Q, $J21, '발전사업(A)'!$C:$C, $L$1)
  + COUNTIFS('자가소비(B)'!$G:$G, M$2, '자가소비(B)'!$Q:$Q, $J21, '자가소비(B)'!$C:$C, $L$1)
  + COUNTIFS('PPA 사업(C)'!$G:$G, M$2, 'PPA 사업(C)'!$Q:$Q, $J21, 'PPA 사업(C)'!$C:$C, $L$1)
  + COUNTIFS('리스사업(D)'!$G:$G, M$2, '리스사업(D)'!$Q:$Q, $J21, '리스사업(D)'!$C:$C, $L$1)
  + COUNTIFS('임대사업(E)'!$G:$G, M$2, '임대사업(E)'!$Q:$Q, $J21, '임대사업(E)'!$C:$C, $L$1)
  + COUNTIFS('환경부사업(F)'!$G:$G, M$2, '환경부사업(F)'!$Q:$Q, $J21, '환경부사업(F)'!$C:$C, $L$1)
  + COUNTIFS('프로젝트(G)'!$G:$G, M$2, '프로젝트(G)'!$Q:$Q, $J21, '프로젝트(G)'!$C:$C, $L$1)
  + COUNTIFS('협력사 EPC(H)'!$G:$G, M$2, '협력사 EPC(H)'!$Q:$Q, $J21, '협력사 EPC(H)'!$C:$C, $L$1)
  + COUNTIFS('기타(Z)'!$G:$G, M$2, '기타(Z)'!$Q:$Q, $J21, '기타(Z)'!$C:$C, $L$1)
)</f>
        <v/>
      </c>
      <c r="O21" s="386" t="str">
        <f>IF(
  SUM(
    SUMIFS('발전사업(A)'!$I:$I,'발전사업(A)'!$G:$G,O$2,'발전사업(A)'!$Q:$Q,$J21,'발전사업(A)'!$C:$C,$L$1),
    SUMIFS('자가소비(B)'!$I:$I,'자가소비(B)'!$G:$G,O$2,'자가소비(B)'!$Q:$Q,$J21,'자가소비(B)'!$C:$C,$L$1),
    SUMIFS('PPA 사업(C)'!$I:$I,'PPA 사업(C)'!$G:$G,O$2,'PPA 사업(C)'!$Q:$Q,$J21,'PPA 사업(C)'!$C:$C,$L$1),
    SUMIFS('리스사업(D)'!$I:$I,'리스사업(D)'!$G:$G,O$2,'리스사업(D)'!$Q:$Q,$J21,'리스사업(D)'!$C:$C,$L$1),
    SUMIFS('임대사업(E)'!$I:$I,'임대사업(E)'!$G:$G,O$2,'임대사업(E)'!$Q:$Q,$J21,'임대사업(E)'!$C:$C,$L$1),
    SUMIFS('환경부사업(F)'!$I:$I,'환경부사업(F)'!$G:$G,O$2,'환경부사업(F)'!$Q:$Q,$J21,'환경부사업(F)'!$C:$C,$L$1),
    SUMIFS('프로젝트(G)'!$I:$I,'프로젝트(G)'!$G:$G,O$2,'프로젝트(G)'!$Q:$Q,$J21,'프로젝트(G)'!$C:$C,$L$1),
    SUMIFS('협력사 EPC(H)'!$I:$I,'협력사 EPC(H)'!$G:$G,O$2,'협력사 EPC(H)'!$Q:$Q,$J21,'협력사 EPC(H)'!$C:$C,$L$1),
    SUMIFS('기타(Z)'!$I:$I,'기타(Z)'!$G:$G,O$2,'기타(Z)'!$Q:$Q,$J21,'기타(Z)'!$C:$C,$L$1)
  )=0,
  "",
  SUM(
    SUMIFS('발전사업(A)'!$I:$I,'발전사업(A)'!$G:$G,O$2,'발전사업(A)'!$Q:$Q,$J21,'발전사업(A)'!$C:$C,$L$1),
    SUMIFS('자가소비(B)'!$I:$I,'자가소비(B)'!$G:$G,O$2,'자가소비(B)'!$Q:$Q,$J21,'자가소비(B)'!$C:$C,$L$1),
    SUMIFS('PPA 사업(C)'!$I:$I,'PPA 사업(C)'!$G:$G,O$2,'PPA 사업(C)'!$Q:$Q,$J21,'PPA 사업(C)'!$C:$C,$L$1),
    SUMIFS('리스사업(D)'!$I:$I,'리스사업(D)'!$G:$G,O$2,'리스사업(D)'!$Q:$Q,$J21,'리스사업(D)'!$C:$C,$L$1),
    SUMIFS('임대사업(E)'!$I:$I,'임대사업(E)'!$G:$G,O$2,'임대사업(E)'!$Q:$Q,$J21,'임대사업(E)'!$C:$C,$L$1),
    SUMIFS('환경부사업(F)'!$I:$I,'환경부사업(F)'!$G:$G,O$2,'환경부사업(F)'!$Q:$Q,$J21,'환경부사업(F)'!$C:$C,$L$1),
    SUMIFS('프로젝트(G)'!$I:$I,'프로젝트(G)'!$G:$G,O$2,'프로젝트(G)'!$Q:$Q,$J21,'프로젝트(G)'!$C:$C,$L$1),
    SUMIFS('협력사 EPC(H)'!$I:$I,'협력사 EPC(H)'!$G:$G,O$2,'협력사 EPC(H)'!$Q:$Q,$J21,'협력사 EPC(H)'!$C:$C,$L$1),
    SUMIFS('기타(Z)'!$I:$I,'기타(Z)'!$G:$G,O$2,'기타(Z)'!$Q:$Q,$J21,'기타(Z)'!$C:$C,$L$1)
  )
)</f>
        <v/>
      </c>
      <c r="P21" s="387" t="str">
        <f>IF(
  SUM(
    COUNTIFS('발전사업(A)'!$G:$G, O$2, '발전사업(A)'!$Q:$Q, $J21, '발전사업(A)'!$C:$C, $L$1),
    COUNTIFS('자가소비(B)'!$G:$G, O$2, '자가소비(B)'!$Q:$Q, $J21, '자가소비(B)'!$C:$C, $L$1),
    COUNTIFS('PPA 사업(C)'!$G:$G, O$2, 'PPA 사업(C)'!$Q:$Q, $J21, 'PPA 사업(C)'!$C:$C, $L$1),
    COUNTIFS('리스사업(D)'!$G:$G, O$2, '리스사업(D)'!$Q:$Q, $J21, '리스사업(D)'!$C:$C, $L$1),
    COUNTIFS('임대사업(E)'!$G:$G, O$2, '임대사업(E)'!$Q:$Q, $J21, '임대사업(E)'!$C:$C, $L$1),
    COUNTIFS('환경부사업(F)'!$G:$G, O$2, '환경부사업(F)'!$Q:$Q, $J21, '환경부사업(F)'!$C:$C, $L$1),
    COUNTIFS('프로젝트(G)'!$G:$G, O$2, '프로젝트(G)'!$Q:$Q, $J21, '프로젝트(G)'!$C:$C, $L$1),
    COUNTIFS('협력사 EPC(H)'!$G:$G, O$2, '협력사 EPC(H)'!$Q:$Q, $J21, '협력사 EPC(H)'!$C:$C, $L$1),
    COUNTIFS('기타(Z)'!$G:$G, O$2, '기타(Z)'!$Q:$Q, $J21, '기타(Z)'!$C:$C, $L$1)
  ) = 0,
  "",
  COUNTIFS('발전사업(A)'!$G:$G, O$2, '발전사업(A)'!$Q:$Q, $J21, '발전사업(A)'!$C:$C, $L$1)
  + COUNTIFS('자가소비(B)'!$G:$G, O$2, '자가소비(B)'!$Q:$Q, $J21, '자가소비(B)'!$C:$C, $L$1)
  + COUNTIFS('PPA 사업(C)'!$G:$G, O$2, 'PPA 사업(C)'!$Q:$Q, $J21, 'PPA 사업(C)'!$C:$C, $L$1)
  + COUNTIFS('리스사업(D)'!$G:$G, O$2, '리스사업(D)'!$Q:$Q, $J21, '리스사업(D)'!$C:$C, $L$1)
  + COUNTIFS('임대사업(E)'!$G:$G, O$2, '임대사업(E)'!$Q:$Q, $J21, '임대사업(E)'!$C:$C, $L$1)
  + COUNTIFS('환경부사업(F)'!$G:$G, O$2, '환경부사업(F)'!$Q:$Q, $J21, '환경부사업(F)'!$C:$C, $L$1)
  + COUNTIFS('프로젝트(G)'!$G:$G, O$2, '프로젝트(G)'!$Q:$Q, $J21, '프로젝트(G)'!$C:$C, $L$1)
  + COUNTIFS('협력사 EPC(H)'!$G:$G, O$2, '협력사 EPC(H)'!$Q:$Q, $J21, '협력사 EPC(H)'!$C:$C, $L$1)
  + COUNTIFS('기타(Z)'!$G:$G, O$2, '기타(Z)'!$Q:$Q, $J21, '기타(Z)'!$C:$C, $L$1)
)</f>
        <v/>
      </c>
      <c r="Q21" s="386" t="str">
        <f>IF(
  SUM(
    SUMIFS('발전사업(A)'!$I:$I,'발전사업(A)'!$G:$G,Q$2,'발전사업(A)'!$Q:$Q,$J21,'발전사업(A)'!$C:$C,$L$1),
    SUMIFS('자가소비(B)'!$I:$I,'자가소비(B)'!$G:$G,Q$2,'자가소비(B)'!$Q:$Q,$J21,'자가소비(B)'!$C:$C,$L$1),
    SUMIFS('PPA 사업(C)'!$I:$I,'PPA 사업(C)'!$G:$G,Q$2,'PPA 사업(C)'!$Q:$Q,$J21,'PPA 사업(C)'!$C:$C,$L$1),
    SUMIFS('리스사업(D)'!$I:$I,'리스사업(D)'!$G:$G,Q$2,'리스사업(D)'!$Q:$Q,$J21,'리스사업(D)'!$C:$C,$L$1),
    SUMIFS('임대사업(E)'!$I:$I,'임대사업(E)'!$G:$G,Q$2,'임대사업(E)'!$Q:$Q,$J21,'임대사업(E)'!$C:$C,$L$1),
    SUMIFS('환경부사업(F)'!$I:$I,'환경부사업(F)'!$G:$G,Q$2,'환경부사업(F)'!$Q:$Q,$J21,'환경부사업(F)'!$C:$C,$L$1),
    SUMIFS('프로젝트(G)'!$I:$I,'프로젝트(G)'!$G:$G,Q$2,'프로젝트(G)'!$Q:$Q,$J21,'프로젝트(G)'!$C:$C,$L$1),
    SUMIFS('협력사 EPC(H)'!$I:$I,'협력사 EPC(H)'!$G:$G,Q$2,'협력사 EPC(H)'!$Q:$Q,$J21,'협력사 EPC(H)'!$C:$C,$L$1),
    SUMIFS('기타(Z)'!$I:$I,'기타(Z)'!$G:$G,Q$2,'기타(Z)'!$Q:$Q,$J21,'기타(Z)'!$C:$C,$L$1)
  )=0,
  "",
  SUM(
    SUMIFS('발전사업(A)'!$I:$I,'발전사업(A)'!$G:$G,Q$2,'발전사업(A)'!$Q:$Q,$J21,'발전사업(A)'!$C:$C,$L$1),
    SUMIFS('자가소비(B)'!$I:$I,'자가소비(B)'!$G:$G,Q$2,'자가소비(B)'!$Q:$Q,$J21,'자가소비(B)'!$C:$C,$L$1),
    SUMIFS('PPA 사업(C)'!$I:$I,'PPA 사업(C)'!$G:$G,Q$2,'PPA 사업(C)'!$Q:$Q,$J21,'PPA 사업(C)'!$C:$C,$L$1),
    SUMIFS('리스사업(D)'!$I:$I,'리스사업(D)'!$G:$G,Q$2,'리스사업(D)'!$Q:$Q,$J21,'리스사업(D)'!$C:$C,$L$1),
    SUMIFS('임대사업(E)'!$I:$I,'임대사업(E)'!$G:$G,Q$2,'임대사업(E)'!$Q:$Q,$J21,'임대사업(E)'!$C:$C,$L$1),
    SUMIFS('환경부사업(F)'!$I:$I,'환경부사업(F)'!$G:$G,Q$2,'환경부사업(F)'!$Q:$Q,$J21,'환경부사업(F)'!$C:$C,$L$1),
    SUMIFS('프로젝트(G)'!$I:$I,'프로젝트(G)'!$G:$G,Q$2,'프로젝트(G)'!$Q:$Q,$J21,'프로젝트(G)'!$C:$C,$L$1),
    SUMIFS('협력사 EPC(H)'!$I:$I,'협력사 EPC(H)'!$G:$G,Q$2,'협력사 EPC(H)'!$Q:$Q,$J21,'협력사 EPC(H)'!$C:$C,$L$1),
    SUMIFS('기타(Z)'!$I:$I,'기타(Z)'!$G:$G,Q$2,'기타(Z)'!$Q:$Q,$J21,'기타(Z)'!$C:$C,$L$1)
  )
)</f>
        <v/>
      </c>
      <c r="R21" s="387" t="str">
        <f>IF(
  SUM(
    COUNTIFS('발전사업(A)'!$G:$G, Q$2, '발전사업(A)'!$Q:$Q, $J21, '발전사업(A)'!$C:$C, $L$1),
    COUNTIFS('자가소비(B)'!$G:$G, Q$2, '자가소비(B)'!$Q:$Q, $J21, '자가소비(B)'!$C:$C, $L$1),
    COUNTIFS('PPA 사업(C)'!$G:$G, Q$2, 'PPA 사업(C)'!$Q:$Q, $J21, 'PPA 사업(C)'!$C:$C, $L$1),
    COUNTIFS('리스사업(D)'!$G:$G, Q$2, '리스사업(D)'!$Q:$Q, $J21, '리스사업(D)'!$C:$C, $L$1),
    COUNTIFS('임대사업(E)'!$G:$G, Q$2, '임대사업(E)'!$Q:$Q, $J21, '임대사업(E)'!$C:$C, $L$1),
    COUNTIFS('환경부사업(F)'!$G:$G, Q$2, '환경부사업(F)'!$Q:$Q, $J21, '환경부사업(F)'!$C:$C, $L$1),
    COUNTIFS('프로젝트(G)'!$G:$G, Q$2, '프로젝트(G)'!$Q:$Q, $J21, '프로젝트(G)'!$C:$C, $L$1),
    COUNTIFS('협력사 EPC(H)'!$G:$G, Q$2, '협력사 EPC(H)'!$Q:$Q, $J21, '협력사 EPC(H)'!$C:$C, $L$1),
    COUNTIFS('기타(Z)'!$G:$G, Q$2, '기타(Z)'!$Q:$Q, $J21, '기타(Z)'!$C:$C, $L$1)
  ) = 0,
  "",
  COUNTIFS('발전사업(A)'!$G:$G, Q$2, '발전사업(A)'!$Q:$Q, $J21, '발전사업(A)'!$C:$C, $L$1)
  + COUNTIFS('자가소비(B)'!$G:$G, Q$2, '자가소비(B)'!$Q:$Q, $J21, '자가소비(B)'!$C:$C, $L$1)
  + COUNTIFS('PPA 사업(C)'!$G:$G, Q$2, 'PPA 사업(C)'!$Q:$Q, $J21, 'PPA 사업(C)'!$C:$C, $L$1)
  + COUNTIFS('리스사업(D)'!$G:$G, Q$2, '리스사업(D)'!$Q:$Q, $J21, '리스사업(D)'!$C:$C, $L$1)
  + COUNTIFS('임대사업(E)'!$G:$G, Q$2, '임대사업(E)'!$Q:$Q, $J21, '임대사업(E)'!$C:$C, $L$1)
  + COUNTIFS('환경부사업(F)'!$G:$G, Q$2, '환경부사업(F)'!$Q:$Q, $J21, '환경부사업(F)'!$C:$C, $L$1)
  + COUNTIFS('프로젝트(G)'!$G:$G, Q$2, '프로젝트(G)'!$Q:$Q, $J21, '프로젝트(G)'!$C:$C, $L$1)
  + COUNTIFS('협력사 EPC(H)'!$G:$G, Q$2, '협력사 EPC(H)'!$Q:$Q, $J21, '협력사 EPC(H)'!$C:$C, $L$1)
  + COUNTIFS('기타(Z)'!$G:$G, Q$2, '기타(Z)'!$Q:$Q, $J21, '기타(Z)'!$C:$C, $L$1)
)</f>
        <v/>
      </c>
      <c r="S21" s="386" t="str">
        <f>IF(
  SUM(
    SUMIFS('발전사업(A)'!$I:$I,'발전사업(A)'!$G:$G,S$2,'발전사업(A)'!$Q:$Q,$J21,'발전사업(A)'!$C:$C,$L$1),
    SUMIFS('자가소비(B)'!$I:$I,'자가소비(B)'!$G:$G,S$2,'자가소비(B)'!$Q:$Q,$J21,'자가소비(B)'!$C:$C,$L$1),
    SUMIFS('PPA 사업(C)'!$I:$I,'PPA 사업(C)'!$G:$G,S$2,'PPA 사업(C)'!$Q:$Q,$J21,'PPA 사업(C)'!$C:$C,$L$1),
    SUMIFS('리스사업(D)'!$I:$I,'리스사업(D)'!$G:$G,S$2,'리스사업(D)'!$Q:$Q,$J21,'리스사업(D)'!$C:$C,$L$1),
    SUMIFS('임대사업(E)'!$I:$I,'임대사업(E)'!$G:$G,S$2,'임대사업(E)'!$Q:$Q,$J21,'임대사업(E)'!$C:$C,$L$1),
    SUMIFS('환경부사업(F)'!$I:$I,'환경부사업(F)'!$G:$G,S$2,'환경부사업(F)'!$Q:$Q,$J21,'환경부사업(F)'!$C:$C,$L$1),
    SUMIFS('프로젝트(G)'!$I:$I,'프로젝트(G)'!$G:$G,S$2,'프로젝트(G)'!$Q:$Q,$J21,'프로젝트(G)'!$C:$C,$L$1),
    SUMIFS('협력사 EPC(H)'!$I:$I,'협력사 EPC(H)'!$G:$G,S$2,'협력사 EPC(H)'!$Q:$Q,$J21,'협력사 EPC(H)'!$C:$C,$L$1),
    SUMIFS('기타(Z)'!$I:$I,'기타(Z)'!$G:$G,S$2,'기타(Z)'!$Q:$Q,$J21,'기타(Z)'!$C:$C,$L$1)
  )=0,
  "",
  SUM(
    SUMIFS('발전사업(A)'!$I:$I,'발전사업(A)'!$G:$G,S$2,'발전사업(A)'!$Q:$Q,$J21,'발전사업(A)'!$C:$C,$L$1),
    SUMIFS('자가소비(B)'!$I:$I,'자가소비(B)'!$G:$G,S$2,'자가소비(B)'!$Q:$Q,$J21,'자가소비(B)'!$C:$C,$L$1),
    SUMIFS('PPA 사업(C)'!$I:$I,'PPA 사업(C)'!$G:$G,S$2,'PPA 사업(C)'!$Q:$Q,$J21,'PPA 사업(C)'!$C:$C,$L$1),
    SUMIFS('리스사업(D)'!$I:$I,'리스사업(D)'!$G:$G,S$2,'리스사업(D)'!$Q:$Q,$J21,'리스사업(D)'!$C:$C,$L$1),
    SUMIFS('임대사업(E)'!$I:$I,'임대사업(E)'!$G:$G,S$2,'임대사업(E)'!$Q:$Q,$J21,'임대사업(E)'!$C:$C,$L$1),
    SUMIFS('환경부사업(F)'!$I:$I,'환경부사업(F)'!$G:$G,S$2,'환경부사업(F)'!$Q:$Q,$J21,'환경부사업(F)'!$C:$C,$L$1),
    SUMIFS('프로젝트(G)'!$I:$I,'프로젝트(G)'!$G:$G,S$2,'프로젝트(G)'!$Q:$Q,$J21,'프로젝트(G)'!$C:$C,$L$1),
    SUMIFS('협력사 EPC(H)'!$I:$I,'협력사 EPC(H)'!$G:$G,S$2,'협력사 EPC(H)'!$Q:$Q,$J21,'협력사 EPC(H)'!$C:$C,$L$1),
    SUMIFS('기타(Z)'!$I:$I,'기타(Z)'!$G:$G,S$2,'기타(Z)'!$Q:$Q,$J21,'기타(Z)'!$C:$C,$L$1)
  )
)</f>
        <v/>
      </c>
      <c r="T21" s="387" t="str">
        <f>IF(
  SUM(
    COUNTIFS('발전사업(A)'!$G:$G, S$2, '발전사업(A)'!$Q:$Q, $J21, '발전사업(A)'!$C:$C, $L$1),
    COUNTIFS('자가소비(B)'!$G:$G, S$2, '자가소비(B)'!$Q:$Q, $J21, '자가소비(B)'!$C:$C, $L$1),
    COUNTIFS('PPA 사업(C)'!$G:$G, S$2, 'PPA 사업(C)'!$Q:$Q, $J21, 'PPA 사업(C)'!$C:$C, $L$1),
    COUNTIFS('리스사업(D)'!$G:$G, S$2, '리스사업(D)'!$Q:$Q, $J21, '리스사업(D)'!$C:$C, $L$1),
    COUNTIFS('임대사업(E)'!$G:$G, S$2, '임대사업(E)'!$Q:$Q, $J21, '임대사업(E)'!$C:$C, $L$1),
    COUNTIFS('환경부사업(F)'!$G:$G, S$2, '환경부사업(F)'!$Q:$Q, $J21, '환경부사업(F)'!$C:$C, $L$1),
    COUNTIFS('프로젝트(G)'!$G:$G, S$2, '프로젝트(G)'!$Q:$Q, $J21, '프로젝트(G)'!$C:$C, $L$1),
    COUNTIFS('협력사 EPC(H)'!$G:$G, S$2, '협력사 EPC(H)'!$Q:$Q, $J21, '협력사 EPC(H)'!$C:$C, $L$1),
    COUNTIFS('기타(Z)'!$G:$G, S$2, '기타(Z)'!$Q:$Q, $J21, '기타(Z)'!$C:$C, $L$1)
  ) = 0,
  "",
  COUNTIFS('발전사업(A)'!$G:$G, S$2, '발전사업(A)'!$Q:$Q, $J21, '발전사업(A)'!$C:$C, $L$1)
  + COUNTIFS('자가소비(B)'!$G:$G, S$2, '자가소비(B)'!$Q:$Q, $J21, '자가소비(B)'!$C:$C, $L$1)
  + COUNTIFS('PPA 사업(C)'!$G:$G, S$2, 'PPA 사업(C)'!$Q:$Q, $J21, 'PPA 사업(C)'!$C:$C, $L$1)
  + COUNTIFS('리스사업(D)'!$G:$G, S$2, '리스사업(D)'!$Q:$Q, $J21, '리스사업(D)'!$C:$C, $L$1)
  + COUNTIFS('임대사업(E)'!$G:$G, S$2, '임대사업(E)'!$Q:$Q, $J21, '임대사업(E)'!$C:$C, $L$1)
  + COUNTIFS('환경부사업(F)'!$G:$G, S$2, '환경부사업(F)'!$Q:$Q, $J21, '환경부사업(F)'!$C:$C, $L$1)
  + COUNTIFS('프로젝트(G)'!$G:$G, S$2, '프로젝트(G)'!$Q:$Q, $J21, '프로젝트(G)'!$C:$C, $L$1)
  + COUNTIFS('협력사 EPC(H)'!$G:$G, S$2, '협력사 EPC(H)'!$Q:$Q, $J21, '협력사 EPC(H)'!$C:$C, $L$1)
  + COUNTIFS('기타(Z)'!$G:$G, S$2, '기타(Z)'!$Q:$Q, $J21, '기타(Z)'!$C:$C, $L$1)
)</f>
        <v/>
      </c>
      <c r="U21" s="386" t="str">
        <f>IF(
  SUM(
    SUMIFS('발전사업(A)'!$I:$I,'발전사업(A)'!$G:$G,U$2,'발전사업(A)'!$Q:$Q,$J21,'발전사업(A)'!$C:$C,$L$1),
    SUMIFS('자가소비(B)'!$I:$I,'자가소비(B)'!$G:$G,U$2,'자가소비(B)'!$Q:$Q,$J21,'자가소비(B)'!$C:$C,$L$1),
    SUMIFS('PPA 사업(C)'!$I:$I,'PPA 사업(C)'!$G:$G,U$2,'PPA 사업(C)'!$Q:$Q,$J21,'PPA 사업(C)'!$C:$C,$L$1),
    SUMIFS('리스사업(D)'!$I:$I,'리스사업(D)'!$G:$G,U$2,'리스사업(D)'!$Q:$Q,$J21,'리스사업(D)'!$C:$C,$L$1),
    SUMIFS('임대사업(E)'!$I:$I,'임대사업(E)'!$G:$G,U$2,'임대사업(E)'!$Q:$Q,$J21,'임대사업(E)'!$C:$C,$L$1),
    SUMIFS('환경부사업(F)'!$I:$I,'환경부사업(F)'!$G:$G,U$2,'환경부사업(F)'!$Q:$Q,$J21,'환경부사업(F)'!$C:$C,$L$1),
    SUMIFS('프로젝트(G)'!$I:$I,'프로젝트(G)'!$G:$G,U$2,'프로젝트(G)'!$Q:$Q,$J21,'프로젝트(G)'!$C:$C,$L$1),
    SUMIFS('협력사 EPC(H)'!$I:$I,'협력사 EPC(H)'!$G:$G,U$2,'협력사 EPC(H)'!$Q:$Q,$J21,'협력사 EPC(H)'!$C:$C,$L$1),
    SUMIFS('기타(Z)'!$I:$I,'기타(Z)'!$G:$G,U$2,'기타(Z)'!$Q:$Q,$J21,'기타(Z)'!$C:$C,$L$1)
  )=0,
  "",
  SUM(
    SUMIFS('발전사업(A)'!$I:$I,'발전사업(A)'!$G:$G,U$2,'발전사업(A)'!$Q:$Q,$J21,'발전사업(A)'!$C:$C,$L$1),
    SUMIFS('자가소비(B)'!$I:$I,'자가소비(B)'!$G:$G,U$2,'자가소비(B)'!$Q:$Q,$J21,'자가소비(B)'!$C:$C,$L$1),
    SUMIFS('PPA 사업(C)'!$I:$I,'PPA 사업(C)'!$G:$G,U$2,'PPA 사업(C)'!$Q:$Q,$J21,'PPA 사업(C)'!$C:$C,$L$1),
    SUMIFS('리스사업(D)'!$I:$I,'리스사업(D)'!$G:$G,U$2,'리스사업(D)'!$Q:$Q,$J21,'리스사업(D)'!$C:$C,$L$1),
    SUMIFS('임대사업(E)'!$I:$I,'임대사업(E)'!$G:$G,U$2,'임대사업(E)'!$Q:$Q,$J21,'임대사업(E)'!$C:$C,$L$1),
    SUMIFS('환경부사업(F)'!$I:$I,'환경부사업(F)'!$G:$G,U$2,'환경부사업(F)'!$Q:$Q,$J21,'환경부사업(F)'!$C:$C,$L$1),
    SUMIFS('프로젝트(G)'!$I:$I,'프로젝트(G)'!$G:$G,U$2,'프로젝트(G)'!$Q:$Q,$J21,'프로젝트(G)'!$C:$C,$L$1),
    SUMIFS('협력사 EPC(H)'!$I:$I,'협력사 EPC(H)'!$G:$G,U$2,'협력사 EPC(H)'!$Q:$Q,$J21,'협력사 EPC(H)'!$C:$C,$L$1),
    SUMIFS('기타(Z)'!$I:$I,'기타(Z)'!$G:$G,U$2,'기타(Z)'!$Q:$Q,$J21,'기타(Z)'!$C:$C,$L$1)
  )
)</f>
        <v/>
      </c>
      <c r="V21" s="387" t="str">
        <f>IF(
  SUM(
    COUNTIFS('발전사업(A)'!$G:$G, U$2, '발전사업(A)'!$Q:$Q, $J21, '발전사업(A)'!$C:$C, $L$1),
    COUNTIFS('자가소비(B)'!$G:$G, U$2, '자가소비(B)'!$Q:$Q, $J21, '자가소비(B)'!$C:$C, $L$1),
    COUNTIFS('PPA 사업(C)'!$G:$G, U$2, 'PPA 사업(C)'!$Q:$Q, $J21, 'PPA 사업(C)'!$C:$C, $L$1),
    COUNTIFS('리스사업(D)'!$G:$G, U$2, '리스사업(D)'!$Q:$Q, $J21, '리스사업(D)'!$C:$C, $L$1),
    COUNTIFS('임대사업(E)'!$G:$G, U$2, '임대사업(E)'!$Q:$Q, $J21, '임대사업(E)'!$C:$C, $L$1),
    COUNTIFS('환경부사업(F)'!$G:$G, U$2, '환경부사업(F)'!$Q:$Q, $J21, '환경부사업(F)'!$C:$C, $L$1),
    COUNTIFS('프로젝트(G)'!$G:$G, U$2, '프로젝트(G)'!$Q:$Q, $J21, '프로젝트(G)'!$C:$C, $L$1),
    COUNTIFS('협력사 EPC(H)'!$G:$G, U$2, '협력사 EPC(H)'!$Q:$Q, $J21, '협력사 EPC(H)'!$C:$C, $L$1),
    COUNTIFS('기타(Z)'!$G:$G, U$2, '기타(Z)'!$Q:$Q, $J21, '기타(Z)'!$C:$C, $L$1)
  ) = 0,
  "",
  COUNTIFS('발전사업(A)'!$G:$G, U$2, '발전사업(A)'!$Q:$Q, $J21, '발전사업(A)'!$C:$C, $L$1)
  + COUNTIFS('자가소비(B)'!$G:$G, U$2, '자가소비(B)'!$Q:$Q, $J21, '자가소비(B)'!$C:$C, $L$1)
  + COUNTIFS('PPA 사업(C)'!$G:$G, U$2, 'PPA 사업(C)'!$Q:$Q, $J21, 'PPA 사업(C)'!$C:$C, $L$1)
  + COUNTIFS('리스사업(D)'!$G:$G, U$2, '리스사업(D)'!$Q:$Q, $J21, '리스사업(D)'!$C:$C, $L$1)
  + COUNTIFS('임대사업(E)'!$G:$G, U$2, '임대사업(E)'!$Q:$Q, $J21, '임대사업(E)'!$C:$C, $L$1)
  + COUNTIFS('환경부사업(F)'!$G:$G, U$2, '환경부사업(F)'!$Q:$Q, $J21, '환경부사업(F)'!$C:$C, $L$1)
  + COUNTIFS('프로젝트(G)'!$G:$G, U$2, '프로젝트(G)'!$Q:$Q, $J21, '프로젝트(G)'!$C:$C, $L$1)
  + COUNTIFS('협력사 EPC(H)'!$G:$G, U$2, '협력사 EPC(H)'!$Q:$Q, $J21, '협력사 EPC(H)'!$C:$C, $L$1)
  + COUNTIFS('기타(Z)'!$G:$G, U$2, '기타(Z)'!$Q:$Q, $J21, '기타(Z)'!$C:$C, $L$1)
)</f>
        <v/>
      </c>
      <c r="W21" s="386" t="str">
        <f>IF(
  SUM(
    SUMIFS('발전사업(A)'!$I:$I,'발전사업(A)'!$G:$G,W$2,'발전사업(A)'!$Q:$Q,$J21,'발전사업(A)'!$C:$C,$L$1),
    SUMIFS('자가소비(B)'!$I:$I,'자가소비(B)'!$G:$G,W$2,'자가소비(B)'!$Q:$Q,$J21,'자가소비(B)'!$C:$C,$L$1),
    SUMIFS('PPA 사업(C)'!$I:$I,'PPA 사업(C)'!$G:$G,W$2,'PPA 사업(C)'!$Q:$Q,$J21,'PPA 사업(C)'!$C:$C,$L$1),
    SUMIFS('리스사업(D)'!$I:$I,'리스사업(D)'!$G:$G,W$2,'리스사업(D)'!$Q:$Q,$J21,'리스사업(D)'!$C:$C,$L$1),
    SUMIFS('임대사업(E)'!$I:$I,'임대사업(E)'!$G:$G,W$2,'임대사업(E)'!$Q:$Q,$J21,'임대사업(E)'!$C:$C,$L$1),
    SUMIFS('환경부사업(F)'!$I:$I,'환경부사업(F)'!$G:$G,W$2,'환경부사업(F)'!$Q:$Q,$J21,'환경부사업(F)'!$C:$C,$L$1),
    SUMIFS('프로젝트(G)'!$I:$I,'프로젝트(G)'!$G:$G,W$2,'프로젝트(G)'!$Q:$Q,$J21,'프로젝트(G)'!$C:$C,$L$1),
    SUMIFS('협력사 EPC(H)'!$I:$I,'협력사 EPC(H)'!$G:$G,W$2,'협력사 EPC(H)'!$Q:$Q,$J21,'협력사 EPC(H)'!$C:$C,$L$1),
    SUMIFS('기타(Z)'!$I:$I,'기타(Z)'!$G:$G,W$2,'기타(Z)'!$Q:$Q,$J21,'기타(Z)'!$C:$C,$L$1)
  )=0,
  "",
  SUM(
    SUMIFS('발전사업(A)'!$I:$I,'발전사업(A)'!$G:$G,W$2,'발전사업(A)'!$Q:$Q,$J21,'발전사업(A)'!$C:$C,$L$1),
    SUMIFS('자가소비(B)'!$I:$I,'자가소비(B)'!$G:$G,W$2,'자가소비(B)'!$Q:$Q,$J21,'자가소비(B)'!$C:$C,$L$1),
    SUMIFS('PPA 사업(C)'!$I:$I,'PPA 사업(C)'!$G:$G,W$2,'PPA 사업(C)'!$Q:$Q,$J21,'PPA 사업(C)'!$C:$C,$L$1),
    SUMIFS('리스사업(D)'!$I:$I,'리스사업(D)'!$G:$G,W$2,'리스사업(D)'!$Q:$Q,$J21,'리스사업(D)'!$C:$C,$L$1),
    SUMIFS('임대사업(E)'!$I:$I,'임대사업(E)'!$G:$G,W$2,'임대사업(E)'!$Q:$Q,$J21,'임대사업(E)'!$C:$C,$L$1),
    SUMIFS('환경부사업(F)'!$I:$I,'환경부사업(F)'!$G:$G,W$2,'환경부사업(F)'!$Q:$Q,$J21,'환경부사업(F)'!$C:$C,$L$1),
    SUMIFS('프로젝트(G)'!$I:$I,'프로젝트(G)'!$G:$G,W$2,'프로젝트(G)'!$Q:$Q,$J21,'프로젝트(G)'!$C:$C,$L$1),
    SUMIFS('협력사 EPC(H)'!$I:$I,'협력사 EPC(H)'!$G:$G,W$2,'협력사 EPC(H)'!$Q:$Q,$J21,'협력사 EPC(H)'!$C:$C,$L$1),
    SUMIFS('기타(Z)'!$I:$I,'기타(Z)'!$G:$G,W$2,'기타(Z)'!$Q:$Q,$J21,'기타(Z)'!$C:$C,$L$1)
  )
)</f>
        <v/>
      </c>
      <c r="X21" s="387" t="str">
        <f>IF(
  SUM(
    COUNTIFS('발전사업(A)'!$G:$G, W$2, '발전사업(A)'!$Q:$Q, $J21, '발전사업(A)'!$C:$C, $L$1),
    COUNTIFS('자가소비(B)'!$G:$G, W$2, '자가소비(B)'!$Q:$Q, $J21, '자가소비(B)'!$C:$C, $L$1),
    COUNTIFS('PPA 사업(C)'!$G:$G, W$2, 'PPA 사업(C)'!$Q:$Q, $J21, 'PPA 사업(C)'!$C:$C, $L$1),
    COUNTIFS('리스사업(D)'!$G:$G, W$2, '리스사업(D)'!$Q:$Q, $J21, '리스사업(D)'!$C:$C, $L$1),
    COUNTIFS('임대사업(E)'!$G:$G, W$2, '임대사업(E)'!$Q:$Q, $J21, '임대사업(E)'!$C:$C, $L$1),
    COUNTIFS('환경부사업(F)'!$G:$G, W$2, '환경부사업(F)'!$Q:$Q, $J21, '환경부사업(F)'!$C:$C, $L$1),
    COUNTIFS('프로젝트(G)'!$G:$G, W$2, '프로젝트(G)'!$Q:$Q, $J21, '프로젝트(G)'!$C:$C, $L$1),
    COUNTIFS('협력사 EPC(H)'!$G:$G, W$2, '협력사 EPC(H)'!$Q:$Q, $J21, '협력사 EPC(H)'!$C:$C, $L$1),
    COUNTIFS('기타(Z)'!$G:$G, W$2, '기타(Z)'!$Q:$Q, $J21, '기타(Z)'!$C:$C, $L$1)
  ) = 0,
  "",
  COUNTIFS('발전사업(A)'!$G:$G, W$2, '발전사업(A)'!$Q:$Q, $J21, '발전사업(A)'!$C:$C, $L$1)
  + COUNTIFS('자가소비(B)'!$G:$G, W$2, '자가소비(B)'!$Q:$Q, $J21, '자가소비(B)'!$C:$C, $L$1)
  + COUNTIFS('PPA 사업(C)'!$G:$G, W$2, 'PPA 사업(C)'!$Q:$Q, $J21, 'PPA 사업(C)'!$C:$C, $L$1)
  + COUNTIFS('리스사업(D)'!$G:$G, W$2, '리스사업(D)'!$Q:$Q, $J21, '리스사업(D)'!$C:$C, $L$1)
  + COUNTIFS('임대사업(E)'!$G:$G, W$2, '임대사업(E)'!$Q:$Q, $J21, '임대사업(E)'!$C:$C, $L$1)
  + COUNTIFS('환경부사업(F)'!$G:$G, W$2, '환경부사업(F)'!$Q:$Q, $J21, '환경부사업(F)'!$C:$C, $L$1)
  + COUNTIFS('프로젝트(G)'!$G:$G, W$2, '프로젝트(G)'!$Q:$Q, $J21, '프로젝트(G)'!$C:$C, $L$1)
  + COUNTIFS('협력사 EPC(H)'!$G:$G, W$2, '협력사 EPC(H)'!$Q:$Q, $J21, '협력사 EPC(H)'!$C:$C, $L$1)
  + COUNTIFS('기타(Z)'!$G:$G, W$2, '기타(Z)'!$Q:$Q, $J21, '기타(Z)'!$C:$C, $L$1)
)</f>
        <v/>
      </c>
      <c r="Y21" s="386" t="str">
        <f>IF(
  SUM(
    SUMIFS('발전사업(A)'!$I:$I,'발전사업(A)'!$G:$G,Y$2,'발전사업(A)'!$Q:$Q,$J21,'발전사업(A)'!$C:$C,$L$1),
    SUMIFS('자가소비(B)'!$I:$I,'자가소비(B)'!$G:$G,Y$2,'자가소비(B)'!$Q:$Q,$J21,'자가소비(B)'!$C:$C,$L$1),
    SUMIFS('PPA 사업(C)'!$I:$I,'PPA 사업(C)'!$G:$G,Y$2,'PPA 사업(C)'!$Q:$Q,$J21,'PPA 사업(C)'!$C:$C,$L$1),
    SUMIFS('리스사업(D)'!$I:$I,'리스사업(D)'!$G:$G,Y$2,'리스사업(D)'!$Q:$Q,$J21,'리스사업(D)'!$C:$C,$L$1),
    SUMIFS('임대사업(E)'!$I:$I,'임대사업(E)'!$G:$G,Y$2,'임대사업(E)'!$Q:$Q,$J21,'임대사업(E)'!$C:$C,$L$1),
    SUMIFS('환경부사업(F)'!$I:$I,'환경부사업(F)'!$G:$G,Y$2,'환경부사업(F)'!$Q:$Q,$J21,'환경부사업(F)'!$C:$C,$L$1),
    SUMIFS('프로젝트(G)'!$I:$I,'프로젝트(G)'!$G:$G,Y$2,'프로젝트(G)'!$Q:$Q,$J21,'프로젝트(G)'!$C:$C,$L$1),
    SUMIFS('협력사 EPC(H)'!$I:$I,'협력사 EPC(H)'!$G:$G,Y$2,'협력사 EPC(H)'!$Q:$Q,$J21,'협력사 EPC(H)'!$C:$C,$L$1),
    SUMIFS('기타(Z)'!$I:$I,'기타(Z)'!$G:$G,Y$2,'기타(Z)'!$Q:$Q,$J21,'기타(Z)'!$C:$C,$L$1)
  )=0,
  "",
  SUM(
    SUMIFS('발전사업(A)'!$I:$I,'발전사업(A)'!$G:$G,Y$2,'발전사업(A)'!$Q:$Q,$J21,'발전사업(A)'!$C:$C,$L$1),
    SUMIFS('자가소비(B)'!$I:$I,'자가소비(B)'!$G:$G,Y$2,'자가소비(B)'!$Q:$Q,$J21,'자가소비(B)'!$C:$C,$L$1),
    SUMIFS('PPA 사업(C)'!$I:$I,'PPA 사업(C)'!$G:$G,Y$2,'PPA 사업(C)'!$Q:$Q,$J21,'PPA 사업(C)'!$C:$C,$L$1),
    SUMIFS('리스사업(D)'!$I:$I,'리스사업(D)'!$G:$G,Y$2,'리스사업(D)'!$Q:$Q,$J21,'리스사업(D)'!$C:$C,$L$1),
    SUMIFS('임대사업(E)'!$I:$I,'임대사업(E)'!$G:$G,Y$2,'임대사업(E)'!$Q:$Q,$J21,'임대사업(E)'!$C:$C,$L$1),
    SUMIFS('환경부사업(F)'!$I:$I,'환경부사업(F)'!$G:$G,Y$2,'환경부사업(F)'!$Q:$Q,$J21,'환경부사업(F)'!$C:$C,$L$1),
    SUMIFS('프로젝트(G)'!$I:$I,'프로젝트(G)'!$G:$G,Y$2,'프로젝트(G)'!$Q:$Q,$J21,'프로젝트(G)'!$C:$C,$L$1),
    SUMIFS('협력사 EPC(H)'!$I:$I,'협력사 EPC(H)'!$G:$G,Y$2,'협력사 EPC(H)'!$Q:$Q,$J21,'협력사 EPC(H)'!$C:$C,$L$1),
    SUMIFS('기타(Z)'!$I:$I,'기타(Z)'!$G:$G,Y$2,'기타(Z)'!$Q:$Q,$J21,'기타(Z)'!$C:$C,$L$1)
  )
)</f>
        <v/>
      </c>
      <c r="Z21" s="387" t="str">
        <f>IF(
  SUM(
    COUNTIFS('발전사업(A)'!$G:$G, Y$2, '발전사업(A)'!$Q:$Q, $J21, '발전사업(A)'!$C:$C, $L$1),
    COUNTIFS('자가소비(B)'!$G:$G, Y$2, '자가소비(B)'!$Q:$Q, $J21, '자가소비(B)'!$C:$C, $L$1),
    COUNTIFS('PPA 사업(C)'!$G:$G, Y$2, 'PPA 사업(C)'!$Q:$Q, $J21, 'PPA 사업(C)'!$C:$C, $L$1),
    COUNTIFS('리스사업(D)'!$G:$G, Y$2, '리스사업(D)'!$Q:$Q, $J21, '리스사업(D)'!$C:$C, $L$1),
    COUNTIFS('임대사업(E)'!$G:$G, Y$2, '임대사업(E)'!$Q:$Q, $J21, '임대사업(E)'!$C:$C, $L$1),
    COUNTIFS('환경부사업(F)'!$G:$G, Y$2, '환경부사업(F)'!$Q:$Q, $J21, '환경부사업(F)'!$C:$C, $L$1),
    COUNTIFS('프로젝트(G)'!$G:$G, Y$2, '프로젝트(G)'!$Q:$Q, $J21, '프로젝트(G)'!$C:$C, $L$1),
    COUNTIFS('협력사 EPC(H)'!$G:$G, Y$2, '협력사 EPC(H)'!$Q:$Q, $J21, '협력사 EPC(H)'!$C:$C, $L$1),
    COUNTIFS('기타(Z)'!$G:$G, Y$2, '기타(Z)'!$Q:$Q, $J21, '기타(Z)'!$C:$C, $L$1)
  ) = 0,
  "",
  COUNTIFS('발전사업(A)'!$G:$G, Y$2, '발전사업(A)'!$Q:$Q, $J21, '발전사업(A)'!$C:$C, $L$1)
  + COUNTIFS('자가소비(B)'!$G:$G, Y$2, '자가소비(B)'!$Q:$Q, $J21, '자가소비(B)'!$C:$C, $L$1)
  + COUNTIFS('PPA 사업(C)'!$G:$G, Y$2, 'PPA 사업(C)'!$Q:$Q, $J21, 'PPA 사업(C)'!$C:$C, $L$1)
  + COUNTIFS('리스사업(D)'!$G:$G, Y$2, '리스사업(D)'!$Q:$Q, $J21, '리스사업(D)'!$C:$C, $L$1)
  + COUNTIFS('임대사업(E)'!$G:$G, Y$2, '임대사업(E)'!$Q:$Q, $J21, '임대사업(E)'!$C:$C, $L$1)
  + COUNTIFS('환경부사업(F)'!$G:$G, Y$2, '환경부사업(F)'!$Q:$Q, $J21, '환경부사업(F)'!$C:$C, $L$1)
  + COUNTIFS('프로젝트(G)'!$G:$G, Y$2, '프로젝트(G)'!$Q:$Q, $J21, '프로젝트(G)'!$C:$C, $L$1)
  + COUNTIFS('협력사 EPC(H)'!$G:$G, Y$2, '협력사 EPC(H)'!$Q:$Q, $J21, '협력사 EPC(H)'!$C:$C, $L$1)
  + COUNTIFS('기타(Z)'!$G:$G, Y$2, '기타(Z)'!$Q:$Q, $J21, '기타(Z)'!$C:$C, $L$1)
)</f>
        <v/>
      </c>
      <c r="AA21" s="386" t="str">
        <f>IF(
  SUM(
    SUMIFS('발전사업(A)'!$I:$I,'발전사업(A)'!$G:$G,AA$2,'발전사업(A)'!$Q:$Q,$J21,'발전사업(A)'!$C:$C,$L$1),
    SUMIFS('자가소비(B)'!$I:$I,'자가소비(B)'!$G:$G,AA$2,'자가소비(B)'!$Q:$Q,$J21,'자가소비(B)'!$C:$C,$L$1),
    SUMIFS('PPA 사업(C)'!$I:$I,'PPA 사업(C)'!$G:$G,AA$2,'PPA 사업(C)'!$Q:$Q,$J21,'PPA 사업(C)'!$C:$C,$L$1),
    SUMIFS('리스사업(D)'!$I:$I,'리스사업(D)'!$G:$G,AA$2,'리스사업(D)'!$Q:$Q,$J21,'리스사업(D)'!$C:$C,$L$1),
    SUMIFS('임대사업(E)'!$I:$I,'임대사업(E)'!$G:$G,AA$2,'임대사업(E)'!$Q:$Q,$J21,'임대사업(E)'!$C:$C,$L$1),
    SUMIFS('환경부사업(F)'!$I:$I,'환경부사업(F)'!$G:$G,AA$2,'환경부사업(F)'!$Q:$Q,$J21,'환경부사업(F)'!$C:$C,$L$1),
    SUMIFS('프로젝트(G)'!$I:$I,'프로젝트(G)'!$G:$G,AA$2,'프로젝트(G)'!$Q:$Q,$J21,'프로젝트(G)'!$C:$C,$L$1),
    SUMIFS('협력사 EPC(H)'!$I:$I,'협력사 EPC(H)'!$G:$G,AA$2,'협력사 EPC(H)'!$Q:$Q,$J21,'협력사 EPC(H)'!$C:$C,$L$1),
    SUMIFS('기타(Z)'!$I:$I,'기타(Z)'!$G:$G,AA$2,'기타(Z)'!$Q:$Q,$J21,'기타(Z)'!$C:$C,$L$1)
  )=0,
  "",
  SUM(
    SUMIFS('발전사업(A)'!$I:$I,'발전사업(A)'!$G:$G,AA$2,'발전사업(A)'!$Q:$Q,$J21,'발전사업(A)'!$C:$C,$L$1),
    SUMIFS('자가소비(B)'!$I:$I,'자가소비(B)'!$G:$G,AA$2,'자가소비(B)'!$Q:$Q,$J21,'자가소비(B)'!$C:$C,$L$1),
    SUMIFS('PPA 사업(C)'!$I:$I,'PPA 사업(C)'!$G:$G,AA$2,'PPA 사업(C)'!$Q:$Q,$J21,'PPA 사업(C)'!$C:$C,$L$1),
    SUMIFS('리스사업(D)'!$I:$I,'리스사업(D)'!$G:$G,AA$2,'리스사업(D)'!$Q:$Q,$J21,'리스사업(D)'!$C:$C,$L$1),
    SUMIFS('임대사업(E)'!$I:$I,'임대사업(E)'!$G:$G,AA$2,'임대사업(E)'!$Q:$Q,$J21,'임대사업(E)'!$C:$C,$L$1),
    SUMIFS('환경부사업(F)'!$I:$I,'환경부사업(F)'!$G:$G,AA$2,'환경부사업(F)'!$Q:$Q,$J21,'환경부사업(F)'!$C:$C,$L$1),
    SUMIFS('프로젝트(G)'!$I:$I,'프로젝트(G)'!$G:$G,AA$2,'프로젝트(G)'!$Q:$Q,$J21,'프로젝트(G)'!$C:$C,$L$1),
    SUMIFS('협력사 EPC(H)'!$I:$I,'협력사 EPC(H)'!$G:$G,AA$2,'협력사 EPC(H)'!$Q:$Q,$J21,'협력사 EPC(H)'!$C:$C,$L$1),
    SUMIFS('기타(Z)'!$I:$I,'기타(Z)'!$G:$G,AA$2,'기타(Z)'!$Q:$Q,$J21,'기타(Z)'!$C:$C,$L$1)
  )
)</f>
        <v/>
      </c>
      <c r="AB21" s="387" t="str">
        <f>IF(
  SUM(
    COUNTIFS('발전사업(A)'!$G:$G, AA$2, '발전사업(A)'!$Q:$Q, $J21, '발전사업(A)'!$C:$C, $L$1),
    COUNTIFS('자가소비(B)'!$G:$G, AA$2, '자가소비(B)'!$Q:$Q, $J21, '자가소비(B)'!$C:$C, $L$1),
    COUNTIFS('PPA 사업(C)'!$G:$G, AA$2, 'PPA 사업(C)'!$Q:$Q, $J21, 'PPA 사업(C)'!$C:$C, $L$1),
    COUNTIFS('리스사업(D)'!$G:$G, AA$2, '리스사업(D)'!$Q:$Q, $J21, '리스사업(D)'!$C:$C, $L$1),
    COUNTIFS('임대사업(E)'!$G:$G, AA$2, '임대사업(E)'!$Q:$Q, $J21, '임대사업(E)'!$C:$C, $L$1),
    COUNTIFS('환경부사업(F)'!$G:$G, AA$2, '환경부사업(F)'!$Q:$Q, $J21, '환경부사업(F)'!$C:$C, $L$1),
    COUNTIFS('프로젝트(G)'!$G:$G, AA$2, '프로젝트(G)'!$Q:$Q, $J21, '프로젝트(G)'!$C:$C, $L$1),
    COUNTIFS('협력사 EPC(H)'!$G:$G, AA$2, '협력사 EPC(H)'!$Q:$Q, $J21, '협력사 EPC(H)'!$C:$C, $L$1),
    COUNTIFS('기타(Z)'!$G:$G, AA$2, '기타(Z)'!$Q:$Q, $J21, '기타(Z)'!$C:$C, $L$1)
  ) = 0,
  "",
  COUNTIFS('발전사업(A)'!$G:$G, AA$2, '발전사업(A)'!$Q:$Q, $J21, '발전사업(A)'!$C:$C, $L$1)
  + COUNTIFS('자가소비(B)'!$G:$G, AA$2, '자가소비(B)'!$Q:$Q, $J21, '자가소비(B)'!$C:$C, $L$1)
  + COUNTIFS('PPA 사업(C)'!$G:$G, AA$2, 'PPA 사업(C)'!$Q:$Q, $J21, 'PPA 사업(C)'!$C:$C, $L$1)
  + COUNTIFS('리스사업(D)'!$G:$G, AA$2, '리스사업(D)'!$Q:$Q, $J21, '리스사업(D)'!$C:$C, $L$1)
  + COUNTIFS('임대사업(E)'!$G:$G, AA$2, '임대사업(E)'!$Q:$Q, $J21, '임대사업(E)'!$C:$C, $L$1)
  + COUNTIFS('환경부사업(F)'!$G:$G, AA$2, '환경부사업(F)'!$Q:$Q, $J21, '환경부사업(F)'!$C:$C, $L$1)
  + COUNTIFS('프로젝트(G)'!$G:$G, AA$2, '프로젝트(G)'!$Q:$Q, $J21, '프로젝트(G)'!$C:$C, $L$1)
  + COUNTIFS('협력사 EPC(H)'!$G:$G, AA$2, '협력사 EPC(H)'!$Q:$Q, $J21, '협력사 EPC(H)'!$C:$C, $L$1)
  + COUNTIFS('기타(Z)'!$G:$G, AA$2, '기타(Z)'!$Q:$Q, $J21, '기타(Z)'!$C:$C, $L$1)
)</f>
        <v/>
      </c>
      <c r="AC21" s="386" t="str">
        <f>IF(
  SUM(
    SUMIFS('발전사업(A)'!$I:$I,'발전사업(A)'!$G:$G,AC$2,'발전사업(A)'!$Q:$Q,$J21,'발전사업(A)'!$C:$C,$L$1),
    SUMIFS('자가소비(B)'!$I:$I,'자가소비(B)'!$G:$G,AC$2,'자가소비(B)'!$Q:$Q,$J21,'자가소비(B)'!$C:$C,$L$1),
    SUMIFS('PPA 사업(C)'!$I:$I,'PPA 사업(C)'!$G:$G,AC$2,'PPA 사업(C)'!$Q:$Q,$J21,'PPA 사업(C)'!$C:$C,$L$1),
    SUMIFS('리스사업(D)'!$I:$I,'리스사업(D)'!$G:$G,AC$2,'리스사업(D)'!$Q:$Q,$J21,'리스사업(D)'!$C:$C,$L$1),
    SUMIFS('임대사업(E)'!$I:$I,'임대사업(E)'!$G:$G,AC$2,'임대사업(E)'!$Q:$Q,$J21,'임대사업(E)'!$C:$C,$L$1),
    SUMIFS('환경부사업(F)'!$I:$I,'환경부사업(F)'!$G:$G,AC$2,'환경부사업(F)'!$Q:$Q,$J21,'환경부사업(F)'!$C:$C,$L$1),
    SUMIFS('프로젝트(G)'!$I:$I,'프로젝트(G)'!$G:$G,AC$2,'프로젝트(G)'!$Q:$Q,$J21,'프로젝트(G)'!$C:$C,$L$1),
    SUMIFS('협력사 EPC(H)'!$I:$I,'협력사 EPC(H)'!$G:$G,AC$2,'협력사 EPC(H)'!$Q:$Q,$J21,'협력사 EPC(H)'!$C:$C,$L$1),
    SUMIFS('기타(Z)'!$I:$I,'기타(Z)'!$G:$G,AC$2,'기타(Z)'!$Q:$Q,$J21,'기타(Z)'!$C:$C,$L$1)
  )=0,
  "",
  SUM(
    SUMIFS('발전사업(A)'!$I:$I,'발전사업(A)'!$G:$G,AC$2,'발전사업(A)'!$Q:$Q,$J21,'발전사업(A)'!$C:$C,$L$1),
    SUMIFS('자가소비(B)'!$I:$I,'자가소비(B)'!$G:$G,AC$2,'자가소비(B)'!$Q:$Q,$J21,'자가소비(B)'!$C:$C,$L$1),
    SUMIFS('PPA 사업(C)'!$I:$I,'PPA 사업(C)'!$G:$G,AC$2,'PPA 사업(C)'!$Q:$Q,$J21,'PPA 사업(C)'!$C:$C,$L$1),
    SUMIFS('리스사업(D)'!$I:$I,'리스사업(D)'!$G:$G,AC$2,'리스사업(D)'!$Q:$Q,$J21,'리스사업(D)'!$C:$C,$L$1),
    SUMIFS('임대사업(E)'!$I:$I,'임대사업(E)'!$G:$G,AC$2,'임대사업(E)'!$Q:$Q,$J21,'임대사업(E)'!$C:$C,$L$1),
    SUMIFS('환경부사업(F)'!$I:$I,'환경부사업(F)'!$G:$G,AC$2,'환경부사업(F)'!$Q:$Q,$J21,'환경부사업(F)'!$C:$C,$L$1),
    SUMIFS('프로젝트(G)'!$I:$I,'프로젝트(G)'!$G:$G,AC$2,'프로젝트(G)'!$Q:$Q,$J21,'프로젝트(G)'!$C:$C,$L$1),
    SUMIFS('협력사 EPC(H)'!$I:$I,'협력사 EPC(H)'!$G:$G,AC$2,'협력사 EPC(H)'!$Q:$Q,$J21,'협력사 EPC(H)'!$C:$C,$L$1),
    SUMIFS('기타(Z)'!$I:$I,'기타(Z)'!$G:$G,AC$2,'기타(Z)'!$Q:$Q,$J21,'기타(Z)'!$C:$C,$L$1)
  )
)</f>
        <v/>
      </c>
      <c r="AD21" s="387" t="str">
        <f>IF(
  SUM(
    COUNTIFS('발전사업(A)'!$G:$G, AC$2, '발전사업(A)'!$Q:$Q, $J21, '발전사업(A)'!$C:$C, $L$1),
    COUNTIFS('자가소비(B)'!$G:$G, AC$2, '자가소비(B)'!$Q:$Q, $J21, '자가소비(B)'!$C:$C, $L$1),
    COUNTIFS('PPA 사업(C)'!$G:$G, AC$2, 'PPA 사업(C)'!$Q:$Q, $J21, 'PPA 사업(C)'!$C:$C, $L$1),
    COUNTIFS('리스사업(D)'!$G:$G, AC$2, '리스사업(D)'!$Q:$Q, $J21, '리스사업(D)'!$C:$C, $L$1),
    COUNTIFS('임대사업(E)'!$G:$G, AC$2, '임대사업(E)'!$Q:$Q, $J21, '임대사업(E)'!$C:$C, $L$1),
    COUNTIFS('환경부사업(F)'!$G:$G, AC$2, '환경부사업(F)'!$Q:$Q, $J21, '환경부사업(F)'!$C:$C, $L$1),
    COUNTIFS('프로젝트(G)'!$G:$G, AC$2, '프로젝트(G)'!$Q:$Q, $J21, '프로젝트(G)'!$C:$C, $L$1),
    COUNTIFS('협력사 EPC(H)'!$G:$G, AC$2, '협력사 EPC(H)'!$Q:$Q, $J21, '협력사 EPC(H)'!$C:$C, $L$1),
    COUNTIFS('기타(Z)'!$G:$G, AC$2, '기타(Z)'!$Q:$Q, $J21, '기타(Z)'!$C:$C, $L$1)
  ) = 0,
  "",
  COUNTIFS('발전사업(A)'!$G:$G, AC$2, '발전사업(A)'!$Q:$Q, $J21, '발전사업(A)'!$C:$C, $L$1)
  + COUNTIFS('자가소비(B)'!$G:$G, AC$2, '자가소비(B)'!$Q:$Q, $J21, '자가소비(B)'!$C:$C, $L$1)
  + COUNTIFS('PPA 사업(C)'!$G:$G, AC$2, 'PPA 사업(C)'!$Q:$Q, $J21, 'PPA 사업(C)'!$C:$C, $L$1)
  + COUNTIFS('리스사업(D)'!$G:$G, AC$2, '리스사업(D)'!$Q:$Q, $J21, '리스사업(D)'!$C:$C, $L$1)
  + COUNTIFS('임대사업(E)'!$G:$G, AC$2, '임대사업(E)'!$Q:$Q, $J21, '임대사업(E)'!$C:$C, $L$1)
  + COUNTIFS('환경부사업(F)'!$G:$G, AC$2, '환경부사업(F)'!$Q:$Q, $J21, '환경부사업(F)'!$C:$C, $L$1)
  + COUNTIFS('프로젝트(G)'!$G:$G, AC$2, '프로젝트(G)'!$Q:$Q, $J21, '프로젝트(G)'!$C:$C, $L$1)
  + COUNTIFS('협력사 EPC(H)'!$G:$G, AC$2, '협력사 EPC(H)'!$Q:$Q, $J21, '협력사 EPC(H)'!$C:$C, $L$1)
  + COUNTIFS('기타(Z)'!$G:$G, AC$2, '기타(Z)'!$Q:$Q, $J21, '기타(Z)'!$C:$C, $L$1)
)</f>
        <v/>
      </c>
      <c r="AE21" s="386" t="str">
        <f>IF(
  SUM(
    SUMIFS('발전사업(A)'!$I:$I,'발전사업(A)'!$G:$G,AE$2,'발전사업(A)'!$Q:$Q,$J21,'발전사업(A)'!$C:$C,$L$1),
    SUMIFS('자가소비(B)'!$I:$I,'자가소비(B)'!$G:$G,AE$2,'자가소비(B)'!$Q:$Q,$J21,'자가소비(B)'!$C:$C,$L$1),
    SUMIFS('PPA 사업(C)'!$I:$I,'PPA 사업(C)'!$G:$G,AE$2,'PPA 사업(C)'!$Q:$Q,$J21,'PPA 사업(C)'!$C:$C,$L$1),
    SUMIFS('리스사업(D)'!$I:$I,'리스사업(D)'!$G:$G,AE$2,'리스사업(D)'!$Q:$Q,$J21,'리스사업(D)'!$C:$C,$L$1),
    SUMIFS('임대사업(E)'!$I:$I,'임대사업(E)'!$G:$G,AE$2,'임대사업(E)'!$Q:$Q,$J21,'임대사업(E)'!$C:$C,$L$1),
    SUMIFS('환경부사업(F)'!$I:$I,'환경부사업(F)'!$G:$G,AE$2,'환경부사업(F)'!$Q:$Q,$J21,'환경부사업(F)'!$C:$C,$L$1),
    SUMIFS('프로젝트(G)'!$I:$I,'프로젝트(G)'!$G:$G,AE$2,'프로젝트(G)'!$Q:$Q,$J21,'프로젝트(G)'!$C:$C,$L$1),
    SUMIFS('협력사 EPC(H)'!$I:$I,'협력사 EPC(H)'!$G:$G,AE$2,'협력사 EPC(H)'!$Q:$Q,$J21,'협력사 EPC(H)'!$C:$C,$L$1),
    SUMIFS('기타(Z)'!$I:$I,'기타(Z)'!$G:$G,AE$2,'기타(Z)'!$Q:$Q,$J21,'기타(Z)'!$C:$C,$L$1)
  )=0,
  "",
  SUM(
    SUMIFS('발전사업(A)'!$I:$I,'발전사업(A)'!$G:$G,AE$2,'발전사업(A)'!$Q:$Q,$J21,'발전사업(A)'!$C:$C,$L$1),
    SUMIFS('자가소비(B)'!$I:$I,'자가소비(B)'!$G:$G,AE$2,'자가소비(B)'!$Q:$Q,$J21,'자가소비(B)'!$C:$C,$L$1),
    SUMIFS('PPA 사업(C)'!$I:$I,'PPA 사업(C)'!$G:$G,AE$2,'PPA 사업(C)'!$Q:$Q,$J21,'PPA 사업(C)'!$C:$C,$L$1),
    SUMIFS('리스사업(D)'!$I:$I,'리스사업(D)'!$G:$G,AE$2,'리스사업(D)'!$Q:$Q,$J21,'리스사업(D)'!$C:$C,$L$1),
    SUMIFS('임대사업(E)'!$I:$I,'임대사업(E)'!$G:$G,AE$2,'임대사업(E)'!$Q:$Q,$J21,'임대사업(E)'!$C:$C,$L$1),
    SUMIFS('환경부사업(F)'!$I:$I,'환경부사업(F)'!$G:$G,AE$2,'환경부사업(F)'!$Q:$Q,$J21,'환경부사업(F)'!$C:$C,$L$1),
    SUMIFS('프로젝트(G)'!$I:$I,'프로젝트(G)'!$G:$G,AE$2,'프로젝트(G)'!$Q:$Q,$J21,'프로젝트(G)'!$C:$C,$L$1),
    SUMIFS('협력사 EPC(H)'!$I:$I,'협력사 EPC(H)'!$G:$G,AE$2,'협력사 EPC(H)'!$Q:$Q,$J21,'협력사 EPC(H)'!$C:$C,$L$1),
    SUMIFS('기타(Z)'!$I:$I,'기타(Z)'!$G:$G,AE$2,'기타(Z)'!$Q:$Q,$J21,'기타(Z)'!$C:$C,$L$1)
  )
)</f>
        <v/>
      </c>
      <c r="AF21" s="387" t="str">
        <f>IF(
  SUM(
    COUNTIFS('발전사업(A)'!$G:$G, AE$2, '발전사업(A)'!$Q:$Q, $J21, '발전사업(A)'!$C:$C, $L$1),
    COUNTIFS('자가소비(B)'!$G:$G, AE$2, '자가소비(B)'!$Q:$Q, $J21, '자가소비(B)'!$C:$C, $L$1),
    COUNTIFS('PPA 사업(C)'!$G:$G, AE$2, 'PPA 사업(C)'!$Q:$Q, $J21, 'PPA 사업(C)'!$C:$C, $L$1),
    COUNTIFS('리스사업(D)'!$G:$G, AE$2, '리스사업(D)'!$Q:$Q, $J21, '리스사업(D)'!$C:$C, $L$1),
    COUNTIFS('임대사업(E)'!$G:$G, AE$2, '임대사업(E)'!$Q:$Q, $J21, '임대사업(E)'!$C:$C, $L$1),
    COUNTIFS('환경부사업(F)'!$G:$G, AE$2, '환경부사업(F)'!$Q:$Q, $J21, '환경부사업(F)'!$C:$C, $L$1),
    COUNTIFS('프로젝트(G)'!$G:$G, AE$2, '프로젝트(G)'!$Q:$Q, $J21, '프로젝트(G)'!$C:$C, $L$1),
    COUNTIFS('협력사 EPC(H)'!$G:$G, AE$2, '협력사 EPC(H)'!$Q:$Q, $J21, '협력사 EPC(H)'!$C:$C, $L$1),
    COUNTIFS('기타(Z)'!$G:$G, AE$2, '기타(Z)'!$Q:$Q, $J21, '기타(Z)'!$C:$C, $L$1)
  ) = 0,
  "",
  COUNTIFS('발전사업(A)'!$G:$G, AE$2, '발전사업(A)'!$Q:$Q, $J21, '발전사업(A)'!$C:$C, $L$1)
  + COUNTIFS('자가소비(B)'!$G:$G, AE$2, '자가소비(B)'!$Q:$Q, $J21, '자가소비(B)'!$C:$C, $L$1)
  + COUNTIFS('PPA 사업(C)'!$G:$G, AE$2, 'PPA 사업(C)'!$Q:$Q, $J21, 'PPA 사업(C)'!$C:$C, $L$1)
  + COUNTIFS('리스사업(D)'!$G:$G, AE$2, '리스사업(D)'!$Q:$Q, $J21, '리스사업(D)'!$C:$C, $L$1)
  + COUNTIFS('임대사업(E)'!$G:$G, AE$2, '임대사업(E)'!$Q:$Q, $J21, '임대사업(E)'!$C:$C, $L$1)
  + COUNTIFS('환경부사업(F)'!$G:$G, AE$2, '환경부사업(F)'!$Q:$Q, $J21, '환경부사업(F)'!$C:$C, $L$1)
  + COUNTIFS('프로젝트(G)'!$G:$G, AE$2, '프로젝트(G)'!$Q:$Q, $J21, '프로젝트(G)'!$C:$C, $L$1)
  + COUNTIFS('협력사 EPC(H)'!$G:$G, AE$2, '협력사 EPC(H)'!$Q:$Q, $J21, '협력사 EPC(H)'!$C:$C, $L$1)
  + COUNTIFS('기타(Z)'!$G:$G, AE$2, '기타(Z)'!$Q:$Q, $J21, '기타(Z)'!$C:$C, $L$1)
)</f>
        <v/>
      </c>
      <c r="AG21" s="386" t="str">
        <f>IF(
  SUM(
    SUMIFS('발전사업(A)'!$I:$I,'발전사업(A)'!$G:$G,AG$2,'발전사업(A)'!$Q:$Q,$J21,'발전사업(A)'!$C:$C,$L$1),
    SUMIFS('자가소비(B)'!$I:$I,'자가소비(B)'!$G:$G,AG$2,'자가소비(B)'!$Q:$Q,$J21,'자가소비(B)'!$C:$C,$L$1),
    SUMIFS('PPA 사업(C)'!$I:$I,'PPA 사업(C)'!$G:$G,AG$2,'PPA 사업(C)'!$Q:$Q,$J21,'PPA 사업(C)'!$C:$C,$L$1),
    SUMIFS('리스사업(D)'!$I:$I,'리스사업(D)'!$G:$G,AG$2,'리스사업(D)'!$Q:$Q,$J21,'리스사업(D)'!$C:$C,$L$1),
    SUMIFS('임대사업(E)'!$I:$I,'임대사업(E)'!$G:$G,AG$2,'임대사업(E)'!$Q:$Q,$J21,'임대사업(E)'!$C:$C,$L$1),
    SUMIFS('환경부사업(F)'!$I:$I,'환경부사업(F)'!$G:$G,AG$2,'환경부사업(F)'!$Q:$Q,$J21,'환경부사업(F)'!$C:$C,$L$1),
    SUMIFS('프로젝트(G)'!$I:$I,'프로젝트(G)'!$G:$G,AG$2,'프로젝트(G)'!$Q:$Q,$J21,'프로젝트(G)'!$C:$C,$L$1),
    SUMIFS('협력사 EPC(H)'!$I:$I,'협력사 EPC(H)'!$G:$G,AG$2,'협력사 EPC(H)'!$Q:$Q,$J21,'협력사 EPC(H)'!$C:$C,$L$1),
    SUMIFS('기타(Z)'!$I:$I,'기타(Z)'!$G:$G,AG$2,'기타(Z)'!$Q:$Q,$J21,'기타(Z)'!$C:$C,$L$1)
  )=0,
  "",
  SUM(
    SUMIFS('발전사업(A)'!$I:$I,'발전사업(A)'!$G:$G,AG$2,'발전사업(A)'!$Q:$Q,$J21,'발전사업(A)'!$C:$C,$L$1),
    SUMIFS('자가소비(B)'!$I:$I,'자가소비(B)'!$G:$G,AG$2,'자가소비(B)'!$Q:$Q,$J21,'자가소비(B)'!$C:$C,$L$1),
    SUMIFS('PPA 사업(C)'!$I:$I,'PPA 사업(C)'!$G:$G,AG$2,'PPA 사업(C)'!$Q:$Q,$J21,'PPA 사업(C)'!$C:$C,$L$1),
    SUMIFS('리스사업(D)'!$I:$I,'리스사업(D)'!$G:$G,AG$2,'리스사업(D)'!$Q:$Q,$J21,'리스사업(D)'!$C:$C,$L$1),
    SUMIFS('임대사업(E)'!$I:$I,'임대사업(E)'!$G:$G,AG$2,'임대사업(E)'!$Q:$Q,$J21,'임대사업(E)'!$C:$C,$L$1),
    SUMIFS('환경부사업(F)'!$I:$I,'환경부사업(F)'!$G:$G,AG$2,'환경부사업(F)'!$Q:$Q,$J21,'환경부사업(F)'!$C:$C,$L$1),
    SUMIFS('프로젝트(G)'!$I:$I,'프로젝트(G)'!$G:$G,AG$2,'프로젝트(G)'!$Q:$Q,$J21,'프로젝트(G)'!$C:$C,$L$1),
    SUMIFS('협력사 EPC(H)'!$I:$I,'협력사 EPC(H)'!$G:$G,AG$2,'협력사 EPC(H)'!$Q:$Q,$J21,'협력사 EPC(H)'!$C:$C,$L$1),
    SUMIFS('기타(Z)'!$I:$I,'기타(Z)'!$G:$G,AG$2,'기타(Z)'!$Q:$Q,$J21,'기타(Z)'!$C:$C,$L$1)
  )
)</f>
        <v/>
      </c>
      <c r="AH21" s="387" t="str">
        <f>IF(
  SUM(
    COUNTIFS('발전사업(A)'!$G:$G, AG$2, '발전사업(A)'!$Q:$Q, $J21, '발전사업(A)'!$C:$C, $L$1),
    COUNTIFS('자가소비(B)'!$G:$G, AG$2, '자가소비(B)'!$Q:$Q, $J21, '자가소비(B)'!$C:$C, $L$1),
    COUNTIFS('PPA 사업(C)'!$G:$G, AG$2, 'PPA 사업(C)'!$Q:$Q, $J21, 'PPA 사업(C)'!$C:$C, $L$1),
    COUNTIFS('리스사업(D)'!$G:$G, AG$2, '리스사업(D)'!$Q:$Q, $J21, '리스사업(D)'!$C:$C, $L$1),
    COUNTIFS('임대사업(E)'!$G:$G, AG$2, '임대사업(E)'!$Q:$Q, $J21, '임대사업(E)'!$C:$C, $L$1),
    COUNTIFS('환경부사업(F)'!$G:$G, AG$2, '환경부사업(F)'!$Q:$Q, $J21, '환경부사업(F)'!$C:$C, $L$1),
    COUNTIFS('프로젝트(G)'!$G:$G, AG$2, '프로젝트(G)'!$Q:$Q, $J21, '프로젝트(G)'!$C:$C, $L$1),
    COUNTIFS('협력사 EPC(H)'!$G:$G, AG$2, '협력사 EPC(H)'!$Q:$Q, $J21, '협력사 EPC(H)'!$C:$C, $L$1),
    COUNTIFS('기타(Z)'!$G:$G, AG$2, '기타(Z)'!$Q:$Q, $J21, '기타(Z)'!$C:$C, $L$1)
  ) = 0,
  "",
  COUNTIFS('발전사업(A)'!$G:$G, AG$2, '발전사업(A)'!$Q:$Q, $J21, '발전사업(A)'!$C:$C, $L$1)
  + COUNTIFS('자가소비(B)'!$G:$G, AG$2, '자가소비(B)'!$Q:$Q, $J21, '자가소비(B)'!$C:$C, $L$1)
  + COUNTIFS('PPA 사업(C)'!$G:$G, AG$2, 'PPA 사업(C)'!$Q:$Q, $J21, 'PPA 사업(C)'!$C:$C, $L$1)
  + COUNTIFS('리스사업(D)'!$G:$G, AG$2, '리스사업(D)'!$Q:$Q, $J21, '리스사업(D)'!$C:$C, $L$1)
  + COUNTIFS('임대사업(E)'!$G:$G, AG$2, '임대사업(E)'!$Q:$Q, $J21, '임대사업(E)'!$C:$C, $L$1)
  + COUNTIFS('환경부사업(F)'!$G:$G, AG$2, '환경부사업(F)'!$Q:$Q, $J21, '환경부사업(F)'!$C:$C, $L$1)
  + COUNTIFS('프로젝트(G)'!$G:$G, AG$2, '프로젝트(G)'!$Q:$Q, $J21, '프로젝트(G)'!$C:$C, $L$1)
  + COUNTIFS('협력사 EPC(H)'!$G:$G, AG$2, '협력사 EPC(H)'!$Q:$Q, $J21, '협력사 EPC(H)'!$C:$C, $L$1)
  + COUNTIFS('기타(Z)'!$G:$G, AG$2, '기타(Z)'!$Q:$Q, $J21, '기타(Z)'!$C:$C, $L$1)
)</f>
        <v/>
      </c>
      <c r="AI21" s="386" t="str">
        <f>IF(
  SUM(
    SUMIFS('발전사업(A)'!$I:$I,'발전사업(A)'!$G:$G,AI$2,'발전사업(A)'!$Q:$Q,$J21,'발전사업(A)'!$C:$C,$L$1),
    SUMIFS('자가소비(B)'!$I:$I,'자가소비(B)'!$G:$G,AI$2,'자가소비(B)'!$Q:$Q,$J21,'자가소비(B)'!$C:$C,$L$1),
    SUMIFS('PPA 사업(C)'!$I:$I,'PPA 사업(C)'!$G:$G,AI$2,'PPA 사업(C)'!$Q:$Q,$J21,'PPA 사업(C)'!$C:$C,$L$1),
    SUMIFS('리스사업(D)'!$I:$I,'리스사업(D)'!$G:$G,AI$2,'리스사업(D)'!$Q:$Q,$J21,'리스사업(D)'!$C:$C,$L$1),
    SUMIFS('임대사업(E)'!$I:$I,'임대사업(E)'!$G:$G,AI$2,'임대사업(E)'!$Q:$Q,$J21,'임대사업(E)'!$C:$C,$L$1),
    SUMIFS('환경부사업(F)'!$I:$I,'환경부사업(F)'!$G:$G,AI$2,'환경부사업(F)'!$Q:$Q,$J21,'환경부사업(F)'!$C:$C,$L$1),
    SUMIFS('프로젝트(G)'!$I:$I,'프로젝트(G)'!$G:$G,AI$2,'프로젝트(G)'!$Q:$Q,$J21,'프로젝트(G)'!$C:$C,$L$1),
    SUMIFS('협력사 EPC(H)'!$I:$I,'협력사 EPC(H)'!$G:$G,AI$2,'협력사 EPC(H)'!$Q:$Q,$J21,'협력사 EPC(H)'!$C:$C,$L$1),
    SUMIFS('기타(Z)'!$I:$I,'기타(Z)'!$G:$G,AI$2,'기타(Z)'!$Q:$Q,$J21,'기타(Z)'!$C:$C,$L$1)
  )=0,
  "",
  SUM(
    SUMIFS('발전사업(A)'!$I:$I,'발전사업(A)'!$G:$G,AI$2,'발전사업(A)'!$Q:$Q,$J21,'발전사업(A)'!$C:$C,$L$1),
    SUMIFS('자가소비(B)'!$I:$I,'자가소비(B)'!$G:$G,AI$2,'자가소비(B)'!$Q:$Q,$J21,'자가소비(B)'!$C:$C,$L$1),
    SUMIFS('PPA 사업(C)'!$I:$I,'PPA 사업(C)'!$G:$G,AI$2,'PPA 사업(C)'!$Q:$Q,$J21,'PPA 사업(C)'!$C:$C,$L$1),
    SUMIFS('리스사업(D)'!$I:$I,'리스사업(D)'!$G:$G,AI$2,'리스사업(D)'!$Q:$Q,$J21,'리스사업(D)'!$C:$C,$L$1),
    SUMIFS('임대사업(E)'!$I:$I,'임대사업(E)'!$G:$G,AI$2,'임대사업(E)'!$Q:$Q,$J21,'임대사업(E)'!$C:$C,$L$1),
    SUMIFS('환경부사업(F)'!$I:$I,'환경부사업(F)'!$G:$G,AI$2,'환경부사업(F)'!$Q:$Q,$J21,'환경부사업(F)'!$C:$C,$L$1),
    SUMIFS('프로젝트(G)'!$I:$I,'프로젝트(G)'!$G:$G,AI$2,'프로젝트(G)'!$Q:$Q,$J21,'프로젝트(G)'!$C:$C,$L$1),
    SUMIFS('협력사 EPC(H)'!$I:$I,'협력사 EPC(H)'!$G:$G,AI$2,'협력사 EPC(H)'!$Q:$Q,$J21,'협력사 EPC(H)'!$C:$C,$L$1),
    SUMIFS('기타(Z)'!$I:$I,'기타(Z)'!$G:$G,AI$2,'기타(Z)'!$Q:$Q,$J21,'기타(Z)'!$C:$C,$L$1)
  )
)</f>
        <v/>
      </c>
      <c r="AJ21" s="385" t="str">
        <f>IF(
  SUM(
    COUNTIFS('발전사업(A)'!$G:$G, AI$2, '발전사업(A)'!$Q:$Q, $J21, '발전사업(A)'!$C:$C, $L$1),
    COUNTIFS('자가소비(B)'!$G:$G, AI$2, '자가소비(B)'!$Q:$Q, $J21, '자가소비(B)'!$C:$C, $L$1),
    COUNTIFS('PPA 사업(C)'!$G:$G, AI$2, 'PPA 사업(C)'!$Q:$Q, $J21, 'PPA 사업(C)'!$C:$C, $L$1),
    COUNTIFS('리스사업(D)'!$G:$G, AI$2, '리스사업(D)'!$Q:$Q, $J21, '리스사업(D)'!$C:$C, $L$1),
    COUNTIFS('임대사업(E)'!$G:$G, AI$2, '임대사업(E)'!$Q:$Q, $J21, '임대사업(E)'!$C:$C, $L$1),
    COUNTIFS('환경부사업(F)'!$G:$G, AI$2, '환경부사업(F)'!$Q:$Q, $J21, '환경부사업(F)'!$C:$C, $L$1),
    COUNTIFS('프로젝트(G)'!$G:$G, AI$2, '프로젝트(G)'!$Q:$Q, $J21, '프로젝트(G)'!$C:$C, $L$1),
    COUNTIFS('협력사 EPC(H)'!$G:$G, AI$2, '협력사 EPC(H)'!$Q:$Q, $J21, '협력사 EPC(H)'!$C:$C, $L$1),
    COUNTIFS('기타(Z)'!$G:$G, AI$2, '기타(Z)'!$Q:$Q, $J21, '기타(Z)'!$C:$C, $L$1)
  ) = 0,
  "",
  COUNTIFS('발전사업(A)'!$G:$G, AI$2, '발전사업(A)'!$Q:$Q, $J21, '발전사업(A)'!$C:$C, $L$1)
  + COUNTIFS('자가소비(B)'!$G:$G, AI$2, '자가소비(B)'!$Q:$Q, $J21, '자가소비(B)'!$C:$C, $L$1)
  + COUNTIFS('PPA 사업(C)'!$G:$G, AI$2, 'PPA 사업(C)'!$Q:$Q, $J21, 'PPA 사업(C)'!$C:$C, $L$1)
  + COUNTIFS('리스사업(D)'!$G:$G, AI$2, '리스사업(D)'!$Q:$Q, $J21, '리스사업(D)'!$C:$C, $L$1)
  + COUNTIFS('임대사업(E)'!$G:$G, AI$2, '임대사업(E)'!$Q:$Q, $J21, '임대사업(E)'!$C:$C, $L$1)
  + COUNTIFS('환경부사업(F)'!$G:$G, AI$2, '환경부사업(F)'!$Q:$Q, $J21, '환경부사업(F)'!$C:$C, $L$1)
  + COUNTIFS('프로젝트(G)'!$G:$G, AI$2, '프로젝트(G)'!$Q:$Q, $J21, '프로젝트(G)'!$C:$C, $L$1)
  + COUNTIFS('협력사 EPC(H)'!$G:$G, AI$2, '협력사 EPC(H)'!$Q:$Q, $J21, '협력사 EPC(H)'!$C:$C, $L$1)
  + COUNTIFS('기타(Z)'!$G:$G, AI$2, '기타(Z)'!$Q:$Q, $J21, '기타(Z)'!$C:$C, $L$1)
)</f>
        <v/>
      </c>
    </row>
    <row r="22" spans="2:36" ht="17.25" thickBot="1" x14ac:dyDescent="0.3">
      <c r="B22" s="202" t="s">
        <v>264</v>
      </c>
      <c r="C22" s="280" t="str">
        <f>IF(
  SUM(
    SUMIFS('발전사업(A)'!I:I, '발전사업(A)'!C:C, $E$1, '발전사업(A)'!G:G, B15, '발전사업(A)'!W:W, B22),
    SUMIFS('자가소비(B)'!I:I, '자가소비(B)'!C:C, $E$1, '자가소비(B)'!G:G, B15, '자가소비(B)'!W:W, B22),
    SUMIFS('PPA 사업(C)'!I:I, 'PPA 사업(C)'!C:C, $E$1, 'PPA 사업(C)'!G:G, B15, 'PPA 사업(C)'!W:W, B22),
    SUMIFS('리스사업(D)'!I:I, '리스사업(D)'!C:C, $E$1, '리스사업(D)'!G:G, B15, '리스사업(D)'!W:W, B22),
    SUMIFS('임대사업(E)'!I:I, '임대사업(E)'!C:C, $E$1, '임대사업(E)'!G:G, B15, '임대사업(E)'!W:W, B22),
    SUMIFS('환경부사업(F)'!I:I, '환경부사업(F)'!C:C, $E$1, '환경부사업(F)'!G:G, B15, '환경부사업(F)'!W:W, B22),
    SUMIFS('프로젝트(G)'!I:I, '프로젝트(G)'!C:C, $E$1, '프로젝트(G)'!G:G, B15, '프로젝트(G)'!W:W, B22),
    SUMIFS('협력사 EPC(H)'!I:I, '협력사 EPC(H)'!C:C, $E$1, '협력사 EPC(H)'!G:G, B15, '협력사 EPC(H)'!W:W, B22),
    SUMIFS('기타(Z)'!I:I, '기타(Z)'!C:C, $E$1, '기타(Z)'!G:G, B15, '기타(Z)'!W:W, B22)
  ) = 0,
  "",
  SUMIFS('발전사업(A)'!I:I, '발전사업(A)'!C:C, $E$1, '발전사업(A)'!G:G, B15, '발전사업(A)'!W:W, B22)
  + SUMIFS('자가소비(B)'!I:I, '자가소비(B)'!C:C, $E$1, '자가소비(B)'!G:G, B15, '자가소비(B)'!W:W, B22)
  + SUMIFS('PPA 사업(C)'!I:I, 'PPA 사업(C)'!C:C, $E$1, 'PPA 사업(C)'!G:G, B15, 'PPA 사업(C)'!W:W, B22)
  + SUMIFS('리스사업(D)'!I:I, '리스사업(D)'!C:C, $E$1, '리스사업(D)'!G:G, B15, '리스사업(D)'!W:W, B22)
  + SUMIFS('임대사업(E)'!I:I, '임대사업(E)'!C:C, $E$1, '임대사업(E)'!G:G, B15, '임대사업(E)'!W:W, B22)
  + SUMIFS('환경부사업(F)'!I:I, '환경부사업(F)'!C:C, $E$1, '환경부사업(F)'!G:G, B15, '환경부사업(F)'!W:W, B22)
  + SUMIFS('프로젝트(G)'!I:I, '프로젝트(G)'!C:C, $E$1, '프로젝트(G)'!G:G, B15, '프로젝트(G)'!W:W, B22)
  + SUMIFS('협력사 EPC(H)'!I:I, '협력사 EPC(H)'!C:C, $E$1, '협력사 EPC(H)'!G:G, B15, '협력사 EPC(H)'!W:W, B22)
  + SUMIFS('기타(Z)'!I:I, '기타(Z)'!C:C, $E$1, '기타(Z)'!G:G, B15, '기타(Z)'!W:W, B22)
)</f>
        <v/>
      </c>
      <c r="D22" s="281" t="str">
        <f>IF(
  COUNTIFS('발전사업(A)'!C:C, $E$1, '발전사업(A)'!G:G, B15, '발전사업(A)'!W:W, B22)
  + COUNTIFS('자가소비(B)'!C:C, $E$1, '자가소비(B)'!G:G, B15, '자가소비(B)'!W:W, B22)
  + COUNTIFS('PPA 사업(C)'!C:C, $E$1, 'PPA 사업(C)'!G:G, B15, 'PPA 사업(C)'!W:W, B22)
  + COUNTIFS('리스사업(D)'!C:C, $E$1, '리스사업(D)'!G:G, B15, '리스사업(D)'!W:W, B22)
  + COUNTIFS('임대사업(E)'!C:C, $E$1, '임대사업(E)'!G:G, B15, '임대사업(E)'!W:W, B22)
  + COUNTIFS('환경부사업(F)'!C:C, $E$1, '환경부사업(F)'!G:G, B15, '환경부사업(F)'!W:W, B22)
  + COUNTIFS('프로젝트(G)'!C:C, $E$1, '프로젝트(G)'!G:G, B15, '프로젝트(G)'!W:W, B22)
  + COUNTIFS('협력사 EPC(H)'!C:C, $E$1, '협력사 EPC(H)'!G:G, B15, '협력사 EPC(H)'!W:W, B22)
  + COUNTIFS('기타(Z)'!C:C, $E$1, '기타(Z)'!G:G, B15, '기타(Z)'!W:W, B22)
  = 0,
  "",
  COUNTIFS('발전사업(A)'!C:C, $E$1, '발전사업(A)'!G:G, B15, '발전사업(A)'!W:W, B22)
  + COUNTIFS('자가소비(B)'!C:C, $E$1, '자가소비(B)'!G:G, B15, '자가소비(B)'!W:W, B22)
  + COUNTIFS('PPA 사업(C)'!C:C, $E$1, 'PPA 사업(C)'!G:G, B15, 'PPA 사업(C)'!W:W, B22)
  + COUNTIFS('리스사업(D)'!C:C, $E$1, '리스사업(D)'!G:G, B15, '리스사업(D)'!W:W, B22)
  + COUNTIFS('임대사업(E)'!C:C, $E$1, '임대사업(E)'!G:G, B15, '임대사업(E)'!W:W, B22)
  + COUNTIFS('환경부사업(F)'!C:C, $E$1, '환경부사업(F)'!G:G, B15, '환경부사업(F)'!W:W, B22)
  + COUNTIFS('프로젝트(G)'!C:C, $E$1, '프로젝트(G)'!G:G, B15, '프로젝트(G)'!W:W, B22)
  + COUNTIFS('협력사 EPC(H)'!C:C, $E$1, '협력사 EPC(H)'!G:G, B15, '협력사 EPC(H)'!W:W, B22)
  + COUNTIFS('기타(Z)'!C:C, $E$1, '기타(Z)'!G:G, B15, '기타(Z)'!W:W, B22)
)</f>
        <v/>
      </c>
      <c r="E22" s="280" t="str">
        <f>IF(
  SUM(
    SUMIFS('발전사업(A)'!I:I, '발전사업(A)'!C:C, $E$1, '발전사업(A)'!G:G, B15, '발전사업(A)'!W:W, B22, '발전사업(A)'!U:U, $C$1),
    SUMIFS('자가소비(B)'!I:I, '자가소비(B)'!C:C, $E$1, '자가소비(B)'!G:G, B15, '자가소비(B)'!W:W, B22, '자가소비(B)'!U:U, $C$1),
    SUMIFS('PPA 사업(C)'!I:I, 'PPA 사업(C)'!C:C, $E$1, 'PPA 사업(C)'!G:G, B15, 'PPA 사업(C)'!W:W, B22, 'PPA 사업(C)'!U:U, $C$1),
    SUMIFS('리스사업(D)'!I:I, '리스사업(D)'!C:C, $E$1, '리스사업(D)'!G:G, B15, '리스사업(D)'!W:W, B22, '리스사업(D)'!U:U, $C$1),
    SUMIFS('임대사업(E)'!I:I, '임대사업(E)'!C:C, $E$1, '임대사업(E)'!G:G, B15, '임대사업(E)'!W:W, B22, '임대사업(E)'!U:U, $C$1),
    SUMIFS('환경부사업(F)'!I:I, '환경부사업(F)'!C:C, $E$1, '환경부사업(F)'!G:G, B15, '환경부사업(F)'!W:W, B22, '환경부사업(F)'!U:U, $C$1),
    SUMIFS('프로젝트(G)'!I:I, '프로젝트(G)'!C:C, $E$1, '프로젝트(G)'!G:G, B15, '프로젝트(G)'!W:W, B22, '프로젝트(G)'!U:U, $C$1),
    SUMIFS('협력사 EPC(H)'!I:I, '협력사 EPC(H)'!C:C, $E$1, '협력사 EPC(H)'!G:G, B15, '협력사 EPC(H)'!W:W, B22, '협력사 EPC(H)'!U:U, $C$1),
    SUMIFS('기타(Z)'!I:I, '기타(Z)'!C:C, $E$1, '기타(Z)'!G:G, B15, '기타(Z)'!W:W, B22, '기타(Z)'!U:U, $C$1)
  ) = 0,
  "",
  SUM(
    SUMIFS('발전사업(A)'!I:I, '발전사업(A)'!C:C, $E$1, '발전사업(A)'!G:G, B15, '발전사업(A)'!W:W, B22, '발전사업(A)'!U:U, $C$1),
    SUMIFS('자가소비(B)'!I:I, '자가소비(B)'!C:C, $E$1, '자가소비(B)'!G:G, B15, '자가소비(B)'!W:W, B22, '자가소비(B)'!U:U, $C$1),
    SUMIFS('PPA 사업(C)'!I:I, 'PPA 사업(C)'!C:C, $E$1, 'PPA 사업(C)'!G:G, B15, 'PPA 사업(C)'!W:W, B22, 'PPA 사업(C)'!U:U, $C$1),
    SUMIFS('리스사업(D)'!I:I, '리스사업(D)'!C:C, $E$1, '리스사업(D)'!G:G, B15, '리스사업(D)'!W:W, B22, '리스사업(D)'!U:U, $C$1),
    SUMIFS('임대사업(E)'!I:I, '임대사업(E)'!C:C, $E$1, '임대사업(E)'!G:G, B15, '임대사업(E)'!W:W, B22, '임대사업(E)'!U:U, $C$1),
    SUMIFS('환경부사업(F)'!I:I, '환경부사업(F)'!C:C, $E$1, '환경부사업(F)'!G:G, B15, '환경부사업(F)'!W:W, B22, '환경부사업(F)'!U:U, $C$1),
    SUMIFS('프로젝트(G)'!I:I, '프로젝트(G)'!C:C, $E$1, '프로젝트(G)'!G:G, B15, '프로젝트(G)'!W:W, B22, '프로젝트(G)'!U:U, $C$1),
    SUMIFS('협력사 EPC(H)'!I:I, '협력사 EPC(H)'!C:C, $E$1, '협력사 EPC(H)'!G:G, B15, '협력사 EPC(H)'!W:W, B22, '협력사 EPC(H)'!U:U, $C$1),
    SUMIFS('기타(Z)'!I:I, '기타(Z)'!C:C, $E$1, '기타(Z)'!G:G, B15, '기타(Z)'!W:W, B22, '기타(Z)'!U:U, $C$1)
  )
)</f>
        <v/>
      </c>
      <c r="F22" s="281" t="str">
        <f>IF(
  SUM(
    COUNTIFS('발전사업(A)'!C:C, $E$1, '발전사업(A)'!G:G, B15, '발전사업(A)'!W:W, B22, '발전사업(A)'!U:U, $C$1),
    COUNTIFS('자가소비(B)'!C:C, $E$1, '자가소비(B)'!G:G, B15, '자가소비(B)'!W:W, B22, '자가소비(B)'!U:U, $C$1),
    COUNTIFS('PPA 사업(C)'!C:C, $E$1, 'PPA 사업(C)'!G:G, B15, 'PPA 사업(C)'!W:W, B22, 'PPA 사업(C)'!U:U, $C$1),
    COUNTIFS('리스사업(D)'!C:C, $E$1, '리스사업(D)'!G:G, B15, '리스사업(D)'!W:W, B22, '리스사업(D)'!U:U, $C$1),
    COUNTIFS('임대사업(E)'!C:C, $E$1, '임대사업(E)'!G:G, B15, '임대사업(E)'!W:W, B22, '임대사업(E)'!U:U, $C$1),
    COUNTIFS('환경부사업(F)'!C:C, $E$1, '환경부사업(F)'!G:G, B15, '환경부사업(F)'!W:W, B22, '환경부사업(F)'!U:U, $C$1),
    COUNTIFS('프로젝트(G)'!C:C, $E$1, '프로젝트(G)'!G:G, B15, '프로젝트(G)'!W:W, B22, '프로젝트(G)'!U:U, $C$1),
    COUNTIFS('협력사 EPC(H)'!C:C, $E$1, '협력사 EPC(H)'!G:G, B15, '협력사 EPC(H)'!W:W, B22, '협력사 EPC(H)'!U:U, $C$1),
    COUNTIFS('기타(Z)'!C:C, $E$1, '기타(Z)'!G:G, B15, '기타(Z)'!W:W, B22, '기타(Z)'!U:U, $C$1)
  ) = 0,
  "",
  SUM(
    COUNTIFS('발전사업(A)'!C:C, $E$1, '발전사업(A)'!G:G, B15, '발전사업(A)'!W:W, B22, '발전사업(A)'!U:U, $C$1),
    COUNTIFS('자가소비(B)'!C:C, $E$1, '자가소비(B)'!G:G, B15, '자가소비(B)'!W:W, B22, '자가소비(B)'!U:U, $C$1),
    COUNTIFS('PPA 사업(C)'!C:C, $E$1, 'PPA 사업(C)'!G:G, B15, 'PPA 사업(C)'!W:W, B22, 'PPA 사업(C)'!U:U, $C$1),
    COUNTIFS('리스사업(D)'!C:C, $E$1, '리스사업(D)'!G:G, B15, '리스사업(D)'!W:W, B22, '리스사업(D)'!U:U, $C$1),
    COUNTIFS('임대사업(E)'!C:C, $E$1, '임대사업(E)'!G:G, B15, '임대사업(E)'!W:W, B22, '임대사업(E)'!U:U, $C$1),
    COUNTIFS('환경부사업(F)'!C:C, $E$1, '환경부사업(F)'!G:G, B15, '환경부사업(F)'!W:W, B22, '환경부사업(F)'!U:U, $C$1),
    COUNTIFS('프로젝트(G)'!C:C, $E$1, '프로젝트(G)'!G:G, B15, '프로젝트(G)'!W:W, B22, '프로젝트(G)'!U:U, $C$1),
    COUNTIFS('협력사 EPC(H)'!C:C, $E$1, '협력사 EPC(H)'!G:G, B15, '협력사 EPC(H)'!W:W, B22, '협력사 EPC(H)'!U:U, $C$1),
    COUNTIFS('기타(Z)'!C:C, $E$1, '기타(Z)'!G:G, B15, '기타(Z)'!W:W, B22, '기타(Z)'!U:U, $C$1)
  )
)</f>
        <v/>
      </c>
      <c r="G22" s="280" t="str">
        <f>IF(
  SUM(
    SUMIFS('발전사업(A)'!I:I, '발전사업(A)'!C:C, $E$1, '발전사업(A)'!G:G, B15, '발전사업(A)'!W:W, B22, '발전사업(A)'!U:U, $D$1),
    SUMIFS('자가소비(B)'!I:I, '자가소비(B)'!C:C, $E$1, '자가소비(B)'!G:G, B15, '자가소비(B)'!W:W, B22, '자가소비(B)'!U:U, $D$1),
    SUMIFS('PPA 사업(C)'!I:I, 'PPA 사업(C)'!C:C, $E$1, 'PPA 사업(C)'!G:G, B15, 'PPA 사업(C)'!W:W, B22, 'PPA 사업(C)'!U:U, $D$1),
    SUMIFS('리스사업(D)'!I:I, '리스사업(D)'!C:C, $E$1, '리스사업(D)'!G:G, B15, '리스사업(D)'!W:W, B22, '리스사업(D)'!U:U, $D$1),
    SUMIFS('임대사업(E)'!I:I, '임대사업(E)'!C:C, $E$1, '임대사업(E)'!G:G, B15, '임대사업(E)'!W:W, B22, '임대사업(E)'!U:U, $D$1),
    SUMIFS('환경부사업(F)'!I:I, '환경부사업(F)'!C:C, $E$1, '환경부사업(F)'!G:G, B15, '환경부사업(F)'!W:W, B22, '환경부사업(F)'!U:U, $D$1),
    SUMIFS('프로젝트(G)'!I:I, '프로젝트(G)'!C:C, $E$1, '프로젝트(G)'!G:G, B15, '프로젝트(G)'!W:W, B22, '프로젝트(G)'!U:U, $D$1),
    SUMIFS('협력사 EPC(H)'!I:I, '협력사 EPC(H)'!C:C, $E$1, '협력사 EPC(H)'!G:G, B15, '협력사 EPC(H)'!W:W, B22, '협력사 EPC(H)'!U:U, $D$1),
    SUMIFS('기타(Z)'!I:I, '기타(Z)'!C:C, $E$1, '기타(Z)'!G:G, B15, '기타(Z)'!W:W, B22, '기타(Z)'!U:U, $D$1)
  ) = 0,
  "",
  SUM(
    SUMIFS('발전사업(A)'!I:I, '발전사업(A)'!C:C, $E$1, '발전사업(A)'!G:G, B15, '발전사업(A)'!W:W, B22, '발전사업(A)'!U:U, $D$1),
    SUMIFS('자가소비(B)'!I:I, '자가소비(B)'!C:C, $E$1, '자가소비(B)'!G:G, B15, '자가소비(B)'!W:W, B22, '자가소비(B)'!U:U, $D$1),
    SUMIFS('PPA 사업(C)'!I:I, 'PPA 사업(C)'!C:C, $E$1, 'PPA 사업(C)'!G:G, B15, 'PPA 사업(C)'!W:W, B22, 'PPA 사업(C)'!U:U, $D$1),
    SUMIFS('리스사업(D)'!I:I, '리스사업(D)'!C:C, $E$1, '리스사업(D)'!G:G, B15, '리스사업(D)'!W:W, B22, '리스사업(D)'!U:U, $D$1),
    SUMIFS('임대사업(E)'!I:I, '임대사업(E)'!C:C, $E$1, '임대사업(E)'!G:G, B15, '임대사업(E)'!W:W, B22, '임대사업(E)'!U:U, $D$1),
    SUMIFS('환경부사업(F)'!I:I, '환경부사업(F)'!C:C, $E$1, '환경부사업(F)'!G:G, B15, '환경부사업(F)'!W:W, B22, '환경부사업(F)'!U:U, $D$1),
    SUMIFS('프로젝트(G)'!I:I, '프로젝트(G)'!C:C, $E$1, '프로젝트(G)'!G:G, B15, '프로젝트(G)'!W:W, B22, '프로젝트(G)'!U:U, $D$1),
    SUMIFS('협력사 EPC(H)'!I:I, '협력사 EPC(H)'!C:C, $E$1, '협력사 EPC(H)'!G:G, B15, '협력사 EPC(H)'!W:W, B22, '협력사 EPC(H)'!U:U, $D$1),
    SUMIFS('기타(Z)'!I:I, '기타(Z)'!C:C, $E$1, '기타(Z)'!G:G, B15, '기타(Z)'!W:W, B22, '기타(Z)'!U:U, $D$1)
  )
)</f>
        <v/>
      </c>
      <c r="H22" s="281" t="str">
        <f>IF(
  (
    COUNTIFS('발전사업(A)'!C:C, $E$1, '발전사업(A)'!G:G, B15, '발전사업(A)'!W:W, B22, '발전사업(A)'!U:U, $D$1)
    + COUNTIFS('자가소비(B)'!C:C, $E$1, '자가소비(B)'!G:G, B15, '자가소비(B)'!W:W, B22, '자가소비(B)'!U:U, $D$1)
    + COUNTIFS('PPA 사업(C)'!C:C, $E$1, 'PPA 사업(C)'!G:G, B15, 'PPA 사업(C)'!W:W, B22, 'PPA 사업(C)'!U:U, $D$1)
    + COUNTIFS('리스사업(D)'!C:C, $E$1, '리스사업(D)'!G:G, B15, '리스사업(D)'!W:W, B22, '리스사업(D)'!U:U, $D$1)
    + COUNTIFS('임대사업(E)'!C:C, $E$1, '임대사업(E)'!G:G, B15, '임대사업(E)'!W:W, B22, '임대사업(E)'!U:U, $D$1)
    + COUNTIFS('환경부사업(F)'!C:C, $E$1, '환경부사업(F)'!G:G, B15, '환경부사업(F)'!W:W, B22, '환경부사업(F)'!U:U, $D$1)
    + COUNTIFS('프로젝트(G)'!C:C, $E$1, '프로젝트(G)'!G:G, B15, '프로젝트(G)'!W:W, B22, '프로젝트(G)'!U:U, $D$1)
    + COUNTIFS('협력사 EPC(H)'!C:C, $E$1, '협력사 EPC(H)'!G:G, B15, '협력사 EPC(H)'!W:W, B22, '협력사 EPC(H)'!U:U, $D$1)
    + COUNTIFS('기타(Z)'!C:C, $E$1, '기타(Z)'!G:G, $B15, '기타(Z)'!W:W, B22, '기타(Z)'!U:U, $D$1)
  ) = 0,
  "",
  COUNTIFS('발전사업(A)'!C:C, $E$1, '발전사업(A)'!G:G, B15, '발전사업(A)'!W:W, B22, '발전사업(A)'!U:U, $D$1)
  + COUNTIFS('자가소비(B)'!C:C, $E$1, '자가소비(B)'!G:G, B15, '자가소비(B)'!W:W, B22, '자가소비(B)'!U:U, $D$1)
  + COUNTIFS('PPA 사업(C)'!C:C, $E$1, 'PPA 사업(C)'!G:G, B15, 'PPA 사업(C)'!W:W, B22, 'PPA 사업(C)'!U:U, $D$1)
  + COUNTIFS('리스사업(D)'!C:C, $E$1, '리스사업(D)'!G:G, B15, '리스사업(D)'!W:W, B22, '리스사업(D)'!U:U, $D$1)
  + COUNTIFS('임대사업(E)'!C:C, $E$1, '임대사업(E)'!G:G, B15, '임대사업(E)'!W:W, B22, '임대사업(E)'!U:U, $D$1)
  + COUNTIFS('환경부사업(F)'!C:C, $E$1, '환경부사업(F)'!G:G, B15, '환경부사업(F)'!W:W, B22, '환경부사업(F)'!U:U, $D$1)
  + COUNTIFS('프로젝트(G)'!C:C, $E$1, '프로젝트(G)'!G:G, B15, '프로젝트(G)'!W:W, B22, '프로젝트(G)'!U:U, $D$1)
  + COUNTIFS('협력사 EPC(H)'!C:C, $E$1, '협력사 EPC(H)'!G:G, B15, '협력사 EPC(H)'!W:W, B22, '협력사 EPC(H)'!U:U, $D$1)
  + COUNTIFS('기타(Z)'!C:C, $E$1, '기타(Z)'!G:G, B15, '기타(Z)'!W:W, B22, '기타(Z)'!U:U, $D$1)
)</f>
        <v/>
      </c>
      <c r="J22" s="378" t="s">
        <v>2156</v>
      </c>
      <c r="K22" s="375">
        <f t="shared" ref="K22:AJ22" si="9">IF(SUM(K13:K21)=0, "", SUM(K13:K21))</f>
        <v>41491.85500000001</v>
      </c>
      <c r="L22" s="371">
        <f t="shared" si="9"/>
        <v>141</v>
      </c>
      <c r="M22" s="373">
        <f t="shared" si="9"/>
        <v>2646.5349999999999</v>
      </c>
      <c r="N22" s="370">
        <f t="shared" si="9"/>
        <v>6</v>
      </c>
      <c r="O22" s="369">
        <f t="shared" si="9"/>
        <v>3232.8849999999998</v>
      </c>
      <c r="P22" s="370">
        <f t="shared" si="9"/>
        <v>10</v>
      </c>
      <c r="Q22" s="369">
        <f t="shared" si="9"/>
        <v>2915.6950000000002</v>
      </c>
      <c r="R22" s="370">
        <f t="shared" si="9"/>
        <v>9</v>
      </c>
      <c r="S22" s="369">
        <f t="shared" si="9"/>
        <v>3107.92</v>
      </c>
      <c r="T22" s="370">
        <f t="shared" si="9"/>
        <v>12</v>
      </c>
      <c r="U22" s="369">
        <f t="shared" si="9"/>
        <v>3543.04</v>
      </c>
      <c r="V22" s="370">
        <f t="shared" si="9"/>
        <v>12</v>
      </c>
      <c r="W22" s="369">
        <f t="shared" si="9"/>
        <v>4057.6</v>
      </c>
      <c r="X22" s="370">
        <f t="shared" si="9"/>
        <v>12</v>
      </c>
      <c r="Y22" s="369">
        <f t="shared" si="9"/>
        <v>3268.4800000000005</v>
      </c>
      <c r="Z22" s="370">
        <f t="shared" si="9"/>
        <v>12</v>
      </c>
      <c r="AA22" s="369">
        <f t="shared" si="9"/>
        <v>3047.0399999999995</v>
      </c>
      <c r="AB22" s="370">
        <f t="shared" si="9"/>
        <v>11</v>
      </c>
      <c r="AC22" s="369">
        <f t="shared" si="9"/>
        <v>4906.24</v>
      </c>
      <c r="AD22" s="370">
        <f t="shared" si="9"/>
        <v>17</v>
      </c>
      <c r="AE22" s="369">
        <f t="shared" si="9"/>
        <v>5171.8999999999996</v>
      </c>
      <c r="AF22" s="370">
        <f t="shared" si="9"/>
        <v>21</v>
      </c>
      <c r="AG22" s="369">
        <f t="shared" si="9"/>
        <v>4701.1950000000006</v>
      </c>
      <c r="AH22" s="370">
        <f t="shared" si="9"/>
        <v>14</v>
      </c>
      <c r="AI22" s="369">
        <f t="shared" si="9"/>
        <v>893.32500000000005</v>
      </c>
      <c r="AJ22" s="371">
        <f t="shared" si="9"/>
        <v>5</v>
      </c>
    </row>
    <row r="23" spans="2:36" ht="14.25" thickBot="1" x14ac:dyDescent="0.3">
      <c r="B23" s="202" t="s">
        <v>265</v>
      </c>
      <c r="C23" s="280" t="str">
        <f>IF(
  SUM(
    SUMIFS('발전사업(A)'!I:I, '발전사업(A)'!C:C, $E$1, '발전사업(A)'!G:G, B15, '발전사업(A)'!W:W, B23),
    SUMIFS('자가소비(B)'!I:I, '자가소비(B)'!C:C, $E$1, '자가소비(B)'!G:G, B15, '자가소비(B)'!W:W, B23),
    SUMIFS('PPA 사업(C)'!I:I, 'PPA 사업(C)'!C:C, $E$1, 'PPA 사업(C)'!G:G, B15, 'PPA 사업(C)'!W:W, B23),
    SUMIFS('리스사업(D)'!I:I, '리스사업(D)'!C:C, $E$1, '리스사업(D)'!G:G, B15, '리스사업(D)'!W:W, B23),
    SUMIFS('임대사업(E)'!I:I, '임대사업(E)'!C:C, $E$1, '임대사업(E)'!G:G, B15, '임대사업(E)'!W:W, B23),
    SUMIFS('환경부사업(F)'!I:I, '환경부사업(F)'!C:C, $E$1, '환경부사업(F)'!G:G, B15, '환경부사업(F)'!W:W, B23),
    SUMIFS('프로젝트(G)'!I:I, '프로젝트(G)'!C:C, $E$1, '프로젝트(G)'!G:G, B15, '프로젝트(G)'!W:W, B23),
    SUMIFS('협력사 EPC(H)'!I:I, '협력사 EPC(H)'!C:C, $E$1, '협력사 EPC(H)'!G:G, B15, '협력사 EPC(H)'!W:W, B23),
    SUMIFS('기타(Z)'!I:I, '기타(Z)'!C:C, $E$1, '기타(Z)'!G:G, B15, '기타(Z)'!W:W, B23)
  ) = 0,
  "",
  SUMIFS('발전사업(A)'!I:I, '발전사업(A)'!C:C, $E$1, '발전사업(A)'!G:G, B15, '발전사업(A)'!W:W, B23)
  + SUMIFS('자가소비(B)'!I:I, '자가소비(B)'!C:C, $E$1, '자가소비(B)'!G:G, B15, '자가소비(B)'!W:W, B23)
  + SUMIFS('PPA 사업(C)'!I:I, 'PPA 사업(C)'!C:C, $E$1, 'PPA 사업(C)'!G:G, B15, 'PPA 사업(C)'!W:W, B23)
  + SUMIFS('리스사업(D)'!I:I, '리스사업(D)'!C:C, $E$1, '리스사업(D)'!G:G, B15, '리스사업(D)'!W:W, B23)
  + SUMIFS('임대사업(E)'!I:I, '임대사업(E)'!C:C, $E$1, '임대사업(E)'!G:G, B15, '임대사업(E)'!W:W, B23)
  + SUMIFS('환경부사업(F)'!I:I, '환경부사업(F)'!C:C, $E$1, '환경부사업(F)'!G:G, B15, '환경부사업(F)'!W:W, B23)
  + SUMIFS('프로젝트(G)'!I:I, '프로젝트(G)'!C:C, $E$1, '프로젝트(G)'!G:G, B15, '프로젝트(G)'!W:W, B23)
  + SUMIFS('협력사 EPC(H)'!I:I, '협력사 EPC(H)'!C:C, $E$1, '협력사 EPC(H)'!G:G, B15, '협력사 EPC(H)'!W:W, B23)
  + SUMIFS('기타(Z)'!I:I, '기타(Z)'!C:C, $E$1, '기타(Z)'!G:G, B15, '기타(Z)'!W:W, B23)
)</f>
        <v/>
      </c>
      <c r="D23" s="281" t="str">
        <f>IF(
  COUNTIFS('발전사업(A)'!C:C, $E$1, '발전사업(A)'!G:G, B15, '발전사업(A)'!W:W, B23)
  + COUNTIFS('자가소비(B)'!C:C, $E$1, '자가소비(B)'!G:G, B15, '자가소비(B)'!W:W, B23)
  + COUNTIFS('PPA 사업(C)'!C:C, $E$1, 'PPA 사업(C)'!G:G, B15, 'PPA 사업(C)'!W:W, B23)
  + COUNTIFS('리스사업(D)'!C:C, $E$1, '리스사업(D)'!G:G, B15, '리스사업(D)'!W:W, B23)
  + COUNTIFS('임대사업(E)'!C:C, $E$1, '임대사업(E)'!G:G, B15, '임대사업(E)'!W:W, B23)
  + COUNTIFS('환경부사업(F)'!C:C, $E$1, '환경부사업(F)'!G:G, B15, '환경부사업(F)'!W:W, B23)
  + COUNTIFS('프로젝트(G)'!C:C, $E$1, '프로젝트(G)'!G:G, B15, '프로젝트(G)'!W:W, B23)
  + COUNTIFS('협력사 EPC(H)'!C:C, $E$1, '협력사 EPC(H)'!G:G, B15, '협력사 EPC(H)'!W:W, B23)
  + COUNTIFS('기타(Z)'!C:C, $E$1, '기타(Z)'!G:G, B15, '기타(Z)'!W:W, B23)
  = 0,
  "",
  COUNTIFS('발전사업(A)'!C:C, $E$1, '발전사업(A)'!G:G, B15, '발전사업(A)'!W:W, B23)
  + COUNTIFS('자가소비(B)'!C:C, $E$1, '자가소비(B)'!G:G, B15, '자가소비(B)'!W:W, B23)
  + COUNTIFS('PPA 사업(C)'!C:C, $E$1, 'PPA 사업(C)'!G:G, B15, 'PPA 사업(C)'!W:W, B23)
  + COUNTIFS('리스사업(D)'!C:C, $E$1, '리스사업(D)'!G:G, B15, '리스사업(D)'!W:W, B23)
  + COUNTIFS('임대사업(E)'!C:C, $E$1, '임대사업(E)'!G:G, B15, '임대사업(E)'!W:W, B23)
  + COUNTIFS('환경부사업(F)'!C:C, $E$1, '환경부사업(F)'!G:G, B15, '환경부사업(F)'!W:W, B23)
  + COUNTIFS('프로젝트(G)'!C:C, $E$1, '프로젝트(G)'!G:G, B15, '프로젝트(G)'!W:W, B23)
  + COUNTIFS('협력사 EPC(H)'!C:C, $E$1, '협력사 EPC(H)'!G:G, B15, '협력사 EPC(H)'!W:W, B23)
  + COUNTIFS('기타(Z)'!C:C, $E$1, '기타(Z)'!G:G, B15, '기타(Z)'!W:W, B23)
)</f>
        <v/>
      </c>
      <c r="E23" s="280" t="str">
        <f>IF(
  SUM(
    SUMIFS('발전사업(A)'!I:I, '발전사업(A)'!C:C, $E$1, '발전사업(A)'!G:G, B15, '발전사업(A)'!W:W, B23, '발전사업(A)'!U:U, $C$1),
    SUMIFS('자가소비(B)'!I:I, '자가소비(B)'!C:C, $E$1, '자가소비(B)'!G:G, B15, '자가소비(B)'!W:W, B23, '자가소비(B)'!U:U, $C$1),
    SUMIFS('PPA 사업(C)'!I:I, 'PPA 사업(C)'!C:C, $E$1, 'PPA 사업(C)'!G:G, B15, 'PPA 사업(C)'!W:W, B23, 'PPA 사업(C)'!U:U, $C$1),
    SUMIFS('리스사업(D)'!I:I, '리스사업(D)'!C:C, $E$1, '리스사업(D)'!G:G, B15, '리스사업(D)'!W:W, B23, '리스사업(D)'!U:U, $C$1),
    SUMIFS('임대사업(E)'!I:I, '임대사업(E)'!C:C, $E$1, '임대사업(E)'!G:G, B15, '임대사업(E)'!W:W, B23, '임대사업(E)'!U:U, $C$1),
    SUMIFS('환경부사업(F)'!I:I, '환경부사업(F)'!C:C, $E$1, '환경부사업(F)'!G:G, B15, '환경부사업(F)'!W:W, B23, '환경부사업(F)'!U:U, $C$1),
    SUMIFS('프로젝트(G)'!I:I, '프로젝트(G)'!C:C, $E$1, '프로젝트(G)'!G:G, B15, '프로젝트(G)'!W:W, B23, '프로젝트(G)'!U:U, $C$1),
    SUMIFS('협력사 EPC(H)'!I:I, '협력사 EPC(H)'!C:C, $E$1, '협력사 EPC(H)'!G:G, B15, '협력사 EPC(H)'!W:W, B23, '협력사 EPC(H)'!U:U, $C$1),
    SUMIFS('기타(Z)'!I:I, '기타(Z)'!C:C, $E$1, '기타(Z)'!G:G, B15, '기타(Z)'!W:W, B23, '기타(Z)'!U:U, $C$1)
  ) = 0,
  "",
  SUM(
    SUMIFS('발전사업(A)'!I:I, '발전사업(A)'!C:C, $E$1, '발전사업(A)'!G:G, B15, '발전사업(A)'!W:W, B23, '발전사업(A)'!U:U, $C$1),
    SUMIFS('자가소비(B)'!I:I, '자가소비(B)'!C:C, $E$1, '자가소비(B)'!G:G, B15, '자가소비(B)'!W:W, B23, '자가소비(B)'!U:U, $C$1),
    SUMIFS('PPA 사업(C)'!I:I, 'PPA 사업(C)'!C:C, $E$1, 'PPA 사업(C)'!G:G, B15, 'PPA 사업(C)'!W:W, B23, 'PPA 사업(C)'!U:U, $C$1),
    SUMIFS('리스사업(D)'!I:I, '리스사업(D)'!C:C, $E$1, '리스사업(D)'!G:G, B15, '리스사업(D)'!W:W, B23, '리스사업(D)'!U:U, $C$1),
    SUMIFS('임대사업(E)'!I:I, '임대사업(E)'!C:C, $E$1, '임대사업(E)'!G:G, B15, '임대사업(E)'!W:W, B23, '임대사업(E)'!U:U, $C$1),
    SUMIFS('환경부사업(F)'!I:I, '환경부사업(F)'!C:C, $E$1, '환경부사업(F)'!G:G, B15, '환경부사업(F)'!W:W, B23, '환경부사업(F)'!U:U, $C$1),
    SUMIFS('프로젝트(G)'!I:I, '프로젝트(G)'!C:C, $E$1, '프로젝트(G)'!G:G, B15, '프로젝트(G)'!W:W, B23, '프로젝트(G)'!U:U, $C$1),
    SUMIFS('협력사 EPC(H)'!I:I, '협력사 EPC(H)'!C:C, $E$1, '협력사 EPC(H)'!G:G, B15, '협력사 EPC(H)'!W:W, B23, '협력사 EPC(H)'!U:U, $C$1),
    SUMIFS('기타(Z)'!I:I, '기타(Z)'!C:C, $E$1, '기타(Z)'!G:G, B15, '기타(Z)'!W:W, B23, '기타(Z)'!U:U, $C$1)
  )
)</f>
        <v/>
      </c>
      <c r="F23" s="281" t="str">
        <f>IF(
  SUM(
    COUNTIFS('발전사업(A)'!C:C, $E$1, '발전사업(A)'!G:G, B15, '발전사업(A)'!W:W, B23, '발전사업(A)'!U:U, $C$1),
    COUNTIFS('자가소비(B)'!C:C, $E$1, '자가소비(B)'!G:G, B15, '자가소비(B)'!W:W, B23, '자가소비(B)'!U:U, $C$1),
    COUNTIFS('PPA 사업(C)'!C:C, $E$1, 'PPA 사업(C)'!G:G, B15, 'PPA 사업(C)'!W:W, B23, 'PPA 사업(C)'!U:U, $C$1),
    COUNTIFS('리스사업(D)'!C:C, $E$1, '리스사업(D)'!G:G, B15, '리스사업(D)'!W:W, B23, '리스사업(D)'!U:U, $C$1),
    COUNTIFS('임대사업(E)'!C:C, $E$1, '임대사업(E)'!G:G, B15, '임대사업(E)'!W:W, B23, '임대사업(E)'!U:U, $C$1),
    COUNTIFS('환경부사업(F)'!C:C, $E$1, '환경부사업(F)'!G:G, B15, '환경부사업(F)'!W:W, B23, '환경부사업(F)'!U:U, $C$1),
    COUNTIFS('프로젝트(G)'!C:C, $E$1, '프로젝트(G)'!G:G, B15, '프로젝트(G)'!W:W, B23, '프로젝트(G)'!U:U, $C$1),
    COUNTIFS('협력사 EPC(H)'!C:C, $E$1, '협력사 EPC(H)'!G:G, B15, '협력사 EPC(H)'!W:W, B23, '협력사 EPC(H)'!U:U, $C$1),
    COUNTIFS('기타(Z)'!C:C, $E$1, '기타(Z)'!G:G, B15, '기타(Z)'!W:W, B23, '기타(Z)'!U:U, $C$1)
  ) = 0,
  "",
  SUM(
    COUNTIFS('발전사업(A)'!C:C, $E$1, '발전사업(A)'!G:G, B15, '발전사업(A)'!W:W, B23, '발전사업(A)'!U:U, $C$1),
    COUNTIFS('자가소비(B)'!C:C, $E$1, '자가소비(B)'!G:G, B15, '자가소비(B)'!W:W, B23, '자가소비(B)'!U:U, $C$1),
    COUNTIFS('PPA 사업(C)'!C:C, $E$1, 'PPA 사업(C)'!G:G, B15, 'PPA 사업(C)'!W:W, B23, 'PPA 사업(C)'!U:U, $C$1),
    COUNTIFS('리스사업(D)'!C:C, $E$1, '리스사업(D)'!G:G, B15, '리스사업(D)'!W:W, B23, '리스사업(D)'!U:U, $C$1),
    COUNTIFS('임대사업(E)'!C:C, $E$1, '임대사업(E)'!G:G, B15, '임대사업(E)'!W:W, B23, '임대사업(E)'!U:U, $C$1),
    COUNTIFS('환경부사업(F)'!C:C, $E$1, '환경부사업(F)'!G:G, B15, '환경부사업(F)'!W:W, B23, '환경부사업(F)'!U:U, $C$1),
    COUNTIFS('프로젝트(G)'!C:C, $E$1, '프로젝트(G)'!G:G, B15, '프로젝트(G)'!W:W, B23, '프로젝트(G)'!U:U, $C$1),
    COUNTIFS('협력사 EPC(H)'!C:C, $E$1, '협력사 EPC(H)'!G:G, B15, '협력사 EPC(H)'!W:W, B23, '협력사 EPC(H)'!U:U, $C$1),
    COUNTIFS('기타(Z)'!C:C, $E$1, '기타(Z)'!G:G, B15, '기타(Z)'!W:W, B23, '기타(Z)'!U:U, $C$1)
  )
)</f>
        <v/>
      </c>
      <c r="G23" s="280" t="str">
        <f>IF(
  SUM(
    SUMIFS('발전사업(A)'!I:I, '발전사업(A)'!C:C, $E$1, '발전사업(A)'!G:G, B15, '발전사업(A)'!W:W, B23, '발전사업(A)'!U:U, $D$1),
    SUMIFS('자가소비(B)'!I:I, '자가소비(B)'!C:C, $E$1, '자가소비(B)'!G:G, B15, '자가소비(B)'!W:W, B23, '자가소비(B)'!U:U, $D$1),
    SUMIFS('PPA 사업(C)'!I:I, 'PPA 사업(C)'!C:C, $E$1, 'PPA 사업(C)'!G:G, B15, 'PPA 사업(C)'!W:W, B23, 'PPA 사업(C)'!U:U, $D$1),
    SUMIFS('리스사업(D)'!I:I, '리스사업(D)'!C:C, $E$1, '리스사업(D)'!G:G, B15, '리스사업(D)'!W:W, B23, '리스사업(D)'!U:U, $D$1),
    SUMIFS('임대사업(E)'!I:I, '임대사업(E)'!C:C, $E$1, '임대사업(E)'!G:G, B15, '임대사업(E)'!W:W, B23, '임대사업(E)'!U:U, $D$1),
    SUMIFS('환경부사업(F)'!I:I, '환경부사업(F)'!C:C, $E$1, '환경부사업(F)'!G:G, B15, '환경부사업(F)'!W:W, B23, '환경부사업(F)'!U:U, $D$1),
    SUMIFS('프로젝트(G)'!I:I, '프로젝트(G)'!C:C, $E$1, '프로젝트(G)'!G:G, B15, '프로젝트(G)'!W:W, B23, '프로젝트(G)'!U:U, $D$1),
    SUMIFS('협력사 EPC(H)'!I:I, '협력사 EPC(H)'!C:C, $E$1, '협력사 EPC(H)'!G:G, B15, '협력사 EPC(H)'!W:W, B23, '협력사 EPC(H)'!U:U, $D$1),
    SUMIFS('기타(Z)'!I:I, '기타(Z)'!C:C, $E$1, '기타(Z)'!G:G, B15, '기타(Z)'!W:W, B23, '기타(Z)'!U:U, $D$1)
  ) = 0,
  "",
  SUM(
    SUMIFS('발전사업(A)'!I:I, '발전사업(A)'!C:C, $E$1, '발전사업(A)'!G:G, B15, '발전사업(A)'!W:W, B23, '발전사업(A)'!U:U, $D$1),
    SUMIFS('자가소비(B)'!I:I, '자가소비(B)'!C:C, $E$1, '자가소비(B)'!G:G, B15, '자가소비(B)'!W:W, B23, '자가소비(B)'!U:U, $D$1),
    SUMIFS('PPA 사업(C)'!I:I, 'PPA 사업(C)'!C:C, $E$1, 'PPA 사업(C)'!G:G, B15, 'PPA 사업(C)'!W:W, B23, 'PPA 사업(C)'!U:U, $D$1),
    SUMIFS('리스사업(D)'!I:I, '리스사업(D)'!C:C, $E$1, '리스사업(D)'!G:G, B15, '리스사업(D)'!W:W, B23, '리스사업(D)'!U:U, $D$1),
    SUMIFS('임대사업(E)'!I:I, '임대사업(E)'!C:C, $E$1, '임대사업(E)'!G:G, B15, '임대사업(E)'!W:W, B23, '임대사업(E)'!U:U, $D$1),
    SUMIFS('환경부사업(F)'!I:I, '환경부사업(F)'!C:C, $E$1, '환경부사업(F)'!G:G, B15, '환경부사업(F)'!W:W, B23, '환경부사업(F)'!U:U, $D$1),
    SUMIFS('프로젝트(G)'!I:I, '프로젝트(G)'!C:C, $E$1, '프로젝트(G)'!G:G, B15, '프로젝트(G)'!W:W, B23, '프로젝트(G)'!U:U, $D$1),
    SUMIFS('협력사 EPC(H)'!I:I, '협력사 EPC(H)'!C:C, $E$1, '협력사 EPC(H)'!G:G, B15, '협력사 EPC(H)'!W:W, B23, '협력사 EPC(H)'!U:U, $D$1),
    SUMIFS('기타(Z)'!I:I, '기타(Z)'!C:C, $E$1, '기타(Z)'!G:G, B15, '기타(Z)'!W:W, B23, '기타(Z)'!U:U, $D$1)
  )
)</f>
        <v/>
      </c>
      <c r="H23" s="281" t="str">
        <f>IF(
  (
    COUNTIFS('발전사업(A)'!C:C, $E$1, '발전사업(A)'!G:G, B15, '발전사업(A)'!W:W, B23, '발전사업(A)'!U:U, $D$1)
    + COUNTIFS('자가소비(B)'!C:C, $E$1, '자가소비(B)'!G:G, B15, '자가소비(B)'!W:W, B23, '자가소비(B)'!U:U, $D$1)
    + COUNTIFS('PPA 사업(C)'!C:C, $E$1, 'PPA 사업(C)'!G:G, B15, 'PPA 사업(C)'!W:W, B23, 'PPA 사업(C)'!U:U, $D$1)
    + COUNTIFS('리스사업(D)'!C:C, $E$1, '리스사업(D)'!G:G, B15, '리스사업(D)'!W:W, B23, '리스사업(D)'!U:U, $D$1)
    + COUNTIFS('임대사업(E)'!C:C, $E$1, '임대사업(E)'!G:G, B15, '임대사업(E)'!W:W, B23, '임대사업(E)'!U:U, $D$1)
    + COUNTIFS('환경부사업(F)'!C:C, $E$1, '환경부사업(F)'!G:G, B15, '환경부사업(F)'!W:W, B23, '환경부사업(F)'!U:U, $D$1)
    + COUNTIFS('프로젝트(G)'!C:C, $E$1, '프로젝트(G)'!G:G, B15, '프로젝트(G)'!W:W, B23, '프로젝트(G)'!U:U, $D$1)
    + COUNTIFS('협력사 EPC(H)'!C:C, $E$1, '협력사 EPC(H)'!G:G, B15, '협력사 EPC(H)'!W:W, B23, '협력사 EPC(H)'!U:U, $D$1)
    + COUNTIFS('기타(Z)'!C:C, $E$1, '기타(Z)'!G:G, B15, '기타(Z)'!W:W, B23, '기타(Z)'!U:U, $D$1)
  ) = 0,
  "",
  COUNTIFS('발전사업(A)'!C:C, $E$1, '발전사업(A)'!G:G, B15, '발전사업(A)'!W:W, B23, '발전사업(A)'!U:U, $D$1)
  + COUNTIFS('자가소비(B)'!C:C, $E$1, '자가소비(B)'!G:G, B15, '자가소비(B)'!W:W, B23, '자가소비(B)'!U:U, $D$1)
  + COUNTIFS('PPA 사업(C)'!C:C, $E$1, 'PPA 사업(C)'!G:G, B15, 'PPA 사업(C)'!W:W, B23, 'PPA 사업(C)'!U:U, $D$1)
  + COUNTIFS('리스사업(D)'!C:C, $E$1, '리스사업(D)'!G:G, B15, '리스사업(D)'!W:W, B23, '리스사업(D)'!U:U, $D$1)
  + COUNTIFS('임대사업(E)'!C:C, $E$1, '임대사업(E)'!G:G, B15, '임대사업(E)'!W:W, B23, '임대사업(E)'!U:U, $D$1)
  + COUNTIFS('환경부사업(F)'!C:C, $E$1, '환경부사업(F)'!G:G, B15, '환경부사업(F)'!W:W, B23, '환경부사업(F)'!U:U, $D$1)
  + COUNTIFS('프로젝트(G)'!C:C, $E$1, '프로젝트(G)'!G:G, B15, '프로젝트(G)'!W:W, B23, '프로젝트(G)'!U:U, $D$1)
  + COUNTIFS('협력사 EPC(H)'!C:C, $E$1, '협력사 EPC(H)'!G:G, B15, '협력사 EPC(H)'!W:W, B23, '협력사 EPC(H)'!U:U, $D$1)
  + COUNTIFS('기타(Z)'!C:C, $E$1, '기타(Z)'!G:G, B15, '기타(Z)'!W:W, B23, '기타(Z)'!U:U, $D$1)
)</f>
        <v/>
      </c>
    </row>
    <row r="24" spans="2:36" ht="17.25" thickBot="1" x14ac:dyDescent="0.3">
      <c r="B24" s="292" t="s">
        <v>1062</v>
      </c>
      <c r="C24" s="286">
        <f>SUM(C16:C23)</f>
        <v>2646.5349999999999</v>
      </c>
      <c r="D24" s="287">
        <f t="shared" ref="D24:H24" si="10">SUM(D16:D23)</f>
        <v>6</v>
      </c>
      <c r="E24" s="288">
        <f t="shared" si="10"/>
        <v>1126.4000000000001</v>
      </c>
      <c r="F24" s="289">
        <f t="shared" si="10"/>
        <v>1</v>
      </c>
      <c r="G24" s="290">
        <f t="shared" si="10"/>
        <v>1520.1349999999998</v>
      </c>
      <c r="H24" s="291">
        <f t="shared" si="10"/>
        <v>5</v>
      </c>
      <c r="J24" s="381" t="s">
        <v>2157</v>
      </c>
      <c r="K24" s="382">
        <f>IF(K11+K22=0, "", K11+K22)</f>
        <v>59234.83</v>
      </c>
      <c r="L24" s="383">
        <f>IF(SUM(L11,L22)=0, "", L11+L22)</f>
        <v>214</v>
      </c>
    </row>
    <row r="27" spans="2:36" ht="17.25" x14ac:dyDescent="0.25">
      <c r="B27" s="282">
        <v>2</v>
      </c>
      <c r="C27" s="283" t="s">
        <v>1064</v>
      </c>
      <c r="D27" s="283" t="s">
        <v>1063</v>
      </c>
      <c r="E27" s="284" t="s">
        <v>1065</v>
      </c>
      <c r="F27" s="284" t="s">
        <v>1066</v>
      </c>
      <c r="G27" s="285" t="s">
        <v>1067</v>
      </c>
      <c r="H27" s="285" t="s">
        <v>1068</v>
      </c>
    </row>
    <row r="28" spans="2:36" x14ac:dyDescent="0.25">
      <c r="B28" s="202" t="s">
        <v>270</v>
      </c>
      <c r="C28" s="280">
        <f>IF(
  SUM(
    SUMIFS('발전사업(A)'!I:I, '발전사업(A)'!C:C, $E$1, '발전사업(A)'!G:G, B27, '발전사업(A)'!W:W, B28),
    SUMIFS('자가소비(B)'!I:I, '자가소비(B)'!C:C, $E$1, '자가소비(B)'!G:G, B27, '자가소비(B)'!W:W, B28),
    SUMIFS('PPA 사업(C)'!I:I, 'PPA 사업(C)'!C:C, $E$1, 'PPA 사업(C)'!G:G, B27, 'PPA 사업(C)'!W:W, B28),
    SUMIFS('리스사업(D)'!I:I, '리스사업(D)'!C:C, $E$1, '리스사업(D)'!G:G, B27, '리스사업(D)'!W:W, B28),
    SUMIFS('임대사업(E)'!I:I, '임대사업(E)'!C:C, $E$1, '임대사업(E)'!G:G, B27, '임대사업(E)'!W:W, B28),
    SUMIFS('환경부사업(F)'!I:I, '환경부사업(F)'!C:C, $E$1, '환경부사업(F)'!G:G, B27, '환경부사업(F)'!W:W, B28),
    SUMIFS('프로젝트(G)'!I:I, '프로젝트(G)'!C:C, $E$1, '프로젝트(G)'!G:G, B27, '프로젝트(G)'!W:W, B28),
    SUMIFS('협력사 EPC(H)'!I:I, '협력사 EPC(H)'!C:C, $E$1, '협력사 EPC(H)'!G:G, B27, '협력사 EPC(H)'!W:W, B28),
    SUMIFS('기타(Z)'!I:I, '기타(Z)'!C:C, $E$1, '기타(Z)'!G:G, B27, '기타(Z)'!W:W, B28)
  ) = 0,
  "",
  SUMIFS('발전사업(A)'!I:I, '발전사업(A)'!C:C, $E$1, '발전사업(A)'!G:G, B27, '발전사업(A)'!W:W, B28)
  + SUMIFS('자가소비(B)'!I:I, '자가소비(B)'!C:C, $E$1, '자가소비(B)'!G:G, B27, '자가소비(B)'!W:W, B28)
  + SUMIFS('PPA 사업(C)'!I:I, 'PPA 사업(C)'!C:C, $E$1, 'PPA 사업(C)'!G:G, B27, 'PPA 사업(C)'!W:W, B28)
  + SUMIFS('리스사업(D)'!I:I, '리스사업(D)'!C:C, $E$1, '리스사업(D)'!G:G, B27, '리스사업(D)'!W:W, B28)
  + SUMIFS('임대사업(E)'!I:I, '임대사업(E)'!C:C, $E$1, '임대사업(E)'!G:G, B27, '임대사업(E)'!W:W, B28)
  + SUMIFS('환경부사업(F)'!I:I, '환경부사업(F)'!C:C, $E$1, '환경부사업(F)'!G:G, B27, '환경부사업(F)'!W:W, B28)
  + SUMIFS('프로젝트(G)'!I:I, '프로젝트(G)'!C:C, $E$1, '프로젝트(G)'!G:G, B27, '프로젝트(G)'!W:W, B28)
  + SUMIFS('협력사 EPC(H)'!I:I, '협력사 EPC(H)'!C:C, $E$1, '협력사 EPC(H)'!G:G, B27, '협력사 EPC(H)'!W:W, B28)
  + SUMIFS('기타(Z)'!I:I, '기타(Z)'!C:C, $E$1, '기타(Z)'!G:G, B27, '기타(Z)'!W:W, B28)
)</f>
        <v>2968.51</v>
      </c>
      <c r="D28" s="281">
        <f>IF(
  COUNTIFS('발전사업(A)'!C:C, $E$1, '발전사업(A)'!G:G, B27, '발전사업(A)'!W:W, B28)
  + COUNTIFS('자가소비(B)'!C:C, $E$1, '자가소비(B)'!G:G, B27, '자가소비(B)'!W:W, B28)
  + COUNTIFS('PPA 사업(C)'!C:C, $E$1, 'PPA 사업(C)'!G:G, B27, 'PPA 사업(C)'!W:W, B28)
  + COUNTIFS('리스사업(D)'!C:C, $E$1, '리스사업(D)'!G:G, B27, '리스사업(D)'!W:W, B28)
  + COUNTIFS('임대사업(E)'!C:C, $E$1, '임대사업(E)'!G:G, B27, '임대사업(E)'!W:W, B28)
  + COUNTIFS('환경부사업(F)'!C:C, $E$1, '환경부사업(F)'!G:G, B27, '환경부사업(F)'!W:W, B28)
  + COUNTIFS('프로젝트(G)'!C:C, $E$1, '프로젝트(G)'!G:G, B27, '프로젝트(G)'!W:W, B28)
  + COUNTIFS('협력사 EPC(H)'!C:C, $E$1, '협력사 EPC(H)'!G:G, B27, '협력사 EPC(H)'!W:W, B28)
  + COUNTIFS('기타(Z)'!C:C, $E$1, '기타(Z)'!G:G, B27, '기타(Z)'!W:W, B28)
  = 0,
  "",
  COUNTIFS('발전사업(A)'!C:C, $E$1, '발전사업(A)'!G:G, B27, '발전사업(A)'!W:W, B28)
  + COUNTIFS('자가소비(B)'!C:C, $E$1, '자가소비(B)'!G:G, B27, '자가소비(B)'!W:W, B28)
  + COUNTIFS('PPA 사업(C)'!C:C, $E$1, 'PPA 사업(C)'!G:G, B27, 'PPA 사업(C)'!W:W, B28)
  + COUNTIFS('리스사업(D)'!C:C, $E$1, '리스사업(D)'!G:G, B27, '리스사업(D)'!W:W, B28)
  + COUNTIFS('임대사업(E)'!C:C, $E$1, '임대사업(E)'!G:G, B27, '임대사업(E)'!W:W, B28)
  + COUNTIFS('환경부사업(F)'!C:C, $E$1, '환경부사업(F)'!G:G, B27, '환경부사업(F)'!W:W, B28)
  + COUNTIFS('프로젝트(G)'!C:C, $E$1, '프로젝트(G)'!G:G, B27, '프로젝트(G)'!W:W, B28)
  + COUNTIFS('협력사 EPC(H)'!C:C, $E$1, '협력사 EPC(H)'!G:G, B27, '협력사 EPC(H)'!W:W, B28)
  + COUNTIFS('기타(Z)'!C:C, $E$1, '기타(Z)'!G:G, B27, '기타(Z)'!W:W, B28)
)</f>
        <v>7</v>
      </c>
      <c r="E28" s="280">
        <f>IF(
  SUM(
    SUMIFS('발전사업(A)'!I:I, '발전사업(A)'!C:C, $E$1, '발전사업(A)'!G:G, B27, '발전사업(A)'!W:W, B28, '발전사업(A)'!U:U, $C$1),
    SUMIFS('자가소비(B)'!I:I, '자가소비(B)'!C:C, $E$1, '자가소비(B)'!G:G, B27, '자가소비(B)'!W:W, B28, '자가소비(B)'!U:U, $C$1),
    SUMIFS('PPA 사업(C)'!I:I, 'PPA 사업(C)'!C:C, $E$1, 'PPA 사업(C)'!G:G, B27, 'PPA 사업(C)'!W:W, B28, 'PPA 사업(C)'!U:U, $C$1),
    SUMIFS('리스사업(D)'!I:I, '리스사업(D)'!C:C, $E$1, '리스사업(D)'!G:G, B27, '리스사업(D)'!W:W, B28, '리스사업(D)'!U:U, $C$1),
    SUMIFS('임대사업(E)'!I:I, '임대사업(E)'!C:C, $E$1, '임대사업(E)'!G:G, B27, '임대사업(E)'!W:W, B28, '임대사업(E)'!U:U, $C$1),
    SUMIFS('환경부사업(F)'!I:I, '환경부사업(F)'!C:C, $E$1, '환경부사업(F)'!G:G, B27, '환경부사업(F)'!W:W, B28, '환경부사업(F)'!U:U, $C$1),
    SUMIFS('프로젝트(G)'!I:I, '프로젝트(G)'!C:C, $E$1, '프로젝트(G)'!G:G, B27, '프로젝트(G)'!W:W, B28, '프로젝트(G)'!U:U, $C$1),
    SUMIFS('협력사 EPC(H)'!I:I, '협력사 EPC(H)'!C:C, $E$1, '협력사 EPC(H)'!G:G, B27, '협력사 EPC(H)'!W:W, B28, '협력사 EPC(H)'!U:U, $C$1),
    SUMIFS('기타(Z)'!I:I, '기타(Z)'!C:C, $E$1, '기타(Z)'!G:G, B27, '기타(Z)'!W:W, B28, '기타(Z)'!U:U, $C$1)
  ) = 0,
  "",
  SUM(
    SUMIFS('발전사업(A)'!I:I, '발전사업(A)'!C:C, $E$1, '발전사업(A)'!G:G, B27, '발전사업(A)'!W:W, B28, '발전사업(A)'!U:U, $C$1),
    SUMIFS('자가소비(B)'!I:I, '자가소비(B)'!C:C, $E$1, '자가소비(B)'!G:G, B27, '자가소비(B)'!W:W, B28, '자가소비(B)'!U:U, $C$1),
    SUMIFS('PPA 사업(C)'!I:I, 'PPA 사업(C)'!C:C, $E$1, 'PPA 사업(C)'!G:G, B27, 'PPA 사업(C)'!W:W, B28, 'PPA 사업(C)'!U:U, $C$1),
    SUMIFS('리스사업(D)'!I:I, '리스사업(D)'!C:C, $E$1, '리스사업(D)'!G:G, B27, '리스사업(D)'!W:W, B28, '리스사업(D)'!U:U, $C$1),
    SUMIFS('임대사업(E)'!I:I, '임대사업(E)'!C:C, $E$1, '임대사업(E)'!G:G, B27, '임대사업(E)'!W:W, B28, '임대사업(E)'!U:U, $C$1),
    SUMIFS('환경부사업(F)'!I:I, '환경부사업(F)'!C:C, $E$1, '환경부사업(F)'!G:G, B27, '환경부사업(F)'!W:W, B28, '환경부사업(F)'!U:U, $C$1),
    SUMIFS('프로젝트(G)'!I:I, '프로젝트(G)'!C:C, $E$1, '프로젝트(G)'!G:G, B27, '프로젝트(G)'!W:W, B28, '프로젝트(G)'!U:U, $C$1),
    SUMIFS('협력사 EPC(H)'!I:I, '협력사 EPC(H)'!C:C, $E$1, '협력사 EPC(H)'!G:G, B27, '협력사 EPC(H)'!W:W, B28, '협력사 EPC(H)'!U:U, $C$1),
    SUMIFS('기타(Z)'!I:I, '기타(Z)'!C:C, $E$1, '기타(Z)'!G:G, B27, '기타(Z)'!W:W, B28, '기타(Z)'!U:U, $C$1)
  )
)</f>
        <v>2476.16</v>
      </c>
      <c r="F28" s="281">
        <f>IF(
  SUM(
    COUNTIFS('발전사업(A)'!C:C, $E$1, '발전사업(A)'!G:G, B27, '발전사업(A)'!W:W, B28, '발전사업(A)'!U:U, $C$1),
    COUNTIFS('자가소비(B)'!C:C, $E$1, '자가소비(B)'!G:G, B27, '자가소비(B)'!W:W, B28, '자가소비(B)'!U:U, $C$1),
    COUNTIFS('PPA 사업(C)'!C:C, $E$1, 'PPA 사업(C)'!G:G, B27, 'PPA 사업(C)'!W:W, B28, 'PPA 사업(C)'!U:U, $C$1),
    COUNTIFS('리스사업(D)'!C:C, $E$1, '리스사업(D)'!G:G, B27, '리스사업(D)'!W:W, B28, '리스사업(D)'!U:U, $C$1),
    COUNTIFS('임대사업(E)'!C:C, $E$1, '임대사업(E)'!G:G, B27, '임대사업(E)'!W:W, B28, '임대사업(E)'!U:U, $C$1),
    COUNTIFS('환경부사업(F)'!C:C, $E$1, '환경부사업(F)'!G:G, B27, '환경부사업(F)'!W:W, B28, '환경부사업(F)'!U:U, $C$1),
    COUNTIFS('프로젝트(G)'!C:C, $E$1, '프로젝트(G)'!G:G, B27, '프로젝트(G)'!W:W, B28, '프로젝트(G)'!U:U, $C$1),
    COUNTIFS('협력사 EPC(H)'!C:C, $E$1, '협력사 EPC(H)'!G:G, B27, '협력사 EPC(H)'!W:W, B28, '협력사 EPC(H)'!U:U, $C$1),
    COUNTIFS('기타(Z)'!C:C, $E$1, '기타(Z)'!G:G, B27, '기타(Z)'!W:W, B28, '기타(Z)'!U:U, $C$1)
  ) = 0,
  "",
  SUM(
    COUNTIFS('발전사업(A)'!C:C, $E$1, '발전사업(A)'!G:G, B27, '발전사업(A)'!W:W, B28, '발전사업(A)'!U:U, $C$1),
    COUNTIFS('자가소비(B)'!C:C, $E$1, '자가소비(B)'!G:G, B27, '자가소비(B)'!W:W, B28, '자가소비(B)'!U:U, $C$1),
    COUNTIFS('PPA 사업(C)'!C:C, $E$1, 'PPA 사업(C)'!G:G, B27, 'PPA 사업(C)'!W:W, B28, 'PPA 사업(C)'!U:U, $C$1),
    COUNTIFS('리스사업(D)'!C:C, $E$1, '리스사업(D)'!G:G, B27, '리스사업(D)'!W:W, B28, '리스사업(D)'!U:U, $C$1),
    COUNTIFS('임대사업(E)'!C:C, $E$1, '임대사업(E)'!G:G, B27, '임대사업(E)'!W:W, B28, '임대사업(E)'!U:U, $C$1),
    COUNTIFS('환경부사업(F)'!C:C, $E$1, '환경부사업(F)'!G:G, B27, '환경부사업(F)'!W:W, B28, '환경부사업(F)'!U:U, $C$1),
    COUNTIFS('프로젝트(G)'!C:C, $E$1, '프로젝트(G)'!G:G, B27, '프로젝트(G)'!W:W, B28, '프로젝트(G)'!U:U, $C$1),
    COUNTIFS('협력사 EPC(H)'!C:C, $E$1, '협력사 EPC(H)'!G:G, B27, '협력사 EPC(H)'!W:W, B28, '협력사 EPC(H)'!U:U, $C$1),
    COUNTIFS('기타(Z)'!C:C, $E$1, '기타(Z)'!G:G, B27, '기타(Z)'!W:W, B28, '기타(Z)'!U:U, $C$1)
  )
)</f>
        <v>3</v>
      </c>
      <c r="G28" s="280">
        <f>IF(
  SUM(
    SUMIFS('발전사업(A)'!I:I, '발전사업(A)'!C:C, $E$1, '발전사업(A)'!G:G, B27, '발전사업(A)'!W:W, B28, '발전사업(A)'!U:U, $D$1),
    SUMIFS('자가소비(B)'!I:I, '자가소비(B)'!C:C, $E$1, '자가소비(B)'!G:G, B27, '자가소비(B)'!W:W, B28, '자가소비(B)'!U:U, $D$1),
    SUMIFS('PPA 사업(C)'!I:I, 'PPA 사업(C)'!C:C, $E$1, 'PPA 사업(C)'!G:G, B27, 'PPA 사업(C)'!W:W, B28, 'PPA 사업(C)'!U:U, $D$1),
    SUMIFS('리스사업(D)'!I:I, '리스사업(D)'!C:C, $E$1, '리스사업(D)'!G:G, B27, '리스사업(D)'!W:W, B28, '리스사업(D)'!U:U, $D$1),
    SUMIFS('임대사업(E)'!I:I, '임대사업(E)'!C:C, $E$1, '임대사업(E)'!G:G, B27, '임대사업(E)'!W:W, B28, '임대사업(E)'!U:U, $D$1),
    SUMIFS('환경부사업(F)'!I:I, '환경부사업(F)'!C:C, $E$1, '환경부사업(F)'!G:G, B27, '환경부사업(F)'!W:W, B28, '환경부사업(F)'!U:U, $D$1),
    SUMIFS('프로젝트(G)'!I:I, '프로젝트(G)'!C:C, $E$1, '프로젝트(G)'!G:G, B27, '프로젝트(G)'!W:W, B28, '프로젝트(G)'!U:U, $D$1),
    SUMIFS('협력사 EPC(H)'!I:I, '협력사 EPC(H)'!C:C, $E$1, '협력사 EPC(H)'!G:G, B27, '협력사 EPC(H)'!W:W, B28, '협력사 EPC(H)'!U:U, $D$1),
    SUMIFS('기타(Z)'!I:I, '기타(Z)'!C:C, $E$1, '기타(Z)'!G:G, B27, '기타(Z)'!W:W, B28, '기타(Z)'!U:U, $D$1)
  ) = 0,
  "",
  SUM(
    SUMIFS('발전사업(A)'!I:I, '발전사업(A)'!C:C, $E$1, '발전사업(A)'!G:G, B27, '발전사업(A)'!W:W, B28, '발전사업(A)'!U:U, $D$1),
    SUMIFS('자가소비(B)'!I:I, '자가소비(B)'!C:C, $E$1, '자가소비(B)'!G:G, B27, '자가소비(B)'!W:W, B28, '자가소비(B)'!U:U, $D$1),
    SUMIFS('PPA 사업(C)'!I:I, 'PPA 사업(C)'!C:C, $E$1, 'PPA 사업(C)'!G:G, B27, 'PPA 사업(C)'!W:W, B28, 'PPA 사업(C)'!U:U, $D$1),
    SUMIFS('리스사업(D)'!I:I, '리스사업(D)'!C:C, $E$1, '리스사업(D)'!G:G, B27, '리스사업(D)'!W:W, B28, '리스사업(D)'!U:U, $D$1),
    SUMIFS('임대사업(E)'!I:I, '임대사업(E)'!C:C, $E$1, '임대사업(E)'!G:G, B27, '임대사업(E)'!W:W, B28, '임대사업(E)'!U:U, $D$1),
    SUMIFS('환경부사업(F)'!I:I, '환경부사업(F)'!C:C, $E$1, '환경부사업(F)'!G:G, B27, '환경부사업(F)'!W:W, B28, '환경부사업(F)'!U:U, $D$1),
    SUMIFS('프로젝트(G)'!I:I, '프로젝트(G)'!C:C, $E$1, '프로젝트(G)'!G:G, B27, '프로젝트(G)'!W:W, B28, '프로젝트(G)'!U:U, $D$1),
    SUMIFS('협력사 EPC(H)'!I:I, '협력사 EPC(H)'!C:C, $E$1, '협력사 EPC(H)'!G:G, B27, '협력사 EPC(H)'!W:W, B28, '협력사 EPC(H)'!U:U, $D$1),
    SUMIFS('기타(Z)'!I:I, '기타(Z)'!C:C, $E$1, '기타(Z)'!G:G, B27, '기타(Z)'!W:W, B28, '기타(Z)'!U:U, $D$1)
  )
)</f>
        <v>492.34999999999997</v>
      </c>
      <c r="H28" s="281">
        <f>IF(
  (
    COUNTIFS('발전사업(A)'!C:C, $E$1, '발전사업(A)'!G:G, B27, '발전사업(A)'!W:W, B28, '발전사업(A)'!U:U, $D$1)
    + COUNTIFS('자가소비(B)'!C:C, $E$1, '자가소비(B)'!G:G, B27, '자가소비(B)'!W:W, B28, '자가소비(B)'!U:U, $D$1)
    + COUNTIFS('PPA 사업(C)'!C:C, $E$1, 'PPA 사업(C)'!G:G, B27, 'PPA 사업(C)'!W:W, B28, 'PPA 사업(C)'!U:U, $D$1)
    + COUNTIFS('리스사업(D)'!C:C, $E$1, '리스사업(D)'!G:G, B27, '리스사업(D)'!W:W, B28, '리스사업(D)'!U:U, $D$1)
    + COUNTIFS('임대사업(E)'!C:C, $E$1, '임대사업(E)'!G:G, B27, '임대사업(E)'!W:W, B28, '임대사업(E)'!U:U, $D$1)
    + COUNTIFS('환경부사업(F)'!C:C, $E$1, '환경부사업(F)'!G:G, B27, '환경부사업(F)'!W:W, B28, '환경부사업(F)'!U:U, $D$1)
    + COUNTIFS('프로젝트(G)'!C:C, $E$1, '프로젝트(G)'!G:G, B27, '프로젝트(G)'!W:W, B28, '프로젝트(G)'!U:U, $D$1)
    + COUNTIFS('협력사 EPC(H)'!C:C, $E$1, '협력사 EPC(H)'!G:G, B27, '협력사 EPC(H)'!W:W, B28, '협력사 EPC(H)'!U:U, $D$1)
    + COUNTIFS('기타(Z)'!C:C, $E$1, '기타(Z)'!G:G, B27, '기타(Z)'!W:W, B28, '기타(Z)'!U:U, $D$1)
  ) = 0,
  "",
  COUNTIFS('발전사업(A)'!C:C, $E$1, '발전사업(A)'!G:G, B27, '발전사업(A)'!W:W, B28, '발전사업(A)'!U:U, $D$1)
  + COUNTIFS('자가소비(B)'!C:C, $E$1, '자가소비(B)'!G:G, B27, '자가소비(B)'!W:W, B28, '자가소비(B)'!U:U, $D$1)
  + COUNTIFS('PPA 사업(C)'!C:C, $E$1, 'PPA 사업(C)'!G:G, B27, 'PPA 사업(C)'!W:W, B28, 'PPA 사업(C)'!U:U, $D$1)
  + COUNTIFS('리스사업(D)'!C:C, $E$1, '리스사업(D)'!G:G, B27, '리스사업(D)'!W:W, B28, '리스사업(D)'!U:U, $D$1)
  + COUNTIFS('임대사업(E)'!C:C, $E$1, '임대사업(E)'!G:G, B27, '임대사업(E)'!W:W, B28, '임대사업(E)'!U:U, $D$1)
  + COUNTIFS('환경부사업(F)'!C:C, $E$1, '환경부사업(F)'!G:G, B27, '환경부사업(F)'!W:W, B28, '환경부사업(F)'!U:U, $D$1)
  + COUNTIFS('프로젝트(G)'!C:C, $E$1, '프로젝트(G)'!G:G, B27, '프로젝트(G)'!W:W, B28, '프로젝트(G)'!U:U, $D$1)
  + COUNTIFS('협력사 EPC(H)'!C:C, $E$1, '협력사 EPC(H)'!G:G, B27, '협력사 EPC(H)'!W:W, B28, '협력사 EPC(H)'!U:U, $D$1)
  + COUNTIFS('기타(Z)'!C:C, $E$1, '기타(Z)'!G:G, B27, '기타(Z)'!W:W, B28, '기타(Z)'!U:U, $D$1)
)</f>
        <v>4</v>
      </c>
    </row>
    <row r="29" spans="2:36" x14ac:dyDescent="0.25">
      <c r="B29" s="202" t="s">
        <v>259</v>
      </c>
      <c r="C29" s="280">
        <f>IF(
  SUM(
    SUMIFS('발전사업(A)'!I:I, '발전사업(A)'!C:C, $E$1, '발전사업(A)'!G:G, B27, '발전사업(A)'!W:W, B29),
    SUMIFS('자가소비(B)'!I:I, '자가소비(B)'!C:C, $E$1, '자가소비(B)'!G:G, B27, '자가소비(B)'!W:W, B29),
    SUMIFS('PPA 사업(C)'!I:I, 'PPA 사업(C)'!C:C, $E$1, 'PPA 사업(C)'!G:G, B27, 'PPA 사업(C)'!W:W, B29),
    SUMIFS('리스사업(D)'!I:I, '리스사업(D)'!C:C, $E$1, '리스사업(D)'!G:G, B27, '리스사업(D)'!W:W, B29),
    SUMIFS('임대사업(E)'!I:I, '임대사업(E)'!C:C, $E$1, '임대사업(E)'!G:G, B27, '임대사업(E)'!W:W, B29),
    SUMIFS('환경부사업(F)'!I:I, '환경부사업(F)'!C:C, $E$1, '환경부사업(F)'!G:G, B27, '환경부사업(F)'!W:W, B29),
    SUMIFS('프로젝트(G)'!I:I, '프로젝트(G)'!C:C, $E$1, '프로젝트(G)'!G:G, B27, '프로젝트(G)'!W:W, B29),
    SUMIFS('협력사 EPC(H)'!I:I, '협력사 EPC(H)'!C:C, $E$1, '협력사 EPC(H)'!G:G, B27, '협력사 EPC(H)'!W:W, B29),
    SUMIFS('기타(Z)'!I:I, '기타(Z)'!C:C, $E$1, '기타(Z)'!G:G, B27, '기타(Z)'!W:W, B29)
  ) = 0,
  "",
  SUMIFS('발전사업(A)'!I:I, '발전사업(A)'!C:C, $E$1, '발전사업(A)'!G:G, B27, '발전사업(A)'!W:W, B29)
  + SUMIFS('자가소비(B)'!I:I, '자가소비(B)'!C:C, $E$1, '자가소비(B)'!G:G, B27, '자가소비(B)'!W:W, B29)
  + SUMIFS('PPA 사업(C)'!I:I, 'PPA 사업(C)'!C:C, $E$1, 'PPA 사업(C)'!G:G, B27, 'PPA 사업(C)'!W:W, B29)
  + SUMIFS('리스사업(D)'!I:I, '리스사업(D)'!C:C, $E$1, '리스사업(D)'!G:G, B27, '리스사업(D)'!W:W, B29)
  + SUMIFS('임대사업(E)'!I:I, '임대사업(E)'!C:C, $E$1, '임대사업(E)'!G:G, B27, '임대사업(E)'!W:W, B29)
  + SUMIFS('환경부사업(F)'!I:I, '환경부사업(F)'!C:C, $E$1, '환경부사업(F)'!G:G, B27, '환경부사업(F)'!W:W, B29)
  + SUMIFS('프로젝트(G)'!I:I, '프로젝트(G)'!C:C, $E$1, '프로젝트(G)'!G:G, B27, '프로젝트(G)'!W:W, B29)
  + SUMIFS('협력사 EPC(H)'!I:I, '협력사 EPC(H)'!C:C, $E$1, '협력사 EPC(H)'!G:G, B27, '협력사 EPC(H)'!W:W, B29)
  + SUMIFS('기타(Z)'!I:I, '기타(Z)'!C:C, $E$1, '기타(Z)'!G:G, B27, '기타(Z)'!W:W, B29)
)</f>
        <v>376.96000000000004</v>
      </c>
      <c r="D29" s="281">
        <f>IF(
  COUNTIFS('발전사업(A)'!C:C, $E$1, '발전사업(A)'!G:G, B27, '발전사업(A)'!W:W, B29)
  + COUNTIFS('자가소비(B)'!C:C, $E$1, '자가소비(B)'!G:G, B27, '자가소비(B)'!W:W, B29)
  + COUNTIFS('PPA 사업(C)'!C:C, $E$1, 'PPA 사업(C)'!G:G, B27, 'PPA 사업(C)'!W:W, B29)
  + COUNTIFS('리스사업(D)'!C:C, $E$1, '리스사업(D)'!G:G, B27, '리스사업(D)'!W:W, B29)
  + COUNTIFS('임대사업(E)'!C:C, $E$1, '임대사업(E)'!G:G, B27, '임대사업(E)'!W:W, B29)
  + COUNTIFS('환경부사업(F)'!C:C, $E$1, '환경부사업(F)'!G:G, B27, '환경부사업(F)'!W:W, B29)
  + COUNTIFS('프로젝트(G)'!C:C, $E$1, '프로젝트(G)'!G:G, B27, '프로젝트(G)'!W:W, B29)
  + COUNTIFS('협력사 EPC(H)'!C:C, $E$1, '협력사 EPC(H)'!G:G, B27, '협력사 EPC(H)'!W:W, B29)
  + COUNTIFS('기타(Z)'!C:C, $E$1, '기타(Z)'!G:G, B27, '기타(Z)'!W:W, B29)
  = 0,
  "",
  COUNTIFS('발전사업(A)'!C:C, $E$1, '발전사업(A)'!G:G, B27, '발전사업(A)'!W:W, B29)
  + COUNTIFS('자가소비(B)'!C:C, $E$1, '자가소비(B)'!G:G, B27, '자가소비(B)'!W:W, B29)
  + COUNTIFS('PPA 사업(C)'!C:C, $E$1, 'PPA 사업(C)'!G:G, B27, 'PPA 사업(C)'!W:W, B29)
  + COUNTIFS('리스사업(D)'!C:C, $E$1, '리스사업(D)'!G:G, B27, '리스사업(D)'!W:W, B29)
  + COUNTIFS('임대사업(E)'!C:C, $E$1, '임대사업(E)'!G:G, B27, '임대사업(E)'!W:W, B29)
  + COUNTIFS('환경부사업(F)'!C:C, $E$1, '환경부사업(F)'!G:G, B27, '환경부사업(F)'!W:W, B29)
  + COUNTIFS('프로젝트(G)'!C:C, $E$1, '프로젝트(G)'!G:G, B27, '프로젝트(G)'!W:W, B29)
  + COUNTIFS('협력사 EPC(H)'!C:C, $E$1, '협력사 EPC(H)'!G:G, B27, '협력사 EPC(H)'!W:W, B29)
  + COUNTIFS('기타(Z)'!C:C, $E$1, '기타(Z)'!G:G, B27, '기타(Z)'!W:W, B29)
)</f>
        <v>3</v>
      </c>
      <c r="E29" s="280">
        <f>IF(
  SUM(
    SUMIFS('발전사업(A)'!I:I, '발전사업(A)'!C:C, $E$1, '발전사업(A)'!G:G, B27, '발전사업(A)'!W:W, B29, '발전사업(A)'!U:U, $C$1),
    SUMIFS('자가소비(B)'!I:I, '자가소비(B)'!C:C, $E$1, '자가소비(B)'!G:G, B27, '자가소비(B)'!W:W, B29, '자가소비(B)'!U:U, $C$1),
    SUMIFS('PPA 사업(C)'!I:I, 'PPA 사업(C)'!C:C, $E$1, 'PPA 사업(C)'!G:G, B27, 'PPA 사업(C)'!W:W, B29, 'PPA 사업(C)'!U:U, $C$1),
    SUMIFS('리스사업(D)'!I:I, '리스사업(D)'!C:C, $E$1, '리스사업(D)'!G:G, B27, '리스사업(D)'!W:W, B29, '리스사업(D)'!U:U, $C$1),
    SUMIFS('임대사업(E)'!I:I, '임대사업(E)'!C:C, $E$1, '임대사업(E)'!G:G, B27, '임대사업(E)'!W:W, B29, '임대사업(E)'!U:U, $C$1),
    SUMIFS('환경부사업(F)'!I:I, '환경부사업(F)'!C:C, $E$1, '환경부사업(F)'!G:G, B27, '환경부사업(F)'!W:W, B29, '환경부사업(F)'!U:U, $C$1),
    SUMIFS('프로젝트(G)'!I:I, '프로젝트(G)'!C:C, $E$1, '프로젝트(G)'!G:G, B27, '프로젝트(G)'!W:W, B29, '프로젝트(G)'!U:U, $C$1),
    SUMIFS('협력사 EPC(H)'!I:I, '협력사 EPC(H)'!C:C, $E$1, '협력사 EPC(H)'!G:G, B27, '협력사 EPC(H)'!W:W, B29, '협력사 EPC(H)'!U:U, $C$1),
    SUMIFS('기타(Z)'!I:I, '기타(Z)'!C:C, $E$1, '기타(Z)'!G:G, B27, '기타(Z)'!W:W, B29, '기타(Z)'!U:U, $C$1)
  ) = 0,
  "",
  SUM(
    SUMIFS('발전사업(A)'!I:I, '발전사업(A)'!C:C, $E$1, '발전사업(A)'!G:G, B27, '발전사업(A)'!W:W, B29, '발전사업(A)'!U:U, $C$1),
    SUMIFS('자가소비(B)'!I:I, '자가소비(B)'!C:C, $E$1, '자가소비(B)'!G:G, B27, '자가소비(B)'!W:W, B29, '자가소비(B)'!U:U, $C$1),
    SUMIFS('PPA 사업(C)'!I:I, 'PPA 사업(C)'!C:C, $E$1, 'PPA 사업(C)'!G:G, B27, 'PPA 사업(C)'!W:W, B29, 'PPA 사업(C)'!U:U, $C$1),
    SUMIFS('리스사업(D)'!I:I, '리스사업(D)'!C:C, $E$1, '리스사업(D)'!G:G, B27, '리스사업(D)'!W:W, B29, '리스사업(D)'!U:U, $C$1),
    SUMIFS('임대사업(E)'!I:I, '임대사업(E)'!C:C, $E$1, '임대사업(E)'!G:G, B27, '임대사업(E)'!W:W, B29, '임대사업(E)'!U:U, $C$1),
    SUMIFS('환경부사업(F)'!I:I, '환경부사업(F)'!C:C, $E$1, '환경부사업(F)'!G:G, B27, '환경부사업(F)'!W:W, B29, '환경부사업(F)'!U:U, $C$1),
    SUMIFS('프로젝트(G)'!I:I, '프로젝트(G)'!C:C, $E$1, '프로젝트(G)'!G:G, B27, '프로젝트(G)'!W:W, B29, '프로젝트(G)'!U:U, $C$1),
    SUMIFS('협력사 EPC(H)'!I:I, '협력사 EPC(H)'!C:C, $E$1, '협력사 EPC(H)'!G:G, B27, '협력사 EPC(H)'!W:W, B29, '협력사 EPC(H)'!U:U, $C$1),
    SUMIFS('기타(Z)'!I:I, '기타(Z)'!C:C, $E$1, '기타(Z)'!G:G, B27, '기타(Z)'!W:W, B29, '기타(Z)'!U:U, $C$1)
  )
)</f>
        <v>376.96000000000004</v>
      </c>
      <c r="F29" s="281">
        <f>IF(
  SUM(
    COUNTIFS('발전사업(A)'!C:C, $E$1, '발전사업(A)'!G:G, B27, '발전사업(A)'!W:W, B29, '발전사업(A)'!U:U, $C$1),
    COUNTIFS('자가소비(B)'!C:C, $E$1, '자가소비(B)'!G:G, B27, '자가소비(B)'!W:W, B29, '자가소비(B)'!U:U, $C$1),
    COUNTIFS('PPA 사업(C)'!C:C, $E$1, 'PPA 사업(C)'!G:G, B27, 'PPA 사업(C)'!W:W, B29, 'PPA 사업(C)'!U:U, $C$1),
    COUNTIFS('리스사업(D)'!C:C, $E$1, '리스사업(D)'!G:G, B27, '리스사업(D)'!W:W, B29, '리스사업(D)'!U:U, $C$1),
    COUNTIFS('임대사업(E)'!C:C, $E$1, '임대사업(E)'!G:G, B27, '임대사업(E)'!W:W, B29, '임대사업(E)'!U:U, $C$1),
    COUNTIFS('환경부사업(F)'!C:C, $E$1, '환경부사업(F)'!G:G, B27, '환경부사업(F)'!W:W, B29, '환경부사업(F)'!U:U, $C$1),
    COUNTIFS('프로젝트(G)'!C:C, $E$1, '프로젝트(G)'!G:G, B27, '프로젝트(G)'!W:W, B29, '프로젝트(G)'!U:U, $C$1),
    COUNTIFS('협력사 EPC(H)'!C:C, $E$1, '협력사 EPC(H)'!G:G, B27, '협력사 EPC(H)'!W:W, B29, '협력사 EPC(H)'!U:U, $C$1),
    COUNTIFS('기타(Z)'!C:C, $E$1, '기타(Z)'!G:G, B27, '기타(Z)'!W:W, B29, '기타(Z)'!U:U, $C$1)
  ) = 0,
  "",
  SUM(
    COUNTIFS('발전사업(A)'!C:C, $E$1, '발전사업(A)'!G:G, B27, '발전사업(A)'!W:W, B29, '발전사업(A)'!U:U, $C$1),
    COUNTIFS('자가소비(B)'!C:C, $E$1, '자가소비(B)'!G:G, B27, '자가소비(B)'!W:W, B29, '자가소비(B)'!U:U, $C$1),
    COUNTIFS('PPA 사업(C)'!C:C, $E$1, 'PPA 사업(C)'!G:G, B27, 'PPA 사업(C)'!W:W, B29, 'PPA 사업(C)'!U:U, $C$1),
    COUNTIFS('리스사업(D)'!C:C, $E$1, '리스사업(D)'!G:G, B27, '리스사업(D)'!W:W, B29, '리스사업(D)'!U:U, $C$1),
    COUNTIFS('임대사업(E)'!C:C, $E$1, '임대사업(E)'!G:G, B27, '임대사업(E)'!W:W, B29, '임대사업(E)'!U:U, $C$1),
    COUNTIFS('환경부사업(F)'!C:C, $E$1, '환경부사업(F)'!G:G, B27, '환경부사업(F)'!W:W, B29, '환경부사업(F)'!U:U, $C$1),
    COUNTIFS('프로젝트(G)'!C:C, $E$1, '프로젝트(G)'!G:G, B27, '프로젝트(G)'!W:W, B29, '프로젝트(G)'!U:U, $C$1),
    COUNTIFS('협력사 EPC(H)'!C:C, $E$1, '협력사 EPC(H)'!G:G, B27, '협력사 EPC(H)'!W:W, B29, '협력사 EPC(H)'!U:U, $C$1),
    COUNTIFS('기타(Z)'!C:C, $E$1, '기타(Z)'!G:G, B27, '기타(Z)'!W:W, B29, '기타(Z)'!U:U, $C$1)
  )
)</f>
        <v>3</v>
      </c>
      <c r="G29" s="280" t="str">
        <f>IF(
  SUM(
    SUMIFS('발전사업(A)'!I:I, '발전사업(A)'!C:C, $E$1, '발전사업(A)'!G:G, B27, '발전사업(A)'!W:W, B29, '발전사업(A)'!U:U, $D$1),
    SUMIFS('자가소비(B)'!I:I, '자가소비(B)'!C:C, $E$1, '자가소비(B)'!G:G, B27, '자가소비(B)'!W:W, B29, '자가소비(B)'!U:U, $D$1),
    SUMIFS('PPA 사업(C)'!I:I, 'PPA 사업(C)'!C:C, $E$1, 'PPA 사업(C)'!G:G, B27, 'PPA 사업(C)'!W:W, B29, 'PPA 사업(C)'!U:U, $D$1),
    SUMIFS('리스사업(D)'!I:I, '리스사업(D)'!C:C, $E$1, '리스사업(D)'!G:G, B27, '리스사업(D)'!W:W, B29, '리스사업(D)'!U:U, $D$1),
    SUMIFS('임대사업(E)'!I:I, '임대사업(E)'!C:C, $E$1, '임대사업(E)'!G:G, B27, '임대사업(E)'!W:W, B29, '임대사업(E)'!U:U, $D$1),
    SUMIFS('환경부사업(F)'!I:I, '환경부사업(F)'!C:C, $E$1, '환경부사업(F)'!G:G, B27, '환경부사업(F)'!W:W, B29, '환경부사업(F)'!U:U, $D$1),
    SUMIFS('프로젝트(G)'!I:I, '프로젝트(G)'!C:C, $E$1, '프로젝트(G)'!G:G, B27, '프로젝트(G)'!W:W, B29, '프로젝트(G)'!U:U, $D$1),
    SUMIFS('협력사 EPC(H)'!I:I, '협력사 EPC(H)'!C:C, $E$1, '협력사 EPC(H)'!G:G, B27, '협력사 EPC(H)'!W:W, B29, '협력사 EPC(H)'!U:U, $D$1),
    SUMIFS('기타(Z)'!I:I, '기타(Z)'!C:C, $E$1, '기타(Z)'!G:G, B27, '기타(Z)'!W:W, B29, '기타(Z)'!U:U, $D$1)
  ) = 0,
  "",
  SUM(
    SUMIFS('발전사업(A)'!I:I, '발전사업(A)'!C:C, $E$1, '발전사업(A)'!G:G, B27, '발전사업(A)'!W:W, B29, '발전사업(A)'!U:U, $D$1),
    SUMIFS('자가소비(B)'!I:I, '자가소비(B)'!C:C, $E$1, '자가소비(B)'!G:G, B27, '자가소비(B)'!W:W, B29, '자가소비(B)'!U:U, $D$1),
    SUMIFS('PPA 사업(C)'!I:I, 'PPA 사업(C)'!C:C, $E$1, 'PPA 사업(C)'!G:G, B27, 'PPA 사업(C)'!W:W, B29, 'PPA 사업(C)'!U:U, $D$1),
    SUMIFS('리스사업(D)'!I:I, '리스사업(D)'!C:C, $E$1, '리스사업(D)'!G:G, B27, '리스사업(D)'!W:W, B29, '리스사업(D)'!U:U, $D$1),
    SUMIFS('임대사업(E)'!I:I, '임대사업(E)'!C:C, $E$1, '임대사업(E)'!G:G, B27, '임대사업(E)'!W:W, B29, '임대사업(E)'!U:U, $D$1),
    SUMIFS('환경부사업(F)'!I:I, '환경부사업(F)'!C:C, $E$1, '환경부사업(F)'!G:G, B27, '환경부사업(F)'!W:W, B29, '환경부사업(F)'!U:U, $D$1),
    SUMIFS('프로젝트(G)'!I:I, '프로젝트(G)'!C:C, $E$1, '프로젝트(G)'!G:G, B27, '프로젝트(G)'!W:W, B29, '프로젝트(G)'!U:U, $D$1),
    SUMIFS('협력사 EPC(H)'!I:I, '협력사 EPC(H)'!C:C, $E$1, '협력사 EPC(H)'!G:G, B27, '협력사 EPC(H)'!W:W, B29, '협력사 EPC(H)'!U:U, $D$1),
    SUMIFS('기타(Z)'!I:I, '기타(Z)'!C:C, $E$1, '기타(Z)'!G:G, B27, '기타(Z)'!W:W, B29, '기타(Z)'!U:U, $D$1)
  )
)</f>
        <v/>
      </c>
      <c r="H29" s="281" t="str">
        <f>IF(
  (
    COUNTIFS('발전사업(A)'!C:C, $E$1, '발전사업(A)'!G:G, B27, '발전사업(A)'!W:W, B29, '발전사업(A)'!U:U, $D$1)
    + COUNTIFS('자가소비(B)'!C:C, $E$1, '자가소비(B)'!G:G, B27, '자가소비(B)'!W:W, B29, '자가소비(B)'!U:U, $D$1)
    + COUNTIFS('PPA 사업(C)'!C:C, $E$1, 'PPA 사업(C)'!G:G, B27, 'PPA 사업(C)'!W:W, B29, 'PPA 사업(C)'!U:U, $D$1)
    + COUNTIFS('리스사업(D)'!C:C, $E$1, '리스사업(D)'!G:G, B27, '리스사업(D)'!W:W, B29, '리스사업(D)'!U:U, $D$1)
    + COUNTIFS('임대사업(E)'!C:C, $E$1, '임대사업(E)'!G:G, B27, '임대사업(E)'!W:W, B29, '임대사업(E)'!U:U, $D$1)
    + COUNTIFS('환경부사업(F)'!C:C, $E$1, '환경부사업(F)'!G:G, B27, '환경부사업(F)'!W:W, B29, '환경부사업(F)'!U:U, $D$1)
    + COUNTIFS('프로젝트(G)'!C:C, $E$1, '프로젝트(G)'!G:G, B27, '프로젝트(G)'!W:W, B29, '프로젝트(G)'!U:U, $D$1)
    + COUNTIFS('협력사 EPC(H)'!C:C, $E$1, '협력사 EPC(H)'!G:G, B27, '협력사 EPC(H)'!W:W, B29, '협력사 EPC(H)'!U:U, $D$1)
    + COUNTIFS('기타(Z)'!C:C, $E$1, '기타(Z)'!G:G, B27, '기타(Z)'!W:W, B29, '기타(Z)'!U:U, $D$1)
  ) = 0,
  "",
  COUNTIFS('발전사업(A)'!C:C, $E$1, '발전사업(A)'!G:G, B27, '발전사업(A)'!W:W, B29, '발전사업(A)'!U:U, $D$1)
  + COUNTIFS('자가소비(B)'!C:C, $E$1, '자가소비(B)'!G:G, B27, '자가소비(B)'!W:W, B29, '자가소비(B)'!U:U, $D$1)
  + COUNTIFS('PPA 사업(C)'!C:C, $E$1, 'PPA 사업(C)'!G:G, B27, 'PPA 사업(C)'!W:W, B29, 'PPA 사업(C)'!U:U, $D$1)
  + COUNTIFS('리스사업(D)'!C:C, $E$1, '리스사업(D)'!G:G, B27, '리스사업(D)'!W:W, B29, '리스사업(D)'!U:U, $D$1)
  + COUNTIFS('임대사업(E)'!C:C, $E$1, '임대사업(E)'!G:G, B27, '임대사업(E)'!W:W, B29, '임대사업(E)'!U:U, $D$1)
  + COUNTIFS('환경부사업(F)'!C:C, $E$1, '환경부사업(F)'!G:G, B27, '환경부사업(F)'!W:W, B29, '환경부사업(F)'!U:U, $D$1)
  + COUNTIFS('프로젝트(G)'!C:C, $E$1, '프로젝트(G)'!G:G, B27, '프로젝트(G)'!W:W, B29, '프로젝트(G)'!U:U, $D$1)
  + COUNTIFS('협력사 EPC(H)'!C:C, $E$1, '협력사 EPC(H)'!G:G, B27, '협력사 EPC(H)'!W:W, B29, '협력사 EPC(H)'!U:U, $D$1)
  + COUNTIFS('기타(Z)'!C:C, $E$1, '기타(Z)'!G:G, B27, '기타(Z)'!W:W, B29, '기타(Z)'!U:U, $D$1)
)</f>
        <v/>
      </c>
    </row>
    <row r="30" spans="2:36" x14ac:dyDescent="0.25">
      <c r="B30" s="202" t="s">
        <v>260</v>
      </c>
      <c r="C30" s="280" t="str">
        <f>IF(
  SUM(
    SUMIFS('발전사업(A)'!I:I, '발전사업(A)'!C:C, $E$1, '발전사업(A)'!G:G, B27, '발전사업(A)'!W:W, B30),
    SUMIFS('자가소비(B)'!I:I, '자가소비(B)'!C:C, $E$1, '자가소비(B)'!G:G, B27, '자가소비(B)'!W:W, B30),
    SUMIFS('PPA 사업(C)'!I:I, 'PPA 사업(C)'!C:C, $E$1, 'PPA 사업(C)'!G:G, B27, 'PPA 사업(C)'!W:W, B30),
    SUMIFS('리스사업(D)'!I:I, '리스사업(D)'!C:C, $E$1, '리스사업(D)'!G:G, B27, '리스사업(D)'!W:W, B30),
    SUMIFS('임대사업(E)'!I:I, '임대사업(E)'!C:C, $E$1, '임대사업(E)'!G:G, B27, '임대사업(E)'!W:W, B30),
    SUMIFS('환경부사업(F)'!I:I, '환경부사업(F)'!C:C, $E$1, '환경부사업(F)'!G:G, B27, '환경부사업(F)'!W:W, B30),
    SUMIFS('프로젝트(G)'!I:I, '프로젝트(G)'!C:C, $E$1, '프로젝트(G)'!G:G, B27, '프로젝트(G)'!W:W, B30),
    SUMIFS('협력사 EPC(H)'!I:I, '협력사 EPC(H)'!C:C, $E$1, '협력사 EPC(H)'!G:G, B27, '협력사 EPC(H)'!W:W, B30),
    SUMIFS('기타(Z)'!I:I, '기타(Z)'!C:C, $E$1, '기타(Z)'!G:G, B27, '기타(Z)'!W:W, B30)
  ) = 0,
  "",
  SUMIFS('발전사업(A)'!I:I, '발전사업(A)'!C:C, $E$1, '발전사업(A)'!G:G, B27, '발전사업(A)'!W:W, B30)
  + SUMIFS('자가소비(B)'!I:I, '자가소비(B)'!C:C, $E$1, '자가소비(B)'!G:G, B27, '자가소비(B)'!W:W, B30)
  + SUMIFS('PPA 사업(C)'!I:I, 'PPA 사업(C)'!C:C, $E$1, 'PPA 사업(C)'!G:G, B27, 'PPA 사업(C)'!W:W, B30)
  + SUMIFS('리스사업(D)'!I:I, '리스사업(D)'!C:C, $E$1, '리스사업(D)'!G:G, B27, '리스사업(D)'!W:W, B30)
  + SUMIFS('임대사업(E)'!I:I, '임대사업(E)'!C:C, $E$1, '임대사업(E)'!G:G, B27, '임대사업(E)'!W:W, B30)
  + SUMIFS('환경부사업(F)'!I:I, '환경부사업(F)'!C:C, $E$1, '환경부사업(F)'!G:G, B27, '환경부사업(F)'!W:W, B30)
  + SUMIFS('프로젝트(G)'!I:I, '프로젝트(G)'!C:C, $E$1, '프로젝트(G)'!G:G, B27, '프로젝트(G)'!W:W, B30)
  + SUMIFS('협력사 EPC(H)'!I:I, '협력사 EPC(H)'!C:C, $E$1, '협력사 EPC(H)'!G:G, B27, '협력사 EPC(H)'!W:W, B30)
  + SUMIFS('기타(Z)'!I:I, '기타(Z)'!C:C, $E$1, '기타(Z)'!G:G, B27, '기타(Z)'!W:W, B30)
)</f>
        <v/>
      </c>
      <c r="D30" s="281" t="str">
        <f>IF(
  COUNTIFS('발전사업(A)'!C:C, $E$1, '발전사업(A)'!G:G, B27, '발전사업(A)'!W:W, B30)
  + COUNTIFS('자가소비(B)'!C:C, $E$1, '자가소비(B)'!G:G, B27, '자가소비(B)'!W:W, B30)
  + COUNTIFS('PPA 사업(C)'!C:C, $E$1, 'PPA 사업(C)'!G:G, B27, 'PPA 사업(C)'!W:W, B30)
  + COUNTIFS('리스사업(D)'!C:C, $E$1, '리스사업(D)'!G:G, B27, '리스사업(D)'!W:W, B30)
  + COUNTIFS('임대사업(E)'!C:C, $E$1, '임대사업(E)'!G:G, B27, '임대사업(E)'!W:W, B30)
  + COUNTIFS('환경부사업(F)'!C:C, $E$1, '환경부사업(F)'!G:G, B27, '환경부사업(F)'!W:W, B30)
  + COUNTIFS('프로젝트(G)'!C:C, $E$1, '프로젝트(G)'!G:G, B27, '프로젝트(G)'!W:W, B30)
  + COUNTIFS('협력사 EPC(H)'!C:C, $E$1, '협력사 EPC(H)'!G:G, B27, '협력사 EPC(H)'!W:W, B30)
  + COUNTIFS('기타(Z)'!C:C, $E$1, '기타(Z)'!G:G, B27, '기타(Z)'!W:W, B30)
  = 0,
  "",
  COUNTIFS('발전사업(A)'!C:C, $E$1, '발전사업(A)'!G:G, B27, '발전사업(A)'!W:W, B30)
  + COUNTIFS('자가소비(B)'!C:C, $E$1, '자가소비(B)'!G:G, B27, '자가소비(B)'!W:W, B30)
  + COUNTIFS('PPA 사업(C)'!C:C, $E$1, 'PPA 사업(C)'!G:G, B27, 'PPA 사업(C)'!W:W, B30)
  + COUNTIFS('리스사업(D)'!C:C, $E$1, '리스사업(D)'!G:G, B27, '리스사업(D)'!W:W, B30)
  + COUNTIFS('임대사업(E)'!C:C, $E$1, '임대사업(E)'!G:G, B27, '임대사업(E)'!W:W, B30)
  + COUNTIFS('환경부사업(F)'!C:C, $E$1, '환경부사업(F)'!G:G, B27, '환경부사업(F)'!W:W, B30)
  + COUNTIFS('프로젝트(G)'!C:C, $E$1, '프로젝트(G)'!G:G, B27, '프로젝트(G)'!W:W, B30)
  + COUNTIFS('협력사 EPC(H)'!C:C, $E$1, '협력사 EPC(H)'!G:G, B27, '협력사 EPC(H)'!W:W, B30)
  + COUNTIFS('기타(Z)'!C:C, $E$1, '기타(Z)'!G:G, B27, '기타(Z)'!W:W, B30)
)</f>
        <v/>
      </c>
      <c r="E30" s="280" t="str">
        <f>IF(
  SUM(
    SUMIFS('발전사업(A)'!I:I, '발전사업(A)'!C:C, $E$1, '발전사업(A)'!G:G, B27, '발전사업(A)'!W:W, B30, '발전사업(A)'!U:U, $C$1),
    SUMIFS('자가소비(B)'!I:I, '자가소비(B)'!C:C, $E$1, '자가소비(B)'!G:G, B27, '자가소비(B)'!W:W, B30, '자가소비(B)'!U:U, $C$1),
    SUMIFS('PPA 사업(C)'!I:I, 'PPA 사업(C)'!C:C, $E$1, 'PPA 사업(C)'!G:G, B27, 'PPA 사업(C)'!W:W, B30, 'PPA 사업(C)'!U:U, $C$1),
    SUMIFS('리스사업(D)'!I:I, '리스사업(D)'!C:C, $E$1, '리스사업(D)'!G:G, B27, '리스사업(D)'!W:W, B30, '리스사업(D)'!U:U, $C$1),
    SUMIFS('임대사업(E)'!I:I, '임대사업(E)'!C:C, $E$1, '임대사업(E)'!G:G, B27, '임대사업(E)'!W:W, B30, '임대사업(E)'!U:U, $C$1),
    SUMIFS('환경부사업(F)'!I:I, '환경부사업(F)'!C:C, $E$1, '환경부사업(F)'!G:G, B27, '환경부사업(F)'!W:W, B30, '환경부사업(F)'!U:U, $C$1),
    SUMIFS('프로젝트(G)'!I:I, '프로젝트(G)'!C:C, $E$1, '프로젝트(G)'!G:G, B27, '프로젝트(G)'!W:W, B30, '프로젝트(G)'!U:U, $C$1),
    SUMIFS('협력사 EPC(H)'!I:I, '협력사 EPC(H)'!C:C, $E$1, '협력사 EPC(H)'!G:G, B27, '협력사 EPC(H)'!W:W, B30, '협력사 EPC(H)'!U:U, $C$1),
    SUMIFS('기타(Z)'!I:I, '기타(Z)'!C:C, $E$1, '기타(Z)'!G:G, B27, '기타(Z)'!W:W, B30, '기타(Z)'!U:U, $C$1)
  ) = 0,
  "",
  SUM(
    SUMIFS('발전사업(A)'!I:I, '발전사업(A)'!C:C, $E$1, '발전사업(A)'!G:G, B27, '발전사업(A)'!W:W, B30, '발전사업(A)'!U:U, $C$1),
    SUMIFS('자가소비(B)'!I:I, '자가소비(B)'!C:C, $E$1, '자가소비(B)'!G:G, B27, '자가소비(B)'!W:W, B30, '자가소비(B)'!U:U, $C$1),
    SUMIFS('PPA 사업(C)'!I:I, 'PPA 사업(C)'!C:C, $E$1, 'PPA 사업(C)'!G:G, B27, 'PPA 사업(C)'!W:W, B30, 'PPA 사업(C)'!U:U, $C$1),
    SUMIFS('리스사업(D)'!I:I, '리스사업(D)'!C:C, $E$1, '리스사업(D)'!G:G, B27, '리스사업(D)'!W:W, B30, '리스사업(D)'!U:U, $C$1),
    SUMIFS('임대사업(E)'!I:I, '임대사업(E)'!C:C, $E$1, '임대사업(E)'!G:G, B27, '임대사업(E)'!W:W, B30, '임대사업(E)'!U:U, $C$1),
    SUMIFS('환경부사업(F)'!I:I, '환경부사업(F)'!C:C, $E$1, '환경부사업(F)'!G:G, B27, '환경부사업(F)'!W:W, B30, '환경부사업(F)'!U:U, $C$1),
    SUMIFS('프로젝트(G)'!I:I, '프로젝트(G)'!C:C, $E$1, '프로젝트(G)'!G:G, B27, '프로젝트(G)'!W:W, B30, '프로젝트(G)'!U:U, $C$1),
    SUMIFS('협력사 EPC(H)'!I:I, '협력사 EPC(H)'!C:C, $E$1, '협력사 EPC(H)'!G:G, B27, '협력사 EPC(H)'!W:W, B30, '협력사 EPC(H)'!U:U, $C$1),
    SUMIFS('기타(Z)'!I:I, '기타(Z)'!C:C, $E$1, '기타(Z)'!G:G, B27, '기타(Z)'!W:W, B30, '기타(Z)'!U:U, $C$1)
  )
)</f>
        <v/>
      </c>
      <c r="F30" s="281" t="str">
        <f>IF(
  SUM(
    COUNTIFS('발전사업(A)'!C:C, $E$1, '발전사업(A)'!G:G, B27, '발전사업(A)'!W:W, B30, '발전사업(A)'!U:U, $C$1),
    COUNTIFS('자가소비(B)'!C:C, $E$1, '자가소비(B)'!G:G, B27, '자가소비(B)'!W:W, B30, '자가소비(B)'!U:U, $C$1),
    COUNTIFS('PPA 사업(C)'!C:C, $E$1, 'PPA 사업(C)'!G:G, B27, 'PPA 사업(C)'!W:W, B30, 'PPA 사업(C)'!U:U, $C$1),
    COUNTIFS('리스사업(D)'!C:C, $E$1, '리스사업(D)'!G:G, B27, '리스사업(D)'!W:W, B30, '리스사업(D)'!U:U, $C$1),
    COUNTIFS('임대사업(E)'!C:C, $E$1, '임대사업(E)'!G:G, B27, '임대사업(E)'!W:W, B30, '임대사업(E)'!U:U, $C$1),
    COUNTIFS('환경부사업(F)'!C:C, $E$1, '환경부사업(F)'!G:G, B27, '환경부사업(F)'!W:W, B30, '환경부사업(F)'!U:U, $C$1),
    COUNTIFS('프로젝트(G)'!C:C, $E$1, '프로젝트(G)'!G:G, B27, '프로젝트(G)'!W:W, B30, '프로젝트(G)'!U:U, $C$1),
    COUNTIFS('협력사 EPC(H)'!C:C, $E$1, '협력사 EPC(H)'!G:G, B27, '협력사 EPC(H)'!W:W, B30, '협력사 EPC(H)'!U:U, $C$1),
    COUNTIFS('기타(Z)'!C:C, $E$1, '기타(Z)'!G:G, B27, '기타(Z)'!W:W, B30, '기타(Z)'!U:U, $C$1)
  ) = 0,
  "",
  SUM(
    COUNTIFS('발전사업(A)'!C:C, $E$1, '발전사업(A)'!G:G, B27, '발전사업(A)'!W:W, B30, '발전사업(A)'!U:U, $C$1),
    COUNTIFS('자가소비(B)'!C:C, $E$1, '자가소비(B)'!G:G, B27, '자가소비(B)'!W:W, B30, '자가소비(B)'!U:U, $C$1),
    COUNTIFS('PPA 사업(C)'!C:C, $E$1, 'PPA 사업(C)'!G:G, B27, 'PPA 사업(C)'!W:W, B30, 'PPA 사업(C)'!U:U, $C$1),
    COUNTIFS('리스사업(D)'!C:C, $E$1, '리스사업(D)'!G:G, B27, '리스사업(D)'!W:W, B30, '리스사업(D)'!U:U, $C$1),
    COUNTIFS('임대사업(E)'!C:C, $E$1, '임대사업(E)'!G:G, B27, '임대사업(E)'!W:W, B30, '임대사업(E)'!U:U, $C$1),
    COUNTIFS('환경부사업(F)'!C:C, $E$1, '환경부사업(F)'!G:G, B27, '환경부사업(F)'!W:W, B30, '환경부사업(F)'!U:U, $C$1),
    COUNTIFS('프로젝트(G)'!C:C, $E$1, '프로젝트(G)'!G:G, B27, '프로젝트(G)'!W:W, B30, '프로젝트(G)'!U:U, $C$1),
    COUNTIFS('협력사 EPC(H)'!C:C, $E$1, '협력사 EPC(H)'!G:G, B27, '협력사 EPC(H)'!W:W, B30, '협력사 EPC(H)'!U:U, $C$1),
    COUNTIFS('기타(Z)'!C:C, $E$1, '기타(Z)'!G:G, B27, '기타(Z)'!W:W, B30, '기타(Z)'!U:U, $C$1)
  )
)</f>
        <v/>
      </c>
      <c r="G30" s="280" t="str">
        <f>IF(
  SUM(
    SUMIFS('발전사업(A)'!I:I, '발전사업(A)'!C:C, $E$1, '발전사업(A)'!G:G, B27, '발전사업(A)'!W:W, B30, '발전사업(A)'!U:U, $D$1),
    SUMIFS('자가소비(B)'!I:I, '자가소비(B)'!C:C, $E$1, '자가소비(B)'!G:G, B27, '자가소비(B)'!W:W, B30, '자가소비(B)'!U:U, $D$1),
    SUMIFS('PPA 사업(C)'!I:I, 'PPA 사업(C)'!C:C, $E$1, 'PPA 사업(C)'!G:G, B27, 'PPA 사업(C)'!W:W, B30, 'PPA 사업(C)'!U:U, $D$1),
    SUMIFS('리스사업(D)'!I:I, '리스사업(D)'!C:C, $E$1, '리스사업(D)'!G:G, B27, '리스사업(D)'!W:W, B30, '리스사업(D)'!U:U, $D$1),
    SUMIFS('임대사업(E)'!I:I, '임대사업(E)'!C:C, $E$1, '임대사업(E)'!G:G, B27, '임대사업(E)'!W:W, B30, '임대사업(E)'!U:U, $D$1),
    SUMIFS('환경부사업(F)'!I:I, '환경부사업(F)'!C:C, $E$1, '환경부사업(F)'!G:G, B27, '환경부사업(F)'!W:W, B30, '환경부사업(F)'!U:U, $D$1),
    SUMIFS('프로젝트(G)'!I:I, '프로젝트(G)'!C:C, $E$1, '프로젝트(G)'!G:G, B27, '프로젝트(G)'!W:W, B30, '프로젝트(G)'!U:U, $D$1),
    SUMIFS('협력사 EPC(H)'!I:I, '협력사 EPC(H)'!C:C, $E$1, '협력사 EPC(H)'!G:G, B27, '협력사 EPC(H)'!W:W, B30, '협력사 EPC(H)'!U:U, $D$1),
    SUMIFS('기타(Z)'!I:I, '기타(Z)'!C:C, $E$1, '기타(Z)'!G:G, B27, '기타(Z)'!W:W, B30, '기타(Z)'!U:U, $D$1)
  ) = 0,
  "",
  SUM(
    SUMIFS('발전사업(A)'!I:I, '발전사업(A)'!C:C, $E$1, '발전사업(A)'!G:G, B27, '발전사업(A)'!W:W, B30, '발전사업(A)'!U:U, $D$1),
    SUMIFS('자가소비(B)'!I:I, '자가소비(B)'!C:C, $E$1, '자가소비(B)'!G:G, B27, '자가소비(B)'!W:W, B30, '자가소비(B)'!U:U, $D$1),
    SUMIFS('PPA 사업(C)'!I:I, 'PPA 사업(C)'!C:C, $E$1, 'PPA 사업(C)'!G:G, B27, 'PPA 사업(C)'!W:W, B30, 'PPA 사업(C)'!U:U, $D$1),
    SUMIFS('리스사업(D)'!I:I, '리스사업(D)'!C:C, $E$1, '리스사업(D)'!G:G, B27, '리스사업(D)'!W:W, B30, '리스사업(D)'!U:U, $D$1),
    SUMIFS('임대사업(E)'!I:I, '임대사업(E)'!C:C, $E$1, '임대사업(E)'!G:G, B27, '임대사업(E)'!W:W, B30, '임대사업(E)'!U:U, $D$1),
    SUMIFS('환경부사업(F)'!I:I, '환경부사업(F)'!C:C, $E$1, '환경부사업(F)'!G:G, B27, '환경부사업(F)'!W:W, B30, '환경부사업(F)'!U:U, $D$1),
    SUMIFS('프로젝트(G)'!I:I, '프로젝트(G)'!C:C, $E$1, '프로젝트(G)'!G:G, B27, '프로젝트(G)'!W:W, B30, '프로젝트(G)'!U:U, $D$1),
    SUMIFS('협력사 EPC(H)'!I:I, '협력사 EPC(H)'!C:C, $E$1, '협력사 EPC(H)'!G:G, B27, '협력사 EPC(H)'!W:W, B30, '협력사 EPC(H)'!U:U, $D$1),
    SUMIFS('기타(Z)'!I:I, '기타(Z)'!C:C, $E$1, '기타(Z)'!G:G, B27, '기타(Z)'!W:W, B30, '기타(Z)'!U:U, $D$1)
  )
)</f>
        <v/>
      </c>
      <c r="H30" s="281" t="str">
        <f>IF(
  (
    COUNTIFS('발전사업(A)'!C:C, $E$1, '발전사업(A)'!G:G, B27, '발전사업(A)'!W:W, B30, '발전사업(A)'!U:U, $D$1)
    + COUNTIFS('자가소비(B)'!C:C, $E$1, '자가소비(B)'!G:G, B27, '자가소비(B)'!W:W, B30, '자가소비(B)'!U:U, $D$1)
    + COUNTIFS('PPA 사업(C)'!C:C, $E$1, 'PPA 사업(C)'!G:G, B27, 'PPA 사업(C)'!W:W, B30, 'PPA 사업(C)'!U:U, $D$1)
    + COUNTIFS('리스사업(D)'!C:C, $E$1, '리스사업(D)'!G:G, B27, '리스사업(D)'!W:W, B30, '리스사업(D)'!U:U, $D$1)
    + COUNTIFS('임대사업(E)'!C:C, $E$1, '임대사업(E)'!G:G, B27, '임대사업(E)'!W:W, B30, '임대사업(E)'!U:U, $D$1)
    + COUNTIFS('환경부사업(F)'!C:C, $E$1, '환경부사업(F)'!G:G, B27, '환경부사업(F)'!W:W, B30, '환경부사업(F)'!U:U, $D$1)
    + COUNTIFS('프로젝트(G)'!C:C, $E$1, '프로젝트(G)'!G:G, B27, '프로젝트(G)'!W:W, B30, '프로젝트(G)'!U:U, $D$1)
    + COUNTIFS('협력사 EPC(H)'!C:C, $E$1, '협력사 EPC(H)'!G:G, B27, '협력사 EPC(H)'!W:W, B30, '협력사 EPC(H)'!U:U, $D$1)
    + COUNTIFS('기타(Z)'!C:C, $E$1, '기타(Z)'!G:G, B27, '기타(Z)'!W:W, B30, '기타(Z)'!U:U, $D$1)
  ) = 0,
  "",
  COUNTIFS('발전사업(A)'!C:C, $E$1, '발전사업(A)'!G:G, B27, '발전사업(A)'!W:W, B30, '발전사업(A)'!U:U, $D$1)
  + COUNTIFS('자가소비(B)'!C:C, $E$1, '자가소비(B)'!G:G, B27, '자가소비(B)'!W:W, B30, '자가소비(B)'!U:U, $D$1)
  + COUNTIFS('PPA 사업(C)'!C:C, $E$1, 'PPA 사업(C)'!G:G, B27, 'PPA 사업(C)'!W:W, B30, 'PPA 사업(C)'!U:U, $D$1)
  + COUNTIFS('리스사업(D)'!C:C, $E$1, '리스사업(D)'!G:G, B27, '리스사업(D)'!W:W, B30, '리스사업(D)'!U:U, $D$1)
  + COUNTIFS('임대사업(E)'!C:C, $E$1, '임대사업(E)'!G:G, B27, '임대사업(E)'!W:W, B30, '임대사업(E)'!U:U, $D$1)
  + COUNTIFS('환경부사업(F)'!C:C, $E$1, '환경부사업(F)'!G:G, B27, '환경부사업(F)'!W:W, B30, '환경부사업(F)'!U:U, $D$1)
  + COUNTIFS('프로젝트(G)'!C:C, $E$1, '프로젝트(G)'!G:G, B27, '프로젝트(G)'!W:W, B30, '프로젝트(G)'!U:U, $D$1)
  + COUNTIFS('협력사 EPC(H)'!C:C, $E$1, '협력사 EPC(H)'!G:G, B27, '협력사 EPC(H)'!W:W, B30, '협력사 EPC(H)'!U:U, $D$1)
  + COUNTIFS('기타(Z)'!C:C, $E$1, '기타(Z)'!G:G, B27, '기타(Z)'!W:W, B30, '기타(Z)'!U:U, $D$1)
)</f>
        <v/>
      </c>
    </row>
    <row r="31" spans="2:36" x14ac:dyDescent="0.25">
      <c r="B31" s="202" t="s">
        <v>261</v>
      </c>
      <c r="C31" s="280" t="str">
        <f>IF(
  SUM(
    SUMIFS('발전사업(A)'!I:I, '발전사업(A)'!C:C, $E$1, '발전사업(A)'!G:G, B27, '발전사업(A)'!W:W, B31),
    SUMIFS('자가소비(B)'!I:I, '자가소비(B)'!C:C, $E$1, '자가소비(B)'!G:G, B27, '자가소비(B)'!W:W, B31),
    SUMIFS('PPA 사업(C)'!I:I, 'PPA 사업(C)'!C:C, $E$1, 'PPA 사업(C)'!G:G, B27, 'PPA 사업(C)'!W:W, B31),
    SUMIFS('리스사업(D)'!I:I, '리스사업(D)'!C:C, $E$1, '리스사업(D)'!G:G, B27, '리스사업(D)'!W:W, B31),
    SUMIFS('임대사업(E)'!I:I, '임대사업(E)'!C:C, $E$1, '임대사업(E)'!G:G, B27, '임대사업(E)'!W:W, B31),
    SUMIFS('환경부사업(F)'!I:I, '환경부사업(F)'!C:C, $E$1, '환경부사업(F)'!G:G, B27, '환경부사업(F)'!W:W, B31),
    SUMIFS('프로젝트(G)'!I:I, '프로젝트(G)'!C:C, $E$1, '프로젝트(G)'!G:G, B27, '프로젝트(G)'!W:W, B31),
    SUMIFS('협력사 EPC(H)'!I:I, '협력사 EPC(H)'!C:C, $E$1, '협력사 EPC(H)'!G:G, B27, '협력사 EPC(H)'!W:W, B31),
    SUMIFS('기타(Z)'!I:I, '기타(Z)'!C:C, $E$1, '기타(Z)'!G:G, B27, '기타(Z)'!W:W, B31)
  ) = 0,
  "",
  SUMIFS('발전사업(A)'!I:I, '발전사업(A)'!C:C, $E$1, '발전사업(A)'!G:G, B27, '발전사업(A)'!W:W, B31)
  + SUMIFS('자가소비(B)'!I:I, '자가소비(B)'!C:C, $E$1, '자가소비(B)'!G:G, B27, '자가소비(B)'!W:W, B31)
  + SUMIFS('PPA 사업(C)'!I:I, 'PPA 사업(C)'!C:C, $E$1, 'PPA 사업(C)'!G:G, B27, 'PPA 사업(C)'!W:W, B31)
  + SUMIFS('리스사업(D)'!I:I, '리스사업(D)'!C:C, $E$1, '리스사업(D)'!G:G, B27, '리스사업(D)'!W:W, B31)
  + SUMIFS('임대사업(E)'!I:I, '임대사업(E)'!C:C, $E$1, '임대사업(E)'!G:G, B27, '임대사업(E)'!W:W, B31)
  + SUMIFS('환경부사업(F)'!I:I, '환경부사업(F)'!C:C, $E$1, '환경부사업(F)'!G:G, B27, '환경부사업(F)'!W:W, B31)
  + SUMIFS('프로젝트(G)'!I:I, '프로젝트(G)'!C:C, $E$1, '프로젝트(G)'!G:G, B27, '프로젝트(G)'!W:W, B31)
  + SUMIFS('협력사 EPC(H)'!I:I, '협력사 EPC(H)'!C:C, $E$1, '협력사 EPC(H)'!G:G, B27, '협력사 EPC(H)'!W:W, B31)
  + SUMIFS('기타(Z)'!I:I, '기타(Z)'!C:C, $E$1, '기타(Z)'!G:G, B27, '기타(Z)'!W:W, B31)
)</f>
        <v/>
      </c>
      <c r="D31" s="281" t="str">
        <f>IF(
  COUNTIFS('발전사업(A)'!C:C, $E$1, '발전사업(A)'!G:G, B27, '발전사업(A)'!W:W, B31)
  + COUNTIFS('자가소비(B)'!C:C, $E$1, '자가소비(B)'!G:G, B27, '자가소비(B)'!W:W, B31)
  + COUNTIFS('PPA 사업(C)'!C:C, $E$1, 'PPA 사업(C)'!G:G, B27, 'PPA 사업(C)'!W:W, B31)
  + COUNTIFS('리스사업(D)'!C:C, $E$1, '리스사업(D)'!G:G, B27, '리스사업(D)'!W:W, B31)
  + COUNTIFS('임대사업(E)'!C:C, $E$1, '임대사업(E)'!G:G, B27, '임대사업(E)'!W:W, B31)
  + COUNTIFS('환경부사업(F)'!C:C, $E$1, '환경부사업(F)'!G:G, B27, '환경부사업(F)'!W:W, B31)
  + COUNTIFS('프로젝트(G)'!C:C, $E$1, '프로젝트(G)'!G:G, B27, '프로젝트(G)'!W:W, B31)
  + COUNTIFS('협력사 EPC(H)'!C:C, $E$1, '협력사 EPC(H)'!G:G, B27, '협력사 EPC(H)'!W:W, B31)
  + COUNTIFS('기타(Z)'!C:C, $E$1, '기타(Z)'!G:G, B27, '기타(Z)'!W:W, B31)
  = 0,
  "",
  COUNTIFS('발전사업(A)'!C:C, $E$1, '발전사업(A)'!G:G, B27, '발전사업(A)'!W:W, B31)
  + COUNTIFS('자가소비(B)'!C:C, $E$1, '자가소비(B)'!G:G, B27, '자가소비(B)'!W:W, B31)
  + COUNTIFS('PPA 사업(C)'!C:C, $E$1, 'PPA 사업(C)'!G:G, B27, 'PPA 사업(C)'!W:W, B31)
  + COUNTIFS('리스사업(D)'!C:C, $E$1, '리스사업(D)'!G:G, B27, '리스사업(D)'!W:W, B31)
  + COUNTIFS('임대사업(E)'!C:C, $E$1, '임대사업(E)'!G:G, B27, '임대사업(E)'!W:W, B31)
  + COUNTIFS('환경부사업(F)'!C:C, $E$1, '환경부사업(F)'!G:G, B27, '환경부사업(F)'!W:W, B31)
  + COUNTIFS('프로젝트(G)'!C:C, $E$1, '프로젝트(G)'!G:G, B27, '프로젝트(G)'!W:W, B31)
  + COUNTIFS('협력사 EPC(H)'!C:C, $E$1, '협력사 EPC(H)'!G:G, B27, '협력사 EPC(H)'!W:W, B31)
  + COUNTIFS('기타(Z)'!C:C, $E$1, '기타(Z)'!G:G, B27, '기타(Z)'!W:W, B31)
)</f>
        <v/>
      </c>
      <c r="E31" s="280" t="str">
        <f>IF(
  SUM(
    SUMIFS('발전사업(A)'!I:I, '발전사업(A)'!C:C, $E$1, '발전사업(A)'!G:G, B27, '발전사업(A)'!W:W, B31, '발전사업(A)'!U:U, $C$1),
    SUMIFS('자가소비(B)'!I:I, '자가소비(B)'!C:C, $E$1, '자가소비(B)'!G:G, B27, '자가소비(B)'!W:W, B31, '자가소비(B)'!U:U, $C$1),
    SUMIFS('PPA 사업(C)'!I:I, 'PPA 사업(C)'!C:C, $E$1, 'PPA 사업(C)'!G:G, B27, 'PPA 사업(C)'!W:W, B31, 'PPA 사업(C)'!U:U, $C$1),
    SUMIFS('리스사업(D)'!I:I, '리스사업(D)'!C:C, $E$1, '리스사업(D)'!G:G, B27, '리스사업(D)'!W:W, B31, '리스사업(D)'!U:U, $C$1),
    SUMIFS('임대사업(E)'!I:I, '임대사업(E)'!C:C, $E$1, '임대사업(E)'!G:G, B27, '임대사업(E)'!W:W, B31, '임대사업(E)'!U:U, $C$1),
    SUMIFS('환경부사업(F)'!I:I, '환경부사업(F)'!C:C, $E$1, '환경부사업(F)'!G:G, B27, '환경부사업(F)'!W:W, B31, '환경부사업(F)'!U:U, $C$1),
    SUMIFS('프로젝트(G)'!I:I, '프로젝트(G)'!C:C, $E$1, '프로젝트(G)'!G:G, B27, '프로젝트(G)'!W:W, B31, '프로젝트(G)'!U:U, $C$1),
    SUMIFS('협력사 EPC(H)'!I:I, '협력사 EPC(H)'!C:C, $E$1, '협력사 EPC(H)'!G:G, B27, '협력사 EPC(H)'!W:W, B31, '협력사 EPC(H)'!U:U, $C$1),
    SUMIFS('기타(Z)'!I:I, '기타(Z)'!C:C, $E$1, '기타(Z)'!G:G, B27, '기타(Z)'!W:W, B31, '기타(Z)'!U:U, $C$1)
  ) = 0,
  "",
  SUM(
    SUMIFS('발전사업(A)'!I:I, '발전사업(A)'!C:C, $E$1, '발전사업(A)'!G:G, B27, '발전사업(A)'!W:W, B31, '발전사업(A)'!U:U, $C$1),
    SUMIFS('자가소비(B)'!I:I, '자가소비(B)'!C:C, $E$1, '자가소비(B)'!G:G, B27, '자가소비(B)'!W:W, B31, '자가소비(B)'!U:U, $C$1),
    SUMIFS('PPA 사업(C)'!I:I, 'PPA 사업(C)'!C:C, $E$1, 'PPA 사업(C)'!G:G, B27, 'PPA 사업(C)'!W:W, B31, 'PPA 사업(C)'!U:U, $C$1),
    SUMIFS('리스사업(D)'!I:I, '리스사업(D)'!C:C, $E$1, '리스사업(D)'!G:G, B27, '리스사업(D)'!W:W, B31, '리스사업(D)'!U:U, $C$1),
    SUMIFS('임대사업(E)'!I:I, '임대사업(E)'!C:C, $E$1, '임대사업(E)'!G:G, B27, '임대사업(E)'!W:W, B31, '임대사업(E)'!U:U, $C$1),
    SUMIFS('환경부사업(F)'!I:I, '환경부사업(F)'!C:C, $E$1, '환경부사업(F)'!G:G, B27, '환경부사업(F)'!W:W, B31, '환경부사업(F)'!U:U, $C$1),
    SUMIFS('프로젝트(G)'!I:I, '프로젝트(G)'!C:C, $E$1, '프로젝트(G)'!G:G, B27, '프로젝트(G)'!W:W, B31, '프로젝트(G)'!U:U, $C$1),
    SUMIFS('협력사 EPC(H)'!I:I, '협력사 EPC(H)'!C:C, $E$1, '협력사 EPC(H)'!G:G, B27, '협력사 EPC(H)'!W:W, B31, '협력사 EPC(H)'!U:U, $C$1),
    SUMIFS('기타(Z)'!I:I, '기타(Z)'!C:C, $E$1, '기타(Z)'!G:G, B27, '기타(Z)'!W:W, B31, '기타(Z)'!U:U, $C$1)
  )
)</f>
        <v/>
      </c>
      <c r="F31" s="281" t="str">
        <f>IF(
  SUM(
    COUNTIFS('발전사업(A)'!C:C, $E$1, '발전사업(A)'!G:G, B27, '발전사업(A)'!W:W, B31, '발전사업(A)'!U:U, $C$1),
    COUNTIFS('자가소비(B)'!C:C, $E$1, '자가소비(B)'!G:G, B27, '자가소비(B)'!W:W, B31, '자가소비(B)'!U:U, $C$1),
    COUNTIFS('PPA 사업(C)'!C:C, $E$1, 'PPA 사업(C)'!G:G, B27, 'PPA 사업(C)'!W:W, B31, 'PPA 사업(C)'!U:U, $C$1),
    COUNTIFS('리스사업(D)'!C:C, $E$1, '리스사업(D)'!G:G, B27, '리스사업(D)'!W:W, B31, '리스사업(D)'!U:U, $C$1),
    COUNTIFS('임대사업(E)'!C:C, $E$1, '임대사업(E)'!G:G, B27, '임대사업(E)'!W:W, B31, '임대사업(E)'!U:U, $C$1),
    COUNTIFS('환경부사업(F)'!C:C, $E$1, '환경부사업(F)'!G:G, B27, '환경부사업(F)'!W:W, B31, '환경부사업(F)'!U:U, $C$1),
    COUNTIFS('프로젝트(G)'!C:C, $E$1, '프로젝트(G)'!G:G, B27, '프로젝트(G)'!W:W, B31, '프로젝트(G)'!U:U, $C$1),
    COUNTIFS('협력사 EPC(H)'!C:C, $E$1, '협력사 EPC(H)'!G:G, B27, '협력사 EPC(H)'!W:W, B31, '협력사 EPC(H)'!U:U, $C$1),
    COUNTIFS('기타(Z)'!C:C, $E$1, '기타(Z)'!G:G, B27, '기타(Z)'!W:W, B31, '기타(Z)'!U:U, $C$1)
  ) = 0,
  "",
  SUM(
    COUNTIFS('발전사업(A)'!C:C, $E$1, '발전사업(A)'!G:G, B27, '발전사업(A)'!W:W, B31, '발전사업(A)'!U:U, $C$1),
    COUNTIFS('자가소비(B)'!C:C, $E$1, '자가소비(B)'!G:G, B27, '자가소비(B)'!W:W, B31, '자가소비(B)'!U:U, $C$1),
    COUNTIFS('PPA 사업(C)'!C:C, $E$1, 'PPA 사업(C)'!G:G, B27, 'PPA 사업(C)'!W:W, B31, 'PPA 사업(C)'!U:U, $C$1),
    COUNTIFS('리스사업(D)'!C:C, $E$1, '리스사업(D)'!G:G, B27, '리스사업(D)'!W:W, B31, '리스사업(D)'!U:U, $C$1),
    COUNTIFS('임대사업(E)'!C:C, $E$1, '임대사업(E)'!G:G, B27, '임대사업(E)'!W:W, B31, '임대사업(E)'!U:U, $C$1),
    COUNTIFS('환경부사업(F)'!C:C, $E$1, '환경부사업(F)'!G:G, B27, '환경부사업(F)'!W:W, B31, '환경부사업(F)'!U:U, $C$1),
    COUNTIFS('프로젝트(G)'!C:C, $E$1, '프로젝트(G)'!G:G, B27, '프로젝트(G)'!W:W, B31, '프로젝트(G)'!U:U, $C$1),
    COUNTIFS('협력사 EPC(H)'!C:C, $E$1, '협력사 EPC(H)'!G:G, B27, '협력사 EPC(H)'!W:W, B31, '협력사 EPC(H)'!U:U, $C$1),
    COUNTIFS('기타(Z)'!C:C, $E$1, '기타(Z)'!G:G, B27, '기타(Z)'!W:W, B31, '기타(Z)'!U:U, $C$1)
  )
)</f>
        <v/>
      </c>
      <c r="G31" s="280" t="str">
        <f>IF(
  SUM(
    SUMIFS('발전사업(A)'!I:I, '발전사업(A)'!C:C, $E$1, '발전사업(A)'!G:G, B27, '발전사업(A)'!W:W, B31, '발전사업(A)'!U:U, $D$1),
    SUMIFS('자가소비(B)'!I:I, '자가소비(B)'!C:C, $E$1, '자가소비(B)'!G:G, B27, '자가소비(B)'!W:W, B31, '자가소비(B)'!U:U, $D$1),
    SUMIFS('PPA 사업(C)'!I:I, 'PPA 사업(C)'!C:C, $E$1, 'PPA 사업(C)'!G:G, B27, 'PPA 사업(C)'!W:W, B31, 'PPA 사업(C)'!U:U, $D$1),
    SUMIFS('리스사업(D)'!I:I, '리스사업(D)'!C:C, $E$1, '리스사업(D)'!G:G, B27, '리스사업(D)'!W:W, B31, '리스사업(D)'!U:U, $D$1),
    SUMIFS('임대사업(E)'!I:I, '임대사업(E)'!C:C, $E$1, '임대사업(E)'!G:G, B27, '임대사업(E)'!W:W, B31, '임대사업(E)'!U:U, $D$1),
    SUMIFS('환경부사업(F)'!I:I, '환경부사업(F)'!C:C, $E$1, '환경부사업(F)'!G:G, B27, '환경부사업(F)'!W:W, B31, '환경부사업(F)'!U:U, $D$1),
    SUMIFS('프로젝트(G)'!I:I, '프로젝트(G)'!C:C, $E$1, '프로젝트(G)'!G:G, B27, '프로젝트(G)'!W:W, B31, '프로젝트(G)'!U:U, $D$1),
    SUMIFS('협력사 EPC(H)'!I:I, '협력사 EPC(H)'!C:C, $E$1, '협력사 EPC(H)'!G:G, B27, '협력사 EPC(H)'!W:W, B31, '협력사 EPC(H)'!U:U, $D$1),
    SUMIFS('기타(Z)'!I:I, '기타(Z)'!C:C, $E$1, '기타(Z)'!G:G, B27, '기타(Z)'!W:W, B31, '기타(Z)'!U:U, $D$1)
  ) = 0,
  "",
  SUM(
    SUMIFS('발전사업(A)'!I:I, '발전사업(A)'!C:C, $E$1, '발전사업(A)'!G:G, B27, '발전사업(A)'!W:W, B31, '발전사업(A)'!U:U, $D$1),
    SUMIFS('자가소비(B)'!I:I, '자가소비(B)'!C:C, $E$1, '자가소비(B)'!G:G, B27, '자가소비(B)'!W:W, B31, '자가소비(B)'!U:U, $D$1),
    SUMIFS('PPA 사업(C)'!I:I, 'PPA 사업(C)'!C:C, $E$1, 'PPA 사업(C)'!G:G, B27, 'PPA 사업(C)'!W:W, B31, 'PPA 사업(C)'!U:U, $D$1),
    SUMIFS('리스사업(D)'!I:I, '리스사업(D)'!C:C, $E$1, '리스사업(D)'!G:G, B27, '리스사업(D)'!W:W, B31, '리스사업(D)'!U:U, $D$1),
    SUMIFS('임대사업(E)'!I:I, '임대사업(E)'!C:C, $E$1, '임대사업(E)'!G:G, B27, '임대사업(E)'!W:W, B31, '임대사업(E)'!U:U, $D$1),
    SUMIFS('환경부사업(F)'!I:I, '환경부사업(F)'!C:C, $E$1, '환경부사업(F)'!G:G, B27, '환경부사업(F)'!W:W, B31, '환경부사업(F)'!U:U, $D$1),
    SUMIFS('프로젝트(G)'!I:I, '프로젝트(G)'!C:C, $E$1, '프로젝트(G)'!G:G, B27, '프로젝트(G)'!W:W, B31, '프로젝트(G)'!U:U, $D$1),
    SUMIFS('협력사 EPC(H)'!I:I, '협력사 EPC(H)'!C:C, $E$1, '협력사 EPC(H)'!G:G, B27, '협력사 EPC(H)'!W:W, B31, '협력사 EPC(H)'!U:U, $D$1),
    SUMIFS('기타(Z)'!I:I, '기타(Z)'!C:C, $E$1, '기타(Z)'!G:G, B27, '기타(Z)'!W:W, B31, '기타(Z)'!U:U, $D$1)
  )
)</f>
        <v/>
      </c>
      <c r="H31" s="281" t="str">
        <f>IF(
  (
    COUNTIFS('발전사업(A)'!C:C, $E$1, '발전사업(A)'!G:G, B27, '발전사업(A)'!W:W, B31, '발전사업(A)'!U:U, $D$1)
    + COUNTIFS('자가소비(B)'!C:C, $E$1, '자가소비(B)'!G:G, B27, '자가소비(B)'!W:W, B31, '자가소비(B)'!U:U, $D$1)
    + COUNTIFS('PPA 사업(C)'!C:C, $E$1, 'PPA 사업(C)'!G:G, B27, 'PPA 사업(C)'!W:W, B31, 'PPA 사업(C)'!U:U, $D$1)
    + COUNTIFS('리스사업(D)'!C:C, $E$1, '리스사업(D)'!G:G, B27, '리스사업(D)'!W:W, B31, '리스사업(D)'!U:U, $D$1)
    + COUNTIFS('임대사업(E)'!C:C, $E$1, '임대사업(E)'!G:G, B27, '임대사업(E)'!W:W, B31, '임대사업(E)'!U:U, $D$1)
    + COUNTIFS('환경부사업(F)'!C:C, $E$1, '환경부사업(F)'!G:G, B27, '환경부사업(F)'!W:W, B31, '환경부사업(F)'!U:U, $D$1)
    + COUNTIFS('프로젝트(G)'!C:C, $E$1, '프로젝트(G)'!G:G, B27, '프로젝트(G)'!W:W, B31, '프로젝트(G)'!U:U, $D$1)
    + COUNTIFS('협력사 EPC(H)'!C:C, $E$1, '협력사 EPC(H)'!G:G, B27, '협력사 EPC(H)'!W:W, B31, '협력사 EPC(H)'!U:U, $D$1)
    + COUNTIFS('기타(Z)'!C:C, $E$1, '기타(Z)'!G:G, B27, '기타(Z)'!W:W, B31, '기타(Z)'!U:U, $D$1)
  ) = 0,
  "",
  COUNTIFS('발전사업(A)'!C:C, $E$1, '발전사업(A)'!G:G, B27, '발전사업(A)'!W:W, B31, '발전사업(A)'!U:U, $D$1)
  + COUNTIFS('자가소비(B)'!C:C, $E$1, '자가소비(B)'!G:G, B27, '자가소비(B)'!W:W, B31, '자가소비(B)'!U:U, $D$1)
  + COUNTIFS('PPA 사업(C)'!C:C, $E$1, 'PPA 사업(C)'!G:G, B27, 'PPA 사업(C)'!W:W, B31, 'PPA 사업(C)'!U:U, $D$1)
  + COUNTIFS('리스사업(D)'!C:C, $E$1, '리스사업(D)'!G:G, B27, '리스사업(D)'!W:W, B31, '리스사업(D)'!U:U, $D$1)
  + COUNTIFS('임대사업(E)'!C:C, $E$1, '임대사업(E)'!G:G, B27, '임대사업(E)'!W:W, B31, '임대사업(E)'!U:U, $D$1)
  + COUNTIFS('환경부사업(F)'!C:C, $E$1, '환경부사업(F)'!G:G, B27, '환경부사업(F)'!W:W, B31, '환경부사업(F)'!U:U, $D$1)
  + COUNTIFS('프로젝트(G)'!C:C, $E$1, '프로젝트(G)'!G:G, B27, '프로젝트(G)'!W:W, B31, '프로젝트(G)'!U:U, $D$1)
  + COUNTIFS('협력사 EPC(H)'!C:C, $E$1, '협력사 EPC(H)'!G:G, B27, '협력사 EPC(H)'!W:W, B31, '협력사 EPC(H)'!U:U, $D$1)
  + COUNTIFS('기타(Z)'!C:C, $E$1, '기타(Z)'!G:G, B27, '기타(Z)'!W:W, B31, '기타(Z)'!U:U, $D$1)
)</f>
        <v/>
      </c>
    </row>
    <row r="32" spans="2:36" x14ac:dyDescent="0.25">
      <c r="B32" s="202" t="s">
        <v>262</v>
      </c>
      <c r="C32" s="280">
        <f>IF(
  SUM(
    SUMIFS('발전사업(A)'!I:I, '발전사업(A)'!C:C, $E$1, '발전사업(A)'!G:G, B27, '발전사업(A)'!W:W, B32),
    SUMIFS('자가소비(B)'!I:I, '자가소비(B)'!C:C, $E$1, '자가소비(B)'!G:G, B27, '자가소비(B)'!W:W, B32),
    SUMIFS('PPA 사업(C)'!I:I, 'PPA 사업(C)'!C:C, $E$1, 'PPA 사업(C)'!G:G, B27, 'PPA 사업(C)'!W:W, B32),
    SUMIFS('리스사업(D)'!I:I, '리스사업(D)'!C:C, $E$1, '리스사업(D)'!G:G, B27, '리스사업(D)'!W:W, B32),
    SUMIFS('임대사업(E)'!I:I, '임대사업(E)'!C:C, $E$1, '임대사업(E)'!G:G, B27, '임대사업(E)'!W:W, B32),
    SUMIFS('환경부사업(F)'!I:I, '환경부사업(F)'!C:C, $E$1, '환경부사업(F)'!G:G, B27, '환경부사업(F)'!W:W, B32),
    SUMIFS('프로젝트(G)'!I:I, '프로젝트(G)'!C:C, $E$1, '프로젝트(G)'!G:G, B27, '프로젝트(G)'!W:W, B32),
    SUMIFS('협력사 EPC(H)'!I:I, '협력사 EPC(H)'!C:C, $E$1, '협력사 EPC(H)'!G:G, B27, '협력사 EPC(H)'!W:W, B32),
    SUMIFS('기타(Z)'!I:I, '기타(Z)'!C:C, $E$1, '기타(Z)'!G:G, B27, '기타(Z)'!W:W, B32)
  ) = 0,
  "",
  SUMIFS('발전사업(A)'!I:I, '발전사업(A)'!C:C, $E$1, '발전사업(A)'!G:G, B27, '발전사업(A)'!W:W, B32)
  + SUMIFS('자가소비(B)'!I:I, '자가소비(B)'!C:C, $E$1, '자가소비(B)'!G:G, B27, '자가소비(B)'!W:W, B32)
  + SUMIFS('PPA 사업(C)'!I:I, 'PPA 사업(C)'!C:C, $E$1, 'PPA 사업(C)'!G:G, B27, 'PPA 사업(C)'!W:W, B32)
  + SUMIFS('리스사업(D)'!I:I, '리스사업(D)'!C:C, $E$1, '리스사업(D)'!G:G, B27, '리스사업(D)'!W:W, B32)
  + SUMIFS('임대사업(E)'!I:I, '임대사업(E)'!C:C, $E$1, '임대사업(E)'!G:G, B27, '임대사업(E)'!W:W, B32)
  + SUMIFS('환경부사업(F)'!I:I, '환경부사업(F)'!C:C, $E$1, '환경부사업(F)'!G:G, B27, '환경부사업(F)'!W:W, B32)
  + SUMIFS('프로젝트(G)'!I:I, '프로젝트(G)'!C:C, $E$1, '프로젝트(G)'!G:G, B27, '프로젝트(G)'!W:W, B32)
  + SUMIFS('협력사 EPC(H)'!I:I, '협력사 EPC(H)'!C:C, $E$1, '협력사 EPC(H)'!G:G, B27, '협력사 EPC(H)'!W:W, B32)
  + SUMIFS('기타(Z)'!I:I, '기타(Z)'!C:C, $E$1, '기타(Z)'!G:G, B27, '기타(Z)'!W:W, B32)
)</f>
        <v>81.92</v>
      </c>
      <c r="D32" s="281">
        <f>IF(
  COUNTIFS('발전사업(A)'!C:C, $E$1, '발전사업(A)'!G:G, B27, '발전사업(A)'!W:W, B32)
  + COUNTIFS('자가소비(B)'!C:C, $E$1, '자가소비(B)'!G:G, B27, '자가소비(B)'!W:W, B32)
  + COUNTIFS('PPA 사업(C)'!C:C, $E$1, 'PPA 사업(C)'!G:G, B27, 'PPA 사업(C)'!W:W, B32)
  + COUNTIFS('리스사업(D)'!C:C, $E$1, '리스사업(D)'!G:G, B27, '리스사업(D)'!W:W, B32)
  + COUNTIFS('임대사업(E)'!C:C, $E$1, '임대사업(E)'!G:G, B27, '임대사업(E)'!W:W, B32)
  + COUNTIFS('환경부사업(F)'!C:C, $E$1, '환경부사업(F)'!G:G, B27, '환경부사업(F)'!W:W, B32)
  + COUNTIFS('프로젝트(G)'!C:C, $E$1, '프로젝트(G)'!G:G, B27, '프로젝트(G)'!W:W, B32)
  + COUNTIFS('협력사 EPC(H)'!C:C, $E$1, '협력사 EPC(H)'!G:G, B27, '협력사 EPC(H)'!W:W, B32)
  + COUNTIFS('기타(Z)'!C:C, $E$1, '기타(Z)'!G:G, B27, '기타(Z)'!W:W, B32)
  = 0,
  "",
  COUNTIFS('발전사업(A)'!C:C, $E$1, '발전사업(A)'!G:G, B27, '발전사업(A)'!W:W, B32)
  + COUNTIFS('자가소비(B)'!C:C, $E$1, '자가소비(B)'!G:G, B27, '자가소비(B)'!W:W, B32)
  + COUNTIFS('PPA 사업(C)'!C:C, $E$1, 'PPA 사업(C)'!G:G, B27, 'PPA 사업(C)'!W:W, B32)
  + COUNTIFS('리스사업(D)'!C:C, $E$1, '리스사업(D)'!G:G, B27, '리스사업(D)'!W:W, B32)
  + COUNTIFS('임대사업(E)'!C:C, $E$1, '임대사업(E)'!G:G, B27, '임대사업(E)'!W:W, B32)
  + COUNTIFS('환경부사업(F)'!C:C, $E$1, '환경부사업(F)'!G:G, B27, '환경부사업(F)'!W:W, B32)
  + COUNTIFS('프로젝트(G)'!C:C, $E$1, '프로젝트(G)'!G:G, B27, '프로젝트(G)'!W:W, B32)
  + COUNTIFS('협력사 EPC(H)'!C:C, $E$1, '협력사 EPC(H)'!G:G, B27, '협력사 EPC(H)'!W:W, B32)
  + COUNTIFS('기타(Z)'!C:C, $E$1, '기타(Z)'!G:G, B27, '기타(Z)'!W:W, B32)
)</f>
        <v>1</v>
      </c>
      <c r="E32" s="280">
        <f>IF(
  SUM(
    SUMIFS('발전사업(A)'!I:I, '발전사업(A)'!C:C, $E$1, '발전사업(A)'!G:G, B27, '발전사업(A)'!W:W, B32, '발전사업(A)'!U:U, $C$1),
    SUMIFS('자가소비(B)'!I:I, '자가소비(B)'!C:C, $E$1, '자가소비(B)'!G:G, B27, '자가소비(B)'!W:W, B32, '자가소비(B)'!U:U, $C$1),
    SUMIFS('PPA 사업(C)'!I:I, 'PPA 사업(C)'!C:C, $E$1, 'PPA 사업(C)'!G:G, B27, 'PPA 사업(C)'!W:W, B32, 'PPA 사업(C)'!U:U, $C$1),
    SUMIFS('리스사업(D)'!I:I, '리스사업(D)'!C:C, $E$1, '리스사업(D)'!G:G, B27, '리스사업(D)'!W:W, B32, '리스사업(D)'!U:U, $C$1),
    SUMIFS('임대사업(E)'!I:I, '임대사업(E)'!C:C, $E$1, '임대사업(E)'!G:G, B27, '임대사업(E)'!W:W, B32, '임대사업(E)'!U:U, $C$1),
    SUMIFS('환경부사업(F)'!I:I, '환경부사업(F)'!C:C, $E$1, '환경부사업(F)'!G:G, B27, '환경부사업(F)'!W:W, B32, '환경부사업(F)'!U:U, $C$1),
    SUMIFS('프로젝트(G)'!I:I, '프로젝트(G)'!C:C, $E$1, '프로젝트(G)'!G:G, B27, '프로젝트(G)'!W:W, B32, '프로젝트(G)'!U:U, $C$1),
    SUMIFS('협력사 EPC(H)'!I:I, '협력사 EPC(H)'!C:C, $E$1, '협력사 EPC(H)'!G:G, B27, '협력사 EPC(H)'!W:W, B32, '협력사 EPC(H)'!U:U, $C$1),
    SUMIFS('기타(Z)'!I:I, '기타(Z)'!C:C, $E$1, '기타(Z)'!G:G, B27, '기타(Z)'!W:W, B32, '기타(Z)'!U:U, $C$1)
  ) = 0,
  "",
  SUM(
    SUMIFS('발전사업(A)'!I:I, '발전사업(A)'!C:C, $E$1, '발전사업(A)'!G:G, B27, '발전사업(A)'!W:W, B32, '발전사업(A)'!U:U, $C$1),
    SUMIFS('자가소비(B)'!I:I, '자가소비(B)'!C:C, $E$1, '자가소비(B)'!G:G, B27, '자가소비(B)'!W:W, B32, '자가소비(B)'!U:U, $C$1),
    SUMIFS('PPA 사업(C)'!I:I, 'PPA 사업(C)'!C:C, $E$1, 'PPA 사업(C)'!G:G, B27, 'PPA 사업(C)'!W:W, B32, 'PPA 사업(C)'!U:U, $C$1),
    SUMIFS('리스사업(D)'!I:I, '리스사업(D)'!C:C, $E$1, '리스사업(D)'!G:G, B27, '리스사업(D)'!W:W, B32, '리스사업(D)'!U:U, $C$1),
    SUMIFS('임대사업(E)'!I:I, '임대사업(E)'!C:C, $E$1, '임대사업(E)'!G:G, B27, '임대사업(E)'!W:W, B32, '임대사업(E)'!U:U, $C$1),
    SUMIFS('환경부사업(F)'!I:I, '환경부사업(F)'!C:C, $E$1, '환경부사업(F)'!G:G, B27, '환경부사업(F)'!W:W, B32, '환경부사업(F)'!U:U, $C$1),
    SUMIFS('프로젝트(G)'!I:I, '프로젝트(G)'!C:C, $E$1, '프로젝트(G)'!G:G, B27, '프로젝트(G)'!W:W, B32, '프로젝트(G)'!U:U, $C$1),
    SUMIFS('협력사 EPC(H)'!I:I, '협력사 EPC(H)'!C:C, $E$1, '협력사 EPC(H)'!G:G, B27, '협력사 EPC(H)'!W:W, B32, '협력사 EPC(H)'!U:U, $C$1),
    SUMIFS('기타(Z)'!I:I, '기타(Z)'!C:C, $E$1, '기타(Z)'!G:G, B27, '기타(Z)'!W:W, B32, '기타(Z)'!U:U, $C$1)
  )
)</f>
        <v>81.92</v>
      </c>
      <c r="F32" s="281">
        <f>IF(
  SUM(
    COUNTIFS('발전사업(A)'!C:C, $E$1, '발전사업(A)'!G:G, B27, '발전사업(A)'!W:W, B32, '발전사업(A)'!U:U, $C$1),
    COUNTIFS('자가소비(B)'!C:C, $E$1, '자가소비(B)'!G:G, B27, '자가소비(B)'!W:W, B32, '자가소비(B)'!U:U, $C$1),
    COUNTIFS('PPA 사업(C)'!C:C, $E$1, 'PPA 사업(C)'!G:G, B27, 'PPA 사업(C)'!W:W, B32, 'PPA 사업(C)'!U:U, $C$1),
    COUNTIFS('리스사업(D)'!C:C, $E$1, '리스사업(D)'!G:G, B27, '리스사업(D)'!W:W, B32, '리스사업(D)'!U:U, $C$1),
    COUNTIFS('임대사업(E)'!C:C, $E$1, '임대사업(E)'!G:G, B27, '임대사업(E)'!W:W, B32, '임대사업(E)'!U:U, $C$1),
    COUNTIFS('환경부사업(F)'!C:C, $E$1, '환경부사업(F)'!G:G, B27, '환경부사업(F)'!W:W, B32, '환경부사업(F)'!U:U, $C$1),
    COUNTIFS('프로젝트(G)'!C:C, $E$1, '프로젝트(G)'!G:G, B27, '프로젝트(G)'!W:W, B32, '프로젝트(G)'!U:U, $C$1),
    COUNTIFS('협력사 EPC(H)'!C:C, $E$1, '협력사 EPC(H)'!G:G, B27, '협력사 EPC(H)'!W:W, B32, '협력사 EPC(H)'!U:U, $C$1),
    COUNTIFS('기타(Z)'!C:C, $E$1, '기타(Z)'!G:G, B27, '기타(Z)'!W:W, B32, '기타(Z)'!U:U, $C$1)
  ) = 0,
  "",
  SUM(
    COUNTIFS('발전사업(A)'!C:C, $E$1, '발전사업(A)'!G:G, B27, '발전사업(A)'!W:W, B32, '발전사업(A)'!U:U, $C$1),
    COUNTIFS('자가소비(B)'!C:C, $E$1, '자가소비(B)'!G:G, B27, '자가소비(B)'!W:W, B32, '자가소비(B)'!U:U, $C$1),
    COUNTIFS('PPA 사업(C)'!C:C, $E$1, 'PPA 사업(C)'!G:G, B27, 'PPA 사업(C)'!W:W, B32, 'PPA 사업(C)'!U:U, $C$1),
    COUNTIFS('리스사업(D)'!C:C, $E$1, '리스사업(D)'!G:G, B27, '리스사업(D)'!W:W, B32, '리스사업(D)'!U:U, $C$1),
    COUNTIFS('임대사업(E)'!C:C, $E$1, '임대사업(E)'!G:G, B27, '임대사업(E)'!W:W, B32, '임대사업(E)'!U:U, $C$1),
    COUNTIFS('환경부사업(F)'!C:C, $E$1, '환경부사업(F)'!G:G, B27, '환경부사업(F)'!W:W, B32, '환경부사업(F)'!U:U, $C$1),
    COUNTIFS('프로젝트(G)'!C:C, $E$1, '프로젝트(G)'!G:G, B27, '프로젝트(G)'!W:W, B32, '프로젝트(G)'!U:U, $C$1),
    COUNTIFS('협력사 EPC(H)'!C:C, $E$1, '협력사 EPC(H)'!G:G, B27, '협력사 EPC(H)'!W:W, B32, '협력사 EPC(H)'!U:U, $C$1),
    COUNTIFS('기타(Z)'!C:C, $E$1, '기타(Z)'!G:G, B27, '기타(Z)'!W:W, B32, '기타(Z)'!U:U, $C$1)
  )
)</f>
        <v>1</v>
      </c>
      <c r="G32" s="280" t="str">
        <f>IF(
  SUM(
    SUMIFS('발전사업(A)'!I:I, '발전사업(A)'!C:C, $E$1, '발전사업(A)'!G:G, B27, '발전사업(A)'!W:W, B32, '발전사업(A)'!U:U, $D$1),
    SUMIFS('자가소비(B)'!I:I, '자가소비(B)'!C:C, $E$1, '자가소비(B)'!G:G, B27, '자가소비(B)'!W:W, B32, '자가소비(B)'!U:U, $D$1),
    SUMIFS('PPA 사업(C)'!I:I, 'PPA 사업(C)'!C:C, $E$1, 'PPA 사업(C)'!G:G, B27, 'PPA 사업(C)'!W:W, B32, 'PPA 사업(C)'!U:U, $D$1),
    SUMIFS('리스사업(D)'!I:I, '리스사업(D)'!C:C, $E$1, '리스사업(D)'!G:G, B27, '리스사업(D)'!W:W, B32, '리스사업(D)'!U:U, $D$1),
    SUMIFS('임대사업(E)'!I:I, '임대사업(E)'!C:C, $E$1, '임대사업(E)'!G:G, B27, '임대사업(E)'!W:W, B32, '임대사업(E)'!U:U, $D$1),
    SUMIFS('환경부사업(F)'!I:I, '환경부사업(F)'!C:C, $E$1, '환경부사업(F)'!G:G, B27, '환경부사업(F)'!W:W, B32, '환경부사업(F)'!U:U, $D$1),
    SUMIFS('프로젝트(G)'!I:I, '프로젝트(G)'!C:C, $E$1, '프로젝트(G)'!G:G, B27, '프로젝트(G)'!W:W, B32, '프로젝트(G)'!U:U, $D$1),
    SUMIFS('협력사 EPC(H)'!I:I, '협력사 EPC(H)'!C:C, $E$1, '협력사 EPC(H)'!G:G, B27, '협력사 EPC(H)'!W:W, B32, '협력사 EPC(H)'!U:U, $D$1),
    SUMIFS('기타(Z)'!I:I, '기타(Z)'!C:C, $E$1, '기타(Z)'!G:G, B27, '기타(Z)'!W:W, B32, '기타(Z)'!U:U, $D$1)
  ) = 0,
  "",
  SUM(
    SUMIFS('발전사업(A)'!I:I, '발전사업(A)'!C:C, $E$1, '발전사업(A)'!G:G, B27, '발전사업(A)'!W:W, B32, '발전사업(A)'!U:U, $D$1),
    SUMIFS('자가소비(B)'!I:I, '자가소비(B)'!C:C, $E$1, '자가소비(B)'!G:G, B27, '자가소비(B)'!W:W, B32, '자가소비(B)'!U:U, $D$1),
    SUMIFS('PPA 사업(C)'!I:I, 'PPA 사업(C)'!C:C, $E$1, 'PPA 사업(C)'!G:G, B27, 'PPA 사업(C)'!W:W, B32, 'PPA 사업(C)'!U:U, $D$1),
    SUMIFS('리스사업(D)'!I:I, '리스사업(D)'!C:C, $E$1, '리스사업(D)'!G:G, B27, '리스사업(D)'!W:W, B32, '리스사업(D)'!U:U, $D$1),
    SUMIFS('임대사업(E)'!I:I, '임대사업(E)'!C:C, $E$1, '임대사업(E)'!G:G, B27, '임대사업(E)'!W:W, B32, '임대사업(E)'!U:U, $D$1),
    SUMIFS('환경부사업(F)'!I:I, '환경부사업(F)'!C:C, $E$1, '환경부사업(F)'!G:G, B27, '환경부사업(F)'!W:W, B32, '환경부사업(F)'!U:U, $D$1),
    SUMIFS('프로젝트(G)'!I:I, '프로젝트(G)'!C:C, $E$1, '프로젝트(G)'!G:G, B27, '프로젝트(G)'!W:W, B32, '프로젝트(G)'!U:U, $D$1),
    SUMIFS('협력사 EPC(H)'!I:I, '협력사 EPC(H)'!C:C, $E$1, '협력사 EPC(H)'!G:G, B27, '협력사 EPC(H)'!W:W, B32, '협력사 EPC(H)'!U:U, $D$1),
    SUMIFS('기타(Z)'!I:I, '기타(Z)'!C:C, $E$1, '기타(Z)'!G:G, B27, '기타(Z)'!W:W, B32, '기타(Z)'!U:U, $D$1)
  )
)</f>
        <v/>
      </c>
      <c r="H32" s="281" t="str">
        <f>IF(
  (
    COUNTIFS('발전사업(A)'!C:C, $E$1, '발전사업(A)'!G:G, B27, '발전사업(A)'!W:W, B32, '발전사업(A)'!U:U, $D$1)
    + COUNTIFS('자가소비(B)'!C:C, $E$1, '자가소비(B)'!G:G, B27, '자가소비(B)'!W:W, B32, '자가소비(B)'!U:U, $D$1)
    + COUNTIFS('PPA 사업(C)'!C:C, $E$1, 'PPA 사업(C)'!G:G, B27, 'PPA 사업(C)'!W:W, B32, 'PPA 사업(C)'!U:U, $D$1)
    + COUNTIFS('리스사업(D)'!C:C, $E$1, '리스사업(D)'!G:G, B27, '리스사업(D)'!W:W, B32, '리스사업(D)'!U:U, $D$1)
    + COUNTIFS('임대사업(E)'!C:C, $E$1, '임대사업(E)'!G:G, B27, '임대사업(E)'!W:W, B32, '임대사업(E)'!U:U, $D$1)
    + COUNTIFS('환경부사업(F)'!C:C, $E$1, '환경부사업(F)'!G:G, B27, '환경부사업(F)'!W:W, B32, '환경부사업(F)'!U:U, $D$1)
    + COUNTIFS('프로젝트(G)'!C:C, $E$1, '프로젝트(G)'!G:G, B27, '프로젝트(G)'!W:W, B32, '프로젝트(G)'!U:U, $D$1)
    + COUNTIFS('협력사 EPC(H)'!C:C, $E$1, '협력사 EPC(H)'!G:G, B27, '협력사 EPC(H)'!W:W, B32, '협력사 EPC(H)'!U:U, $D$1)
    + COUNTIFS('기타(Z)'!C:C, $E$1, '기타(Z)'!G:G, B27, '기타(Z)'!W:W, B32, '기타(Z)'!U:U, $D$1)
  ) = 0,
  "",
  COUNTIFS('발전사업(A)'!C:C, $E$1, '발전사업(A)'!G:G, B27, '발전사업(A)'!W:W, B32, '발전사업(A)'!U:U, $D$1)
  + COUNTIFS('자가소비(B)'!C:C, $E$1, '자가소비(B)'!G:G, B27, '자가소비(B)'!W:W, B32, '자가소비(B)'!U:U, $D$1)
  + COUNTIFS('PPA 사업(C)'!C:C, $E$1, 'PPA 사업(C)'!G:G, B27, 'PPA 사업(C)'!W:W, B32, 'PPA 사업(C)'!U:U, $D$1)
  + COUNTIFS('리스사업(D)'!C:C, $E$1, '리스사업(D)'!G:G, B27, '리스사업(D)'!W:W, B32, '리스사업(D)'!U:U, $D$1)
  + COUNTIFS('임대사업(E)'!C:C, $E$1, '임대사업(E)'!G:G, B27, '임대사업(E)'!W:W, B32, '임대사업(E)'!U:U, $D$1)
  + COUNTIFS('환경부사업(F)'!C:C, $E$1, '환경부사업(F)'!G:G, B27, '환경부사업(F)'!W:W, B32, '환경부사업(F)'!U:U, $D$1)
  + COUNTIFS('프로젝트(G)'!C:C, $E$1, '프로젝트(G)'!G:G, B27, '프로젝트(G)'!W:W, B32, '프로젝트(G)'!U:U, $D$1)
  + COUNTIFS('협력사 EPC(H)'!C:C, $E$1, '협력사 EPC(H)'!G:G, B27, '협력사 EPC(H)'!W:W, B32, '협력사 EPC(H)'!U:U, $D$1)
  + COUNTIFS('기타(Z)'!C:C, $E$1, '기타(Z)'!G:G, B27, '기타(Z)'!W:W, B32, '기타(Z)'!U:U, $D$1)
)</f>
        <v/>
      </c>
    </row>
    <row r="33" spans="2:8" x14ac:dyDescent="0.25">
      <c r="B33" s="202" t="s">
        <v>263</v>
      </c>
      <c r="C33" s="280" t="str">
        <f>IF(
  SUM(
    SUMIFS('발전사업(A)'!I:I, '발전사업(A)'!C:C, $E$1, '발전사업(A)'!G:G, B27, '발전사업(A)'!W:W, B33),
    SUMIFS('자가소비(B)'!I:I, '자가소비(B)'!C:C, $E$1, '자가소비(B)'!G:G, B27, '자가소비(B)'!W:W, B33),
    SUMIFS('PPA 사업(C)'!I:I, 'PPA 사업(C)'!C:C, $E$1, 'PPA 사업(C)'!G:G, B27, 'PPA 사업(C)'!W:W, B33),
    SUMIFS('리스사업(D)'!I:I, '리스사업(D)'!C:C, $E$1, '리스사업(D)'!G:G, B27, '리스사업(D)'!W:W, B33),
    SUMIFS('임대사업(E)'!I:I, '임대사업(E)'!C:C, $E$1, '임대사업(E)'!G:G, B27, '임대사업(E)'!W:W, B33),
    SUMIFS('환경부사업(F)'!I:I, '환경부사업(F)'!C:C, $E$1, '환경부사업(F)'!G:G, B27, '환경부사업(F)'!W:W, B33),
    SUMIFS('프로젝트(G)'!I:I, '프로젝트(G)'!C:C, $E$1, '프로젝트(G)'!G:G, B27, '프로젝트(G)'!W:W, B33),
    SUMIFS('협력사 EPC(H)'!I:I, '협력사 EPC(H)'!C:C, $E$1, '협력사 EPC(H)'!G:G, B27, '협력사 EPC(H)'!W:W, B33),
    SUMIFS('기타(Z)'!I:I, '기타(Z)'!C:C, $E$1, '기타(Z)'!G:G, B27, '기타(Z)'!W:W, B33)
  ) = 0,
  "",
  SUMIFS('발전사업(A)'!I:I, '발전사업(A)'!C:C, $E$1, '발전사업(A)'!G:G, B27, '발전사업(A)'!W:W, B33)
  + SUMIFS('자가소비(B)'!I:I, '자가소비(B)'!C:C, $E$1, '자가소비(B)'!G:G, B27, '자가소비(B)'!W:W, B33)
  + SUMIFS('PPA 사업(C)'!I:I, 'PPA 사업(C)'!C:C, $E$1, 'PPA 사업(C)'!G:G, B27, 'PPA 사업(C)'!W:W, B33)
  + SUMIFS('리스사업(D)'!I:I, '리스사업(D)'!C:C, $E$1, '리스사업(D)'!G:G, B27, '리스사업(D)'!W:W, B33)
  + SUMIFS('임대사업(E)'!I:I, '임대사업(E)'!C:C, $E$1, '임대사업(E)'!G:G, B27, '임대사업(E)'!W:W, B33)
  + SUMIFS('환경부사업(F)'!I:I, '환경부사업(F)'!C:C, $E$1, '환경부사업(F)'!G:G, B27, '환경부사업(F)'!W:W, B33)
  + SUMIFS('프로젝트(G)'!I:I, '프로젝트(G)'!C:C, $E$1, '프로젝트(G)'!G:G, B27, '프로젝트(G)'!W:W, B33)
  + SUMIFS('협력사 EPC(H)'!I:I, '협력사 EPC(H)'!C:C, $E$1, '협력사 EPC(H)'!G:G, B27, '협력사 EPC(H)'!W:W, B33)
  + SUMIFS('기타(Z)'!I:I, '기타(Z)'!C:C, $E$1, '기타(Z)'!G:G, B27, '기타(Z)'!W:W, B33)
)</f>
        <v/>
      </c>
      <c r="D33" s="281" t="str">
        <f>IF(
  COUNTIFS('발전사업(A)'!C:C, $E$1, '발전사업(A)'!G:G, B27, '발전사업(A)'!W:W, B33)
  + COUNTIFS('자가소비(B)'!C:C, $E$1, '자가소비(B)'!G:G, B27, '자가소비(B)'!W:W, B33)
  + COUNTIFS('PPA 사업(C)'!C:C, $E$1, 'PPA 사업(C)'!G:G, B27, 'PPA 사업(C)'!W:W, B33)
  + COUNTIFS('리스사업(D)'!C:C, $E$1, '리스사업(D)'!G:G, B27, '리스사업(D)'!W:W, B33)
  + COUNTIFS('임대사업(E)'!C:C, $E$1, '임대사업(E)'!G:G, B27, '임대사업(E)'!W:W, B33)
  + COUNTIFS('환경부사업(F)'!C:C, $E$1, '환경부사업(F)'!G:G, B27, '환경부사업(F)'!W:W, B33)
  + COUNTIFS('프로젝트(G)'!C:C, $E$1, '프로젝트(G)'!G:G, B27, '프로젝트(G)'!W:W, B33)
  + COUNTIFS('협력사 EPC(H)'!C:C, $E$1, '협력사 EPC(H)'!G:G, B27, '협력사 EPC(H)'!W:W, B33)
  + COUNTIFS('기타(Z)'!C:C, $E$1, '기타(Z)'!G:G, B27, '기타(Z)'!W:W, B33)
  = 0,
  "",
  COUNTIFS('발전사업(A)'!C:C, $E$1, '발전사업(A)'!G:G, B27, '발전사업(A)'!W:W, B33)
  + COUNTIFS('자가소비(B)'!C:C, $E$1, '자가소비(B)'!G:G, B27, '자가소비(B)'!W:W, B33)
  + COUNTIFS('PPA 사업(C)'!C:C, $E$1, 'PPA 사업(C)'!G:G, B27, 'PPA 사업(C)'!W:W, B33)
  + COUNTIFS('리스사업(D)'!C:C, $E$1, '리스사업(D)'!G:G, B27, '리스사업(D)'!W:W, B33)
  + COUNTIFS('임대사업(E)'!C:C, $E$1, '임대사업(E)'!G:G, B27, '임대사업(E)'!W:W, B33)
  + COUNTIFS('환경부사업(F)'!C:C, $E$1, '환경부사업(F)'!G:G, B27, '환경부사업(F)'!W:W, B33)
  + COUNTIFS('프로젝트(G)'!C:C, $E$1, '프로젝트(G)'!G:G, B27, '프로젝트(G)'!W:W, B33)
  + COUNTIFS('협력사 EPC(H)'!C:C, $E$1, '협력사 EPC(H)'!G:G, B27, '협력사 EPC(H)'!W:W, B33)
  + COUNTIFS('기타(Z)'!C:C, $E$1, '기타(Z)'!G:G, B27, '기타(Z)'!W:W, B33)
)</f>
        <v/>
      </c>
      <c r="E33" s="280" t="str">
        <f>IF(
  SUM(
    SUMIFS('발전사업(A)'!I:I, '발전사업(A)'!C:C, $E$1, '발전사업(A)'!G:G, B27, '발전사업(A)'!W:W, B33, '발전사업(A)'!U:U, $C$1),
    SUMIFS('자가소비(B)'!I:I, '자가소비(B)'!C:C, $E$1, '자가소비(B)'!G:G, B27, '자가소비(B)'!W:W, B33, '자가소비(B)'!U:U, $C$1),
    SUMIFS('PPA 사업(C)'!I:I, 'PPA 사업(C)'!C:C, $E$1, 'PPA 사업(C)'!G:G, B27, 'PPA 사업(C)'!W:W, B33, 'PPA 사업(C)'!U:U, $C$1),
    SUMIFS('리스사업(D)'!I:I, '리스사업(D)'!C:C, $E$1, '리스사업(D)'!G:G, B27, '리스사업(D)'!W:W, B33, '리스사업(D)'!U:U, $C$1),
    SUMIFS('임대사업(E)'!I:I, '임대사업(E)'!C:C, $E$1, '임대사업(E)'!G:G, B27, '임대사업(E)'!W:W, B33, '임대사업(E)'!U:U, $C$1),
    SUMIFS('환경부사업(F)'!I:I, '환경부사업(F)'!C:C, $E$1, '환경부사업(F)'!G:G, B27, '환경부사업(F)'!W:W, B33, '환경부사업(F)'!U:U, $C$1),
    SUMIFS('프로젝트(G)'!I:I, '프로젝트(G)'!C:C, $E$1, '프로젝트(G)'!G:G, B27, '프로젝트(G)'!W:W, B33, '프로젝트(G)'!U:U, $C$1),
    SUMIFS('협력사 EPC(H)'!I:I, '협력사 EPC(H)'!C:C, $E$1, '협력사 EPC(H)'!G:G, B27, '협력사 EPC(H)'!W:W, B33, '협력사 EPC(H)'!U:U, $C$1),
    SUMIFS('기타(Z)'!I:I, '기타(Z)'!C:C, $E$1, '기타(Z)'!G:G, B27, '기타(Z)'!W:W, B33, '기타(Z)'!U:U, $C$1)
  ) = 0,
  "",
  SUM(
    SUMIFS('발전사업(A)'!I:I, '발전사업(A)'!C:C, $E$1, '발전사업(A)'!G:G, B27, '발전사업(A)'!W:W, B33, '발전사업(A)'!U:U, $C$1),
    SUMIFS('자가소비(B)'!I:I, '자가소비(B)'!C:C, $E$1, '자가소비(B)'!G:G, B27, '자가소비(B)'!W:W, B33, '자가소비(B)'!U:U, $C$1),
    SUMIFS('PPA 사업(C)'!I:I, 'PPA 사업(C)'!C:C, $E$1, 'PPA 사업(C)'!G:G, B27, 'PPA 사업(C)'!W:W, B33, 'PPA 사업(C)'!U:U, $C$1),
    SUMIFS('리스사업(D)'!I:I, '리스사업(D)'!C:C, $E$1, '리스사업(D)'!G:G, B27, '리스사업(D)'!W:W, B33, '리스사업(D)'!U:U, $C$1),
    SUMIFS('임대사업(E)'!I:I, '임대사업(E)'!C:C, $E$1, '임대사업(E)'!G:G, B27, '임대사업(E)'!W:W, B33, '임대사업(E)'!U:U, $C$1),
    SUMIFS('환경부사업(F)'!I:I, '환경부사업(F)'!C:C, $E$1, '환경부사업(F)'!G:G, B27, '환경부사업(F)'!W:W, B33, '환경부사업(F)'!U:U, $C$1),
    SUMIFS('프로젝트(G)'!I:I, '프로젝트(G)'!C:C, $E$1, '프로젝트(G)'!G:G, B27, '프로젝트(G)'!W:W, B33, '프로젝트(G)'!U:U, $C$1),
    SUMIFS('협력사 EPC(H)'!I:I, '협력사 EPC(H)'!C:C, $E$1, '협력사 EPC(H)'!G:G, B27, '협력사 EPC(H)'!W:W, B33, '협력사 EPC(H)'!U:U, $C$1),
    SUMIFS('기타(Z)'!I:I, '기타(Z)'!C:C, $E$1, '기타(Z)'!G:G, B27, '기타(Z)'!W:W, B33, '기타(Z)'!U:U, $C$1)
  )
)</f>
        <v/>
      </c>
      <c r="F33" s="281" t="str">
        <f>IF(
  SUM(
    COUNTIFS('발전사업(A)'!C:C, $E$1, '발전사업(A)'!G:G, B27, '발전사업(A)'!W:W, B33, '발전사업(A)'!U:U, $C$1),
    COUNTIFS('자가소비(B)'!C:C, $E$1, '자가소비(B)'!G:G, B27, '자가소비(B)'!W:W, B33, '자가소비(B)'!U:U, $C$1),
    COUNTIFS('PPA 사업(C)'!C:C, $E$1, 'PPA 사업(C)'!G:G, B27, 'PPA 사업(C)'!W:W, B33, 'PPA 사업(C)'!U:U, $C$1),
    COUNTIFS('리스사업(D)'!C:C, $E$1, '리스사업(D)'!G:G, B27, '리스사업(D)'!W:W, B33, '리스사업(D)'!U:U, $C$1),
    COUNTIFS('임대사업(E)'!C:C, $E$1, '임대사업(E)'!G:G, B27, '임대사업(E)'!W:W, B33, '임대사업(E)'!U:U, $C$1),
    COUNTIFS('환경부사업(F)'!C:C, $E$1, '환경부사업(F)'!G:G, B27, '환경부사업(F)'!W:W, B33, '환경부사업(F)'!U:U, $C$1),
    COUNTIFS('프로젝트(G)'!C:C, $E$1, '프로젝트(G)'!G:G, B27, '프로젝트(G)'!W:W, B33, '프로젝트(G)'!U:U, $C$1),
    COUNTIFS('협력사 EPC(H)'!C:C, $E$1, '협력사 EPC(H)'!G:G, B27, '협력사 EPC(H)'!W:W, B33, '협력사 EPC(H)'!U:U, $C$1),
    COUNTIFS('기타(Z)'!C:C, $E$1, '기타(Z)'!G:G, B27, '기타(Z)'!W:W, B33, '기타(Z)'!U:U, $C$1)
  ) = 0,
  "",
  SUM(
    COUNTIFS('발전사업(A)'!C:C, $E$1, '발전사업(A)'!G:G, B27, '발전사업(A)'!W:W, B33, '발전사업(A)'!U:U, $C$1),
    COUNTIFS('자가소비(B)'!C:C, $E$1, '자가소비(B)'!G:G, B27, '자가소비(B)'!W:W, B33, '자가소비(B)'!U:U, $C$1),
    COUNTIFS('PPA 사업(C)'!C:C, $E$1, 'PPA 사업(C)'!G:G, B27, 'PPA 사업(C)'!W:W, B33, 'PPA 사업(C)'!U:U, $C$1),
    COUNTIFS('리스사업(D)'!C:C, $E$1, '리스사업(D)'!G:G, B27, '리스사업(D)'!W:W, B33, '리스사업(D)'!U:U, $C$1),
    COUNTIFS('임대사업(E)'!C:C, $E$1, '임대사업(E)'!G:G, B27, '임대사업(E)'!W:W, B33, '임대사업(E)'!U:U, $C$1),
    COUNTIFS('환경부사업(F)'!C:C, $E$1, '환경부사업(F)'!G:G, B27, '환경부사업(F)'!W:W, B33, '환경부사업(F)'!U:U, $C$1),
    COUNTIFS('프로젝트(G)'!C:C, $E$1, '프로젝트(G)'!G:G, B27, '프로젝트(G)'!W:W, B33, '프로젝트(G)'!U:U, $C$1),
    COUNTIFS('협력사 EPC(H)'!C:C, $E$1, '협력사 EPC(H)'!G:G, B27, '협력사 EPC(H)'!W:W, B33, '협력사 EPC(H)'!U:U, $C$1),
    COUNTIFS('기타(Z)'!C:C, $E$1, '기타(Z)'!G:G, B27, '기타(Z)'!W:W, B33, '기타(Z)'!U:U, $C$1)
  )
)</f>
        <v/>
      </c>
      <c r="G33" s="280" t="str">
        <f>IF(
  SUM(
    SUMIFS('발전사업(A)'!I:I, '발전사업(A)'!C:C, $E$1, '발전사업(A)'!G:G, B27, '발전사업(A)'!W:W, B33, '발전사업(A)'!U:U, $D$1),
    SUMIFS('자가소비(B)'!I:I, '자가소비(B)'!C:C, $E$1, '자가소비(B)'!G:G, B27, '자가소비(B)'!W:W, B33, '자가소비(B)'!U:U, $D$1),
    SUMIFS('PPA 사업(C)'!I:I, 'PPA 사업(C)'!C:C, $E$1, 'PPA 사업(C)'!G:G, B27, 'PPA 사업(C)'!W:W, B33, 'PPA 사업(C)'!U:U, $D$1),
    SUMIFS('리스사업(D)'!I:I, '리스사업(D)'!C:C, $E$1, '리스사업(D)'!G:G, B27, '리스사업(D)'!W:W, B33, '리스사업(D)'!U:U, $D$1),
    SUMIFS('임대사업(E)'!I:I, '임대사업(E)'!C:C, $E$1, '임대사업(E)'!G:G, B27, '임대사업(E)'!W:W, B33, '임대사업(E)'!U:U, $D$1),
    SUMIFS('환경부사업(F)'!I:I, '환경부사업(F)'!C:C, $E$1, '환경부사업(F)'!G:G, B27, '환경부사업(F)'!W:W, B33, '환경부사업(F)'!U:U, $D$1),
    SUMIFS('프로젝트(G)'!I:I, '프로젝트(G)'!C:C, $E$1, '프로젝트(G)'!G:G, B27, '프로젝트(G)'!W:W, B33, '프로젝트(G)'!U:U, $D$1),
    SUMIFS('협력사 EPC(H)'!I:I, '협력사 EPC(H)'!C:C, $E$1, '협력사 EPC(H)'!G:G, B27, '협력사 EPC(H)'!W:W, B33, '협력사 EPC(H)'!U:U, $D$1),
    SUMIFS('기타(Z)'!I:I, '기타(Z)'!C:C, $E$1, '기타(Z)'!G:G, B27, '기타(Z)'!W:W, B33, '기타(Z)'!U:U, $D$1)
  ) = 0,
  "",
  SUM(
    SUMIFS('발전사업(A)'!I:I, '발전사업(A)'!C:C, $E$1, '발전사업(A)'!G:G, B27, '발전사업(A)'!W:W, B33, '발전사업(A)'!U:U, $D$1),
    SUMIFS('자가소비(B)'!I:I, '자가소비(B)'!C:C, $E$1, '자가소비(B)'!G:G, B27, '자가소비(B)'!W:W, B33, '자가소비(B)'!U:U, $D$1),
    SUMIFS('PPA 사업(C)'!I:I, 'PPA 사업(C)'!C:C, $E$1, 'PPA 사업(C)'!G:G, B27, 'PPA 사업(C)'!W:W, B33, 'PPA 사업(C)'!U:U, $D$1),
    SUMIFS('리스사업(D)'!I:I, '리스사업(D)'!C:C, $E$1, '리스사업(D)'!G:G, B27, '리스사업(D)'!W:W, B33, '리스사업(D)'!U:U, $D$1),
    SUMIFS('임대사업(E)'!I:I, '임대사업(E)'!C:C, $E$1, '임대사업(E)'!G:G, B27, '임대사업(E)'!W:W, B33, '임대사업(E)'!U:U, $D$1),
    SUMIFS('환경부사업(F)'!I:I, '환경부사업(F)'!C:C, $E$1, '환경부사업(F)'!G:G, B27, '환경부사업(F)'!W:W, B33, '환경부사업(F)'!U:U, $D$1),
    SUMIFS('프로젝트(G)'!I:I, '프로젝트(G)'!C:C, $E$1, '프로젝트(G)'!G:G, B27, '프로젝트(G)'!W:W, B33, '프로젝트(G)'!U:U, $D$1),
    SUMIFS('협력사 EPC(H)'!I:I, '협력사 EPC(H)'!C:C, $E$1, '협력사 EPC(H)'!G:G, B27, '협력사 EPC(H)'!W:W, B33, '협력사 EPC(H)'!U:U, $D$1),
    SUMIFS('기타(Z)'!I:I, '기타(Z)'!C:C, $E$1, '기타(Z)'!G:G, B27, '기타(Z)'!W:W, B33, '기타(Z)'!U:U, $D$1)
  )
)</f>
        <v/>
      </c>
      <c r="H33" s="281" t="str">
        <f>IF(
  (
    COUNTIFS('발전사업(A)'!C:C, $E$1, '발전사업(A)'!G:G, B27, '발전사업(A)'!W:W, B33, '발전사업(A)'!U:U, $D$1)
    + COUNTIFS('자가소비(B)'!C:C, $E$1, '자가소비(B)'!G:G, B27, '자가소비(B)'!W:W, B33, '자가소비(B)'!U:U, $D$1)
    + COUNTIFS('PPA 사업(C)'!C:C, $E$1, 'PPA 사업(C)'!G:G, B27, 'PPA 사업(C)'!W:W, B33, 'PPA 사업(C)'!U:U, $D$1)
    + COUNTIFS('리스사업(D)'!C:C, $E$1, '리스사업(D)'!G:G, B27, '리스사업(D)'!W:W, B33, '리스사업(D)'!U:U, $D$1)
    + COUNTIFS('임대사업(E)'!C:C, $E$1, '임대사업(E)'!G:G, B27, '임대사업(E)'!W:W, B33, '임대사업(E)'!U:U, $D$1)
    + COUNTIFS('환경부사업(F)'!C:C, $E$1, '환경부사업(F)'!G:G, B27, '환경부사업(F)'!W:W, B33, '환경부사업(F)'!U:U, $D$1)
    + COUNTIFS('프로젝트(G)'!C:C, $E$1, '프로젝트(G)'!G:G, B27, '프로젝트(G)'!W:W, B33, '프로젝트(G)'!U:U, $D$1)
    + COUNTIFS('협력사 EPC(H)'!C:C, $E$1, '협력사 EPC(H)'!G:G, B27, '협력사 EPC(H)'!W:W, B33, '협력사 EPC(H)'!U:U, $D$1)
    + COUNTIFS('기타(Z)'!C:C, $E$1, '기타(Z)'!G:G, B27, '기타(Z)'!W:W, B33, '기타(Z)'!U:U, $D$1)
  ) = 0,
  "",
  COUNTIFS('발전사업(A)'!C:C, $E$1, '발전사업(A)'!G:G, B27, '발전사업(A)'!W:W, B33, '발전사업(A)'!U:U, $D$1)
  + COUNTIFS('자가소비(B)'!C:C, $E$1, '자가소비(B)'!G:G, B27, '자가소비(B)'!W:W, B33, '자가소비(B)'!U:U, $D$1)
  + COUNTIFS('PPA 사업(C)'!C:C, $E$1, 'PPA 사업(C)'!G:G, B27, 'PPA 사업(C)'!W:W, B33, 'PPA 사업(C)'!U:U, $D$1)
  + COUNTIFS('리스사업(D)'!C:C, $E$1, '리스사업(D)'!G:G, B27, '리스사업(D)'!W:W, B33, '리스사업(D)'!U:U, $D$1)
  + COUNTIFS('임대사업(E)'!C:C, $E$1, '임대사업(E)'!G:G, B27, '임대사업(E)'!W:W, B33, '임대사업(E)'!U:U, $D$1)
  + COUNTIFS('환경부사업(F)'!C:C, $E$1, '환경부사업(F)'!G:G, B27, '환경부사업(F)'!W:W, B33, '환경부사업(F)'!U:U, $D$1)
  + COUNTIFS('프로젝트(G)'!C:C, $E$1, '프로젝트(G)'!G:G, B27, '프로젝트(G)'!W:W, B33, '프로젝트(G)'!U:U, $D$1)
  + COUNTIFS('협력사 EPC(H)'!C:C, $E$1, '협력사 EPC(H)'!G:G, B27, '협력사 EPC(H)'!W:W, B33, '협력사 EPC(H)'!U:U, $D$1)
  + COUNTIFS('기타(Z)'!C:C, $E$1, '기타(Z)'!G:G, B27, '기타(Z)'!W:W, B33, '기타(Z)'!U:U, $D$1)
)</f>
        <v/>
      </c>
    </row>
    <row r="34" spans="2:8" x14ac:dyDescent="0.25">
      <c r="B34" s="202" t="s">
        <v>264</v>
      </c>
      <c r="C34" s="280">
        <f>IF(
  SUM(
    SUMIFS('발전사업(A)'!I:I, '발전사업(A)'!C:C, $E$1, '발전사업(A)'!G:G, B27, '발전사업(A)'!W:W, B34),
    SUMIFS('자가소비(B)'!I:I, '자가소비(B)'!C:C, $E$1, '자가소비(B)'!G:G, B27, '자가소비(B)'!W:W, B34),
    SUMIFS('PPA 사업(C)'!I:I, 'PPA 사업(C)'!C:C, $E$1, 'PPA 사업(C)'!G:G, B27, 'PPA 사업(C)'!W:W, B34),
    SUMIFS('리스사업(D)'!I:I, '리스사업(D)'!C:C, $E$1, '리스사업(D)'!G:G, B27, '리스사업(D)'!W:W, B34),
    SUMIFS('임대사업(E)'!I:I, '임대사업(E)'!C:C, $E$1, '임대사업(E)'!G:G, B27, '임대사업(E)'!W:W, B34),
    SUMIFS('환경부사업(F)'!I:I, '환경부사업(F)'!C:C, $E$1, '환경부사업(F)'!G:G, B27, '환경부사업(F)'!W:W, B34),
    SUMIFS('프로젝트(G)'!I:I, '프로젝트(G)'!C:C, $E$1, '프로젝트(G)'!G:G, B27, '프로젝트(G)'!W:W, B34),
    SUMIFS('협력사 EPC(H)'!I:I, '협력사 EPC(H)'!C:C, $E$1, '협력사 EPC(H)'!G:G, B27, '협력사 EPC(H)'!W:W, B34),
    SUMIFS('기타(Z)'!I:I, '기타(Z)'!C:C, $E$1, '기타(Z)'!G:G, B27, '기타(Z)'!W:W, B34)
  ) = 0,
  "",
  SUMIFS('발전사업(A)'!I:I, '발전사업(A)'!C:C, $E$1, '발전사업(A)'!G:G, B27, '발전사업(A)'!W:W, B34)
  + SUMIFS('자가소비(B)'!I:I, '자가소비(B)'!C:C, $E$1, '자가소비(B)'!G:G, B27, '자가소비(B)'!W:W, B34)
  + SUMIFS('PPA 사업(C)'!I:I, 'PPA 사업(C)'!C:C, $E$1, 'PPA 사업(C)'!G:G, B27, 'PPA 사업(C)'!W:W, B34)
  + SUMIFS('리스사업(D)'!I:I, '리스사업(D)'!C:C, $E$1, '리스사업(D)'!G:G, B27, '리스사업(D)'!W:W, B34)
  + SUMIFS('임대사업(E)'!I:I, '임대사업(E)'!C:C, $E$1, '임대사업(E)'!G:G, B27, '임대사업(E)'!W:W, B34)
  + SUMIFS('환경부사업(F)'!I:I, '환경부사업(F)'!C:C, $E$1, '환경부사업(F)'!G:G, B27, '환경부사업(F)'!W:W, B34)
  + SUMIFS('프로젝트(G)'!I:I, '프로젝트(G)'!C:C, $E$1, '프로젝트(G)'!G:G, B27, '프로젝트(G)'!W:W, B34)
  + SUMIFS('협력사 EPC(H)'!I:I, '협력사 EPC(H)'!C:C, $E$1, '협력사 EPC(H)'!G:G, B27, '협력사 EPC(H)'!W:W, B34)
  + SUMIFS('기타(Z)'!I:I, '기타(Z)'!C:C, $E$1, '기타(Z)'!G:G, B27, '기타(Z)'!W:W, B34)
)</f>
        <v>264.375</v>
      </c>
      <c r="D34" s="281">
        <f>IF(
  COUNTIFS('발전사업(A)'!C:C, $E$1, '발전사업(A)'!G:G, B27, '발전사업(A)'!W:W, B34)
  + COUNTIFS('자가소비(B)'!C:C, $E$1, '자가소비(B)'!G:G, B27, '자가소비(B)'!W:W, B34)
  + COUNTIFS('PPA 사업(C)'!C:C, $E$1, 'PPA 사업(C)'!G:G, B27, 'PPA 사업(C)'!W:W, B34)
  + COUNTIFS('리스사업(D)'!C:C, $E$1, '리스사업(D)'!G:G, B27, '리스사업(D)'!W:W, B34)
  + COUNTIFS('임대사업(E)'!C:C, $E$1, '임대사업(E)'!G:G, B27, '임대사업(E)'!W:W, B34)
  + COUNTIFS('환경부사업(F)'!C:C, $E$1, '환경부사업(F)'!G:G, B27, '환경부사업(F)'!W:W, B34)
  + COUNTIFS('프로젝트(G)'!C:C, $E$1, '프로젝트(G)'!G:G, B27, '프로젝트(G)'!W:W, B34)
  + COUNTIFS('협력사 EPC(H)'!C:C, $E$1, '협력사 EPC(H)'!G:G, B27, '협력사 EPC(H)'!W:W, B34)
  + COUNTIFS('기타(Z)'!C:C, $E$1, '기타(Z)'!G:G, B27, '기타(Z)'!W:W, B34)
  = 0,
  "",
  COUNTIFS('발전사업(A)'!C:C, $E$1, '발전사업(A)'!G:G, B27, '발전사업(A)'!W:W, B34)
  + COUNTIFS('자가소비(B)'!C:C, $E$1, '자가소비(B)'!G:G, B27, '자가소비(B)'!W:W, B34)
  + COUNTIFS('PPA 사업(C)'!C:C, $E$1, 'PPA 사업(C)'!G:G, B27, 'PPA 사업(C)'!W:W, B34)
  + COUNTIFS('리스사업(D)'!C:C, $E$1, '리스사업(D)'!G:G, B27, '리스사업(D)'!W:W, B34)
  + COUNTIFS('임대사업(E)'!C:C, $E$1, '임대사업(E)'!G:G, B27, '임대사업(E)'!W:W, B34)
  + COUNTIFS('환경부사업(F)'!C:C, $E$1, '환경부사업(F)'!G:G, B27, '환경부사업(F)'!W:W, B34)
  + COUNTIFS('프로젝트(G)'!C:C, $E$1, '프로젝트(G)'!G:G, B27, '프로젝트(G)'!W:W, B34)
  + COUNTIFS('협력사 EPC(H)'!C:C, $E$1, '협력사 EPC(H)'!G:G, B27, '협력사 EPC(H)'!W:W, B34)
  + COUNTIFS('기타(Z)'!C:C, $E$1, '기타(Z)'!G:G, B27, '기타(Z)'!W:W, B34)
)</f>
        <v>3</v>
      </c>
      <c r="E34" s="280">
        <f>IF(
  SUM(
    SUMIFS('발전사업(A)'!I:I, '발전사업(A)'!C:C, $E$1, '발전사업(A)'!G:G, B27, '발전사업(A)'!W:W, B34, '발전사업(A)'!U:U, $C$1),
    SUMIFS('자가소비(B)'!I:I, '자가소비(B)'!C:C, $E$1, '자가소비(B)'!G:G, B27, '자가소비(B)'!W:W, B34, '자가소비(B)'!U:U, $C$1),
    SUMIFS('PPA 사업(C)'!I:I, 'PPA 사업(C)'!C:C, $E$1, 'PPA 사업(C)'!G:G, B27, 'PPA 사업(C)'!W:W, B34, 'PPA 사업(C)'!U:U, $C$1),
    SUMIFS('리스사업(D)'!I:I, '리스사업(D)'!C:C, $E$1, '리스사업(D)'!G:G, B27, '리스사업(D)'!W:W, B34, '리스사업(D)'!U:U, $C$1),
    SUMIFS('임대사업(E)'!I:I, '임대사업(E)'!C:C, $E$1, '임대사업(E)'!G:G, B27, '임대사업(E)'!W:W, B34, '임대사업(E)'!U:U, $C$1),
    SUMIFS('환경부사업(F)'!I:I, '환경부사업(F)'!C:C, $E$1, '환경부사업(F)'!G:G, B27, '환경부사업(F)'!W:W, B34, '환경부사업(F)'!U:U, $C$1),
    SUMIFS('프로젝트(G)'!I:I, '프로젝트(G)'!C:C, $E$1, '프로젝트(G)'!G:G, B27, '프로젝트(G)'!W:W, B34, '프로젝트(G)'!U:U, $C$1),
    SUMIFS('협력사 EPC(H)'!I:I, '협력사 EPC(H)'!C:C, $E$1, '협력사 EPC(H)'!G:G, B27, '협력사 EPC(H)'!W:W, B34, '협력사 EPC(H)'!U:U, $C$1),
    SUMIFS('기타(Z)'!I:I, '기타(Z)'!C:C, $E$1, '기타(Z)'!G:G, B27, '기타(Z)'!W:W, B34, '기타(Z)'!U:U, $C$1)
  ) = 0,
  "",
  SUM(
    SUMIFS('발전사업(A)'!I:I, '발전사업(A)'!C:C, $E$1, '발전사업(A)'!G:G, B27, '발전사업(A)'!W:W, B34, '발전사업(A)'!U:U, $C$1),
    SUMIFS('자가소비(B)'!I:I, '자가소비(B)'!C:C, $E$1, '자가소비(B)'!G:G, B27, '자가소비(B)'!W:W, B34, '자가소비(B)'!U:U, $C$1),
    SUMIFS('PPA 사업(C)'!I:I, 'PPA 사업(C)'!C:C, $E$1, 'PPA 사업(C)'!G:G, B27, 'PPA 사업(C)'!W:W, B34, 'PPA 사업(C)'!U:U, $C$1),
    SUMIFS('리스사업(D)'!I:I, '리스사업(D)'!C:C, $E$1, '리스사업(D)'!G:G, B27, '리스사업(D)'!W:W, B34, '리스사업(D)'!U:U, $C$1),
    SUMIFS('임대사업(E)'!I:I, '임대사업(E)'!C:C, $E$1, '임대사업(E)'!G:G, B27, '임대사업(E)'!W:W, B34, '임대사업(E)'!U:U, $C$1),
    SUMIFS('환경부사업(F)'!I:I, '환경부사업(F)'!C:C, $E$1, '환경부사업(F)'!G:G, B27, '환경부사업(F)'!W:W, B34, '환경부사업(F)'!U:U, $C$1),
    SUMIFS('프로젝트(G)'!I:I, '프로젝트(G)'!C:C, $E$1, '프로젝트(G)'!G:G, B27, '프로젝트(G)'!W:W, B34, '프로젝트(G)'!U:U, $C$1),
    SUMIFS('협력사 EPC(H)'!I:I, '협력사 EPC(H)'!C:C, $E$1, '협력사 EPC(H)'!G:G, B27, '협력사 EPC(H)'!W:W, B34, '협력사 EPC(H)'!U:U, $C$1),
    SUMIFS('기타(Z)'!I:I, '기타(Z)'!C:C, $E$1, '기타(Z)'!G:G, B27, '기타(Z)'!W:W, B34, '기타(Z)'!U:U, $C$1)
  )
)</f>
        <v>264.375</v>
      </c>
      <c r="F34" s="281">
        <f>IF(
  SUM(
    COUNTIFS('발전사업(A)'!C:C, $E$1, '발전사업(A)'!G:G, B27, '발전사업(A)'!W:W, B34, '발전사업(A)'!U:U, $C$1),
    COUNTIFS('자가소비(B)'!C:C, $E$1, '자가소비(B)'!G:G, B27, '자가소비(B)'!W:W, B34, '자가소비(B)'!U:U, $C$1),
    COUNTIFS('PPA 사업(C)'!C:C, $E$1, 'PPA 사업(C)'!G:G, B27, 'PPA 사업(C)'!W:W, B34, 'PPA 사업(C)'!U:U, $C$1),
    COUNTIFS('리스사업(D)'!C:C, $E$1, '리스사업(D)'!G:G, B27, '리스사업(D)'!W:W, B34, '리스사업(D)'!U:U, $C$1),
    COUNTIFS('임대사업(E)'!C:C, $E$1, '임대사업(E)'!G:G, B27, '임대사업(E)'!W:W, B34, '임대사업(E)'!U:U, $C$1),
    COUNTIFS('환경부사업(F)'!C:C, $E$1, '환경부사업(F)'!G:G, B27, '환경부사업(F)'!W:W, B34, '환경부사업(F)'!U:U, $C$1),
    COUNTIFS('프로젝트(G)'!C:C, $E$1, '프로젝트(G)'!G:G, B27, '프로젝트(G)'!W:W, B34, '프로젝트(G)'!U:U, $C$1),
    COUNTIFS('협력사 EPC(H)'!C:C, $E$1, '협력사 EPC(H)'!G:G, B27, '협력사 EPC(H)'!W:W, B34, '협력사 EPC(H)'!U:U, $C$1),
    COUNTIFS('기타(Z)'!C:C, $E$1, '기타(Z)'!G:G, B27, '기타(Z)'!W:W, B34, '기타(Z)'!U:U, $C$1)
  ) = 0,
  "",
  SUM(
    COUNTIFS('발전사업(A)'!C:C, $E$1, '발전사업(A)'!G:G, B27, '발전사업(A)'!W:W, B34, '발전사업(A)'!U:U, $C$1),
    COUNTIFS('자가소비(B)'!C:C, $E$1, '자가소비(B)'!G:G, B27, '자가소비(B)'!W:W, B34, '자가소비(B)'!U:U, $C$1),
    COUNTIFS('PPA 사업(C)'!C:C, $E$1, 'PPA 사업(C)'!G:G, B27, 'PPA 사업(C)'!W:W, B34, 'PPA 사업(C)'!U:U, $C$1),
    COUNTIFS('리스사업(D)'!C:C, $E$1, '리스사업(D)'!G:G, B27, '리스사업(D)'!W:W, B34, '리스사업(D)'!U:U, $C$1),
    COUNTIFS('임대사업(E)'!C:C, $E$1, '임대사업(E)'!G:G, B27, '임대사업(E)'!W:W, B34, '임대사업(E)'!U:U, $C$1),
    COUNTIFS('환경부사업(F)'!C:C, $E$1, '환경부사업(F)'!G:G, B27, '환경부사업(F)'!W:W, B34, '환경부사업(F)'!U:U, $C$1),
    COUNTIFS('프로젝트(G)'!C:C, $E$1, '프로젝트(G)'!G:G, B27, '프로젝트(G)'!W:W, B34, '프로젝트(G)'!U:U, $C$1),
    COUNTIFS('협력사 EPC(H)'!C:C, $E$1, '협력사 EPC(H)'!G:G, B27, '협력사 EPC(H)'!W:W, B34, '협력사 EPC(H)'!U:U, $C$1),
    COUNTIFS('기타(Z)'!C:C, $E$1, '기타(Z)'!G:G, B27, '기타(Z)'!W:W, B34, '기타(Z)'!U:U, $C$1)
  )
)</f>
        <v>3</v>
      </c>
      <c r="G34" s="280" t="str">
        <f>IF(
  SUM(
    SUMIFS('발전사업(A)'!I:I, '발전사업(A)'!C:C, $E$1, '발전사업(A)'!G:G, B27, '발전사업(A)'!W:W, B34, '발전사업(A)'!U:U, $D$1),
    SUMIFS('자가소비(B)'!I:I, '자가소비(B)'!C:C, $E$1, '자가소비(B)'!G:G, B27, '자가소비(B)'!W:W, B34, '자가소비(B)'!U:U, $D$1),
    SUMIFS('PPA 사업(C)'!I:I, 'PPA 사업(C)'!C:C, $E$1, 'PPA 사업(C)'!G:G, B27, 'PPA 사업(C)'!W:W, B34, 'PPA 사업(C)'!U:U, $D$1),
    SUMIFS('리스사업(D)'!I:I, '리스사업(D)'!C:C, $E$1, '리스사업(D)'!G:G, B27, '리스사업(D)'!W:W, B34, '리스사업(D)'!U:U, $D$1),
    SUMIFS('임대사업(E)'!I:I, '임대사업(E)'!C:C, $E$1, '임대사업(E)'!G:G, B27, '임대사업(E)'!W:W, B34, '임대사업(E)'!U:U, $D$1),
    SUMIFS('환경부사업(F)'!I:I, '환경부사업(F)'!C:C, $E$1, '환경부사업(F)'!G:G, B27, '환경부사업(F)'!W:W, B34, '환경부사업(F)'!U:U, $D$1),
    SUMIFS('프로젝트(G)'!I:I, '프로젝트(G)'!C:C, $E$1, '프로젝트(G)'!G:G, B27, '프로젝트(G)'!W:W, B34, '프로젝트(G)'!U:U, $D$1),
    SUMIFS('협력사 EPC(H)'!I:I, '협력사 EPC(H)'!C:C, $E$1, '협력사 EPC(H)'!G:G, B27, '협력사 EPC(H)'!W:W, B34, '협력사 EPC(H)'!U:U, $D$1),
    SUMIFS('기타(Z)'!I:I, '기타(Z)'!C:C, $E$1, '기타(Z)'!G:G, B27, '기타(Z)'!W:W, B34, '기타(Z)'!U:U, $D$1)
  ) = 0,
  "",
  SUM(
    SUMIFS('발전사업(A)'!I:I, '발전사업(A)'!C:C, $E$1, '발전사업(A)'!G:G, B27, '발전사업(A)'!W:W, B34, '발전사업(A)'!U:U, $D$1),
    SUMIFS('자가소비(B)'!I:I, '자가소비(B)'!C:C, $E$1, '자가소비(B)'!G:G, B27, '자가소비(B)'!W:W, B34, '자가소비(B)'!U:U, $D$1),
    SUMIFS('PPA 사업(C)'!I:I, 'PPA 사업(C)'!C:C, $E$1, 'PPA 사업(C)'!G:G, B27, 'PPA 사업(C)'!W:W, B34, 'PPA 사업(C)'!U:U, $D$1),
    SUMIFS('리스사업(D)'!I:I, '리스사업(D)'!C:C, $E$1, '리스사업(D)'!G:G, B27, '리스사업(D)'!W:W, B34, '리스사업(D)'!U:U, $D$1),
    SUMIFS('임대사업(E)'!I:I, '임대사업(E)'!C:C, $E$1, '임대사업(E)'!G:G, B27, '임대사업(E)'!W:W, B34, '임대사업(E)'!U:U, $D$1),
    SUMIFS('환경부사업(F)'!I:I, '환경부사업(F)'!C:C, $E$1, '환경부사업(F)'!G:G, B27, '환경부사업(F)'!W:W, B34, '환경부사업(F)'!U:U, $D$1),
    SUMIFS('프로젝트(G)'!I:I, '프로젝트(G)'!C:C, $E$1, '프로젝트(G)'!G:G, B27, '프로젝트(G)'!W:W, B34, '프로젝트(G)'!U:U, $D$1),
    SUMIFS('협력사 EPC(H)'!I:I, '협력사 EPC(H)'!C:C, $E$1, '협력사 EPC(H)'!G:G, B27, '협력사 EPC(H)'!W:W, B34, '협력사 EPC(H)'!U:U, $D$1),
    SUMIFS('기타(Z)'!I:I, '기타(Z)'!C:C, $E$1, '기타(Z)'!G:G, B27, '기타(Z)'!W:W, B34, '기타(Z)'!U:U, $D$1)
  )
)</f>
        <v/>
      </c>
      <c r="H34" s="281" t="str">
        <f>IF(
  (
    COUNTIFS('발전사업(A)'!C:C, $E$1, '발전사업(A)'!G:G, B27, '발전사업(A)'!W:W, B34, '발전사업(A)'!U:U, $D$1)
    + COUNTIFS('자가소비(B)'!C:C, $E$1, '자가소비(B)'!G:G, B27, '자가소비(B)'!W:W, B34, '자가소비(B)'!U:U, $D$1)
    + COUNTIFS('PPA 사업(C)'!C:C, $E$1, 'PPA 사업(C)'!G:G, B27, 'PPA 사업(C)'!W:W, B34, 'PPA 사업(C)'!U:U, $D$1)
    + COUNTIFS('리스사업(D)'!C:C, $E$1, '리스사업(D)'!G:G, B27, '리스사업(D)'!W:W, B34, '리스사업(D)'!U:U, $D$1)
    + COUNTIFS('임대사업(E)'!C:C, $E$1, '임대사업(E)'!G:G, B27, '임대사업(E)'!W:W, B34, '임대사업(E)'!U:U, $D$1)
    + COUNTIFS('환경부사업(F)'!C:C, $E$1, '환경부사업(F)'!G:G, B27, '환경부사업(F)'!W:W, B34, '환경부사업(F)'!U:U, $D$1)
    + COUNTIFS('프로젝트(G)'!C:C, $E$1, '프로젝트(G)'!G:G, B27, '프로젝트(G)'!W:W, B34, '프로젝트(G)'!U:U, $D$1)
    + COUNTIFS('협력사 EPC(H)'!C:C, $E$1, '협력사 EPC(H)'!G:G, B27, '협력사 EPC(H)'!W:W, B34, '협력사 EPC(H)'!U:U, $D$1)
    + COUNTIFS('기타(Z)'!C:C, $E$1, '기타(Z)'!G:G, $B27, '기타(Z)'!W:W, B34, '기타(Z)'!U:U, $D$1)
  ) = 0,
  "",
  COUNTIFS('발전사업(A)'!C:C, $E$1, '발전사업(A)'!G:G, B27, '발전사업(A)'!W:W, B34, '발전사업(A)'!U:U, $D$1)
  + COUNTIFS('자가소비(B)'!C:C, $E$1, '자가소비(B)'!G:G, B27, '자가소비(B)'!W:W, B34, '자가소비(B)'!U:U, $D$1)
  + COUNTIFS('PPA 사업(C)'!C:C, $E$1, 'PPA 사업(C)'!G:G, B27, 'PPA 사업(C)'!W:W, B34, 'PPA 사업(C)'!U:U, $D$1)
  + COUNTIFS('리스사업(D)'!C:C, $E$1, '리스사업(D)'!G:G, B27, '리스사업(D)'!W:W, B34, '리스사업(D)'!U:U, $D$1)
  + COUNTIFS('임대사업(E)'!C:C, $E$1, '임대사업(E)'!G:G, B27, '임대사업(E)'!W:W, B34, '임대사업(E)'!U:U, $D$1)
  + COUNTIFS('환경부사업(F)'!C:C, $E$1, '환경부사업(F)'!G:G, B27, '환경부사업(F)'!W:W, B34, '환경부사업(F)'!U:U, $D$1)
  + COUNTIFS('프로젝트(G)'!C:C, $E$1, '프로젝트(G)'!G:G, B27, '프로젝트(G)'!W:W, B34, '프로젝트(G)'!U:U, $D$1)
  + COUNTIFS('협력사 EPC(H)'!C:C, $E$1, '협력사 EPC(H)'!G:G, B27, '협력사 EPC(H)'!W:W, B34, '협력사 EPC(H)'!U:U, $D$1)
  + COUNTIFS('기타(Z)'!C:C, $E$1, '기타(Z)'!G:G, B27, '기타(Z)'!W:W, B34, '기타(Z)'!U:U, $D$1)
)</f>
        <v/>
      </c>
    </row>
    <row r="35" spans="2:8" x14ac:dyDescent="0.25">
      <c r="B35" s="202" t="s">
        <v>265</v>
      </c>
      <c r="C35" s="280" t="str">
        <f>IF(
  SUM(
    SUMIFS('발전사업(A)'!I:I, '발전사업(A)'!C:C, $E$1, '발전사업(A)'!G:G, B27, '발전사업(A)'!W:W, B35),
    SUMIFS('자가소비(B)'!I:I, '자가소비(B)'!C:C, $E$1, '자가소비(B)'!G:G, B27, '자가소비(B)'!W:W, B35),
    SUMIFS('PPA 사업(C)'!I:I, 'PPA 사업(C)'!C:C, $E$1, 'PPA 사업(C)'!G:G, B27, 'PPA 사업(C)'!W:W, B35),
    SUMIFS('리스사업(D)'!I:I, '리스사업(D)'!C:C, $E$1, '리스사업(D)'!G:G, B27, '리스사업(D)'!W:W, B35),
    SUMIFS('임대사업(E)'!I:I, '임대사업(E)'!C:C, $E$1, '임대사업(E)'!G:G, B27, '임대사업(E)'!W:W, B35),
    SUMIFS('환경부사업(F)'!I:I, '환경부사업(F)'!C:C, $E$1, '환경부사업(F)'!G:G, B27, '환경부사업(F)'!W:W, B35),
    SUMIFS('프로젝트(G)'!I:I, '프로젝트(G)'!C:C, $E$1, '프로젝트(G)'!G:G, B27, '프로젝트(G)'!W:W, B35),
    SUMIFS('협력사 EPC(H)'!I:I, '협력사 EPC(H)'!C:C, $E$1, '협력사 EPC(H)'!G:G, B27, '협력사 EPC(H)'!W:W, B35),
    SUMIFS('기타(Z)'!I:I, '기타(Z)'!C:C, $E$1, '기타(Z)'!G:G, B27, '기타(Z)'!W:W, B35)
  ) = 0,
  "",
  SUMIFS('발전사업(A)'!I:I, '발전사업(A)'!C:C, $E$1, '발전사업(A)'!G:G, B27, '발전사업(A)'!W:W, B35)
  + SUMIFS('자가소비(B)'!I:I, '자가소비(B)'!C:C, $E$1, '자가소비(B)'!G:G, B27, '자가소비(B)'!W:W, B35)
  + SUMIFS('PPA 사업(C)'!I:I, 'PPA 사업(C)'!C:C, $E$1, 'PPA 사업(C)'!G:G, B27, 'PPA 사업(C)'!W:W, B35)
  + SUMIFS('리스사업(D)'!I:I, '리스사업(D)'!C:C, $E$1, '리스사업(D)'!G:G, B27, '리스사업(D)'!W:W, B35)
  + SUMIFS('임대사업(E)'!I:I, '임대사업(E)'!C:C, $E$1, '임대사업(E)'!G:G, B27, '임대사업(E)'!W:W, B35)
  + SUMIFS('환경부사업(F)'!I:I, '환경부사업(F)'!C:C, $E$1, '환경부사업(F)'!G:G, B27, '환경부사업(F)'!W:W, B35)
  + SUMIFS('프로젝트(G)'!I:I, '프로젝트(G)'!C:C, $E$1, '프로젝트(G)'!G:G, B27, '프로젝트(G)'!W:W, B35)
  + SUMIFS('협력사 EPC(H)'!I:I, '협력사 EPC(H)'!C:C, $E$1, '협력사 EPC(H)'!G:G, B27, '협력사 EPC(H)'!W:W, B35)
  + SUMIFS('기타(Z)'!I:I, '기타(Z)'!C:C, $E$1, '기타(Z)'!G:G, B27, '기타(Z)'!W:W, B35)
)</f>
        <v/>
      </c>
      <c r="D35" s="281" t="str">
        <f>IF(
  COUNTIFS('발전사업(A)'!C:C, $E$1, '발전사업(A)'!G:G, B27, '발전사업(A)'!W:W, B35)
  + COUNTIFS('자가소비(B)'!C:C, $E$1, '자가소비(B)'!G:G, B27, '자가소비(B)'!W:W, B35)
  + COUNTIFS('PPA 사업(C)'!C:C, $E$1, 'PPA 사업(C)'!G:G, B27, 'PPA 사업(C)'!W:W, B35)
  + COUNTIFS('리스사업(D)'!C:C, $E$1, '리스사업(D)'!G:G, B27, '리스사업(D)'!W:W, B35)
  + COUNTIFS('임대사업(E)'!C:C, $E$1, '임대사업(E)'!G:G, B27, '임대사업(E)'!W:W, B35)
  + COUNTIFS('환경부사업(F)'!C:C, $E$1, '환경부사업(F)'!G:G, B27, '환경부사업(F)'!W:W, B35)
  + COUNTIFS('프로젝트(G)'!C:C, $E$1, '프로젝트(G)'!G:G, B27, '프로젝트(G)'!W:W, B35)
  + COUNTIFS('협력사 EPC(H)'!C:C, $E$1, '협력사 EPC(H)'!G:G, B27, '협력사 EPC(H)'!W:W, B35)
  + COUNTIFS('기타(Z)'!C:C, $E$1, '기타(Z)'!G:G, B27, '기타(Z)'!W:W, B35)
  = 0,
  "",
  COUNTIFS('발전사업(A)'!C:C, $E$1, '발전사업(A)'!G:G, B27, '발전사업(A)'!W:W, B35)
  + COUNTIFS('자가소비(B)'!C:C, $E$1, '자가소비(B)'!G:G, B27, '자가소비(B)'!W:W, B35)
  + COUNTIFS('PPA 사업(C)'!C:C, $E$1, 'PPA 사업(C)'!G:G, B27, 'PPA 사업(C)'!W:W, B35)
  + COUNTIFS('리스사업(D)'!C:C, $E$1, '리스사업(D)'!G:G, B27, '리스사업(D)'!W:W, B35)
  + COUNTIFS('임대사업(E)'!C:C, $E$1, '임대사업(E)'!G:G, B27, '임대사업(E)'!W:W, B35)
  + COUNTIFS('환경부사업(F)'!C:C, $E$1, '환경부사업(F)'!G:G, B27, '환경부사업(F)'!W:W, B35)
  + COUNTIFS('프로젝트(G)'!C:C, $E$1, '프로젝트(G)'!G:G, B27, '프로젝트(G)'!W:W, B35)
  + COUNTIFS('협력사 EPC(H)'!C:C, $E$1, '협력사 EPC(H)'!G:G, B27, '협력사 EPC(H)'!W:W, B35)
  + COUNTIFS('기타(Z)'!C:C, $E$1, '기타(Z)'!G:G, B27, '기타(Z)'!W:W, B35)
)</f>
        <v/>
      </c>
      <c r="E35" s="280" t="str">
        <f>IF(
  SUM(
    SUMIFS('발전사업(A)'!I:I, '발전사업(A)'!C:C, $E$1, '발전사업(A)'!G:G, B27, '발전사업(A)'!W:W, B35, '발전사업(A)'!U:U, $C$1),
    SUMIFS('자가소비(B)'!I:I, '자가소비(B)'!C:C, $E$1, '자가소비(B)'!G:G, B27, '자가소비(B)'!W:W, B35, '자가소비(B)'!U:U, $C$1),
    SUMIFS('PPA 사업(C)'!I:I, 'PPA 사업(C)'!C:C, $E$1, 'PPA 사업(C)'!G:G, B27, 'PPA 사업(C)'!W:W, B35, 'PPA 사업(C)'!U:U, $C$1),
    SUMIFS('리스사업(D)'!I:I, '리스사업(D)'!C:C, $E$1, '리스사업(D)'!G:G, B27, '리스사업(D)'!W:W, B35, '리스사업(D)'!U:U, $C$1),
    SUMIFS('임대사업(E)'!I:I, '임대사업(E)'!C:C, $E$1, '임대사업(E)'!G:G, B27, '임대사업(E)'!W:W, B35, '임대사업(E)'!U:U, $C$1),
    SUMIFS('환경부사업(F)'!I:I, '환경부사업(F)'!C:C, $E$1, '환경부사업(F)'!G:G, B27, '환경부사업(F)'!W:W, B35, '환경부사업(F)'!U:U, $C$1),
    SUMIFS('프로젝트(G)'!I:I, '프로젝트(G)'!C:C, $E$1, '프로젝트(G)'!G:G, B27, '프로젝트(G)'!W:W, B35, '프로젝트(G)'!U:U, $C$1),
    SUMIFS('협력사 EPC(H)'!I:I, '협력사 EPC(H)'!C:C, $E$1, '협력사 EPC(H)'!G:G, B27, '협력사 EPC(H)'!W:W, B35, '협력사 EPC(H)'!U:U, $C$1),
    SUMIFS('기타(Z)'!I:I, '기타(Z)'!C:C, $E$1, '기타(Z)'!G:G, B27, '기타(Z)'!W:W, B35, '기타(Z)'!U:U, $C$1)
  ) = 0,
  "",
  SUM(
    SUMIFS('발전사업(A)'!I:I, '발전사업(A)'!C:C, $E$1, '발전사업(A)'!G:G, B27, '발전사업(A)'!W:W, B35, '발전사업(A)'!U:U, $C$1),
    SUMIFS('자가소비(B)'!I:I, '자가소비(B)'!C:C, $E$1, '자가소비(B)'!G:G, B27, '자가소비(B)'!W:W, B35, '자가소비(B)'!U:U, $C$1),
    SUMIFS('PPA 사업(C)'!I:I, 'PPA 사업(C)'!C:C, $E$1, 'PPA 사업(C)'!G:G, B27, 'PPA 사업(C)'!W:W, B35, 'PPA 사업(C)'!U:U, $C$1),
    SUMIFS('리스사업(D)'!I:I, '리스사업(D)'!C:C, $E$1, '리스사업(D)'!G:G, B27, '리스사업(D)'!W:W, B35, '리스사업(D)'!U:U, $C$1),
    SUMIFS('임대사업(E)'!I:I, '임대사업(E)'!C:C, $E$1, '임대사업(E)'!G:G, B27, '임대사업(E)'!W:W, B35, '임대사업(E)'!U:U, $C$1),
    SUMIFS('환경부사업(F)'!I:I, '환경부사업(F)'!C:C, $E$1, '환경부사업(F)'!G:G, B27, '환경부사업(F)'!W:W, B35, '환경부사업(F)'!U:U, $C$1),
    SUMIFS('프로젝트(G)'!I:I, '프로젝트(G)'!C:C, $E$1, '프로젝트(G)'!G:G, B27, '프로젝트(G)'!W:W, B35, '프로젝트(G)'!U:U, $C$1),
    SUMIFS('협력사 EPC(H)'!I:I, '협력사 EPC(H)'!C:C, $E$1, '협력사 EPC(H)'!G:G, B27, '협력사 EPC(H)'!W:W, B35, '협력사 EPC(H)'!U:U, $C$1),
    SUMIFS('기타(Z)'!I:I, '기타(Z)'!C:C, $E$1, '기타(Z)'!G:G, B27, '기타(Z)'!W:W, B35, '기타(Z)'!U:U, $C$1)
  )
)</f>
        <v/>
      </c>
      <c r="F35" s="281" t="str">
        <f>IF(
  SUM(
    COUNTIFS('발전사업(A)'!C:C, $E$1, '발전사업(A)'!G:G, B27, '발전사업(A)'!W:W, B35, '발전사업(A)'!U:U, $C$1),
    COUNTIFS('자가소비(B)'!C:C, $E$1, '자가소비(B)'!G:G, B27, '자가소비(B)'!W:W, B35, '자가소비(B)'!U:U, $C$1),
    COUNTIFS('PPA 사업(C)'!C:C, $E$1, 'PPA 사업(C)'!G:G, B27, 'PPA 사업(C)'!W:W, B35, 'PPA 사업(C)'!U:U, $C$1),
    COUNTIFS('리스사업(D)'!C:C, $E$1, '리스사업(D)'!G:G, B27, '리스사업(D)'!W:W, B35, '리스사업(D)'!U:U, $C$1),
    COUNTIFS('임대사업(E)'!C:C, $E$1, '임대사업(E)'!G:G, B27, '임대사업(E)'!W:W, B35, '임대사업(E)'!U:U, $C$1),
    COUNTIFS('환경부사업(F)'!C:C, $E$1, '환경부사업(F)'!G:G, B27, '환경부사업(F)'!W:W, B35, '환경부사업(F)'!U:U, $C$1),
    COUNTIFS('프로젝트(G)'!C:C, $E$1, '프로젝트(G)'!G:G, B27, '프로젝트(G)'!W:W, B35, '프로젝트(G)'!U:U, $C$1),
    COUNTIFS('협력사 EPC(H)'!C:C, $E$1, '협력사 EPC(H)'!G:G, B27, '협력사 EPC(H)'!W:W, B35, '협력사 EPC(H)'!U:U, $C$1),
    COUNTIFS('기타(Z)'!C:C, $E$1, '기타(Z)'!G:G, B27, '기타(Z)'!W:W, B35, '기타(Z)'!U:U, $C$1)
  ) = 0,
  "",
  SUM(
    COUNTIFS('발전사업(A)'!C:C, $E$1, '발전사업(A)'!G:G, B27, '발전사업(A)'!W:W, B35, '발전사업(A)'!U:U, $C$1),
    COUNTIFS('자가소비(B)'!C:C, $E$1, '자가소비(B)'!G:G, B27, '자가소비(B)'!W:W, B35, '자가소비(B)'!U:U, $C$1),
    COUNTIFS('PPA 사업(C)'!C:C, $E$1, 'PPA 사업(C)'!G:G, B27, 'PPA 사업(C)'!W:W, B35, 'PPA 사업(C)'!U:U, $C$1),
    COUNTIFS('리스사업(D)'!C:C, $E$1, '리스사업(D)'!G:G, B27, '리스사업(D)'!W:W, B35, '리스사업(D)'!U:U, $C$1),
    COUNTIFS('임대사업(E)'!C:C, $E$1, '임대사업(E)'!G:G, B27, '임대사업(E)'!W:W, B35, '임대사업(E)'!U:U, $C$1),
    COUNTIFS('환경부사업(F)'!C:C, $E$1, '환경부사업(F)'!G:G, B27, '환경부사업(F)'!W:W, B35, '환경부사업(F)'!U:U, $C$1),
    COUNTIFS('프로젝트(G)'!C:C, $E$1, '프로젝트(G)'!G:G, B27, '프로젝트(G)'!W:W, B35, '프로젝트(G)'!U:U, $C$1),
    COUNTIFS('협력사 EPC(H)'!C:C, $E$1, '협력사 EPC(H)'!G:G, B27, '협력사 EPC(H)'!W:W, B35, '협력사 EPC(H)'!U:U, $C$1),
    COUNTIFS('기타(Z)'!C:C, $E$1, '기타(Z)'!G:G, B27, '기타(Z)'!W:W, B35, '기타(Z)'!U:U, $C$1)
  )
)</f>
        <v/>
      </c>
      <c r="G35" s="280" t="str">
        <f>IF(
  SUM(
    SUMIFS('발전사업(A)'!I:I, '발전사업(A)'!C:C, $E$1, '발전사업(A)'!G:G, B27, '발전사업(A)'!W:W, B35, '발전사업(A)'!U:U, $D$1),
    SUMIFS('자가소비(B)'!I:I, '자가소비(B)'!C:C, $E$1, '자가소비(B)'!G:G, B27, '자가소비(B)'!W:W, B35, '자가소비(B)'!U:U, $D$1),
    SUMIFS('PPA 사업(C)'!I:I, 'PPA 사업(C)'!C:C, $E$1, 'PPA 사업(C)'!G:G, B27, 'PPA 사업(C)'!W:W, B35, 'PPA 사업(C)'!U:U, $D$1),
    SUMIFS('리스사업(D)'!I:I, '리스사업(D)'!C:C, $E$1, '리스사업(D)'!G:G, B27, '리스사업(D)'!W:W, B35, '리스사업(D)'!U:U, $D$1),
    SUMIFS('임대사업(E)'!I:I, '임대사업(E)'!C:C, $E$1, '임대사업(E)'!G:G, B27, '임대사업(E)'!W:W, B35, '임대사업(E)'!U:U, $D$1),
    SUMIFS('환경부사업(F)'!I:I, '환경부사업(F)'!C:C, $E$1, '환경부사업(F)'!G:G, B27, '환경부사업(F)'!W:W, B35, '환경부사업(F)'!U:U, $D$1),
    SUMIFS('프로젝트(G)'!I:I, '프로젝트(G)'!C:C, $E$1, '프로젝트(G)'!G:G, B27, '프로젝트(G)'!W:W, B35, '프로젝트(G)'!U:U, $D$1),
    SUMIFS('협력사 EPC(H)'!I:I, '협력사 EPC(H)'!C:C, $E$1, '협력사 EPC(H)'!G:G, B27, '협력사 EPC(H)'!W:W, B35, '협력사 EPC(H)'!U:U, $D$1),
    SUMIFS('기타(Z)'!I:I, '기타(Z)'!C:C, $E$1, '기타(Z)'!G:G, B27, '기타(Z)'!W:W, B35, '기타(Z)'!U:U, $D$1)
  ) = 0,
  "",
  SUM(
    SUMIFS('발전사업(A)'!I:I, '발전사업(A)'!C:C, $E$1, '발전사업(A)'!G:G, B27, '발전사업(A)'!W:W, B35, '발전사업(A)'!U:U, $D$1),
    SUMIFS('자가소비(B)'!I:I, '자가소비(B)'!C:C, $E$1, '자가소비(B)'!G:G, B27, '자가소비(B)'!W:W, B35, '자가소비(B)'!U:U, $D$1),
    SUMIFS('PPA 사업(C)'!I:I, 'PPA 사업(C)'!C:C, $E$1, 'PPA 사업(C)'!G:G, B27, 'PPA 사업(C)'!W:W, B35, 'PPA 사업(C)'!U:U, $D$1),
    SUMIFS('리스사업(D)'!I:I, '리스사업(D)'!C:C, $E$1, '리스사업(D)'!G:G, B27, '리스사업(D)'!W:W, B35, '리스사업(D)'!U:U, $D$1),
    SUMIFS('임대사업(E)'!I:I, '임대사업(E)'!C:C, $E$1, '임대사업(E)'!G:G, B27, '임대사업(E)'!W:W, B35, '임대사업(E)'!U:U, $D$1),
    SUMIFS('환경부사업(F)'!I:I, '환경부사업(F)'!C:C, $E$1, '환경부사업(F)'!G:G, B27, '환경부사업(F)'!W:W, B35, '환경부사업(F)'!U:U, $D$1),
    SUMIFS('프로젝트(G)'!I:I, '프로젝트(G)'!C:C, $E$1, '프로젝트(G)'!G:G, B27, '프로젝트(G)'!W:W, B35, '프로젝트(G)'!U:U, $D$1),
    SUMIFS('협력사 EPC(H)'!I:I, '협력사 EPC(H)'!C:C, $E$1, '협력사 EPC(H)'!G:G, B27, '협력사 EPC(H)'!W:W, B35, '협력사 EPC(H)'!U:U, $D$1),
    SUMIFS('기타(Z)'!I:I, '기타(Z)'!C:C, $E$1, '기타(Z)'!G:G, B27, '기타(Z)'!W:W, B35, '기타(Z)'!U:U, $D$1)
  )
)</f>
        <v/>
      </c>
      <c r="H35" s="281" t="str">
        <f>IF(
  (
    COUNTIFS('발전사업(A)'!C:C, $E$1, '발전사업(A)'!G:G, B27, '발전사업(A)'!W:W, B35, '발전사업(A)'!U:U, $D$1)
    + COUNTIFS('자가소비(B)'!C:C, $E$1, '자가소비(B)'!G:G, B27, '자가소비(B)'!W:W, B35, '자가소비(B)'!U:U, $D$1)
    + COUNTIFS('PPA 사업(C)'!C:C, $E$1, 'PPA 사업(C)'!G:G, B27, 'PPA 사업(C)'!W:W, B35, 'PPA 사업(C)'!U:U, $D$1)
    + COUNTIFS('리스사업(D)'!C:C, $E$1, '리스사업(D)'!G:G, B27, '리스사업(D)'!W:W, B35, '리스사업(D)'!U:U, $D$1)
    + COUNTIFS('임대사업(E)'!C:C, $E$1, '임대사업(E)'!G:G, B27, '임대사업(E)'!W:W, B35, '임대사업(E)'!U:U, $D$1)
    + COUNTIFS('환경부사업(F)'!C:C, $E$1, '환경부사업(F)'!G:G, B27, '환경부사업(F)'!W:W, B35, '환경부사업(F)'!U:U, $D$1)
    + COUNTIFS('프로젝트(G)'!C:C, $E$1, '프로젝트(G)'!G:G, B27, '프로젝트(G)'!W:W, B35, '프로젝트(G)'!U:U, $D$1)
    + COUNTIFS('협력사 EPC(H)'!C:C, $E$1, '협력사 EPC(H)'!G:G, B27, '협력사 EPC(H)'!W:W, B35, '협력사 EPC(H)'!U:U, $D$1)
    + COUNTIFS('기타(Z)'!C:C, $E$1, '기타(Z)'!G:G, B27, '기타(Z)'!W:W, B35, '기타(Z)'!U:U, $D$1)
  ) = 0,
  "",
  COUNTIFS('발전사업(A)'!C:C, $E$1, '발전사업(A)'!G:G, B27, '발전사업(A)'!W:W, B35, '발전사업(A)'!U:U, $D$1)
  + COUNTIFS('자가소비(B)'!C:C, $E$1, '자가소비(B)'!G:G, B27, '자가소비(B)'!W:W, B35, '자가소비(B)'!U:U, $D$1)
  + COUNTIFS('PPA 사업(C)'!C:C, $E$1, 'PPA 사업(C)'!G:G, B27, 'PPA 사업(C)'!W:W, B35, 'PPA 사업(C)'!U:U, $D$1)
  + COUNTIFS('리스사업(D)'!C:C, $E$1, '리스사업(D)'!G:G, B27, '리스사업(D)'!W:W, B35, '리스사업(D)'!U:U, $D$1)
  + COUNTIFS('임대사업(E)'!C:C, $E$1, '임대사업(E)'!G:G, B27, '임대사업(E)'!W:W, B35, '임대사업(E)'!U:U, $D$1)
  + COUNTIFS('환경부사업(F)'!C:C, $E$1, '환경부사업(F)'!G:G, B27, '환경부사업(F)'!W:W, B35, '환경부사업(F)'!U:U, $D$1)
  + COUNTIFS('프로젝트(G)'!C:C, $E$1, '프로젝트(G)'!G:G, B27, '프로젝트(G)'!W:W, B35, '프로젝트(G)'!U:U, $D$1)
  + COUNTIFS('협력사 EPC(H)'!C:C, $E$1, '협력사 EPC(H)'!G:G, B27, '협력사 EPC(H)'!W:W, B35, '협력사 EPC(H)'!U:U, $D$1)
  + COUNTIFS('기타(Z)'!C:C, $E$1, '기타(Z)'!G:G, B27, '기타(Z)'!W:W, B35, '기타(Z)'!U:U, $D$1)
)</f>
        <v/>
      </c>
    </row>
    <row r="36" spans="2:8" ht="16.5" x14ac:dyDescent="0.25">
      <c r="B36" s="292" t="s">
        <v>1062</v>
      </c>
      <c r="C36" s="286">
        <f>SUM(C28:C35)</f>
        <v>3691.7650000000003</v>
      </c>
      <c r="D36" s="287">
        <f t="shared" ref="D36:H36" si="11">SUM(D28:D35)</f>
        <v>14</v>
      </c>
      <c r="E36" s="288">
        <f t="shared" si="11"/>
        <v>3199.415</v>
      </c>
      <c r="F36" s="289">
        <f t="shared" si="11"/>
        <v>10</v>
      </c>
      <c r="G36" s="290">
        <f t="shared" si="11"/>
        <v>492.34999999999997</v>
      </c>
      <c r="H36" s="291">
        <f t="shared" si="11"/>
        <v>4</v>
      </c>
    </row>
    <row r="39" spans="2:8" ht="17.25" x14ac:dyDescent="0.25">
      <c r="B39" s="282">
        <v>3</v>
      </c>
      <c r="C39" s="283" t="s">
        <v>1064</v>
      </c>
      <c r="D39" s="283" t="s">
        <v>1063</v>
      </c>
      <c r="E39" s="284" t="s">
        <v>1065</v>
      </c>
      <c r="F39" s="284" t="s">
        <v>1066</v>
      </c>
      <c r="G39" s="285" t="s">
        <v>1067</v>
      </c>
      <c r="H39" s="285" t="s">
        <v>1068</v>
      </c>
    </row>
    <row r="40" spans="2:8" x14ac:dyDescent="0.25">
      <c r="B40" s="202" t="s">
        <v>270</v>
      </c>
      <c r="C40" s="280">
        <f>IF(
  SUM(
    SUMIFS('발전사업(A)'!I:I, '발전사업(A)'!C:C, $E$1, '발전사업(A)'!G:G, B39, '발전사업(A)'!W:W, B40),
    SUMIFS('자가소비(B)'!I:I, '자가소비(B)'!C:C, $E$1, '자가소비(B)'!G:G, B39, '자가소비(B)'!W:W, B40),
    SUMIFS('PPA 사업(C)'!I:I, 'PPA 사업(C)'!C:C, $E$1, 'PPA 사업(C)'!G:G, B39, 'PPA 사업(C)'!W:W, B40),
    SUMIFS('리스사업(D)'!I:I, '리스사업(D)'!C:C, $E$1, '리스사업(D)'!G:G, B39, '리스사업(D)'!W:W, B40),
    SUMIFS('임대사업(E)'!I:I, '임대사업(E)'!C:C, $E$1, '임대사업(E)'!G:G, B39, '임대사업(E)'!W:W, B40),
    SUMIFS('환경부사업(F)'!I:I, '환경부사업(F)'!C:C, $E$1, '환경부사업(F)'!G:G, B39, '환경부사업(F)'!W:W, B40),
    SUMIFS('프로젝트(G)'!I:I, '프로젝트(G)'!C:C, $E$1, '프로젝트(G)'!G:G, B39, '프로젝트(G)'!W:W, B40),
    SUMIFS('협력사 EPC(H)'!I:I, '협력사 EPC(H)'!C:C, $E$1, '협력사 EPC(H)'!G:G, B39, '협력사 EPC(H)'!W:W, B40),
    SUMIFS('기타(Z)'!I:I, '기타(Z)'!C:C, $E$1, '기타(Z)'!G:G, B39, '기타(Z)'!W:W, B40)
  ) = 0,
  "",
  SUMIFS('발전사업(A)'!I:I, '발전사업(A)'!C:C, $E$1, '발전사업(A)'!G:G, B39, '발전사업(A)'!W:W, B40)
  + SUMIFS('자가소비(B)'!I:I, '자가소비(B)'!C:C, $E$1, '자가소비(B)'!G:G, B39, '자가소비(B)'!W:W, B40)
  + SUMIFS('PPA 사업(C)'!I:I, 'PPA 사업(C)'!C:C, $E$1, 'PPA 사업(C)'!G:G, B39, 'PPA 사업(C)'!W:W, B40)
  + SUMIFS('리스사업(D)'!I:I, '리스사업(D)'!C:C, $E$1, '리스사업(D)'!G:G, B39, '리스사업(D)'!W:W, B40)
  + SUMIFS('임대사업(E)'!I:I, '임대사업(E)'!C:C, $E$1, '임대사업(E)'!G:G, B39, '임대사업(E)'!W:W, B40)
  + SUMIFS('환경부사업(F)'!I:I, '환경부사업(F)'!C:C, $E$1, '환경부사업(F)'!G:G, B39, '환경부사업(F)'!W:W, B40)
  + SUMIFS('프로젝트(G)'!I:I, '프로젝트(G)'!C:C, $E$1, '프로젝트(G)'!G:G, B39, '프로젝트(G)'!W:W, B40)
  + SUMIFS('협력사 EPC(H)'!I:I, '협력사 EPC(H)'!C:C, $E$1, '협력사 EPC(H)'!G:G, B39, '협력사 EPC(H)'!W:W, B40)
  + SUMIFS('기타(Z)'!I:I, '기타(Z)'!C:C, $E$1, '기타(Z)'!G:G, B39, '기타(Z)'!W:W, B40)
)</f>
        <v>995.2</v>
      </c>
      <c r="D40" s="281">
        <f>IF(
  COUNTIFS('발전사업(A)'!C:C, $E$1, '발전사업(A)'!G:G, B39, '발전사업(A)'!W:W, B40)
  + COUNTIFS('자가소비(B)'!C:C, $E$1, '자가소비(B)'!G:G, B39, '자가소비(B)'!W:W, B40)
  + COUNTIFS('PPA 사업(C)'!C:C, $E$1, 'PPA 사업(C)'!G:G, B39, 'PPA 사업(C)'!W:W, B40)
  + COUNTIFS('리스사업(D)'!C:C, $E$1, '리스사업(D)'!G:G, B39, '리스사업(D)'!W:W, B40)
  + COUNTIFS('임대사업(E)'!C:C, $E$1, '임대사업(E)'!G:G, B39, '임대사업(E)'!W:W, B40)
  + COUNTIFS('환경부사업(F)'!C:C, $E$1, '환경부사업(F)'!G:G, B39, '환경부사업(F)'!W:W, B40)
  + COUNTIFS('프로젝트(G)'!C:C, $E$1, '프로젝트(G)'!G:G, B39, '프로젝트(G)'!W:W, B40)
  + COUNTIFS('협력사 EPC(H)'!C:C, $E$1, '협력사 EPC(H)'!G:G, B39, '협력사 EPC(H)'!W:W, B40)
  + COUNTIFS('기타(Z)'!C:C, $E$1, '기타(Z)'!G:G, B39, '기타(Z)'!W:W, B40)
  = 0,
  "",
  COUNTIFS('발전사업(A)'!C:C, $E$1, '발전사업(A)'!G:G, B39, '발전사업(A)'!W:W, B40)
  + COUNTIFS('자가소비(B)'!C:C, $E$1, '자가소비(B)'!G:G, B39, '자가소비(B)'!W:W, B40)
  + COUNTIFS('PPA 사업(C)'!C:C, $E$1, 'PPA 사업(C)'!G:G, B39, 'PPA 사업(C)'!W:W, B40)
  + COUNTIFS('리스사업(D)'!C:C, $E$1, '리스사업(D)'!G:G, B39, '리스사업(D)'!W:W, B40)
  + COUNTIFS('임대사업(E)'!C:C, $E$1, '임대사업(E)'!G:G, B39, '임대사업(E)'!W:W, B40)
  + COUNTIFS('환경부사업(F)'!C:C, $E$1, '환경부사업(F)'!G:G, B39, '환경부사업(F)'!W:W, B40)
  + COUNTIFS('프로젝트(G)'!C:C, $E$1, '프로젝트(G)'!G:G, B39, '프로젝트(G)'!W:W, B40)
  + COUNTIFS('협력사 EPC(H)'!C:C, $E$1, '협력사 EPC(H)'!G:G, B39, '협력사 EPC(H)'!W:W, B40)
  + COUNTIFS('기타(Z)'!C:C, $E$1, '기타(Z)'!G:G, B39, '기타(Z)'!W:W, B40)
)</f>
        <v>3</v>
      </c>
      <c r="E40" s="280" t="str">
        <f>IF(
  SUM(
    SUMIFS('발전사업(A)'!I:I, '발전사업(A)'!C:C, $E$1, '발전사업(A)'!G:G, B39, '발전사업(A)'!W:W, B40, '발전사업(A)'!U:U, $C$1),
    SUMIFS('자가소비(B)'!I:I, '자가소비(B)'!C:C, $E$1, '자가소비(B)'!G:G, B39, '자가소비(B)'!W:W, B40, '자가소비(B)'!U:U, $C$1),
    SUMIFS('PPA 사업(C)'!I:I, 'PPA 사업(C)'!C:C, $E$1, 'PPA 사업(C)'!G:G, B39, 'PPA 사업(C)'!W:W, B40, 'PPA 사업(C)'!U:U, $C$1),
    SUMIFS('리스사업(D)'!I:I, '리스사업(D)'!C:C, $E$1, '리스사업(D)'!G:G, B39, '리스사업(D)'!W:W, B40, '리스사업(D)'!U:U, $C$1),
    SUMIFS('임대사업(E)'!I:I, '임대사업(E)'!C:C, $E$1, '임대사업(E)'!G:G, B39, '임대사업(E)'!W:W, B40, '임대사업(E)'!U:U, $C$1),
    SUMIFS('환경부사업(F)'!I:I, '환경부사업(F)'!C:C, $E$1, '환경부사업(F)'!G:G, B39, '환경부사업(F)'!W:W, B40, '환경부사업(F)'!U:U, $C$1),
    SUMIFS('프로젝트(G)'!I:I, '프로젝트(G)'!C:C, $E$1, '프로젝트(G)'!G:G, B39, '프로젝트(G)'!W:W, B40, '프로젝트(G)'!U:U, $C$1),
    SUMIFS('협력사 EPC(H)'!I:I, '협력사 EPC(H)'!C:C, $E$1, '협력사 EPC(H)'!G:G, B39, '협력사 EPC(H)'!W:W, B40, '협력사 EPC(H)'!U:U, $C$1),
    SUMIFS('기타(Z)'!I:I, '기타(Z)'!C:C, $E$1, '기타(Z)'!G:G, B39, '기타(Z)'!W:W, B40, '기타(Z)'!U:U, $C$1)
  ) = 0,
  "",
  SUM(
    SUMIFS('발전사업(A)'!I:I, '발전사업(A)'!C:C, $E$1, '발전사업(A)'!G:G, B39, '발전사업(A)'!W:W, B40, '발전사업(A)'!U:U, $C$1),
    SUMIFS('자가소비(B)'!I:I, '자가소비(B)'!C:C, $E$1, '자가소비(B)'!G:G, B39, '자가소비(B)'!W:W, B40, '자가소비(B)'!U:U, $C$1),
    SUMIFS('PPA 사업(C)'!I:I, 'PPA 사업(C)'!C:C, $E$1, 'PPA 사업(C)'!G:G, B39, 'PPA 사업(C)'!W:W, B40, 'PPA 사업(C)'!U:U, $C$1),
    SUMIFS('리스사업(D)'!I:I, '리스사업(D)'!C:C, $E$1, '리스사업(D)'!G:G, B39, '리스사업(D)'!W:W, B40, '리스사업(D)'!U:U, $C$1),
    SUMIFS('임대사업(E)'!I:I, '임대사업(E)'!C:C, $E$1, '임대사업(E)'!G:G, B39, '임대사업(E)'!W:W, B40, '임대사업(E)'!U:U, $C$1),
    SUMIFS('환경부사업(F)'!I:I, '환경부사업(F)'!C:C, $E$1, '환경부사업(F)'!G:G, B39, '환경부사업(F)'!W:W, B40, '환경부사업(F)'!U:U, $C$1),
    SUMIFS('프로젝트(G)'!I:I, '프로젝트(G)'!C:C, $E$1, '프로젝트(G)'!G:G, B39, '프로젝트(G)'!W:W, B40, '프로젝트(G)'!U:U, $C$1),
    SUMIFS('협력사 EPC(H)'!I:I, '협력사 EPC(H)'!C:C, $E$1, '협력사 EPC(H)'!G:G, B39, '협력사 EPC(H)'!W:W, B40, '협력사 EPC(H)'!U:U, $C$1),
    SUMIFS('기타(Z)'!I:I, '기타(Z)'!C:C, $E$1, '기타(Z)'!G:G, B39, '기타(Z)'!W:W, B40, '기타(Z)'!U:U, $C$1)
  )
)</f>
        <v/>
      </c>
      <c r="F40" s="281" t="str">
        <f>IF(
  SUM(
    COUNTIFS('발전사업(A)'!C:C, $E$1, '발전사업(A)'!G:G, B39, '발전사업(A)'!W:W, B40, '발전사업(A)'!U:U, $C$1),
    COUNTIFS('자가소비(B)'!C:C, $E$1, '자가소비(B)'!G:G, B39, '자가소비(B)'!W:W, B40, '자가소비(B)'!U:U, $C$1),
    COUNTIFS('PPA 사업(C)'!C:C, $E$1, 'PPA 사업(C)'!G:G, B39, 'PPA 사업(C)'!W:W, B40, 'PPA 사업(C)'!U:U, $C$1),
    COUNTIFS('리스사업(D)'!C:C, $E$1, '리스사업(D)'!G:G, B39, '리스사업(D)'!W:W, B40, '리스사업(D)'!U:U, $C$1),
    COUNTIFS('임대사업(E)'!C:C, $E$1, '임대사업(E)'!G:G, B39, '임대사업(E)'!W:W, B40, '임대사업(E)'!U:U, $C$1),
    COUNTIFS('환경부사업(F)'!C:C, $E$1, '환경부사업(F)'!G:G, B39, '환경부사업(F)'!W:W, B40, '환경부사업(F)'!U:U, $C$1),
    COUNTIFS('프로젝트(G)'!C:C, $E$1, '프로젝트(G)'!G:G, B39, '프로젝트(G)'!W:W, B40, '프로젝트(G)'!U:U, $C$1),
    COUNTIFS('협력사 EPC(H)'!C:C, $E$1, '협력사 EPC(H)'!G:G, B39, '협력사 EPC(H)'!W:W, B40, '협력사 EPC(H)'!U:U, $C$1),
    COUNTIFS('기타(Z)'!C:C, $E$1, '기타(Z)'!G:G, B39, '기타(Z)'!W:W, B40, '기타(Z)'!U:U, $C$1)
  ) = 0,
  "",
  SUM(
    COUNTIFS('발전사업(A)'!C:C, $E$1, '발전사업(A)'!G:G, B39, '발전사업(A)'!W:W, B40, '발전사업(A)'!U:U, $C$1),
    COUNTIFS('자가소비(B)'!C:C, $E$1, '자가소비(B)'!G:G, B39, '자가소비(B)'!W:W, B40, '자가소비(B)'!U:U, $C$1),
    COUNTIFS('PPA 사업(C)'!C:C, $E$1, 'PPA 사업(C)'!G:G, B39, 'PPA 사업(C)'!W:W, B40, 'PPA 사업(C)'!U:U, $C$1),
    COUNTIFS('리스사업(D)'!C:C, $E$1, '리스사업(D)'!G:G, B39, '리스사업(D)'!W:W, B40, '리스사업(D)'!U:U, $C$1),
    COUNTIFS('임대사업(E)'!C:C, $E$1, '임대사업(E)'!G:G, B39, '임대사업(E)'!W:W, B40, '임대사업(E)'!U:U, $C$1),
    COUNTIFS('환경부사업(F)'!C:C, $E$1, '환경부사업(F)'!G:G, B39, '환경부사업(F)'!W:W, B40, '환경부사업(F)'!U:U, $C$1),
    COUNTIFS('프로젝트(G)'!C:C, $E$1, '프로젝트(G)'!G:G, B39, '프로젝트(G)'!W:W, B40, '프로젝트(G)'!U:U, $C$1),
    COUNTIFS('협력사 EPC(H)'!C:C, $E$1, '협력사 EPC(H)'!G:G, B39, '협력사 EPC(H)'!W:W, B40, '협력사 EPC(H)'!U:U, $C$1),
    COUNTIFS('기타(Z)'!C:C, $E$1, '기타(Z)'!G:G, B39, '기타(Z)'!W:W, B40, '기타(Z)'!U:U, $C$1)
  )
)</f>
        <v/>
      </c>
      <c r="G40" s="280">
        <f>IF(
  SUM(
    SUMIFS('발전사업(A)'!I:I, '발전사업(A)'!C:C, $E$1, '발전사업(A)'!G:G, B39, '발전사업(A)'!W:W, B40, '발전사업(A)'!U:U, $D$1),
    SUMIFS('자가소비(B)'!I:I, '자가소비(B)'!C:C, $E$1, '자가소비(B)'!G:G, B39, '자가소비(B)'!W:W, B40, '자가소비(B)'!U:U, $D$1),
    SUMIFS('PPA 사업(C)'!I:I, 'PPA 사업(C)'!C:C, $E$1, 'PPA 사업(C)'!G:G, B39, 'PPA 사업(C)'!W:W, B40, 'PPA 사업(C)'!U:U, $D$1),
    SUMIFS('리스사업(D)'!I:I, '리스사업(D)'!C:C, $E$1, '리스사업(D)'!G:G, B39, '리스사업(D)'!W:W, B40, '리스사업(D)'!U:U, $D$1),
    SUMIFS('임대사업(E)'!I:I, '임대사업(E)'!C:C, $E$1, '임대사업(E)'!G:G, B39, '임대사업(E)'!W:W, B40, '임대사업(E)'!U:U, $D$1),
    SUMIFS('환경부사업(F)'!I:I, '환경부사업(F)'!C:C, $E$1, '환경부사업(F)'!G:G, B39, '환경부사업(F)'!W:W, B40, '환경부사업(F)'!U:U, $D$1),
    SUMIFS('프로젝트(G)'!I:I, '프로젝트(G)'!C:C, $E$1, '프로젝트(G)'!G:G, B39, '프로젝트(G)'!W:W, B40, '프로젝트(G)'!U:U, $D$1),
    SUMIFS('협력사 EPC(H)'!I:I, '협력사 EPC(H)'!C:C, $E$1, '협력사 EPC(H)'!G:G, B39, '협력사 EPC(H)'!W:W, B40, '협력사 EPC(H)'!U:U, $D$1),
    SUMIFS('기타(Z)'!I:I, '기타(Z)'!C:C, $E$1, '기타(Z)'!G:G, B39, '기타(Z)'!W:W, B40, '기타(Z)'!U:U, $D$1)
  ) = 0,
  "",
  SUM(
    SUMIFS('발전사업(A)'!I:I, '발전사업(A)'!C:C, $E$1, '발전사업(A)'!G:G, B39, '발전사업(A)'!W:W, B40, '발전사업(A)'!U:U, $D$1),
    SUMIFS('자가소비(B)'!I:I, '자가소비(B)'!C:C, $E$1, '자가소비(B)'!G:G, B39, '자가소비(B)'!W:W, B40, '자가소비(B)'!U:U, $D$1),
    SUMIFS('PPA 사업(C)'!I:I, 'PPA 사업(C)'!C:C, $E$1, 'PPA 사업(C)'!G:G, B39, 'PPA 사업(C)'!W:W, B40, 'PPA 사업(C)'!U:U, $D$1),
    SUMIFS('리스사업(D)'!I:I, '리스사업(D)'!C:C, $E$1, '리스사업(D)'!G:G, B39, '리스사업(D)'!W:W, B40, '리스사업(D)'!U:U, $D$1),
    SUMIFS('임대사업(E)'!I:I, '임대사업(E)'!C:C, $E$1, '임대사업(E)'!G:G, B39, '임대사업(E)'!W:W, B40, '임대사업(E)'!U:U, $D$1),
    SUMIFS('환경부사업(F)'!I:I, '환경부사업(F)'!C:C, $E$1, '환경부사업(F)'!G:G, B39, '환경부사업(F)'!W:W, B40, '환경부사업(F)'!U:U, $D$1),
    SUMIFS('프로젝트(G)'!I:I, '프로젝트(G)'!C:C, $E$1, '프로젝트(G)'!G:G, B39, '프로젝트(G)'!W:W, B40, '프로젝트(G)'!U:U, $D$1),
    SUMIFS('협력사 EPC(H)'!I:I, '협력사 EPC(H)'!C:C, $E$1, '협력사 EPC(H)'!G:G, B39, '협력사 EPC(H)'!W:W, B40, '협력사 EPC(H)'!U:U, $D$1),
    SUMIFS('기타(Z)'!I:I, '기타(Z)'!C:C, $E$1, '기타(Z)'!G:G, B39, '기타(Z)'!W:W, B40, '기타(Z)'!U:U, $D$1)
  )
)</f>
        <v>995.2</v>
      </c>
      <c r="H40" s="281">
        <f>IF(
  (
    COUNTIFS('발전사업(A)'!C:C, $E$1, '발전사업(A)'!G:G, B39, '발전사업(A)'!W:W, B40, '발전사업(A)'!U:U, $D$1)
    + COUNTIFS('자가소비(B)'!C:C, $E$1, '자가소비(B)'!G:G, B39, '자가소비(B)'!W:W, B40, '자가소비(B)'!U:U, $D$1)
    + COUNTIFS('PPA 사업(C)'!C:C, $E$1, 'PPA 사업(C)'!G:G, B39, 'PPA 사업(C)'!W:W, B40, 'PPA 사업(C)'!U:U, $D$1)
    + COUNTIFS('리스사업(D)'!C:C, $E$1, '리스사업(D)'!G:G, B39, '리스사업(D)'!W:W, B40, '리스사업(D)'!U:U, $D$1)
    + COUNTIFS('임대사업(E)'!C:C, $E$1, '임대사업(E)'!G:G, B39, '임대사업(E)'!W:W, B40, '임대사업(E)'!U:U, $D$1)
    + COUNTIFS('환경부사업(F)'!C:C, $E$1, '환경부사업(F)'!G:G, B39, '환경부사업(F)'!W:W, B40, '환경부사업(F)'!U:U, $D$1)
    + COUNTIFS('프로젝트(G)'!C:C, $E$1, '프로젝트(G)'!G:G, B39, '프로젝트(G)'!W:W, B40, '프로젝트(G)'!U:U, $D$1)
    + COUNTIFS('협력사 EPC(H)'!C:C, $E$1, '협력사 EPC(H)'!G:G, B39, '협력사 EPC(H)'!W:W, B40, '협력사 EPC(H)'!U:U, $D$1)
    + COUNTIFS('기타(Z)'!C:C, $E$1, '기타(Z)'!G:G, B39, '기타(Z)'!W:W, B40, '기타(Z)'!U:U, $D$1)
  ) = 0,
  "",
  COUNTIFS('발전사업(A)'!C:C, $E$1, '발전사업(A)'!G:G, B39, '발전사업(A)'!W:W, B40, '발전사업(A)'!U:U, $D$1)
  + COUNTIFS('자가소비(B)'!C:C, $E$1, '자가소비(B)'!G:G, B39, '자가소비(B)'!W:W, B40, '자가소비(B)'!U:U, $D$1)
  + COUNTIFS('PPA 사업(C)'!C:C, $E$1, 'PPA 사업(C)'!G:G, B39, 'PPA 사업(C)'!W:W, B40, 'PPA 사업(C)'!U:U, $D$1)
  + COUNTIFS('리스사업(D)'!C:C, $E$1, '리스사업(D)'!G:G, B39, '리스사업(D)'!W:W, B40, '리스사업(D)'!U:U, $D$1)
  + COUNTIFS('임대사업(E)'!C:C, $E$1, '임대사업(E)'!G:G, B39, '임대사업(E)'!W:W, B40, '임대사업(E)'!U:U, $D$1)
  + COUNTIFS('환경부사업(F)'!C:C, $E$1, '환경부사업(F)'!G:G, B39, '환경부사업(F)'!W:W, B40, '환경부사업(F)'!U:U, $D$1)
  + COUNTIFS('프로젝트(G)'!C:C, $E$1, '프로젝트(G)'!G:G, B39, '프로젝트(G)'!W:W, B40, '프로젝트(G)'!U:U, $D$1)
  + COUNTIFS('협력사 EPC(H)'!C:C, $E$1, '협력사 EPC(H)'!G:G, B39, '협력사 EPC(H)'!W:W, B40, '협력사 EPC(H)'!U:U, $D$1)
  + COUNTIFS('기타(Z)'!C:C, $E$1, '기타(Z)'!G:G, B39, '기타(Z)'!W:W, B40, '기타(Z)'!U:U, $D$1)
)</f>
        <v>3</v>
      </c>
    </row>
    <row r="41" spans="2:8" x14ac:dyDescent="0.25">
      <c r="B41" s="202" t="s">
        <v>259</v>
      </c>
      <c r="C41" s="280">
        <f>IF(
  SUM(
    SUMIFS('발전사업(A)'!I:I, '발전사업(A)'!C:C, $E$1, '발전사업(A)'!G:G, B39, '발전사업(A)'!W:W, B41),
    SUMIFS('자가소비(B)'!I:I, '자가소비(B)'!C:C, $E$1, '자가소비(B)'!G:G, B39, '자가소비(B)'!W:W, B41),
    SUMIFS('PPA 사업(C)'!I:I, 'PPA 사업(C)'!C:C, $E$1, 'PPA 사업(C)'!G:G, B39, 'PPA 사업(C)'!W:W, B41),
    SUMIFS('리스사업(D)'!I:I, '리스사업(D)'!C:C, $E$1, '리스사업(D)'!G:G, B39, '리스사업(D)'!W:W, B41),
    SUMIFS('임대사업(E)'!I:I, '임대사업(E)'!C:C, $E$1, '임대사업(E)'!G:G, B39, '임대사업(E)'!W:W, B41),
    SUMIFS('환경부사업(F)'!I:I, '환경부사업(F)'!C:C, $E$1, '환경부사업(F)'!G:G, B39, '환경부사업(F)'!W:W, B41),
    SUMIFS('프로젝트(G)'!I:I, '프로젝트(G)'!C:C, $E$1, '프로젝트(G)'!G:G, B39, '프로젝트(G)'!W:W, B41),
    SUMIFS('협력사 EPC(H)'!I:I, '협력사 EPC(H)'!C:C, $E$1, '협력사 EPC(H)'!G:G, B39, '협력사 EPC(H)'!W:W, B41),
    SUMIFS('기타(Z)'!I:I, '기타(Z)'!C:C, $E$1, '기타(Z)'!G:G, B39, '기타(Z)'!W:W, B41)
  ) = 0,
  "",
  SUMIFS('발전사업(A)'!I:I, '발전사업(A)'!C:C, $E$1, '발전사업(A)'!G:G, B39, '발전사업(A)'!W:W, B41)
  + SUMIFS('자가소비(B)'!I:I, '자가소비(B)'!C:C, $E$1, '자가소비(B)'!G:G, B39, '자가소비(B)'!W:W, B41)
  + SUMIFS('PPA 사업(C)'!I:I, 'PPA 사업(C)'!C:C, $E$1, 'PPA 사업(C)'!G:G, B39, 'PPA 사업(C)'!W:W, B41)
  + SUMIFS('리스사업(D)'!I:I, '리스사업(D)'!C:C, $E$1, '리스사업(D)'!G:G, B39, '리스사업(D)'!W:W, B41)
  + SUMIFS('임대사업(E)'!I:I, '임대사업(E)'!C:C, $E$1, '임대사업(E)'!G:G, B39, '임대사업(E)'!W:W, B41)
  + SUMIFS('환경부사업(F)'!I:I, '환경부사업(F)'!C:C, $E$1, '환경부사업(F)'!G:G, B39, '환경부사업(F)'!W:W, B41)
  + SUMIFS('프로젝트(G)'!I:I, '프로젝트(G)'!C:C, $E$1, '프로젝트(G)'!G:G, B39, '프로젝트(G)'!W:W, B41)
  + SUMIFS('협력사 EPC(H)'!I:I, '협력사 EPC(H)'!C:C, $E$1, '협력사 EPC(H)'!G:G, B39, '협력사 EPC(H)'!W:W, B41)
  + SUMIFS('기타(Z)'!I:I, '기타(Z)'!C:C, $E$1, '기타(Z)'!G:G, B39, '기타(Z)'!W:W, B41)
)</f>
        <v>2134.895</v>
      </c>
      <c r="D41" s="281">
        <f>IF(
  COUNTIFS('발전사업(A)'!C:C, $E$1, '발전사업(A)'!G:G, B39, '발전사업(A)'!W:W, B41)
  + COUNTIFS('자가소비(B)'!C:C, $E$1, '자가소비(B)'!G:G, B39, '자가소비(B)'!W:W, B41)
  + COUNTIFS('PPA 사업(C)'!C:C, $E$1, 'PPA 사업(C)'!G:G, B39, 'PPA 사업(C)'!W:W, B41)
  + COUNTIFS('리스사업(D)'!C:C, $E$1, '리스사업(D)'!G:G, B39, '리스사업(D)'!W:W, B41)
  + COUNTIFS('임대사업(E)'!C:C, $E$1, '임대사업(E)'!G:G, B39, '임대사업(E)'!W:W, B41)
  + COUNTIFS('환경부사업(F)'!C:C, $E$1, '환경부사업(F)'!G:G, B39, '환경부사업(F)'!W:W, B41)
  + COUNTIFS('프로젝트(G)'!C:C, $E$1, '프로젝트(G)'!G:G, B39, '프로젝트(G)'!W:W, B41)
  + COUNTIFS('협력사 EPC(H)'!C:C, $E$1, '협력사 EPC(H)'!G:G, B39, '협력사 EPC(H)'!W:W, B41)
  + COUNTIFS('기타(Z)'!C:C, $E$1, '기타(Z)'!G:G, B39, '기타(Z)'!W:W, B41)
  = 0,
  "",
  COUNTIFS('발전사업(A)'!C:C, $E$1, '발전사업(A)'!G:G, B39, '발전사업(A)'!W:W, B41)
  + COUNTIFS('자가소비(B)'!C:C, $E$1, '자가소비(B)'!G:G, B39, '자가소비(B)'!W:W, B41)
  + COUNTIFS('PPA 사업(C)'!C:C, $E$1, 'PPA 사업(C)'!G:G, B39, 'PPA 사업(C)'!W:W, B41)
  + COUNTIFS('리스사업(D)'!C:C, $E$1, '리스사업(D)'!G:G, B39, '리스사업(D)'!W:W, B41)
  + COUNTIFS('임대사업(E)'!C:C, $E$1, '임대사업(E)'!G:G, B39, '임대사업(E)'!W:W, B41)
  + COUNTIFS('환경부사업(F)'!C:C, $E$1, '환경부사업(F)'!G:G, B39, '환경부사업(F)'!W:W, B41)
  + COUNTIFS('프로젝트(G)'!C:C, $E$1, '프로젝트(G)'!G:G, B39, '프로젝트(G)'!W:W, B41)
  + COUNTIFS('협력사 EPC(H)'!C:C, $E$1, '협력사 EPC(H)'!G:G, B39, '협력사 EPC(H)'!W:W, B41)
  + COUNTIFS('기타(Z)'!C:C, $E$1, '기타(Z)'!G:G, B39, '기타(Z)'!W:W, B41)
)</f>
        <v>6</v>
      </c>
      <c r="E41" s="280">
        <f>IF(
  SUM(
    SUMIFS('발전사업(A)'!I:I, '발전사업(A)'!C:C, $E$1, '발전사업(A)'!G:G, B39, '발전사업(A)'!W:W, B41, '발전사업(A)'!U:U, $C$1),
    SUMIFS('자가소비(B)'!I:I, '자가소비(B)'!C:C, $E$1, '자가소비(B)'!G:G, B39, '자가소비(B)'!W:W, B41, '자가소비(B)'!U:U, $C$1),
    SUMIFS('PPA 사업(C)'!I:I, 'PPA 사업(C)'!C:C, $E$1, 'PPA 사업(C)'!G:G, B39, 'PPA 사업(C)'!W:W, B41, 'PPA 사업(C)'!U:U, $C$1),
    SUMIFS('리스사업(D)'!I:I, '리스사업(D)'!C:C, $E$1, '리스사업(D)'!G:G, B39, '리스사업(D)'!W:W, B41, '리스사업(D)'!U:U, $C$1),
    SUMIFS('임대사업(E)'!I:I, '임대사업(E)'!C:C, $E$1, '임대사업(E)'!G:G, B39, '임대사업(E)'!W:W, B41, '임대사업(E)'!U:U, $C$1),
    SUMIFS('환경부사업(F)'!I:I, '환경부사업(F)'!C:C, $E$1, '환경부사업(F)'!G:G, B39, '환경부사업(F)'!W:W, B41, '환경부사업(F)'!U:U, $C$1),
    SUMIFS('프로젝트(G)'!I:I, '프로젝트(G)'!C:C, $E$1, '프로젝트(G)'!G:G, B39, '프로젝트(G)'!W:W, B41, '프로젝트(G)'!U:U, $C$1),
    SUMIFS('협력사 EPC(H)'!I:I, '협력사 EPC(H)'!C:C, $E$1, '협력사 EPC(H)'!G:G, B39, '협력사 EPC(H)'!W:W, B41, '협력사 EPC(H)'!U:U, $C$1),
    SUMIFS('기타(Z)'!I:I, '기타(Z)'!C:C, $E$1, '기타(Z)'!G:G, B39, '기타(Z)'!W:W, B41, '기타(Z)'!U:U, $C$1)
  ) = 0,
  "",
  SUM(
    SUMIFS('발전사업(A)'!I:I, '발전사업(A)'!C:C, $E$1, '발전사업(A)'!G:G, B39, '발전사업(A)'!W:W, B41, '발전사업(A)'!U:U, $C$1),
    SUMIFS('자가소비(B)'!I:I, '자가소비(B)'!C:C, $E$1, '자가소비(B)'!G:G, B39, '자가소비(B)'!W:W, B41, '자가소비(B)'!U:U, $C$1),
    SUMIFS('PPA 사업(C)'!I:I, 'PPA 사업(C)'!C:C, $E$1, 'PPA 사업(C)'!G:G, B39, 'PPA 사업(C)'!W:W, B41, 'PPA 사업(C)'!U:U, $C$1),
    SUMIFS('리스사업(D)'!I:I, '리스사업(D)'!C:C, $E$1, '리스사업(D)'!G:G, B39, '리스사업(D)'!W:W, B41, '리스사업(D)'!U:U, $C$1),
    SUMIFS('임대사업(E)'!I:I, '임대사업(E)'!C:C, $E$1, '임대사업(E)'!G:G, B39, '임대사업(E)'!W:W, B41, '임대사업(E)'!U:U, $C$1),
    SUMIFS('환경부사업(F)'!I:I, '환경부사업(F)'!C:C, $E$1, '환경부사업(F)'!G:G, B39, '환경부사업(F)'!W:W, B41, '환경부사업(F)'!U:U, $C$1),
    SUMIFS('프로젝트(G)'!I:I, '프로젝트(G)'!C:C, $E$1, '프로젝트(G)'!G:G, B39, '프로젝트(G)'!W:W, B41, '프로젝트(G)'!U:U, $C$1),
    SUMIFS('협력사 EPC(H)'!I:I, '협력사 EPC(H)'!C:C, $E$1, '협력사 EPC(H)'!G:G, B39, '협력사 EPC(H)'!W:W, B41, '협력사 EPC(H)'!U:U, $C$1),
    SUMIFS('기타(Z)'!I:I, '기타(Z)'!C:C, $E$1, '기타(Z)'!G:G, B39, '기타(Z)'!W:W, B41, '기타(Z)'!U:U, $C$1)
  )
)</f>
        <v>288.64</v>
      </c>
      <c r="F41" s="281">
        <f>IF(
  SUM(
    COUNTIFS('발전사업(A)'!C:C, $E$1, '발전사업(A)'!G:G, B39, '발전사업(A)'!W:W, B41, '발전사업(A)'!U:U, $C$1),
    COUNTIFS('자가소비(B)'!C:C, $E$1, '자가소비(B)'!G:G, B39, '자가소비(B)'!W:W, B41, '자가소비(B)'!U:U, $C$1),
    COUNTIFS('PPA 사업(C)'!C:C, $E$1, 'PPA 사업(C)'!G:G, B39, 'PPA 사업(C)'!W:W, B41, 'PPA 사업(C)'!U:U, $C$1),
    COUNTIFS('리스사업(D)'!C:C, $E$1, '리스사업(D)'!G:G, B39, '리스사업(D)'!W:W, B41, '리스사업(D)'!U:U, $C$1),
    COUNTIFS('임대사업(E)'!C:C, $E$1, '임대사업(E)'!G:G, B39, '임대사업(E)'!W:W, B41, '임대사업(E)'!U:U, $C$1),
    COUNTIFS('환경부사업(F)'!C:C, $E$1, '환경부사업(F)'!G:G, B39, '환경부사업(F)'!W:W, B41, '환경부사업(F)'!U:U, $C$1),
    COUNTIFS('프로젝트(G)'!C:C, $E$1, '프로젝트(G)'!G:G, B39, '프로젝트(G)'!W:W, B41, '프로젝트(G)'!U:U, $C$1),
    COUNTIFS('협력사 EPC(H)'!C:C, $E$1, '협력사 EPC(H)'!G:G, B39, '협력사 EPC(H)'!W:W, B41, '협력사 EPC(H)'!U:U, $C$1),
    COUNTIFS('기타(Z)'!C:C, $E$1, '기타(Z)'!G:G, B39, '기타(Z)'!W:W, B41, '기타(Z)'!U:U, $C$1)
  ) = 0,
  "",
  SUM(
    COUNTIFS('발전사업(A)'!C:C, $E$1, '발전사업(A)'!G:G, B39, '발전사업(A)'!W:W, B41, '발전사업(A)'!U:U, $C$1),
    COUNTIFS('자가소비(B)'!C:C, $E$1, '자가소비(B)'!G:G, B39, '자가소비(B)'!W:W, B41, '자가소비(B)'!U:U, $C$1),
    COUNTIFS('PPA 사업(C)'!C:C, $E$1, 'PPA 사업(C)'!G:G, B39, 'PPA 사업(C)'!W:W, B41, 'PPA 사업(C)'!U:U, $C$1),
    COUNTIFS('리스사업(D)'!C:C, $E$1, '리스사업(D)'!G:G, B39, '리스사업(D)'!W:W, B41, '리스사업(D)'!U:U, $C$1),
    COUNTIFS('임대사업(E)'!C:C, $E$1, '임대사업(E)'!G:G, B39, '임대사업(E)'!W:W, B41, '임대사업(E)'!U:U, $C$1),
    COUNTIFS('환경부사업(F)'!C:C, $E$1, '환경부사업(F)'!G:G, B39, '환경부사업(F)'!W:W, B41, '환경부사업(F)'!U:U, $C$1),
    COUNTIFS('프로젝트(G)'!C:C, $E$1, '프로젝트(G)'!G:G, B39, '프로젝트(G)'!W:W, B41, '프로젝트(G)'!U:U, $C$1),
    COUNTIFS('협력사 EPC(H)'!C:C, $E$1, '협력사 EPC(H)'!G:G, B39, '협력사 EPC(H)'!W:W, B41, '협력사 EPC(H)'!U:U, $C$1),
    COUNTIFS('기타(Z)'!C:C, $E$1, '기타(Z)'!G:G, B39, '기타(Z)'!W:W, B41, '기타(Z)'!U:U, $C$1)
  )
)</f>
        <v>1</v>
      </c>
      <c r="G41" s="280">
        <f>IF(
  SUM(
    SUMIFS('발전사업(A)'!I:I, '발전사업(A)'!C:C, $E$1, '발전사업(A)'!G:G, B39, '발전사업(A)'!W:W, B41, '발전사업(A)'!U:U, $D$1),
    SUMIFS('자가소비(B)'!I:I, '자가소비(B)'!C:C, $E$1, '자가소비(B)'!G:G, B39, '자가소비(B)'!W:W, B41, '자가소비(B)'!U:U, $D$1),
    SUMIFS('PPA 사업(C)'!I:I, 'PPA 사업(C)'!C:C, $E$1, 'PPA 사업(C)'!G:G, B39, 'PPA 사업(C)'!W:W, B41, 'PPA 사업(C)'!U:U, $D$1),
    SUMIFS('리스사업(D)'!I:I, '리스사업(D)'!C:C, $E$1, '리스사업(D)'!G:G, B39, '리스사업(D)'!W:W, B41, '리스사업(D)'!U:U, $D$1),
    SUMIFS('임대사업(E)'!I:I, '임대사업(E)'!C:C, $E$1, '임대사업(E)'!G:G, B39, '임대사업(E)'!W:W, B41, '임대사업(E)'!U:U, $D$1),
    SUMIFS('환경부사업(F)'!I:I, '환경부사업(F)'!C:C, $E$1, '환경부사업(F)'!G:G, B39, '환경부사업(F)'!W:W, B41, '환경부사업(F)'!U:U, $D$1),
    SUMIFS('프로젝트(G)'!I:I, '프로젝트(G)'!C:C, $E$1, '프로젝트(G)'!G:G, B39, '프로젝트(G)'!W:W, B41, '프로젝트(G)'!U:U, $D$1),
    SUMIFS('협력사 EPC(H)'!I:I, '협력사 EPC(H)'!C:C, $E$1, '협력사 EPC(H)'!G:G, B39, '협력사 EPC(H)'!W:W, B41, '협력사 EPC(H)'!U:U, $D$1),
    SUMIFS('기타(Z)'!I:I, '기타(Z)'!C:C, $E$1, '기타(Z)'!G:G, B39, '기타(Z)'!W:W, B41, '기타(Z)'!U:U, $D$1)
  ) = 0,
  "",
  SUM(
    SUMIFS('발전사업(A)'!I:I, '발전사업(A)'!C:C, $E$1, '발전사업(A)'!G:G, B39, '발전사업(A)'!W:W, B41, '발전사업(A)'!U:U, $D$1),
    SUMIFS('자가소비(B)'!I:I, '자가소비(B)'!C:C, $E$1, '자가소비(B)'!G:G, B39, '자가소비(B)'!W:W, B41, '자가소비(B)'!U:U, $D$1),
    SUMIFS('PPA 사업(C)'!I:I, 'PPA 사업(C)'!C:C, $E$1, 'PPA 사업(C)'!G:G, B39, 'PPA 사업(C)'!W:W, B41, 'PPA 사업(C)'!U:U, $D$1),
    SUMIFS('리스사업(D)'!I:I, '리스사업(D)'!C:C, $E$1, '리스사업(D)'!G:G, B39, '리스사업(D)'!W:W, B41, '리스사업(D)'!U:U, $D$1),
    SUMIFS('임대사업(E)'!I:I, '임대사업(E)'!C:C, $E$1, '임대사업(E)'!G:G, B39, '임대사업(E)'!W:W, B41, '임대사업(E)'!U:U, $D$1),
    SUMIFS('환경부사업(F)'!I:I, '환경부사업(F)'!C:C, $E$1, '환경부사업(F)'!G:G, B39, '환경부사업(F)'!W:W, B41, '환경부사업(F)'!U:U, $D$1),
    SUMIFS('프로젝트(G)'!I:I, '프로젝트(G)'!C:C, $E$1, '프로젝트(G)'!G:G, B39, '프로젝트(G)'!W:W, B41, '프로젝트(G)'!U:U, $D$1),
    SUMIFS('협력사 EPC(H)'!I:I, '협력사 EPC(H)'!C:C, $E$1, '협력사 EPC(H)'!G:G, B39, '협력사 EPC(H)'!W:W, B41, '협력사 EPC(H)'!U:U, $D$1),
    SUMIFS('기타(Z)'!I:I, '기타(Z)'!C:C, $E$1, '기타(Z)'!G:G, B39, '기타(Z)'!W:W, B41, '기타(Z)'!U:U, $D$1)
  )
)</f>
        <v>1846.2550000000001</v>
      </c>
      <c r="H41" s="281">
        <f>IF(
  (
    COUNTIFS('발전사업(A)'!C:C, $E$1, '발전사업(A)'!G:G, B39, '발전사업(A)'!W:W, B41, '발전사업(A)'!U:U, $D$1)
    + COUNTIFS('자가소비(B)'!C:C, $E$1, '자가소비(B)'!G:G, B39, '자가소비(B)'!W:W, B41, '자가소비(B)'!U:U, $D$1)
    + COUNTIFS('PPA 사업(C)'!C:C, $E$1, 'PPA 사업(C)'!G:G, B39, 'PPA 사업(C)'!W:W, B41, 'PPA 사업(C)'!U:U, $D$1)
    + COUNTIFS('리스사업(D)'!C:C, $E$1, '리스사업(D)'!G:G, B39, '리스사업(D)'!W:W, B41, '리스사업(D)'!U:U, $D$1)
    + COUNTIFS('임대사업(E)'!C:C, $E$1, '임대사업(E)'!G:G, B39, '임대사업(E)'!W:W, B41, '임대사업(E)'!U:U, $D$1)
    + COUNTIFS('환경부사업(F)'!C:C, $E$1, '환경부사업(F)'!G:G, B39, '환경부사업(F)'!W:W, B41, '환경부사업(F)'!U:U, $D$1)
    + COUNTIFS('프로젝트(G)'!C:C, $E$1, '프로젝트(G)'!G:G, B39, '프로젝트(G)'!W:W, B41, '프로젝트(G)'!U:U, $D$1)
    + COUNTIFS('협력사 EPC(H)'!C:C, $E$1, '협력사 EPC(H)'!G:G, B39, '협력사 EPC(H)'!W:W, B41, '협력사 EPC(H)'!U:U, $D$1)
    + COUNTIFS('기타(Z)'!C:C, $E$1, '기타(Z)'!G:G, B39, '기타(Z)'!W:W, B41, '기타(Z)'!U:U, $D$1)
  ) = 0,
  "",
  COUNTIFS('발전사업(A)'!C:C, $E$1, '발전사업(A)'!G:G, B39, '발전사업(A)'!W:W, B41, '발전사업(A)'!U:U, $D$1)
  + COUNTIFS('자가소비(B)'!C:C, $E$1, '자가소비(B)'!G:G, B39, '자가소비(B)'!W:W, B41, '자가소비(B)'!U:U, $D$1)
  + COUNTIFS('PPA 사업(C)'!C:C, $E$1, 'PPA 사업(C)'!G:G, B39, 'PPA 사업(C)'!W:W, B41, 'PPA 사업(C)'!U:U, $D$1)
  + COUNTIFS('리스사업(D)'!C:C, $E$1, '리스사업(D)'!G:G, B39, '리스사업(D)'!W:W, B41, '리스사업(D)'!U:U, $D$1)
  + COUNTIFS('임대사업(E)'!C:C, $E$1, '임대사업(E)'!G:G, B39, '임대사업(E)'!W:W, B41, '임대사업(E)'!U:U, $D$1)
  + COUNTIFS('환경부사업(F)'!C:C, $E$1, '환경부사업(F)'!G:G, B39, '환경부사업(F)'!W:W, B41, '환경부사업(F)'!U:U, $D$1)
  + COUNTIFS('프로젝트(G)'!C:C, $E$1, '프로젝트(G)'!G:G, B39, '프로젝트(G)'!W:W, B41, '프로젝트(G)'!U:U, $D$1)
  + COUNTIFS('협력사 EPC(H)'!C:C, $E$1, '협력사 EPC(H)'!G:G, B39, '협력사 EPC(H)'!W:W, B41, '협력사 EPC(H)'!U:U, $D$1)
  + COUNTIFS('기타(Z)'!C:C, $E$1, '기타(Z)'!G:G, B39, '기타(Z)'!W:W, B41, '기타(Z)'!U:U, $D$1)
)</f>
        <v>5</v>
      </c>
    </row>
    <row r="42" spans="2:8" x14ac:dyDescent="0.25">
      <c r="B42" s="202" t="s">
        <v>260</v>
      </c>
      <c r="C42" s="280" t="str">
        <f>IF(
  SUM(
    SUMIFS('발전사업(A)'!I:I, '발전사업(A)'!C:C, $E$1, '발전사업(A)'!G:G, B39, '발전사업(A)'!W:W, B42),
    SUMIFS('자가소비(B)'!I:I, '자가소비(B)'!C:C, $E$1, '자가소비(B)'!G:G, B39, '자가소비(B)'!W:W, B42),
    SUMIFS('PPA 사업(C)'!I:I, 'PPA 사업(C)'!C:C, $E$1, 'PPA 사업(C)'!G:G, B39, 'PPA 사업(C)'!W:W, B42),
    SUMIFS('리스사업(D)'!I:I, '리스사업(D)'!C:C, $E$1, '리스사업(D)'!G:G, B39, '리스사업(D)'!W:W, B42),
    SUMIFS('임대사업(E)'!I:I, '임대사업(E)'!C:C, $E$1, '임대사업(E)'!G:G, B39, '임대사업(E)'!W:W, B42),
    SUMIFS('환경부사업(F)'!I:I, '환경부사업(F)'!C:C, $E$1, '환경부사업(F)'!G:G, B39, '환경부사업(F)'!W:W, B42),
    SUMIFS('프로젝트(G)'!I:I, '프로젝트(G)'!C:C, $E$1, '프로젝트(G)'!G:G, B39, '프로젝트(G)'!W:W, B42),
    SUMIFS('협력사 EPC(H)'!I:I, '협력사 EPC(H)'!C:C, $E$1, '협력사 EPC(H)'!G:G, B39, '협력사 EPC(H)'!W:W, B42),
    SUMIFS('기타(Z)'!I:I, '기타(Z)'!C:C, $E$1, '기타(Z)'!G:G, B39, '기타(Z)'!W:W, B42)
  ) = 0,
  "",
  SUMIFS('발전사업(A)'!I:I, '발전사업(A)'!C:C, $E$1, '발전사업(A)'!G:G, B39, '발전사업(A)'!W:W, B42)
  + SUMIFS('자가소비(B)'!I:I, '자가소비(B)'!C:C, $E$1, '자가소비(B)'!G:G, B39, '자가소비(B)'!W:W, B42)
  + SUMIFS('PPA 사업(C)'!I:I, 'PPA 사업(C)'!C:C, $E$1, 'PPA 사업(C)'!G:G, B39, 'PPA 사업(C)'!W:W, B42)
  + SUMIFS('리스사업(D)'!I:I, '리스사업(D)'!C:C, $E$1, '리스사업(D)'!G:G, B39, '리스사업(D)'!W:W, B42)
  + SUMIFS('임대사업(E)'!I:I, '임대사업(E)'!C:C, $E$1, '임대사업(E)'!G:G, B39, '임대사업(E)'!W:W, B42)
  + SUMIFS('환경부사업(F)'!I:I, '환경부사업(F)'!C:C, $E$1, '환경부사업(F)'!G:G, B39, '환경부사업(F)'!W:W, B42)
  + SUMIFS('프로젝트(G)'!I:I, '프로젝트(G)'!C:C, $E$1, '프로젝트(G)'!G:G, B39, '프로젝트(G)'!W:W, B42)
  + SUMIFS('협력사 EPC(H)'!I:I, '협력사 EPC(H)'!C:C, $E$1, '협력사 EPC(H)'!G:G, B39, '협력사 EPC(H)'!W:W, B42)
  + SUMIFS('기타(Z)'!I:I, '기타(Z)'!C:C, $E$1, '기타(Z)'!G:G, B39, '기타(Z)'!W:W, B42)
)</f>
        <v/>
      </c>
      <c r="D42" s="281" t="str">
        <f>IF(
  COUNTIFS('발전사업(A)'!C:C, $E$1, '발전사업(A)'!G:G, B39, '발전사업(A)'!W:W, B42)
  + COUNTIFS('자가소비(B)'!C:C, $E$1, '자가소비(B)'!G:G, B39, '자가소비(B)'!W:W, B42)
  + COUNTIFS('PPA 사업(C)'!C:C, $E$1, 'PPA 사업(C)'!G:G, B39, 'PPA 사업(C)'!W:W, B42)
  + COUNTIFS('리스사업(D)'!C:C, $E$1, '리스사업(D)'!G:G, B39, '리스사업(D)'!W:W, B42)
  + COUNTIFS('임대사업(E)'!C:C, $E$1, '임대사업(E)'!G:G, B39, '임대사업(E)'!W:W, B42)
  + COUNTIFS('환경부사업(F)'!C:C, $E$1, '환경부사업(F)'!G:G, B39, '환경부사업(F)'!W:W, B42)
  + COUNTIFS('프로젝트(G)'!C:C, $E$1, '프로젝트(G)'!G:G, B39, '프로젝트(G)'!W:W, B42)
  + COUNTIFS('협력사 EPC(H)'!C:C, $E$1, '협력사 EPC(H)'!G:G, B39, '협력사 EPC(H)'!W:W, B42)
  + COUNTIFS('기타(Z)'!C:C, $E$1, '기타(Z)'!G:G, B39, '기타(Z)'!W:W, B42)
  = 0,
  "",
  COUNTIFS('발전사업(A)'!C:C, $E$1, '발전사업(A)'!G:G, B39, '발전사업(A)'!W:W, B42)
  + COUNTIFS('자가소비(B)'!C:C, $E$1, '자가소비(B)'!G:G, B39, '자가소비(B)'!W:W, B42)
  + COUNTIFS('PPA 사업(C)'!C:C, $E$1, 'PPA 사업(C)'!G:G, B39, 'PPA 사업(C)'!W:W, B42)
  + COUNTIFS('리스사업(D)'!C:C, $E$1, '리스사업(D)'!G:G, B39, '리스사업(D)'!W:W, B42)
  + COUNTIFS('임대사업(E)'!C:C, $E$1, '임대사업(E)'!G:G, B39, '임대사업(E)'!W:W, B42)
  + COUNTIFS('환경부사업(F)'!C:C, $E$1, '환경부사업(F)'!G:G, B39, '환경부사업(F)'!W:W, B42)
  + COUNTIFS('프로젝트(G)'!C:C, $E$1, '프로젝트(G)'!G:G, B39, '프로젝트(G)'!W:W, B42)
  + COUNTIFS('협력사 EPC(H)'!C:C, $E$1, '협력사 EPC(H)'!G:G, B39, '협력사 EPC(H)'!W:W, B42)
  + COUNTIFS('기타(Z)'!C:C, $E$1, '기타(Z)'!G:G, B39, '기타(Z)'!W:W, B42)
)</f>
        <v/>
      </c>
      <c r="E42" s="280" t="str">
        <f>IF(
  SUM(
    SUMIFS('발전사업(A)'!I:I, '발전사업(A)'!C:C, $E$1, '발전사업(A)'!G:G, B39, '발전사업(A)'!W:W, B42, '발전사업(A)'!U:U, $C$1),
    SUMIFS('자가소비(B)'!I:I, '자가소비(B)'!C:C, $E$1, '자가소비(B)'!G:G, B39, '자가소비(B)'!W:W, B42, '자가소비(B)'!U:U, $C$1),
    SUMIFS('PPA 사업(C)'!I:I, 'PPA 사업(C)'!C:C, $E$1, 'PPA 사업(C)'!G:G, B39, 'PPA 사업(C)'!W:W, B42, 'PPA 사업(C)'!U:U, $C$1),
    SUMIFS('리스사업(D)'!I:I, '리스사업(D)'!C:C, $E$1, '리스사업(D)'!G:G, B39, '리스사업(D)'!W:W, B42, '리스사업(D)'!U:U, $C$1),
    SUMIFS('임대사업(E)'!I:I, '임대사업(E)'!C:C, $E$1, '임대사업(E)'!G:G, B39, '임대사업(E)'!W:W, B42, '임대사업(E)'!U:U, $C$1),
    SUMIFS('환경부사업(F)'!I:I, '환경부사업(F)'!C:C, $E$1, '환경부사업(F)'!G:G, B39, '환경부사업(F)'!W:W, B42, '환경부사업(F)'!U:U, $C$1),
    SUMIFS('프로젝트(G)'!I:I, '프로젝트(G)'!C:C, $E$1, '프로젝트(G)'!G:G, B39, '프로젝트(G)'!W:W, B42, '프로젝트(G)'!U:U, $C$1),
    SUMIFS('협력사 EPC(H)'!I:I, '협력사 EPC(H)'!C:C, $E$1, '협력사 EPC(H)'!G:G, B39, '협력사 EPC(H)'!W:W, B42, '협력사 EPC(H)'!U:U, $C$1),
    SUMIFS('기타(Z)'!I:I, '기타(Z)'!C:C, $E$1, '기타(Z)'!G:G, B39, '기타(Z)'!W:W, B42, '기타(Z)'!U:U, $C$1)
  ) = 0,
  "",
  SUM(
    SUMIFS('발전사업(A)'!I:I, '발전사업(A)'!C:C, $E$1, '발전사업(A)'!G:G, B39, '발전사업(A)'!W:W, B42, '발전사업(A)'!U:U, $C$1),
    SUMIFS('자가소비(B)'!I:I, '자가소비(B)'!C:C, $E$1, '자가소비(B)'!G:G, B39, '자가소비(B)'!W:W, B42, '자가소비(B)'!U:U, $C$1),
    SUMIFS('PPA 사업(C)'!I:I, 'PPA 사업(C)'!C:C, $E$1, 'PPA 사업(C)'!G:G, B39, 'PPA 사업(C)'!W:W, B42, 'PPA 사업(C)'!U:U, $C$1),
    SUMIFS('리스사업(D)'!I:I, '리스사업(D)'!C:C, $E$1, '리스사업(D)'!G:G, B39, '리스사업(D)'!W:W, B42, '리스사업(D)'!U:U, $C$1),
    SUMIFS('임대사업(E)'!I:I, '임대사업(E)'!C:C, $E$1, '임대사업(E)'!G:G, B39, '임대사업(E)'!W:W, B42, '임대사업(E)'!U:U, $C$1),
    SUMIFS('환경부사업(F)'!I:I, '환경부사업(F)'!C:C, $E$1, '환경부사업(F)'!G:G, B39, '환경부사업(F)'!W:W, B42, '환경부사업(F)'!U:U, $C$1),
    SUMIFS('프로젝트(G)'!I:I, '프로젝트(G)'!C:C, $E$1, '프로젝트(G)'!G:G, B39, '프로젝트(G)'!W:W, B42, '프로젝트(G)'!U:U, $C$1),
    SUMIFS('협력사 EPC(H)'!I:I, '협력사 EPC(H)'!C:C, $E$1, '협력사 EPC(H)'!G:G, B39, '협력사 EPC(H)'!W:W, B42, '협력사 EPC(H)'!U:U, $C$1),
    SUMIFS('기타(Z)'!I:I, '기타(Z)'!C:C, $E$1, '기타(Z)'!G:G, B39, '기타(Z)'!W:W, B42, '기타(Z)'!U:U, $C$1)
  )
)</f>
        <v/>
      </c>
      <c r="F42" s="281" t="str">
        <f>IF(
  SUM(
    COUNTIFS('발전사업(A)'!C:C, $E$1, '발전사업(A)'!G:G, B39, '발전사업(A)'!W:W, B42, '발전사업(A)'!U:U, $C$1),
    COUNTIFS('자가소비(B)'!C:C, $E$1, '자가소비(B)'!G:G, B39, '자가소비(B)'!W:W, B42, '자가소비(B)'!U:U, $C$1),
    COUNTIFS('PPA 사업(C)'!C:C, $E$1, 'PPA 사업(C)'!G:G, B39, 'PPA 사업(C)'!W:W, B42, 'PPA 사업(C)'!U:U, $C$1),
    COUNTIFS('리스사업(D)'!C:C, $E$1, '리스사업(D)'!G:G, B39, '리스사업(D)'!W:W, B42, '리스사업(D)'!U:U, $C$1),
    COUNTIFS('임대사업(E)'!C:C, $E$1, '임대사업(E)'!G:G, B39, '임대사업(E)'!W:W, B42, '임대사업(E)'!U:U, $C$1),
    COUNTIFS('환경부사업(F)'!C:C, $E$1, '환경부사업(F)'!G:G, B39, '환경부사업(F)'!W:W, B42, '환경부사업(F)'!U:U, $C$1),
    COUNTIFS('프로젝트(G)'!C:C, $E$1, '프로젝트(G)'!G:G, B39, '프로젝트(G)'!W:W, B42, '프로젝트(G)'!U:U, $C$1),
    COUNTIFS('협력사 EPC(H)'!C:C, $E$1, '협력사 EPC(H)'!G:G, B39, '협력사 EPC(H)'!W:W, B42, '협력사 EPC(H)'!U:U, $C$1),
    COUNTIFS('기타(Z)'!C:C, $E$1, '기타(Z)'!G:G, B39, '기타(Z)'!W:W, B42, '기타(Z)'!U:U, $C$1)
  ) = 0,
  "",
  SUM(
    COUNTIFS('발전사업(A)'!C:C, $E$1, '발전사업(A)'!G:G, B39, '발전사업(A)'!W:W, B42, '발전사업(A)'!U:U, $C$1),
    COUNTIFS('자가소비(B)'!C:C, $E$1, '자가소비(B)'!G:G, B39, '자가소비(B)'!W:W, B42, '자가소비(B)'!U:U, $C$1),
    COUNTIFS('PPA 사업(C)'!C:C, $E$1, 'PPA 사업(C)'!G:G, B39, 'PPA 사업(C)'!W:W, B42, 'PPA 사업(C)'!U:U, $C$1),
    COUNTIFS('리스사업(D)'!C:C, $E$1, '리스사업(D)'!G:G, B39, '리스사업(D)'!W:W, B42, '리스사업(D)'!U:U, $C$1),
    COUNTIFS('임대사업(E)'!C:C, $E$1, '임대사업(E)'!G:G, B39, '임대사업(E)'!W:W, B42, '임대사업(E)'!U:U, $C$1),
    COUNTIFS('환경부사업(F)'!C:C, $E$1, '환경부사업(F)'!G:G, B39, '환경부사업(F)'!W:W, B42, '환경부사업(F)'!U:U, $C$1),
    COUNTIFS('프로젝트(G)'!C:C, $E$1, '프로젝트(G)'!G:G, B39, '프로젝트(G)'!W:W, B42, '프로젝트(G)'!U:U, $C$1),
    COUNTIFS('협력사 EPC(H)'!C:C, $E$1, '협력사 EPC(H)'!G:G, B39, '협력사 EPC(H)'!W:W, B42, '협력사 EPC(H)'!U:U, $C$1),
    COUNTIFS('기타(Z)'!C:C, $E$1, '기타(Z)'!G:G, B39, '기타(Z)'!W:W, B42, '기타(Z)'!U:U, $C$1)
  )
)</f>
        <v/>
      </c>
      <c r="G42" s="280" t="str">
        <f>IF(
  SUM(
    SUMIFS('발전사업(A)'!I:I, '발전사업(A)'!C:C, $E$1, '발전사업(A)'!G:G, B39, '발전사업(A)'!W:W, B42, '발전사업(A)'!U:U, $D$1),
    SUMIFS('자가소비(B)'!I:I, '자가소비(B)'!C:C, $E$1, '자가소비(B)'!G:G, B39, '자가소비(B)'!W:W, B42, '자가소비(B)'!U:U, $D$1),
    SUMIFS('PPA 사업(C)'!I:I, 'PPA 사업(C)'!C:C, $E$1, 'PPA 사업(C)'!G:G, B39, 'PPA 사업(C)'!W:W, B42, 'PPA 사업(C)'!U:U, $D$1),
    SUMIFS('리스사업(D)'!I:I, '리스사업(D)'!C:C, $E$1, '리스사업(D)'!G:G, B39, '리스사업(D)'!W:W, B42, '리스사업(D)'!U:U, $D$1),
    SUMIFS('임대사업(E)'!I:I, '임대사업(E)'!C:C, $E$1, '임대사업(E)'!G:G, B39, '임대사업(E)'!W:W, B42, '임대사업(E)'!U:U, $D$1),
    SUMIFS('환경부사업(F)'!I:I, '환경부사업(F)'!C:C, $E$1, '환경부사업(F)'!G:G, B39, '환경부사업(F)'!W:W, B42, '환경부사업(F)'!U:U, $D$1),
    SUMIFS('프로젝트(G)'!I:I, '프로젝트(G)'!C:C, $E$1, '프로젝트(G)'!G:G, B39, '프로젝트(G)'!W:W, B42, '프로젝트(G)'!U:U, $D$1),
    SUMIFS('협력사 EPC(H)'!I:I, '협력사 EPC(H)'!C:C, $E$1, '협력사 EPC(H)'!G:G, B39, '협력사 EPC(H)'!W:W, B42, '협력사 EPC(H)'!U:U, $D$1),
    SUMIFS('기타(Z)'!I:I, '기타(Z)'!C:C, $E$1, '기타(Z)'!G:G, B39, '기타(Z)'!W:W, B42, '기타(Z)'!U:U, $D$1)
  ) = 0,
  "",
  SUM(
    SUMIFS('발전사업(A)'!I:I, '발전사업(A)'!C:C, $E$1, '발전사업(A)'!G:G, B39, '발전사업(A)'!W:W, B42, '발전사업(A)'!U:U, $D$1),
    SUMIFS('자가소비(B)'!I:I, '자가소비(B)'!C:C, $E$1, '자가소비(B)'!G:G, B39, '자가소비(B)'!W:W, B42, '자가소비(B)'!U:U, $D$1),
    SUMIFS('PPA 사업(C)'!I:I, 'PPA 사업(C)'!C:C, $E$1, 'PPA 사업(C)'!G:G, B39, 'PPA 사업(C)'!W:W, B42, 'PPA 사업(C)'!U:U, $D$1),
    SUMIFS('리스사업(D)'!I:I, '리스사업(D)'!C:C, $E$1, '리스사업(D)'!G:G, B39, '리스사업(D)'!W:W, B42, '리스사업(D)'!U:U, $D$1),
    SUMIFS('임대사업(E)'!I:I, '임대사업(E)'!C:C, $E$1, '임대사업(E)'!G:G, B39, '임대사업(E)'!W:W, B42, '임대사업(E)'!U:U, $D$1),
    SUMIFS('환경부사업(F)'!I:I, '환경부사업(F)'!C:C, $E$1, '환경부사업(F)'!G:G, B39, '환경부사업(F)'!W:W, B42, '환경부사업(F)'!U:U, $D$1),
    SUMIFS('프로젝트(G)'!I:I, '프로젝트(G)'!C:C, $E$1, '프로젝트(G)'!G:G, B39, '프로젝트(G)'!W:W, B42, '프로젝트(G)'!U:U, $D$1),
    SUMIFS('협력사 EPC(H)'!I:I, '협력사 EPC(H)'!C:C, $E$1, '협력사 EPC(H)'!G:G, B39, '협력사 EPC(H)'!W:W, B42, '협력사 EPC(H)'!U:U, $D$1),
    SUMIFS('기타(Z)'!I:I, '기타(Z)'!C:C, $E$1, '기타(Z)'!G:G, B39, '기타(Z)'!W:W, B42, '기타(Z)'!U:U, $D$1)
  )
)</f>
        <v/>
      </c>
      <c r="H42" s="281" t="str">
        <f>IF(
  (
    COUNTIFS('발전사업(A)'!C:C, $E$1, '발전사업(A)'!G:G, B39, '발전사업(A)'!W:W, B42, '발전사업(A)'!U:U, $D$1)
    + COUNTIFS('자가소비(B)'!C:C, $E$1, '자가소비(B)'!G:G, B39, '자가소비(B)'!W:W, B42, '자가소비(B)'!U:U, $D$1)
    + COUNTIFS('PPA 사업(C)'!C:C, $E$1, 'PPA 사업(C)'!G:G, B39, 'PPA 사업(C)'!W:W, B42, 'PPA 사업(C)'!U:U, $D$1)
    + COUNTIFS('리스사업(D)'!C:C, $E$1, '리스사업(D)'!G:G, B39, '리스사업(D)'!W:W, B42, '리스사업(D)'!U:U, $D$1)
    + COUNTIFS('임대사업(E)'!C:C, $E$1, '임대사업(E)'!G:G, B39, '임대사업(E)'!W:W, B42, '임대사업(E)'!U:U, $D$1)
    + COUNTIFS('환경부사업(F)'!C:C, $E$1, '환경부사업(F)'!G:G, B39, '환경부사업(F)'!W:W, B42, '환경부사업(F)'!U:U, $D$1)
    + COUNTIFS('프로젝트(G)'!C:C, $E$1, '프로젝트(G)'!G:G, B39, '프로젝트(G)'!W:W, B42, '프로젝트(G)'!U:U, $D$1)
    + COUNTIFS('협력사 EPC(H)'!C:C, $E$1, '협력사 EPC(H)'!G:G, B39, '협력사 EPC(H)'!W:W, B42, '협력사 EPC(H)'!U:U, $D$1)
    + COUNTIFS('기타(Z)'!C:C, $E$1, '기타(Z)'!G:G, B39, '기타(Z)'!W:W, B42, '기타(Z)'!U:U, $D$1)
  ) = 0,
  "",
  COUNTIFS('발전사업(A)'!C:C, $E$1, '발전사업(A)'!G:G, B39, '발전사업(A)'!W:W, B42, '발전사업(A)'!U:U, $D$1)
  + COUNTIFS('자가소비(B)'!C:C, $E$1, '자가소비(B)'!G:G, B39, '자가소비(B)'!W:W, B42, '자가소비(B)'!U:U, $D$1)
  + COUNTIFS('PPA 사업(C)'!C:C, $E$1, 'PPA 사업(C)'!G:G, B39, 'PPA 사업(C)'!W:W, B42, 'PPA 사업(C)'!U:U, $D$1)
  + COUNTIFS('리스사업(D)'!C:C, $E$1, '리스사업(D)'!G:G, B39, '리스사업(D)'!W:W, B42, '리스사업(D)'!U:U, $D$1)
  + COUNTIFS('임대사업(E)'!C:C, $E$1, '임대사업(E)'!G:G, B39, '임대사업(E)'!W:W, B42, '임대사업(E)'!U:U, $D$1)
  + COUNTIFS('환경부사업(F)'!C:C, $E$1, '환경부사업(F)'!G:G, B39, '환경부사업(F)'!W:W, B42, '환경부사업(F)'!U:U, $D$1)
  + COUNTIFS('프로젝트(G)'!C:C, $E$1, '프로젝트(G)'!G:G, B39, '프로젝트(G)'!W:W, B42, '프로젝트(G)'!U:U, $D$1)
  + COUNTIFS('협력사 EPC(H)'!C:C, $E$1, '협력사 EPC(H)'!G:G, B39, '협력사 EPC(H)'!W:W, B42, '협력사 EPC(H)'!U:U, $D$1)
  + COUNTIFS('기타(Z)'!C:C, $E$1, '기타(Z)'!G:G, B39, '기타(Z)'!W:W, B42, '기타(Z)'!U:U, $D$1)
)</f>
        <v/>
      </c>
    </row>
    <row r="43" spans="2:8" x14ac:dyDescent="0.25">
      <c r="B43" s="202" t="s">
        <v>261</v>
      </c>
      <c r="C43" s="280">
        <f>IF(
  SUM(
    SUMIFS('발전사업(A)'!I:I, '발전사업(A)'!C:C, $E$1, '발전사업(A)'!G:G, B39, '발전사업(A)'!W:W, B43),
    SUMIFS('자가소비(B)'!I:I, '자가소비(B)'!C:C, $E$1, '자가소비(B)'!G:G, B39, '자가소비(B)'!W:W, B43),
    SUMIFS('PPA 사업(C)'!I:I, 'PPA 사업(C)'!C:C, $E$1, 'PPA 사업(C)'!G:G, B39, 'PPA 사업(C)'!W:W, B43),
    SUMIFS('리스사업(D)'!I:I, '리스사업(D)'!C:C, $E$1, '리스사업(D)'!G:G, B39, '리스사업(D)'!W:W, B43),
    SUMIFS('임대사업(E)'!I:I, '임대사업(E)'!C:C, $E$1, '임대사업(E)'!G:G, B39, '임대사업(E)'!W:W, B43),
    SUMIFS('환경부사업(F)'!I:I, '환경부사업(F)'!C:C, $E$1, '환경부사업(F)'!G:G, B39, '환경부사업(F)'!W:W, B43),
    SUMIFS('프로젝트(G)'!I:I, '프로젝트(G)'!C:C, $E$1, '프로젝트(G)'!G:G, B39, '프로젝트(G)'!W:W, B43),
    SUMIFS('협력사 EPC(H)'!I:I, '협력사 EPC(H)'!C:C, $E$1, '협력사 EPC(H)'!G:G, B39, '협력사 EPC(H)'!W:W, B43),
    SUMIFS('기타(Z)'!I:I, '기타(Z)'!C:C, $E$1, '기타(Z)'!G:G, B39, '기타(Z)'!W:W, B43)
  ) = 0,
  "",
  SUMIFS('발전사업(A)'!I:I, '발전사업(A)'!C:C, $E$1, '발전사업(A)'!G:G, B39, '발전사업(A)'!W:W, B43)
  + SUMIFS('자가소비(B)'!I:I, '자가소비(B)'!C:C, $E$1, '자가소비(B)'!G:G, B39, '자가소비(B)'!W:W, B43)
  + SUMIFS('PPA 사업(C)'!I:I, 'PPA 사업(C)'!C:C, $E$1, 'PPA 사업(C)'!G:G, B39, 'PPA 사업(C)'!W:W, B43)
  + SUMIFS('리스사업(D)'!I:I, '리스사업(D)'!C:C, $E$1, '리스사업(D)'!G:G, B39, '리스사업(D)'!W:W, B43)
  + SUMIFS('임대사업(E)'!I:I, '임대사업(E)'!C:C, $E$1, '임대사업(E)'!G:G, B39, '임대사업(E)'!W:W, B43)
  + SUMIFS('환경부사업(F)'!I:I, '환경부사업(F)'!C:C, $E$1, '환경부사업(F)'!G:G, B39, '환경부사업(F)'!W:W, B43)
  + SUMIFS('프로젝트(G)'!I:I, '프로젝트(G)'!C:C, $E$1, '프로젝트(G)'!G:G, B39, '프로젝트(G)'!W:W, B43)
  + SUMIFS('협력사 EPC(H)'!I:I, '협력사 EPC(H)'!C:C, $E$1, '협력사 EPC(H)'!G:G, B39, '협력사 EPC(H)'!W:W, B43)
  + SUMIFS('기타(Z)'!I:I, '기타(Z)'!C:C, $E$1, '기타(Z)'!G:G, B39, '기타(Z)'!W:W, B43)
)</f>
        <v>74.239999999999995</v>
      </c>
      <c r="D43" s="281">
        <f>IF(
  COUNTIFS('발전사업(A)'!C:C, $E$1, '발전사업(A)'!G:G, B39, '발전사업(A)'!W:W, B43)
  + COUNTIFS('자가소비(B)'!C:C, $E$1, '자가소비(B)'!G:G, B39, '자가소비(B)'!W:W, B43)
  + COUNTIFS('PPA 사업(C)'!C:C, $E$1, 'PPA 사업(C)'!G:G, B39, 'PPA 사업(C)'!W:W, B43)
  + COUNTIFS('리스사업(D)'!C:C, $E$1, '리스사업(D)'!G:G, B39, '리스사업(D)'!W:W, B43)
  + COUNTIFS('임대사업(E)'!C:C, $E$1, '임대사업(E)'!G:G, B39, '임대사업(E)'!W:W, B43)
  + COUNTIFS('환경부사업(F)'!C:C, $E$1, '환경부사업(F)'!G:G, B39, '환경부사업(F)'!W:W, B43)
  + COUNTIFS('프로젝트(G)'!C:C, $E$1, '프로젝트(G)'!G:G, B39, '프로젝트(G)'!W:W, B43)
  + COUNTIFS('협력사 EPC(H)'!C:C, $E$1, '협력사 EPC(H)'!G:G, B39, '협력사 EPC(H)'!W:W, B43)
  + COUNTIFS('기타(Z)'!C:C, $E$1, '기타(Z)'!G:G, B39, '기타(Z)'!W:W, B43)
  = 0,
  "",
  COUNTIFS('발전사업(A)'!C:C, $E$1, '발전사업(A)'!G:G, B39, '발전사업(A)'!W:W, B43)
  + COUNTIFS('자가소비(B)'!C:C, $E$1, '자가소비(B)'!G:G, B39, '자가소비(B)'!W:W, B43)
  + COUNTIFS('PPA 사업(C)'!C:C, $E$1, 'PPA 사업(C)'!G:G, B39, 'PPA 사업(C)'!W:W, B43)
  + COUNTIFS('리스사업(D)'!C:C, $E$1, '리스사업(D)'!G:G, B39, '리스사업(D)'!W:W, B43)
  + COUNTIFS('임대사업(E)'!C:C, $E$1, '임대사업(E)'!G:G, B39, '임대사업(E)'!W:W, B43)
  + COUNTIFS('환경부사업(F)'!C:C, $E$1, '환경부사업(F)'!G:G, B39, '환경부사업(F)'!W:W, B43)
  + COUNTIFS('프로젝트(G)'!C:C, $E$1, '프로젝트(G)'!G:G, B39, '프로젝트(G)'!W:W, B43)
  + COUNTIFS('협력사 EPC(H)'!C:C, $E$1, '협력사 EPC(H)'!G:G, B39, '협력사 EPC(H)'!W:W, B43)
  + COUNTIFS('기타(Z)'!C:C, $E$1, '기타(Z)'!G:G, B39, '기타(Z)'!W:W, B43)
)</f>
        <v>1</v>
      </c>
      <c r="E43" s="280" t="str">
        <f>IF(
  SUM(
    SUMIFS('발전사업(A)'!I:I, '발전사업(A)'!C:C, $E$1, '발전사업(A)'!G:G, B39, '발전사업(A)'!W:W, B43, '발전사업(A)'!U:U, $C$1),
    SUMIFS('자가소비(B)'!I:I, '자가소비(B)'!C:C, $E$1, '자가소비(B)'!G:G, B39, '자가소비(B)'!W:W, B43, '자가소비(B)'!U:U, $C$1),
    SUMIFS('PPA 사업(C)'!I:I, 'PPA 사업(C)'!C:C, $E$1, 'PPA 사업(C)'!G:G, B39, 'PPA 사업(C)'!W:W, B43, 'PPA 사업(C)'!U:U, $C$1),
    SUMIFS('리스사업(D)'!I:I, '리스사업(D)'!C:C, $E$1, '리스사업(D)'!G:G, B39, '리스사업(D)'!W:W, B43, '리스사업(D)'!U:U, $C$1),
    SUMIFS('임대사업(E)'!I:I, '임대사업(E)'!C:C, $E$1, '임대사업(E)'!G:G, B39, '임대사업(E)'!W:W, B43, '임대사업(E)'!U:U, $C$1),
    SUMIFS('환경부사업(F)'!I:I, '환경부사업(F)'!C:C, $E$1, '환경부사업(F)'!G:G, B39, '환경부사업(F)'!W:W, B43, '환경부사업(F)'!U:U, $C$1),
    SUMIFS('프로젝트(G)'!I:I, '프로젝트(G)'!C:C, $E$1, '프로젝트(G)'!G:G, B39, '프로젝트(G)'!W:W, B43, '프로젝트(G)'!U:U, $C$1),
    SUMIFS('협력사 EPC(H)'!I:I, '협력사 EPC(H)'!C:C, $E$1, '협력사 EPC(H)'!G:G, B39, '협력사 EPC(H)'!W:W, B43, '협력사 EPC(H)'!U:U, $C$1),
    SUMIFS('기타(Z)'!I:I, '기타(Z)'!C:C, $E$1, '기타(Z)'!G:G, B39, '기타(Z)'!W:W, B43, '기타(Z)'!U:U, $C$1)
  ) = 0,
  "",
  SUM(
    SUMIFS('발전사업(A)'!I:I, '발전사업(A)'!C:C, $E$1, '발전사업(A)'!G:G, B39, '발전사업(A)'!W:W, B43, '발전사업(A)'!U:U, $C$1),
    SUMIFS('자가소비(B)'!I:I, '자가소비(B)'!C:C, $E$1, '자가소비(B)'!G:G, B39, '자가소비(B)'!W:W, B43, '자가소비(B)'!U:U, $C$1),
    SUMIFS('PPA 사업(C)'!I:I, 'PPA 사업(C)'!C:C, $E$1, 'PPA 사업(C)'!G:G, B39, 'PPA 사업(C)'!W:W, B43, 'PPA 사업(C)'!U:U, $C$1),
    SUMIFS('리스사업(D)'!I:I, '리스사업(D)'!C:C, $E$1, '리스사업(D)'!G:G, B39, '리스사업(D)'!W:W, B43, '리스사업(D)'!U:U, $C$1),
    SUMIFS('임대사업(E)'!I:I, '임대사업(E)'!C:C, $E$1, '임대사업(E)'!G:G, B39, '임대사업(E)'!W:W, B43, '임대사업(E)'!U:U, $C$1),
    SUMIFS('환경부사업(F)'!I:I, '환경부사업(F)'!C:C, $E$1, '환경부사업(F)'!G:G, B39, '환경부사업(F)'!W:W, B43, '환경부사업(F)'!U:U, $C$1),
    SUMIFS('프로젝트(G)'!I:I, '프로젝트(G)'!C:C, $E$1, '프로젝트(G)'!G:G, B39, '프로젝트(G)'!W:W, B43, '프로젝트(G)'!U:U, $C$1),
    SUMIFS('협력사 EPC(H)'!I:I, '협력사 EPC(H)'!C:C, $E$1, '협력사 EPC(H)'!G:G, B39, '협력사 EPC(H)'!W:W, B43, '협력사 EPC(H)'!U:U, $C$1),
    SUMIFS('기타(Z)'!I:I, '기타(Z)'!C:C, $E$1, '기타(Z)'!G:G, B39, '기타(Z)'!W:W, B43, '기타(Z)'!U:U, $C$1)
  )
)</f>
        <v/>
      </c>
      <c r="F43" s="281" t="str">
        <f>IF(
  SUM(
    COUNTIFS('발전사업(A)'!C:C, $E$1, '발전사업(A)'!G:G, B39, '발전사업(A)'!W:W, B43, '발전사업(A)'!U:U, $C$1),
    COUNTIFS('자가소비(B)'!C:C, $E$1, '자가소비(B)'!G:G, B39, '자가소비(B)'!W:W, B43, '자가소비(B)'!U:U, $C$1),
    COUNTIFS('PPA 사업(C)'!C:C, $E$1, 'PPA 사업(C)'!G:G, B39, 'PPA 사업(C)'!W:W, B43, 'PPA 사업(C)'!U:U, $C$1),
    COUNTIFS('리스사업(D)'!C:C, $E$1, '리스사업(D)'!G:G, B39, '리스사업(D)'!W:W, B43, '리스사업(D)'!U:U, $C$1),
    COUNTIFS('임대사업(E)'!C:C, $E$1, '임대사업(E)'!G:G, B39, '임대사업(E)'!W:W, B43, '임대사업(E)'!U:U, $C$1),
    COUNTIFS('환경부사업(F)'!C:C, $E$1, '환경부사업(F)'!G:G, B39, '환경부사업(F)'!W:W, B43, '환경부사업(F)'!U:U, $C$1),
    COUNTIFS('프로젝트(G)'!C:C, $E$1, '프로젝트(G)'!G:G, B39, '프로젝트(G)'!W:W, B43, '프로젝트(G)'!U:U, $C$1),
    COUNTIFS('협력사 EPC(H)'!C:C, $E$1, '협력사 EPC(H)'!G:G, B39, '협력사 EPC(H)'!W:W, B43, '협력사 EPC(H)'!U:U, $C$1),
    COUNTIFS('기타(Z)'!C:C, $E$1, '기타(Z)'!G:G, B39, '기타(Z)'!W:W, B43, '기타(Z)'!U:U, $C$1)
  ) = 0,
  "",
  SUM(
    COUNTIFS('발전사업(A)'!C:C, $E$1, '발전사업(A)'!G:G, B39, '발전사업(A)'!W:W, B43, '발전사업(A)'!U:U, $C$1),
    COUNTIFS('자가소비(B)'!C:C, $E$1, '자가소비(B)'!G:G, B39, '자가소비(B)'!W:W, B43, '자가소비(B)'!U:U, $C$1),
    COUNTIFS('PPA 사업(C)'!C:C, $E$1, 'PPA 사업(C)'!G:G, B39, 'PPA 사업(C)'!W:W, B43, 'PPA 사업(C)'!U:U, $C$1),
    COUNTIFS('리스사업(D)'!C:C, $E$1, '리스사업(D)'!G:G, B39, '리스사업(D)'!W:W, B43, '리스사업(D)'!U:U, $C$1),
    COUNTIFS('임대사업(E)'!C:C, $E$1, '임대사업(E)'!G:G, B39, '임대사업(E)'!W:W, B43, '임대사업(E)'!U:U, $C$1),
    COUNTIFS('환경부사업(F)'!C:C, $E$1, '환경부사업(F)'!G:G, B39, '환경부사업(F)'!W:W, B43, '환경부사업(F)'!U:U, $C$1),
    COUNTIFS('프로젝트(G)'!C:C, $E$1, '프로젝트(G)'!G:G, B39, '프로젝트(G)'!W:W, B43, '프로젝트(G)'!U:U, $C$1),
    COUNTIFS('협력사 EPC(H)'!C:C, $E$1, '협력사 EPC(H)'!G:G, B39, '협력사 EPC(H)'!W:W, B43, '협력사 EPC(H)'!U:U, $C$1),
    COUNTIFS('기타(Z)'!C:C, $E$1, '기타(Z)'!G:G, B39, '기타(Z)'!W:W, B43, '기타(Z)'!U:U, $C$1)
  )
)</f>
        <v/>
      </c>
      <c r="G43" s="280">
        <f>IF(
  SUM(
    SUMIFS('발전사업(A)'!I:I, '발전사업(A)'!C:C, $E$1, '발전사업(A)'!G:G, B39, '발전사업(A)'!W:W, B43, '발전사업(A)'!U:U, $D$1),
    SUMIFS('자가소비(B)'!I:I, '자가소비(B)'!C:C, $E$1, '자가소비(B)'!G:G, B39, '자가소비(B)'!W:W, B43, '자가소비(B)'!U:U, $D$1),
    SUMIFS('PPA 사업(C)'!I:I, 'PPA 사업(C)'!C:C, $E$1, 'PPA 사업(C)'!G:G, B39, 'PPA 사업(C)'!W:W, B43, 'PPA 사업(C)'!U:U, $D$1),
    SUMIFS('리스사업(D)'!I:I, '리스사업(D)'!C:C, $E$1, '리스사업(D)'!G:G, B39, '리스사업(D)'!W:W, B43, '리스사업(D)'!U:U, $D$1),
    SUMIFS('임대사업(E)'!I:I, '임대사업(E)'!C:C, $E$1, '임대사업(E)'!G:G, B39, '임대사업(E)'!W:W, B43, '임대사업(E)'!U:U, $D$1),
    SUMIFS('환경부사업(F)'!I:I, '환경부사업(F)'!C:C, $E$1, '환경부사업(F)'!G:G, B39, '환경부사업(F)'!W:W, B43, '환경부사업(F)'!U:U, $D$1),
    SUMIFS('프로젝트(G)'!I:I, '프로젝트(G)'!C:C, $E$1, '프로젝트(G)'!G:G, B39, '프로젝트(G)'!W:W, B43, '프로젝트(G)'!U:U, $D$1),
    SUMIFS('협력사 EPC(H)'!I:I, '협력사 EPC(H)'!C:C, $E$1, '협력사 EPC(H)'!G:G, B39, '협력사 EPC(H)'!W:W, B43, '협력사 EPC(H)'!U:U, $D$1),
    SUMIFS('기타(Z)'!I:I, '기타(Z)'!C:C, $E$1, '기타(Z)'!G:G, B39, '기타(Z)'!W:W, B43, '기타(Z)'!U:U, $D$1)
  ) = 0,
  "",
  SUM(
    SUMIFS('발전사업(A)'!I:I, '발전사업(A)'!C:C, $E$1, '발전사업(A)'!G:G, B39, '발전사업(A)'!W:W, B43, '발전사업(A)'!U:U, $D$1),
    SUMIFS('자가소비(B)'!I:I, '자가소비(B)'!C:C, $E$1, '자가소비(B)'!G:G, B39, '자가소비(B)'!W:W, B43, '자가소비(B)'!U:U, $D$1),
    SUMIFS('PPA 사업(C)'!I:I, 'PPA 사업(C)'!C:C, $E$1, 'PPA 사업(C)'!G:G, B39, 'PPA 사업(C)'!W:W, B43, 'PPA 사업(C)'!U:U, $D$1),
    SUMIFS('리스사업(D)'!I:I, '리스사업(D)'!C:C, $E$1, '리스사업(D)'!G:G, B39, '리스사업(D)'!W:W, B43, '리스사업(D)'!U:U, $D$1),
    SUMIFS('임대사업(E)'!I:I, '임대사업(E)'!C:C, $E$1, '임대사업(E)'!G:G, B39, '임대사업(E)'!W:W, B43, '임대사업(E)'!U:U, $D$1),
    SUMIFS('환경부사업(F)'!I:I, '환경부사업(F)'!C:C, $E$1, '환경부사업(F)'!G:G, B39, '환경부사업(F)'!W:W, B43, '환경부사업(F)'!U:U, $D$1),
    SUMIFS('프로젝트(G)'!I:I, '프로젝트(G)'!C:C, $E$1, '프로젝트(G)'!G:G, B39, '프로젝트(G)'!W:W, B43, '프로젝트(G)'!U:U, $D$1),
    SUMIFS('협력사 EPC(H)'!I:I, '협력사 EPC(H)'!C:C, $E$1, '협력사 EPC(H)'!G:G, B39, '협력사 EPC(H)'!W:W, B43, '협력사 EPC(H)'!U:U, $D$1),
    SUMIFS('기타(Z)'!I:I, '기타(Z)'!C:C, $E$1, '기타(Z)'!G:G, B39, '기타(Z)'!W:W, B43, '기타(Z)'!U:U, $D$1)
  )
)</f>
        <v>74.239999999999995</v>
      </c>
      <c r="H43" s="281">
        <f>IF(
  (
    COUNTIFS('발전사업(A)'!C:C, $E$1, '발전사업(A)'!G:G, B39, '발전사업(A)'!W:W, B43, '발전사업(A)'!U:U, $D$1)
    + COUNTIFS('자가소비(B)'!C:C, $E$1, '자가소비(B)'!G:G, B39, '자가소비(B)'!W:W, B43, '자가소비(B)'!U:U, $D$1)
    + COUNTIFS('PPA 사업(C)'!C:C, $E$1, 'PPA 사업(C)'!G:G, B39, 'PPA 사업(C)'!W:W, B43, 'PPA 사업(C)'!U:U, $D$1)
    + COUNTIFS('리스사업(D)'!C:C, $E$1, '리스사업(D)'!G:G, B39, '리스사업(D)'!W:W, B43, '리스사업(D)'!U:U, $D$1)
    + COUNTIFS('임대사업(E)'!C:C, $E$1, '임대사업(E)'!G:G, B39, '임대사업(E)'!W:W, B43, '임대사업(E)'!U:U, $D$1)
    + COUNTIFS('환경부사업(F)'!C:C, $E$1, '환경부사업(F)'!G:G, B39, '환경부사업(F)'!W:W, B43, '환경부사업(F)'!U:U, $D$1)
    + COUNTIFS('프로젝트(G)'!C:C, $E$1, '프로젝트(G)'!G:G, B39, '프로젝트(G)'!W:W, B43, '프로젝트(G)'!U:U, $D$1)
    + COUNTIFS('협력사 EPC(H)'!C:C, $E$1, '협력사 EPC(H)'!G:G, B39, '협력사 EPC(H)'!W:W, B43, '협력사 EPC(H)'!U:U, $D$1)
    + COUNTIFS('기타(Z)'!C:C, $E$1, '기타(Z)'!G:G, B39, '기타(Z)'!W:W, B43, '기타(Z)'!U:U, $D$1)
  ) = 0,
  "",
  COUNTIFS('발전사업(A)'!C:C, $E$1, '발전사업(A)'!G:G, B39, '발전사업(A)'!W:W, B43, '발전사업(A)'!U:U, $D$1)
  + COUNTIFS('자가소비(B)'!C:C, $E$1, '자가소비(B)'!G:G, B39, '자가소비(B)'!W:W, B43, '자가소비(B)'!U:U, $D$1)
  + COUNTIFS('PPA 사업(C)'!C:C, $E$1, 'PPA 사업(C)'!G:G, B39, 'PPA 사업(C)'!W:W, B43, 'PPA 사업(C)'!U:U, $D$1)
  + COUNTIFS('리스사업(D)'!C:C, $E$1, '리스사업(D)'!G:G, B39, '리스사업(D)'!W:W, B43, '리스사업(D)'!U:U, $D$1)
  + COUNTIFS('임대사업(E)'!C:C, $E$1, '임대사업(E)'!G:G, B39, '임대사업(E)'!W:W, B43, '임대사업(E)'!U:U, $D$1)
  + COUNTIFS('환경부사업(F)'!C:C, $E$1, '환경부사업(F)'!G:G, B39, '환경부사업(F)'!W:W, B43, '환경부사업(F)'!U:U, $D$1)
  + COUNTIFS('프로젝트(G)'!C:C, $E$1, '프로젝트(G)'!G:G, B39, '프로젝트(G)'!W:W, B43, '프로젝트(G)'!U:U, $D$1)
  + COUNTIFS('협력사 EPC(H)'!C:C, $E$1, '협력사 EPC(H)'!G:G, B39, '협력사 EPC(H)'!W:W, B43, '협력사 EPC(H)'!U:U, $D$1)
  + COUNTIFS('기타(Z)'!C:C, $E$1, '기타(Z)'!G:G, B39, '기타(Z)'!W:W, B43, '기타(Z)'!U:U, $D$1)
)</f>
        <v>1</v>
      </c>
    </row>
    <row r="44" spans="2:8" x14ac:dyDescent="0.25">
      <c r="B44" s="202" t="s">
        <v>262</v>
      </c>
      <c r="C44" s="280" t="str">
        <f>IF(
  SUM(
    SUMIFS('발전사업(A)'!I:I, '발전사업(A)'!C:C, $E$1, '발전사업(A)'!G:G, B39, '발전사업(A)'!W:W, B44),
    SUMIFS('자가소비(B)'!I:I, '자가소비(B)'!C:C, $E$1, '자가소비(B)'!G:G, B39, '자가소비(B)'!W:W, B44),
    SUMIFS('PPA 사업(C)'!I:I, 'PPA 사업(C)'!C:C, $E$1, 'PPA 사업(C)'!G:G, B39, 'PPA 사업(C)'!W:W, B44),
    SUMIFS('리스사업(D)'!I:I, '리스사업(D)'!C:C, $E$1, '리스사업(D)'!G:G, B39, '리스사업(D)'!W:W, B44),
    SUMIFS('임대사업(E)'!I:I, '임대사업(E)'!C:C, $E$1, '임대사업(E)'!G:G, B39, '임대사업(E)'!W:W, B44),
    SUMIFS('환경부사업(F)'!I:I, '환경부사업(F)'!C:C, $E$1, '환경부사업(F)'!G:G, B39, '환경부사업(F)'!W:W, B44),
    SUMIFS('프로젝트(G)'!I:I, '프로젝트(G)'!C:C, $E$1, '프로젝트(G)'!G:G, B39, '프로젝트(G)'!W:W, B44),
    SUMIFS('협력사 EPC(H)'!I:I, '협력사 EPC(H)'!C:C, $E$1, '협력사 EPC(H)'!G:G, B39, '협력사 EPC(H)'!W:W, B44),
    SUMIFS('기타(Z)'!I:I, '기타(Z)'!C:C, $E$1, '기타(Z)'!G:G, B39, '기타(Z)'!W:W, B44)
  ) = 0,
  "",
  SUMIFS('발전사업(A)'!I:I, '발전사업(A)'!C:C, $E$1, '발전사업(A)'!G:G, B39, '발전사업(A)'!W:W, B44)
  + SUMIFS('자가소비(B)'!I:I, '자가소비(B)'!C:C, $E$1, '자가소비(B)'!G:G, B39, '자가소비(B)'!W:W, B44)
  + SUMIFS('PPA 사업(C)'!I:I, 'PPA 사업(C)'!C:C, $E$1, 'PPA 사업(C)'!G:G, B39, 'PPA 사업(C)'!W:W, B44)
  + SUMIFS('리스사업(D)'!I:I, '리스사업(D)'!C:C, $E$1, '리스사업(D)'!G:G, B39, '리스사업(D)'!W:W, B44)
  + SUMIFS('임대사업(E)'!I:I, '임대사업(E)'!C:C, $E$1, '임대사업(E)'!G:G, B39, '임대사업(E)'!W:W, B44)
  + SUMIFS('환경부사업(F)'!I:I, '환경부사업(F)'!C:C, $E$1, '환경부사업(F)'!G:G, B39, '환경부사업(F)'!W:W, B44)
  + SUMIFS('프로젝트(G)'!I:I, '프로젝트(G)'!C:C, $E$1, '프로젝트(G)'!G:G, B39, '프로젝트(G)'!W:W, B44)
  + SUMIFS('협력사 EPC(H)'!I:I, '협력사 EPC(H)'!C:C, $E$1, '협력사 EPC(H)'!G:G, B39, '협력사 EPC(H)'!W:W, B44)
  + SUMIFS('기타(Z)'!I:I, '기타(Z)'!C:C, $E$1, '기타(Z)'!G:G, B39, '기타(Z)'!W:W, B44)
)</f>
        <v/>
      </c>
      <c r="D44" s="281" t="str">
        <f>IF(
  COUNTIFS('발전사업(A)'!C:C, $E$1, '발전사업(A)'!G:G, B39, '발전사업(A)'!W:W, B44)
  + COUNTIFS('자가소비(B)'!C:C, $E$1, '자가소비(B)'!G:G, B39, '자가소비(B)'!W:W, B44)
  + COUNTIFS('PPA 사업(C)'!C:C, $E$1, 'PPA 사업(C)'!G:G, B39, 'PPA 사업(C)'!W:W, B44)
  + COUNTIFS('리스사업(D)'!C:C, $E$1, '리스사업(D)'!G:G, B39, '리스사업(D)'!W:W, B44)
  + COUNTIFS('임대사업(E)'!C:C, $E$1, '임대사업(E)'!G:G, B39, '임대사업(E)'!W:W, B44)
  + COUNTIFS('환경부사업(F)'!C:C, $E$1, '환경부사업(F)'!G:G, B39, '환경부사업(F)'!W:W, B44)
  + COUNTIFS('프로젝트(G)'!C:C, $E$1, '프로젝트(G)'!G:G, B39, '프로젝트(G)'!W:W, B44)
  + COUNTIFS('협력사 EPC(H)'!C:C, $E$1, '협력사 EPC(H)'!G:G, B39, '협력사 EPC(H)'!W:W, B44)
  + COUNTIFS('기타(Z)'!C:C, $E$1, '기타(Z)'!G:G, B39, '기타(Z)'!W:W, B44)
  = 0,
  "",
  COUNTIFS('발전사업(A)'!C:C, $E$1, '발전사업(A)'!G:G, B39, '발전사업(A)'!W:W, B44)
  + COUNTIFS('자가소비(B)'!C:C, $E$1, '자가소비(B)'!G:G, B39, '자가소비(B)'!W:W, B44)
  + COUNTIFS('PPA 사업(C)'!C:C, $E$1, 'PPA 사업(C)'!G:G, B39, 'PPA 사업(C)'!W:W, B44)
  + COUNTIFS('리스사업(D)'!C:C, $E$1, '리스사업(D)'!G:G, B39, '리스사업(D)'!W:W, B44)
  + COUNTIFS('임대사업(E)'!C:C, $E$1, '임대사업(E)'!G:G, B39, '임대사업(E)'!W:W, B44)
  + COUNTIFS('환경부사업(F)'!C:C, $E$1, '환경부사업(F)'!G:G, B39, '환경부사업(F)'!W:W, B44)
  + COUNTIFS('프로젝트(G)'!C:C, $E$1, '프로젝트(G)'!G:G, B39, '프로젝트(G)'!W:W, B44)
  + COUNTIFS('협력사 EPC(H)'!C:C, $E$1, '협력사 EPC(H)'!G:G, B39, '협력사 EPC(H)'!W:W, B44)
  + COUNTIFS('기타(Z)'!C:C, $E$1, '기타(Z)'!G:G, B39, '기타(Z)'!W:W, B44)
)</f>
        <v/>
      </c>
      <c r="E44" s="280" t="str">
        <f>IF(
  SUM(
    SUMIFS('발전사업(A)'!I:I, '발전사업(A)'!C:C, $E$1, '발전사업(A)'!G:G, B39, '발전사업(A)'!W:W, B44, '발전사업(A)'!U:U, $C$1),
    SUMIFS('자가소비(B)'!I:I, '자가소비(B)'!C:C, $E$1, '자가소비(B)'!G:G, B39, '자가소비(B)'!W:W, B44, '자가소비(B)'!U:U, $C$1),
    SUMIFS('PPA 사업(C)'!I:I, 'PPA 사업(C)'!C:C, $E$1, 'PPA 사업(C)'!G:G, B39, 'PPA 사업(C)'!W:W, B44, 'PPA 사업(C)'!U:U, $C$1),
    SUMIFS('리스사업(D)'!I:I, '리스사업(D)'!C:C, $E$1, '리스사업(D)'!G:G, B39, '리스사업(D)'!W:W, B44, '리스사업(D)'!U:U, $C$1),
    SUMIFS('임대사업(E)'!I:I, '임대사업(E)'!C:C, $E$1, '임대사업(E)'!G:G, B39, '임대사업(E)'!W:W, B44, '임대사업(E)'!U:U, $C$1),
    SUMIFS('환경부사업(F)'!I:I, '환경부사업(F)'!C:C, $E$1, '환경부사업(F)'!G:G, B39, '환경부사업(F)'!W:W, B44, '환경부사업(F)'!U:U, $C$1),
    SUMIFS('프로젝트(G)'!I:I, '프로젝트(G)'!C:C, $E$1, '프로젝트(G)'!G:G, B39, '프로젝트(G)'!W:W, B44, '프로젝트(G)'!U:U, $C$1),
    SUMIFS('협력사 EPC(H)'!I:I, '협력사 EPC(H)'!C:C, $E$1, '협력사 EPC(H)'!G:G, B39, '협력사 EPC(H)'!W:W, B44, '협력사 EPC(H)'!U:U, $C$1),
    SUMIFS('기타(Z)'!I:I, '기타(Z)'!C:C, $E$1, '기타(Z)'!G:G, B39, '기타(Z)'!W:W, B44, '기타(Z)'!U:U, $C$1)
  ) = 0,
  "",
  SUM(
    SUMIFS('발전사업(A)'!I:I, '발전사업(A)'!C:C, $E$1, '발전사업(A)'!G:G, B39, '발전사업(A)'!W:W, B44, '발전사업(A)'!U:U, $C$1),
    SUMIFS('자가소비(B)'!I:I, '자가소비(B)'!C:C, $E$1, '자가소비(B)'!G:G, B39, '자가소비(B)'!W:W, B44, '자가소비(B)'!U:U, $C$1),
    SUMIFS('PPA 사업(C)'!I:I, 'PPA 사업(C)'!C:C, $E$1, 'PPA 사업(C)'!G:G, B39, 'PPA 사업(C)'!W:W, B44, 'PPA 사업(C)'!U:U, $C$1),
    SUMIFS('리스사업(D)'!I:I, '리스사업(D)'!C:C, $E$1, '리스사업(D)'!G:G, B39, '리스사업(D)'!W:W, B44, '리스사업(D)'!U:U, $C$1),
    SUMIFS('임대사업(E)'!I:I, '임대사업(E)'!C:C, $E$1, '임대사업(E)'!G:G, B39, '임대사업(E)'!W:W, B44, '임대사업(E)'!U:U, $C$1),
    SUMIFS('환경부사업(F)'!I:I, '환경부사업(F)'!C:C, $E$1, '환경부사업(F)'!G:G, B39, '환경부사업(F)'!W:W, B44, '환경부사업(F)'!U:U, $C$1),
    SUMIFS('프로젝트(G)'!I:I, '프로젝트(G)'!C:C, $E$1, '프로젝트(G)'!G:G, B39, '프로젝트(G)'!W:W, B44, '프로젝트(G)'!U:U, $C$1),
    SUMIFS('협력사 EPC(H)'!I:I, '협력사 EPC(H)'!C:C, $E$1, '협력사 EPC(H)'!G:G, B39, '협력사 EPC(H)'!W:W, B44, '협력사 EPC(H)'!U:U, $C$1),
    SUMIFS('기타(Z)'!I:I, '기타(Z)'!C:C, $E$1, '기타(Z)'!G:G, B39, '기타(Z)'!W:W, B44, '기타(Z)'!U:U, $C$1)
  )
)</f>
        <v/>
      </c>
      <c r="F44" s="281" t="str">
        <f>IF(
  SUM(
    COUNTIFS('발전사업(A)'!C:C, $E$1, '발전사업(A)'!G:G, B39, '발전사업(A)'!W:W, B44, '발전사업(A)'!U:U, $C$1),
    COUNTIFS('자가소비(B)'!C:C, $E$1, '자가소비(B)'!G:G, B39, '자가소비(B)'!W:W, B44, '자가소비(B)'!U:U, $C$1),
    COUNTIFS('PPA 사업(C)'!C:C, $E$1, 'PPA 사업(C)'!G:G, B39, 'PPA 사업(C)'!W:W, B44, 'PPA 사업(C)'!U:U, $C$1),
    COUNTIFS('리스사업(D)'!C:C, $E$1, '리스사업(D)'!G:G, B39, '리스사업(D)'!W:W, B44, '리스사업(D)'!U:U, $C$1),
    COUNTIFS('임대사업(E)'!C:C, $E$1, '임대사업(E)'!G:G, B39, '임대사업(E)'!W:W, B44, '임대사업(E)'!U:U, $C$1),
    COUNTIFS('환경부사업(F)'!C:C, $E$1, '환경부사업(F)'!G:G, B39, '환경부사업(F)'!W:W, B44, '환경부사업(F)'!U:U, $C$1),
    COUNTIFS('프로젝트(G)'!C:C, $E$1, '프로젝트(G)'!G:G, B39, '프로젝트(G)'!W:W, B44, '프로젝트(G)'!U:U, $C$1),
    COUNTIFS('협력사 EPC(H)'!C:C, $E$1, '협력사 EPC(H)'!G:G, B39, '협력사 EPC(H)'!W:W, B44, '협력사 EPC(H)'!U:U, $C$1),
    COUNTIFS('기타(Z)'!C:C, $E$1, '기타(Z)'!G:G, B39, '기타(Z)'!W:W, B44, '기타(Z)'!U:U, $C$1)
  ) = 0,
  "",
  SUM(
    COUNTIFS('발전사업(A)'!C:C, $E$1, '발전사업(A)'!G:G, B39, '발전사업(A)'!W:W, B44, '발전사업(A)'!U:U, $C$1),
    COUNTIFS('자가소비(B)'!C:C, $E$1, '자가소비(B)'!G:G, B39, '자가소비(B)'!W:W, B44, '자가소비(B)'!U:U, $C$1),
    COUNTIFS('PPA 사업(C)'!C:C, $E$1, 'PPA 사업(C)'!G:G, B39, 'PPA 사업(C)'!W:W, B44, 'PPA 사업(C)'!U:U, $C$1),
    COUNTIFS('리스사업(D)'!C:C, $E$1, '리스사업(D)'!G:G, B39, '리스사업(D)'!W:W, B44, '리스사업(D)'!U:U, $C$1),
    COUNTIFS('임대사업(E)'!C:C, $E$1, '임대사업(E)'!G:G, B39, '임대사업(E)'!W:W, B44, '임대사업(E)'!U:U, $C$1),
    COUNTIFS('환경부사업(F)'!C:C, $E$1, '환경부사업(F)'!G:G, B39, '환경부사업(F)'!W:W, B44, '환경부사업(F)'!U:U, $C$1),
    COUNTIFS('프로젝트(G)'!C:C, $E$1, '프로젝트(G)'!G:G, B39, '프로젝트(G)'!W:W, B44, '프로젝트(G)'!U:U, $C$1),
    COUNTIFS('협력사 EPC(H)'!C:C, $E$1, '협력사 EPC(H)'!G:G, B39, '협력사 EPC(H)'!W:W, B44, '협력사 EPC(H)'!U:U, $C$1),
    COUNTIFS('기타(Z)'!C:C, $E$1, '기타(Z)'!G:G, B39, '기타(Z)'!W:W, B44, '기타(Z)'!U:U, $C$1)
  )
)</f>
        <v/>
      </c>
      <c r="G44" s="280" t="str">
        <f>IF(
  SUM(
    SUMIFS('발전사업(A)'!I:I, '발전사업(A)'!C:C, $E$1, '발전사업(A)'!G:G, B39, '발전사업(A)'!W:W, B44, '발전사업(A)'!U:U, $D$1),
    SUMIFS('자가소비(B)'!I:I, '자가소비(B)'!C:C, $E$1, '자가소비(B)'!G:G, B39, '자가소비(B)'!W:W, B44, '자가소비(B)'!U:U, $D$1),
    SUMIFS('PPA 사업(C)'!I:I, 'PPA 사업(C)'!C:C, $E$1, 'PPA 사업(C)'!G:G, B39, 'PPA 사업(C)'!W:W, B44, 'PPA 사업(C)'!U:U, $D$1),
    SUMIFS('리스사업(D)'!I:I, '리스사업(D)'!C:C, $E$1, '리스사업(D)'!G:G, B39, '리스사업(D)'!W:W, B44, '리스사업(D)'!U:U, $D$1),
    SUMIFS('임대사업(E)'!I:I, '임대사업(E)'!C:C, $E$1, '임대사업(E)'!G:G, B39, '임대사업(E)'!W:W, B44, '임대사업(E)'!U:U, $D$1),
    SUMIFS('환경부사업(F)'!I:I, '환경부사업(F)'!C:C, $E$1, '환경부사업(F)'!G:G, B39, '환경부사업(F)'!W:W, B44, '환경부사업(F)'!U:U, $D$1),
    SUMIFS('프로젝트(G)'!I:I, '프로젝트(G)'!C:C, $E$1, '프로젝트(G)'!G:G, B39, '프로젝트(G)'!W:W, B44, '프로젝트(G)'!U:U, $D$1),
    SUMIFS('협력사 EPC(H)'!I:I, '협력사 EPC(H)'!C:C, $E$1, '협력사 EPC(H)'!G:G, B39, '협력사 EPC(H)'!W:W, B44, '협력사 EPC(H)'!U:U, $D$1),
    SUMIFS('기타(Z)'!I:I, '기타(Z)'!C:C, $E$1, '기타(Z)'!G:G, B39, '기타(Z)'!W:W, B44, '기타(Z)'!U:U, $D$1)
  ) = 0,
  "",
  SUM(
    SUMIFS('발전사업(A)'!I:I, '발전사업(A)'!C:C, $E$1, '발전사업(A)'!G:G, B39, '발전사업(A)'!W:W, B44, '발전사업(A)'!U:U, $D$1),
    SUMIFS('자가소비(B)'!I:I, '자가소비(B)'!C:C, $E$1, '자가소비(B)'!G:G, B39, '자가소비(B)'!W:W, B44, '자가소비(B)'!U:U, $D$1),
    SUMIFS('PPA 사업(C)'!I:I, 'PPA 사업(C)'!C:C, $E$1, 'PPA 사업(C)'!G:G, B39, 'PPA 사업(C)'!W:W, B44, 'PPA 사업(C)'!U:U, $D$1),
    SUMIFS('리스사업(D)'!I:I, '리스사업(D)'!C:C, $E$1, '리스사업(D)'!G:G, B39, '리스사업(D)'!W:W, B44, '리스사업(D)'!U:U, $D$1),
    SUMIFS('임대사업(E)'!I:I, '임대사업(E)'!C:C, $E$1, '임대사업(E)'!G:G, B39, '임대사업(E)'!W:W, B44, '임대사업(E)'!U:U, $D$1),
    SUMIFS('환경부사업(F)'!I:I, '환경부사업(F)'!C:C, $E$1, '환경부사업(F)'!G:G, B39, '환경부사업(F)'!W:W, B44, '환경부사업(F)'!U:U, $D$1),
    SUMIFS('프로젝트(G)'!I:I, '프로젝트(G)'!C:C, $E$1, '프로젝트(G)'!G:G, B39, '프로젝트(G)'!W:W, B44, '프로젝트(G)'!U:U, $D$1),
    SUMIFS('협력사 EPC(H)'!I:I, '협력사 EPC(H)'!C:C, $E$1, '협력사 EPC(H)'!G:G, B39, '협력사 EPC(H)'!W:W, B44, '협력사 EPC(H)'!U:U, $D$1),
    SUMIFS('기타(Z)'!I:I, '기타(Z)'!C:C, $E$1, '기타(Z)'!G:G, B39, '기타(Z)'!W:W, B44, '기타(Z)'!U:U, $D$1)
  )
)</f>
        <v/>
      </c>
      <c r="H44" s="281" t="str">
        <f>IF(
  (
    COUNTIFS('발전사업(A)'!C:C, $E$1, '발전사업(A)'!G:G, B39, '발전사업(A)'!W:W, B44, '발전사업(A)'!U:U, $D$1)
    + COUNTIFS('자가소비(B)'!C:C, $E$1, '자가소비(B)'!G:G, B39, '자가소비(B)'!W:W, B44, '자가소비(B)'!U:U, $D$1)
    + COUNTIFS('PPA 사업(C)'!C:C, $E$1, 'PPA 사업(C)'!G:G, B39, 'PPA 사업(C)'!W:W, B44, 'PPA 사업(C)'!U:U, $D$1)
    + COUNTIFS('리스사업(D)'!C:C, $E$1, '리스사업(D)'!G:G, B39, '리스사업(D)'!W:W, B44, '리스사업(D)'!U:U, $D$1)
    + COUNTIFS('임대사업(E)'!C:C, $E$1, '임대사업(E)'!G:G, B39, '임대사업(E)'!W:W, B44, '임대사업(E)'!U:U, $D$1)
    + COUNTIFS('환경부사업(F)'!C:C, $E$1, '환경부사업(F)'!G:G, B39, '환경부사업(F)'!W:W, B44, '환경부사업(F)'!U:U, $D$1)
    + COUNTIFS('프로젝트(G)'!C:C, $E$1, '프로젝트(G)'!G:G, B39, '프로젝트(G)'!W:W, B44, '프로젝트(G)'!U:U, $D$1)
    + COUNTIFS('협력사 EPC(H)'!C:C, $E$1, '협력사 EPC(H)'!G:G, B39, '협력사 EPC(H)'!W:W, B44, '협력사 EPC(H)'!U:U, $D$1)
    + COUNTIFS('기타(Z)'!C:C, $E$1, '기타(Z)'!G:G, B39, '기타(Z)'!W:W, B44, '기타(Z)'!U:U, $D$1)
  ) = 0,
  "",
  COUNTIFS('발전사업(A)'!C:C, $E$1, '발전사업(A)'!G:G, B39, '발전사업(A)'!W:W, B44, '발전사업(A)'!U:U, $D$1)
  + COUNTIFS('자가소비(B)'!C:C, $E$1, '자가소비(B)'!G:G, B39, '자가소비(B)'!W:W, B44, '자가소비(B)'!U:U, $D$1)
  + COUNTIFS('PPA 사업(C)'!C:C, $E$1, 'PPA 사업(C)'!G:G, B39, 'PPA 사업(C)'!W:W, B44, 'PPA 사업(C)'!U:U, $D$1)
  + COUNTIFS('리스사업(D)'!C:C, $E$1, '리스사업(D)'!G:G, B39, '리스사업(D)'!W:W, B44, '리스사업(D)'!U:U, $D$1)
  + COUNTIFS('임대사업(E)'!C:C, $E$1, '임대사업(E)'!G:G, B39, '임대사업(E)'!W:W, B44, '임대사업(E)'!U:U, $D$1)
  + COUNTIFS('환경부사업(F)'!C:C, $E$1, '환경부사업(F)'!G:G, B39, '환경부사업(F)'!W:W, B44, '환경부사업(F)'!U:U, $D$1)
  + COUNTIFS('프로젝트(G)'!C:C, $E$1, '프로젝트(G)'!G:G, B39, '프로젝트(G)'!W:W, B44, '프로젝트(G)'!U:U, $D$1)
  + COUNTIFS('협력사 EPC(H)'!C:C, $E$1, '협력사 EPC(H)'!G:G, B39, '협력사 EPC(H)'!W:W, B44, '협력사 EPC(H)'!U:U, $D$1)
  + COUNTIFS('기타(Z)'!C:C, $E$1, '기타(Z)'!G:G, B39, '기타(Z)'!W:W, B44, '기타(Z)'!U:U, $D$1)
)</f>
        <v/>
      </c>
    </row>
    <row r="45" spans="2:8" x14ac:dyDescent="0.25">
      <c r="B45" s="202" t="s">
        <v>263</v>
      </c>
      <c r="C45" s="280" t="str">
        <f>IF(
  SUM(
    SUMIFS('발전사업(A)'!I:I, '발전사업(A)'!C:C, $E$1, '발전사업(A)'!G:G, B39, '발전사업(A)'!W:W, B45),
    SUMIFS('자가소비(B)'!I:I, '자가소비(B)'!C:C, $E$1, '자가소비(B)'!G:G, B39, '자가소비(B)'!W:W, B45),
    SUMIFS('PPA 사업(C)'!I:I, 'PPA 사업(C)'!C:C, $E$1, 'PPA 사업(C)'!G:G, B39, 'PPA 사업(C)'!W:W, B45),
    SUMIFS('리스사업(D)'!I:I, '리스사업(D)'!C:C, $E$1, '리스사업(D)'!G:G, B39, '리스사업(D)'!W:W, B45),
    SUMIFS('임대사업(E)'!I:I, '임대사업(E)'!C:C, $E$1, '임대사업(E)'!G:G, B39, '임대사업(E)'!W:W, B45),
    SUMIFS('환경부사업(F)'!I:I, '환경부사업(F)'!C:C, $E$1, '환경부사업(F)'!G:G, B39, '환경부사업(F)'!W:W, B45),
    SUMIFS('프로젝트(G)'!I:I, '프로젝트(G)'!C:C, $E$1, '프로젝트(G)'!G:G, B39, '프로젝트(G)'!W:W, B45),
    SUMIFS('협력사 EPC(H)'!I:I, '협력사 EPC(H)'!C:C, $E$1, '협력사 EPC(H)'!G:G, B39, '협력사 EPC(H)'!W:W, B45),
    SUMIFS('기타(Z)'!I:I, '기타(Z)'!C:C, $E$1, '기타(Z)'!G:G, B39, '기타(Z)'!W:W, B45)
  ) = 0,
  "",
  SUMIFS('발전사업(A)'!I:I, '발전사업(A)'!C:C, $E$1, '발전사업(A)'!G:G, B39, '발전사업(A)'!W:W, B45)
  + SUMIFS('자가소비(B)'!I:I, '자가소비(B)'!C:C, $E$1, '자가소비(B)'!G:G, B39, '자가소비(B)'!W:W, B45)
  + SUMIFS('PPA 사업(C)'!I:I, 'PPA 사업(C)'!C:C, $E$1, 'PPA 사업(C)'!G:G, B39, 'PPA 사업(C)'!W:W, B45)
  + SUMIFS('리스사업(D)'!I:I, '리스사업(D)'!C:C, $E$1, '리스사업(D)'!G:G, B39, '리스사업(D)'!W:W, B45)
  + SUMIFS('임대사업(E)'!I:I, '임대사업(E)'!C:C, $E$1, '임대사업(E)'!G:G, B39, '임대사업(E)'!W:W, B45)
  + SUMIFS('환경부사업(F)'!I:I, '환경부사업(F)'!C:C, $E$1, '환경부사업(F)'!G:G, B39, '환경부사업(F)'!W:W, B45)
  + SUMIFS('프로젝트(G)'!I:I, '프로젝트(G)'!C:C, $E$1, '프로젝트(G)'!G:G, B39, '프로젝트(G)'!W:W, B45)
  + SUMIFS('협력사 EPC(H)'!I:I, '협력사 EPC(H)'!C:C, $E$1, '협력사 EPC(H)'!G:G, B39, '협력사 EPC(H)'!W:W, B45)
  + SUMIFS('기타(Z)'!I:I, '기타(Z)'!C:C, $E$1, '기타(Z)'!G:G, B39, '기타(Z)'!W:W, B45)
)</f>
        <v/>
      </c>
      <c r="D45" s="281" t="str">
        <f>IF(
  COUNTIFS('발전사업(A)'!C:C, $E$1, '발전사업(A)'!G:G, B39, '발전사업(A)'!W:W, B45)
  + COUNTIFS('자가소비(B)'!C:C, $E$1, '자가소비(B)'!G:G, B39, '자가소비(B)'!W:W, B45)
  + COUNTIFS('PPA 사업(C)'!C:C, $E$1, 'PPA 사업(C)'!G:G, B39, 'PPA 사업(C)'!W:W, B45)
  + COUNTIFS('리스사업(D)'!C:C, $E$1, '리스사업(D)'!G:G, B39, '리스사업(D)'!W:W, B45)
  + COUNTIFS('임대사업(E)'!C:C, $E$1, '임대사업(E)'!G:G, B39, '임대사업(E)'!W:W, B45)
  + COUNTIFS('환경부사업(F)'!C:C, $E$1, '환경부사업(F)'!G:G, B39, '환경부사업(F)'!W:W, B45)
  + COUNTIFS('프로젝트(G)'!C:C, $E$1, '프로젝트(G)'!G:G, B39, '프로젝트(G)'!W:W, B45)
  + COUNTIFS('협력사 EPC(H)'!C:C, $E$1, '협력사 EPC(H)'!G:G, B39, '협력사 EPC(H)'!W:W, B45)
  + COUNTIFS('기타(Z)'!C:C, $E$1, '기타(Z)'!G:G, B39, '기타(Z)'!W:W, B45)
  = 0,
  "",
  COUNTIFS('발전사업(A)'!C:C, $E$1, '발전사업(A)'!G:G, B39, '발전사업(A)'!W:W, B45)
  + COUNTIFS('자가소비(B)'!C:C, $E$1, '자가소비(B)'!G:G, B39, '자가소비(B)'!W:W, B45)
  + COUNTIFS('PPA 사업(C)'!C:C, $E$1, 'PPA 사업(C)'!G:G, B39, 'PPA 사업(C)'!W:W, B45)
  + COUNTIFS('리스사업(D)'!C:C, $E$1, '리스사업(D)'!G:G, B39, '리스사업(D)'!W:W, B45)
  + COUNTIFS('임대사업(E)'!C:C, $E$1, '임대사업(E)'!G:G, B39, '임대사업(E)'!W:W, B45)
  + COUNTIFS('환경부사업(F)'!C:C, $E$1, '환경부사업(F)'!G:G, B39, '환경부사업(F)'!W:W, B45)
  + COUNTIFS('프로젝트(G)'!C:C, $E$1, '프로젝트(G)'!G:G, B39, '프로젝트(G)'!W:W, B45)
  + COUNTIFS('협력사 EPC(H)'!C:C, $E$1, '협력사 EPC(H)'!G:G, B39, '협력사 EPC(H)'!W:W, B45)
  + COUNTIFS('기타(Z)'!C:C, $E$1, '기타(Z)'!G:G, B39, '기타(Z)'!W:W, B45)
)</f>
        <v/>
      </c>
      <c r="E45" s="280" t="str">
        <f>IF(
  SUM(
    SUMIFS('발전사업(A)'!I:I, '발전사업(A)'!C:C, $E$1, '발전사업(A)'!G:G, B39, '발전사업(A)'!W:W, B45, '발전사업(A)'!U:U, $C$1),
    SUMIFS('자가소비(B)'!I:I, '자가소비(B)'!C:C, $E$1, '자가소비(B)'!G:G, B39, '자가소비(B)'!W:W, B45, '자가소비(B)'!U:U, $C$1),
    SUMIFS('PPA 사업(C)'!I:I, 'PPA 사업(C)'!C:C, $E$1, 'PPA 사업(C)'!G:G, B39, 'PPA 사업(C)'!W:W, B45, 'PPA 사업(C)'!U:U, $C$1),
    SUMIFS('리스사업(D)'!I:I, '리스사업(D)'!C:C, $E$1, '리스사업(D)'!G:G, B39, '리스사업(D)'!W:W, B45, '리스사업(D)'!U:U, $C$1),
    SUMIFS('임대사업(E)'!I:I, '임대사업(E)'!C:C, $E$1, '임대사업(E)'!G:G, B39, '임대사업(E)'!W:W, B45, '임대사업(E)'!U:U, $C$1),
    SUMIFS('환경부사업(F)'!I:I, '환경부사업(F)'!C:C, $E$1, '환경부사업(F)'!G:G, B39, '환경부사업(F)'!W:W, B45, '환경부사업(F)'!U:U, $C$1),
    SUMIFS('프로젝트(G)'!I:I, '프로젝트(G)'!C:C, $E$1, '프로젝트(G)'!G:G, B39, '프로젝트(G)'!W:W, B45, '프로젝트(G)'!U:U, $C$1),
    SUMIFS('협력사 EPC(H)'!I:I, '협력사 EPC(H)'!C:C, $E$1, '협력사 EPC(H)'!G:G, B39, '협력사 EPC(H)'!W:W, B45, '협력사 EPC(H)'!U:U, $C$1),
    SUMIFS('기타(Z)'!I:I, '기타(Z)'!C:C, $E$1, '기타(Z)'!G:G, B39, '기타(Z)'!W:W, B45, '기타(Z)'!U:U, $C$1)
  ) = 0,
  "",
  SUM(
    SUMIFS('발전사업(A)'!I:I, '발전사업(A)'!C:C, $E$1, '발전사업(A)'!G:G, B39, '발전사업(A)'!W:W, B45, '발전사업(A)'!U:U, $C$1),
    SUMIFS('자가소비(B)'!I:I, '자가소비(B)'!C:C, $E$1, '자가소비(B)'!G:G, B39, '자가소비(B)'!W:W, B45, '자가소비(B)'!U:U, $C$1),
    SUMIFS('PPA 사업(C)'!I:I, 'PPA 사업(C)'!C:C, $E$1, 'PPA 사업(C)'!G:G, B39, 'PPA 사업(C)'!W:W, B45, 'PPA 사업(C)'!U:U, $C$1),
    SUMIFS('리스사업(D)'!I:I, '리스사업(D)'!C:C, $E$1, '리스사업(D)'!G:G, B39, '리스사업(D)'!W:W, B45, '리스사업(D)'!U:U, $C$1),
    SUMIFS('임대사업(E)'!I:I, '임대사업(E)'!C:C, $E$1, '임대사업(E)'!G:G, B39, '임대사업(E)'!W:W, B45, '임대사업(E)'!U:U, $C$1),
    SUMIFS('환경부사업(F)'!I:I, '환경부사업(F)'!C:C, $E$1, '환경부사업(F)'!G:G, B39, '환경부사업(F)'!W:W, B45, '환경부사업(F)'!U:U, $C$1),
    SUMIFS('프로젝트(G)'!I:I, '프로젝트(G)'!C:C, $E$1, '프로젝트(G)'!G:G, B39, '프로젝트(G)'!W:W, B45, '프로젝트(G)'!U:U, $C$1),
    SUMIFS('협력사 EPC(H)'!I:I, '협력사 EPC(H)'!C:C, $E$1, '협력사 EPC(H)'!G:G, B39, '협력사 EPC(H)'!W:W, B45, '협력사 EPC(H)'!U:U, $C$1),
    SUMIFS('기타(Z)'!I:I, '기타(Z)'!C:C, $E$1, '기타(Z)'!G:G, B39, '기타(Z)'!W:W, B45, '기타(Z)'!U:U, $C$1)
  )
)</f>
        <v/>
      </c>
      <c r="F45" s="281" t="str">
        <f>IF(
  SUM(
    COUNTIFS('발전사업(A)'!C:C, $E$1, '발전사업(A)'!G:G, B39, '발전사업(A)'!W:W, B45, '발전사업(A)'!U:U, $C$1),
    COUNTIFS('자가소비(B)'!C:C, $E$1, '자가소비(B)'!G:G, B39, '자가소비(B)'!W:W, B45, '자가소비(B)'!U:U, $C$1),
    COUNTIFS('PPA 사업(C)'!C:C, $E$1, 'PPA 사업(C)'!G:G, B39, 'PPA 사업(C)'!W:W, B45, 'PPA 사업(C)'!U:U, $C$1),
    COUNTIFS('리스사업(D)'!C:C, $E$1, '리스사업(D)'!G:G, B39, '리스사업(D)'!W:W, B45, '리스사업(D)'!U:U, $C$1),
    COUNTIFS('임대사업(E)'!C:C, $E$1, '임대사업(E)'!G:G, B39, '임대사업(E)'!W:W, B45, '임대사업(E)'!U:U, $C$1),
    COUNTIFS('환경부사업(F)'!C:C, $E$1, '환경부사업(F)'!G:G, B39, '환경부사업(F)'!W:W, B45, '환경부사업(F)'!U:U, $C$1),
    COUNTIFS('프로젝트(G)'!C:C, $E$1, '프로젝트(G)'!G:G, B39, '프로젝트(G)'!W:W, B45, '프로젝트(G)'!U:U, $C$1),
    COUNTIFS('협력사 EPC(H)'!C:C, $E$1, '협력사 EPC(H)'!G:G, B39, '협력사 EPC(H)'!W:W, B45, '협력사 EPC(H)'!U:U, $C$1),
    COUNTIFS('기타(Z)'!C:C, $E$1, '기타(Z)'!G:G, B39, '기타(Z)'!W:W, B45, '기타(Z)'!U:U, $C$1)
  ) = 0,
  "",
  SUM(
    COUNTIFS('발전사업(A)'!C:C, $E$1, '발전사업(A)'!G:G, B39, '발전사업(A)'!W:W, B45, '발전사업(A)'!U:U, $C$1),
    COUNTIFS('자가소비(B)'!C:C, $E$1, '자가소비(B)'!G:G, B39, '자가소비(B)'!W:W, B45, '자가소비(B)'!U:U, $C$1),
    COUNTIFS('PPA 사업(C)'!C:C, $E$1, 'PPA 사업(C)'!G:G, B39, 'PPA 사업(C)'!W:W, B45, 'PPA 사업(C)'!U:U, $C$1),
    COUNTIFS('리스사업(D)'!C:C, $E$1, '리스사업(D)'!G:G, B39, '리스사업(D)'!W:W, B45, '리스사업(D)'!U:U, $C$1),
    COUNTIFS('임대사업(E)'!C:C, $E$1, '임대사업(E)'!G:G, B39, '임대사업(E)'!W:W, B45, '임대사업(E)'!U:U, $C$1),
    COUNTIFS('환경부사업(F)'!C:C, $E$1, '환경부사업(F)'!G:G, B39, '환경부사업(F)'!W:W, B45, '환경부사업(F)'!U:U, $C$1),
    COUNTIFS('프로젝트(G)'!C:C, $E$1, '프로젝트(G)'!G:G, B39, '프로젝트(G)'!W:W, B45, '프로젝트(G)'!U:U, $C$1),
    COUNTIFS('협력사 EPC(H)'!C:C, $E$1, '협력사 EPC(H)'!G:G, B39, '협력사 EPC(H)'!W:W, B45, '협력사 EPC(H)'!U:U, $C$1),
    COUNTIFS('기타(Z)'!C:C, $E$1, '기타(Z)'!G:G, B39, '기타(Z)'!W:W, B45, '기타(Z)'!U:U, $C$1)
  )
)</f>
        <v/>
      </c>
      <c r="G45" s="280" t="str">
        <f>IF(
  SUM(
    SUMIFS('발전사업(A)'!I:I, '발전사업(A)'!C:C, $E$1, '발전사업(A)'!G:G, B39, '발전사업(A)'!W:W, B45, '발전사업(A)'!U:U, $D$1),
    SUMIFS('자가소비(B)'!I:I, '자가소비(B)'!C:C, $E$1, '자가소비(B)'!G:G, B39, '자가소비(B)'!W:W, B45, '자가소비(B)'!U:U, $D$1),
    SUMIFS('PPA 사업(C)'!I:I, 'PPA 사업(C)'!C:C, $E$1, 'PPA 사업(C)'!G:G, B39, 'PPA 사업(C)'!W:W, B45, 'PPA 사업(C)'!U:U, $D$1),
    SUMIFS('리스사업(D)'!I:I, '리스사업(D)'!C:C, $E$1, '리스사업(D)'!G:G, B39, '리스사업(D)'!W:W, B45, '리스사업(D)'!U:U, $D$1),
    SUMIFS('임대사업(E)'!I:I, '임대사업(E)'!C:C, $E$1, '임대사업(E)'!G:G, B39, '임대사업(E)'!W:W, B45, '임대사업(E)'!U:U, $D$1),
    SUMIFS('환경부사업(F)'!I:I, '환경부사업(F)'!C:C, $E$1, '환경부사업(F)'!G:G, B39, '환경부사업(F)'!W:W, B45, '환경부사업(F)'!U:U, $D$1),
    SUMIFS('프로젝트(G)'!I:I, '프로젝트(G)'!C:C, $E$1, '프로젝트(G)'!G:G, B39, '프로젝트(G)'!W:W, B45, '프로젝트(G)'!U:U, $D$1),
    SUMIFS('협력사 EPC(H)'!I:I, '협력사 EPC(H)'!C:C, $E$1, '협력사 EPC(H)'!G:G, B39, '협력사 EPC(H)'!W:W, B45, '협력사 EPC(H)'!U:U, $D$1),
    SUMIFS('기타(Z)'!I:I, '기타(Z)'!C:C, $E$1, '기타(Z)'!G:G, B39, '기타(Z)'!W:W, B45, '기타(Z)'!U:U, $D$1)
  ) = 0,
  "",
  SUM(
    SUMIFS('발전사업(A)'!I:I, '발전사업(A)'!C:C, $E$1, '발전사업(A)'!G:G, B39, '발전사업(A)'!W:W, B45, '발전사업(A)'!U:U, $D$1),
    SUMIFS('자가소비(B)'!I:I, '자가소비(B)'!C:C, $E$1, '자가소비(B)'!G:G, B39, '자가소비(B)'!W:W, B45, '자가소비(B)'!U:U, $D$1),
    SUMIFS('PPA 사업(C)'!I:I, 'PPA 사업(C)'!C:C, $E$1, 'PPA 사업(C)'!G:G, B39, 'PPA 사업(C)'!W:W, B45, 'PPA 사업(C)'!U:U, $D$1),
    SUMIFS('리스사업(D)'!I:I, '리스사업(D)'!C:C, $E$1, '리스사업(D)'!G:G, B39, '리스사업(D)'!W:W, B45, '리스사업(D)'!U:U, $D$1),
    SUMIFS('임대사업(E)'!I:I, '임대사업(E)'!C:C, $E$1, '임대사업(E)'!G:G, B39, '임대사업(E)'!W:W, B45, '임대사업(E)'!U:U, $D$1),
    SUMIFS('환경부사업(F)'!I:I, '환경부사업(F)'!C:C, $E$1, '환경부사업(F)'!G:G, B39, '환경부사업(F)'!W:W, B45, '환경부사업(F)'!U:U, $D$1),
    SUMIFS('프로젝트(G)'!I:I, '프로젝트(G)'!C:C, $E$1, '프로젝트(G)'!G:G, B39, '프로젝트(G)'!W:W, B45, '프로젝트(G)'!U:U, $D$1),
    SUMIFS('협력사 EPC(H)'!I:I, '협력사 EPC(H)'!C:C, $E$1, '협력사 EPC(H)'!G:G, B39, '협력사 EPC(H)'!W:W, B45, '협력사 EPC(H)'!U:U, $D$1),
    SUMIFS('기타(Z)'!I:I, '기타(Z)'!C:C, $E$1, '기타(Z)'!G:G, B39, '기타(Z)'!W:W, B45, '기타(Z)'!U:U, $D$1)
  )
)</f>
        <v/>
      </c>
      <c r="H45" s="281" t="str">
        <f>IF(
  (
    COUNTIFS('발전사업(A)'!C:C, $E$1, '발전사업(A)'!G:G, B39, '발전사업(A)'!W:W, B45, '발전사업(A)'!U:U, $D$1)
    + COUNTIFS('자가소비(B)'!C:C, $E$1, '자가소비(B)'!G:G, B39, '자가소비(B)'!W:W, B45, '자가소비(B)'!U:U, $D$1)
    + COUNTIFS('PPA 사업(C)'!C:C, $E$1, 'PPA 사업(C)'!G:G, B39, 'PPA 사업(C)'!W:W, B45, 'PPA 사업(C)'!U:U, $D$1)
    + COUNTIFS('리스사업(D)'!C:C, $E$1, '리스사업(D)'!G:G, B39, '리스사업(D)'!W:W, B45, '리스사업(D)'!U:U, $D$1)
    + COUNTIFS('임대사업(E)'!C:C, $E$1, '임대사업(E)'!G:G, B39, '임대사업(E)'!W:W, B45, '임대사업(E)'!U:U, $D$1)
    + COUNTIFS('환경부사업(F)'!C:C, $E$1, '환경부사업(F)'!G:G, B39, '환경부사업(F)'!W:W, B45, '환경부사업(F)'!U:U, $D$1)
    + COUNTIFS('프로젝트(G)'!C:C, $E$1, '프로젝트(G)'!G:G, B39, '프로젝트(G)'!W:W, B45, '프로젝트(G)'!U:U, $D$1)
    + COUNTIFS('협력사 EPC(H)'!C:C, $E$1, '협력사 EPC(H)'!G:G, B39, '협력사 EPC(H)'!W:W, B45, '협력사 EPC(H)'!U:U, $D$1)
    + COUNTIFS('기타(Z)'!C:C, $E$1, '기타(Z)'!G:G, B39, '기타(Z)'!W:W, B45, '기타(Z)'!U:U, $D$1)
  ) = 0,
  "",
  COUNTIFS('발전사업(A)'!C:C, $E$1, '발전사업(A)'!G:G, B39, '발전사업(A)'!W:W, B45, '발전사업(A)'!U:U, $D$1)
  + COUNTIFS('자가소비(B)'!C:C, $E$1, '자가소비(B)'!G:G, B39, '자가소비(B)'!W:W, B45, '자가소비(B)'!U:U, $D$1)
  + COUNTIFS('PPA 사업(C)'!C:C, $E$1, 'PPA 사업(C)'!G:G, B39, 'PPA 사업(C)'!W:W, B45, 'PPA 사업(C)'!U:U, $D$1)
  + COUNTIFS('리스사업(D)'!C:C, $E$1, '리스사업(D)'!G:G, B39, '리스사업(D)'!W:W, B45, '리스사업(D)'!U:U, $D$1)
  + COUNTIFS('임대사업(E)'!C:C, $E$1, '임대사업(E)'!G:G, B39, '임대사업(E)'!W:W, B45, '임대사업(E)'!U:U, $D$1)
  + COUNTIFS('환경부사업(F)'!C:C, $E$1, '환경부사업(F)'!G:G, B39, '환경부사업(F)'!W:W, B45, '환경부사업(F)'!U:U, $D$1)
  + COUNTIFS('프로젝트(G)'!C:C, $E$1, '프로젝트(G)'!G:G, B39, '프로젝트(G)'!W:W, B45, '프로젝트(G)'!U:U, $D$1)
  + COUNTIFS('협력사 EPC(H)'!C:C, $E$1, '협력사 EPC(H)'!G:G, B39, '협력사 EPC(H)'!W:W, B45, '협력사 EPC(H)'!U:U, $D$1)
  + COUNTIFS('기타(Z)'!C:C, $E$1, '기타(Z)'!G:G, B39, '기타(Z)'!W:W, B45, '기타(Z)'!U:U, $D$1)
)</f>
        <v/>
      </c>
    </row>
    <row r="46" spans="2:8" x14ac:dyDescent="0.25">
      <c r="B46" s="202" t="s">
        <v>264</v>
      </c>
      <c r="C46" s="280" t="str">
        <f>IF(
  SUM(
    SUMIFS('발전사업(A)'!I:I, '발전사업(A)'!C:C, $E$1, '발전사업(A)'!G:G, B39, '발전사업(A)'!W:W, B46),
    SUMIFS('자가소비(B)'!I:I, '자가소비(B)'!C:C, $E$1, '자가소비(B)'!G:G, B39, '자가소비(B)'!W:W, B46),
    SUMIFS('PPA 사업(C)'!I:I, 'PPA 사업(C)'!C:C, $E$1, 'PPA 사업(C)'!G:G, B39, 'PPA 사업(C)'!W:W, B46),
    SUMIFS('리스사업(D)'!I:I, '리스사업(D)'!C:C, $E$1, '리스사업(D)'!G:G, B39, '리스사업(D)'!W:W, B46),
    SUMIFS('임대사업(E)'!I:I, '임대사업(E)'!C:C, $E$1, '임대사업(E)'!G:G, B39, '임대사업(E)'!W:W, B46),
    SUMIFS('환경부사업(F)'!I:I, '환경부사업(F)'!C:C, $E$1, '환경부사업(F)'!G:G, B39, '환경부사업(F)'!W:W, B46),
    SUMIFS('프로젝트(G)'!I:I, '프로젝트(G)'!C:C, $E$1, '프로젝트(G)'!G:G, B39, '프로젝트(G)'!W:W, B46),
    SUMIFS('협력사 EPC(H)'!I:I, '협력사 EPC(H)'!C:C, $E$1, '협력사 EPC(H)'!G:G, B39, '협력사 EPC(H)'!W:W, B46),
    SUMIFS('기타(Z)'!I:I, '기타(Z)'!C:C, $E$1, '기타(Z)'!G:G, B39, '기타(Z)'!W:W, B46)
  ) = 0,
  "",
  SUMIFS('발전사업(A)'!I:I, '발전사업(A)'!C:C, $E$1, '발전사업(A)'!G:G, B39, '발전사업(A)'!W:W, B46)
  + SUMIFS('자가소비(B)'!I:I, '자가소비(B)'!C:C, $E$1, '자가소비(B)'!G:G, B39, '자가소비(B)'!W:W, B46)
  + SUMIFS('PPA 사업(C)'!I:I, 'PPA 사업(C)'!C:C, $E$1, 'PPA 사업(C)'!G:G, B39, 'PPA 사업(C)'!W:W, B46)
  + SUMIFS('리스사업(D)'!I:I, '리스사업(D)'!C:C, $E$1, '리스사업(D)'!G:G, B39, '리스사업(D)'!W:W, B46)
  + SUMIFS('임대사업(E)'!I:I, '임대사업(E)'!C:C, $E$1, '임대사업(E)'!G:G, B39, '임대사업(E)'!W:W, B46)
  + SUMIFS('환경부사업(F)'!I:I, '환경부사업(F)'!C:C, $E$1, '환경부사업(F)'!G:G, B39, '환경부사업(F)'!W:W, B46)
  + SUMIFS('프로젝트(G)'!I:I, '프로젝트(G)'!C:C, $E$1, '프로젝트(G)'!G:G, B39, '프로젝트(G)'!W:W, B46)
  + SUMIFS('협력사 EPC(H)'!I:I, '협력사 EPC(H)'!C:C, $E$1, '협력사 EPC(H)'!G:G, B39, '협력사 EPC(H)'!W:W, B46)
  + SUMIFS('기타(Z)'!I:I, '기타(Z)'!C:C, $E$1, '기타(Z)'!G:G, B39, '기타(Z)'!W:W, B46)
)</f>
        <v/>
      </c>
      <c r="D46" s="281" t="str">
        <f>IF(
  COUNTIFS('발전사업(A)'!C:C, $E$1, '발전사업(A)'!G:G, B39, '발전사업(A)'!W:W, B46)
  + COUNTIFS('자가소비(B)'!C:C, $E$1, '자가소비(B)'!G:G, B39, '자가소비(B)'!W:W, B46)
  + COUNTIFS('PPA 사업(C)'!C:C, $E$1, 'PPA 사업(C)'!G:G, B39, 'PPA 사업(C)'!W:W, B46)
  + COUNTIFS('리스사업(D)'!C:C, $E$1, '리스사업(D)'!G:G, B39, '리스사업(D)'!W:W, B46)
  + COUNTIFS('임대사업(E)'!C:C, $E$1, '임대사업(E)'!G:G, B39, '임대사업(E)'!W:W, B46)
  + COUNTIFS('환경부사업(F)'!C:C, $E$1, '환경부사업(F)'!G:G, B39, '환경부사업(F)'!W:W, B46)
  + COUNTIFS('프로젝트(G)'!C:C, $E$1, '프로젝트(G)'!G:G, B39, '프로젝트(G)'!W:W, B46)
  + COUNTIFS('협력사 EPC(H)'!C:C, $E$1, '협력사 EPC(H)'!G:G, B39, '협력사 EPC(H)'!W:W, B46)
  + COUNTIFS('기타(Z)'!C:C, $E$1, '기타(Z)'!G:G, B39, '기타(Z)'!W:W, B46)
  = 0,
  "",
  COUNTIFS('발전사업(A)'!C:C, $E$1, '발전사업(A)'!G:G, B39, '발전사업(A)'!W:W, B46)
  + COUNTIFS('자가소비(B)'!C:C, $E$1, '자가소비(B)'!G:G, B39, '자가소비(B)'!W:W, B46)
  + COUNTIFS('PPA 사업(C)'!C:C, $E$1, 'PPA 사업(C)'!G:G, B39, 'PPA 사업(C)'!W:W, B46)
  + COUNTIFS('리스사업(D)'!C:C, $E$1, '리스사업(D)'!G:G, B39, '리스사업(D)'!W:W, B46)
  + COUNTIFS('임대사업(E)'!C:C, $E$1, '임대사업(E)'!G:G, B39, '임대사업(E)'!W:W, B46)
  + COUNTIFS('환경부사업(F)'!C:C, $E$1, '환경부사업(F)'!G:G, B39, '환경부사업(F)'!W:W, B46)
  + COUNTIFS('프로젝트(G)'!C:C, $E$1, '프로젝트(G)'!G:G, B39, '프로젝트(G)'!W:W, B46)
  + COUNTIFS('협력사 EPC(H)'!C:C, $E$1, '협력사 EPC(H)'!G:G, B39, '협력사 EPC(H)'!W:W, B46)
  + COUNTIFS('기타(Z)'!C:C, $E$1, '기타(Z)'!G:G, B39, '기타(Z)'!W:W, B46)
)</f>
        <v/>
      </c>
      <c r="E46" s="280" t="str">
        <f>IF(
  SUM(
    SUMIFS('발전사업(A)'!I:I, '발전사업(A)'!C:C, $E$1, '발전사업(A)'!G:G, B39, '발전사업(A)'!W:W, B46, '발전사업(A)'!U:U, $C$1),
    SUMIFS('자가소비(B)'!I:I, '자가소비(B)'!C:C, $E$1, '자가소비(B)'!G:G, B39, '자가소비(B)'!W:W, B46, '자가소비(B)'!U:U, $C$1),
    SUMIFS('PPA 사업(C)'!I:I, 'PPA 사업(C)'!C:C, $E$1, 'PPA 사업(C)'!G:G, B39, 'PPA 사업(C)'!W:W, B46, 'PPA 사업(C)'!U:U, $C$1),
    SUMIFS('리스사업(D)'!I:I, '리스사업(D)'!C:C, $E$1, '리스사업(D)'!G:G, B39, '리스사업(D)'!W:W, B46, '리스사업(D)'!U:U, $C$1),
    SUMIFS('임대사업(E)'!I:I, '임대사업(E)'!C:C, $E$1, '임대사업(E)'!G:G, B39, '임대사업(E)'!W:W, B46, '임대사업(E)'!U:U, $C$1),
    SUMIFS('환경부사업(F)'!I:I, '환경부사업(F)'!C:C, $E$1, '환경부사업(F)'!G:G, B39, '환경부사업(F)'!W:W, B46, '환경부사업(F)'!U:U, $C$1),
    SUMIFS('프로젝트(G)'!I:I, '프로젝트(G)'!C:C, $E$1, '프로젝트(G)'!G:G, B39, '프로젝트(G)'!W:W, B46, '프로젝트(G)'!U:U, $C$1),
    SUMIFS('협력사 EPC(H)'!I:I, '협력사 EPC(H)'!C:C, $E$1, '협력사 EPC(H)'!G:G, B39, '협력사 EPC(H)'!W:W, B46, '협력사 EPC(H)'!U:U, $C$1),
    SUMIFS('기타(Z)'!I:I, '기타(Z)'!C:C, $E$1, '기타(Z)'!G:G, B39, '기타(Z)'!W:W, B46, '기타(Z)'!U:U, $C$1)
  ) = 0,
  "",
  SUM(
    SUMIFS('발전사업(A)'!I:I, '발전사업(A)'!C:C, $E$1, '발전사업(A)'!G:G, B39, '발전사업(A)'!W:W, B46, '발전사업(A)'!U:U, $C$1),
    SUMIFS('자가소비(B)'!I:I, '자가소비(B)'!C:C, $E$1, '자가소비(B)'!G:G, B39, '자가소비(B)'!W:W, B46, '자가소비(B)'!U:U, $C$1),
    SUMIFS('PPA 사업(C)'!I:I, 'PPA 사업(C)'!C:C, $E$1, 'PPA 사업(C)'!G:G, B39, 'PPA 사업(C)'!W:W, B46, 'PPA 사업(C)'!U:U, $C$1),
    SUMIFS('리스사업(D)'!I:I, '리스사업(D)'!C:C, $E$1, '리스사업(D)'!G:G, B39, '리스사업(D)'!W:W, B46, '리스사업(D)'!U:U, $C$1),
    SUMIFS('임대사업(E)'!I:I, '임대사업(E)'!C:C, $E$1, '임대사업(E)'!G:G, B39, '임대사업(E)'!W:W, B46, '임대사업(E)'!U:U, $C$1),
    SUMIFS('환경부사업(F)'!I:I, '환경부사업(F)'!C:C, $E$1, '환경부사업(F)'!G:G, B39, '환경부사업(F)'!W:W, B46, '환경부사업(F)'!U:U, $C$1),
    SUMIFS('프로젝트(G)'!I:I, '프로젝트(G)'!C:C, $E$1, '프로젝트(G)'!G:G, B39, '프로젝트(G)'!W:W, B46, '프로젝트(G)'!U:U, $C$1),
    SUMIFS('협력사 EPC(H)'!I:I, '협력사 EPC(H)'!C:C, $E$1, '협력사 EPC(H)'!G:G, B39, '협력사 EPC(H)'!W:W, B46, '협력사 EPC(H)'!U:U, $C$1),
    SUMIFS('기타(Z)'!I:I, '기타(Z)'!C:C, $E$1, '기타(Z)'!G:G, B39, '기타(Z)'!W:W, B46, '기타(Z)'!U:U, $C$1)
  )
)</f>
        <v/>
      </c>
      <c r="F46" s="281" t="str">
        <f>IF(
  SUM(
    COUNTIFS('발전사업(A)'!C:C, $E$1, '발전사업(A)'!G:G, B39, '발전사업(A)'!W:W, B46, '발전사업(A)'!U:U, $C$1),
    COUNTIFS('자가소비(B)'!C:C, $E$1, '자가소비(B)'!G:G, B39, '자가소비(B)'!W:W, B46, '자가소비(B)'!U:U, $C$1),
    COUNTIFS('PPA 사업(C)'!C:C, $E$1, 'PPA 사업(C)'!G:G, B39, 'PPA 사업(C)'!W:W, B46, 'PPA 사업(C)'!U:U, $C$1),
    COUNTIFS('리스사업(D)'!C:C, $E$1, '리스사업(D)'!G:G, B39, '리스사업(D)'!W:W, B46, '리스사업(D)'!U:U, $C$1),
    COUNTIFS('임대사업(E)'!C:C, $E$1, '임대사업(E)'!G:G, B39, '임대사업(E)'!W:W, B46, '임대사업(E)'!U:U, $C$1),
    COUNTIFS('환경부사업(F)'!C:C, $E$1, '환경부사업(F)'!G:G, B39, '환경부사업(F)'!W:W, B46, '환경부사업(F)'!U:U, $C$1),
    COUNTIFS('프로젝트(G)'!C:C, $E$1, '프로젝트(G)'!G:G, B39, '프로젝트(G)'!W:W, B46, '프로젝트(G)'!U:U, $C$1),
    COUNTIFS('협력사 EPC(H)'!C:C, $E$1, '협력사 EPC(H)'!G:G, B39, '협력사 EPC(H)'!W:W, B46, '협력사 EPC(H)'!U:U, $C$1),
    COUNTIFS('기타(Z)'!C:C, $E$1, '기타(Z)'!G:G, B39, '기타(Z)'!W:W, B46, '기타(Z)'!U:U, $C$1)
  ) = 0,
  "",
  SUM(
    COUNTIFS('발전사업(A)'!C:C, $E$1, '발전사업(A)'!G:G, B39, '발전사업(A)'!W:W, B46, '발전사업(A)'!U:U, $C$1),
    COUNTIFS('자가소비(B)'!C:C, $E$1, '자가소비(B)'!G:G, B39, '자가소비(B)'!W:W, B46, '자가소비(B)'!U:U, $C$1),
    COUNTIFS('PPA 사업(C)'!C:C, $E$1, 'PPA 사업(C)'!G:G, B39, 'PPA 사업(C)'!W:W, B46, 'PPA 사업(C)'!U:U, $C$1),
    COUNTIFS('리스사업(D)'!C:C, $E$1, '리스사업(D)'!G:G, B39, '리스사업(D)'!W:W, B46, '리스사업(D)'!U:U, $C$1),
    COUNTIFS('임대사업(E)'!C:C, $E$1, '임대사업(E)'!G:G, B39, '임대사업(E)'!W:W, B46, '임대사업(E)'!U:U, $C$1),
    COUNTIFS('환경부사업(F)'!C:C, $E$1, '환경부사업(F)'!G:G, B39, '환경부사업(F)'!W:W, B46, '환경부사업(F)'!U:U, $C$1),
    COUNTIFS('프로젝트(G)'!C:C, $E$1, '프로젝트(G)'!G:G, B39, '프로젝트(G)'!W:W, B46, '프로젝트(G)'!U:U, $C$1),
    COUNTIFS('협력사 EPC(H)'!C:C, $E$1, '협력사 EPC(H)'!G:G, B39, '협력사 EPC(H)'!W:W, B46, '협력사 EPC(H)'!U:U, $C$1),
    COUNTIFS('기타(Z)'!C:C, $E$1, '기타(Z)'!G:G, B39, '기타(Z)'!W:W, B46, '기타(Z)'!U:U, $C$1)
  )
)</f>
        <v/>
      </c>
      <c r="G46" s="280" t="str">
        <f>IF(
  SUM(
    SUMIFS('발전사업(A)'!I:I, '발전사업(A)'!C:C, $E$1, '발전사업(A)'!G:G, B39, '발전사업(A)'!W:W, B46, '발전사업(A)'!U:U, $D$1),
    SUMIFS('자가소비(B)'!I:I, '자가소비(B)'!C:C, $E$1, '자가소비(B)'!G:G, B39, '자가소비(B)'!W:W, B46, '자가소비(B)'!U:U, $D$1),
    SUMIFS('PPA 사업(C)'!I:I, 'PPA 사업(C)'!C:C, $E$1, 'PPA 사업(C)'!G:G, B39, 'PPA 사업(C)'!W:W, B46, 'PPA 사업(C)'!U:U, $D$1),
    SUMIFS('리스사업(D)'!I:I, '리스사업(D)'!C:C, $E$1, '리스사업(D)'!G:G, B39, '리스사업(D)'!W:W, B46, '리스사업(D)'!U:U, $D$1),
    SUMIFS('임대사업(E)'!I:I, '임대사업(E)'!C:C, $E$1, '임대사업(E)'!G:G, B39, '임대사업(E)'!W:W, B46, '임대사업(E)'!U:U, $D$1),
    SUMIFS('환경부사업(F)'!I:I, '환경부사업(F)'!C:C, $E$1, '환경부사업(F)'!G:G, B39, '환경부사업(F)'!W:W, B46, '환경부사업(F)'!U:U, $D$1),
    SUMIFS('프로젝트(G)'!I:I, '프로젝트(G)'!C:C, $E$1, '프로젝트(G)'!G:G, B39, '프로젝트(G)'!W:W, B46, '프로젝트(G)'!U:U, $D$1),
    SUMIFS('협력사 EPC(H)'!I:I, '협력사 EPC(H)'!C:C, $E$1, '협력사 EPC(H)'!G:G, B39, '협력사 EPC(H)'!W:W, B46, '협력사 EPC(H)'!U:U, $D$1),
    SUMIFS('기타(Z)'!I:I, '기타(Z)'!C:C, $E$1, '기타(Z)'!G:G, B39, '기타(Z)'!W:W, B46, '기타(Z)'!U:U, $D$1)
  ) = 0,
  "",
  SUM(
    SUMIFS('발전사업(A)'!I:I, '발전사업(A)'!C:C, $E$1, '발전사업(A)'!G:G, B39, '발전사업(A)'!W:W, B46, '발전사업(A)'!U:U, $D$1),
    SUMIFS('자가소비(B)'!I:I, '자가소비(B)'!C:C, $E$1, '자가소비(B)'!G:G, B39, '자가소비(B)'!W:W, B46, '자가소비(B)'!U:U, $D$1),
    SUMIFS('PPA 사업(C)'!I:I, 'PPA 사업(C)'!C:C, $E$1, 'PPA 사업(C)'!G:G, B39, 'PPA 사업(C)'!W:W, B46, 'PPA 사업(C)'!U:U, $D$1),
    SUMIFS('리스사업(D)'!I:I, '리스사업(D)'!C:C, $E$1, '리스사업(D)'!G:G, B39, '리스사업(D)'!W:W, B46, '리스사업(D)'!U:U, $D$1),
    SUMIFS('임대사업(E)'!I:I, '임대사업(E)'!C:C, $E$1, '임대사업(E)'!G:G, B39, '임대사업(E)'!W:W, B46, '임대사업(E)'!U:U, $D$1),
    SUMIFS('환경부사업(F)'!I:I, '환경부사업(F)'!C:C, $E$1, '환경부사업(F)'!G:G, B39, '환경부사업(F)'!W:W, B46, '환경부사업(F)'!U:U, $D$1),
    SUMIFS('프로젝트(G)'!I:I, '프로젝트(G)'!C:C, $E$1, '프로젝트(G)'!G:G, B39, '프로젝트(G)'!W:W, B46, '프로젝트(G)'!U:U, $D$1),
    SUMIFS('협력사 EPC(H)'!I:I, '협력사 EPC(H)'!C:C, $E$1, '협력사 EPC(H)'!G:G, B39, '협력사 EPC(H)'!W:W, B46, '협력사 EPC(H)'!U:U, $D$1),
    SUMIFS('기타(Z)'!I:I, '기타(Z)'!C:C, $E$1, '기타(Z)'!G:G, B39, '기타(Z)'!W:W, B46, '기타(Z)'!U:U, $D$1)
  )
)</f>
        <v/>
      </c>
      <c r="H46" s="281" t="str">
        <f>IF(
  (
    COUNTIFS('발전사업(A)'!C:C, $E$1, '발전사업(A)'!G:G, B39, '발전사업(A)'!W:W, B46, '발전사업(A)'!U:U, $D$1)
    + COUNTIFS('자가소비(B)'!C:C, $E$1, '자가소비(B)'!G:G, B39, '자가소비(B)'!W:W, B46, '자가소비(B)'!U:U, $D$1)
    + COUNTIFS('PPA 사업(C)'!C:C, $E$1, 'PPA 사업(C)'!G:G, B39, 'PPA 사업(C)'!W:W, B46, 'PPA 사업(C)'!U:U, $D$1)
    + COUNTIFS('리스사업(D)'!C:C, $E$1, '리스사업(D)'!G:G, B39, '리스사업(D)'!W:W, B46, '리스사업(D)'!U:U, $D$1)
    + COUNTIFS('임대사업(E)'!C:C, $E$1, '임대사업(E)'!G:G, B39, '임대사업(E)'!W:W, B46, '임대사업(E)'!U:U, $D$1)
    + COUNTIFS('환경부사업(F)'!C:C, $E$1, '환경부사업(F)'!G:G, B39, '환경부사업(F)'!W:W, B46, '환경부사업(F)'!U:U, $D$1)
    + COUNTIFS('프로젝트(G)'!C:C, $E$1, '프로젝트(G)'!G:G, B39, '프로젝트(G)'!W:W, B46, '프로젝트(G)'!U:U, $D$1)
    + COUNTIFS('협력사 EPC(H)'!C:C, $E$1, '협력사 EPC(H)'!G:G, B39, '협력사 EPC(H)'!W:W, B46, '협력사 EPC(H)'!U:U, $D$1)
    + COUNTIFS('기타(Z)'!C:C, $E$1, '기타(Z)'!G:G, $B39, '기타(Z)'!W:W, B46, '기타(Z)'!U:U, $D$1)
  ) = 0,
  "",
  COUNTIFS('발전사업(A)'!C:C, $E$1, '발전사업(A)'!G:G, B39, '발전사업(A)'!W:W, B46, '발전사업(A)'!U:U, $D$1)
  + COUNTIFS('자가소비(B)'!C:C, $E$1, '자가소비(B)'!G:G, B39, '자가소비(B)'!W:W, B46, '자가소비(B)'!U:U, $D$1)
  + COUNTIFS('PPA 사업(C)'!C:C, $E$1, 'PPA 사업(C)'!G:G, B39, 'PPA 사업(C)'!W:W, B46, 'PPA 사업(C)'!U:U, $D$1)
  + COUNTIFS('리스사업(D)'!C:C, $E$1, '리스사업(D)'!G:G, B39, '리스사업(D)'!W:W, B46, '리스사업(D)'!U:U, $D$1)
  + COUNTIFS('임대사업(E)'!C:C, $E$1, '임대사업(E)'!G:G, B39, '임대사업(E)'!W:W, B46, '임대사업(E)'!U:U, $D$1)
  + COUNTIFS('환경부사업(F)'!C:C, $E$1, '환경부사업(F)'!G:G, B39, '환경부사업(F)'!W:W, B46, '환경부사업(F)'!U:U, $D$1)
  + COUNTIFS('프로젝트(G)'!C:C, $E$1, '프로젝트(G)'!G:G, B39, '프로젝트(G)'!W:W, B46, '프로젝트(G)'!U:U, $D$1)
  + COUNTIFS('협력사 EPC(H)'!C:C, $E$1, '협력사 EPC(H)'!G:G, B39, '협력사 EPC(H)'!W:W, B46, '협력사 EPC(H)'!U:U, $D$1)
  + COUNTIFS('기타(Z)'!C:C, $E$1, '기타(Z)'!G:G, B39, '기타(Z)'!W:W, B46, '기타(Z)'!U:U, $D$1)
)</f>
        <v/>
      </c>
    </row>
    <row r="47" spans="2:8" x14ac:dyDescent="0.25">
      <c r="B47" s="202" t="s">
        <v>265</v>
      </c>
      <c r="C47" s="280" t="str">
        <f>IF(
  SUM(
    SUMIFS('발전사업(A)'!I:I, '발전사업(A)'!C:C, $E$1, '발전사업(A)'!G:G, B39, '발전사업(A)'!W:W, B47),
    SUMIFS('자가소비(B)'!I:I, '자가소비(B)'!C:C, $E$1, '자가소비(B)'!G:G, B39, '자가소비(B)'!W:W, B47),
    SUMIFS('PPA 사업(C)'!I:I, 'PPA 사업(C)'!C:C, $E$1, 'PPA 사업(C)'!G:G, B39, 'PPA 사업(C)'!W:W, B47),
    SUMIFS('리스사업(D)'!I:I, '리스사업(D)'!C:C, $E$1, '리스사업(D)'!G:G, B39, '리스사업(D)'!W:W, B47),
    SUMIFS('임대사업(E)'!I:I, '임대사업(E)'!C:C, $E$1, '임대사업(E)'!G:G, B39, '임대사업(E)'!W:W, B47),
    SUMIFS('환경부사업(F)'!I:I, '환경부사업(F)'!C:C, $E$1, '환경부사업(F)'!G:G, B39, '환경부사업(F)'!W:W, B47),
    SUMIFS('프로젝트(G)'!I:I, '프로젝트(G)'!C:C, $E$1, '프로젝트(G)'!G:G, B39, '프로젝트(G)'!W:W, B47),
    SUMIFS('협력사 EPC(H)'!I:I, '협력사 EPC(H)'!C:C, $E$1, '협력사 EPC(H)'!G:G, B39, '협력사 EPC(H)'!W:W, B47),
    SUMIFS('기타(Z)'!I:I, '기타(Z)'!C:C, $E$1, '기타(Z)'!G:G, B39, '기타(Z)'!W:W, B47)
  ) = 0,
  "",
  SUMIFS('발전사업(A)'!I:I, '발전사업(A)'!C:C, $E$1, '발전사업(A)'!G:G, B39, '발전사업(A)'!W:W, B47)
  + SUMIFS('자가소비(B)'!I:I, '자가소비(B)'!C:C, $E$1, '자가소비(B)'!G:G, B39, '자가소비(B)'!W:W, B47)
  + SUMIFS('PPA 사업(C)'!I:I, 'PPA 사업(C)'!C:C, $E$1, 'PPA 사업(C)'!G:G, B39, 'PPA 사업(C)'!W:W, B47)
  + SUMIFS('리스사업(D)'!I:I, '리스사업(D)'!C:C, $E$1, '리스사업(D)'!G:G, B39, '리스사업(D)'!W:W, B47)
  + SUMIFS('임대사업(E)'!I:I, '임대사업(E)'!C:C, $E$1, '임대사업(E)'!G:G, B39, '임대사업(E)'!W:W, B47)
  + SUMIFS('환경부사업(F)'!I:I, '환경부사업(F)'!C:C, $E$1, '환경부사업(F)'!G:G, B39, '환경부사업(F)'!W:W, B47)
  + SUMIFS('프로젝트(G)'!I:I, '프로젝트(G)'!C:C, $E$1, '프로젝트(G)'!G:G, B39, '프로젝트(G)'!W:W, B47)
  + SUMIFS('협력사 EPC(H)'!I:I, '협력사 EPC(H)'!C:C, $E$1, '협력사 EPC(H)'!G:G, B39, '협력사 EPC(H)'!W:W, B47)
  + SUMIFS('기타(Z)'!I:I, '기타(Z)'!C:C, $E$1, '기타(Z)'!G:G, B39, '기타(Z)'!W:W, B47)
)</f>
        <v/>
      </c>
      <c r="D47" s="281" t="str">
        <f>IF(
  COUNTIFS('발전사업(A)'!C:C, $E$1, '발전사업(A)'!G:G, B39, '발전사업(A)'!W:W, B47)
  + COUNTIFS('자가소비(B)'!C:C, $E$1, '자가소비(B)'!G:G, B39, '자가소비(B)'!W:W, B47)
  + COUNTIFS('PPA 사업(C)'!C:C, $E$1, 'PPA 사업(C)'!G:G, B39, 'PPA 사업(C)'!W:W, B47)
  + COUNTIFS('리스사업(D)'!C:C, $E$1, '리스사업(D)'!G:G, B39, '리스사업(D)'!W:W, B47)
  + COUNTIFS('임대사업(E)'!C:C, $E$1, '임대사업(E)'!G:G, B39, '임대사업(E)'!W:W, B47)
  + COUNTIFS('환경부사업(F)'!C:C, $E$1, '환경부사업(F)'!G:G, B39, '환경부사업(F)'!W:W, B47)
  + COUNTIFS('프로젝트(G)'!C:C, $E$1, '프로젝트(G)'!G:G, B39, '프로젝트(G)'!W:W, B47)
  + COUNTIFS('협력사 EPC(H)'!C:C, $E$1, '협력사 EPC(H)'!G:G, B39, '협력사 EPC(H)'!W:W, B47)
  + COUNTIFS('기타(Z)'!C:C, $E$1, '기타(Z)'!G:G, B39, '기타(Z)'!W:W, B47)
  = 0,
  "",
  COUNTIFS('발전사업(A)'!C:C, $E$1, '발전사업(A)'!G:G, B39, '발전사업(A)'!W:W, B47)
  + COUNTIFS('자가소비(B)'!C:C, $E$1, '자가소비(B)'!G:G, B39, '자가소비(B)'!W:W, B47)
  + COUNTIFS('PPA 사업(C)'!C:C, $E$1, 'PPA 사업(C)'!G:G, B39, 'PPA 사업(C)'!W:W, B47)
  + COUNTIFS('리스사업(D)'!C:C, $E$1, '리스사업(D)'!G:G, B39, '리스사업(D)'!W:W, B47)
  + COUNTIFS('임대사업(E)'!C:C, $E$1, '임대사업(E)'!G:G, B39, '임대사업(E)'!W:W, B47)
  + COUNTIFS('환경부사업(F)'!C:C, $E$1, '환경부사업(F)'!G:G, B39, '환경부사업(F)'!W:W, B47)
  + COUNTIFS('프로젝트(G)'!C:C, $E$1, '프로젝트(G)'!G:G, B39, '프로젝트(G)'!W:W, B47)
  + COUNTIFS('협력사 EPC(H)'!C:C, $E$1, '협력사 EPC(H)'!G:G, B39, '협력사 EPC(H)'!W:W, B47)
  + COUNTIFS('기타(Z)'!C:C, $E$1, '기타(Z)'!G:G, B39, '기타(Z)'!W:W, B47)
)</f>
        <v/>
      </c>
      <c r="E47" s="280" t="str">
        <f>IF(
  SUM(
    SUMIFS('발전사업(A)'!I:I, '발전사업(A)'!C:C, $E$1, '발전사업(A)'!G:G, B39, '발전사업(A)'!W:W, B47, '발전사업(A)'!U:U, $C$1),
    SUMIFS('자가소비(B)'!I:I, '자가소비(B)'!C:C, $E$1, '자가소비(B)'!G:G, B39, '자가소비(B)'!W:W, B47, '자가소비(B)'!U:U, $C$1),
    SUMIFS('PPA 사업(C)'!I:I, 'PPA 사업(C)'!C:C, $E$1, 'PPA 사업(C)'!G:G, B39, 'PPA 사업(C)'!W:W, B47, 'PPA 사업(C)'!U:U, $C$1),
    SUMIFS('리스사업(D)'!I:I, '리스사업(D)'!C:C, $E$1, '리스사업(D)'!G:G, B39, '리스사업(D)'!W:W, B47, '리스사업(D)'!U:U, $C$1),
    SUMIFS('임대사업(E)'!I:I, '임대사업(E)'!C:C, $E$1, '임대사업(E)'!G:G, B39, '임대사업(E)'!W:W, B47, '임대사업(E)'!U:U, $C$1),
    SUMIFS('환경부사업(F)'!I:I, '환경부사업(F)'!C:C, $E$1, '환경부사업(F)'!G:G, B39, '환경부사업(F)'!W:W, B47, '환경부사업(F)'!U:U, $C$1),
    SUMIFS('프로젝트(G)'!I:I, '프로젝트(G)'!C:C, $E$1, '프로젝트(G)'!G:G, B39, '프로젝트(G)'!W:W, B47, '프로젝트(G)'!U:U, $C$1),
    SUMIFS('협력사 EPC(H)'!I:I, '협력사 EPC(H)'!C:C, $E$1, '협력사 EPC(H)'!G:G, B39, '협력사 EPC(H)'!W:W, B47, '협력사 EPC(H)'!U:U, $C$1),
    SUMIFS('기타(Z)'!I:I, '기타(Z)'!C:C, $E$1, '기타(Z)'!G:G, B39, '기타(Z)'!W:W, B47, '기타(Z)'!U:U, $C$1)
  ) = 0,
  "",
  SUM(
    SUMIFS('발전사업(A)'!I:I, '발전사업(A)'!C:C, $E$1, '발전사업(A)'!G:G, B39, '발전사업(A)'!W:W, B47, '발전사업(A)'!U:U, $C$1),
    SUMIFS('자가소비(B)'!I:I, '자가소비(B)'!C:C, $E$1, '자가소비(B)'!G:G, B39, '자가소비(B)'!W:W, B47, '자가소비(B)'!U:U, $C$1),
    SUMIFS('PPA 사업(C)'!I:I, 'PPA 사업(C)'!C:C, $E$1, 'PPA 사업(C)'!G:G, B39, 'PPA 사업(C)'!W:W, B47, 'PPA 사업(C)'!U:U, $C$1),
    SUMIFS('리스사업(D)'!I:I, '리스사업(D)'!C:C, $E$1, '리스사업(D)'!G:G, B39, '리스사업(D)'!W:W, B47, '리스사업(D)'!U:U, $C$1),
    SUMIFS('임대사업(E)'!I:I, '임대사업(E)'!C:C, $E$1, '임대사업(E)'!G:G, B39, '임대사업(E)'!W:W, B47, '임대사업(E)'!U:U, $C$1),
    SUMIFS('환경부사업(F)'!I:I, '환경부사업(F)'!C:C, $E$1, '환경부사업(F)'!G:G, B39, '환경부사업(F)'!W:W, B47, '환경부사업(F)'!U:U, $C$1),
    SUMIFS('프로젝트(G)'!I:I, '프로젝트(G)'!C:C, $E$1, '프로젝트(G)'!G:G, B39, '프로젝트(G)'!W:W, B47, '프로젝트(G)'!U:U, $C$1),
    SUMIFS('협력사 EPC(H)'!I:I, '협력사 EPC(H)'!C:C, $E$1, '협력사 EPC(H)'!G:G, B39, '협력사 EPC(H)'!W:W, B47, '협력사 EPC(H)'!U:U, $C$1),
    SUMIFS('기타(Z)'!I:I, '기타(Z)'!C:C, $E$1, '기타(Z)'!G:G, B39, '기타(Z)'!W:W, B47, '기타(Z)'!U:U, $C$1)
  )
)</f>
        <v/>
      </c>
      <c r="F47" s="281" t="str">
        <f>IF(
  SUM(
    COUNTIFS('발전사업(A)'!C:C, $E$1, '발전사업(A)'!G:G, B39, '발전사업(A)'!W:W, B47, '발전사업(A)'!U:U, $C$1),
    COUNTIFS('자가소비(B)'!C:C, $E$1, '자가소비(B)'!G:G, B39, '자가소비(B)'!W:W, B47, '자가소비(B)'!U:U, $C$1),
    COUNTIFS('PPA 사업(C)'!C:C, $E$1, 'PPA 사업(C)'!G:G, B39, 'PPA 사업(C)'!W:W, B47, 'PPA 사업(C)'!U:U, $C$1),
    COUNTIFS('리스사업(D)'!C:C, $E$1, '리스사업(D)'!G:G, B39, '리스사업(D)'!W:W, B47, '리스사업(D)'!U:U, $C$1),
    COUNTIFS('임대사업(E)'!C:C, $E$1, '임대사업(E)'!G:G, B39, '임대사업(E)'!W:W, B47, '임대사업(E)'!U:U, $C$1),
    COUNTIFS('환경부사업(F)'!C:C, $E$1, '환경부사업(F)'!G:G, B39, '환경부사업(F)'!W:W, B47, '환경부사업(F)'!U:U, $C$1),
    COUNTIFS('프로젝트(G)'!C:C, $E$1, '프로젝트(G)'!G:G, B39, '프로젝트(G)'!W:W, B47, '프로젝트(G)'!U:U, $C$1),
    COUNTIFS('협력사 EPC(H)'!C:C, $E$1, '협력사 EPC(H)'!G:G, B39, '협력사 EPC(H)'!W:W, B47, '협력사 EPC(H)'!U:U, $C$1),
    COUNTIFS('기타(Z)'!C:C, $E$1, '기타(Z)'!G:G, B39, '기타(Z)'!W:W, B47, '기타(Z)'!U:U, $C$1)
  ) = 0,
  "",
  SUM(
    COUNTIFS('발전사업(A)'!C:C, $E$1, '발전사업(A)'!G:G, B39, '발전사업(A)'!W:W, B47, '발전사업(A)'!U:U, $C$1),
    COUNTIFS('자가소비(B)'!C:C, $E$1, '자가소비(B)'!G:G, B39, '자가소비(B)'!W:W, B47, '자가소비(B)'!U:U, $C$1),
    COUNTIFS('PPA 사업(C)'!C:C, $E$1, 'PPA 사업(C)'!G:G, B39, 'PPA 사업(C)'!W:W, B47, 'PPA 사업(C)'!U:U, $C$1),
    COUNTIFS('리스사업(D)'!C:C, $E$1, '리스사업(D)'!G:G, B39, '리스사업(D)'!W:W, B47, '리스사업(D)'!U:U, $C$1),
    COUNTIFS('임대사업(E)'!C:C, $E$1, '임대사업(E)'!G:G, B39, '임대사업(E)'!W:W, B47, '임대사업(E)'!U:U, $C$1),
    COUNTIFS('환경부사업(F)'!C:C, $E$1, '환경부사업(F)'!G:G, B39, '환경부사업(F)'!W:W, B47, '환경부사업(F)'!U:U, $C$1),
    COUNTIFS('프로젝트(G)'!C:C, $E$1, '프로젝트(G)'!G:G, B39, '프로젝트(G)'!W:W, B47, '프로젝트(G)'!U:U, $C$1),
    COUNTIFS('협력사 EPC(H)'!C:C, $E$1, '협력사 EPC(H)'!G:G, B39, '협력사 EPC(H)'!W:W, B47, '협력사 EPC(H)'!U:U, $C$1),
    COUNTIFS('기타(Z)'!C:C, $E$1, '기타(Z)'!G:G, B39, '기타(Z)'!W:W, B47, '기타(Z)'!U:U, $C$1)
  )
)</f>
        <v/>
      </c>
      <c r="G47" s="280" t="str">
        <f>IF(
  SUM(
    SUMIFS('발전사업(A)'!I:I, '발전사업(A)'!C:C, $E$1, '발전사업(A)'!G:G, B39, '발전사업(A)'!W:W, B47, '발전사업(A)'!U:U, $D$1),
    SUMIFS('자가소비(B)'!I:I, '자가소비(B)'!C:C, $E$1, '자가소비(B)'!G:G, B39, '자가소비(B)'!W:W, B47, '자가소비(B)'!U:U, $D$1),
    SUMIFS('PPA 사업(C)'!I:I, 'PPA 사업(C)'!C:C, $E$1, 'PPA 사업(C)'!G:G, B39, 'PPA 사업(C)'!W:W, B47, 'PPA 사업(C)'!U:U, $D$1),
    SUMIFS('리스사업(D)'!I:I, '리스사업(D)'!C:C, $E$1, '리스사업(D)'!G:G, B39, '리스사업(D)'!W:W, B47, '리스사업(D)'!U:U, $D$1),
    SUMIFS('임대사업(E)'!I:I, '임대사업(E)'!C:C, $E$1, '임대사업(E)'!G:G, B39, '임대사업(E)'!W:W, B47, '임대사업(E)'!U:U, $D$1),
    SUMIFS('환경부사업(F)'!I:I, '환경부사업(F)'!C:C, $E$1, '환경부사업(F)'!G:G, B39, '환경부사업(F)'!W:W, B47, '환경부사업(F)'!U:U, $D$1),
    SUMIFS('프로젝트(G)'!I:I, '프로젝트(G)'!C:C, $E$1, '프로젝트(G)'!G:G, B39, '프로젝트(G)'!W:W, B47, '프로젝트(G)'!U:U, $D$1),
    SUMIFS('협력사 EPC(H)'!I:I, '협력사 EPC(H)'!C:C, $E$1, '협력사 EPC(H)'!G:G, B39, '협력사 EPC(H)'!W:W, B47, '협력사 EPC(H)'!U:U, $D$1),
    SUMIFS('기타(Z)'!I:I, '기타(Z)'!C:C, $E$1, '기타(Z)'!G:G, B39, '기타(Z)'!W:W, B47, '기타(Z)'!U:U, $D$1)
  ) = 0,
  "",
  SUM(
    SUMIFS('발전사업(A)'!I:I, '발전사업(A)'!C:C, $E$1, '발전사업(A)'!G:G, B39, '발전사업(A)'!W:W, B47, '발전사업(A)'!U:U, $D$1),
    SUMIFS('자가소비(B)'!I:I, '자가소비(B)'!C:C, $E$1, '자가소비(B)'!G:G, B39, '자가소비(B)'!W:W, B47, '자가소비(B)'!U:U, $D$1),
    SUMIFS('PPA 사업(C)'!I:I, 'PPA 사업(C)'!C:C, $E$1, 'PPA 사업(C)'!G:G, B39, 'PPA 사업(C)'!W:W, B47, 'PPA 사업(C)'!U:U, $D$1),
    SUMIFS('리스사업(D)'!I:I, '리스사업(D)'!C:C, $E$1, '리스사업(D)'!G:G, B39, '리스사업(D)'!W:W, B47, '리스사업(D)'!U:U, $D$1),
    SUMIFS('임대사업(E)'!I:I, '임대사업(E)'!C:C, $E$1, '임대사업(E)'!G:G, B39, '임대사업(E)'!W:W, B47, '임대사업(E)'!U:U, $D$1),
    SUMIFS('환경부사업(F)'!I:I, '환경부사업(F)'!C:C, $E$1, '환경부사업(F)'!G:G, B39, '환경부사업(F)'!W:W, B47, '환경부사업(F)'!U:U, $D$1),
    SUMIFS('프로젝트(G)'!I:I, '프로젝트(G)'!C:C, $E$1, '프로젝트(G)'!G:G, B39, '프로젝트(G)'!W:W, B47, '프로젝트(G)'!U:U, $D$1),
    SUMIFS('협력사 EPC(H)'!I:I, '협력사 EPC(H)'!C:C, $E$1, '협력사 EPC(H)'!G:G, B39, '협력사 EPC(H)'!W:W, B47, '협력사 EPC(H)'!U:U, $D$1),
    SUMIFS('기타(Z)'!I:I, '기타(Z)'!C:C, $E$1, '기타(Z)'!G:G, B39, '기타(Z)'!W:W, B47, '기타(Z)'!U:U, $D$1)
  )
)</f>
        <v/>
      </c>
      <c r="H47" s="281" t="str">
        <f>IF(
  (
    COUNTIFS('발전사업(A)'!C:C, $E$1, '발전사업(A)'!G:G, B39, '발전사업(A)'!W:W, B47, '발전사업(A)'!U:U, $D$1)
    + COUNTIFS('자가소비(B)'!C:C, $E$1, '자가소비(B)'!G:G, B39, '자가소비(B)'!W:W, B47, '자가소비(B)'!U:U, $D$1)
    + COUNTIFS('PPA 사업(C)'!C:C, $E$1, 'PPA 사업(C)'!G:G, B39, 'PPA 사업(C)'!W:W, B47, 'PPA 사업(C)'!U:U, $D$1)
    + COUNTIFS('리스사업(D)'!C:C, $E$1, '리스사업(D)'!G:G, B39, '리스사업(D)'!W:W, B47, '리스사업(D)'!U:U, $D$1)
    + COUNTIFS('임대사업(E)'!C:C, $E$1, '임대사업(E)'!G:G, B39, '임대사업(E)'!W:W, B47, '임대사업(E)'!U:U, $D$1)
    + COUNTIFS('환경부사업(F)'!C:C, $E$1, '환경부사업(F)'!G:G, B39, '환경부사업(F)'!W:W, B47, '환경부사업(F)'!U:U, $D$1)
    + COUNTIFS('프로젝트(G)'!C:C, $E$1, '프로젝트(G)'!G:G, B39, '프로젝트(G)'!W:W, B47, '프로젝트(G)'!U:U, $D$1)
    + COUNTIFS('협력사 EPC(H)'!C:C, $E$1, '협력사 EPC(H)'!G:G, B39, '협력사 EPC(H)'!W:W, B47, '협력사 EPC(H)'!U:U, $D$1)
    + COUNTIFS('기타(Z)'!C:C, $E$1, '기타(Z)'!G:G, B39, '기타(Z)'!W:W, B47, '기타(Z)'!U:U, $D$1)
  ) = 0,
  "",
  COUNTIFS('발전사업(A)'!C:C, $E$1, '발전사업(A)'!G:G, B39, '발전사업(A)'!W:W, B47, '발전사업(A)'!U:U, $D$1)
  + COUNTIFS('자가소비(B)'!C:C, $E$1, '자가소비(B)'!G:G, B39, '자가소비(B)'!W:W, B47, '자가소비(B)'!U:U, $D$1)
  + COUNTIFS('PPA 사업(C)'!C:C, $E$1, 'PPA 사업(C)'!G:G, B39, 'PPA 사업(C)'!W:W, B47, 'PPA 사업(C)'!U:U, $D$1)
  + COUNTIFS('리스사업(D)'!C:C, $E$1, '리스사업(D)'!G:G, B39, '리스사업(D)'!W:W, B47, '리스사업(D)'!U:U, $D$1)
  + COUNTIFS('임대사업(E)'!C:C, $E$1, '임대사업(E)'!G:G, B39, '임대사업(E)'!W:W, B47, '임대사업(E)'!U:U, $D$1)
  + COUNTIFS('환경부사업(F)'!C:C, $E$1, '환경부사업(F)'!G:G, B39, '환경부사업(F)'!W:W, B47, '환경부사업(F)'!U:U, $D$1)
  + COUNTIFS('프로젝트(G)'!C:C, $E$1, '프로젝트(G)'!G:G, B39, '프로젝트(G)'!W:W, B47, '프로젝트(G)'!U:U, $D$1)
  + COUNTIFS('협력사 EPC(H)'!C:C, $E$1, '협력사 EPC(H)'!G:G, B39, '협력사 EPC(H)'!W:W, B47, '협력사 EPC(H)'!U:U, $D$1)
  + COUNTIFS('기타(Z)'!C:C, $E$1, '기타(Z)'!G:G, B39, '기타(Z)'!W:W, B47, '기타(Z)'!U:U, $D$1)
)</f>
        <v/>
      </c>
    </row>
    <row r="48" spans="2:8" ht="16.5" x14ac:dyDescent="0.25">
      <c r="B48" s="292" t="s">
        <v>1062</v>
      </c>
      <c r="C48" s="286">
        <f>SUM(C40:C47)</f>
        <v>3204.335</v>
      </c>
      <c r="D48" s="287">
        <f t="shared" ref="D48:H48" si="12">SUM(D40:D47)</f>
        <v>10</v>
      </c>
      <c r="E48" s="288">
        <f t="shared" si="12"/>
        <v>288.64</v>
      </c>
      <c r="F48" s="289">
        <f t="shared" si="12"/>
        <v>1</v>
      </c>
      <c r="G48" s="290">
        <f t="shared" si="12"/>
        <v>2915.6949999999997</v>
      </c>
      <c r="H48" s="291">
        <f t="shared" si="12"/>
        <v>9</v>
      </c>
    </row>
    <row r="51" spans="2:8" ht="17.25" x14ac:dyDescent="0.25">
      <c r="B51" s="282">
        <v>4</v>
      </c>
      <c r="C51" s="283" t="s">
        <v>1064</v>
      </c>
      <c r="D51" s="283" t="s">
        <v>1063</v>
      </c>
      <c r="E51" s="284" t="s">
        <v>1065</v>
      </c>
      <c r="F51" s="284" t="s">
        <v>1066</v>
      </c>
      <c r="G51" s="285" t="s">
        <v>1067</v>
      </c>
      <c r="H51" s="285" t="s">
        <v>1068</v>
      </c>
    </row>
    <row r="52" spans="2:8" x14ac:dyDescent="0.25">
      <c r="B52" s="202" t="s">
        <v>270</v>
      </c>
      <c r="C52" s="280">
        <f>IF(
  SUM(
    SUMIFS('발전사업(A)'!I:I, '발전사업(A)'!C:C, $E$1, '발전사업(A)'!G:G, B51, '발전사업(A)'!W:W, B52),
    SUMIFS('자가소비(B)'!I:I, '자가소비(B)'!C:C, $E$1, '자가소비(B)'!G:G, B51, '자가소비(B)'!W:W, B52),
    SUMIFS('PPA 사업(C)'!I:I, 'PPA 사업(C)'!C:C, $E$1, 'PPA 사업(C)'!G:G, B51, 'PPA 사업(C)'!W:W, B52),
    SUMIFS('리스사업(D)'!I:I, '리스사업(D)'!C:C, $E$1, '리스사업(D)'!G:G, B51, '리스사업(D)'!W:W, B52),
    SUMIFS('임대사업(E)'!I:I, '임대사업(E)'!C:C, $E$1, '임대사업(E)'!G:G, B51, '임대사업(E)'!W:W, B52),
    SUMIFS('환경부사업(F)'!I:I, '환경부사업(F)'!C:C, $E$1, '환경부사업(F)'!G:G, B51, '환경부사업(F)'!W:W, B52),
    SUMIFS('프로젝트(G)'!I:I, '프로젝트(G)'!C:C, $E$1, '프로젝트(G)'!G:G, B51, '프로젝트(G)'!W:W, B52),
    SUMIFS('협력사 EPC(H)'!I:I, '협력사 EPC(H)'!C:C, $E$1, '협력사 EPC(H)'!G:G, B51, '협력사 EPC(H)'!W:W, B52),
    SUMIFS('기타(Z)'!I:I, '기타(Z)'!C:C, $E$1, '기타(Z)'!G:G, B51, '기타(Z)'!W:W, B52)
  ) = 0,
  "",
  SUMIFS('발전사업(A)'!I:I, '발전사업(A)'!C:C, $E$1, '발전사업(A)'!G:G, B51, '발전사업(A)'!W:W, B52)
  + SUMIFS('자가소비(B)'!I:I, '자가소비(B)'!C:C, $E$1, '자가소비(B)'!G:G, B51, '자가소비(B)'!W:W, B52)
  + SUMIFS('PPA 사업(C)'!I:I, 'PPA 사업(C)'!C:C, $E$1, 'PPA 사업(C)'!G:G, B51, 'PPA 사업(C)'!W:W, B52)
  + SUMIFS('리스사업(D)'!I:I, '리스사업(D)'!C:C, $E$1, '리스사업(D)'!G:G, B51, '리스사업(D)'!W:W, B52)
  + SUMIFS('임대사업(E)'!I:I, '임대사업(E)'!C:C, $E$1, '임대사업(E)'!G:G, B51, '임대사업(E)'!W:W, B52)
  + SUMIFS('환경부사업(F)'!I:I, '환경부사업(F)'!C:C, $E$1, '환경부사업(F)'!G:G, B51, '환경부사업(F)'!W:W, B52)
  + SUMIFS('프로젝트(G)'!I:I, '프로젝트(G)'!C:C, $E$1, '프로젝트(G)'!G:G, B51, '프로젝트(G)'!W:W, B52)
  + SUMIFS('협력사 EPC(H)'!I:I, '협력사 EPC(H)'!C:C, $E$1, '협력사 EPC(H)'!G:G, B51, '협력사 EPC(H)'!W:W, B52)
  + SUMIFS('기타(Z)'!I:I, '기타(Z)'!C:C, $E$1, '기타(Z)'!G:G, B51, '기타(Z)'!W:W, B52)
)</f>
        <v>1241.92</v>
      </c>
      <c r="D52" s="281">
        <f>IF(
  COUNTIFS('발전사업(A)'!C:C, $E$1, '발전사업(A)'!G:G, B51, '발전사업(A)'!W:W, B52)
  + COUNTIFS('자가소비(B)'!C:C, $E$1, '자가소비(B)'!G:G, B51, '자가소비(B)'!W:W, B52)
  + COUNTIFS('PPA 사업(C)'!C:C, $E$1, 'PPA 사업(C)'!G:G, B51, 'PPA 사업(C)'!W:W, B52)
  + COUNTIFS('리스사업(D)'!C:C, $E$1, '리스사업(D)'!G:G, B51, '리스사업(D)'!W:W, B52)
  + COUNTIFS('임대사업(E)'!C:C, $E$1, '임대사업(E)'!G:G, B51, '임대사업(E)'!W:W, B52)
  + COUNTIFS('환경부사업(F)'!C:C, $E$1, '환경부사업(F)'!G:G, B51, '환경부사업(F)'!W:W, B52)
  + COUNTIFS('프로젝트(G)'!C:C, $E$1, '프로젝트(G)'!G:G, B51, '프로젝트(G)'!W:W, B52)
  + COUNTIFS('협력사 EPC(H)'!C:C, $E$1, '협력사 EPC(H)'!G:G, B51, '협력사 EPC(H)'!W:W, B52)
  + COUNTIFS('기타(Z)'!C:C, $E$1, '기타(Z)'!G:G, B51, '기타(Z)'!W:W, B52)
  = 0,
  "",
  COUNTIFS('발전사업(A)'!C:C, $E$1, '발전사업(A)'!G:G, B51, '발전사업(A)'!W:W, B52)
  + COUNTIFS('자가소비(B)'!C:C, $E$1, '자가소비(B)'!G:G, B51, '자가소비(B)'!W:W, B52)
  + COUNTIFS('PPA 사업(C)'!C:C, $E$1, 'PPA 사업(C)'!G:G, B51, 'PPA 사업(C)'!W:W, B52)
  + COUNTIFS('리스사업(D)'!C:C, $E$1, '리스사업(D)'!G:G, B51, '리스사업(D)'!W:W, B52)
  + COUNTIFS('임대사업(E)'!C:C, $E$1, '임대사업(E)'!G:G, B51, '임대사업(E)'!W:W, B52)
  + COUNTIFS('환경부사업(F)'!C:C, $E$1, '환경부사업(F)'!G:G, B51, '환경부사업(F)'!W:W, B52)
  + COUNTIFS('프로젝트(G)'!C:C, $E$1, '프로젝트(G)'!G:G, B51, '프로젝트(G)'!W:W, B52)
  + COUNTIFS('협력사 EPC(H)'!C:C, $E$1, '협력사 EPC(H)'!G:G, B51, '협력사 EPC(H)'!W:W, B52)
  + COUNTIFS('기타(Z)'!C:C, $E$1, '기타(Z)'!G:G, B51, '기타(Z)'!W:W, B52)
)</f>
        <v>5</v>
      </c>
      <c r="E52" s="280" t="str">
        <f>IF(
  SUM(
    SUMIFS('발전사업(A)'!I:I, '발전사업(A)'!C:C, $E$1, '발전사업(A)'!G:G, B51, '발전사업(A)'!W:W, B52, '발전사업(A)'!U:U, $C$1),
    SUMIFS('자가소비(B)'!I:I, '자가소비(B)'!C:C, $E$1, '자가소비(B)'!G:G, B51, '자가소비(B)'!W:W, B52, '자가소비(B)'!U:U, $C$1),
    SUMIFS('PPA 사업(C)'!I:I, 'PPA 사업(C)'!C:C, $E$1, 'PPA 사업(C)'!G:G, B51, 'PPA 사업(C)'!W:W, B52, 'PPA 사업(C)'!U:U, $C$1),
    SUMIFS('리스사업(D)'!I:I, '리스사업(D)'!C:C, $E$1, '리스사업(D)'!G:G, B51, '리스사업(D)'!W:W, B52, '리스사업(D)'!U:U, $C$1),
    SUMIFS('임대사업(E)'!I:I, '임대사업(E)'!C:C, $E$1, '임대사업(E)'!G:G, B51, '임대사업(E)'!W:W, B52, '임대사업(E)'!U:U, $C$1),
    SUMIFS('환경부사업(F)'!I:I, '환경부사업(F)'!C:C, $E$1, '환경부사업(F)'!G:G, B51, '환경부사업(F)'!W:W, B52, '환경부사업(F)'!U:U, $C$1),
    SUMIFS('프로젝트(G)'!I:I, '프로젝트(G)'!C:C, $E$1, '프로젝트(G)'!G:G, B51, '프로젝트(G)'!W:W, B52, '프로젝트(G)'!U:U, $C$1),
    SUMIFS('협력사 EPC(H)'!I:I, '협력사 EPC(H)'!C:C, $E$1, '협력사 EPC(H)'!G:G, B51, '협력사 EPC(H)'!W:W, B52, '협력사 EPC(H)'!U:U, $C$1),
    SUMIFS('기타(Z)'!I:I, '기타(Z)'!C:C, $E$1, '기타(Z)'!G:G, B51, '기타(Z)'!W:W, B52, '기타(Z)'!U:U, $C$1)
  ) = 0,
  "",
  SUM(
    SUMIFS('발전사업(A)'!I:I, '발전사업(A)'!C:C, $E$1, '발전사업(A)'!G:G, B51, '발전사업(A)'!W:W, B52, '발전사업(A)'!U:U, $C$1),
    SUMIFS('자가소비(B)'!I:I, '자가소비(B)'!C:C, $E$1, '자가소비(B)'!G:G, B51, '자가소비(B)'!W:W, B52, '자가소비(B)'!U:U, $C$1),
    SUMIFS('PPA 사업(C)'!I:I, 'PPA 사업(C)'!C:C, $E$1, 'PPA 사업(C)'!G:G, B51, 'PPA 사업(C)'!W:W, B52, 'PPA 사업(C)'!U:U, $C$1),
    SUMIFS('리스사업(D)'!I:I, '리스사업(D)'!C:C, $E$1, '리스사업(D)'!G:G, B51, '리스사업(D)'!W:W, B52, '리스사업(D)'!U:U, $C$1),
    SUMIFS('임대사업(E)'!I:I, '임대사업(E)'!C:C, $E$1, '임대사업(E)'!G:G, B51, '임대사업(E)'!W:W, B52, '임대사업(E)'!U:U, $C$1),
    SUMIFS('환경부사업(F)'!I:I, '환경부사업(F)'!C:C, $E$1, '환경부사업(F)'!G:G, B51, '환경부사업(F)'!W:W, B52, '환경부사업(F)'!U:U, $C$1),
    SUMIFS('프로젝트(G)'!I:I, '프로젝트(G)'!C:C, $E$1, '프로젝트(G)'!G:G, B51, '프로젝트(G)'!W:W, B52, '프로젝트(G)'!U:U, $C$1),
    SUMIFS('협력사 EPC(H)'!I:I, '협력사 EPC(H)'!C:C, $E$1, '협력사 EPC(H)'!G:G, B51, '협력사 EPC(H)'!W:W, B52, '협력사 EPC(H)'!U:U, $C$1),
    SUMIFS('기타(Z)'!I:I, '기타(Z)'!C:C, $E$1, '기타(Z)'!G:G, B51, '기타(Z)'!W:W, B52, '기타(Z)'!U:U, $C$1)
  )
)</f>
        <v/>
      </c>
      <c r="F52" s="281" t="str">
        <f>IF(
  SUM(
    COUNTIFS('발전사업(A)'!C:C, $E$1, '발전사업(A)'!G:G, B51, '발전사업(A)'!W:W, B52, '발전사업(A)'!U:U, $C$1),
    COUNTIFS('자가소비(B)'!C:C, $E$1, '자가소비(B)'!G:G, B51, '자가소비(B)'!W:W, B52, '자가소비(B)'!U:U, $C$1),
    COUNTIFS('PPA 사업(C)'!C:C, $E$1, 'PPA 사업(C)'!G:G, B51, 'PPA 사업(C)'!W:W, B52, 'PPA 사업(C)'!U:U, $C$1),
    COUNTIFS('리스사업(D)'!C:C, $E$1, '리스사업(D)'!G:G, B51, '리스사업(D)'!W:W, B52, '리스사업(D)'!U:U, $C$1),
    COUNTIFS('임대사업(E)'!C:C, $E$1, '임대사업(E)'!G:G, B51, '임대사업(E)'!W:W, B52, '임대사업(E)'!U:U, $C$1),
    COUNTIFS('환경부사업(F)'!C:C, $E$1, '환경부사업(F)'!G:G, B51, '환경부사업(F)'!W:W, B52, '환경부사업(F)'!U:U, $C$1),
    COUNTIFS('프로젝트(G)'!C:C, $E$1, '프로젝트(G)'!G:G, B51, '프로젝트(G)'!W:W, B52, '프로젝트(G)'!U:U, $C$1),
    COUNTIFS('협력사 EPC(H)'!C:C, $E$1, '협력사 EPC(H)'!G:G, B51, '협력사 EPC(H)'!W:W, B52, '협력사 EPC(H)'!U:U, $C$1),
    COUNTIFS('기타(Z)'!C:C, $E$1, '기타(Z)'!G:G, B51, '기타(Z)'!W:W, B52, '기타(Z)'!U:U, $C$1)
  ) = 0,
  "",
  SUM(
    COUNTIFS('발전사업(A)'!C:C, $E$1, '발전사업(A)'!G:G, B51, '발전사업(A)'!W:W, B52, '발전사업(A)'!U:U, $C$1),
    COUNTIFS('자가소비(B)'!C:C, $E$1, '자가소비(B)'!G:G, B51, '자가소비(B)'!W:W, B52, '자가소비(B)'!U:U, $C$1),
    COUNTIFS('PPA 사업(C)'!C:C, $E$1, 'PPA 사업(C)'!G:G, B51, 'PPA 사업(C)'!W:W, B52, 'PPA 사업(C)'!U:U, $C$1),
    COUNTIFS('리스사업(D)'!C:C, $E$1, '리스사업(D)'!G:G, B51, '리스사업(D)'!W:W, B52, '리스사업(D)'!U:U, $C$1),
    COUNTIFS('임대사업(E)'!C:C, $E$1, '임대사업(E)'!G:G, B51, '임대사업(E)'!W:W, B52, '임대사업(E)'!U:U, $C$1),
    COUNTIFS('환경부사업(F)'!C:C, $E$1, '환경부사업(F)'!G:G, B51, '환경부사업(F)'!W:W, B52, '환경부사업(F)'!U:U, $C$1),
    COUNTIFS('프로젝트(G)'!C:C, $E$1, '프로젝트(G)'!G:G, B51, '프로젝트(G)'!W:W, B52, '프로젝트(G)'!U:U, $C$1),
    COUNTIFS('협력사 EPC(H)'!C:C, $E$1, '협력사 EPC(H)'!G:G, B51, '협력사 EPC(H)'!W:W, B52, '협력사 EPC(H)'!U:U, $C$1),
    COUNTIFS('기타(Z)'!C:C, $E$1, '기타(Z)'!G:G, B51, '기타(Z)'!W:W, B52, '기타(Z)'!U:U, $C$1)
  )
)</f>
        <v/>
      </c>
      <c r="G52" s="280">
        <f>IF(
  SUM(
    SUMIFS('발전사업(A)'!I:I, '발전사업(A)'!C:C, $E$1, '발전사업(A)'!G:G, B51, '발전사업(A)'!W:W, B52, '발전사업(A)'!U:U, $D$1),
    SUMIFS('자가소비(B)'!I:I, '자가소비(B)'!C:C, $E$1, '자가소비(B)'!G:G, B51, '자가소비(B)'!W:W, B52, '자가소비(B)'!U:U, $D$1),
    SUMIFS('PPA 사업(C)'!I:I, 'PPA 사업(C)'!C:C, $E$1, 'PPA 사업(C)'!G:G, B51, 'PPA 사업(C)'!W:W, B52, 'PPA 사업(C)'!U:U, $D$1),
    SUMIFS('리스사업(D)'!I:I, '리스사업(D)'!C:C, $E$1, '리스사업(D)'!G:G, B51, '리스사업(D)'!W:W, B52, '리스사업(D)'!U:U, $D$1),
    SUMIFS('임대사업(E)'!I:I, '임대사업(E)'!C:C, $E$1, '임대사업(E)'!G:G, B51, '임대사업(E)'!W:W, B52, '임대사업(E)'!U:U, $D$1),
    SUMIFS('환경부사업(F)'!I:I, '환경부사업(F)'!C:C, $E$1, '환경부사업(F)'!G:G, B51, '환경부사업(F)'!W:W, B52, '환경부사업(F)'!U:U, $D$1),
    SUMIFS('프로젝트(G)'!I:I, '프로젝트(G)'!C:C, $E$1, '프로젝트(G)'!G:G, B51, '프로젝트(G)'!W:W, B52, '프로젝트(G)'!U:U, $D$1),
    SUMIFS('협력사 EPC(H)'!I:I, '협력사 EPC(H)'!C:C, $E$1, '협력사 EPC(H)'!G:G, B51, '협력사 EPC(H)'!W:W, B52, '협력사 EPC(H)'!U:U, $D$1),
    SUMIFS('기타(Z)'!I:I, '기타(Z)'!C:C, $E$1, '기타(Z)'!G:G, B51, '기타(Z)'!W:W, B52, '기타(Z)'!U:U, $D$1)
  ) = 0,
  "",
  SUM(
    SUMIFS('발전사업(A)'!I:I, '발전사업(A)'!C:C, $E$1, '발전사업(A)'!G:G, B51, '발전사업(A)'!W:W, B52, '발전사업(A)'!U:U, $D$1),
    SUMIFS('자가소비(B)'!I:I, '자가소비(B)'!C:C, $E$1, '자가소비(B)'!G:G, B51, '자가소비(B)'!W:W, B52, '자가소비(B)'!U:U, $D$1),
    SUMIFS('PPA 사업(C)'!I:I, 'PPA 사업(C)'!C:C, $E$1, 'PPA 사업(C)'!G:G, B51, 'PPA 사업(C)'!W:W, B52, 'PPA 사업(C)'!U:U, $D$1),
    SUMIFS('리스사업(D)'!I:I, '리스사업(D)'!C:C, $E$1, '리스사업(D)'!G:G, B51, '리스사업(D)'!W:W, B52, '리스사업(D)'!U:U, $D$1),
    SUMIFS('임대사업(E)'!I:I, '임대사업(E)'!C:C, $E$1, '임대사업(E)'!G:G, B51, '임대사업(E)'!W:W, B52, '임대사업(E)'!U:U, $D$1),
    SUMIFS('환경부사업(F)'!I:I, '환경부사업(F)'!C:C, $E$1, '환경부사업(F)'!G:G, B51, '환경부사업(F)'!W:W, B52, '환경부사업(F)'!U:U, $D$1),
    SUMIFS('프로젝트(G)'!I:I, '프로젝트(G)'!C:C, $E$1, '프로젝트(G)'!G:G, B51, '프로젝트(G)'!W:W, B52, '프로젝트(G)'!U:U, $D$1),
    SUMIFS('협력사 EPC(H)'!I:I, '협력사 EPC(H)'!C:C, $E$1, '협력사 EPC(H)'!G:G, B51, '협력사 EPC(H)'!W:W, B52, '협력사 EPC(H)'!U:U, $D$1),
    SUMIFS('기타(Z)'!I:I, '기타(Z)'!C:C, $E$1, '기타(Z)'!G:G, B51, '기타(Z)'!W:W, B52, '기타(Z)'!U:U, $D$1)
  )
)</f>
        <v>1241.92</v>
      </c>
      <c r="H52" s="281">
        <f>IF(
  (
    COUNTIFS('발전사업(A)'!C:C, $E$1, '발전사업(A)'!G:G, B51, '발전사업(A)'!W:W, B52, '발전사업(A)'!U:U, $D$1)
    + COUNTIFS('자가소비(B)'!C:C, $E$1, '자가소비(B)'!G:G, B51, '자가소비(B)'!W:W, B52, '자가소비(B)'!U:U, $D$1)
    + COUNTIFS('PPA 사업(C)'!C:C, $E$1, 'PPA 사업(C)'!G:G, B51, 'PPA 사업(C)'!W:W, B52, 'PPA 사업(C)'!U:U, $D$1)
    + COUNTIFS('리스사업(D)'!C:C, $E$1, '리스사업(D)'!G:G, B51, '리스사업(D)'!W:W, B52, '리스사업(D)'!U:U, $D$1)
    + COUNTIFS('임대사업(E)'!C:C, $E$1, '임대사업(E)'!G:G, B51, '임대사업(E)'!W:W, B52, '임대사업(E)'!U:U, $D$1)
    + COUNTIFS('환경부사업(F)'!C:C, $E$1, '환경부사업(F)'!G:G, B51, '환경부사업(F)'!W:W, B52, '환경부사업(F)'!U:U, $D$1)
    + COUNTIFS('프로젝트(G)'!C:C, $E$1, '프로젝트(G)'!G:G, B51, '프로젝트(G)'!W:W, B52, '프로젝트(G)'!U:U, $D$1)
    + COUNTIFS('협력사 EPC(H)'!C:C, $E$1, '협력사 EPC(H)'!G:G, B51, '협력사 EPC(H)'!W:W, B52, '협력사 EPC(H)'!U:U, $D$1)
    + COUNTIFS('기타(Z)'!C:C, $E$1, '기타(Z)'!G:G, B51, '기타(Z)'!W:W, B52, '기타(Z)'!U:U, $D$1)
  ) = 0,
  "",
  COUNTIFS('발전사업(A)'!C:C, $E$1, '발전사업(A)'!G:G, B51, '발전사업(A)'!W:W, B52, '발전사업(A)'!U:U, $D$1)
  + COUNTIFS('자가소비(B)'!C:C, $E$1, '자가소비(B)'!G:G, B51, '자가소비(B)'!W:W, B52, '자가소비(B)'!U:U, $D$1)
  + COUNTIFS('PPA 사업(C)'!C:C, $E$1, 'PPA 사업(C)'!G:G, B51, 'PPA 사업(C)'!W:W, B52, 'PPA 사업(C)'!U:U, $D$1)
  + COUNTIFS('리스사업(D)'!C:C, $E$1, '리스사업(D)'!G:G, B51, '리스사업(D)'!W:W, B52, '리스사업(D)'!U:U, $D$1)
  + COUNTIFS('임대사업(E)'!C:C, $E$1, '임대사업(E)'!G:G, B51, '임대사업(E)'!W:W, B52, '임대사업(E)'!U:U, $D$1)
  + COUNTIFS('환경부사업(F)'!C:C, $E$1, '환경부사업(F)'!G:G, B51, '환경부사업(F)'!W:W, B52, '환경부사업(F)'!U:U, $D$1)
  + COUNTIFS('프로젝트(G)'!C:C, $E$1, '프로젝트(G)'!G:G, B51, '프로젝트(G)'!W:W, B52, '프로젝트(G)'!U:U, $D$1)
  + COUNTIFS('협력사 EPC(H)'!C:C, $E$1, '협력사 EPC(H)'!G:G, B51, '협력사 EPC(H)'!W:W, B52, '협력사 EPC(H)'!U:U, $D$1)
  + COUNTIFS('기타(Z)'!C:C, $E$1, '기타(Z)'!G:G, B51, '기타(Z)'!W:W, B52, '기타(Z)'!U:U, $D$1)
)</f>
        <v>5</v>
      </c>
    </row>
    <row r="53" spans="2:8" x14ac:dyDescent="0.25">
      <c r="B53" s="202" t="s">
        <v>259</v>
      </c>
      <c r="C53" s="280">
        <f>IF(
  SUM(
    SUMIFS('발전사업(A)'!I:I, '발전사업(A)'!C:C, $E$1, '발전사업(A)'!G:G, B51, '발전사업(A)'!W:W, B53),
    SUMIFS('자가소비(B)'!I:I, '자가소비(B)'!C:C, $E$1, '자가소비(B)'!G:G, B51, '자가소비(B)'!W:W, B53),
    SUMIFS('PPA 사업(C)'!I:I, 'PPA 사업(C)'!C:C, $E$1, 'PPA 사업(C)'!G:G, B51, 'PPA 사업(C)'!W:W, B53),
    SUMIFS('리스사업(D)'!I:I, '리스사업(D)'!C:C, $E$1, '리스사업(D)'!G:G, B51, '리스사업(D)'!W:W, B53),
    SUMIFS('임대사업(E)'!I:I, '임대사업(E)'!C:C, $E$1, '임대사업(E)'!G:G, B51, '임대사업(E)'!W:W, B53),
    SUMIFS('환경부사업(F)'!I:I, '환경부사업(F)'!C:C, $E$1, '환경부사업(F)'!G:G, B51, '환경부사업(F)'!W:W, B53),
    SUMIFS('프로젝트(G)'!I:I, '프로젝트(G)'!C:C, $E$1, '프로젝트(G)'!G:G, B51, '프로젝트(G)'!W:W, B53),
    SUMIFS('협력사 EPC(H)'!I:I, '협력사 EPC(H)'!C:C, $E$1, '협력사 EPC(H)'!G:G, B51, '협력사 EPC(H)'!W:W, B53),
    SUMIFS('기타(Z)'!I:I, '기타(Z)'!C:C, $E$1, '기타(Z)'!G:G, B51, '기타(Z)'!W:W, B53)
  ) = 0,
  "",
  SUMIFS('발전사업(A)'!I:I, '발전사업(A)'!C:C, $E$1, '발전사업(A)'!G:G, B51, '발전사업(A)'!W:W, B53)
  + SUMIFS('자가소비(B)'!I:I, '자가소비(B)'!C:C, $E$1, '자가소비(B)'!G:G, B51, '자가소비(B)'!W:W, B53)
  + SUMIFS('PPA 사업(C)'!I:I, 'PPA 사업(C)'!C:C, $E$1, 'PPA 사업(C)'!G:G, B51, 'PPA 사업(C)'!W:W, B53)
  + SUMIFS('리스사업(D)'!I:I, '리스사업(D)'!C:C, $E$1, '리스사업(D)'!G:G, B51, '리스사업(D)'!W:W, B53)
  + SUMIFS('임대사업(E)'!I:I, '임대사업(E)'!C:C, $E$1, '임대사업(E)'!G:G, B51, '임대사업(E)'!W:W, B53)
  + SUMIFS('환경부사업(F)'!I:I, '환경부사업(F)'!C:C, $E$1, '환경부사업(F)'!G:G, B51, '환경부사업(F)'!W:W, B53)
  + SUMIFS('프로젝트(G)'!I:I, '프로젝트(G)'!C:C, $E$1, '프로젝트(G)'!G:G, B51, '프로젝트(G)'!W:W, B53)
  + SUMIFS('협력사 EPC(H)'!I:I, '협력사 EPC(H)'!C:C, $E$1, '협력사 EPC(H)'!G:G, B51, '협력사 EPC(H)'!W:W, B53)
  + SUMIFS('기타(Z)'!I:I, '기타(Z)'!C:C, $E$1, '기타(Z)'!G:G, B51, '기타(Z)'!W:W, B53)
)</f>
        <v>2510.4550000000004</v>
      </c>
      <c r="D53" s="281">
        <f>IF(
  COUNTIFS('발전사업(A)'!C:C, $E$1, '발전사업(A)'!G:G, B51, '발전사업(A)'!W:W, B53)
  + COUNTIFS('자가소비(B)'!C:C, $E$1, '자가소비(B)'!G:G, B51, '자가소비(B)'!W:W, B53)
  + COUNTIFS('PPA 사업(C)'!C:C, $E$1, 'PPA 사업(C)'!G:G, B51, 'PPA 사업(C)'!W:W, B53)
  + COUNTIFS('리스사업(D)'!C:C, $E$1, '리스사업(D)'!G:G, B51, '리스사업(D)'!W:W, B53)
  + COUNTIFS('임대사업(E)'!C:C, $E$1, '임대사업(E)'!G:G, B51, '임대사업(E)'!W:W, B53)
  + COUNTIFS('환경부사업(F)'!C:C, $E$1, '환경부사업(F)'!G:G, B51, '환경부사업(F)'!W:W, B53)
  + COUNTIFS('프로젝트(G)'!C:C, $E$1, '프로젝트(G)'!G:G, B51, '프로젝트(G)'!W:W, B53)
  + COUNTIFS('협력사 EPC(H)'!C:C, $E$1, '협력사 EPC(H)'!G:G, B51, '협력사 EPC(H)'!W:W, B53)
  + COUNTIFS('기타(Z)'!C:C, $E$1, '기타(Z)'!G:G, B51, '기타(Z)'!W:W, B53)
  = 0,
  "",
  COUNTIFS('발전사업(A)'!C:C, $E$1, '발전사업(A)'!G:G, B51, '발전사업(A)'!W:W, B53)
  + COUNTIFS('자가소비(B)'!C:C, $E$1, '자가소비(B)'!G:G, B51, '자가소비(B)'!W:W, B53)
  + COUNTIFS('PPA 사업(C)'!C:C, $E$1, 'PPA 사업(C)'!G:G, B51, 'PPA 사업(C)'!W:W, B53)
  + COUNTIFS('리스사업(D)'!C:C, $E$1, '리스사업(D)'!G:G, B51, '리스사업(D)'!W:W, B53)
  + COUNTIFS('임대사업(E)'!C:C, $E$1, '임대사업(E)'!G:G, B51, '임대사업(E)'!W:W, B53)
  + COUNTIFS('환경부사업(F)'!C:C, $E$1, '환경부사업(F)'!G:G, B51, '환경부사업(F)'!W:W, B53)
  + COUNTIFS('프로젝트(G)'!C:C, $E$1, '프로젝트(G)'!G:G, B51, '프로젝트(G)'!W:W, B53)
  + COUNTIFS('협력사 EPC(H)'!C:C, $E$1, '협력사 EPC(H)'!G:G, B51, '협력사 EPC(H)'!W:W, B53)
  + COUNTIFS('기타(Z)'!C:C, $E$1, '기타(Z)'!G:G, B51, '기타(Z)'!W:W, B53)
)</f>
        <v>10</v>
      </c>
      <c r="E53" s="280">
        <f>IF(
  SUM(
    SUMIFS('발전사업(A)'!I:I, '발전사업(A)'!C:C, $E$1, '발전사업(A)'!G:G, B51, '발전사업(A)'!W:W, B53, '발전사업(A)'!U:U, $C$1),
    SUMIFS('자가소비(B)'!I:I, '자가소비(B)'!C:C, $E$1, '자가소비(B)'!G:G, B51, '자가소비(B)'!W:W, B53, '자가소비(B)'!U:U, $C$1),
    SUMIFS('PPA 사업(C)'!I:I, 'PPA 사업(C)'!C:C, $E$1, 'PPA 사업(C)'!G:G, B51, 'PPA 사업(C)'!W:W, B53, 'PPA 사업(C)'!U:U, $C$1),
    SUMIFS('리스사업(D)'!I:I, '리스사업(D)'!C:C, $E$1, '리스사업(D)'!G:G, B51, '리스사업(D)'!W:W, B53, '리스사업(D)'!U:U, $C$1),
    SUMIFS('임대사업(E)'!I:I, '임대사업(E)'!C:C, $E$1, '임대사업(E)'!G:G, B51, '임대사업(E)'!W:W, B53, '임대사업(E)'!U:U, $C$1),
    SUMIFS('환경부사업(F)'!I:I, '환경부사업(F)'!C:C, $E$1, '환경부사업(F)'!G:G, B51, '환경부사업(F)'!W:W, B53, '환경부사업(F)'!U:U, $C$1),
    SUMIFS('프로젝트(G)'!I:I, '프로젝트(G)'!C:C, $E$1, '프로젝트(G)'!G:G, B51, '프로젝트(G)'!W:W, B53, '프로젝트(G)'!U:U, $C$1),
    SUMIFS('협력사 EPC(H)'!I:I, '협력사 EPC(H)'!C:C, $E$1, '협력사 EPC(H)'!G:G, B51, '협력사 EPC(H)'!W:W, B53, '협력사 EPC(H)'!U:U, $C$1),
    SUMIFS('기타(Z)'!I:I, '기타(Z)'!C:C, $E$1, '기타(Z)'!G:G, B51, '기타(Z)'!W:W, B53, '기타(Z)'!U:U, $C$1)
  ) = 0,
  "",
  SUM(
    SUMIFS('발전사업(A)'!I:I, '발전사업(A)'!C:C, $E$1, '발전사업(A)'!G:G, B51, '발전사업(A)'!W:W, B53, '발전사업(A)'!U:U, $C$1),
    SUMIFS('자가소비(B)'!I:I, '자가소비(B)'!C:C, $E$1, '자가소비(B)'!G:G, B51, '자가소비(B)'!W:W, B53, '자가소비(B)'!U:U, $C$1),
    SUMIFS('PPA 사업(C)'!I:I, 'PPA 사업(C)'!C:C, $E$1, 'PPA 사업(C)'!G:G, B51, 'PPA 사업(C)'!W:W, B53, 'PPA 사업(C)'!U:U, $C$1),
    SUMIFS('리스사업(D)'!I:I, '리스사업(D)'!C:C, $E$1, '리스사업(D)'!G:G, B51, '리스사업(D)'!W:W, B53, '리스사업(D)'!U:U, $C$1),
    SUMIFS('임대사업(E)'!I:I, '임대사업(E)'!C:C, $E$1, '임대사업(E)'!G:G, B51, '임대사업(E)'!W:W, B53, '임대사업(E)'!U:U, $C$1),
    SUMIFS('환경부사업(F)'!I:I, '환경부사업(F)'!C:C, $E$1, '환경부사업(F)'!G:G, B51, '환경부사업(F)'!W:W, B53, '환경부사업(F)'!U:U, $C$1),
    SUMIFS('프로젝트(G)'!I:I, '프로젝트(G)'!C:C, $E$1, '프로젝트(G)'!G:G, B51, '프로젝트(G)'!W:W, B53, '프로젝트(G)'!U:U, $C$1),
    SUMIFS('협력사 EPC(H)'!I:I, '협력사 EPC(H)'!C:C, $E$1, '협력사 EPC(H)'!G:G, B51, '협력사 EPC(H)'!W:W, B53, '협력사 EPC(H)'!U:U, $C$1),
    SUMIFS('기타(Z)'!I:I, '기타(Z)'!C:C, $E$1, '기타(Z)'!G:G, B51, '기타(Z)'!W:W, B53, '기타(Z)'!U:U, $C$1)
  )
)</f>
        <v>2387.5750000000003</v>
      </c>
      <c r="F53" s="281">
        <f>IF(
  SUM(
    COUNTIFS('발전사업(A)'!C:C, $E$1, '발전사업(A)'!G:G, B51, '발전사업(A)'!W:W, B53, '발전사업(A)'!U:U, $C$1),
    COUNTIFS('자가소비(B)'!C:C, $E$1, '자가소비(B)'!G:G, B51, '자가소비(B)'!W:W, B53, '자가소비(B)'!U:U, $C$1),
    COUNTIFS('PPA 사업(C)'!C:C, $E$1, 'PPA 사업(C)'!G:G, B51, 'PPA 사업(C)'!W:W, B53, 'PPA 사업(C)'!U:U, $C$1),
    COUNTIFS('리스사업(D)'!C:C, $E$1, '리스사업(D)'!G:G, B51, '리스사업(D)'!W:W, B53, '리스사업(D)'!U:U, $C$1),
    COUNTIFS('임대사업(E)'!C:C, $E$1, '임대사업(E)'!G:G, B51, '임대사업(E)'!W:W, B53, '임대사업(E)'!U:U, $C$1),
    COUNTIFS('환경부사업(F)'!C:C, $E$1, '환경부사업(F)'!G:G, B51, '환경부사업(F)'!W:W, B53, '환경부사업(F)'!U:U, $C$1),
    COUNTIFS('프로젝트(G)'!C:C, $E$1, '프로젝트(G)'!G:G, B51, '프로젝트(G)'!W:W, B53, '프로젝트(G)'!U:U, $C$1),
    COUNTIFS('협력사 EPC(H)'!C:C, $E$1, '협력사 EPC(H)'!G:G, B51, '협력사 EPC(H)'!W:W, B53, '협력사 EPC(H)'!U:U, $C$1),
    COUNTIFS('기타(Z)'!C:C, $E$1, '기타(Z)'!G:G, B51, '기타(Z)'!W:W, B53, '기타(Z)'!U:U, $C$1)
  ) = 0,
  "",
  SUM(
    COUNTIFS('발전사업(A)'!C:C, $E$1, '발전사업(A)'!G:G, B51, '발전사업(A)'!W:W, B53, '발전사업(A)'!U:U, $C$1),
    COUNTIFS('자가소비(B)'!C:C, $E$1, '자가소비(B)'!G:G, B51, '자가소비(B)'!W:W, B53, '자가소비(B)'!U:U, $C$1),
    COUNTIFS('PPA 사업(C)'!C:C, $E$1, 'PPA 사업(C)'!G:G, B51, 'PPA 사업(C)'!W:W, B53, 'PPA 사업(C)'!U:U, $C$1),
    COUNTIFS('리스사업(D)'!C:C, $E$1, '리스사업(D)'!G:G, B51, '리스사업(D)'!W:W, B53, '리스사업(D)'!U:U, $C$1),
    COUNTIFS('임대사업(E)'!C:C, $E$1, '임대사업(E)'!G:G, B51, '임대사업(E)'!W:W, B53, '임대사업(E)'!U:U, $C$1),
    COUNTIFS('환경부사업(F)'!C:C, $E$1, '환경부사업(F)'!G:G, B51, '환경부사업(F)'!W:W, B53, '환경부사업(F)'!U:U, $C$1),
    COUNTIFS('프로젝트(G)'!C:C, $E$1, '프로젝트(G)'!G:G, B51, '프로젝트(G)'!W:W, B53, '프로젝트(G)'!U:U, $C$1),
    COUNTIFS('협력사 EPC(H)'!C:C, $E$1, '협력사 EPC(H)'!G:G, B51, '협력사 EPC(H)'!W:W, B53, '협력사 EPC(H)'!U:U, $C$1),
    COUNTIFS('기타(Z)'!C:C, $E$1, '기타(Z)'!G:G, B51, '기타(Z)'!W:W, B53, '기타(Z)'!U:U, $C$1)
  )
)</f>
        <v>9</v>
      </c>
      <c r="G53" s="280">
        <f>IF(
  SUM(
    SUMIFS('발전사업(A)'!I:I, '발전사업(A)'!C:C, $E$1, '발전사업(A)'!G:G, B51, '발전사업(A)'!W:W, B53, '발전사업(A)'!U:U, $D$1),
    SUMIFS('자가소비(B)'!I:I, '자가소비(B)'!C:C, $E$1, '자가소비(B)'!G:G, B51, '자가소비(B)'!W:W, B53, '자가소비(B)'!U:U, $D$1),
    SUMIFS('PPA 사업(C)'!I:I, 'PPA 사업(C)'!C:C, $E$1, 'PPA 사업(C)'!G:G, B51, 'PPA 사업(C)'!W:W, B53, 'PPA 사업(C)'!U:U, $D$1),
    SUMIFS('리스사업(D)'!I:I, '리스사업(D)'!C:C, $E$1, '리스사업(D)'!G:G, B51, '리스사업(D)'!W:W, B53, '리스사업(D)'!U:U, $D$1),
    SUMIFS('임대사업(E)'!I:I, '임대사업(E)'!C:C, $E$1, '임대사업(E)'!G:G, B51, '임대사업(E)'!W:W, B53, '임대사업(E)'!U:U, $D$1),
    SUMIFS('환경부사업(F)'!I:I, '환경부사업(F)'!C:C, $E$1, '환경부사업(F)'!G:G, B51, '환경부사업(F)'!W:W, B53, '환경부사업(F)'!U:U, $D$1),
    SUMIFS('프로젝트(G)'!I:I, '프로젝트(G)'!C:C, $E$1, '프로젝트(G)'!G:G, B51, '프로젝트(G)'!W:W, B53, '프로젝트(G)'!U:U, $D$1),
    SUMIFS('협력사 EPC(H)'!I:I, '협력사 EPC(H)'!C:C, $E$1, '협력사 EPC(H)'!G:G, B51, '협력사 EPC(H)'!W:W, B53, '협력사 EPC(H)'!U:U, $D$1),
    SUMIFS('기타(Z)'!I:I, '기타(Z)'!C:C, $E$1, '기타(Z)'!G:G, B51, '기타(Z)'!W:W, B53, '기타(Z)'!U:U, $D$1)
  ) = 0,
  "",
  SUM(
    SUMIFS('발전사업(A)'!I:I, '발전사업(A)'!C:C, $E$1, '발전사업(A)'!G:G, B51, '발전사업(A)'!W:W, B53, '발전사업(A)'!U:U, $D$1),
    SUMIFS('자가소비(B)'!I:I, '자가소비(B)'!C:C, $E$1, '자가소비(B)'!G:G, B51, '자가소비(B)'!W:W, B53, '자가소비(B)'!U:U, $D$1),
    SUMIFS('PPA 사업(C)'!I:I, 'PPA 사업(C)'!C:C, $E$1, 'PPA 사업(C)'!G:G, B51, 'PPA 사업(C)'!W:W, B53, 'PPA 사업(C)'!U:U, $D$1),
    SUMIFS('리스사업(D)'!I:I, '리스사업(D)'!C:C, $E$1, '리스사업(D)'!G:G, B51, '리스사업(D)'!W:W, B53, '리스사업(D)'!U:U, $D$1),
    SUMIFS('임대사업(E)'!I:I, '임대사업(E)'!C:C, $E$1, '임대사업(E)'!G:G, B51, '임대사업(E)'!W:W, B53, '임대사업(E)'!U:U, $D$1),
    SUMIFS('환경부사업(F)'!I:I, '환경부사업(F)'!C:C, $E$1, '환경부사업(F)'!G:G, B51, '환경부사업(F)'!W:W, B53, '환경부사업(F)'!U:U, $D$1),
    SUMIFS('프로젝트(G)'!I:I, '프로젝트(G)'!C:C, $E$1, '프로젝트(G)'!G:G, B51, '프로젝트(G)'!W:W, B53, '프로젝트(G)'!U:U, $D$1),
    SUMIFS('협력사 EPC(H)'!I:I, '협력사 EPC(H)'!C:C, $E$1, '협력사 EPC(H)'!G:G, B51, '협력사 EPC(H)'!W:W, B53, '협력사 EPC(H)'!U:U, $D$1),
    SUMIFS('기타(Z)'!I:I, '기타(Z)'!C:C, $E$1, '기타(Z)'!G:G, B51, '기타(Z)'!W:W, B53, '기타(Z)'!U:U, $D$1)
  )
)</f>
        <v>122.88</v>
      </c>
      <c r="H53" s="281">
        <f>IF(
  (
    COUNTIFS('발전사업(A)'!C:C, $E$1, '발전사업(A)'!G:G, B51, '발전사업(A)'!W:W, B53, '발전사업(A)'!U:U, $D$1)
    + COUNTIFS('자가소비(B)'!C:C, $E$1, '자가소비(B)'!G:G, B51, '자가소비(B)'!W:W, B53, '자가소비(B)'!U:U, $D$1)
    + COUNTIFS('PPA 사업(C)'!C:C, $E$1, 'PPA 사업(C)'!G:G, B51, 'PPA 사업(C)'!W:W, B53, 'PPA 사업(C)'!U:U, $D$1)
    + COUNTIFS('리스사업(D)'!C:C, $E$1, '리스사업(D)'!G:G, B51, '리스사업(D)'!W:W, B53, '리스사업(D)'!U:U, $D$1)
    + COUNTIFS('임대사업(E)'!C:C, $E$1, '임대사업(E)'!G:G, B51, '임대사업(E)'!W:W, B53, '임대사업(E)'!U:U, $D$1)
    + COUNTIFS('환경부사업(F)'!C:C, $E$1, '환경부사업(F)'!G:G, B51, '환경부사업(F)'!W:W, B53, '환경부사업(F)'!U:U, $D$1)
    + COUNTIFS('프로젝트(G)'!C:C, $E$1, '프로젝트(G)'!G:G, B51, '프로젝트(G)'!W:W, B53, '프로젝트(G)'!U:U, $D$1)
    + COUNTIFS('협력사 EPC(H)'!C:C, $E$1, '협력사 EPC(H)'!G:G, B51, '협력사 EPC(H)'!W:W, B53, '협력사 EPC(H)'!U:U, $D$1)
    + COUNTIFS('기타(Z)'!C:C, $E$1, '기타(Z)'!G:G, B51, '기타(Z)'!W:W, B53, '기타(Z)'!U:U, $D$1)
  ) = 0,
  "",
  COUNTIFS('발전사업(A)'!C:C, $E$1, '발전사업(A)'!G:G, B51, '발전사업(A)'!W:W, B53, '발전사업(A)'!U:U, $D$1)
  + COUNTIFS('자가소비(B)'!C:C, $E$1, '자가소비(B)'!G:G, B51, '자가소비(B)'!W:W, B53, '자가소비(B)'!U:U, $D$1)
  + COUNTIFS('PPA 사업(C)'!C:C, $E$1, 'PPA 사업(C)'!G:G, B51, 'PPA 사업(C)'!W:W, B53, 'PPA 사업(C)'!U:U, $D$1)
  + COUNTIFS('리스사업(D)'!C:C, $E$1, '리스사업(D)'!G:G, B51, '리스사업(D)'!W:W, B53, '리스사업(D)'!U:U, $D$1)
  + COUNTIFS('임대사업(E)'!C:C, $E$1, '임대사업(E)'!G:G, B51, '임대사업(E)'!W:W, B53, '임대사업(E)'!U:U, $D$1)
  + COUNTIFS('환경부사업(F)'!C:C, $E$1, '환경부사업(F)'!G:G, B51, '환경부사업(F)'!W:W, B53, '환경부사업(F)'!U:U, $D$1)
  + COUNTIFS('프로젝트(G)'!C:C, $E$1, '프로젝트(G)'!G:G, B51, '프로젝트(G)'!W:W, B53, '프로젝트(G)'!U:U, $D$1)
  + COUNTIFS('협력사 EPC(H)'!C:C, $E$1, '협력사 EPC(H)'!G:G, B51, '협력사 EPC(H)'!W:W, B53, '협력사 EPC(H)'!U:U, $D$1)
  + COUNTIFS('기타(Z)'!C:C, $E$1, '기타(Z)'!G:G, B51, '기타(Z)'!W:W, B53, '기타(Z)'!U:U, $D$1)
)</f>
        <v>1</v>
      </c>
    </row>
    <row r="54" spans="2:8" x14ac:dyDescent="0.25">
      <c r="B54" s="202" t="s">
        <v>260</v>
      </c>
      <c r="C54" s="280">
        <f>IF(
  SUM(
    SUMIFS('발전사업(A)'!I:I, '발전사업(A)'!C:C, $E$1, '발전사업(A)'!G:G, B51, '발전사업(A)'!W:W, B54),
    SUMIFS('자가소비(B)'!I:I, '자가소비(B)'!C:C, $E$1, '자가소비(B)'!G:G, B51, '자가소비(B)'!W:W, B54),
    SUMIFS('PPA 사업(C)'!I:I, 'PPA 사업(C)'!C:C, $E$1, 'PPA 사업(C)'!G:G, B51, 'PPA 사업(C)'!W:W, B54),
    SUMIFS('리스사업(D)'!I:I, '리스사업(D)'!C:C, $E$1, '리스사업(D)'!G:G, B51, '리스사업(D)'!W:W, B54),
    SUMIFS('임대사업(E)'!I:I, '임대사업(E)'!C:C, $E$1, '임대사업(E)'!G:G, B51, '임대사업(E)'!W:W, B54),
    SUMIFS('환경부사업(F)'!I:I, '환경부사업(F)'!C:C, $E$1, '환경부사업(F)'!G:G, B51, '환경부사업(F)'!W:W, B54),
    SUMIFS('프로젝트(G)'!I:I, '프로젝트(G)'!C:C, $E$1, '프로젝트(G)'!G:G, B51, '프로젝트(G)'!W:W, B54),
    SUMIFS('협력사 EPC(H)'!I:I, '협력사 EPC(H)'!C:C, $E$1, '협력사 EPC(H)'!G:G, B51, '협력사 EPC(H)'!W:W, B54),
    SUMIFS('기타(Z)'!I:I, '기타(Z)'!C:C, $E$1, '기타(Z)'!G:G, B51, '기타(Z)'!W:W, B54)
  ) = 0,
  "",
  SUMIFS('발전사업(A)'!I:I, '발전사업(A)'!C:C, $E$1, '발전사업(A)'!G:G, B51, '발전사업(A)'!W:W, B54)
  + SUMIFS('자가소비(B)'!I:I, '자가소비(B)'!C:C, $E$1, '자가소비(B)'!G:G, B51, '자가소비(B)'!W:W, B54)
  + SUMIFS('PPA 사업(C)'!I:I, 'PPA 사업(C)'!C:C, $E$1, 'PPA 사업(C)'!G:G, B51, 'PPA 사업(C)'!W:W, B54)
  + SUMIFS('리스사업(D)'!I:I, '리스사업(D)'!C:C, $E$1, '리스사업(D)'!G:G, B51, '리스사업(D)'!W:W, B54)
  + SUMIFS('임대사업(E)'!I:I, '임대사업(E)'!C:C, $E$1, '임대사업(E)'!G:G, B51, '임대사업(E)'!W:W, B54)
  + SUMIFS('환경부사업(F)'!I:I, '환경부사업(F)'!C:C, $E$1, '환경부사업(F)'!G:G, B51, '환경부사업(F)'!W:W, B54)
  + SUMIFS('프로젝트(G)'!I:I, '프로젝트(G)'!C:C, $E$1, '프로젝트(G)'!G:G, B51, '프로젝트(G)'!W:W, B54)
  + SUMIFS('협력사 EPC(H)'!I:I, '협력사 EPC(H)'!C:C, $E$1, '협력사 EPC(H)'!G:G, B51, '협력사 EPC(H)'!W:W, B54)
  + SUMIFS('기타(Z)'!I:I, '기타(Z)'!C:C, $E$1, '기타(Z)'!G:G, B51, '기타(Z)'!W:W, B54)
)</f>
        <v>86.4</v>
      </c>
      <c r="D54" s="281">
        <f>IF(
  COUNTIFS('발전사업(A)'!C:C, $E$1, '발전사업(A)'!G:G, B51, '발전사업(A)'!W:W, B54)
  + COUNTIFS('자가소비(B)'!C:C, $E$1, '자가소비(B)'!G:G, B51, '자가소비(B)'!W:W, B54)
  + COUNTIFS('PPA 사업(C)'!C:C, $E$1, 'PPA 사업(C)'!G:G, B51, 'PPA 사업(C)'!W:W, B54)
  + COUNTIFS('리스사업(D)'!C:C, $E$1, '리스사업(D)'!G:G, B51, '리스사업(D)'!W:W, B54)
  + COUNTIFS('임대사업(E)'!C:C, $E$1, '임대사업(E)'!G:G, B51, '임대사업(E)'!W:W, B54)
  + COUNTIFS('환경부사업(F)'!C:C, $E$1, '환경부사업(F)'!G:G, B51, '환경부사업(F)'!W:W, B54)
  + COUNTIFS('프로젝트(G)'!C:C, $E$1, '프로젝트(G)'!G:G, B51, '프로젝트(G)'!W:W, B54)
  + COUNTIFS('협력사 EPC(H)'!C:C, $E$1, '협력사 EPC(H)'!G:G, B51, '협력사 EPC(H)'!W:W, B54)
  + COUNTIFS('기타(Z)'!C:C, $E$1, '기타(Z)'!G:G, B51, '기타(Z)'!W:W, B54)
  = 0,
  "",
  COUNTIFS('발전사업(A)'!C:C, $E$1, '발전사업(A)'!G:G, B51, '발전사업(A)'!W:W, B54)
  + COUNTIFS('자가소비(B)'!C:C, $E$1, '자가소비(B)'!G:G, B51, '자가소비(B)'!W:W, B54)
  + COUNTIFS('PPA 사업(C)'!C:C, $E$1, 'PPA 사업(C)'!G:G, B51, 'PPA 사업(C)'!W:W, B54)
  + COUNTIFS('리스사업(D)'!C:C, $E$1, '리스사업(D)'!G:G, B51, '리스사업(D)'!W:W, B54)
  + COUNTIFS('임대사업(E)'!C:C, $E$1, '임대사업(E)'!G:G, B51, '임대사업(E)'!W:W, B54)
  + COUNTIFS('환경부사업(F)'!C:C, $E$1, '환경부사업(F)'!G:G, B51, '환경부사업(F)'!W:W, B54)
  + COUNTIFS('프로젝트(G)'!C:C, $E$1, '프로젝트(G)'!G:G, B51, '프로젝트(G)'!W:W, B54)
  + COUNTIFS('협력사 EPC(H)'!C:C, $E$1, '협력사 EPC(H)'!G:G, B51, '협력사 EPC(H)'!W:W, B54)
  + COUNTIFS('기타(Z)'!C:C, $E$1, '기타(Z)'!G:G, B51, '기타(Z)'!W:W, B54)
)</f>
        <v>1</v>
      </c>
      <c r="E54" s="280">
        <f>IF(
  SUM(
    SUMIFS('발전사업(A)'!I:I, '발전사업(A)'!C:C, $E$1, '발전사업(A)'!G:G, B51, '발전사업(A)'!W:W, B54, '발전사업(A)'!U:U, $C$1),
    SUMIFS('자가소비(B)'!I:I, '자가소비(B)'!C:C, $E$1, '자가소비(B)'!G:G, B51, '자가소비(B)'!W:W, B54, '자가소비(B)'!U:U, $C$1),
    SUMIFS('PPA 사업(C)'!I:I, 'PPA 사업(C)'!C:C, $E$1, 'PPA 사업(C)'!G:G, B51, 'PPA 사업(C)'!W:W, B54, 'PPA 사업(C)'!U:U, $C$1),
    SUMIFS('리스사업(D)'!I:I, '리스사업(D)'!C:C, $E$1, '리스사업(D)'!G:G, B51, '리스사업(D)'!W:W, B54, '리스사업(D)'!U:U, $C$1),
    SUMIFS('임대사업(E)'!I:I, '임대사업(E)'!C:C, $E$1, '임대사업(E)'!G:G, B51, '임대사업(E)'!W:W, B54, '임대사업(E)'!U:U, $C$1),
    SUMIFS('환경부사업(F)'!I:I, '환경부사업(F)'!C:C, $E$1, '환경부사업(F)'!G:G, B51, '환경부사업(F)'!W:W, B54, '환경부사업(F)'!U:U, $C$1),
    SUMIFS('프로젝트(G)'!I:I, '프로젝트(G)'!C:C, $E$1, '프로젝트(G)'!G:G, B51, '프로젝트(G)'!W:W, B54, '프로젝트(G)'!U:U, $C$1),
    SUMIFS('협력사 EPC(H)'!I:I, '협력사 EPC(H)'!C:C, $E$1, '협력사 EPC(H)'!G:G, B51, '협력사 EPC(H)'!W:W, B54, '협력사 EPC(H)'!U:U, $C$1),
    SUMIFS('기타(Z)'!I:I, '기타(Z)'!C:C, $E$1, '기타(Z)'!G:G, B51, '기타(Z)'!W:W, B54, '기타(Z)'!U:U, $C$1)
  ) = 0,
  "",
  SUM(
    SUMIFS('발전사업(A)'!I:I, '발전사업(A)'!C:C, $E$1, '발전사업(A)'!G:G, B51, '발전사업(A)'!W:W, B54, '발전사업(A)'!U:U, $C$1),
    SUMIFS('자가소비(B)'!I:I, '자가소비(B)'!C:C, $E$1, '자가소비(B)'!G:G, B51, '자가소비(B)'!W:W, B54, '자가소비(B)'!U:U, $C$1),
    SUMIFS('PPA 사업(C)'!I:I, 'PPA 사업(C)'!C:C, $E$1, 'PPA 사업(C)'!G:G, B51, 'PPA 사업(C)'!W:W, B54, 'PPA 사업(C)'!U:U, $C$1),
    SUMIFS('리스사업(D)'!I:I, '리스사업(D)'!C:C, $E$1, '리스사업(D)'!G:G, B51, '리스사업(D)'!W:W, B54, '리스사업(D)'!U:U, $C$1),
    SUMIFS('임대사업(E)'!I:I, '임대사업(E)'!C:C, $E$1, '임대사업(E)'!G:G, B51, '임대사업(E)'!W:W, B54, '임대사업(E)'!U:U, $C$1),
    SUMIFS('환경부사업(F)'!I:I, '환경부사업(F)'!C:C, $E$1, '환경부사업(F)'!G:G, B51, '환경부사업(F)'!W:W, B54, '환경부사업(F)'!U:U, $C$1),
    SUMIFS('프로젝트(G)'!I:I, '프로젝트(G)'!C:C, $E$1, '프로젝트(G)'!G:G, B51, '프로젝트(G)'!W:W, B54, '프로젝트(G)'!U:U, $C$1),
    SUMIFS('협력사 EPC(H)'!I:I, '협력사 EPC(H)'!C:C, $E$1, '협력사 EPC(H)'!G:G, B51, '협력사 EPC(H)'!W:W, B54, '협력사 EPC(H)'!U:U, $C$1),
    SUMIFS('기타(Z)'!I:I, '기타(Z)'!C:C, $E$1, '기타(Z)'!G:G, B51, '기타(Z)'!W:W, B54, '기타(Z)'!U:U, $C$1)
  )
)</f>
        <v>86.4</v>
      </c>
      <c r="F54" s="281">
        <f>IF(
  SUM(
    COUNTIFS('발전사업(A)'!C:C, $E$1, '발전사업(A)'!G:G, B51, '발전사업(A)'!W:W, B54, '발전사업(A)'!U:U, $C$1),
    COUNTIFS('자가소비(B)'!C:C, $E$1, '자가소비(B)'!G:G, B51, '자가소비(B)'!W:W, B54, '자가소비(B)'!U:U, $C$1),
    COUNTIFS('PPA 사업(C)'!C:C, $E$1, 'PPA 사업(C)'!G:G, B51, 'PPA 사업(C)'!W:W, B54, 'PPA 사업(C)'!U:U, $C$1),
    COUNTIFS('리스사업(D)'!C:C, $E$1, '리스사업(D)'!G:G, B51, '리스사업(D)'!W:W, B54, '리스사업(D)'!U:U, $C$1),
    COUNTIFS('임대사업(E)'!C:C, $E$1, '임대사업(E)'!G:G, B51, '임대사업(E)'!W:W, B54, '임대사업(E)'!U:U, $C$1),
    COUNTIFS('환경부사업(F)'!C:C, $E$1, '환경부사업(F)'!G:G, B51, '환경부사업(F)'!W:W, B54, '환경부사업(F)'!U:U, $C$1),
    COUNTIFS('프로젝트(G)'!C:C, $E$1, '프로젝트(G)'!G:G, B51, '프로젝트(G)'!W:W, B54, '프로젝트(G)'!U:U, $C$1),
    COUNTIFS('협력사 EPC(H)'!C:C, $E$1, '협력사 EPC(H)'!G:G, B51, '협력사 EPC(H)'!W:W, B54, '협력사 EPC(H)'!U:U, $C$1),
    COUNTIFS('기타(Z)'!C:C, $E$1, '기타(Z)'!G:G, B51, '기타(Z)'!W:W, B54, '기타(Z)'!U:U, $C$1)
  ) = 0,
  "",
  SUM(
    COUNTIFS('발전사업(A)'!C:C, $E$1, '발전사업(A)'!G:G, B51, '발전사업(A)'!W:W, B54, '발전사업(A)'!U:U, $C$1),
    COUNTIFS('자가소비(B)'!C:C, $E$1, '자가소비(B)'!G:G, B51, '자가소비(B)'!W:W, B54, '자가소비(B)'!U:U, $C$1),
    COUNTIFS('PPA 사업(C)'!C:C, $E$1, 'PPA 사업(C)'!G:G, B51, 'PPA 사업(C)'!W:W, B54, 'PPA 사업(C)'!U:U, $C$1),
    COUNTIFS('리스사업(D)'!C:C, $E$1, '리스사업(D)'!G:G, B51, '리스사업(D)'!W:W, B54, '리스사업(D)'!U:U, $C$1),
    COUNTIFS('임대사업(E)'!C:C, $E$1, '임대사업(E)'!G:G, B51, '임대사업(E)'!W:W, B54, '임대사업(E)'!U:U, $C$1),
    COUNTIFS('환경부사업(F)'!C:C, $E$1, '환경부사업(F)'!G:G, B51, '환경부사업(F)'!W:W, B54, '환경부사업(F)'!U:U, $C$1),
    COUNTIFS('프로젝트(G)'!C:C, $E$1, '프로젝트(G)'!G:G, B51, '프로젝트(G)'!W:W, B54, '프로젝트(G)'!U:U, $C$1),
    COUNTIFS('협력사 EPC(H)'!C:C, $E$1, '협력사 EPC(H)'!G:G, B51, '협력사 EPC(H)'!W:W, B54, '협력사 EPC(H)'!U:U, $C$1),
    COUNTIFS('기타(Z)'!C:C, $E$1, '기타(Z)'!G:G, B51, '기타(Z)'!W:W, B54, '기타(Z)'!U:U, $C$1)
  )
)</f>
        <v>1</v>
      </c>
      <c r="G54" s="280" t="str">
        <f>IF(
  SUM(
    SUMIFS('발전사업(A)'!I:I, '발전사업(A)'!C:C, $E$1, '발전사업(A)'!G:G, B51, '발전사업(A)'!W:W, B54, '발전사업(A)'!U:U, $D$1),
    SUMIFS('자가소비(B)'!I:I, '자가소비(B)'!C:C, $E$1, '자가소비(B)'!G:G, B51, '자가소비(B)'!W:W, B54, '자가소비(B)'!U:U, $D$1),
    SUMIFS('PPA 사업(C)'!I:I, 'PPA 사업(C)'!C:C, $E$1, 'PPA 사업(C)'!G:G, B51, 'PPA 사업(C)'!W:W, B54, 'PPA 사업(C)'!U:U, $D$1),
    SUMIFS('리스사업(D)'!I:I, '리스사업(D)'!C:C, $E$1, '리스사업(D)'!G:G, B51, '리스사업(D)'!W:W, B54, '리스사업(D)'!U:U, $D$1),
    SUMIFS('임대사업(E)'!I:I, '임대사업(E)'!C:C, $E$1, '임대사업(E)'!G:G, B51, '임대사업(E)'!W:W, B54, '임대사업(E)'!U:U, $D$1),
    SUMIFS('환경부사업(F)'!I:I, '환경부사업(F)'!C:C, $E$1, '환경부사업(F)'!G:G, B51, '환경부사업(F)'!W:W, B54, '환경부사업(F)'!U:U, $D$1),
    SUMIFS('프로젝트(G)'!I:I, '프로젝트(G)'!C:C, $E$1, '프로젝트(G)'!G:G, B51, '프로젝트(G)'!W:W, B54, '프로젝트(G)'!U:U, $D$1),
    SUMIFS('협력사 EPC(H)'!I:I, '협력사 EPC(H)'!C:C, $E$1, '협력사 EPC(H)'!G:G, B51, '협력사 EPC(H)'!W:W, B54, '협력사 EPC(H)'!U:U, $D$1),
    SUMIFS('기타(Z)'!I:I, '기타(Z)'!C:C, $E$1, '기타(Z)'!G:G, B51, '기타(Z)'!W:W, B54, '기타(Z)'!U:U, $D$1)
  ) = 0,
  "",
  SUM(
    SUMIFS('발전사업(A)'!I:I, '발전사업(A)'!C:C, $E$1, '발전사업(A)'!G:G, B51, '발전사업(A)'!W:W, B54, '발전사업(A)'!U:U, $D$1),
    SUMIFS('자가소비(B)'!I:I, '자가소비(B)'!C:C, $E$1, '자가소비(B)'!G:G, B51, '자가소비(B)'!W:W, B54, '자가소비(B)'!U:U, $D$1),
    SUMIFS('PPA 사업(C)'!I:I, 'PPA 사업(C)'!C:C, $E$1, 'PPA 사업(C)'!G:G, B51, 'PPA 사업(C)'!W:W, B54, 'PPA 사업(C)'!U:U, $D$1),
    SUMIFS('리스사업(D)'!I:I, '리스사업(D)'!C:C, $E$1, '리스사업(D)'!G:G, B51, '리스사업(D)'!W:W, B54, '리스사업(D)'!U:U, $D$1),
    SUMIFS('임대사업(E)'!I:I, '임대사업(E)'!C:C, $E$1, '임대사업(E)'!G:G, B51, '임대사업(E)'!W:W, B54, '임대사업(E)'!U:U, $D$1),
    SUMIFS('환경부사업(F)'!I:I, '환경부사업(F)'!C:C, $E$1, '환경부사업(F)'!G:G, B51, '환경부사업(F)'!W:W, B54, '환경부사업(F)'!U:U, $D$1),
    SUMIFS('프로젝트(G)'!I:I, '프로젝트(G)'!C:C, $E$1, '프로젝트(G)'!G:G, B51, '프로젝트(G)'!W:W, B54, '프로젝트(G)'!U:U, $D$1),
    SUMIFS('협력사 EPC(H)'!I:I, '협력사 EPC(H)'!C:C, $E$1, '협력사 EPC(H)'!G:G, B51, '협력사 EPC(H)'!W:W, B54, '협력사 EPC(H)'!U:U, $D$1),
    SUMIFS('기타(Z)'!I:I, '기타(Z)'!C:C, $E$1, '기타(Z)'!G:G, B51, '기타(Z)'!W:W, B54, '기타(Z)'!U:U, $D$1)
  )
)</f>
        <v/>
      </c>
      <c r="H54" s="281" t="str">
        <f>IF(
  (
    COUNTIFS('발전사업(A)'!C:C, $E$1, '발전사업(A)'!G:G, B51, '발전사업(A)'!W:W, B54, '발전사업(A)'!U:U, $D$1)
    + COUNTIFS('자가소비(B)'!C:C, $E$1, '자가소비(B)'!G:G, B51, '자가소비(B)'!W:W, B54, '자가소비(B)'!U:U, $D$1)
    + COUNTIFS('PPA 사업(C)'!C:C, $E$1, 'PPA 사업(C)'!G:G, B51, 'PPA 사업(C)'!W:W, B54, 'PPA 사업(C)'!U:U, $D$1)
    + COUNTIFS('리스사업(D)'!C:C, $E$1, '리스사업(D)'!G:G, B51, '리스사업(D)'!W:W, B54, '리스사업(D)'!U:U, $D$1)
    + COUNTIFS('임대사업(E)'!C:C, $E$1, '임대사업(E)'!G:G, B51, '임대사업(E)'!W:W, B54, '임대사업(E)'!U:U, $D$1)
    + COUNTIFS('환경부사업(F)'!C:C, $E$1, '환경부사업(F)'!G:G, B51, '환경부사업(F)'!W:W, B54, '환경부사업(F)'!U:U, $D$1)
    + COUNTIFS('프로젝트(G)'!C:C, $E$1, '프로젝트(G)'!G:G, B51, '프로젝트(G)'!W:W, B54, '프로젝트(G)'!U:U, $D$1)
    + COUNTIFS('협력사 EPC(H)'!C:C, $E$1, '협력사 EPC(H)'!G:G, B51, '협력사 EPC(H)'!W:W, B54, '협력사 EPC(H)'!U:U, $D$1)
    + COUNTIFS('기타(Z)'!C:C, $E$1, '기타(Z)'!G:G, B51, '기타(Z)'!W:W, B54, '기타(Z)'!U:U, $D$1)
  ) = 0,
  "",
  COUNTIFS('발전사업(A)'!C:C, $E$1, '발전사업(A)'!G:G, B51, '발전사업(A)'!W:W, B54, '발전사업(A)'!U:U, $D$1)
  + COUNTIFS('자가소비(B)'!C:C, $E$1, '자가소비(B)'!G:G, B51, '자가소비(B)'!W:W, B54, '자가소비(B)'!U:U, $D$1)
  + COUNTIFS('PPA 사업(C)'!C:C, $E$1, 'PPA 사업(C)'!G:G, B51, 'PPA 사업(C)'!W:W, B54, 'PPA 사업(C)'!U:U, $D$1)
  + COUNTIFS('리스사업(D)'!C:C, $E$1, '리스사업(D)'!G:G, B51, '리스사업(D)'!W:W, B54, '리스사업(D)'!U:U, $D$1)
  + COUNTIFS('임대사업(E)'!C:C, $E$1, '임대사업(E)'!G:G, B51, '임대사업(E)'!W:W, B54, '임대사업(E)'!U:U, $D$1)
  + COUNTIFS('환경부사업(F)'!C:C, $E$1, '환경부사업(F)'!G:G, B51, '환경부사업(F)'!W:W, B54, '환경부사업(F)'!U:U, $D$1)
  + COUNTIFS('프로젝트(G)'!C:C, $E$1, '프로젝트(G)'!G:G, B51, '프로젝트(G)'!W:W, B54, '프로젝트(G)'!U:U, $D$1)
  + COUNTIFS('협력사 EPC(H)'!C:C, $E$1, '협력사 EPC(H)'!G:G, B51, '협력사 EPC(H)'!W:W, B54, '협력사 EPC(H)'!U:U, $D$1)
  + COUNTIFS('기타(Z)'!C:C, $E$1, '기타(Z)'!G:G, B51, '기타(Z)'!W:W, B54, '기타(Z)'!U:U, $D$1)
)</f>
        <v/>
      </c>
    </row>
    <row r="55" spans="2:8" x14ac:dyDescent="0.25">
      <c r="B55" s="202" t="s">
        <v>261</v>
      </c>
      <c r="C55" s="280">
        <f>IF(
  SUM(
    SUMIFS('발전사업(A)'!I:I, '발전사업(A)'!C:C, $E$1, '발전사업(A)'!G:G, B51, '발전사업(A)'!W:W, B55),
    SUMIFS('자가소비(B)'!I:I, '자가소비(B)'!C:C, $E$1, '자가소비(B)'!G:G, B51, '자가소비(B)'!W:W, B55),
    SUMIFS('PPA 사업(C)'!I:I, 'PPA 사업(C)'!C:C, $E$1, 'PPA 사업(C)'!G:G, B51, 'PPA 사업(C)'!W:W, B55),
    SUMIFS('리스사업(D)'!I:I, '리스사업(D)'!C:C, $E$1, '리스사업(D)'!G:G, B51, '리스사업(D)'!W:W, B55),
    SUMIFS('임대사업(E)'!I:I, '임대사업(E)'!C:C, $E$1, '임대사업(E)'!G:G, B51, '임대사업(E)'!W:W, B55),
    SUMIFS('환경부사업(F)'!I:I, '환경부사업(F)'!C:C, $E$1, '환경부사업(F)'!G:G, B51, '환경부사업(F)'!W:W, B55),
    SUMIFS('프로젝트(G)'!I:I, '프로젝트(G)'!C:C, $E$1, '프로젝트(G)'!G:G, B51, '프로젝트(G)'!W:W, B55),
    SUMIFS('협력사 EPC(H)'!I:I, '협력사 EPC(H)'!C:C, $E$1, '협력사 EPC(H)'!G:G, B51, '협력사 EPC(H)'!W:W, B55),
    SUMIFS('기타(Z)'!I:I, '기타(Z)'!C:C, $E$1, '기타(Z)'!G:G, B51, '기타(Z)'!W:W, B55)
  ) = 0,
  "",
  SUMIFS('발전사업(A)'!I:I, '발전사업(A)'!C:C, $E$1, '발전사업(A)'!G:G, B51, '발전사업(A)'!W:W, B55)
  + SUMIFS('자가소비(B)'!I:I, '자가소비(B)'!C:C, $E$1, '자가소비(B)'!G:G, B51, '자가소비(B)'!W:W, B55)
  + SUMIFS('PPA 사업(C)'!I:I, 'PPA 사업(C)'!C:C, $E$1, 'PPA 사업(C)'!G:G, B51, 'PPA 사업(C)'!W:W, B55)
  + SUMIFS('리스사업(D)'!I:I, '리스사업(D)'!C:C, $E$1, '리스사업(D)'!G:G, B51, '리스사업(D)'!W:W, B55)
  + SUMIFS('임대사업(E)'!I:I, '임대사업(E)'!C:C, $E$1, '임대사업(E)'!G:G, B51, '임대사업(E)'!W:W, B55)
  + SUMIFS('환경부사업(F)'!I:I, '환경부사업(F)'!C:C, $E$1, '환경부사업(F)'!G:G, B51, '환경부사업(F)'!W:W, B55)
  + SUMIFS('프로젝트(G)'!I:I, '프로젝트(G)'!C:C, $E$1, '프로젝트(G)'!G:G, B51, '프로젝트(G)'!W:W, B55)
  + SUMIFS('협력사 EPC(H)'!I:I, '협력사 EPC(H)'!C:C, $E$1, '협력사 EPC(H)'!G:G, B51, '협력사 EPC(H)'!W:W, B55)
  + SUMIFS('기타(Z)'!I:I, '기타(Z)'!C:C, $E$1, '기타(Z)'!G:G, B51, '기타(Z)'!W:W, B55)
)</f>
        <v>143.36000000000001</v>
      </c>
      <c r="D55" s="281">
        <f>IF(
  COUNTIFS('발전사업(A)'!C:C, $E$1, '발전사업(A)'!G:G, B51, '발전사업(A)'!W:W, B55)
  + COUNTIFS('자가소비(B)'!C:C, $E$1, '자가소비(B)'!G:G, B51, '자가소비(B)'!W:W, B55)
  + COUNTIFS('PPA 사업(C)'!C:C, $E$1, 'PPA 사업(C)'!G:G, B51, 'PPA 사업(C)'!W:W, B55)
  + COUNTIFS('리스사업(D)'!C:C, $E$1, '리스사업(D)'!G:G, B51, '리스사업(D)'!W:W, B55)
  + COUNTIFS('임대사업(E)'!C:C, $E$1, '임대사업(E)'!G:G, B51, '임대사업(E)'!W:W, B55)
  + COUNTIFS('환경부사업(F)'!C:C, $E$1, '환경부사업(F)'!G:G, B51, '환경부사업(F)'!W:W, B55)
  + COUNTIFS('프로젝트(G)'!C:C, $E$1, '프로젝트(G)'!G:G, B51, '프로젝트(G)'!W:W, B55)
  + COUNTIFS('협력사 EPC(H)'!C:C, $E$1, '협력사 EPC(H)'!G:G, B51, '협력사 EPC(H)'!W:W, B55)
  + COUNTIFS('기타(Z)'!C:C, $E$1, '기타(Z)'!G:G, B51, '기타(Z)'!W:W, B55)
  = 0,
  "",
  COUNTIFS('발전사업(A)'!C:C, $E$1, '발전사업(A)'!G:G, B51, '발전사업(A)'!W:W, B55)
  + COUNTIFS('자가소비(B)'!C:C, $E$1, '자가소비(B)'!G:G, B51, '자가소비(B)'!W:W, B55)
  + COUNTIFS('PPA 사업(C)'!C:C, $E$1, 'PPA 사업(C)'!G:G, B51, 'PPA 사업(C)'!W:W, B55)
  + COUNTIFS('리스사업(D)'!C:C, $E$1, '리스사업(D)'!G:G, B51, '리스사업(D)'!W:W, B55)
  + COUNTIFS('임대사업(E)'!C:C, $E$1, '임대사업(E)'!G:G, B51, '임대사업(E)'!W:W, B55)
  + COUNTIFS('환경부사업(F)'!C:C, $E$1, '환경부사업(F)'!G:G, B51, '환경부사업(F)'!W:W, B55)
  + COUNTIFS('프로젝트(G)'!C:C, $E$1, '프로젝트(G)'!G:G, B51, '프로젝트(G)'!W:W, B55)
  + COUNTIFS('협력사 EPC(H)'!C:C, $E$1, '협력사 EPC(H)'!G:G, B51, '협력사 EPC(H)'!W:W, B55)
  + COUNTIFS('기타(Z)'!C:C, $E$1, '기타(Z)'!G:G, B51, '기타(Z)'!W:W, B55)
)</f>
        <v>1</v>
      </c>
      <c r="E55" s="280">
        <f>IF(
  SUM(
    SUMIFS('발전사업(A)'!I:I, '발전사업(A)'!C:C, $E$1, '발전사업(A)'!G:G, B51, '발전사업(A)'!W:W, B55, '발전사업(A)'!U:U, $C$1),
    SUMIFS('자가소비(B)'!I:I, '자가소비(B)'!C:C, $E$1, '자가소비(B)'!G:G, B51, '자가소비(B)'!W:W, B55, '자가소비(B)'!U:U, $C$1),
    SUMIFS('PPA 사업(C)'!I:I, 'PPA 사업(C)'!C:C, $E$1, 'PPA 사업(C)'!G:G, B51, 'PPA 사업(C)'!W:W, B55, 'PPA 사업(C)'!U:U, $C$1),
    SUMIFS('리스사업(D)'!I:I, '리스사업(D)'!C:C, $E$1, '리스사업(D)'!G:G, B51, '리스사업(D)'!W:W, B55, '리스사업(D)'!U:U, $C$1),
    SUMIFS('임대사업(E)'!I:I, '임대사업(E)'!C:C, $E$1, '임대사업(E)'!G:G, B51, '임대사업(E)'!W:W, B55, '임대사업(E)'!U:U, $C$1),
    SUMIFS('환경부사업(F)'!I:I, '환경부사업(F)'!C:C, $E$1, '환경부사업(F)'!G:G, B51, '환경부사업(F)'!W:W, B55, '환경부사업(F)'!U:U, $C$1),
    SUMIFS('프로젝트(G)'!I:I, '프로젝트(G)'!C:C, $E$1, '프로젝트(G)'!G:G, B51, '프로젝트(G)'!W:W, B55, '프로젝트(G)'!U:U, $C$1),
    SUMIFS('협력사 EPC(H)'!I:I, '협력사 EPC(H)'!C:C, $E$1, '협력사 EPC(H)'!G:G, B51, '협력사 EPC(H)'!W:W, B55, '협력사 EPC(H)'!U:U, $C$1),
    SUMIFS('기타(Z)'!I:I, '기타(Z)'!C:C, $E$1, '기타(Z)'!G:G, B51, '기타(Z)'!W:W, B55, '기타(Z)'!U:U, $C$1)
  ) = 0,
  "",
  SUM(
    SUMIFS('발전사업(A)'!I:I, '발전사업(A)'!C:C, $E$1, '발전사업(A)'!G:G, B51, '발전사업(A)'!W:W, B55, '발전사업(A)'!U:U, $C$1),
    SUMIFS('자가소비(B)'!I:I, '자가소비(B)'!C:C, $E$1, '자가소비(B)'!G:G, B51, '자가소비(B)'!W:W, B55, '자가소비(B)'!U:U, $C$1),
    SUMIFS('PPA 사업(C)'!I:I, 'PPA 사업(C)'!C:C, $E$1, 'PPA 사업(C)'!G:G, B51, 'PPA 사업(C)'!W:W, B55, 'PPA 사업(C)'!U:U, $C$1),
    SUMIFS('리스사업(D)'!I:I, '리스사업(D)'!C:C, $E$1, '리스사업(D)'!G:G, B51, '리스사업(D)'!W:W, B55, '리스사업(D)'!U:U, $C$1),
    SUMIFS('임대사업(E)'!I:I, '임대사업(E)'!C:C, $E$1, '임대사업(E)'!G:G, B51, '임대사업(E)'!W:W, B55, '임대사업(E)'!U:U, $C$1),
    SUMIFS('환경부사업(F)'!I:I, '환경부사업(F)'!C:C, $E$1, '환경부사업(F)'!G:G, B51, '환경부사업(F)'!W:W, B55, '환경부사업(F)'!U:U, $C$1),
    SUMIFS('프로젝트(G)'!I:I, '프로젝트(G)'!C:C, $E$1, '프로젝트(G)'!G:G, B51, '프로젝트(G)'!W:W, B55, '프로젝트(G)'!U:U, $C$1),
    SUMIFS('협력사 EPC(H)'!I:I, '협력사 EPC(H)'!C:C, $E$1, '협력사 EPC(H)'!G:G, B51, '협력사 EPC(H)'!W:W, B55, '협력사 EPC(H)'!U:U, $C$1),
    SUMIFS('기타(Z)'!I:I, '기타(Z)'!C:C, $E$1, '기타(Z)'!G:G, B51, '기타(Z)'!W:W, B55, '기타(Z)'!U:U, $C$1)
  )
)</f>
        <v>143.36000000000001</v>
      </c>
      <c r="F55" s="281">
        <f>IF(
  SUM(
    COUNTIFS('발전사업(A)'!C:C, $E$1, '발전사업(A)'!G:G, B51, '발전사업(A)'!W:W, B55, '발전사업(A)'!U:U, $C$1),
    COUNTIFS('자가소비(B)'!C:C, $E$1, '자가소비(B)'!G:G, B51, '자가소비(B)'!W:W, B55, '자가소비(B)'!U:U, $C$1),
    COUNTIFS('PPA 사업(C)'!C:C, $E$1, 'PPA 사업(C)'!G:G, B51, 'PPA 사업(C)'!W:W, B55, 'PPA 사업(C)'!U:U, $C$1),
    COUNTIFS('리스사업(D)'!C:C, $E$1, '리스사업(D)'!G:G, B51, '리스사업(D)'!W:W, B55, '리스사업(D)'!U:U, $C$1),
    COUNTIFS('임대사업(E)'!C:C, $E$1, '임대사업(E)'!G:G, B51, '임대사업(E)'!W:W, B55, '임대사업(E)'!U:U, $C$1),
    COUNTIFS('환경부사업(F)'!C:C, $E$1, '환경부사업(F)'!G:G, B51, '환경부사업(F)'!W:W, B55, '환경부사업(F)'!U:U, $C$1),
    COUNTIFS('프로젝트(G)'!C:C, $E$1, '프로젝트(G)'!G:G, B51, '프로젝트(G)'!W:W, B55, '프로젝트(G)'!U:U, $C$1),
    COUNTIFS('협력사 EPC(H)'!C:C, $E$1, '협력사 EPC(H)'!G:G, B51, '협력사 EPC(H)'!W:W, B55, '협력사 EPC(H)'!U:U, $C$1),
    COUNTIFS('기타(Z)'!C:C, $E$1, '기타(Z)'!G:G, B51, '기타(Z)'!W:W, B55, '기타(Z)'!U:U, $C$1)
  ) = 0,
  "",
  SUM(
    COUNTIFS('발전사업(A)'!C:C, $E$1, '발전사업(A)'!G:G, B51, '발전사업(A)'!W:W, B55, '발전사업(A)'!U:U, $C$1),
    COUNTIFS('자가소비(B)'!C:C, $E$1, '자가소비(B)'!G:G, B51, '자가소비(B)'!W:W, B55, '자가소비(B)'!U:U, $C$1),
    COUNTIFS('PPA 사업(C)'!C:C, $E$1, 'PPA 사업(C)'!G:G, B51, 'PPA 사업(C)'!W:W, B55, 'PPA 사업(C)'!U:U, $C$1),
    COUNTIFS('리스사업(D)'!C:C, $E$1, '리스사업(D)'!G:G, B51, '리스사업(D)'!W:W, B55, '리스사업(D)'!U:U, $C$1),
    COUNTIFS('임대사업(E)'!C:C, $E$1, '임대사업(E)'!G:G, B51, '임대사업(E)'!W:W, B55, '임대사업(E)'!U:U, $C$1),
    COUNTIFS('환경부사업(F)'!C:C, $E$1, '환경부사업(F)'!G:G, B51, '환경부사업(F)'!W:W, B55, '환경부사업(F)'!U:U, $C$1),
    COUNTIFS('프로젝트(G)'!C:C, $E$1, '프로젝트(G)'!G:G, B51, '프로젝트(G)'!W:W, B55, '프로젝트(G)'!U:U, $C$1),
    COUNTIFS('협력사 EPC(H)'!C:C, $E$1, '협력사 EPC(H)'!G:G, B51, '협력사 EPC(H)'!W:W, B55, '협력사 EPC(H)'!U:U, $C$1),
    COUNTIFS('기타(Z)'!C:C, $E$1, '기타(Z)'!G:G, B51, '기타(Z)'!W:W, B55, '기타(Z)'!U:U, $C$1)
  )
)</f>
        <v>1</v>
      </c>
      <c r="G55" s="280" t="str">
        <f>IF(
  SUM(
    SUMIFS('발전사업(A)'!I:I, '발전사업(A)'!C:C, $E$1, '발전사업(A)'!G:G, B51, '발전사업(A)'!W:W, B55, '발전사업(A)'!U:U, $D$1),
    SUMIFS('자가소비(B)'!I:I, '자가소비(B)'!C:C, $E$1, '자가소비(B)'!G:G, B51, '자가소비(B)'!W:W, B55, '자가소비(B)'!U:U, $D$1),
    SUMIFS('PPA 사업(C)'!I:I, 'PPA 사업(C)'!C:C, $E$1, 'PPA 사업(C)'!G:G, B51, 'PPA 사업(C)'!W:W, B55, 'PPA 사업(C)'!U:U, $D$1),
    SUMIFS('리스사업(D)'!I:I, '리스사업(D)'!C:C, $E$1, '리스사업(D)'!G:G, B51, '리스사업(D)'!W:W, B55, '리스사업(D)'!U:U, $D$1),
    SUMIFS('임대사업(E)'!I:I, '임대사업(E)'!C:C, $E$1, '임대사업(E)'!G:G, B51, '임대사업(E)'!W:W, B55, '임대사업(E)'!U:U, $D$1),
    SUMIFS('환경부사업(F)'!I:I, '환경부사업(F)'!C:C, $E$1, '환경부사업(F)'!G:G, B51, '환경부사업(F)'!W:W, B55, '환경부사업(F)'!U:U, $D$1),
    SUMIFS('프로젝트(G)'!I:I, '프로젝트(G)'!C:C, $E$1, '프로젝트(G)'!G:G, B51, '프로젝트(G)'!W:W, B55, '프로젝트(G)'!U:U, $D$1),
    SUMIFS('협력사 EPC(H)'!I:I, '협력사 EPC(H)'!C:C, $E$1, '협력사 EPC(H)'!G:G, B51, '협력사 EPC(H)'!W:W, B55, '협력사 EPC(H)'!U:U, $D$1),
    SUMIFS('기타(Z)'!I:I, '기타(Z)'!C:C, $E$1, '기타(Z)'!G:G, B51, '기타(Z)'!W:W, B55, '기타(Z)'!U:U, $D$1)
  ) = 0,
  "",
  SUM(
    SUMIFS('발전사업(A)'!I:I, '발전사업(A)'!C:C, $E$1, '발전사업(A)'!G:G, B51, '발전사업(A)'!W:W, B55, '발전사업(A)'!U:U, $D$1),
    SUMIFS('자가소비(B)'!I:I, '자가소비(B)'!C:C, $E$1, '자가소비(B)'!G:G, B51, '자가소비(B)'!W:W, B55, '자가소비(B)'!U:U, $D$1),
    SUMIFS('PPA 사업(C)'!I:I, 'PPA 사업(C)'!C:C, $E$1, 'PPA 사업(C)'!G:G, B51, 'PPA 사업(C)'!W:W, B55, 'PPA 사업(C)'!U:U, $D$1),
    SUMIFS('리스사업(D)'!I:I, '리스사업(D)'!C:C, $E$1, '리스사업(D)'!G:G, B51, '리스사업(D)'!W:W, B55, '리스사업(D)'!U:U, $D$1),
    SUMIFS('임대사업(E)'!I:I, '임대사업(E)'!C:C, $E$1, '임대사업(E)'!G:G, B51, '임대사업(E)'!W:W, B55, '임대사업(E)'!U:U, $D$1),
    SUMIFS('환경부사업(F)'!I:I, '환경부사업(F)'!C:C, $E$1, '환경부사업(F)'!G:G, B51, '환경부사업(F)'!W:W, B55, '환경부사업(F)'!U:U, $D$1),
    SUMIFS('프로젝트(G)'!I:I, '프로젝트(G)'!C:C, $E$1, '프로젝트(G)'!G:G, B51, '프로젝트(G)'!W:W, B55, '프로젝트(G)'!U:U, $D$1),
    SUMIFS('협력사 EPC(H)'!I:I, '협력사 EPC(H)'!C:C, $E$1, '협력사 EPC(H)'!G:G, B51, '협력사 EPC(H)'!W:W, B55, '협력사 EPC(H)'!U:U, $D$1),
    SUMIFS('기타(Z)'!I:I, '기타(Z)'!C:C, $E$1, '기타(Z)'!G:G, B51, '기타(Z)'!W:W, B55, '기타(Z)'!U:U, $D$1)
  )
)</f>
        <v/>
      </c>
      <c r="H55" s="281" t="str">
        <f>IF(
  (
    COUNTIFS('발전사업(A)'!C:C, $E$1, '발전사업(A)'!G:G, B51, '발전사업(A)'!W:W, B55, '발전사업(A)'!U:U, $D$1)
    + COUNTIFS('자가소비(B)'!C:C, $E$1, '자가소비(B)'!G:G, B51, '자가소비(B)'!W:W, B55, '자가소비(B)'!U:U, $D$1)
    + COUNTIFS('PPA 사업(C)'!C:C, $E$1, 'PPA 사업(C)'!G:G, B51, 'PPA 사업(C)'!W:W, B55, 'PPA 사업(C)'!U:U, $D$1)
    + COUNTIFS('리스사업(D)'!C:C, $E$1, '리스사업(D)'!G:G, B51, '리스사업(D)'!W:W, B55, '리스사업(D)'!U:U, $D$1)
    + COUNTIFS('임대사업(E)'!C:C, $E$1, '임대사업(E)'!G:G, B51, '임대사업(E)'!W:W, B55, '임대사업(E)'!U:U, $D$1)
    + COUNTIFS('환경부사업(F)'!C:C, $E$1, '환경부사업(F)'!G:G, B51, '환경부사업(F)'!W:W, B55, '환경부사업(F)'!U:U, $D$1)
    + COUNTIFS('프로젝트(G)'!C:C, $E$1, '프로젝트(G)'!G:G, B51, '프로젝트(G)'!W:W, B55, '프로젝트(G)'!U:U, $D$1)
    + COUNTIFS('협력사 EPC(H)'!C:C, $E$1, '협력사 EPC(H)'!G:G, B51, '협력사 EPC(H)'!W:W, B55, '협력사 EPC(H)'!U:U, $D$1)
    + COUNTIFS('기타(Z)'!C:C, $E$1, '기타(Z)'!G:G, B51, '기타(Z)'!W:W, B55, '기타(Z)'!U:U, $D$1)
  ) = 0,
  "",
  COUNTIFS('발전사업(A)'!C:C, $E$1, '발전사업(A)'!G:G, B51, '발전사업(A)'!W:W, B55, '발전사업(A)'!U:U, $D$1)
  + COUNTIFS('자가소비(B)'!C:C, $E$1, '자가소비(B)'!G:G, B51, '자가소비(B)'!W:W, B55, '자가소비(B)'!U:U, $D$1)
  + COUNTIFS('PPA 사업(C)'!C:C, $E$1, 'PPA 사업(C)'!G:G, B51, 'PPA 사업(C)'!W:W, B55, 'PPA 사업(C)'!U:U, $D$1)
  + COUNTIFS('리스사업(D)'!C:C, $E$1, '리스사업(D)'!G:G, B51, '리스사업(D)'!W:W, B55, '리스사업(D)'!U:U, $D$1)
  + COUNTIFS('임대사업(E)'!C:C, $E$1, '임대사업(E)'!G:G, B51, '임대사업(E)'!W:W, B55, '임대사업(E)'!U:U, $D$1)
  + COUNTIFS('환경부사업(F)'!C:C, $E$1, '환경부사업(F)'!G:G, B51, '환경부사업(F)'!W:W, B55, '환경부사업(F)'!U:U, $D$1)
  + COUNTIFS('프로젝트(G)'!C:C, $E$1, '프로젝트(G)'!G:G, B51, '프로젝트(G)'!W:W, B55, '프로젝트(G)'!U:U, $D$1)
  + COUNTIFS('협력사 EPC(H)'!C:C, $E$1, '협력사 EPC(H)'!G:G, B51, '협력사 EPC(H)'!W:W, B55, '협력사 EPC(H)'!U:U, $D$1)
  + COUNTIFS('기타(Z)'!C:C, $E$1, '기타(Z)'!G:G, B51, '기타(Z)'!W:W, B55, '기타(Z)'!U:U, $D$1)
)</f>
        <v/>
      </c>
    </row>
    <row r="56" spans="2:8" x14ac:dyDescent="0.25">
      <c r="B56" s="202" t="s">
        <v>262</v>
      </c>
      <c r="C56" s="280" t="str">
        <f>IF(
  SUM(
    SUMIFS('발전사업(A)'!I:I, '발전사업(A)'!C:C, $E$1, '발전사업(A)'!G:G, B51, '발전사업(A)'!W:W, B56),
    SUMIFS('자가소비(B)'!I:I, '자가소비(B)'!C:C, $E$1, '자가소비(B)'!G:G, B51, '자가소비(B)'!W:W, B56),
    SUMIFS('PPA 사업(C)'!I:I, 'PPA 사업(C)'!C:C, $E$1, 'PPA 사업(C)'!G:G, B51, 'PPA 사업(C)'!W:W, B56),
    SUMIFS('리스사업(D)'!I:I, '리스사업(D)'!C:C, $E$1, '리스사업(D)'!G:G, B51, '리스사업(D)'!W:W, B56),
    SUMIFS('임대사업(E)'!I:I, '임대사업(E)'!C:C, $E$1, '임대사업(E)'!G:G, B51, '임대사업(E)'!W:W, B56),
    SUMIFS('환경부사업(F)'!I:I, '환경부사업(F)'!C:C, $E$1, '환경부사업(F)'!G:G, B51, '환경부사업(F)'!W:W, B56),
    SUMIFS('프로젝트(G)'!I:I, '프로젝트(G)'!C:C, $E$1, '프로젝트(G)'!G:G, B51, '프로젝트(G)'!W:W, B56),
    SUMIFS('협력사 EPC(H)'!I:I, '협력사 EPC(H)'!C:C, $E$1, '협력사 EPC(H)'!G:G, B51, '협력사 EPC(H)'!W:W, B56),
    SUMIFS('기타(Z)'!I:I, '기타(Z)'!C:C, $E$1, '기타(Z)'!G:G, B51, '기타(Z)'!W:W, B56)
  ) = 0,
  "",
  SUMIFS('발전사업(A)'!I:I, '발전사업(A)'!C:C, $E$1, '발전사업(A)'!G:G, B51, '발전사업(A)'!W:W, B56)
  + SUMIFS('자가소비(B)'!I:I, '자가소비(B)'!C:C, $E$1, '자가소비(B)'!G:G, B51, '자가소비(B)'!W:W, B56)
  + SUMIFS('PPA 사업(C)'!I:I, 'PPA 사업(C)'!C:C, $E$1, 'PPA 사업(C)'!G:G, B51, 'PPA 사업(C)'!W:W, B56)
  + SUMIFS('리스사업(D)'!I:I, '리스사업(D)'!C:C, $E$1, '리스사업(D)'!G:G, B51, '리스사업(D)'!W:W, B56)
  + SUMIFS('임대사업(E)'!I:I, '임대사업(E)'!C:C, $E$1, '임대사업(E)'!G:G, B51, '임대사업(E)'!W:W, B56)
  + SUMIFS('환경부사업(F)'!I:I, '환경부사업(F)'!C:C, $E$1, '환경부사업(F)'!G:G, B51, '환경부사업(F)'!W:W, B56)
  + SUMIFS('프로젝트(G)'!I:I, '프로젝트(G)'!C:C, $E$1, '프로젝트(G)'!G:G, B51, '프로젝트(G)'!W:W, B56)
  + SUMIFS('협력사 EPC(H)'!I:I, '협력사 EPC(H)'!C:C, $E$1, '협력사 EPC(H)'!G:G, B51, '협력사 EPC(H)'!W:W, B56)
  + SUMIFS('기타(Z)'!I:I, '기타(Z)'!C:C, $E$1, '기타(Z)'!G:G, B51, '기타(Z)'!W:W, B56)
)</f>
        <v/>
      </c>
      <c r="D56" s="281" t="str">
        <f>IF(
  COUNTIFS('발전사업(A)'!C:C, $E$1, '발전사업(A)'!G:G, B51, '발전사업(A)'!W:W, B56)
  + COUNTIFS('자가소비(B)'!C:C, $E$1, '자가소비(B)'!G:G, B51, '자가소비(B)'!W:W, B56)
  + COUNTIFS('PPA 사업(C)'!C:C, $E$1, 'PPA 사업(C)'!G:G, B51, 'PPA 사업(C)'!W:W, B56)
  + COUNTIFS('리스사업(D)'!C:C, $E$1, '리스사업(D)'!G:G, B51, '리스사업(D)'!W:W, B56)
  + COUNTIFS('임대사업(E)'!C:C, $E$1, '임대사업(E)'!G:G, B51, '임대사업(E)'!W:W, B56)
  + COUNTIFS('환경부사업(F)'!C:C, $E$1, '환경부사업(F)'!G:G, B51, '환경부사업(F)'!W:W, B56)
  + COUNTIFS('프로젝트(G)'!C:C, $E$1, '프로젝트(G)'!G:G, B51, '프로젝트(G)'!W:W, B56)
  + COUNTIFS('협력사 EPC(H)'!C:C, $E$1, '협력사 EPC(H)'!G:G, B51, '협력사 EPC(H)'!W:W, B56)
  + COUNTIFS('기타(Z)'!C:C, $E$1, '기타(Z)'!G:G, B51, '기타(Z)'!W:W, B56)
  = 0,
  "",
  COUNTIFS('발전사업(A)'!C:C, $E$1, '발전사업(A)'!G:G, B51, '발전사업(A)'!W:W, B56)
  + COUNTIFS('자가소비(B)'!C:C, $E$1, '자가소비(B)'!G:G, B51, '자가소비(B)'!W:W, B56)
  + COUNTIFS('PPA 사업(C)'!C:C, $E$1, 'PPA 사업(C)'!G:G, B51, 'PPA 사업(C)'!W:W, B56)
  + COUNTIFS('리스사업(D)'!C:C, $E$1, '리스사업(D)'!G:G, B51, '리스사업(D)'!W:W, B56)
  + COUNTIFS('임대사업(E)'!C:C, $E$1, '임대사업(E)'!G:G, B51, '임대사업(E)'!W:W, B56)
  + COUNTIFS('환경부사업(F)'!C:C, $E$1, '환경부사업(F)'!G:G, B51, '환경부사업(F)'!W:W, B56)
  + COUNTIFS('프로젝트(G)'!C:C, $E$1, '프로젝트(G)'!G:G, B51, '프로젝트(G)'!W:W, B56)
  + COUNTIFS('협력사 EPC(H)'!C:C, $E$1, '협력사 EPC(H)'!G:G, B51, '협력사 EPC(H)'!W:W, B56)
  + COUNTIFS('기타(Z)'!C:C, $E$1, '기타(Z)'!G:G, B51, '기타(Z)'!W:W, B56)
)</f>
        <v/>
      </c>
      <c r="E56" s="280" t="str">
        <f>IF(
  SUM(
    SUMIFS('발전사업(A)'!I:I, '발전사업(A)'!C:C, $E$1, '발전사업(A)'!G:G, B51, '발전사업(A)'!W:W, B56, '발전사업(A)'!U:U, $C$1),
    SUMIFS('자가소비(B)'!I:I, '자가소비(B)'!C:C, $E$1, '자가소비(B)'!G:G, B51, '자가소비(B)'!W:W, B56, '자가소비(B)'!U:U, $C$1),
    SUMIFS('PPA 사업(C)'!I:I, 'PPA 사업(C)'!C:C, $E$1, 'PPA 사업(C)'!G:G, B51, 'PPA 사업(C)'!W:W, B56, 'PPA 사업(C)'!U:U, $C$1),
    SUMIFS('리스사업(D)'!I:I, '리스사업(D)'!C:C, $E$1, '리스사업(D)'!G:G, B51, '리스사업(D)'!W:W, B56, '리스사업(D)'!U:U, $C$1),
    SUMIFS('임대사업(E)'!I:I, '임대사업(E)'!C:C, $E$1, '임대사업(E)'!G:G, B51, '임대사업(E)'!W:W, B56, '임대사업(E)'!U:U, $C$1),
    SUMIFS('환경부사업(F)'!I:I, '환경부사업(F)'!C:C, $E$1, '환경부사업(F)'!G:G, B51, '환경부사업(F)'!W:W, B56, '환경부사업(F)'!U:U, $C$1),
    SUMIFS('프로젝트(G)'!I:I, '프로젝트(G)'!C:C, $E$1, '프로젝트(G)'!G:G, B51, '프로젝트(G)'!W:W, B56, '프로젝트(G)'!U:U, $C$1),
    SUMIFS('협력사 EPC(H)'!I:I, '협력사 EPC(H)'!C:C, $E$1, '협력사 EPC(H)'!G:G, B51, '협력사 EPC(H)'!W:W, B56, '협력사 EPC(H)'!U:U, $C$1),
    SUMIFS('기타(Z)'!I:I, '기타(Z)'!C:C, $E$1, '기타(Z)'!G:G, B51, '기타(Z)'!W:W, B56, '기타(Z)'!U:U, $C$1)
  ) = 0,
  "",
  SUM(
    SUMIFS('발전사업(A)'!I:I, '발전사업(A)'!C:C, $E$1, '발전사업(A)'!G:G, B51, '발전사업(A)'!W:W, B56, '발전사업(A)'!U:U, $C$1),
    SUMIFS('자가소비(B)'!I:I, '자가소비(B)'!C:C, $E$1, '자가소비(B)'!G:G, B51, '자가소비(B)'!W:W, B56, '자가소비(B)'!U:U, $C$1),
    SUMIFS('PPA 사업(C)'!I:I, 'PPA 사업(C)'!C:C, $E$1, 'PPA 사업(C)'!G:G, B51, 'PPA 사업(C)'!W:W, B56, 'PPA 사업(C)'!U:U, $C$1),
    SUMIFS('리스사업(D)'!I:I, '리스사업(D)'!C:C, $E$1, '리스사업(D)'!G:G, B51, '리스사업(D)'!W:W, B56, '리스사업(D)'!U:U, $C$1),
    SUMIFS('임대사업(E)'!I:I, '임대사업(E)'!C:C, $E$1, '임대사업(E)'!G:G, B51, '임대사업(E)'!W:W, B56, '임대사업(E)'!U:U, $C$1),
    SUMIFS('환경부사업(F)'!I:I, '환경부사업(F)'!C:C, $E$1, '환경부사업(F)'!G:G, B51, '환경부사업(F)'!W:W, B56, '환경부사업(F)'!U:U, $C$1),
    SUMIFS('프로젝트(G)'!I:I, '프로젝트(G)'!C:C, $E$1, '프로젝트(G)'!G:G, B51, '프로젝트(G)'!W:W, B56, '프로젝트(G)'!U:U, $C$1),
    SUMIFS('협력사 EPC(H)'!I:I, '협력사 EPC(H)'!C:C, $E$1, '협력사 EPC(H)'!G:G, B51, '협력사 EPC(H)'!W:W, B56, '협력사 EPC(H)'!U:U, $C$1),
    SUMIFS('기타(Z)'!I:I, '기타(Z)'!C:C, $E$1, '기타(Z)'!G:G, B51, '기타(Z)'!W:W, B56, '기타(Z)'!U:U, $C$1)
  )
)</f>
        <v/>
      </c>
      <c r="F56" s="281" t="str">
        <f>IF(
  SUM(
    COUNTIFS('발전사업(A)'!C:C, $E$1, '발전사업(A)'!G:G, B51, '발전사업(A)'!W:W, B56, '발전사업(A)'!U:U, $C$1),
    COUNTIFS('자가소비(B)'!C:C, $E$1, '자가소비(B)'!G:G, B51, '자가소비(B)'!W:W, B56, '자가소비(B)'!U:U, $C$1),
    COUNTIFS('PPA 사업(C)'!C:C, $E$1, 'PPA 사업(C)'!G:G, B51, 'PPA 사업(C)'!W:W, B56, 'PPA 사업(C)'!U:U, $C$1),
    COUNTIFS('리스사업(D)'!C:C, $E$1, '리스사업(D)'!G:G, B51, '리스사업(D)'!W:W, B56, '리스사업(D)'!U:U, $C$1),
    COUNTIFS('임대사업(E)'!C:C, $E$1, '임대사업(E)'!G:G, B51, '임대사업(E)'!W:W, B56, '임대사업(E)'!U:U, $C$1),
    COUNTIFS('환경부사업(F)'!C:C, $E$1, '환경부사업(F)'!G:G, B51, '환경부사업(F)'!W:W, B56, '환경부사업(F)'!U:U, $C$1),
    COUNTIFS('프로젝트(G)'!C:C, $E$1, '프로젝트(G)'!G:G, B51, '프로젝트(G)'!W:W, B56, '프로젝트(G)'!U:U, $C$1),
    COUNTIFS('협력사 EPC(H)'!C:C, $E$1, '협력사 EPC(H)'!G:G, B51, '협력사 EPC(H)'!W:W, B56, '협력사 EPC(H)'!U:U, $C$1),
    COUNTIFS('기타(Z)'!C:C, $E$1, '기타(Z)'!G:G, B51, '기타(Z)'!W:W, B56, '기타(Z)'!U:U, $C$1)
  ) = 0,
  "",
  SUM(
    COUNTIFS('발전사업(A)'!C:C, $E$1, '발전사업(A)'!G:G, B51, '발전사업(A)'!W:W, B56, '발전사업(A)'!U:U, $C$1),
    COUNTIFS('자가소비(B)'!C:C, $E$1, '자가소비(B)'!G:G, B51, '자가소비(B)'!W:W, B56, '자가소비(B)'!U:U, $C$1),
    COUNTIFS('PPA 사업(C)'!C:C, $E$1, 'PPA 사업(C)'!G:G, B51, 'PPA 사업(C)'!W:W, B56, 'PPA 사업(C)'!U:U, $C$1),
    COUNTIFS('리스사업(D)'!C:C, $E$1, '리스사업(D)'!G:G, B51, '리스사업(D)'!W:W, B56, '리스사업(D)'!U:U, $C$1),
    COUNTIFS('임대사업(E)'!C:C, $E$1, '임대사업(E)'!G:G, B51, '임대사업(E)'!W:W, B56, '임대사업(E)'!U:U, $C$1),
    COUNTIFS('환경부사업(F)'!C:C, $E$1, '환경부사업(F)'!G:G, B51, '환경부사업(F)'!W:W, B56, '환경부사업(F)'!U:U, $C$1),
    COUNTIFS('프로젝트(G)'!C:C, $E$1, '프로젝트(G)'!G:G, B51, '프로젝트(G)'!W:W, B56, '프로젝트(G)'!U:U, $C$1),
    COUNTIFS('협력사 EPC(H)'!C:C, $E$1, '협력사 EPC(H)'!G:G, B51, '협력사 EPC(H)'!W:W, B56, '협력사 EPC(H)'!U:U, $C$1),
    COUNTIFS('기타(Z)'!C:C, $E$1, '기타(Z)'!G:G, B51, '기타(Z)'!W:W, B56, '기타(Z)'!U:U, $C$1)
  )
)</f>
        <v/>
      </c>
      <c r="G56" s="280" t="str">
        <f>IF(
  SUM(
    SUMIFS('발전사업(A)'!I:I, '발전사업(A)'!C:C, $E$1, '발전사업(A)'!G:G, B51, '발전사업(A)'!W:W, B56, '발전사업(A)'!U:U, $D$1),
    SUMIFS('자가소비(B)'!I:I, '자가소비(B)'!C:C, $E$1, '자가소비(B)'!G:G, B51, '자가소비(B)'!W:W, B56, '자가소비(B)'!U:U, $D$1),
    SUMIFS('PPA 사업(C)'!I:I, 'PPA 사업(C)'!C:C, $E$1, 'PPA 사업(C)'!G:G, B51, 'PPA 사업(C)'!W:W, B56, 'PPA 사업(C)'!U:U, $D$1),
    SUMIFS('리스사업(D)'!I:I, '리스사업(D)'!C:C, $E$1, '리스사업(D)'!G:G, B51, '리스사업(D)'!W:W, B56, '리스사업(D)'!U:U, $D$1),
    SUMIFS('임대사업(E)'!I:I, '임대사업(E)'!C:C, $E$1, '임대사업(E)'!G:G, B51, '임대사업(E)'!W:W, B56, '임대사업(E)'!U:U, $D$1),
    SUMIFS('환경부사업(F)'!I:I, '환경부사업(F)'!C:C, $E$1, '환경부사업(F)'!G:G, B51, '환경부사업(F)'!W:W, B56, '환경부사업(F)'!U:U, $D$1),
    SUMIFS('프로젝트(G)'!I:I, '프로젝트(G)'!C:C, $E$1, '프로젝트(G)'!G:G, B51, '프로젝트(G)'!W:W, B56, '프로젝트(G)'!U:U, $D$1),
    SUMIFS('협력사 EPC(H)'!I:I, '협력사 EPC(H)'!C:C, $E$1, '협력사 EPC(H)'!G:G, B51, '협력사 EPC(H)'!W:W, B56, '협력사 EPC(H)'!U:U, $D$1),
    SUMIFS('기타(Z)'!I:I, '기타(Z)'!C:C, $E$1, '기타(Z)'!G:G, B51, '기타(Z)'!W:W, B56, '기타(Z)'!U:U, $D$1)
  ) = 0,
  "",
  SUM(
    SUMIFS('발전사업(A)'!I:I, '발전사업(A)'!C:C, $E$1, '발전사업(A)'!G:G, B51, '발전사업(A)'!W:W, B56, '발전사업(A)'!U:U, $D$1),
    SUMIFS('자가소비(B)'!I:I, '자가소비(B)'!C:C, $E$1, '자가소비(B)'!G:G, B51, '자가소비(B)'!W:W, B56, '자가소비(B)'!U:U, $D$1),
    SUMIFS('PPA 사업(C)'!I:I, 'PPA 사업(C)'!C:C, $E$1, 'PPA 사업(C)'!G:G, B51, 'PPA 사업(C)'!W:W, B56, 'PPA 사업(C)'!U:U, $D$1),
    SUMIFS('리스사업(D)'!I:I, '리스사업(D)'!C:C, $E$1, '리스사업(D)'!G:G, B51, '리스사업(D)'!W:W, B56, '리스사업(D)'!U:U, $D$1),
    SUMIFS('임대사업(E)'!I:I, '임대사업(E)'!C:C, $E$1, '임대사업(E)'!G:G, B51, '임대사업(E)'!W:W, B56, '임대사업(E)'!U:U, $D$1),
    SUMIFS('환경부사업(F)'!I:I, '환경부사업(F)'!C:C, $E$1, '환경부사업(F)'!G:G, B51, '환경부사업(F)'!W:W, B56, '환경부사업(F)'!U:U, $D$1),
    SUMIFS('프로젝트(G)'!I:I, '프로젝트(G)'!C:C, $E$1, '프로젝트(G)'!G:G, B51, '프로젝트(G)'!W:W, B56, '프로젝트(G)'!U:U, $D$1),
    SUMIFS('협력사 EPC(H)'!I:I, '협력사 EPC(H)'!C:C, $E$1, '협력사 EPC(H)'!G:G, B51, '협력사 EPC(H)'!W:W, B56, '협력사 EPC(H)'!U:U, $D$1),
    SUMIFS('기타(Z)'!I:I, '기타(Z)'!C:C, $E$1, '기타(Z)'!G:G, B51, '기타(Z)'!W:W, B56, '기타(Z)'!U:U, $D$1)
  )
)</f>
        <v/>
      </c>
      <c r="H56" s="281" t="str">
        <f>IF(
  (
    COUNTIFS('발전사업(A)'!C:C, $E$1, '발전사업(A)'!G:G, B51, '발전사업(A)'!W:W, B56, '발전사업(A)'!U:U, $D$1)
    + COUNTIFS('자가소비(B)'!C:C, $E$1, '자가소비(B)'!G:G, B51, '자가소비(B)'!W:W, B56, '자가소비(B)'!U:U, $D$1)
    + COUNTIFS('PPA 사업(C)'!C:C, $E$1, 'PPA 사업(C)'!G:G, B51, 'PPA 사업(C)'!W:W, B56, 'PPA 사업(C)'!U:U, $D$1)
    + COUNTIFS('리스사업(D)'!C:C, $E$1, '리스사업(D)'!G:G, B51, '리스사업(D)'!W:W, B56, '리스사업(D)'!U:U, $D$1)
    + COUNTIFS('임대사업(E)'!C:C, $E$1, '임대사업(E)'!G:G, B51, '임대사업(E)'!W:W, B56, '임대사업(E)'!U:U, $D$1)
    + COUNTIFS('환경부사업(F)'!C:C, $E$1, '환경부사업(F)'!G:G, B51, '환경부사업(F)'!W:W, B56, '환경부사업(F)'!U:U, $D$1)
    + COUNTIFS('프로젝트(G)'!C:C, $E$1, '프로젝트(G)'!G:G, B51, '프로젝트(G)'!W:W, B56, '프로젝트(G)'!U:U, $D$1)
    + COUNTIFS('협력사 EPC(H)'!C:C, $E$1, '협력사 EPC(H)'!G:G, B51, '협력사 EPC(H)'!W:W, B56, '협력사 EPC(H)'!U:U, $D$1)
    + COUNTIFS('기타(Z)'!C:C, $E$1, '기타(Z)'!G:G, B51, '기타(Z)'!W:W, B56, '기타(Z)'!U:U, $D$1)
  ) = 0,
  "",
  COUNTIFS('발전사업(A)'!C:C, $E$1, '발전사업(A)'!G:G, B51, '발전사업(A)'!W:W, B56, '발전사업(A)'!U:U, $D$1)
  + COUNTIFS('자가소비(B)'!C:C, $E$1, '자가소비(B)'!G:G, B51, '자가소비(B)'!W:W, B56, '자가소비(B)'!U:U, $D$1)
  + COUNTIFS('PPA 사업(C)'!C:C, $E$1, 'PPA 사업(C)'!G:G, B51, 'PPA 사업(C)'!W:W, B56, 'PPA 사업(C)'!U:U, $D$1)
  + COUNTIFS('리스사업(D)'!C:C, $E$1, '리스사업(D)'!G:G, B51, '리스사업(D)'!W:W, B56, '리스사업(D)'!U:U, $D$1)
  + COUNTIFS('임대사업(E)'!C:C, $E$1, '임대사업(E)'!G:G, B51, '임대사업(E)'!W:W, B56, '임대사업(E)'!U:U, $D$1)
  + COUNTIFS('환경부사업(F)'!C:C, $E$1, '환경부사업(F)'!G:G, B51, '환경부사업(F)'!W:W, B56, '환경부사업(F)'!U:U, $D$1)
  + COUNTIFS('프로젝트(G)'!C:C, $E$1, '프로젝트(G)'!G:G, B51, '프로젝트(G)'!W:W, B56, '프로젝트(G)'!U:U, $D$1)
  + COUNTIFS('협력사 EPC(H)'!C:C, $E$1, '협력사 EPC(H)'!G:G, B51, '협력사 EPC(H)'!W:W, B56, '협력사 EPC(H)'!U:U, $D$1)
  + COUNTIFS('기타(Z)'!C:C, $E$1, '기타(Z)'!G:G, B51, '기타(Z)'!W:W, B56, '기타(Z)'!U:U, $D$1)
)</f>
        <v/>
      </c>
    </row>
    <row r="57" spans="2:8" x14ac:dyDescent="0.25">
      <c r="B57" s="202" t="s">
        <v>263</v>
      </c>
      <c r="C57" s="280" t="str">
        <f>IF(
  SUM(
    SUMIFS('발전사업(A)'!I:I, '발전사업(A)'!C:C, $E$1, '발전사업(A)'!G:G, B51, '발전사업(A)'!W:W, B57),
    SUMIFS('자가소비(B)'!I:I, '자가소비(B)'!C:C, $E$1, '자가소비(B)'!G:G, B51, '자가소비(B)'!W:W, B57),
    SUMIFS('PPA 사업(C)'!I:I, 'PPA 사업(C)'!C:C, $E$1, 'PPA 사업(C)'!G:G, B51, 'PPA 사업(C)'!W:W, B57),
    SUMIFS('리스사업(D)'!I:I, '리스사업(D)'!C:C, $E$1, '리스사업(D)'!G:G, B51, '리스사업(D)'!W:W, B57),
    SUMIFS('임대사업(E)'!I:I, '임대사업(E)'!C:C, $E$1, '임대사업(E)'!G:G, B51, '임대사업(E)'!W:W, B57),
    SUMIFS('환경부사업(F)'!I:I, '환경부사업(F)'!C:C, $E$1, '환경부사업(F)'!G:G, B51, '환경부사업(F)'!W:W, B57),
    SUMIFS('프로젝트(G)'!I:I, '프로젝트(G)'!C:C, $E$1, '프로젝트(G)'!G:G, B51, '프로젝트(G)'!W:W, B57),
    SUMIFS('협력사 EPC(H)'!I:I, '협력사 EPC(H)'!C:C, $E$1, '협력사 EPC(H)'!G:G, B51, '협력사 EPC(H)'!W:W, B57),
    SUMIFS('기타(Z)'!I:I, '기타(Z)'!C:C, $E$1, '기타(Z)'!G:G, B51, '기타(Z)'!W:W, B57)
  ) = 0,
  "",
  SUMIFS('발전사업(A)'!I:I, '발전사업(A)'!C:C, $E$1, '발전사업(A)'!G:G, B51, '발전사업(A)'!W:W, B57)
  + SUMIFS('자가소비(B)'!I:I, '자가소비(B)'!C:C, $E$1, '자가소비(B)'!G:G, B51, '자가소비(B)'!W:W, B57)
  + SUMIFS('PPA 사업(C)'!I:I, 'PPA 사업(C)'!C:C, $E$1, 'PPA 사업(C)'!G:G, B51, 'PPA 사업(C)'!W:W, B57)
  + SUMIFS('리스사업(D)'!I:I, '리스사업(D)'!C:C, $E$1, '리스사업(D)'!G:G, B51, '리스사업(D)'!W:W, B57)
  + SUMIFS('임대사업(E)'!I:I, '임대사업(E)'!C:C, $E$1, '임대사업(E)'!G:G, B51, '임대사업(E)'!W:W, B57)
  + SUMIFS('환경부사업(F)'!I:I, '환경부사업(F)'!C:C, $E$1, '환경부사업(F)'!G:G, B51, '환경부사업(F)'!W:W, B57)
  + SUMIFS('프로젝트(G)'!I:I, '프로젝트(G)'!C:C, $E$1, '프로젝트(G)'!G:G, B51, '프로젝트(G)'!W:W, B57)
  + SUMIFS('협력사 EPC(H)'!I:I, '협력사 EPC(H)'!C:C, $E$1, '협력사 EPC(H)'!G:G, B51, '협력사 EPC(H)'!W:W, B57)
  + SUMIFS('기타(Z)'!I:I, '기타(Z)'!C:C, $E$1, '기타(Z)'!G:G, B51, '기타(Z)'!W:W, B57)
)</f>
        <v/>
      </c>
      <c r="D57" s="281" t="str">
        <f>IF(
  COUNTIFS('발전사업(A)'!C:C, $E$1, '발전사업(A)'!G:G, B51, '발전사업(A)'!W:W, B57)
  + COUNTIFS('자가소비(B)'!C:C, $E$1, '자가소비(B)'!G:G, B51, '자가소비(B)'!W:W, B57)
  + COUNTIFS('PPA 사업(C)'!C:C, $E$1, 'PPA 사업(C)'!G:G, B51, 'PPA 사업(C)'!W:W, B57)
  + COUNTIFS('리스사업(D)'!C:C, $E$1, '리스사업(D)'!G:G, B51, '리스사업(D)'!W:W, B57)
  + COUNTIFS('임대사업(E)'!C:C, $E$1, '임대사업(E)'!G:G, B51, '임대사업(E)'!W:W, B57)
  + COUNTIFS('환경부사업(F)'!C:C, $E$1, '환경부사업(F)'!G:G, B51, '환경부사업(F)'!W:W, B57)
  + COUNTIFS('프로젝트(G)'!C:C, $E$1, '프로젝트(G)'!G:G, B51, '프로젝트(G)'!W:W, B57)
  + COUNTIFS('협력사 EPC(H)'!C:C, $E$1, '협력사 EPC(H)'!G:G, B51, '협력사 EPC(H)'!W:W, B57)
  + COUNTIFS('기타(Z)'!C:C, $E$1, '기타(Z)'!G:G, B51, '기타(Z)'!W:W, B57)
  = 0,
  "",
  COUNTIFS('발전사업(A)'!C:C, $E$1, '발전사업(A)'!G:G, B51, '발전사업(A)'!W:W, B57)
  + COUNTIFS('자가소비(B)'!C:C, $E$1, '자가소비(B)'!G:G, B51, '자가소비(B)'!W:W, B57)
  + COUNTIFS('PPA 사업(C)'!C:C, $E$1, 'PPA 사업(C)'!G:G, B51, 'PPA 사업(C)'!W:W, B57)
  + COUNTIFS('리스사업(D)'!C:C, $E$1, '리스사업(D)'!G:G, B51, '리스사업(D)'!W:W, B57)
  + COUNTIFS('임대사업(E)'!C:C, $E$1, '임대사업(E)'!G:G, B51, '임대사업(E)'!W:W, B57)
  + COUNTIFS('환경부사업(F)'!C:C, $E$1, '환경부사업(F)'!G:G, B51, '환경부사업(F)'!W:W, B57)
  + COUNTIFS('프로젝트(G)'!C:C, $E$1, '프로젝트(G)'!G:G, B51, '프로젝트(G)'!W:W, B57)
  + COUNTIFS('협력사 EPC(H)'!C:C, $E$1, '협력사 EPC(H)'!G:G, B51, '협력사 EPC(H)'!W:W, B57)
  + COUNTIFS('기타(Z)'!C:C, $E$1, '기타(Z)'!G:G, B51, '기타(Z)'!W:W, B57)
)</f>
        <v/>
      </c>
      <c r="E57" s="280" t="str">
        <f>IF(
  SUM(
    SUMIFS('발전사업(A)'!I:I, '발전사업(A)'!C:C, $E$1, '발전사업(A)'!G:G, B51, '발전사업(A)'!W:W, B57, '발전사업(A)'!U:U, $C$1),
    SUMIFS('자가소비(B)'!I:I, '자가소비(B)'!C:C, $E$1, '자가소비(B)'!G:G, B51, '자가소비(B)'!W:W, B57, '자가소비(B)'!U:U, $C$1),
    SUMIFS('PPA 사업(C)'!I:I, 'PPA 사업(C)'!C:C, $E$1, 'PPA 사업(C)'!G:G, B51, 'PPA 사업(C)'!W:W, B57, 'PPA 사업(C)'!U:U, $C$1),
    SUMIFS('리스사업(D)'!I:I, '리스사업(D)'!C:C, $E$1, '리스사업(D)'!G:G, B51, '리스사업(D)'!W:W, B57, '리스사업(D)'!U:U, $C$1),
    SUMIFS('임대사업(E)'!I:I, '임대사업(E)'!C:C, $E$1, '임대사업(E)'!G:G, B51, '임대사업(E)'!W:W, B57, '임대사업(E)'!U:U, $C$1),
    SUMIFS('환경부사업(F)'!I:I, '환경부사업(F)'!C:C, $E$1, '환경부사업(F)'!G:G, B51, '환경부사업(F)'!W:W, B57, '환경부사업(F)'!U:U, $C$1),
    SUMIFS('프로젝트(G)'!I:I, '프로젝트(G)'!C:C, $E$1, '프로젝트(G)'!G:G, B51, '프로젝트(G)'!W:W, B57, '프로젝트(G)'!U:U, $C$1),
    SUMIFS('협력사 EPC(H)'!I:I, '협력사 EPC(H)'!C:C, $E$1, '협력사 EPC(H)'!G:G, B51, '협력사 EPC(H)'!W:W, B57, '협력사 EPC(H)'!U:U, $C$1),
    SUMIFS('기타(Z)'!I:I, '기타(Z)'!C:C, $E$1, '기타(Z)'!G:G, B51, '기타(Z)'!W:W, B57, '기타(Z)'!U:U, $C$1)
  ) = 0,
  "",
  SUM(
    SUMIFS('발전사업(A)'!I:I, '발전사업(A)'!C:C, $E$1, '발전사업(A)'!G:G, B51, '발전사업(A)'!W:W, B57, '발전사업(A)'!U:U, $C$1),
    SUMIFS('자가소비(B)'!I:I, '자가소비(B)'!C:C, $E$1, '자가소비(B)'!G:G, B51, '자가소비(B)'!W:W, B57, '자가소비(B)'!U:U, $C$1),
    SUMIFS('PPA 사업(C)'!I:I, 'PPA 사업(C)'!C:C, $E$1, 'PPA 사업(C)'!G:G, B51, 'PPA 사업(C)'!W:W, B57, 'PPA 사업(C)'!U:U, $C$1),
    SUMIFS('리스사업(D)'!I:I, '리스사업(D)'!C:C, $E$1, '리스사업(D)'!G:G, B51, '리스사업(D)'!W:W, B57, '리스사업(D)'!U:U, $C$1),
    SUMIFS('임대사업(E)'!I:I, '임대사업(E)'!C:C, $E$1, '임대사업(E)'!G:G, B51, '임대사업(E)'!W:W, B57, '임대사업(E)'!U:U, $C$1),
    SUMIFS('환경부사업(F)'!I:I, '환경부사업(F)'!C:C, $E$1, '환경부사업(F)'!G:G, B51, '환경부사업(F)'!W:W, B57, '환경부사업(F)'!U:U, $C$1),
    SUMIFS('프로젝트(G)'!I:I, '프로젝트(G)'!C:C, $E$1, '프로젝트(G)'!G:G, B51, '프로젝트(G)'!W:W, B57, '프로젝트(G)'!U:U, $C$1),
    SUMIFS('협력사 EPC(H)'!I:I, '협력사 EPC(H)'!C:C, $E$1, '협력사 EPC(H)'!G:G, B51, '협력사 EPC(H)'!W:W, B57, '협력사 EPC(H)'!U:U, $C$1),
    SUMIFS('기타(Z)'!I:I, '기타(Z)'!C:C, $E$1, '기타(Z)'!G:G, B51, '기타(Z)'!W:W, B57, '기타(Z)'!U:U, $C$1)
  )
)</f>
        <v/>
      </c>
      <c r="F57" s="281" t="str">
        <f>IF(
  SUM(
    COUNTIFS('발전사업(A)'!C:C, $E$1, '발전사업(A)'!G:G, B51, '발전사업(A)'!W:W, B57, '발전사업(A)'!U:U, $C$1),
    COUNTIFS('자가소비(B)'!C:C, $E$1, '자가소비(B)'!G:G, B51, '자가소비(B)'!W:W, B57, '자가소비(B)'!U:U, $C$1),
    COUNTIFS('PPA 사업(C)'!C:C, $E$1, 'PPA 사업(C)'!G:G, B51, 'PPA 사업(C)'!W:W, B57, 'PPA 사업(C)'!U:U, $C$1),
    COUNTIFS('리스사업(D)'!C:C, $E$1, '리스사업(D)'!G:G, B51, '리스사업(D)'!W:W, B57, '리스사업(D)'!U:U, $C$1),
    COUNTIFS('임대사업(E)'!C:C, $E$1, '임대사업(E)'!G:G, B51, '임대사업(E)'!W:W, B57, '임대사업(E)'!U:U, $C$1),
    COUNTIFS('환경부사업(F)'!C:C, $E$1, '환경부사업(F)'!G:G, B51, '환경부사업(F)'!W:W, B57, '환경부사업(F)'!U:U, $C$1),
    COUNTIFS('프로젝트(G)'!C:C, $E$1, '프로젝트(G)'!G:G, B51, '프로젝트(G)'!W:W, B57, '프로젝트(G)'!U:U, $C$1),
    COUNTIFS('협력사 EPC(H)'!C:C, $E$1, '협력사 EPC(H)'!G:G, B51, '협력사 EPC(H)'!W:W, B57, '협력사 EPC(H)'!U:U, $C$1),
    COUNTIFS('기타(Z)'!C:C, $E$1, '기타(Z)'!G:G, B51, '기타(Z)'!W:W, B57, '기타(Z)'!U:U, $C$1)
  ) = 0,
  "",
  SUM(
    COUNTIFS('발전사업(A)'!C:C, $E$1, '발전사업(A)'!G:G, B51, '발전사업(A)'!W:W, B57, '발전사업(A)'!U:U, $C$1),
    COUNTIFS('자가소비(B)'!C:C, $E$1, '자가소비(B)'!G:G, B51, '자가소비(B)'!W:W, B57, '자가소비(B)'!U:U, $C$1),
    COUNTIFS('PPA 사업(C)'!C:C, $E$1, 'PPA 사업(C)'!G:G, B51, 'PPA 사업(C)'!W:W, B57, 'PPA 사업(C)'!U:U, $C$1),
    COUNTIFS('리스사업(D)'!C:C, $E$1, '리스사업(D)'!G:G, B51, '리스사업(D)'!W:W, B57, '리스사업(D)'!U:U, $C$1),
    COUNTIFS('임대사업(E)'!C:C, $E$1, '임대사업(E)'!G:G, B51, '임대사업(E)'!W:W, B57, '임대사업(E)'!U:U, $C$1),
    COUNTIFS('환경부사업(F)'!C:C, $E$1, '환경부사업(F)'!G:G, B51, '환경부사업(F)'!W:W, B57, '환경부사업(F)'!U:U, $C$1),
    COUNTIFS('프로젝트(G)'!C:C, $E$1, '프로젝트(G)'!G:G, B51, '프로젝트(G)'!W:W, B57, '프로젝트(G)'!U:U, $C$1),
    COUNTIFS('협력사 EPC(H)'!C:C, $E$1, '협력사 EPC(H)'!G:G, B51, '협력사 EPC(H)'!W:W, B57, '협력사 EPC(H)'!U:U, $C$1),
    COUNTIFS('기타(Z)'!C:C, $E$1, '기타(Z)'!G:G, B51, '기타(Z)'!W:W, B57, '기타(Z)'!U:U, $C$1)
  )
)</f>
        <v/>
      </c>
      <c r="G57" s="280" t="str">
        <f>IF(
  SUM(
    SUMIFS('발전사업(A)'!I:I, '발전사업(A)'!C:C, $E$1, '발전사업(A)'!G:G, B51, '발전사업(A)'!W:W, B57, '발전사업(A)'!U:U, $D$1),
    SUMIFS('자가소비(B)'!I:I, '자가소비(B)'!C:C, $E$1, '자가소비(B)'!G:G, B51, '자가소비(B)'!W:W, B57, '자가소비(B)'!U:U, $D$1),
    SUMIFS('PPA 사업(C)'!I:I, 'PPA 사업(C)'!C:C, $E$1, 'PPA 사업(C)'!G:G, B51, 'PPA 사업(C)'!W:W, B57, 'PPA 사업(C)'!U:U, $D$1),
    SUMIFS('리스사업(D)'!I:I, '리스사업(D)'!C:C, $E$1, '리스사업(D)'!G:G, B51, '리스사업(D)'!W:W, B57, '리스사업(D)'!U:U, $D$1),
    SUMIFS('임대사업(E)'!I:I, '임대사업(E)'!C:C, $E$1, '임대사업(E)'!G:G, B51, '임대사업(E)'!W:W, B57, '임대사업(E)'!U:U, $D$1),
    SUMIFS('환경부사업(F)'!I:I, '환경부사업(F)'!C:C, $E$1, '환경부사업(F)'!G:G, B51, '환경부사업(F)'!W:W, B57, '환경부사업(F)'!U:U, $D$1),
    SUMIFS('프로젝트(G)'!I:I, '프로젝트(G)'!C:C, $E$1, '프로젝트(G)'!G:G, B51, '프로젝트(G)'!W:W, B57, '프로젝트(G)'!U:U, $D$1),
    SUMIFS('협력사 EPC(H)'!I:I, '협력사 EPC(H)'!C:C, $E$1, '협력사 EPC(H)'!G:G, B51, '협력사 EPC(H)'!W:W, B57, '협력사 EPC(H)'!U:U, $D$1),
    SUMIFS('기타(Z)'!I:I, '기타(Z)'!C:C, $E$1, '기타(Z)'!G:G, B51, '기타(Z)'!W:W, B57, '기타(Z)'!U:U, $D$1)
  ) = 0,
  "",
  SUM(
    SUMIFS('발전사업(A)'!I:I, '발전사업(A)'!C:C, $E$1, '발전사업(A)'!G:G, B51, '발전사업(A)'!W:W, B57, '발전사업(A)'!U:U, $D$1),
    SUMIFS('자가소비(B)'!I:I, '자가소비(B)'!C:C, $E$1, '자가소비(B)'!G:G, B51, '자가소비(B)'!W:W, B57, '자가소비(B)'!U:U, $D$1),
    SUMIFS('PPA 사업(C)'!I:I, 'PPA 사업(C)'!C:C, $E$1, 'PPA 사업(C)'!G:G, B51, 'PPA 사업(C)'!W:W, B57, 'PPA 사업(C)'!U:U, $D$1),
    SUMIFS('리스사업(D)'!I:I, '리스사업(D)'!C:C, $E$1, '리스사업(D)'!G:G, B51, '리스사업(D)'!W:W, B57, '리스사업(D)'!U:U, $D$1),
    SUMIFS('임대사업(E)'!I:I, '임대사업(E)'!C:C, $E$1, '임대사업(E)'!G:G, B51, '임대사업(E)'!W:W, B57, '임대사업(E)'!U:U, $D$1),
    SUMIFS('환경부사업(F)'!I:I, '환경부사업(F)'!C:C, $E$1, '환경부사업(F)'!G:G, B51, '환경부사업(F)'!W:W, B57, '환경부사업(F)'!U:U, $D$1),
    SUMIFS('프로젝트(G)'!I:I, '프로젝트(G)'!C:C, $E$1, '프로젝트(G)'!G:G, B51, '프로젝트(G)'!W:W, B57, '프로젝트(G)'!U:U, $D$1),
    SUMIFS('협력사 EPC(H)'!I:I, '협력사 EPC(H)'!C:C, $E$1, '협력사 EPC(H)'!G:G, B51, '협력사 EPC(H)'!W:W, B57, '협력사 EPC(H)'!U:U, $D$1),
    SUMIFS('기타(Z)'!I:I, '기타(Z)'!C:C, $E$1, '기타(Z)'!G:G, B51, '기타(Z)'!W:W, B57, '기타(Z)'!U:U, $D$1)
  )
)</f>
        <v/>
      </c>
      <c r="H57" s="281" t="str">
        <f>IF(
  (
    COUNTIFS('발전사업(A)'!C:C, $E$1, '발전사업(A)'!G:G, B51, '발전사업(A)'!W:W, B57, '발전사업(A)'!U:U, $D$1)
    + COUNTIFS('자가소비(B)'!C:C, $E$1, '자가소비(B)'!G:G, B51, '자가소비(B)'!W:W, B57, '자가소비(B)'!U:U, $D$1)
    + COUNTIFS('PPA 사업(C)'!C:C, $E$1, 'PPA 사업(C)'!G:G, B51, 'PPA 사업(C)'!W:W, B57, 'PPA 사업(C)'!U:U, $D$1)
    + COUNTIFS('리스사업(D)'!C:C, $E$1, '리스사업(D)'!G:G, B51, '리스사업(D)'!W:W, B57, '리스사업(D)'!U:U, $D$1)
    + COUNTIFS('임대사업(E)'!C:C, $E$1, '임대사업(E)'!G:G, B51, '임대사업(E)'!W:W, B57, '임대사업(E)'!U:U, $D$1)
    + COUNTIFS('환경부사업(F)'!C:C, $E$1, '환경부사업(F)'!G:G, B51, '환경부사업(F)'!W:W, B57, '환경부사업(F)'!U:U, $D$1)
    + COUNTIFS('프로젝트(G)'!C:C, $E$1, '프로젝트(G)'!G:G, B51, '프로젝트(G)'!W:W, B57, '프로젝트(G)'!U:U, $D$1)
    + COUNTIFS('협력사 EPC(H)'!C:C, $E$1, '협력사 EPC(H)'!G:G, B51, '협력사 EPC(H)'!W:W, B57, '협력사 EPC(H)'!U:U, $D$1)
    + COUNTIFS('기타(Z)'!C:C, $E$1, '기타(Z)'!G:G, B51, '기타(Z)'!W:W, B57, '기타(Z)'!U:U, $D$1)
  ) = 0,
  "",
  COUNTIFS('발전사업(A)'!C:C, $E$1, '발전사업(A)'!G:G, B51, '발전사업(A)'!W:W, B57, '발전사업(A)'!U:U, $D$1)
  + COUNTIFS('자가소비(B)'!C:C, $E$1, '자가소비(B)'!G:G, B51, '자가소비(B)'!W:W, B57, '자가소비(B)'!U:U, $D$1)
  + COUNTIFS('PPA 사업(C)'!C:C, $E$1, 'PPA 사업(C)'!G:G, B51, 'PPA 사업(C)'!W:W, B57, 'PPA 사업(C)'!U:U, $D$1)
  + COUNTIFS('리스사업(D)'!C:C, $E$1, '리스사업(D)'!G:G, B51, '리스사업(D)'!W:W, B57, '리스사업(D)'!U:U, $D$1)
  + COUNTIFS('임대사업(E)'!C:C, $E$1, '임대사업(E)'!G:G, B51, '임대사업(E)'!W:W, B57, '임대사업(E)'!U:U, $D$1)
  + COUNTIFS('환경부사업(F)'!C:C, $E$1, '환경부사업(F)'!G:G, B51, '환경부사업(F)'!W:W, B57, '환경부사업(F)'!U:U, $D$1)
  + COUNTIFS('프로젝트(G)'!C:C, $E$1, '프로젝트(G)'!G:G, B51, '프로젝트(G)'!W:W, B57, '프로젝트(G)'!U:U, $D$1)
  + COUNTIFS('협력사 EPC(H)'!C:C, $E$1, '협력사 EPC(H)'!G:G, B51, '협력사 EPC(H)'!W:W, B57, '협력사 EPC(H)'!U:U, $D$1)
  + COUNTIFS('기타(Z)'!C:C, $E$1, '기타(Z)'!G:G, B51, '기타(Z)'!W:W, B57, '기타(Z)'!U:U, $D$1)
)</f>
        <v/>
      </c>
    </row>
    <row r="58" spans="2:8" x14ac:dyDescent="0.25">
      <c r="B58" s="202" t="s">
        <v>264</v>
      </c>
      <c r="C58" s="280" t="str">
        <f>IF(
  SUM(
    SUMIFS('발전사업(A)'!I:I, '발전사업(A)'!C:C, $E$1, '발전사업(A)'!G:G, B51, '발전사업(A)'!W:W, B58),
    SUMIFS('자가소비(B)'!I:I, '자가소비(B)'!C:C, $E$1, '자가소비(B)'!G:G, B51, '자가소비(B)'!W:W, B58),
    SUMIFS('PPA 사업(C)'!I:I, 'PPA 사업(C)'!C:C, $E$1, 'PPA 사업(C)'!G:G, B51, 'PPA 사업(C)'!W:W, B58),
    SUMIFS('리스사업(D)'!I:I, '리스사업(D)'!C:C, $E$1, '리스사업(D)'!G:G, B51, '리스사업(D)'!W:W, B58),
    SUMIFS('임대사업(E)'!I:I, '임대사업(E)'!C:C, $E$1, '임대사업(E)'!G:G, B51, '임대사업(E)'!W:W, B58),
    SUMIFS('환경부사업(F)'!I:I, '환경부사업(F)'!C:C, $E$1, '환경부사업(F)'!G:G, B51, '환경부사업(F)'!W:W, B58),
    SUMIFS('프로젝트(G)'!I:I, '프로젝트(G)'!C:C, $E$1, '프로젝트(G)'!G:G, B51, '프로젝트(G)'!W:W, B58),
    SUMIFS('협력사 EPC(H)'!I:I, '협력사 EPC(H)'!C:C, $E$1, '협력사 EPC(H)'!G:G, B51, '협력사 EPC(H)'!W:W, B58),
    SUMIFS('기타(Z)'!I:I, '기타(Z)'!C:C, $E$1, '기타(Z)'!G:G, B51, '기타(Z)'!W:W, B58)
  ) = 0,
  "",
  SUMIFS('발전사업(A)'!I:I, '발전사업(A)'!C:C, $E$1, '발전사업(A)'!G:G, B51, '발전사업(A)'!W:W, B58)
  + SUMIFS('자가소비(B)'!I:I, '자가소비(B)'!C:C, $E$1, '자가소비(B)'!G:G, B51, '자가소비(B)'!W:W, B58)
  + SUMIFS('PPA 사업(C)'!I:I, 'PPA 사업(C)'!C:C, $E$1, 'PPA 사업(C)'!G:G, B51, 'PPA 사업(C)'!W:W, B58)
  + SUMIFS('리스사업(D)'!I:I, '리스사업(D)'!C:C, $E$1, '리스사업(D)'!G:G, B51, '리스사업(D)'!W:W, B58)
  + SUMIFS('임대사업(E)'!I:I, '임대사업(E)'!C:C, $E$1, '임대사업(E)'!G:G, B51, '임대사업(E)'!W:W, B58)
  + SUMIFS('환경부사업(F)'!I:I, '환경부사업(F)'!C:C, $E$1, '환경부사업(F)'!G:G, B51, '환경부사업(F)'!W:W, B58)
  + SUMIFS('프로젝트(G)'!I:I, '프로젝트(G)'!C:C, $E$1, '프로젝트(G)'!G:G, B51, '프로젝트(G)'!W:W, B58)
  + SUMIFS('협력사 EPC(H)'!I:I, '협력사 EPC(H)'!C:C, $E$1, '협력사 EPC(H)'!G:G, B51, '협력사 EPC(H)'!W:W, B58)
  + SUMIFS('기타(Z)'!I:I, '기타(Z)'!C:C, $E$1, '기타(Z)'!G:G, B51, '기타(Z)'!W:W, B58)
)</f>
        <v/>
      </c>
      <c r="D58" s="281" t="str">
        <f>IF(
  COUNTIFS('발전사업(A)'!C:C, $E$1, '발전사업(A)'!G:G, B51, '발전사업(A)'!W:W, B58)
  + COUNTIFS('자가소비(B)'!C:C, $E$1, '자가소비(B)'!G:G, B51, '자가소비(B)'!W:W, B58)
  + COUNTIFS('PPA 사업(C)'!C:C, $E$1, 'PPA 사업(C)'!G:G, B51, 'PPA 사업(C)'!W:W, B58)
  + COUNTIFS('리스사업(D)'!C:C, $E$1, '리스사업(D)'!G:G, B51, '리스사업(D)'!W:W, B58)
  + COUNTIFS('임대사업(E)'!C:C, $E$1, '임대사업(E)'!G:G, B51, '임대사업(E)'!W:W, B58)
  + COUNTIFS('환경부사업(F)'!C:C, $E$1, '환경부사업(F)'!G:G, B51, '환경부사업(F)'!W:W, B58)
  + COUNTIFS('프로젝트(G)'!C:C, $E$1, '프로젝트(G)'!G:G, B51, '프로젝트(G)'!W:W, B58)
  + COUNTIFS('협력사 EPC(H)'!C:C, $E$1, '협력사 EPC(H)'!G:G, B51, '협력사 EPC(H)'!W:W, B58)
  + COUNTIFS('기타(Z)'!C:C, $E$1, '기타(Z)'!G:G, B51, '기타(Z)'!W:W, B58)
  = 0,
  "",
  COUNTIFS('발전사업(A)'!C:C, $E$1, '발전사업(A)'!G:G, B51, '발전사업(A)'!W:W, B58)
  + COUNTIFS('자가소비(B)'!C:C, $E$1, '자가소비(B)'!G:G, B51, '자가소비(B)'!W:W, B58)
  + COUNTIFS('PPA 사업(C)'!C:C, $E$1, 'PPA 사업(C)'!G:G, B51, 'PPA 사업(C)'!W:W, B58)
  + COUNTIFS('리스사업(D)'!C:C, $E$1, '리스사업(D)'!G:G, B51, '리스사업(D)'!W:W, B58)
  + COUNTIFS('임대사업(E)'!C:C, $E$1, '임대사업(E)'!G:G, B51, '임대사업(E)'!W:W, B58)
  + COUNTIFS('환경부사업(F)'!C:C, $E$1, '환경부사업(F)'!G:G, B51, '환경부사업(F)'!W:W, B58)
  + COUNTIFS('프로젝트(G)'!C:C, $E$1, '프로젝트(G)'!G:G, B51, '프로젝트(G)'!W:W, B58)
  + COUNTIFS('협력사 EPC(H)'!C:C, $E$1, '협력사 EPC(H)'!G:G, B51, '협력사 EPC(H)'!W:W, B58)
  + COUNTIFS('기타(Z)'!C:C, $E$1, '기타(Z)'!G:G, B51, '기타(Z)'!W:W, B58)
)</f>
        <v/>
      </c>
      <c r="E58" s="280" t="str">
        <f>IF(
  SUM(
    SUMIFS('발전사업(A)'!I:I, '발전사업(A)'!C:C, $E$1, '발전사업(A)'!G:G, B51, '발전사업(A)'!W:W, B58, '발전사업(A)'!U:U, $C$1),
    SUMIFS('자가소비(B)'!I:I, '자가소비(B)'!C:C, $E$1, '자가소비(B)'!G:G, B51, '자가소비(B)'!W:W, B58, '자가소비(B)'!U:U, $C$1),
    SUMIFS('PPA 사업(C)'!I:I, 'PPA 사업(C)'!C:C, $E$1, 'PPA 사업(C)'!G:G, B51, 'PPA 사업(C)'!W:W, B58, 'PPA 사업(C)'!U:U, $C$1),
    SUMIFS('리스사업(D)'!I:I, '리스사업(D)'!C:C, $E$1, '리스사업(D)'!G:G, B51, '리스사업(D)'!W:W, B58, '리스사업(D)'!U:U, $C$1),
    SUMIFS('임대사업(E)'!I:I, '임대사업(E)'!C:C, $E$1, '임대사업(E)'!G:G, B51, '임대사업(E)'!W:W, B58, '임대사업(E)'!U:U, $C$1),
    SUMIFS('환경부사업(F)'!I:I, '환경부사업(F)'!C:C, $E$1, '환경부사업(F)'!G:G, B51, '환경부사업(F)'!W:W, B58, '환경부사업(F)'!U:U, $C$1),
    SUMIFS('프로젝트(G)'!I:I, '프로젝트(G)'!C:C, $E$1, '프로젝트(G)'!G:G, B51, '프로젝트(G)'!W:W, B58, '프로젝트(G)'!U:U, $C$1),
    SUMIFS('협력사 EPC(H)'!I:I, '협력사 EPC(H)'!C:C, $E$1, '협력사 EPC(H)'!G:G, B51, '협력사 EPC(H)'!W:W, B58, '협력사 EPC(H)'!U:U, $C$1),
    SUMIFS('기타(Z)'!I:I, '기타(Z)'!C:C, $E$1, '기타(Z)'!G:G, B51, '기타(Z)'!W:W, B58, '기타(Z)'!U:U, $C$1)
  ) = 0,
  "",
  SUM(
    SUMIFS('발전사업(A)'!I:I, '발전사업(A)'!C:C, $E$1, '발전사업(A)'!G:G, B51, '발전사업(A)'!W:W, B58, '발전사업(A)'!U:U, $C$1),
    SUMIFS('자가소비(B)'!I:I, '자가소비(B)'!C:C, $E$1, '자가소비(B)'!G:G, B51, '자가소비(B)'!W:W, B58, '자가소비(B)'!U:U, $C$1),
    SUMIFS('PPA 사업(C)'!I:I, 'PPA 사업(C)'!C:C, $E$1, 'PPA 사업(C)'!G:G, B51, 'PPA 사업(C)'!W:W, B58, 'PPA 사업(C)'!U:U, $C$1),
    SUMIFS('리스사업(D)'!I:I, '리스사업(D)'!C:C, $E$1, '리스사업(D)'!G:G, B51, '리스사업(D)'!W:W, B58, '리스사업(D)'!U:U, $C$1),
    SUMIFS('임대사업(E)'!I:I, '임대사업(E)'!C:C, $E$1, '임대사업(E)'!G:G, B51, '임대사업(E)'!W:W, B58, '임대사업(E)'!U:U, $C$1),
    SUMIFS('환경부사업(F)'!I:I, '환경부사업(F)'!C:C, $E$1, '환경부사업(F)'!G:G, B51, '환경부사업(F)'!W:W, B58, '환경부사업(F)'!U:U, $C$1),
    SUMIFS('프로젝트(G)'!I:I, '프로젝트(G)'!C:C, $E$1, '프로젝트(G)'!G:G, B51, '프로젝트(G)'!W:W, B58, '프로젝트(G)'!U:U, $C$1),
    SUMIFS('협력사 EPC(H)'!I:I, '협력사 EPC(H)'!C:C, $E$1, '협력사 EPC(H)'!G:G, B51, '협력사 EPC(H)'!W:W, B58, '협력사 EPC(H)'!U:U, $C$1),
    SUMIFS('기타(Z)'!I:I, '기타(Z)'!C:C, $E$1, '기타(Z)'!G:G, B51, '기타(Z)'!W:W, B58, '기타(Z)'!U:U, $C$1)
  )
)</f>
        <v/>
      </c>
      <c r="F58" s="281" t="str">
        <f>IF(
  SUM(
    COUNTIFS('발전사업(A)'!C:C, $E$1, '발전사업(A)'!G:G, B51, '발전사업(A)'!W:W, B58, '발전사업(A)'!U:U, $C$1),
    COUNTIFS('자가소비(B)'!C:C, $E$1, '자가소비(B)'!G:G, B51, '자가소비(B)'!W:W, B58, '자가소비(B)'!U:U, $C$1),
    COUNTIFS('PPA 사업(C)'!C:C, $E$1, 'PPA 사업(C)'!G:G, B51, 'PPA 사업(C)'!W:W, B58, 'PPA 사업(C)'!U:U, $C$1),
    COUNTIFS('리스사업(D)'!C:C, $E$1, '리스사업(D)'!G:G, B51, '리스사업(D)'!W:W, B58, '리스사업(D)'!U:U, $C$1),
    COUNTIFS('임대사업(E)'!C:C, $E$1, '임대사업(E)'!G:G, B51, '임대사업(E)'!W:W, B58, '임대사업(E)'!U:U, $C$1),
    COUNTIFS('환경부사업(F)'!C:C, $E$1, '환경부사업(F)'!G:G, B51, '환경부사업(F)'!W:W, B58, '환경부사업(F)'!U:U, $C$1),
    COUNTIFS('프로젝트(G)'!C:C, $E$1, '프로젝트(G)'!G:G, B51, '프로젝트(G)'!W:W, B58, '프로젝트(G)'!U:U, $C$1),
    COUNTIFS('협력사 EPC(H)'!C:C, $E$1, '협력사 EPC(H)'!G:G, B51, '협력사 EPC(H)'!W:W, B58, '협력사 EPC(H)'!U:U, $C$1),
    COUNTIFS('기타(Z)'!C:C, $E$1, '기타(Z)'!G:G, B51, '기타(Z)'!W:W, B58, '기타(Z)'!U:U, $C$1)
  ) = 0,
  "",
  SUM(
    COUNTIFS('발전사업(A)'!C:C, $E$1, '발전사업(A)'!G:G, B51, '발전사업(A)'!W:W, B58, '발전사업(A)'!U:U, $C$1),
    COUNTIFS('자가소비(B)'!C:C, $E$1, '자가소비(B)'!G:G, B51, '자가소비(B)'!W:W, B58, '자가소비(B)'!U:U, $C$1),
    COUNTIFS('PPA 사업(C)'!C:C, $E$1, 'PPA 사업(C)'!G:G, B51, 'PPA 사업(C)'!W:W, B58, 'PPA 사업(C)'!U:U, $C$1),
    COUNTIFS('리스사업(D)'!C:C, $E$1, '리스사업(D)'!G:G, B51, '리스사업(D)'!W:W, B58, '리스사업(D)'!U:U, $C$1),
    COUNTIFS('임대사업(E)'!C:C, $E$1, '임대사업(E)'!G:G, B51, '임대사업(E)'!W:W, B58, '임대사업(E)'!U:U, $C$1),
    COUNTIFS('환경부사업(F)'!C:C, $E$1, '환경부사업(F)'!G:G, B51, '환경부사업(F)'!W:W, B58, '환경부사업(F)'!U:U, $C$1),
    COUNTIFS('프로젝트(G)'!C:C, $E$1, '프로젝트(G)'!G:G, B51, '프로젝트(G)'!W:W, B58, '프로젝트(G)'!U:U, $C$1),
    COUNTIFS('협력사 EPC(H)'!C:C, $E$1, '협력사 EPC(H)'!G:G, B51, '협력사 EPC(H)'!W:W, B58, '협력사 EPC(H)'!U:U, $C$1),
    COUNTIFS('기타(Z)'!C:C, $E$1, '기타(Z)'!G:G, B51, '기타(Z)'!W:W, B58, '기타(Z)'!U:U, $C$1)
  )
)</f>
        <v/>
      </c>
      <c r="G58" s="280" t="str">
        <f>IF(
  SUM(
    SUMIFS('발전사업(A)'!I:I, '발전사업(A)'!C:C, $E$1, '발전사업(A)'!G:G, B51, '발전사업(A)'!W:W, B58, '발전사업(A)'!U:U, $D$1),
    SUMIFS('자가소비(B)'!I:I, '자가소비(B)'!C:C, $E$1, '자가소비(B)'!G:G, B51, '자가소비(B)'!W:W, B58, '자가소비(B)'!U:U, $D$1),
    SUMIFS('PPA 사업(C)'!I:I, 'PPA 사업(C)'!C:C, $E$1, 'PPA 사업(C)'!G:G, B51, 'PPA 사업(C)'!W:W, B58, 'PPA 사업(C)'!U:U, $D$1),
    SUMIFS('리스사업(D)'!I:I, '리스사업(D)'!C:C, $E$1, '리스사업(D)'!G:G, B51, '리스사업(D)'!W:W, B58, '리스사업(D)'!U:U, $D$1),
    SUMIFS('임대사업(E)'!I:I, '임대사업(E)'!C:C, $E$1, '임대사업(E)'!G:G, B51, '임대사업(E)'!W:W, B58, '임대사업(E)'!U:U, $D$1),
    SUMIFS('환경부사업(F)'!I:I, '환경부사업(F)'!C:C, $E$1, '환경부사업(F)'!G:G, B51, '환경부사업(F)'!W:W, B58, '환경부사업(F)'!U:U, $D$1),
    SUMIFS('프로젝트(G)'!I:I, '프로젝트(G)'!C:C, $E$1, '프로젝트(G)'!G:G, B51, '프로젝트(G)'!W:W, B58, '프로젝트(G)'!U:U, $D$1),
    SUMIFS('협력사 EPC(H)'!I:I, '협력사 EPC(H)'!C:C, $E$1, '협력사 EPC(H)'!G:G, B51, '협력사 EPC(H)'!W:W, B58, '협력사 EPC(H)'!U:U, $D$1),
    SUMIFS('기타(Z)'!I:I, '기타(Z)'!C:C, $E$1, '기타(Z)'!G:G, B51, '기타(Z)'!W:W, B58, '기타(Z)'!U:U, $D$1)
  ) = 0,
  "",
  SUM(
    SUMIFS('발전사업(A)'!I:I, '발전사업(A)'!C:C, $E$1, '발전사업(A)'!G:G, B51, '발전사업(A)'!W:W, B58, '발전사업(A)'!U:U, $D$1),
    SUMIFS('자가소비(B)'!I:I, '자가소비(B)'!C:C, $E$1, '자가소비(B)'!G:G, B51, '자가소비(B)'!W:W, B58, '자가소비(B)'!U:U, $D$1),
    SUMIFS('PPA 사업(C)'!I:I, 'PPA 사업(C)'!C:C, $E$1, 'PPA 사업(C)'!G:G, B51, 'PPA 사업(C)'!W:W, B58, 'PPA 사업(C)'!U:U, $D$1),
    SUMIFS('리스사업(D)'!I:I, '리스사업(D)'!C:C, $E$1, '리스사업(D)'!G:G, B51, '리스사업(D)'!W:W, B58, '리스사업(D)'!U:U, $D$1),
    SUMIFS('임대사업(E)'!I:I, '임대사업(E)'!C:C, $E$1, '임대사업(E)'!G:G, B51, '임대사업(E)'!W:W, B58, '임대사업(E)'!U:U, $D$1),
    SUMIFS('환경부사업(F)'!I:I, '환경부사업(F)'!C:C, $E$1, '환경부사업(F)'!G:G, B51, '환경부사업(F)'!W:W, B58, '환경부사업(F)'!U:U, $D$1),
    SUMIFS('프로젝트(G)'!I:I, '프로젝트(G)'!C:C, $E$1, '프로젝트(G)'!G:G, B51, '프로젝트(G)'!W:W, B58, '프로젝트(G)'!U:U, $D$1),
    SUMIFS('협력사 EPC(H)'!I:I, '협력사 EPC(H)'!C:C, $E$1, '협력사 EPC(H)'!G:G, B51, '협력사 EPC(H)'!W:W, B58, '협력사 EPC(H)'!U:U, $D$1),
    SUMIFS('기타(Z)'!I:I, '기타(Z)'!C:C, $E$1, '기타(Z)'!G:G, B51, '기타(Z)'!W:W, B58, '기타(Z)'!U:U, $D$1)
  )
)</f>
        <v/>
      </c>
      <c r="H58" s="281" t="str">
        <f>IF(
  (
    COUNTIFS('발전사업(A)'!C:C, $E$1, '발전사업(A)'!G:G, B51, '발전사업(A)'!W:W, B58, '발전사업(A)'!U:U, $D$1)
    + COUNTIFS('자가소비(B)'!C:C, $E$1, '자가소비(B)'!G:G, B51, '자가소비(B)'!W:W, B58, '자가소비(B)'!U:U, $D$1)
    + COUNTIFS('PPA 사업(C)'!C:C, $E$1, 'PPA 사업(C)'!G:G, B51, 'PPA 사업(C)'!W:W, B58, 'PPA 사업(C)'!U:U, $D$1)
    + COUNTIFS('리스사업(D)'!C:C, $E$1, '리스사업(D)'!G:G, B51, '리스사업(D)'!W:W, B58, '리스사업(D)'!U:U, $D$1)
    + COUNTIFS('임대사업(E)'!C:C, $E$1, '임대사업(E)'!G:G, B51, '임대사업(E)'!W:W, B58, '임대사업(E)'!U:U, $D$1)
    + COUNTIFS('환경부사업(F)'!C:C, $E$1, '환경부사업(F)'!G:G, B51, '환경부사업(F)'!W:W, B58, '환경부사업(F)'!U:U, $D$1)
    + COUNTIFS('프로젝트(G)'!C:C, $E$1, '프로젝트(G)'!G:G, B51, '프로젝트(G)'!W:W, B58, '프로젝트(G)'!U:U, $D$1)
    + COUNTIFS('협력사 EPC(H)'!C:C, $E$1, '협력사 EPC(H)'!G:G, B51, '협력사 EPC(H)'!W:W, B58, '협력사 EPC(H)'!U:U, $D$1)
    + COUNTIFS('기타(Z)'!C:C, $E$1, '기타(Z)'!G:G, $B51, '기타(Z)'!W:W, B58, '기타(Z)'!U:U, $D$1)
  ) = 0,
  "",
  COUNTIFS('발전사업(A)'!C:C, $E$1, '발전사업(A)'!G:G, B51, '발전사업(A)'!W:W, B58, '발전사업(A)'!U:U, $D$1)
  + COUNTIFS('자가소비(B)'!C:C, $E$1, '자가소비(B)'!G:G, B51, '자가소비(B)'!W:W, B58, '자가소비(B)'!U:U, $D$1)
  + COUNTIFS('PPA 사업(C)'!C:C, $E$1, 'PPA 사업(C)'!G:G, B51, 'PPA 사업(C)'!W:W, B58, 'PPA 사업(C)'!U:U, $D$1)
  + COUNTIFS('리스사업(D)'!C:C, $E$1, '리스사업(D)'!G:G, B51, '리스사업(D)'!W:W, B58, '리스사업(D)'!U:U, $D$1)
  + COUNTIFS('임대사업(E)'!C:C, $E$1, '임대사업(E)'!G:G, B51, '임대사업(E)'!W:W, B58, '임대사업(E)'!U:U, $D$1)
  + COUNTIFS('환경부사업(F)'!C:C, $E$1, '환경부사업(F)'!G:G, B51, '환경부사업(F)'!W:W, B58, '환경부사업(F)'!U:U, $D$1)
  + COUNTIFS('프로젝트(G)'!C:C, $E$1, '프로젝트(G)'!G:G, B51, '프로젝트(G)'!W:W, B58, '프로젝트(G)'!U:U, $D$1)
  + COUNTIFS('협력사 EPC(H)'!C:C, $E$1, '협력사 EPC(H)'!G:G, B51, '협력사 EPC(H)'!W:W, B58, '협력사 EPC(H)'!U:U, $D$1)
  + COUNTIFS('기타(Z)'!C:C, $E$1, '기타(Z)'!G:G, B51, '기타(Z)'!W:W, B58, '기타(Z)'!U:U, $D$1)
)</f>
        <v/>
      </c>
    </row>
    <row r="59" spans="2:8" x14ac:dyDescent="0.25">
      <c r="B59" s="202" t="s">
        <v>265</v>
      </c>
      <c r="C59" s="280" t="str">
        <f>IF(
  SUM(
    SUMIFS('발전사업(A)'!I:I, '발전사업(A)'!C:C, $E$1, '발전사업(A)'!G:G, B51, '발전사업(A)'!W:W, B59),
    SUMIFS('자가소비(B)'!I:I, '자가소비(B)'!C:C, $E$1, '자가소비(B)'!G:G, B51, '자가소비(B)'!W:W, B59),
    SUMIFS('PPA 사업(C)'!I:I, 'PPA 사업(C)'!C:C, $E$1, 'PPA 사업(C)'!G:G, B51, 'PPA 사업(C)'!W:W, B59),
    SUMIFS('리스사업(D)'!I:I, '리스사업(D)'!C:C, $E$1, '리스사업(D)'!G:G, B51, '리스사업(D)'!W:W, B59),
    SUMIFS('임대사업(E)'!I:I, '임대사업(E)'!C:C, $E$1, '임대사업(E)'!G:G, B51, '임대사업(E)'!W:W, B59),
    SUMIFS('환경부사업(F)'!I:I, '환경부사업(F)'!C:C, $E$1, '환경부사업(F)'!G:G, B51, '환경부사업(F)'!W:W, B59),
    SUMIFS('프로젝트(G)'!I:I, '프로젝트(G)'!C:C, $E$1, '프로젝트(G)'!G:G, B51, '프로젝트(G)'!W:W, B59),
    SUMIFS('협력사 EPC(H)'!I:I, '협력사 EPC(H)'!C:C, $E$1, '협력사 EPC(H)'!G:G, B51, '협력사 EPC(H)'!W:W, B59),
    SUMIFS('기타(Z)'!I:I, '기타(Z)'!C:C, $E$1, '기타(Z)'!G:G, B51, '기타(Z)'!W:W, B59)
  ) = 0,
  "",
  SUMIFS('발전사업(A)'!I:I, '발전사업(A)'!C:C, $E$1, '발전사업(A)'!G:G, B51, '발전사업(A)'!W:W, B59)
  + SUMIFS('자가소비(B)'!I:I, '자가소비(B)'!C:C, $E$1, '자가소비(B)'!G:G, B51, '자가소비(B)'!W:W, B59)
  + SUMIFS('PPA 사업(C)'!I:I, 'PPA 사업(C)'!C:C, $E$1, 'PPA 사업(C)'!G:G, B51, 'PPA 사업(C)'!W:W, B59)
  + SUMIFS('리스사업(D)'!I:I, '리스사업(D)'!C:C, $E$1, '리스사업(D)'!G:G, B51, '리스사업(D)'!W:W, B59)
  + SUMIFS('임대사업(E)'!I:I, '임대사업(E)'!C:C, $E$1, '임대사업(E)'!G:G, B51, '임대사업(E)'!W:W, B59)
  + SUMIFS('환경부사업(F)'!I:I, '환경부사업(F)'!C:C, $E$1, '환경부사업(F)'!G:G, B51, '환경부사업(F)'!W:W, B59)
  + SUMIFS('프로젝트(G)'!I:I, '프로젝트(G)'!C:C, $E$1, '프로젝트(G)'!G:G, B51, '프로젝트(G)'!W:W, B59)
  + SUMIFS('협력사 EPC(H)'!I:I, '협력사 EPC(H)'!C:C, $E$1, '협력사 EPC(H)'!G:G, B51, '협력사 EPC(H)'!W:W, B59)
  + SUMIFS('기타(Z)'!I:I, '기타(Z)'!C:C, $E$1, '기타(Z)'!G:G, B51, '기타(Z)'!W:W, B59)
)</f>
        <v/>
      </c>
      <c r="D59" s="281" t="str">
        <f>IF(
  COUNTIFS('발전사업(A)'!C:C, $E$1, '발전사업(A)'!G:G, B51, '발전사업(A)'!W:W, B59)
  + COUNTIFS('자가소비(B)'!C:C, $E$1, '자가소비(B)'!G:G, B51, '자가소비(B)'!W:W, B59)
  + COUNTIFS('PPA 사업(C)'!C:C, $E$1, 'PPA 사업(C)'!G:G, B51, 'PPA 사업(C)'!W:W, B59)
  + COUNTIFS('리스사업(D)'!C:C, $E$1, '리스사업(D)'!G:G, B51, '리스사업(D)'!W:W, B59)
  + COUNTIFS('임대사업(E)'!C:C, $E$1, '임대사업(E)'!G:G, B51, '임대사업(E)'!W:W, B59)
  + COUNTIFS('환경부사업(F)'!C:C, $E$1, '환경부사업(F)'!G:G, B51, '환경부사업(F)'!W:W, B59)
  + COUNTIFS('프로젝트(G)'!C:C, $E$1, '프로젝트(G)'!G:G, B51, '프로젝트(G)'!W:W, B59)
  + COUNTIFS('협력사 EPC(H)'!C:C, $E$1, '협력사 EPC(H)'!G:G, B51, '협력사 EPC(H)'!W:W, B59)
  + COUNTIFS('기타(Z)'!C:C, $E$1, '기타(Z)'!G:G, B51, '기타(Z)'!W:W, B59)
  = 0,
  "",
  COUNTIFS('발전사업(A)'!C:C, $E$1, '발전사업(A)'!G:G, B51, '발전사업(A)'!W:W, B59)
  + COUNTIFS('자가소비(B)'!C:C, $E$1, '자가소비(B)'!G:G, B51, '자가소비(B)'!W:W, B59)
  + COUNTIFS('PPA 사업(C)'!C:C, $E$1, 'PPA 사업(C)'!G:G, B51, 'PPA 사업(C)'!W:W, B59)
  + COUNTIFS('리스사업(D)'!C:C, $E$1, '리스사업(D)'!G:G, B51, '리스사업(D)'!W:W, B59)
  + COUNTIFS('임대사업(E)'!C:C, $E$1, '임대사업(E)'!G:G, B51, '임대사업(E)'!W:W, B59)
  + COUNTIFS('환경부사업(F)'!C:C, $E$1, '환경부사업(F)'!G:G, B51, '환경부사업(F)'!W:W, B59)
  + COUNTIFS('프로젝트(G)'!C:C, $E$1, '프로젝트(G)'!G:G, B51, '프로젝트(G)'!W:W, B59)
  + COUNTIFS('협력사 EPC(H)'!C:C, $E$1, '협력사 EPC(H)'!G:G, B51, '협력사 EPC(H)'!W:W, B59)
  + COUNTIFS('기타(Z)'!C:C, $E$1, '기타(Z)'!G:G, B51, '기타(Z)'!W:W, B59)
)</f>
        <v/>
      </c>
      <c r="E59" s="280" t="str">
        <f>IF(
  SUM(
    SUMIFS('발전사업(A)'!I:I, '발전사업(A)'!C:C, $E$1, '발전사업(A)'!G:G, B51, '발전사업(A)'!W:W, B59, '발전사업(A)'!U:U, $C$1),
    SUMIFS('자가소비(B)'!I:I, '자가소비(B)'!C:C, $E$1, '자가소비(B)'!G:G, B51, '자가소비(B)'!W:W, B59, '자가소비(B)'!U:U, $C$1),
    SUMIFS('PPA 사업(C)'!I:I, 'PPA 사업(C)'!C:C, $E$1, 'PPA 사업(C)'!G:G, B51, 'PPA 사업(C)'!W:W, B59, 'PPA 사업(C)'!U:U, $C$1),
    SUMIFS('리스사업(D)'!I:I, '리스사업(D)'!C:C, $E$1, '리스사업(D)'!G:G, B51, '리스사업(D)'!W:W, B59, '리스사업(D)'!U:U, $C$1),
    SUMIFS('임대사업(E)'!I:I, '임대사업(E)'!C:C, $E$1, '임대사업(E)'!G:G, B51, '임대사업(E)'!W:W, B59, '임대사업(E)'!U:U, $C$1),
    SUMIFS('환경부사업(F)'!I:I, '환경부사업(F)'!C:C, $E$1, '환경부사업(F)'!G:G, B51, '환경부사업(F)'!W:W, B59, '환경부사업(F)'!U:U, $C$1),
    SUMIFS('프로젝트(G)'!I:I, '프로젝트(G)'!C:C, $E$1, '프로젝트(G)'!G:G, B51, '프로젝트(G)'!W:W, B59, '프로젝트(G)'!U:U, $C$1),
    SUMIFS('협력사 EPC(H)'!I:I, '협력사 EPC(H)'!C:C, $E$1, '협력사 EPC(H)'!G:G, B51, '협력사 EPC(H)'!W:W, B59, '협력사 EPC(H)'!U:U, $C$1),
    SUMIFS('기타(Z)'!I:I, '기타(Z)'!C:C, $E$1, '기타(Z)'!G:G, B51, '기타(Z)'!W:W, B59, '기타(Z)'!U:U, $C$1)
  ) = 0,
  "",
  SUM(
    SUMIFS('발전사업(A)'!I:I, '발전사업(A)'!C:C, $E$1, '발전사업(A)'!G:G, B51, '발전사업(A)'!W:W, B59, '발전사업(A)'!U:U, $C$1),
    SUMIFS('자가소비(B)'!I:I, '자가소비(B)'!C:C, $E$1, '자가소비(B)'!G:G, B51, '자가소비(B)'!W:W, B59, '자가소비(B)'!U:U, $C$1),
    SUMIFS('PPA 사업(C)'!I:I, 'PPA 사업(C)'!C:C, $E$1, 'PPA 사업(C)'!G:G, B51, 'PPA 사업(C)'!W:W, B59, 'PPA 사업(C)'!U:U, $C$1),
    SUMIFS('리스사업(D)'!I:I, '리스사업(D)'!C:C, $E$1, '리스사업(D)'!G:G, B51, '리스사업(D)'!W:W, B59, '리스사업(D)'!U:U, $C$1),
    SUMIFS('임대사업(E)'!I:I, '임대사업(E)'!C:C, $E$1, '임대사업(E)'!G:G, B51, '임대사업(E)'!W:W, B59, '임대사업(E)'!U:U, $C$1),
    SUMIFS('환경부사업(F)'!I:I, '환경부사업(F)'!C:C, $E$1, '환경부사업(F)'!G:G, B51, '환경부사업(F)'!W:W, B59, '환경부사업(F)'!U:U, $C$1),
    SUMIFS('프로젝트(G)'!I:I, '프로젝트(G)'!C:C, $E$1, '프로젝트(G)'!G:G, B51, '프로젝트(G)'!W:W, B59, '프로젝트(G)'!U:U, $C$1),
    SUMIFS('협력사 EPC(H)'!I:I, '협력사 EPC(H)'!C:C, $E$1, '협력사 EPC(H)'!G:G, B51, '협력사 EPC(H)'!W:W, B59, '협력사 EPC(H)'!U:U, $C$1),
    SUMIFS('기타(Z)'!I:I, '기타(Z)'!C:C, $E$1, '기타(Z)'!G:G, B51, '기타(Z)'!W:W, B59, '기타(Z)'!U:U, $C$1)
  )
)</f>
        <v/>
      </c>
      <c r="F59" s="281" t="str">
        <f>IF(
  SUM(
    COUNTIFS('발전사업(A)'!C:C, $E$1, '발전사업(A)'!G:G, B51, '발전사업(A)'!W:W, B59, '발전사업(A)'!U:U, $C$1),
    COUNTIFS('자가소비(B)'!C:C, $E$1, '자가소비(B)'!G:G, B51, '자가소비(B)'!W:W, B59, '자가소비(B)'!U:U, $C$1),
    COUNTIFS('PPA 사업(C)'!C:C, $E$1, 'PPA 사업(C)'!G:G, B51, 'PPA 사업(C)'!W:W, B59, 'PPA 사업(C)'!U:U, $C$1),
    COUNTIFS('리스사업(D)'!C:C, $E$1, '리스사업(D)'!G:G, B51, '리스사업(D)'!W:W, B59, '리스사업(D)'!U:U, $C$1),
    COUNTIFS('임대사업(E)'!C:C, $E$1, '임대사업(E)'!G:G, B51, '임대사업(E)'!W:W, B59, '임대사업(E)'!U:U, $C$1),
    COUNTIFS('환경부사업(F)'!C:C, $E$1, '환경부사업(F)'!G:G, B51, '환경부사업(F)'!W:W, B59, '환경부사업(F)'!U:U, $C$1),
    COUNTIFS('프로젝트(G)'!C:C, $E$1, '프로젝트(G)'!G:G, B51, '프로젝트(G)'!W:W, B59, '프로젝트(G)'!U:U, $C$1),
    COUNTIFS('협력사 EPC(H)'!C:C, $E$1, '협력사 EPC(H)'!G:G, B51, '협력사 EPC(H)'!W:W, B59, '협력사 EPC(H)'!U:U, $C$1),
    COUNTIFS('기타(Z)'!C:C, $E$1, '기타(Z)'!G:G, B51, '기타(Z)'!W:W, B59, '기타(Z)'!U:U, $C$1)
  ) = 0,
  "",
  SUM(
    COUNTIFS('발전사업(A)'!C:C, $E$1, '발전사업(A)'!G:G, B51, '발전사업(A)'!W:W, B59, '발전사업(A)'!U:U, $C$1),
    COUNTIFS('자가소비(B)'!C:C, $E$1, '자가소비(B)'!G:G, B51, '자가소비(B)'!W:W, B59, '자가소비(B)'!U:U, $C$1),
    COUNTIFS('PPA 사업(C)'!C:C, $E$1, 'PPA 사업(C)'!G:G, B51, 'PPA 사업(C)'!W:W, B59, 'PPA 사업(C)'!U:U, $C$1),
    COUNTIFS('리스사업(D)'!C:C, $E$1, '리스사업(D)'!G:G, B51, '리스사업(D)'!W:W, B59, '리스사업(D)'!U:U, $C$1),
    COUNTIFS('임대사업(E)'!C:C, $E$1, '임대사업(E)'!G:G, B51, '임대사업(E)'!W:W, B59, '임대사업(E)'!U:U, $C$1),
    COUNTIFS('환경부사업(F)'!C:C, $E$1, '환경부사업(F)'!G:G, B51, '환경부사업(F)'!W:W, B59, '환경부사업(F)'!U:U, $C$1),
    COUNTIFS('프로젝트(G)'!C:C, $E$1, '프로젝트(G)'!G:G, B51, '프로젝트(G)'!W:W, B59, '프로젝트(G)'!U:U, $C$1),
    COUNTIFS('협력사 EPC(H)'!C:C, $E$1, '협력사 EPC(H)'!G:G, B51, '협력사 EPC(H)'!W:W, B59, '협력사 EPC(H)'!U:U, $C$1),
    COUNTIFS('기타(Z)'!C:C, $E$1, '기타(Z)'!G:G, B51, '기타(Z)'!W:W, B59, '기타(Z)'!U:U, $C$1)
  )
)</f>
        <v/>
      </c>
      <c r="G59" s="280" t="str">
        <f>IF(
  SUM(
    SUMIFS('발전사업(A)'!I:I, '발전사업(A)'!C:C, $E$1, '발전사업(A)'!G:G, B51, '발전사업(A)'!W:W, B59, '발전사업(A)'!U:U, $D$1),
    SUMIFS('자가소비(B)'!I:I, '자가소비(B)'!C:C, $E$1, '자가소비(B)'!G:G, B51, '자가소비(B)'!W:W, B59, '자가소비(B)'!U:U, $D$1),
    SUMIFS('PPA 사업(C)'!I:I, 'PPA 사업(C)'!C:C, $E$1, 'PPA 사업(C)'!G:G, B51, 'PPA 사업(C)'!W:W, B59, 'PPA 사업(C)'!U:U, $D$1),
    SUMIFS('리스사업(D)'!I:I, '리스사업(D)'!C:C, $E$1, '리스사업(D)'!G:G, B51, '리스사업(D)'!W:W, B59, '리스사업(D)'!U:U, $D$1),
    SUMIFS('임대사업(E)'!I:I, '임대사업(E)'!C:C, $E$1, '임대사업(E)'!G:G, B51, '임대사업(E)'!W:W, B59, '임대사업(E)'!U:U, $D$1),
    SUMIFS('환경부사업(F)'!I:I, '환경부사업(F)'!C:C, $E$1, '환경부사업(F)'!G:G, B51, '환경부사업(F)'!W:W, B59, '환경부사업(F)'!U:U, $D$1),
    SUMIFS('프로젝트(G)'!I:I, '프로젝트(G)'!C:C, $E$1, '프로젝트(G)'!G:G, B51, '프로젝트(G)'!W:W, B59, '프로젝트(G)'!U:U, $D$1),
    SUMIFS('협력사 EPC(H)'!I:I, '협력사 EPC(H)'!C:C, $E$1, '협력사 EPC(H)'!G:G, B51, '협력사 EPC(H)'!W:W, B59, '협력사 EPC(H)'!U:U, $D$1),
    SUMIFS('기타(Z)'!I:I, '기타(Z)'!C:C, $E$1, '기타(Z)'!G:G, B51, '기타(Z)'!W:W, B59, '기타(Z)'!U:U, $D$1)
  ) = 0,
  "",
  SUM(
    SUMIFS('발전사업(A)'!I:I, '발전사업(A)'!C:C, $E$1, '발전사업(A)'!G:G, B51, '발전사업(A)'!W:W, B59, '발전사업(A)'!U:U, $D$1),
    SUMIFS('자가소비(B)'!I:I, '자가소비(B)'!C:C, $E$1, '자가소비(B)'!G:G, B51, '자가소비(B)'!W:W, B59, '자가소비(B)'!U:U, $D$1),
    SUMIFS('PPA 사업(C)'!I:I, 'PPA 사업(C)'!C:C, $E$1, 'PPA 사업(C)'!G:G, B51, 'PPA 사업(C)'!W:W, B59, 'PPA 사업(C)'!U:U, $D$1),
    SUMIFS('리스사업(D)'!I:I, '리스사업(D)'!C:C, $E$1, '리스사업(D)'!G:G, B51, '리스사업(D)'!W:W, B59, '리스사업(D)'!U:U, $D$1),
    SUMIFS('임대사업(E)'!I:I, '임대사업(E)'!C:C, $E$1, '임대사업(E)'!G:G, B51, '임대사업(E)'!W:W, B59, '임대사업(E)'!U:U, $D$1),
    SUMIFS('환경부사업(F)'!I:I, '환경부사업(F)'!C:C, $E$1, '환경부사업(F)'!G:G, B51, '환경부사업(F)'!W:W, B59, '환경부사업(F)'!U:U, $D$1),
    SUMIFS('프로젝트(G)'!I:I, '프로젝트(G)'!C:C, $E$1, '프로젝트(G)'!G:G, B51, '프로젝트(G)'!W:W, B59, '프로젝트(G)'!U:U, $D$1),
    SUMIFS('협력사 EPC(H)'!I:I, '협력사 EPC(H)'!C:C, $E$1, '협력사 EPC(H)'!G:G, B51, '협력사 EPC(H)'!W:W, B59, '협력사 EPC(H)'!U:U, $D$1),
    SUMIFS('기타(Z)'!I:I, '기타(Z)'!C:C, $E$1, '기타(Z)'!G:G, B51, '기타(Z)'!W:W, B59, '기타(Z)'!U:U, $D$1)
  )
)</f>
        <v/>
      </c>
      <c r="H59" s="281" t="str">
        <f>IF(
  (
    COUNTIFS('발전사업(A)'!C:C, $E$1, '발전사업(A)'!G:G, B51, '발전사업(A)'!W:W, B59, '발전사업(A)'!U:U, $D$1)
    + COUNTIFS('자가소비(B)'!C:C, $E$1, '자가소비(B)'!G:G, B51, '자가소비(B)'!W:W, B59, '자가소비(B)'!U:U, $D$1)
    + COUNTIFS('PPA 사업(C)'!C:C, $E$1, 'PPA 사업(C)'!G:G, B51, 'PPA 사업(C)'!W:W, B59, 'PPA 사업(C)'!U:U, $D$1)
    + COUNTIFS('리스사업(D)'!C:C, $E$1, '리스사업(D)'!G:G, B51, '리스사업(D)'!W:W, B59, '리스사업(D)'!U:U, $D$1)
    + COUNTIFS('임대사업(E)'!C:C, $E$1, '임대사업(E)'!G:G, B51, '임대사업(E)'!W:W, B59, '임대사업(E)'!U:U, $D$1)
    + COUNTIFS('환경부사업(F)'!C:C, $E$1, '환경부사업(F)'!G:G, B51, '환경부사업(F)'!W:W, B59, '환경부사업(F)'!U:U, $D$1)
    + COUNTIFS('프로젝트(G)'!C:C, $E$1, '프로젝트(G)'!G:G, B51, '프로젝트(G)'!W:W, B59, '프로젝트(G)'!U:U, $D$1)
    + COUNTIFS('협력사 EPC(H)'!C:C, $E$1, '협력사 EPC(H)'!G:G, B51, '협력사 EPC(H)'!W:W, B59, '협력사 EPC(H)'!U:U, $D$1)
    + COUNTIFS('기타(Z)'!C:C, $E$1, '기타(Z)'!G:G, B51, '기타(Z)'!W:W, B59, '기타(Z)'!U:U, $D$1)
  ) = 0,
  "",
  COUNTIFS('발전사업(A)'!C:C, $E$1, '발전사업(A)'!G:G, B51, '발전사업(A)'!W:W, B59, '발전사업(A)'!U:U, $D$1)
  + COUNTIFS('자가소비(B)'!C:C, $E$1, '자가소비(B)'!G:G, B51, '자가소비(B)'!W:W, B59, '자가소비(B)'!U:U, $D$1)
  + COUNTIFS('PPA 사업(C)'!C:C, $E$1, 'PPA 사업(C)'!G:G, B51, 'PPA 사업(C)'!W:W, B59, 'PPA 사업(C)'!U:U, $D$1)
  + COUNTIFS('리스사업(D)'!C:C, $E$1, '리스사업(D)'!G:G, B51, '리스사업(D)'!W:W, B59, '리스사업(D)'!U:U, $D$1)
  + COUNTIFS('임대사업(E)'!C:C, $E$1, '임대사업(E)'!G:G, B51, '임대사업(E)'!W:W, B59, '임대사업(E)'!U:U, $D$1)
  + COUNTIFS('환경부사업(F)'!C:C, $E$1, '환경부사업(F)'!G:G, B51, '환경부사업(F)'!W:W, B59, '환경부사업(F)'!U:U, $D$1)
  + COUNTIFS('프로젝트(G)'!C:C, $E$1, '프로젝트(G)'!G:G, B51, '프로젝트(G)'!W:W, B59, '프로젝트(G)'!U:U, $D$1)
  + COUNTIFS('협력사 EPC(H)'!C:C, $E$1, '협력사 EPC(H)'!G:G, B51, '협력사 EPC(H)'!W:W, B59, '협력사 EPC(H)'!U:U, $D$1)
  + COUNTIFS('기타(Z)'!C:C, $E$1, '기타(Z)'!G:G, B51, '기타(Z)'!W:W, B59, '기타(Z)'!U:U, $D$1)
)</f>
        <v/>
      </c>
    </row>
    <row r="60" spans="2:8" ht="16.5" x14ac:dyDescent="0.25">
      <c r="B60" s="292" t="s">
        <v>1062</v>
      </c>
      <c r="C60" s="286">
        <f>SUM(C52:C59)</f>
        <v>3982.1350000000007</v>
      </c>
      <c r="D60" s="287">
        <f t="shared" ref="D60:H60" si="13">SUM(D52:D59)</f>
        <v>17</v>
      </c>
      <c r="E60" s="288">
        <f t="shared" si="13"/>
        <v>2617.3350000000005</v>
      </c>
      <c r="F60" s="289">
        <f t="shared" si="13"/>
        <v>11</v>
      </c>
      <c r="G60" s="290">
        <f t="shared" si="13"/>
        <v>1364.8000000000002</v>
      </c>
      <c r="H60" s="291">
        <f t="shared" si="13"/>
        <v>6</v>
      </c>
    </row>
    <row r="63" spans="2:8" ht="17.25" x14ac:dyDescent="0.25">
      <c r="B63" s="282">
        <v>5</v>
      </c>
      <c r="C63" s="283" t="s">
        <v>1064</v>
      </c>
      <c r="D63" s="283" t="s">
        <v>1063</v>
      </c>
      <c r="E63" s="284" t="s">
        <v>1065</v>
      </c>
      <c r="F63" s="284" t="s">
        <v>1066</v>
      </c>
      <c r="G63" s="285" t="s">
        <v>1067</v>
      </c>
      <c r="H63" s="285" t="s">
        <v>1068</v>
      </c>
    </row>
    <row r="64" spans="2:8" x14ac:dyDescent="0.25">
      <c r="B64" s="202" t="s">
        <v>270</v>
      </c>
      <c r="C64" s="280">
        <f>IF(
  SUM(
    SUMIFS('발전사업(A)'!I:I, '발전사업(A)'!C:C, $E$1, '발전사업(A)'!G:G, B63, '발전사업(A)'!W:W, B64),
    SUMIFS('자가소비(B)'!I:I, '자가소비(B)'!C:C, $E$1, '자가소비(B)'!G:G, B63, '자가소비(B)'!W:W, B64),
    SUMIFS('PPA 사업(C)'!I:I, 'PPA 사업(C)'!C:C, $E$1, 'PPA 사업(C)'!G:G, B63, 'PPA 사업(C)'!W:W, B64),
    SUMIFS('리스사업(D)'!I:I, '리스사업(D)'!C:C, $E$1, '리스사업(D)'!G:G, B63, '리스사업(D)'!W:W, B64),
    SUMIFS('임대사업(E)'!I:I, '임대사업(E)'!C:C, $E$1, '임대사업(E)'!G:G, B63, '임대사업(E)'!W:W, B64),
    SUMIFS('환경부사업(F)'!I:I, '환경부사업(F)'!C:C, $E$1, '환경부사업(F)'!G:G, B63, '환경부사업(F)'!W:W, B64),
    SUMIFS('프로젝트(G)'!I:I, '프로젝트(G)'!C:C, $E$1, '프로젝트(G)'!G:G, B63, '프로젝트(G)'!W:W, B64),
    SUMIFS('협력사 EPC(H)'!I:I, '협력사 EPC(H)'!C:C, $E$1, '협력사 EPC(H)'!G:G, B63, '협력사 EPC(H)'!W:W, B64),
    SUMIFS('기타(Z)'!I:I, '기타(Z)'!C:C, $E$1, '기타(Z)'!G:G, B63, '기타(Z)'!W:W, B64)
  ) = 0,
  "",
  SUMIFS('발전사업(A)'!I:I, '발전사업(A)'!C:C, $E$1, '발전사업(A)'!G:G, B63, '발전사업(A)'!W:W, B64)
  + SUMIFS('자가소비(B)'!I:I, '자가소비(B)'!C:C, $E$1, '자가소비(B)'!G:G, B63, '자가소비(B)'!W:W, B64)
  + SUMIFS('PPA 사업(C)'!I:I, 'PPA 사업(C)'!C:C, $E$1, 'PPA 사업(C)'!G:G, B63, 'PPA 사업(C)'!W:W, B64)
  + SUMIFS('리스사업(D)'!I:I, '리스사업(D)'!C:C, $E$1, '리스사업(D)'!G:G, B63, '리스사업(D)'!W:W, B64)
  + SUMIFS('임대사업(E)'!I:I, '임대사업(E)'!C:C, $E$1, '임대사업(E)'!G:G, B63, '임대사업(E)'!W:W, B64)
  + SUMIFS('환경부사업(F)'!I:I, '환경부사업(F)'!C:C, $E$1, '환경부사업(F)'!G:G, B63, '환경부사업(F)'!W:W, B64)
  + SUMIFS('프로젝트(G)'!I:I, '프로젝트(G)'!C:C, $E$1, '프로젝트(G)'!G:G, B63, '프로젝트(G)'!W:W, B64)
  + SUMIFS('협력사 EPC(H)'!I:I, '협력사 EPC(H)'!C:C, $E$1, '협력사 EPC(H)'!G:G, B63, '협력사 EPC(H)'!W:W, B64)
  + SUMIFS('기타(Z)'!I:I, '기타(Z)'!C:C, $E$1, '기타(Z)'!G:G, B63, '기타(Z)'!W:W, B64)
)</f>
        <v>1100.8</v>
      </c>
      <c r="D64" s="281">
        <f>IF(
  COUNTIFS('발전사업(A)'!C:C, $E$1, '발전사업(A)'!G:G, B63, '발전사업(A)'!W:W, B64)
  + COUNTIFS('자가소비(B)'!C:C, $E$1, '자가소비(B)'!G:G, B63, '자가소비(B)'!W:W, B64)
  + COUNTIFS('PPA 사업(C)'!C:C, $E$1, 'PPA 사업(C)'!G:G, B63, 'PPA 사업(C)'!W:W, B64)
  + COUNTIFS('리스사업(D)'!C:C, $E$1, '리스사업(D)'!G:G, B63, '리스사업(D)'!W:W, B64)
  + COUNTIFS('임대사업(E)'!C:C, $E$1, '임대사업(E)'!G:G, B63, '임대사업(E)'!W:W, B64)
  + COUNTIFS('환경부사업(F)'!C:C, $E$1, '환경부사업(F)'!G:G, B63, '환경부사업(F)'!W:W, B64)
  + COUNTIFS('프로젝트(G)'!C:C, $E$1, '프로젝트(G)'!G:G, B63, '프로젝트(G)'!W:W, B64)
  + COUNTIFS('협력사 EPC(H)'!C:C, $E$1, '협력사 EPC(H)'!G:G, B63, '협력사 EPC(H)'!W:W, B64)
  + COUNTIFS('기타(Z)'!C:C, $E$1, '기타(Z)'!G:G, B63, '기타(Z)'!W:W, B64)
  = 0,
  "",
  COUNTIFS('발전사업(A)'!C:C, $E$1, '발전사업(A)'!G:G, B63, '발전사업(A)'!W:W, B64)
  + COUNTIFS('자가소비(B)'!C:C, $E$1, '자가소비(B)'!G:G, B63, '자가소비(B)'!W:W, B64)
  + COUNTIFS('PPA 사업(C)'!C:C, $E$1, 'PPA 사업(C)'!G:G, B63, 'PPA 사업(C)'!W:W, B64)
  + COUNTIFS('리스사업(D)'!C:C, $E$1, '리스사업(D)'!G:G, B63, '리스사업(D)'!W:W, B64)
  + COUNTIFS('임대사업(E)'!C:C, $E$1, '임대사업(E)'!G:G, B63, '임대사업(E)'!W:W, B64)
  + COUNTIFS('환경부사업(F)'!C:C, $E$1, '환경부사업(F)'!G:G, B63, '환경부사업(F)'!W:W, B64)
  + COUNTIFS('프로젝트(G)'!C:C, $E$1, '프로젝트(G)'!G:G, B63, '프로젝트(G)'!W:W, B64)
  + COUNTIFS('협력사 EPC(H)'!C:C, $E$1, '협력사 EPC(H)'!G:G, B63, '협력사 EPC(H)'!W:W, B64)
  + COUNTIFS('기타(Z)'!C:C, $E$1, '기타(Z)'!G:G, B63, '기타(Z)'!W:W, B64)
)</f>
        <v>4</v>
      </c>
      <c r="E64" s="280">
        <f>IF(
  SUM(
    SUMIFS('발전사업(A)'!I:I, '발전사업(A)'!C:C, $E$1, '발전사업(A)'!G:G, B63, '발전사업(A)'!W:W, B64, '발전사업(A)'!U:U, $C$1),
    SUMIFS('자가소비(B)'!I:I, '자가소비(B)'!C:C, $E$1, '자가소비(B)'!G:G, B63, '자가소비(B)'!W:W, B64, '자가소비(B)'!U:U, $C$1),
    SUMIFS('PPA 사업(C)'!I:I, 'PPA 사업(C)'!C:C, $E$1, 'PPA 사업(C)'!G:G, B63, 'PPA 사업(C)'!W:W, B64, 'PPA 사업(C)'!U:U, $C$1),
    SUMIFS('리스사업(D)'!I:I, '리스사업(D)'!C:C, $E$1, '리스사업(D)'!G:G, B63, '리스사업(D)'!W:W, B64, '리스사업(D)'!U:U, $C$1),
    SUMIFS('임대사업(E)'!I:I, '임대사업(E)'!C:C, $E$1, '임대사업(E)'!G:G, B63, '임대사업(E)'!W:W, B64, '임대사업(E)'!U:U, $C$1),
    SUMIFS('환경부사업(F)'!I:I, '환경부사업(F)'!C:C, $E$1, '환경부사업(F)'!G:G, B63, '환경부사업(F)'!W:W, B64, '환경부사업(F)'!U:U, $C$1),
    SUMIFS('프로젝트(G)'!I:I, '프로젝트(G)'!C:C, $E$1, '프로젝트(G)'!G:G, B63, '프로젝트(G)'!W:W, B64, '프로젝트(G)'!U:U, $C$1),
    SUMIFS('협력사 EPC(H)'!I:I, '협력사 EPC(H)'!C:C, $E$1, '협력사 EPC(H)'!G:G, B63, '협력사 EPC(H)'!W:W, B64, '협력사 EPC(H)'!U:U, $C$1),
    SUMIFS('기타(Z)'!I:I, '기타(Z)'!C:C, $E$1, '기타(Z)'!G:G, B63, '기타(Z)'!W:W, B64, '기타(Z)'!U:U, $C$1)
  ) = 0,
  "",
  SUM(
    SUMIFS('발전사업(A)'!I:I, '발전사업(A)'!C:C, $E$1, '발전사업(A)'!G:G, B63, '발전사업(A)'!W:W, B64, '발전사업(A)'!U:U, $C$1),
    SUMIFS('자가소비(B)'!I:I, '자가소비(B)'!C:C, $E$1, '자가소비(B)'!G:G, B63, '자가소비(B)'!W:W, B64, '자가소비(B)'!U:U, $C$1),
    SUMIFS('PPA 사업(C)'!I:I, 'PPA 사업(C)'!C:C, $E$1, 'PPA 사업(C)'!G:G, B63, 'PPA 사업(C)'!W:W, B64, 'PPA 사업(C)'!U:U, $C$1),
    SUMIFS('리스사업(D)'!I:I, '리스사업(D)'!C:C, $E$1, '리스사업(D)'!G:G, B63, '리스사업(D)'!W:W, B64, '리스사업(D)'!U:U, $C$1),
    SUMIFS('임대사업(E)'!I:I, '임대사업(E)'!C:C, $E$1, '임대사업(E)'!G:G, B63, '임대사업(E)'!W:W, B64, '임대사업(E)'!U:U, $C$1),
    SUMIFS('환경부사업(F)'!I:I, '환경부사업(F)'!C:C, $E$1, '환경부사업(F)'!G:G, B63, '환경부사업(F)'!W:W, B64, '환경부사업(F)'!U:U, $C$1),
    SUMIFS('프로젝트(G)'!I:I, '프로젝트(G)'!C:C, $E$1, '프로젝트(G)'!G:G, B63, '프로젝트(G)'!W:W, B64, '프로젝트(G)'!U:U, $C$1),
    SUMIFS('협력사 EPC(H)'!I:I, '협력사 EPC(H)'!C:C, $E$1, '협력사 EPC(H)'!G:G, B63, '협력사 EPC(H)'!W:W, B64, '협력사 EPC(H)'!U:U, $C$1),
    SUMIFS('기타(Z)'!I:I, '기타(Z)'!C:C, $E$1, '기타(Z)'!G:G, B63, '기타(Z)'!W:W, B64, '기타(Z)'!U:U, $C$1)
  )
)</f>
        <v>1100.8</v>
      </c>
      <c r="F64" s="281">
        <f>IF(
  SUM(
    COUNTIFS('발전사업(A)'!C:C, $E$1, '발전사업(A)'!G:G, B63, '발전사업(A)'!W:W, B64, '발전사업(A)'!U:U, $C$1),
    COUNTIFS('자가소비(B)'!C:C, $E$1, '자가소비(B)'!G:G, B63, '자가소비(B)'!W:W, B64, '자가소비(B)'!U:U, $C$1),
    COUNTIFS('PPA 사업(C)'!C:C, $E$1, 'PPA 사업(C)'!G:G, B63, 'PPA 사업(C)'!W:W, B64, 'PPA 사업(C)'!U:U, $C$1),
    COUNTIFS('리스사업(D)'!C:C, $E$1, '리스사업(D)'!G:G, B63, '리스사업(D)'!W:W, B64, '리스사업(D)'!U:U, $C$1),
    COUNTIFS('임대사업(E)'!C:C, $E$1, '임대사업(E)'!G:G, B63, '임대사업(E)'!W:W, B64, '임대사업(E)'!U:U, $C$1),
    COUNTIFS('환경부사업(F)'!C:C, $E$1, '환경부사업(F)'!G:G, B63, '환경부사업(F)'!W:W, B64, '환경부사업(F)'!U:U, $C$1),
    COUNTIFS('프로젝트(G)'!C:C, $E$1, '프로젝트(G)'!G:G, B63, '프로젝트(G)'!W:W, B64, '프로젝트(G)'!U:U, $C$1),
    COUNTIFS('협력사 EPC(H)'!C:C, $E$1, '협력사 EPC(H)'!G:G, B63, '협력사 EPC(H)'!W:W, B64, '협력사 EPC(H)'!U:U, $C$1),
    COUNTIFS('기타(Z)'!C:C, $E$1, '기타(Z)'!G:G, B63, '기타(Z)'!W:W, B64, '기타(Z)'!U:U, $C$1)
  ) = 0,
  "",
  SUM(
    COUNTIFS('발전사업(A)'!C:C, $E$1, '발전사업(A)'!G:G, B63, '발전사업(A)'!W:W, B64, '발전사업(A)'!U:U, $C$1),
    COUNTIFS('자가소비(B)'!C:C, $E$1, '자가소비(B)'!G:G, B63, '자가소비(B)'!W:W, B64, '자가소비(B)'!U:U, $C$1),
    COUNTIFS('PPA 사업(C)'!C:C, $E$1, 'PPA 사업(C)'!G:G, B63, 'PPA 사업(C)'!W:W, B64, 'PPA 사업(C)'!U:U, $C$1),
    COUNTIFS('리스사업(D)'!C:C, $E$1, '리스사업(D)'!G:G, B63, '리스사업(D)'!W:W, B64, '리스사업(D)'!U:U, $C$1),
    COUNTIFS('임대사업(E)'!C:C, $E$1, '임대사업(E)'!G:G, B63, '임대사업(E)'!W:W, B64, '임대사업(E)'!U:U, $C$1),
    COUNTIFS('환경부사업(F)'!C:C, $E$1, '환경부사업(F)'!G:G, B63, '환경부사업(F)'!W:W, B64, '환경부사업(F)'!U:U, $C$1),
    COUNTIFS('프로젝트(G)'!C:C, $E$1, '프로젝트(G)'!G:G, B63, '프로젝트(G)'!W:W, B64, '프로젝트(G)'!U:U, $C$1),
    COUNTIFS('협력사 EPC(H)'!C:C, $E$1, '협력사 EPC(H)'!G:G, B63, '협력사 EPC(H)'!W:W, B64, '협력사 EPC(H)'!U:U, $C$1),
    COUNTIFS('기타(Z)'!C:C, $E$1, '기타(Z)'!G:G, B63, '기타(Z)'!W:W, B64, '기타(Z)'!U:U, $C$1)
  )
)</f>
        <v>4</v>
      </c>
      <c r="G64" s="280" t="str">
        <f>IF(
  SUM(
    SUMIFS('발전사업(A)'!I:I, '발전사업(A)'!C:C, $E$1, '발전사업(A)'!G:G, B63, '발전사업(A)'!W:W, B64, '발전사업(A)'!U:U, $D$1),
    SUMIFS('자가소비(B)'!I:I, '자가소비(B)'!C:C, $E$1, '자가소비(B)'!G:G, B63, '자가소비(B)'!W:W, B64, '자가소비(B)'!U:U, $D$1),
    SUMIFS('PPA 사업(C)'!I:I, 'PPA 사업(C)'!C:C, $E$1, 'PPA 사업(C)'!G:G, B63, 'PPA 사업(C)'!W:W, B64, 'PPA 사업(C)'!U:U, $D$1),
    SUMIFS('리스사업(D)'!I:I, '리스사업(D)'!C:C, $E$1, '리스사업(D)'!G:G, B63, '리스사업(D)'!W:W, B64, '리스사업(D)'!U:U, $D$1),
    SUMIFS('임대사업(E)'!I:I, '임대사업(E)'!C:C, $E$1, '임대사업(E)'!G:G, B63, '임대사업(E)'!W:W, B64, '임대사업(E)'!U:U, $D$1),
    SUMIFS('환경부사업(F)'!I:I, '환경부사업(F)'!C:C, $E$1, '환경부사업(F)'!G:G, B63, '환경부사업(F)'!W:W, B64, '환경부사업(F)'!U:U, $D$1),
    SUMIFS('프로젝트(G)'!I:I, '프로젝트(G)'!C:C, $E$1, '프로젝트(G)'!G:G, B63, '프로젝트(G)'!W:W, B64, '프로젝트(G)'!U:U, $D$1),
    SUMIFS('협력사 EPC(H)'!I:I, '협력사 EPC(H)'!C:C, $E$1, '협력사 EPC(H)'!G:G, B63, '협력사 EPC(H)'!W:W, B64, '협력사 EPC(H)'!U:U, $D$1),
    SUMIFS('기타(Z)'!I:I, '기타(Z)'!C:C, $E$1, '기타(Z)'!G:G, B63, '기타(Z)'!W:W, B64, '기타(Z)'!U:U, $D$1)
  ) = 0,
  "",
  SUM(
    SUMIFS('발전사업(A)'!I:I, '발전사업(A)'!C:C, $E$1, '발전사업(A)'!G:G, B63, '발전사업(A)'!W:W, B64, '발전사업(A)'!U:U, $D$1),
    SUMIFS('자가소비(B)'!I:I, '자가소비(B)'!C:C, $E$1, '자가소비(B)'!G:G, B63, '자가소비(B)'!W:W, B64, '자가소비(B)'!U:U, $D$1),
    SUMIFS('PPA 사업(C)'!I:I, 'PPA 사업(C)'!C:C, $E$1, 'PPA 사업(C)'!G:G, B63, 'PPA 사업(C)'!W:W, B64, 'PPA 사업(C)'!U:U, $D$1),
    SUMIFS('리스사업(D)'!I:I, '리스사업(D)'!C:C, $E$1, '리스사업(D)'!G:G, B63, '리스사업(D)'!W:W, B64, '리스사업(D)'!U:U, $D$1),
    SUMIFS('임대사업(E)'!I:I, '임대사업(E)'!C:C, $E$1, '임대사업(E)'!G:G, B63, '임대사업(E)'!W:W, B64, '임대사업(E)'!U:U, $D$1),
    SUMIFS('환경부사업(F)'!I:I, '환경부사업(F)'!C:C, $E$1, '환경부사업(F)'!G:G, B63, '환경부사업(F)'!W:W, B64, '환경부사업(F)'!U:U, $D$1),
    SUMIFS('프로젝트(G)'!I:I, '프로젝트(G)'!C:C, $E$1, '프로젝트(G)'!G:G, B63, '프로젝트(G)'!W:W, B64, '프로젝트(G)'!U:U, $D$1),
    SUMIFS('협력사 EPC(H)'!I:I, '협력사 EPC(H)'!C:C, $E$1, '협력사 EPC(H)'!G:G, B63, '협력사 EPC(H)'!W:W, B64, '협력사 EPC(H)'!U:U, $D$1),
    SUMIFS('기타(Z)'!I:I, '기타(Z)'!C:C, $E$1, '기타(Z)'!G:G, B63, '기타(Z)'!W:W, B64, '기타(Z)'!U:U, $D$1)
  )
)</f>
        <v/>
      </c>
      <c r="H64" s="281" t="str">
        <f>IF(
  (
    COUNTIFS('발전사업(A)'!C:C, $E$1, '발전사업(A)'!G:G, B63, '발전사업(A)'!W:W, B64, '발전사업(A)'!U:U, $D$1)
    + COUNTIFS('자가소비(B)'!C:C, $E$1, '자가소비(B)'!G:G, B63, '자가소비(B)'!W:W, B64, '자가소비(B)'!U:U, $D$1)
    + COUNTIFS('PPA 사업(C)'!C:C, $E$1, 'PPA 사업(C)'!G:G, B63, 'PPA 사업(C)'!W:W, B64, 'PPA 사업(C)'!U:U, $D$1)
    + COUNTIFS('리스사업(D)'!C:C, $E$1, '리스사업(D)'!G:G, B63, '리스사업(D)'!W:W, B64, '리스사업(D)'!U:U, $D$1)
    + COUNTIFS('임대사업(E)'!C:C, $E$1, '임대사업(E)'!G:G, B63, '임대사업(E)'!W:W, B64, '임대사업(E)'!U:U, $D$1)
    + COUNTIFS('환경부사업(F)'!C:C, $E$1, '환경부사업(F)'!G:G, B63, '환경부사업(F)'!W:W, B64, '환경부사업(F)'!U:U, $D$1)
    + COUNTIFS('프로젝트(G)'!C:C, $E$1, '프로젝트(G)'!G:G, B63, '프로젝트(G)'!W:W, B64, '프로젝트(G)'!U:U, $D$1)
    + COUNTIFS('협력사 EPC(H)'!C:C, $E$1, '협력사 EPC(H)'!G:G, B63, '협력사 EPC(H)'!W:W, B64, '협력사 EPC(H)'!U:U, $D$1)
    + COUNTIFS('기타(Z)'!C:C, $E$1, '기타(Z)'!G:G, B63, '기타(Z)'!W:W, B64, '기타(Z)'!U:U, $D$1)
  ) = 0,
  "",
  COUNTIFS('발전사업(A)'!C:C, $E$1, '발전사업(A)'!G:G, B63, '발전사업(A)'!W:W, B64, '발전사업(A)'!U:U, $D$1)
  + COUNTIFS('자가소비(B)'!C:C, $E$1, '자가소비(B)'!G:G, B63, '자가소비(B)'!W:W, B64, '자가소비(B)'!U:U, $D$1)
  + COUNTIFS('PPA 사업(C)'!C:C, $E$1, 'PPA 사업(C)'!G:G, B63, 'PPA 사업(C)'!W:W, B64, 'PPA 사업(C)'!U:U, $D$1)
  + COUNTIFS('리스사업(D)'!C:C, $E$1, '리스사업(D)'!G:G, B63, '리스사업(D)'!W:W, B64, '리스사업(D)'!U:U, $D$1)
  + COUNTIFS('임대사업(E)'!C:C, $E$1, '임대사업(E)'!G:G, B63, '임대사업(E)'!W:W, B64, '임대사업(E)'!U:U, $D$1)
  + COUNTIFS('환경부사업(F)'!C:C, $E$1, '환경부사업(F)'!G:G, B63, '환경부사업(F)'!W:W, B64, '환경부사업(F)'!U:U, $D$1)
  + COUNTIFS('프로젝트(G)'!C:C, $E$1, '프로젝트(G)'!G:G, B63, '프로젝트(G)'!W:W, B64, '프로젝트(G)'!U:U, $D$1)
  + COUNTIFS('협력사 EPC(H)'!C:C, $E$1, '협력사 EPC(H)'!G:G, B63, '협력사 EPC(H)'!W:W, B64, '협력사 EPC(H)'!U:U, $D$1)
  + COUNTIFS('기타(Z)'!C:C, $E$1, '기타(Z)'!G:G, B63, '기타(Z)'!W:W, B64, '기타(Z)'!U:U, $D$1)
)</f>
        <v/>
      </c>
    </row>
    <row r="65" spans="2:8" x14ac:dyDescent="0.25">
      <c r="B65" s="202" t="s">
        <v>259</v>
      </c>
      <c r="C65" s="280">
        <f>IF(
  SUM(
    SUMIFS('발전사업(A)'!I:I, '발전사업(A)'!C:C, $E$1, '발전사업(A)'!G:G, B63, '발전사업(A)'!W:W, B65),
    SUMIFS('자가소비(B)'!I:I, '자가소비(B)'!C:C, $E$1, '자가소비(B)'!G:G, B63, '자가소비(B)'!W:W, B65),
    SUMIFS('PPA 사업(C)'!I:I, 'PPA 사업(C)'!C:C, $E$1, 'PPA 사업(C)'!G:G, B63, 'PPA 사업(C)'!W:W, B65),
    SUMIFS('리스사업(D)'!I:I, '리스사업(D)'!C:C, $E$1, '리스사업(D)'!G:G, B63, '리스사업(D)'!W:W, B65),
    SUMIFS('임대사업(E)'!I:I, '임대사업(E)'!C:C, $E$1, '임대사업(E)'!G:G, B63, '임대사업(E)'!W:W, B65),
    SUMIFS('환경부사업(F)'!I:I, '환경부사업(F)'!C:C, $E$1, '환경부사업(F)'!G:G, B63, '환경부사업(F)'!W:W, B65),
    SUMIFS('프로젝트(G)'!I:I, '프로젝트(G)'!C:C, $E$1, '프로젝트(G)'!G:G, B63, '프로젝트(G)'!W:W, B65),
    SUMIFS('협력사 EPC(H)'!I:I, '협력사 EPC(H)'!C:C, $E$1, '협력사 EPC(H)'!G:G, B63, '협력사 EPC(H)'!W:W, B65),
    SUMIFS('기타(Z)'!I:I, '기타(Z)'!C:C, $E$1, '기타(Z)'!G:G, B63, '기타(Z)'!W:W, B65)
  ) = 0,
  "",
  SUMIFS('발전사업(A)'!I:I, '발전사업(A)'!C:C, $E$1, '발전사업(A)'!G:G, B63, '발전사업(A)'!W:W, B65)
  + SUMIFS('자가소비(B)'!I:I, '자가소비(B)'!C:C, $E$1, '자가소비(B)'!G:G, B63, '자가소비(B)'!W:W, B65)
  + SUMIFS('PPA 사업(C)'!I:I, 'PPA 사업(C)'!C:C, $E$1, 'PPA 사업(C)'!G:G, B63, 'PPA 사업(C)'!W:W, B65)
  + SUMIFS('리스사업(D)'!I:I, '리스사업(D)'!C:C, $E$1, '리스사업(D)'!G:G, B63, '리스사업(D)'!W:W, B65)
  + SUMIFS('임대사업(E)'!I:I, '임대사업(E)'!C:C, $E$1, '임대사업(E)'!G:G, B63, '임대사업(E)'!W:W, B65)
  + SUMIFS('환경부사업(F)'!I:I, '환경부사업(F)'!C:C, $E$1, '환경부사업(F)'!G:G, B63, '환경부사업(F)'!W:W, B65)
  + SUMIFS('프로젝트(G)'!I:I, '프로젝트(G)'!C:C, $E$1, '프로젝트(G)'!G:G, B63, '프로젝트(G)'!W:W, B65)
  + SUMIFS('협력사 EPC(H)'!I:I, '협력사 EPC(H)'!C:C, $E$1, '협력사 EPC(H)'!G:G, B63, '협력사 EPC(H)'!W:W, B65)
  + SUMIFS('기타(Z)'!I:I, '기타(Z)'!C:C, $E$1, '기타(Z)'!G:G, B63, '기타(Z)'!W:W, B65)
)</f>
        <v>3934.0799999999995</v>
      </c>
      <c r="D65" s="281">
        <f>IF(
  COUNTIFS('발전사업(A)'!C:C, $E$1, '발전사업(A)'!G:G, B63, '발전사업(A)'!W:W, B65)
  + COUNTIFS('자가소비(B)'!C:C, $E$1, '자가소비(B)'!G:G, B63, '자가소비(B)'!W:W, B65)
  + COUNTIFS('PPA 사업(C)'!C:C, $E$1, 'PPA 사업(C)'!G:G, B63, 'PPA 사업(C)'!W:W, B65)
  + COUNTIFS('리스사업(D)'!C:C, $E$1, '리스사업(D)'!G:G, B63, '리스사업(D)'!W:W, B65)
  + COUNTIFS('임대사업(E)'!C:C, $E$1, '임대사업(E)'!G:G, B63, '임대사업(E)'!W:W, B65)
  + COUNTIFS('환경부사업(F)'!C:C, $E$1, '환경부사업(F)'!G:G, B63, '환경부사업(F)'!W:W, B65)
  + COUNTIFS('프로젝트(G)'!C:C, $E$1, '프로젝트(G)'!G:G, B63, '프로젝트(G)'!W:W, B65)
  + COUNTIFS('협력사 EPC(H)'!C:C, $E$1, '협력사 EPC(H)'!G:G, B63, '협력사 EPC(H)'!W:W, B65)
  + COUNTIFS('기타(Z)'!C:C, $E$1, '기타(Z)'!G:G, B63, '기타(Z)'!W:W, B65)
  = 0,
  "",
  COUNTIFS('발전사업(A)'!C:C, $E$1, '발전사업(A)'!G:G, B63, '발전사업(A)'!W:W, B65)
  + COUNTIFS('자가소비(B)'!C:C, $E$1, '자가소비(B)'!G:G, B63, '자가소비(B)'!W:W, B65)
  + COUNTIFS('PPA 사업(C)'!C:C, $E$1, 'PPA 사업(C)'!G:G, B63, 'PPA 사업(C)'!W:W, B65)
  + COUNTIFS('리스사업(D)'!C:C, $E$1, '리스사업(D)'!G:G, B63, '리스사업(D)'!W:W, B65)
  + COUNTIFS('임대사업(E)'!C:C, $E$1, '임대사업(E)'!G:G, B63, '임대사업(E)'!W:W, B65)
  + COUNTIFS('환경부사업(F)'!C:C, $E$1, '환경부사업(F)'!G:G, B63, '환경부사업(F)'!W:W, B65)
  + COUNTIFS('프로젝트(G)'!C:C, $E$1, '프로젝트(G)'!G:G, B63, '프로젝트(G)'!W:W, B65)
  + COUNTIFS('협력사 EPC(H)'!C:C, $E$1, '협력사 EPC(H)'!G:G, B63, '협력사 EPC(H)'!W:W, B65)
  + COUNTIFS('기타(Z)'!C:C, $E$1, '기타(Z)'!G:G, B63, '기타(Z)'!W:W, B65)
)</f>
        <v>10</v>
      </c>
      <c r="E65" s="280">
        <f>IF(
  SUM(
    SUMIFS('발전사업(A)'!I:I, '발전사업(A)'!C:C, $E$1, '발전사업(A)'!G:G, B63, '발전사업(A)'!W:W, B65, '발전사업(A)'!U:U, $C$1),
    SUMIFS('자가소비(B)'!I:I, '자가소비(B)'!C:C, $E$1, '자가소비(B)'!G:G, B63, '자가소비(B)'!W:W, B65, '자가소비(B)'!U:U, $C$1),
    SUMIFS('PPA 사업(C)'!I:I, 'PPA 사업(C)'!C:C, $E$1, 'PPA 사업(C)'!G:G, B63, 'PPA 사업(C)'!W:W, B65, 'PPA 사업(C)'!U:U, $C$1),
    SUMIFS('리스사업(D)'!I:I, '리스사업(D)'!C:C, $E$1, '리스사업(D)'!G:G, B63, '리스사업(D)'!W:W, B65, '리스사업(D)'!U:U, $C$1),
    SUMIFS('임대사업(E)'!I:I, '임대사업(E)'!C:C, $E$1, '임대사업(E)'!G:G, B63, '임대사업(E)'!W:W, B65, '임대사업(E)'!U:U, $C$1),
    SUMIFS('환경부사업(F)'!I:I, '환경부사업(F)'!C:C, $E$1, '환경부사업(F)'!G:G, B63, '환경부사업(F)'!W:W, B65, '환경부사업(F)'!U:U, $C$1),
    SUMIFS('프로젝트(G)'!I:I, '프로젝트(G)'!C:C, $E$1, '프로젝트(G)'!G:G, B63, '프로젝트(G)'!W:W, B65, '프로젝트(G)'!U:U, $C$1),
    SUMIFS('협력사 EPC(H)'!I:I, '협력사 EPC(H)'!C:C, $E$1, '협력사 EPC(H)'!G:G, B63, '협력사 EPC(H)'!W:W, B65, '협력사 EPC(H)'!U:U, $C$1),
    SUMIFS('기타(Z)'!I:I, '기타(Z)'!C:C, $E$1, '기타(Z)'!G:G, B63, '기타(Z)'!W:W, B65, '기타(Z)'!U:U, $C$1)
  ) = 0,
  "",
  SUM(
    SUMIFS('발전사업(A)'!I:I, '발전사업(A)'!C:C, $E$1, '발전사업(A)'!G:G, B63, '발전사업(A)'!W:W, B65, '발전사업(A)'!U:U, $C$1),
    SUMIFS('자가소비(B)'!I:I, '자가소비(B)'!C:C, $E$1, '자가소비(B)'!G:G, B63, '자가소비(B)'!W:W, B65, '자가소비(B)'!U:U, $C$1),
    SUMIFS('PPA 사업(C)'!I:I, 'PPA 사업(C)'!C:C, $E$1, 'PPA 사업(C)'!G:G, B63, 'PPA 사업(C)'!W:W, B65, 'PPA 사업(C)'!U:U, $C$1),
    SUMIFS('리스사업(D)'!I:I, '리스사업(D)'!C:C, $E$1, '리스사업(D)'!G:G, B63, '리스사업(D)'!W:W, B65, '리스사업(D)'!U:U, $C$1),
    SUMIFS('임대사업(E)'!I:I, '임대사업(E)'!C:C, $E$1, '임대사업(E)'!G:G, B63, '임대사업(E)'!W:W, B65, '임대사업(E)'!U:U, $C$1),
    SUMIFS('환경부사업(F)'!I:I, '환경부사업(F)'!C:C, $E$1, '환경부사업(F)'!G:G, B63, '환경부사업(F)'!W:W, B65, '환경부사업(F)'!U:U, $C$1),
    SUMIFS('프로젝트(G)'!I:I, '프로젝트(G)'!C:C, $E$1, '프로젝트(G)'!G:G, B63, '프로젝트(G)'!W:W, B65, '프로젝트(G)'!U:U, $C$1),
    SUMIFS('협력사 EPC(H)'!I:I, '협력사 EPC(H)'!C:C, $E$1, '협력사 EPC(H)'!G:G, B63, '협력사 EPC(H)'!W:W, B65, '협력사 EPC(H)'!U:U, $C$1),
    SUMIFS('기타(Z)'!I:I, '기타(Z)'!C:C, $E$1, '기타(Z)'!G:G, B63, '기타(Z)'!W:W, B65, '기타(Z)'!U:U, $C$1)
  )
)</f>
        <v>3529.5999999999995</v>
      </c>
      <c r="F65" s="281">
        <f>IF(
  SUM(
    COUNTIFS('발전사업(A)'!C:C, $E$1, '발전사업(A)'!G:G, B63, '발전사업(A)'!W:W, B65, '발전사업(A)'!U:U, $C$1),
    COUNTIFS('자가소비(B)'!C:C, $E$1, '자가소비(B)'!G:G, B63, '자가소비(B)'!W:W, B65, '자가소비(B)'!U:U, $C$1),
    COUNTIFS('PPA 사업(C)'!C:C, $E$1, 'PPA 사업(C)'!G:G, B63, 'PPA 사업(C)'!W:W, B65, 'PPA 사업(C)'!U:U, $C$1),
    COUNTIFS('리스사업(D)'!C:C, $E$1, '리스사업(D)'!G:G, B63, '리스사업(D)'!W:W, B65, '리스사업(D)'!U:U, $C$1),
    COUNTIFS('임대사업(E)'!C:C, $E$1, '임대사업(E)'!G:G, B63, '임대사업(E)'!W:W, B65, '임대사업(E)'!U:U, $C$1),
    COUNTIFS('환경부사업(F)'!C:C, $E$1, '환경부사업(F)'!G:G, B63, '환경부사업(F)'!W:W, B65, '환경부사업(F)'!U:U, $C$1),
    COUNTIFS('프로젝트(G)'!C:C, $E$1, '프로젝트(G)'!G:G, B63, '프로젝트(G)'!W:W, B65, '프로젝트(G)'!U:U, $C$1),
    COUNTIFS('협력사 EPC(H)'!C:C, $E$1, '협력사 EPC(H)'!G:G, B63, '협력사 EPC(H)'!W:W, B65, '협력사 EPC(H)'!U:U, $C$1),
    COUNTIFS('기타(Z)'!C:C, $E$1, '기타(Z)'!G:G, B63, '기타(Z)'!W:W, B65, '기타(Z)'!U:U, $C$1)
  ) = 0,
  "",
  SUM(
    COUNTIFS('발전사업(A)'!C:C, $E$1, '발전사업(A)'!G:G, B63, '발전사업(A)'!W:W, B65, '발전사업(A)'!U:U, $C$1),
    COUNTIFS('자가소비(B)'!C:C, $E$1, '자가소비(B)'!G:G, B63, '자가소비(B)'!W:W, B65, '자가소비(B)'!U:U, $C$1),
    COUNTIFS('PPA 사업(C)'!C:C, $E$1, 'PPA 사업(C)'!G:G, B63, 'PPA 사업(C)'!W:W, B65, 'PPA 사업(C)'!U:U, $C$1),
    COUNTIFS('리스사업(D)'!C:C, $E$1, '리스사업(D)'!G:G, B63, '리스사업(D)'!W:W, B65, '리스사업(D)'!U:U, $C$1),
    COUNTIFS('임대사업(E)'!C:C, $E$1, '임대사업(E)'!G:G, B63, '임대사업(E)'!W:W, B65, '임대사업(E)'!U:U, $C$1),
    COUNTIFS('환경부사업(F)'!C:C, $E$1, '환경부사업(F)'!G:G, B63, '환경부사업(F)'!W:W, B65, '환경부사업(F)'!U:U, $C$1),
    COUNTIFS('프로젝트(G)'!C:C, $E$1, '프로젝트(G)'!G:G, B63, '프로젝트(G)'!W:W, B65, '프로젝트(G)'!U:U, $C$1),
    COUNTIFS('협력사 EPC(H)'!C:C, $E$1, '협력사 EPC(H)'!G:G, B63, '협력사 EPC(H)'!W:W, B65, '협력사 EPC(H)'!U:U, $C$1),
    COUNTIFS('기타(Z)'!C:C, $E$1, '기타(Z)'!G:G, B63, '기타(Z)'!W:W, B65, '기타(Z)'!U:U, $C$1)
  )
)</f>
        <v>7</v>
      </c>
      <c r="G65" s="280">
        <f>IF(
  SUM(
    SUMIFS('발전사업(A)'!I:I, '발전사업(A)'!C:C, $E$1, '발전사업(A)'!G:G, B63, '발전사업(A)'!W:W, B65, '발전사업(A)'!U:U, $D$1),
    SUMIFS('자가소비(B)'!I:I, '자가소비(B)'!C:C, $E$1, '자가소비(B)'!G:G, B63, '자가소비(B)'!W:W, B65, '자가소비(B)'!U:U, $D$1),
    SUMIFS('PPA 사업(C)'!I:I, 'PPA 사업(C)'!C:C, $E$1, 'PPA 사업(C)'!G:G, B63, 'PPA 사업(C)'!W:W, B65, 'PPA 사업(C)'!U:U, $D$1),
    SUMIFS('리스사업(D)'!I:I, '리스사업(D)'!C:C, $E$1, '리스사업(D)'!G:G, B63, '리스사업(D)'!W:W, B65, '리스사업(D)'!U:U, $D$1),
    SUMIFS('임대사업(E)'!I:I, '임대사업(E)'!C:C, $E$1, '임대사업(E)'!G:G, B63, '임대사업(E)'!W:W, B65, '임대사업(E)'!U:U, $D$1),
    SUMIFS('환경부사업(F)'!I:I, '환경부사업(F)'!C:C, $E$1, '환경부사업(F)'!G:G, B63, '환경부사업(F)'!W:W, B65, '환경부사업(F)'!U:U, $D$1),
    SUMIFS('프로젝트(G)'!I:I, '프로젝트(G)'!C:C, $E$1, '프로젝트(G)'!G:G, B63, '프로젝트(G)'!W:W, B65, '프로젝트(G)'!U:U, $D$1),
    SUMIFS('협력사 EPC(H)'!I:I, '협력사 EPC(H)'!C:C, $E$1, '협력사 EPC(H)'!G:G, B63, '협력사 EPC(H)'!W:W, B65, '협력사 EPC(H)'!U:U, $D$1),
    SUMIFS('기타(Z)'!I:I, '기타(Z)'!C:C, $E$1, '기타(Z)'!G:G, B63, '기타(Z)'!W:W, B65, '기타(Z)'!U:U, $D$1)
  ) = 0,
  "",
  SUM(
    SUMIFS('발전사업(A)'!I:I, '발전사업(A)'!C:C, $E$1, '발전사업(A)'!G:G, B63, '발전사업(A)'!W:W, B65, '발전사업(A)'!U:U, $D$1),
    SUMIFS('자가소비(B)'!I:I, '자가소비(B)'!C:C, $E$1, '자가소비(B)'!G:G, B63, '자가소비(B)'!W:W, B65, '자가소비(B)'!U:U, $D$1),
    SUMIFS('PPA 사업(C)'!I:I, 'PPA 사업(C)'!C:C, $E$1, 'PPA 사업(C)'!G:G, B63, 'PPA 사업(C)'!W:W, B65, 'PPA 사업(C)'!U:U, $D$1),
    SUMIFS('리스사업(D)'!I:I, '리스사업(D)'!C:C, $E$1, '리스사업(D)'!G:G, B63, '리스사업(D)'!W:W, B65, '리스사업(D)'!U:U, $D$1),
    SUMIFS('임대사업(E)'!I:I, '임대사업(E)'!C:C, $E$1, '임대사업(E)'!G:G, B63, '임대사업(E)'!W:W, B65, '임대사업(E)'!U:U, $D$1),
    SUMIFS('환경부사업(F)'!I:I, '환경부사업(F)'!C:C, $E$1, '환경부사업(F)'!G:G, B63, '환경부사업(F)'!W:W, B65, '환경부사업(F)'!U:U, $D$1),
    SUMIFS('프로젝트(G)'!I:I, '프로젝트(G)'!C:C, $E$1, '프로젝트(G)'!G:G, B63, '프로젝트(G)'!W:W, B65, '프로젝트(G)'!U:U, $D$1),
    SUMIFS('협력사 EPC(H)'!I:I, '협력사 EPC(H)'!C:C, $E$1, '협력사 EPC(H)'!G:G, B63, '협력사 EPC(H)'!W:W, B65, '협력사 EPC(H)'!U:U, $D$1),
    SUMIFS('기타(Z)'!I:I, '기타(Z)'!C:C, $E$1, '기타(Z)'!G:G, B63, '기타(Z)'!W:W, B65, '기타(Z)'!U:U, $D$1)
  )
)</f>
        <v>404.48</v>
      </c>
      <c r="H65" s="281">
        <f>IF(
  (
    COUNTIFS('발전사업(A)'!C:C, $E$1, '발전사업(A)'!G:G, B63, '발전사업(A)'!W:W, B65, '발전사업(A)'!U:U, $D$1)
    + COUNTIFS('자가소비(B)'!C:C, $E$1, '자가소비(B)'!G:G, B63, '자가소비(B)'!W:W, B65, '자가소비(B)'!U:U, $D$1)
    + COUNTIFS('PPA 사업(C)'!C:C, $E$1, 'PPA 사업(C)'!G:G, B63, 'PPA 사업(C)'!W:W, B65, 'PPA 사업(C)'!U:U, $D$1)
    + COUNTIFS('리스사업(D)'!C:C, $E$1, '리스사업(D)'!G:G, B63, '리스사업(D)'!W:W, B65, '리스사업(D)'!U:U, $D$1)
    + COUNTIFS('임대사업(E)'!C:C, $E$1, '임대사업(E)'!G:G, B63, '임대사업(E)'!W:W, B65, '임대사업(E)'!U:U, $D$1)
    + COUNTIFS('환경부사업(F)'!C:C, $E$1, '환경부사업(F)'!G:G, B63, '환경부사업(F)'!W:W, B65, '환경부사업(F)'!U:U, $D$1)
    + COUNTIFS('프로젝트(G)'!C:C, $E$1, '프로젝트(G)'!G:G, B63, '프로젝트(G)'!W:W, B65, '프로젝트(G)'!U:U, $D$1)
    + COUNTIFS('협력사 EPC(H)'!C:C, $E$1, '협력사 EPC(H)'!G:G, B63, '협력사 EPC(H)'!W:W, B65, '협력사 EPC(H)'!U:U, $D$1)
    + COUNTIFS('기타(Z)'!C:C, $E$1, '기타(Z)'!G:G, B63, '기타(Z)'!W:W, B65, '기타(Z)'!U:U, $D$1)
  ) = 0,
  "",
  COUNTIFS('발전사업(A)'!C:C, $E$1, '발전사업(A)'!G:G, B63, '발전사업(A)'!W:W, B65, '발전사업(A)'!U:U, $D$1)
  + COUNTIFS('자가소비(B)'!C:C, $E$1, '자가소비(B)'!G:G, B63, '자가소비(B)'!W:W, B65, '자가소비(B)'!U:U, $D$1)
  + COUNTIFS('PPA 사업(C)'!C:C, $E$1, 'PPA 사업(C)'!G:G, B63, 'PPA 사업(C)'!W:W, B65, 'PPA 사업(C)'!U:U, $D$1)
  + COUNTIFS('리스사업(D)'!C:C, $E$1, '리스사업(D)'!G:G, B63, '리스사업(D)'!W:W, B65, '리스사업(D)'!U:U, $D$1)
  + COUNTIFS('임대사업(E)'!C:C, $E$1, '임대사업(E)'!G:G, B63, '임대사업(E)'!W:W, B65, '임대사업(E)'!U:U, $D$1)
  + COUNTIFS('환경부사업(F)'!C:C, $E$1, '환경부사업(F)'!G:G, B63, '환경부사업(F)'!W:W, B65, '환경부사업(F)'!U:U, $D$1)
  + COUNTIFS('프로젝트(G)'!C:C, $E$1, '프로젝트(G)'!G:G, B63, '프로젝트(G)'!W:W, B65, '프로젝트(G)'!U:U, $D$1)
  + COUNTIFS('협력사 EPC(H)'!C:C, $E$1, '협력사 EPC(H)'!G:G, B63, '협력사 EPC(H)'!W:W, B65, '협력사 EPC(H)'!U:U, $D$1)
  + COUNTIFS('기타(Z)'!C:C, $E$1, '기타(Z)'!G:G, B63, '기타(Z)'!W:W, B65, '기타(Z)'!U:U, $D$1)
)</f>
        <v>3</v>
      </c>
    </row>
    <row r="66" spans="2:8" x14ac:dyDescent="0.25">
      <c r="B66" s="202" t="s">
        <v>260</v>
      </c>
      <c r="C66" s="280">
        <f>IF(
  SUM(
    SUMIFS('발전사업(A)'!I:I, '발전사업(A)'!C:C, $E$1, '발전사업(A)'!G:G, B63, '발전사업(A)'!W:W, B66),
    SUMIFS('자가소비(B)'!I:I, '자가소비(B)'!C:C, $E$1, '자가소비(B)'!G:G, B63, '자가소비(B)'!W:W, B66),
    SUMIFS('PPA 사업(C)'!I:I, 'PPA 사업(C)'!C:C, $E$1, 'PPA 사업(C)'!G:G, B63, 'PPA 사업(C)'!W:W, B66),
    SUMIFS('리스사업(D)'!I:I, '리스사업(D)'!C:C, $E$1, '리스사업(D)'!G:G, B63, '리스사업(D)'!W:W, B66),
    SUMIFS('임대사업(E)'!I:I, '임대사업(E)'!C:C, $E$1, '임대사업(E)'!G:G, B63, '임대사업(E)'!W:W, B66),
    SUMIFS('환경부사업(F)'!I:I, '환경부사업(F)'!C:C, $E$1, '환경부사업(F)'!G:G, B63, '환경부사업(F)'!W:W, B66),
    SUMIFS('프로젝트(G)'!I:I, '프로젝트(G)'!C:C, $E$1, '프로젝트(G)'!G:G, B63, '프로젝트(G)'!W:W, B66),
    SUMIFS('협력사 EPC(H)'!I:I, '협력사 EPC(H)'!C:C, $E$1, '협력사 EPC(H)'!G:G, B63, '협력사 EPC(H)'!W:W, B66),
    SUMIFS('기타(Z)'!I:I, '기타(Z)'!C:C, $E$1, '기타(Z)'!G:G, B63, '기타(Z)'!W:W, B66)
  ) = 0,
  "",
  SUMIFS('발전사업(A)'!I:I, '발전사업(A)'!C:C, $E$1, '발전사업(A)'!G:G, B63, '발전사업(A)'!W:W, B66)
  + SUMIFS('자가소비(B)'!I:I, '자가소비(B)'!C:C, $E$1, '자가소비(B)'!G:G, B63, '자가소비(B)'!W:W, B66)
  + SUMIFS('PPA 사업(C)'!I:I, 'PPA 사업(C)'!C:C, $E$1, 'PPA 사업(C)'!G:G, B63, 'PPA 사업(C)'!W:W, B66)
  + SUMIFS('리스사업(D)'!I:I, '리스사업(D)'!C:C, $E$1, '리스사업(D)'!G:G, B63, '리스사업(D)'!W:W, B66)
  + SUMIFS('임대사업(E)'!I:I, '임대사업(E)'!C:C, $E$1, '임대사업(E)'!G:G, B63, '임대사업(E)'!W:W, B66)
  + SUMIFS('환경부사업(F)'!I:I, '환경부사업(F)'!C:C, $E$1, '환경부사업(F)'!G:G, B63, '환경부사업(F)'!W:W, B66)
  + SUMIFS('프로젝트(G)'!I:I, '프로젝트(G)'!C:C, $E$1, '프로젝트(G)'!G:G, B63, '프로젝트(G)'!W:W, B66)
  + SUMIFS('협력사 EPC(H)'!I:I, '협력사 EPC(H)'!C:C, $E$1, '협력사 EPC(H)'!G:G, B63, '협력사 EPC(H)'!W:W, B66)
  + SUMIFS('기타(Z)'!I:I, '기타(Z)'!C:C, $E$1, '기타(Z)'!G:G, B63, '기타(Z)'!W:W, B66)
)</f>
        <v>154.24</v>
      </c>
      <c r="D66" s="281">
        <f>IF(
  COUNTIFS('발전사업(A)'!C:C, $E$1, '발전사업(A)'!G:G, B63, '발전사업(A)'!W:W, B66)
  + COUNTIFS('자가소비(B)'!C:C, $E$1, '자가소비(B)'!G:G, B63, '자가소비(B)'!W:W, B66)
  + COUNTIFS('PPA 사업(C)'!C:C, $E$1, 'PPA 사업(C)'!G:G, B63, 'PPA 사업(C)'!W:W, B66)
  + COUNTIFS('리스사업(D)'!C:C, $E$1, '리스사업(D)'!G:G, B63, '리스사업(D)'!W:W, B66)
  + COUNTIFS('임대사업(E)'!C:C, $E$1, '임대사업(E)'!G:G, B63, '임대사업(E)'!W:W, B66)
  + COUNTIFS('환경부사업(F)'!C:C, $E$1, '환경부사업(F)'!G:G, B63, '환경부사업(F)'!W:W, B66)
  + COUNTIFS('프로젝트(G)'!C:C, $E$1, '프로젝트(G)'!G:G, B63, '프로젝트(G)'!W:W, B66)
  + COUNTIFS('협력사 EPC(H)'!C:C, $E$1, '협력사 EPC(H)'!G:G, B63, '협력사 EPC(H)'!W:W, B66)
  + COUNTIFS('기타(Z)'!C:C, $E$1, '기타(Z)'!G:G, B63, '기타(Z)'!W:W, B66)
  = 0,
  "",
  COUNTIFS('발전사업(A)'!C:C, $E$1, '발전사업(A)'!G:G, B63, '발전사업(A)'!W:W, B66)
  + COUNTIFS('자가소비(B)'!C:C, $E$1, '자가소비(B)'!G:G, B63, '자가소비(B)'!W:W, B66)
  + COUNTIFS('PPA 사업(C)'!C:C, $E$1, 'PPA 사업(C)'!G:G, B63, 'PPA 사업(C)'!W:W, B66)
  + COUNTIFS('리스사업(D)'!C:C, $E$1, '리스사업(D)'!G:G, B63, '리스사업(D)'!W:W, B66)
  + COUNTIFS('임대사업(E)'!C:C, $E$1, '임대사업(E)'!G:G, B63, '임대사업(E)'!W:W, B66)
  + COUNTIFS('환경부사업(F)'!C:C, $E$1, '환경부사업(F)'!G:G, B63, '환경부사업(F)'!W:W, B66)
  + COUNTIFS('프로젝트(G)'!C:C, $E$1, '프로젝트(G)'!G:G, B63, '프로젝트(G)'!W:W, B66)
  + COUNTIFS('협력사 EPC(H)'!C:C, $E$1, '협력사 EPC(H)'!G:G, B63, '협력사 EPC(H)'!W:W, B66)
  + COUNTIFS('기타(Z)'!C:C, $E$1, '기타(Z)'!G:G, B63, '기타(Z)'!W:W, B66)
)</f>
        <v>1</v>
      </c>
      <c r="E66" s="280">
        <f>IF(
  SUM(
    SUMIFS('발전사업(A)'!I:I, '발전사업(A)'!C:C, $E$1, '발전사업(A)'!G:G, B63, '발전사업(A)'!W:W, B66, '발전사업(A)'!U:U, $C$1),
    SUMIFS('자가소비(B)'!I:I, '자가소비(B)'!C:C, $E$1, '자가소비(B)'!G:G, B63, '자가소비(B)'!W:W, B66, '자가소비(B)'!U:U, $C$1),
    SUMIFS('PPA 사업(C)'!I:I, 'PPA 사업(C)'!C:C, $E$1, 'PPA 사업(C)'!G:G, B63, 'PPA 사업(C)'!W:W, B66, 'PPA 사업(C)'!U:U, $C$1),
    SUMIFS('리스사업(D)'!I:I, '리스사업(D)'!C:C, $E$1, '리스사업(D)'!G:G, B63, '리스사업(D)'!W:W, B66, '리스사업(D)'!U:U, $C$1),
    SUMIFS('임대사업(E)'!I:I, '임대사업(E)'!C:C, $E$1, '임대사업(E)'!G:G, B63, '임대사업(E)'!W:W, B66, '임대사업(E)'!U:U, $C$1),
    SUMIFS('환경부사업(F)'!I:I, '환경부사업(F)'!C:C, $E$1, '환경부사업(F)'!G:G, B63, '환경부사업(F)'!W:W, B66, '환경부사업(F)'!U:U, $C$1),
    SUMIFS('프로젝트(G)'!I:I, '프로젝트(G)'!C:C, $E$1, '프로젝트(G)'!G:G, B63, '프로젝트(G)'!W:W, B66, '프로젝트(G)'!U:U, $C$1),
    SUMIFS('협력사 EPC(H)'!I:I, '협력사 EPC(H)'!C:C, $E$1, '협력사 EPC(H)'!G:G, B63, '협력사 EPC(H)'!W:W, B66, '협력사 EPC(H)'!U:U, $C$1),
    SUMIFS('기타(Z)'!I:I, '기타(Z)'!C:C, $E$1, '기타(Z)'!G:G, B63, '기타(Z)'!W:W, B66, '기타(Z)'!U:U, $C$1)
  ) = 0,
  "",
  SUM(
    SUMIFS('발전사업(A)'!I:I, '발전사업(A)'!C:C, $E$1, '발전사업(A)'!G:G, B63, '발전사업(A)'!W:W, B66, '발전사업(A)'!U:U, $C$1),
    SUMIFS('자가소비(B)'!I:I, '자가소비(B)'!C:C, $E$1, '자가소비(B)'!G:G, B63, '자가소비(B)'!W:W, B66, '자가소비(B)'!U:U, $C$1),
    SUMIFS('PPA 사업(C)'!I:I, 'PPA 사업(C)'!C:C, $E$1, 'PPA 사업(C)'!G:G, B63, 'PPA 사업(C)'!W:W, B66, 'PPA 사업(C)'!U:U, $C$1),
    SUMIFS('리스사업(D)'!I:I, '리스사업(D)'!C:C, $E$1, '리스사업(D)'!G:G, B63, '리스사업(D)'!W:W, B66, '리스사업(D)'!U:U, $C$1),
    SUMIFS('임대사업(E)'!I:I, '임대사업(E)'!C:C, $E$1, '임대사업(E)'!G:G, B63, '임대사업(E)'!W:W, B66, '임대사업(E)'!U:U, $C$1),
    SUMIFS('환경부사업(F)'!I:I, '환경부사업(F)'!C:C, $E$1, '환경부사업(F)'!G:G, B63, '환경부사업(F)'!W:W, B66, '환경부사업(F)'!U:U, $C$1),
    SUMIFS('프로젝트(G)'!I:I, '프로젝트(G)'!C:C, $E$1, '프로젝트(G)'!G:G, B63, '프로젝트(G)'!W:W, B66, '프로젝트(G)'!U:U, $C$1),
    SUMIFS('협력사 EPC(H)'!I:I, '협력사 EPC(H)'!C:C, $E$1, '협력사 EPC(H)'!G:G, B63, '협력사 EPC(H)'!W:W, B66, '협력사 EPC(H)'!U:U, $C$1),
    SUMIFS('기타(Z)'!I:I, '기타(Z)'!C:C, $E$1, '기타(Z)'!G:G, B63, '기타(Z)'!W:W, B66, '기타(Z)'!U:U, $C$1)
  )
)</f>
        <v>154.24</v>
      </c>
      <c r="F66" s="281">
        <f>IF(
  SUM(
    COUNTIFS('발전사업(A)'!C:C, $E$1, '발전사업(A)'!G:G, B63, '발전사업(A)'!W:W, B66, '발전사업(A)'!U:U, $C$1),
    COUNTIFS('자가소비(B)'!C:C, $E$1, '자가소비(B)'!G:G, B63, '자가소비(B)'!W:W, B66, '자가소비(B)'!U:U, $C$1),
    COUNTIFS('PPA 사업(C)'!C:C, $E$1, 'PPA 사업(C)'!G:G, B63, 'PPA 사업(C)'!W:W, B66, 'PPA 사업(C)'!U:U, $C$1),
    COUNTIFS('리스사업(D)'!C:C, $E$1, '리스사업(D)'!G:G, B63, '리스사업(D)'!W:W, B66, '리스사업(D)'!U:U, $C$1),
    COUNTIFS('임대사업(E)'!C:C, $E$1, '임대사업(E)'!G:G, B63, '임대사업(E)'!W:W, B66, '임대사업(E)'!U:U, $C$1),
    COUNTIFS('환경부사업(F)'!C:C, $E$1, '환경부사업(F)'!G:G, B63, '환경부사업(F)'!W:W, B66, '환경부사업(F)'!U:U, $C$1),
    COUNTIFS('프로젝트(G)'!C:C, $E$1, '프로젝트(G)'!G:G, B63, '프로젝트(G)'!W:W, B66, '프로젝트(G)'!U:U, $C$1),
    COUNTIFS('협력사 EPC(H)'!C:C, $E$1, '협력사 EPC(H)'!G:G, B63, '협력사 EPC(H)'!W:W, B66, '협력사 EPC(H)'!U:U, $C$1),
    COUNTIFS('기타(Z)'!C:C, $E$1, '기타(Z)'!G:G, B63, '기타(Z)'!W:W, B66, '기타(Z)'!U:U, $C$1)
  ) = 0,
  "",
  SUM(
    COUNTIFS('발전사업(A)'!C:C, $E$1, '발전사업(A)'!G:G, B63, '발전사업(A)'!W:W, B66, '발전사업(A)'!U:U, $C$1),
    COUNTIFS('자가소비(B)'!C:C, $E$1, '자가소비(B)'!G:G, B63, '자가소비(B)'!W:W, B66, '자가소비(B)'!U:U, $C$1),
    COUNTIFS('PPA 사업(C)'!C:C, $E$1, 'PPA 사업(C)'!G:G, B63, 'PPA 사업(C)'!W:W, B66, 'PPA 사업(C)'!U:U, $C$1),
    COUNTIFS('리스사업(D)'!C:C, $E$1, '리스사업(D)'!G:G, B63, '리스사업(D)'!W:W, B66, '리스사업(D)'!U:U, $C$1),
    COUNTIFS('임대사업(E)'!C:C, $E$1, '임대사업(E)'!G:G, B63, '임대사업(E)'!W:W, B66, '임대사업(E)'!U:U, $C$1),
    COUNTIFS('환경부사업(F)'!C:C, $E$1, '환경부사업(F)'!G:G, B63, '환경부사업(F)'!W:W, B66, '환경부사업(F)'!U:U, $C$1),
    COUNTIFS('프로젝트(G)'!C:C, $E$1, '프로젝트(G)'!G:G, B63, '프로젝트(G)'!W:W, B66, '프로젝트(G)'!U:U, $C$1),
    COUNTIFS('협력사 EPC(H)'!C:C, $E$1, '협력사 EPC(H)'!G:G, B63, '협력사 EPC(H)'!W:W, B66, '협력사 EPC(H)'!U:U, $C$1),
    COUNTIFS('기타(Z)'!C:C, $E$1, '기타(Z)'!G:G, B63, '기타(Z)'!W:W, B66, '기타(Z)'!U:U, $C$1)
  )
)</f>
        <v>1</v>
      </c>
      <c r="G66" s="280" t="str">
        <f>IF(
  SUM(
    SUMIFS('발전사업(A)'!I:I, '발전사업(A)'!C:C, $E$1, '발전사업(A)'!G:G, B63, '발전사업(A)'!W:W, B66, '발전사업(A)'!U:U, $D$1),
    SUMIFS('자가소비(B)'!I:I, '자가소비(B)'!C:C, $E$1, '자가소비(B)'!G:G, B63, '자가소비(B)'!W:W, B66, '자가소비(B)'!U:U, $D$1),
    SUMIFS('PPA 사업(C)'!I:I, 'PPA 사업(C)'!C:C, $E$1, 'PPA 사업(C)'!G:G, B63, 'PPA 사업(C)'!W:W, B66, 'PPA 사업(C)'!U:U, $D$1),
    SUMIFS('리스사업(D)'!I:I, '리스사업(D)'!C:C, $E$1, '리스사업(D)'!G:G, B63, '리스사업(D)'!W:W, B66, '리스사업(D)'!U:U, $D$1),
    SUMIFS('임대사업(E)'!I:I, '임대사업(E)'!C:C, $E$1, '임대사업(E)'!G:G, B63, '임대사업(E)'!W:W, B66, '임대사업(E)'!U:U, $D$1),
    SUMIFS('환경부사업(F)'!I:I, '환경부사업(F)'!C:C, $E$1, '환경부사업(F)'!G:G, B63, '환경부사업(F)'!W:W, B66, '환경부사업(F)'!U:U, $D$1),
    SUMIFS('프로젝트(G)'!I:I, '프로젝트(G)'!C:C, $E$1, '프로젝트(G)'!G:G, B63, '프로젝트(G)'!W:W, B66, '프로젝트(G)'!U:U, $D$1),
    SUMIFS('협력사 EPC(H)'!I:I, '협력사 EPC(H)'!C:C, $E$1, '협력사 EPC(H)'!G:G, B63, '협력사 EPC(H)'!W:W, B66, '협력사 EPC(H)'!U:U, $D$1),
    SUMIFS('기타(Z)'!I:I, '기타(Z)'!C:C, $E$1, '기타(Z)'!G:G, B63, '기타(Z)'!W:W, B66, '기타(Z)'!U:U, $D$1)
  ) = 0,
  "",
  SUM(
    SUMIFS('발전사업(A)'!I:I, '발전사업(A)'!C:C, $E$1, '발전사업(A)'!G:G, B63, '발전사업(A)'!W:W, B66, '발전사업(A)'!U:U, $D$1),
    SUMIFS('자가소비(B)'!I:I, '자가소비(B)'!C:C, $E$1, '자가소비(B)'!G:G, B63, '자가소비(B)'!W:W, B66, '자가소비(B)'!U:U, $D$1),
    SUMIFS('PPA 사업(C)'!I:I, 'PPA 사업(C)'!C:C, $E$1, 'PPA 사업(C)'!G:G, B63, 'PPA 사업(C)'!W:W, B66, 'PPA 사업(C)'!U:U, $D$1),
    SUMIFS('리스사업(D)'!I:I, '리스사업(D)'!C:C, $E$1, '리스사업(D)'!G:G, B63, '리스사업(D)'!W:W, B66, '리스사업(D)'!U:U, $D$1),
    SUMIFS('임대사업(E)'!I:I, '임대사업(E)'!C:C, $E$1, '임대사업(E)'!G:G, B63, '임대사업(E)'!W:W, B66, '임대사업(E)'!U:U, $D$1),
    SUMIFS('환경부사업(F)'!I:I, '환경부사업(F)'!C:C, $E$1, '환경부사업(F)'!G:G, B63, '환경부사업(F)'!W:W, B66, '환경부사업(F)'!U:U, $D$1),
    SUMIFS('프로젝트(G)'!I:I, '프로젝트(G)'!C:C, $E$1, '프로젝트(G)'!G:G, B63, '프로젝트(G)'!W:W, B66, '프로젝트(G)'!U:U, $D$1),
    SUMIFS('협력사 EPC(H)'!I:I, '협력사 EPC(H)'!C:C, $E$1, '협력사 EPC(H)'!G:G, B63, '협력사 EPC(H)'!W:W, B66, '협력사 EPC(H)'!U:U, $D$1),
    SUMIFS('기타(Z)'!I:I, '기타(Z)'!C:C, $E$1, '기타(Z)'!G:G, B63, '기타(Z)'!W:W, B66, '기타(Z)'!U:U, $D$1)
  )
)</f>
        <v/>
      </c>
      <c r="H66" s="281" t="str">
        <f>IF(
  (
    COUNTIFS('발전사업(A)'!C:C, $E$1, '발전사업(A)'!G:G, B63, '발전사업(A)'!W:W, B66, '발전사업(A)'!U:U, $D$1)
    + COUNTIFS('자가소비(B)'!C:C, $E$1, '자가소비(B)'!G:G, B63, '자가소비(B)'!W:W, B66, '자가소비(B)'!U:U, $D$1)
    + COUNTIFS('PPA 사업(C)'!C:C, $E$1, 'PPA 사업(C)'!G:G, B63, 'PPA 사업(C)'!W:W, B66, 'PPA 사업(C)'!U:U, $D$1)
    + COUNTIFS('리스사업(D)'!C:C, $E$1, '리스사업(D)'!G:G, B63, '리스사업(D)'!W:W, B66, '리스사업(D)'!U:U, $D$1)
    + COUNTIFS('임대사업(E)'!C:C, $E$1, '임대사업(E)'!G:G, B63, '임대사업(E)'!W:W, B66, '임대사업(E)'!U:U, $D$1)
    + COUNTIFS('환경부사업(F)'!C:C, $E$1, '환경부사업(F)'!G:G, B63, '환경부사업(F)'!W:W, B66, '환경부사업(F)'!U:U, $D$1)
    + COUNTIFS('프로젝트(G)'!C:C, $E$1, '프로젝트(G)'!G:G, B63, '프로젝트(G)'!W:W, B66, '프로젝트(G)'!U:U, $D$1)
    + COUNTIFS('협력사 EPC(H)'!C:C, $E$1, '협력사 EPC(H)'!G:G, B63, '협력사 EPC(H)'!W:W, B66, '협력사 EPC(H)'!U:U, $D$1)
    + COUNTIFS('기타(Z)'!C:C, $E$1, '기타(Z)'!G:G, B63, '기타(Z)'!W:W, B66, '기타(Z)'!U:U, $D$1)
  ) = 0,
  "",
  COUNTIFS('발전사업(A)'!C:C, $E$1, '발전사업(A)'!G:G, B63, '발전사업(A)'!W:W, B66, '발전사업(A)'!U:U, $D$1)
  + COUNTIFS('자가소비(B)'!C:C, $E$1, '자가소비(B)'!G:G, B63, '자가소비(B)'!W:W, B66, '자가소비(B)'!U:U, $D$1)
  + COUNTIFS('PPA 사업(C)'!C:C, $E$1, 'PPA 사업(C)'!G:G, B63, 'PPA 사업(C)'!W:W, B66, 'PPA 사업(C)'!U:U, $D$1)
  + COUNTIFS('리스사업(D)'!C:C, $E$1, '리스사업(D)'!G:G, B63, '리스사업(D)'!W:W, B66, '리스사업(D)'!U:U, $D$1)
  + COUNTIFS('임대사업(E)'!C:C, $E$1, '임대사업(E)'!G:G, B63, '임대사업(E)'!W:W, B66, '임대사업(E)'!U:U, $D$1)
  + COUNTIFS('환경부사업(F)'!C:C, $E$1, '환경부사업(F)'!G:G, B63, '환경부사업(F)'!W:W, B66, '환경부사업(F)'!U:U, $D$1)
  + COUNTIFS('프로젝트(G)'!C:C, $E$1, '프로젝트(G)'!G:G, B63, '프로젝트(G)'!W:W, B66, '프로젝트(G)'!U:U, $D$1)
  + COUNTIFS('협력사 EPC(H)'!C:C, $E$1, '협력사 EPC(H)'!G:G, B63, '협력사 EPC(H)'!W:W, B66, '협력사 EPC(H)'!U:U, $D$1)
  + COUNTIFS('기타(Z)'!C:C, $E$1, '기타(Z)'!G:G, B63, '기타(Z)'!W:W, B66, '기타(Z)'!U:U, $D$1)
)</f>
        <v/>
      </c>
    </row>
    <row r="67" spans="2:8" x14ac:dyDescent="0.25">
      <c r="B67" s="202" t="s">
        <v>261</v>
      </c>
      <c r="C67" s="280">
        <f>IF(
  SUM(
    SUMIFS('발전사업(A)'!I:I, '발전사업(A)'!C:C, $E$1, '발전사업(A)'!G:G, B63, '발전사업(A)'!W:W, B67),
    SUMIFS('자가소비(B)'!I:I, '자가소비(B)'!C:C, $E$1, '자가소비(B)'!G:G, B63, '자가소비(B)'!W:W, B67),
    SUMIFS('PPA 사업(C)'!I:I, 'PPA 사업(C)'!C:C, $E$1, 'PPA 사업(C)'!G:G, B63, 'PPA 사업(C)'!W:W, B67),
    SUMIFS('리스사업(D)'!I:I, '리스사업(D)'!C:C, $E$1, '리스사업(D)'!G:G, B63, '리스사업(D)'!W:W, B67),
    SUMIFS('임대사업(E)'!I:I, '임대사업(E)'!C:C, $E$1, '임대사업(E)'!G:G, B63, '임대사업(E)'!W:W, B67),
    SUMIFS('환경부사업(F)'!I:I, '환경부사업(F)'!C:C, $E$1, '환경부사업(F)'!G:G, B63, '환경부사업(F)'!W:W, B67),
    SUMIFS('프로젝트(G)'!I:I, '프로젝트(G)'!C:C, $E$1, '프로젝트(G)'!G:G, B63, '프로젝트(G)'!W:W, B67),
    SUMIFS('협력사 EPC(H)'!I:I, '협력사 EPC(H)'!C:C, $E$1, '협력사 EPC(H)'!G:G, B63, '협력사 EPC(H)'!W:W, B67),
    SUMIFS('기타(Z)'!I:I, '기타(Z)'!C:C, $E$1, '기타(Z)'!G:G, B63, '기타(Z)'!W:W, B67)
  ) = 0,
  "",
  SUMIFS('발전사업(A)'!I:I, '발전사업(A)'!C:C, $E$1, '발전사업(A)'!G:G, B63, '발전사업(A)'!W:W, B67)
  + SUMIFS('자가소비(B)'!I:I, '자가소비(B)'!C:C, $E$1, '자가소비(B)'!G:G, B63, '자가소비(B)'!W:W, B67)
  + SUMIFS('PPA 사업(C)'!I:I, 'PPA 사업(C)'!C:C, $E$1, 'PPA 사업(C)'!G:G, B63, 'PPA 사업(C)'!W:W, B67)
  + SUMIFS('리스사업(D)'!I:I, '리스사업(D)'!C:C, $E$1, '리스사업(D)'!G:G, B63, '리스사업(D)'!W:W, B67)
  + SUMIFS('임대사업(E)'!I:I, '임대사업(E)'!C:C, $E$1, '임대사업(E)'!G:G, B63, '임대사업(E)'!W:W, B67)
  + SUMIFS('환경부사업(F)'!I:I, '환경부사업(F)'!C:C, $E$1, '환경부사업(F)'!G:G, B63, '환경부사업(F)'!W:W, B67)
  + SUMIFS('프로젝트(G)'!I:I, '프로젝트(G)'!C:C, $E$1, '프로젝트(G)'!G:G, B63, '프로젝트(G)'!W:W, B67)
  + SUMIFS('협력사 EPC(H)'!I:I, '협력사 EPC(H)'!C:C, $E$1, '협력사 EPC(H)'!G:G, B63, '협력사 EPC(H)'!W:W, B67)
  + SUMIFS('기타(Z)'!I:I, '기타(Z)'!C:C, $E$1, '기타(Z)'!G:G, B63, '기타(Z)'!W:W, B67)
)</f>
        <v>348.79999999999995</v>
      </c>
      <c r="D67" s="281">
        <f>IF(
  COUNTIFS('발전사업(A)'!C:C, $E$1, '발전사업(A)'!G:G, B63, '발전사업(A)'!W:W, B67)
  + COUNTIFS('자가소비(B)'!C:C, $E$1, '자가소비(B)'!G:G, B63, '자가소비(B)'!W:W, B67)
  + COUNTIFS('PPA 사업(C)'!C:C, $E$1, 'PPA 사업(C)'!G:G, B63, 'PPA 사업(C)'!W:W, B67)
  + COUNTIFS('리스사업(D)'!C:C, $E$1, '리스사업(D)'!G:G, B63, '리스사업(D)'!W:W, B67)
  + COUNTIFS('임대사업(E)'!C:C, $E$1, '임대사업(E)'!G:G, B63, '임대사업(E)'!W:W, B67)
  + COUNTIFS('환경부사업(F)'!C:C, $E$1, '환경부사업(F)'!G:G, B63, '환경부사업(F)'!W:W, B67)
  + COUNTIFS('프로젝트(G)'!C:C, $E$1, '프로젝트(G)'!G:G, B63, '프로젝트(G)'!W:W, B67)
  + COUNTIFS('협력사 EPC(H)'!C:C, $E$1, '협력사 EPC(H)'!G:G, B63, '협력사 EPC(H)'!W:W, B67)
  + COUNTIFS('기타(Z)'!C:C, $E$1, '기타(Z)'!G:G, B63, '기타(Z)'!W:W, B67)
  = 0,
  "",
  COUNTIFS('발전사업(A)'!C:C, $E$1, '발전사업(A)'!G:G, B63, '발전사업(A)'!W:W, B67)
  + COUNTIFS('자가소비(B)'!C:C, $E$1, '자가소비(B)'!G:G, B63, '자가소비(B)'!W:W, B67)
  + COUNTIFS('PPA 사업(C)'!C:C, $E$1, 'PPA 사업(C)'!G:G, B63, 'PPA 사업(C)'!W:W, B67)
  + COUNTIFS('리스사업(D)'!C:C, $E$1, '리스사업(D)'!G:G, B63, '리스사업(D)'!W:W, B67)
  + COUNTIFS('임대사업(E)'!C:C, $E$1, '임대사업(E)'!G:G, B63, '임대사업(E)'!W:W, B67)
  + COUNTIFS('환경부사업(F)'!C:C, $E$1, '환경부사업(F)'!G:G, B63, '환경부사업(F)'!W:W, B67)
  + COUNTIFS('프로젝트(G)'!C:C, $E$1, '프로젝트(G)'!G:G, B63, '프로젝트(G)'!W:W, B67)
  + COUNTIFS('협력사 EPC(H)'!C:C, $E$1, '협력사 EPC(H)'!G:G, B63, '협력사 EPC(H)'!W:W, B67)
  + COUNTIFS('기타(Z)'!C:C, $E$1, '기타(Z)'!G:G, B63, '기타(Z)'!W:W, B67)
)</f>
        <v>2</v>
      </c>
      <c r="E67" s="280">
        <f>IF(
  SUM(
    SUMIFS('발전사업(A)'!I:I, '발전사업(A)'!C:C, $E$1, '발전사업(A)'!G:G, B63, '발전사업(A)'!W:W, B67, '발전사업(A)'!U:U, $C$1),
    SUMIFS('자가소비(B)'!I:I, '자가소비(B)'!C:C, $E$1, '자가소비(B)'!G:G, B63, '자가소비(B)'!W:W, B67, '자가소비(B)'!U:U, $C$1),
    SUMIFS('PPA 사업(C)'!I:I, 'PPA 사업(C)'!C:C, $E$1, 'PPA 사업(C)'!G:G, B63, 'PPA 사업(C)'!W:W, B67, 'PPA 사업(C)'!U:U, $C$1),
    SUMIFS('리스사업(D)'!I:I, '리스사업(D)'!C:C, $E$1, '리스사업(D)'!G:G, B63, '리스사업(D)'!W:W, B67, '리스사업(D)'!U:U, $C$1),
    SUMIFS('임대사업(E)'!I:I, '임대사업(E)'!C:C, $E$1, '임대사업(E)'!G:G, B63, '임대사업(E)'!W:W, B67, '임대사업(E)'!U:U, $C$1),
    SUMIFS('환경부사업(F)'!I:I, '환경부사업(F)'!C:C, $E$1, '환경부사업(F)'!G:G, B63, '환경부사업(F)'!W:W, B67, '환경부사업(F)'!U:U, $C$1),
    SUMIFS('프로젝트(G)'!I:I, '프로젝트(G)'!C:C, $E$1, '프로젝트(G)'!G:G, B63, '프로젝트(G)'!W:W, B67, '프로젝트(G)'!U:U, $C$1),
    SUMIFS('협력사 EPC(H)'!I:I, '협력사 EPC(H)'!C:C, $E$1, '협력사 EPC(H)'!G:G, B63, '협력사 EPC(H)'!W:W, B67, '협력사 EPC(H)'!U:U, $C$1),
    SUMIFS('기타(Z)'!I:I, '기타(Z)'!C:C, $E$1, '기타(Z)'!G:G, B63, '기타(Z)'!W:W, B67, '기타(Z)'!U:U, $C$1)
  ) = 0,
  "",
  SUM(
    SUMIFS('발전사업(A)'!I:I, '발전사업(A)'!C:C, $E$1, '발전사업(A)'!G:G, B63, '발전사업(A)'!W:W, B67, '발전사업(A)'!U:U, $C$1),
    SUMIFS('자가소비(B)'!I:I, '자가소비(B)'!C:C, $E$1, '자가소비(B)'!G:G, B63, '자가소비(B)'!W:W, B67, '자가소비(B)'!U:U, $C$1),
    SUMIFS('PPA 사업(C)'!I:I, 'PPA 사업(C)'!C:C, $E$1, 'PPA 사업(C)'!G:G, B63, 'PPA 사업(C)'!W:W, B67, 'PPA 사업(C)'!U:U, $C$1),
    SUMIFS('리스사업(D)'!I:I, '리스사업(D)'!C:C, $E$1, '리스사업(D)'!G:G, B63, '리스사업(D)'!W:W, B67, '리스사업(D)'!U:U, $C$1),
    SUMIFS('임대사업(E)'!I:I, '임대사업(E)'!C:C, $E$1, '임대사업(E)'!G:G, B63, '임대사업(E)'!W:W, B67, '임대사업(E)'!U:U, $C$1),
    SUMIFS('환경부사업(F)'!I:I, '환경부사업(F)'!C:C, $E$1, '환경부사업(F)'!G:G, B63, '환경부사업(F)'!W:W, B67, '환경부사업(F)'!U:U, $C$1),
    SUMIFS('프로젝트(G)'!I:I, '프로젝트(G)'!C:C, $E$1, '프로젝트(G)'!G:G, B63, '프로젝트(G)'!W:W, B67, '프로젝트(G)'!U:U, $C$1),
    SUMIFS('협력사 EPC(H)'!I:I, '협력사 EPC(H)'!C:C, $E$1, '협력사 EPC(H)'!G:G, B63, '협력사 EPC(H)'!W:W, B67, '협력사 EPC(H)'!U:U, $C$1),
    SUMIFS('기타(Z)'!I:I, '기타(Z)'!C:C, $E$1, '기타(Z)'!G:G, B63, '기타(Z)'!W:W, B67, '기타(Z)'!U:U, $C$1)
  )
)</f>
        <v>259.2</v>
      </c>
      <c r="F67" s="281">
        <f>IF(
  SUM(
    COUNTIFS('발전사업(A)'!C:C, $E$1, '발전사업(A)'!G:G, B63, '발전사업(A)'!W:W, B67, '발전사업(A)'!U:U, $C$1),
    COUNTIFS('자가소비(B)'!C:C, $E$1, '자가소비(B)'!G:G, B63, '자가소비(B)'!W:W, B67, '자가소비(B)'!U:U, $C$1),
    COUNTIFS('PPA 사업(C)'!C:C, $E$1, 'PPA 사업(C)'!G:G, B63, 'PPA 사업(C)'!W:W, B67, 'PPA 사업(C)'!U:U, $C$1),
    COUNTIFS('리스사업(D)'!C:C, $E$1, '리스사업(D)'!G:G, B63, '리스사업(D)'!W:W, B67, '리스사업(D)'!U:U, $C$1),
    COUNTIFS('임대사업(E)'!C:C, $E$1, '임대사업(E)'!G:G, B63, '임대사업(E)'!W:W, B67, '임대사업(E)'!U:U, $C$1),
    COUNTIFS('환경부사업(F)'!C:C, $E$1, '환경부사업(F)'!G:G, B63, '환경부사업(F)'!W:W, B67, '환경부사업(F)'!U:U, $C$1),
    COUNTIFS('프로젝트(G)'!C:C, $E$1, '프로젝트(G)'!G:G, B63, '프로젝트(G)'!W:W, B67, '프로젝트(G)'!U:U, $C$1),
    COUNTIFS('협력사 EPC(H)'!C:C, $E$1, '협력사 EPC(H)'!G:G, B63, '협력사 EPC(H)'!W:W, B67, '협력사 EPC(H)'!U:U, $C$1),
    COUNTIFS('기타(Z)'!C:C, $E$1, '기타(Z)'!G:G, B63, '기타(Z)'!W:W, B67, '기타(Z)'!U:U, $C$1)
  ) = 0,
  "",
  SUM(
    COUNTIFS('발전사업(A)'!C:C, $E$1, '발전사업(A)'!G:G, B63, '발전사업(A)'!W:W, B67, '발전사업(A)'!U:U, $C$1),
    COUNTIFS('자가소비(B)'!C:C, $E$1, '자가소비(B)'!G:G, B63, '자가소비(B)'!W:W, B67, '자가소비(B)'!U:U, $C$1),
    COUNTIFS('PPA 사업(C)'!C:C, $E$1, 'PPA 사업(C)'!G:G, B63, 'PPA 사업(C)'!W:W, B67, 'PPA 사업(C)'!U:U, $C$1),
    COUNTIFS('리스사업(D)'!C:C, $E$1, '리스사업(D)'!G:G, B63, '리스사업(D)'!W:W, B67, '리스사업(D)'!U:U, $C$1),
    COUNTIFS('임대사업(E)'!C:C, $E$1, '임대사업(E)'!G:G, B63, '임대사업(E)'!W:W, B67, '임대사업(E)'!U:U, $C$1),
    COUNTIFS('환경부사업(F)'!C:C, $E$1, '환경부사업(F)'!G:G, B63, '환경부사업(F)'!W:W, B67, '환경부사업(F)'!U:U, $C$1),
    COUNTIFS('프로젝트(G)'!C:C, $E$1, '프로젝트(G)'!G:G, B63, '프로젝트(G)'!W:W, B67, '프로젝트(G)'!U:U, $C$1),
    COUNTIFS('협력사 EPC(H)'!C:C, $E$1, '협력사 EPC(H)'!G:G, B63, '협력사 EPC(H)'!W:W, B67, '협력사 EPC(H)'!U:U, $C$1),
    COUNTIFS('기타(Z)'!C:C, $E$1, '기타(Z)'!G:G, B63, '기타(Z)'!W:W, B67, '기타(Z)'!U:U, $C$1)
  )
)</f>
        <v>1</v>
      </c>
      <c r="G67" s="280">
        <f>IF(
  SUM(
    SUMIFS('발전사업(A)'!I:I, '발전사업(A)'!C:C, $E$1, '발전사업(A)'!G:G, B63, '발전사업(A)'!W:W, B67, '발전사업(A)'!U:U, $D$1),
    SUMIFS('자가소비(B)'!I:I, '자가소비(B)'!C:C, $E$1, '자가소비(B)'!G:G, B63, '자가소비(B)'!W:W, B67, '자가소비(B)'!U:U, $D$1),
    SUMIFS('PPA 사업(C)'!I:I, 'PPA 사업(C)'!C:C, $E$1, 'PPA 사업(C)'!G:G, B63, 'PPA 사업(C)'!W:W, B67, 'PPA 사업(C)'!U:U, $D$1),
    SUMIFS('리스사업(D)'!I:I, '리스사업(D)'!C:C, $E$1, '리스사업(D)'!G:G, B63, '리스사업(D)'!W:W, B67, '리스사업(D)'!U:U, $D$1),
    SUMIFS('임대사업(E)'!I:I, '임대사업(E)'!C:C, $E$1, '임대사업(E)'!G:G, B63, '임대사업(E)'!W:W, B67, '임대사업(E)'!U:U, $D$1),
    SUMIFS('환경부사업(F)'!I:I, '환경부사업(F)'!C:C, $E$1, '환경부사업(F)'!G:G, B63, '환경부사업(F)'!W:W, B67, '환경부사업(F)'!U:U, $D$1),
    SUMIFS('프로젝트(G)'!I:I, '프로젝트(G)'!C:C, $E$1, '프로젝트(G)'!G:G, B63, '프로젝트(G)'!W:W, B67, '프로젝트(G)'!U:U, $D$1),
    SUMIFS('협력사 EPC(H)'!I:I, '협력사 EPC(H)'!C:C, $E$1, '협력사 EPC(H)'!G:G, B63, '협력사 EPC(H)'!W:W, B67, '협력사 EPC(H)'!U:U, $D$1),
    SUMIFS('기타(Z)'!I:I, '기타(Z)'!C:C, $E$1, '기타(Z)'!G:G, B63, '기타(Z)'!W:W, B67, '기타(Z)'!U:U, $D$1)
  ) = 0,
  "",
  SUM(
    SUMIFS('발전사업(A)'!I:I, '발전사업(A)'!C:C, $E$1, '발전사업(A)'!G:G, B63, '발전사업(A)'!W:W, B67, '발전사업(A)'!U:U, $D$1),
    SUMIFS('자가소비(B)'!I:I, '자가소비(B)'!C:C, $E$1, '자가소비(B)'!G:G, B63, '자가소비(B)'!W:W, B67, '자가소비(B)'!U:U, $D$1),
    SUMIFS('PPA 사업(C)'!I:I, 'PPA 사업(C)'!C:C, $E$1, 'PPA 사업(C)'!G:G, B63, 'PPA 사업(C)'!W:W, B67, 'PPA 사업(C)'!U:U, $D$1),
    SUMIFS('리스사업(D)'!I:I, '리스사업(D)'!C:C, $E$1, '리스사업(D)'!G:G, B63, '리스사업(D)'!W:W, B67, '리스사업(D)'!U:U, $D$1),
    SUMIFS('임대사업(E)'!I:I, '임대사업(E)'!C:C, $E$1, '임대사업(E)'!G:G, B63, '임대사업(E)'!W:W, B67, '임대사업(E)'!U:U, $D$1),
    SUMIFS('환경부사업(F)'!I:I, '환경부사업(F)'!C:C, $E$1, '환경부사업(F)'!G:G, B63, '환경부사업(F)'!W:W, B67, '환경부사업(F)'!U:U, $D$1),
    SUMIFS('프로젝트(G)'!I:I, '프로젝트(G)'!C:C, $E$1, '프로젝트(G)'!G:G, B63, '프로젝트(G)'!W:W, B67, '프로젝트(G)'!U:U, $D$1),
    SUMIFS('협력사 EPC(H)'!I:I, '협력사 EPC(H)'!C:C, $E$1, '협력사 EPC(H)'!G:G, B63, '협력사 EPC(H)'!W:W, B67, '협력사 EPC(H)'!U:U, $D$1),
    SUMIFS('기타(Z)'!I:I, '기타(Z)'!C:C, $E$1, '기타(Z)'!G:G, B63, '기타(Z)'!W:W, B67, '기타(Z)'!U:U, $D$1)
  )
)</f>
        <v>89.6</v>
      </c>
      <c r="H67" s="281">
        <f>IF(
  (
    COUNTIFS('발전사업(A)'!C:C, $E$1, '발전사업(A)'!G:G, B63, '발전사업(A)'!W:W, B67, '발전사업(A)'!U:U, $D$1)
    + COUNTIFS('자가소비(B)'!C:C, $E$1, '자가소비(B)'!G:G, B63, '자가소비(B)'!W:W, B67, '자가소비(B)'!U:U, $D$1)
    + COUNTIFS('PPA 사업(C)'!C:C, $E$1, 'PPA 사업(C)'!G:G, B63, 'PPA 사업(C)'!W:W, B67, 'PPA 사업(C)'!U:U, $D$1)
    + COUNTIFS('리스사업(D)'!C:C, $E$1, '리스사업(D)'!G:G, B63, '리스사업(D)'!W:W, B67, '리스사업(D)'!U:U, $D$1)
    + COUNTIFS('임대사업(E)'!C:C, $E$1, '임대사업(E)'!G:G, B63, '임대사업(E)'!W:W, B67, '임대사업(E)'!U:U, $D$1)
    + COUNTIFS('환경부사업(F)'!C:C, $E$1, '환경부사업(F)'!G:G, B63, '환경부사업(F)'!W:W, B67, '환경부사업(F)'!U:U, $D$1)
    + COUNTIFS('프로젝트(G)'!C:C, $E$1, '프로젝트(G)'!G:G, B63, '프로젝트(G)'!W:W, B67, '프로젝트(G)'!U:U, $D$1)
    + COUNTIFS('협력사 EPC(H)'!C:C, $E$1, '협력사 EPC(H)'!G:G, B63, '협력사 EPC(H)'!W:W, B67, '협력사 EPC(H)'!U:U, $D$1)
    + COUNTIFS('기타(Z)'!C:C, $E$1, '기타(Z)'!G:G, B63, '기타(Z)'!W:W, B67, '기타(Z)'!U:U, $D$1)
  ) = 0,
  "",
  COUNTIFS('발전사업(A)'!C:C, $E$1, '발전사업(A)'!G:G, B63, '발전사업(A)'!W:W, B67, '발전사업(A)'!U:U, $D$1)
  + COUNTIFS('자가소비(B)'!C:C, $E$1, '자가소비(B)'!G:G, B63, '자가소비(B)'!W:W, B67, '자가소비(B)'!U:U, $D$1)
  + COUNTIFS('PPA 사업(C)'!C:C, $E$1, 'PPA 사업(C)'!G:G, B63, 'PPA 사업(C)'!W:W, B67, 'PPA 사업(C)'!U:U, $D$1)
  + COUNTIFS('리스사업(D)'!C:C, $E$1, '리스사업(D)'!G:G, B63, '리스사업(D)'!W:W, B67, '리스사업(D)'!U:U, $D$1)
  + COUNTIFS('임대사업(E)'!C:C, $E$1, '임대사업(E)'!G:G, B63, '임대사업(E)'!W:W, B67, '임대사업(E)'!U:U, $D$1)
  + COUNTIFS('환경부사업(F)'!C:C, $E$1, '환경부사업(F)'!G:G, B63, '환경부사업(F)'!W:W, B67, '환경부사업(F)'!U:U, $D$1)
  + COUNTIFS('프로젝트(G)'!C:C, $E$1, '프로젝트(G)'!G:G, B63, '프로젝트(G)'!W:W, B67, '프로젝트(G)'!U:U, $D$1)
  + COUNTIFS('협력사 EPC(H)'!C:C, $E$1, '협력사 EPC(H)'!G:G, B63, '협력사 EPC(H)'!W:W, B67, '협력사 EPC(H)'!U:U, $D$1)
  + COUNTIFS('기타(Z)'!C:C, $E$1, '기타(Z)'!G:G, B63, '기타(Z)'!W:W, B67, '기타(Z)'!U:U, $D$1)
)</f>
        <v>1</v>
      </c>
    </row>
    <row r="68" spans="2:8" x14ac:dyDescent="0.25">
      <c r="B68" s="202" t="s">
        <v>262</v>
      </c>
      <c r="C68" s="280" t="str">
        <f>IF(
  SUM(
    SUMIFS('발전사업(A)'!I:I, '발전사업(A)'!C:C, $E$1, '발전사업(A)'!G:G, B63, '발전사업(A)'!W:W, B68),
    SUMIFS('자가소비(B)'!I:I, '자가소비(B)'!C:C, $E$1, '자가소비(B)'!G:G, B63, '자가소비(B)'!W:W, B68),
    SUMIFS('PPA 사업(C)'!I:I, 'PPA 사업(C)'!C:C, $E$1, 'PPA 사업(C)'!G:G, B63, 'PPA 사업(C)'!W:W, B68),
    SUMIFS('리스사업(D)'!I:I, '리스사업(D)'!C:C, $E$1, '리스사업(D)'!G:G, B63, '리스사업(D)'!W:W, B68),
    SUMIFS('임대사업(E)'!I:I, '임대사업(E)'!C:C, $E$1, '임대사업(E)'!G:G, B63, '임대사업(E)'!W:W, B68),
    SUMIFS('환경부사업(F)'!I:I, '환경부사업(F)'!C:C, $E$1, '환경부사업(F)'!G:G, B63, '환경부사업(F)'!W:W, B68),
    SUMIFS('프로젝트(G)'!I:I, '프로젝트(G)'!C:C, $E$1, '프로젝트(G)'!G:G, B63, '프로젝트(G)'!W:W, B68),
    SUMIFS('협력사 EPC(H)'!I:I, '협력사 EPC(H)'!C:C, $E$1, '협력사 EPC(H)'!G:G, B63, '협력사 EPC(H)'!W:W, B68),
    SUMIFS('기타(Z)'!I:I, '기타(Z)'!C:C, $E$1, '기타(Z)'!G:G, B63, '기타(Z)'!W:W, B68)
  ) = 0,
  "",
  SUMIFS('발전사업(A)'!I:I, '발전사업(A)'!C:C, $E$1, '발전사업(A)'!G:G, B63, '발전사업(A)'!W:W, B68)
  + SUMIFS('자가소비(B)'!I:I, '자가소비(B)'!C:C, $E$1, '자가소비(B)'!G:G, B63, '자가소비(B)'!W:W, B68)
  + SUMIFS('PPA 사업(C)'!I:I, 'PPA 사업(C)'!C:C, $E$1, 'PPA 사업(C)'!G:G, B63, 'PPA 사업(C)'!W:W, B68)
  + SUMIFS('리스사업(D)'!I:I, '리스사업(D)'!C:C, $E$1, '리스사업(D)'!G:G, B63, '리스사업(D)'!W:W, B68)
  + SUMIFS('임대사업(E)'!I:I, '임대사업(E)'!C:C, $E$1, '임대사업(E)'!G:G, B63, '임대사업(E)'!W:W, B68)
  + SUMIFS('환경부사업(F)'!I:I, '환경부사업(F)'!C:C, $E$1, '환경부사업(F)'!G:G, B63, '환경부사업(F)'!W:W, B68)
  + SUMIFS('프로젝트(G)'!I:I, '프로젝트(G)'!C:C, $E$1, '프로젝트(G)'!G:G, B63, '프로젝트(G)'!W:W, B68)
  + SUMIFS('협력사 EPC(H)'!I:I, '협력사 EPC(H)'!C:C, $E$1, '협력사 EPC(H)'!G:G, B63, '협력사 EPC(H)'!W:W, B68)
  + SUMIFS('기타(Z)'!I:I, '기타(Z)'!C:C, $E$1, '기타(Z)'!G:G, B63, '기타(Z)'!W:W, B68)
)</f>
        <v/>
      </c>
      <c r="D68" s="281" t="str">
        <f>IF(
  COUNTIFS('발전사업(A)'!C:C, $E$1, '발전사업(A)'!G:G, B63, '발전사업(A)'!W:W, B68)
  + COUNTIFS('자가소비(B)'!C:C, $E$1, '자가소비(B)'!G:G, B63, '자가소비(B)'!W:W, B68)
  + COUNTIFS('PPA 사업(C)'!C:C, $E$1, 'PPA 사업(C)'!G:G, B63, 'PPA 사업(C)'!W:W, B68)
  + COUNTIFS('리스사업(D)'!C:C, $E$1, '리스사업(D)'!G:G, B63, '리스사업(D)'!W:W, B68)
  + COUNTIFS('임대사업(E)'!C:C, $E$1, '임대사업(E)'!G:G, B63, '임대사업(E)'!W:W, B68)
  + COUNTIFS('환경부사업(F)'!C:C, $E$1, '환경부사업(F)'!G:G, B63, '환경부사업(F)'!W:W, B68)
  + COUNTIFS('프로젝트(G)'!C:C, $E$1, '프로젝트(G)'!G:G, B63, '프로젝트(G)'!W:W, B68)
  + COUNTIFS('협력사 EPC(H)'!C:C, $E$1, '협력사 EPC(H)'!G:G, B63, '협력사 EPC(H)'!W:W, B68)
  + COUNTIFS('기타(Z)'!C:C, $E$1, '기타(Z)'!G:G, B63, '기타(Z)'!W:W, B68)
  = 0,
  "",
  COUNTIFS('발전사업(A)'!C:C, $E$1, '발전사업(A)'!G:G, B63, '발전사업(A)'!W:W, B68)
  + COUNTIFS('자가소비(B)'!C:C, $E$1, '자가소비(B)'!G:G, B63, '자가소비(B)'!W:W, B68)
  + COUNTIFS('PPA 사업(C)'!C:C, $E$1, 'PPA 사업(C)'!G:G, B63, 'PPA 사업(C)'!W:W, B68)
  + COUNTIFS('리스사업(D)'!C:C, $E$1, '리스사업(D)'!G:G, B63, '리스사업(D)'!W:W, B68)
  + COUNTIFS('임대사업(E)'!C:C, $E$1, '임대사업(E)'!G:G, B63, '임대사업(E)'!W:W, B68)
  + COUNTIFS('환경부사업(F)'!C:C, $E$1, '환경부사업(F)'!G:G, B63, '환경부사업(F)'!W:W, B68)
  + COUNTIFS('프로젝트(G)'!C:C, $E$1, '프로젝트(G)'!G:G, B63, '프로젝트(G)'!W:W, B68)
  + COUNTIFS('협력사 EPC(H)'!C:C, $E$1, '협력사 EPC(H)'!G:G, B63, '협력사 EPC(H)'!W:W, B68)
  + COUNTIFS('기타(Z)'!C:C, $E$1, '기타(Z)'!G:G, B63, '기타(Z)'!W:W, B68)
)</f>
        <v/>
      </c>
      <c r="E68" s="280" t="str">
        <f>IF(
  SUM(
    SUMIFS('발전사업(A)'!I:I, '발전사업(A)'!C:C, $E$1, '발전사업(A)'!G:G, B63, '발전사업(A)'!W:W, B68, '발전사업(A)'!U:U, $C$1),
    SUMIFS('자가소비(B)'!I:I, '자가소비(B)'!C:C, $E$1, '자가소비(B)'!G:G, B63, '자가소비(B)'!W:W, B68, '자가소비(B)'!U:U, $C$1),
    SUMIFS('PPA 사업(C)'!I:I, 'PPA 사업(C)'!C:C, $E$1, 'PPA 사업(C)'!G:G, B63, 'PPA 사업(C)'!W:W, B68, 'PPA 사업(C)'!U:U, $C$1),
    SUMIFS('리스사업(D)'!I:I, '리스사업(D)'!C:C, $E$1, '리스사업(D)'!G:G, B63, '리스사업(D)'!W:W, B68, '리스사업(D)'!U:U, $C$1),
    SUMIFS('임대사업(E)'!I:I, '임대사업(E)'!C:C, $E$1, '임대사업(E)'!G:G, B63, '임대사업(E)'!W:W, B68, '임대사업(E)'!U:U, $C$1),
    SUMIFS('환경부사업(F)'!I:I, '환경부사업(F)'!C:C, $E$1, '환경부사업(F)'!G:G, B63, '환경부사업(F)'!W:W, B68, '환경부사업(F)'!U:U, $C$1),
    SUMIFS('프로젝트(G)'!I:I, '프로젝트(G)'!C:C, $E$1, '프로젝트(G)'!G:G, B63, '프로젝트(G)'!W:W, B68, '프로젝트(G)'!U:U, $C$1),
    SUMIFS('협력사 EPC(H)'!I:I, '협력사 EPC(H)'!C:C, $E$1, '협력사 EPC(H)'!G:G, B63, '협력사 EPC(H)'!W:W, B68, '협력사 EPC(H)'!U:U, $C$1),
    SUMIFS('기타(Z)'!I:I, '기타(Z)'!C:C, $E$1, '기타(Z)'!G:G, B63, '기타(Z)'!W:W, B68, '기타(Z)'!U:U, $C$1)
  ) = 0,
  "",
  SUM(
    SUMIFS('발전사업(A)'!I:I, '발전사업(A)'!C:C, $E$1, '발전사업(A)'!G:G, B63, '발전사업(A)'!W:W, B68, '발전사업(A)'!U:U, $C$1),
    SUMIFS('자가소비(B)'!I:I, '자가소비(B)'!C:C, $E$1, '자가소비(B)'!G:G, B63, '자가소비(B)'!W:W, B68, '자가소비(B)'!U:U, $C$1),
    SUMIFS('PPA 사업(C)'!I:I, 'PPA 사업(C)'!C:C, $E$1, 'PPA 사업(C)'!G:G, B63, 'PPA 사업(C)'!W:W, B68, 'PPA 사업(C)'!U:U, $C$1),
    SUMIFS('리스사업(D)'!I:I, '리스사업(D)'!C:C, $E$1, '리스사업(D)'!G:G, B63, '리스사업(D)'!W:W, B68, '리스사업(D)'!U:U, $C$1),
    SUMIFS('임대사업(E)'!I:I, '임대사업(E)'!C:C, $E$1, '임대사업(E)'!G:G, B63, '임대사업(E)'!W:W, B68, '임대사업(E)'!U:U, $C$1),
    SUMIFS('환경부사업(F)'!I:I, '환경부사업(F)'!C:C, $E$1, '환경부사업(F)'!G:G, B63, '환경부사업(F)'!W:W, B68, '환경부사업(F)'!U:U, $C$1),
    SUMIFS('프로젝트(G)'!I:I, '프로젝트(G)'!C:C, $E$1, '프로젝트(G)'!G:G, B63, '프로젝트(G)'!W:W, B68, '프로젝트(G)'!U:U, $C$1),
    SUMIFS('협력사 EPC(H)'!I:I, '협력사 EPC(H)'!C:C, $E$1, '협력사 EPC(H)'!G:G, B63, '협력사 EPC(H)'!W:W, B68, '협력사 EPC(H)'!U:U, $C$1),
    SUMIFS('기타(Z)'!I:I, '기타(Z)'!C:C, $E$1, '기타(Z)'!G:G, B63, '기타(Z)'!W:W, B68, '기타(Z)'!U:U, $C$1)
  )
)</f>
        <v/>
      </c>
      <c r="F68" s="281" t="str">
        <f>IF(
  SUM(
    COUNTIFS('발전사업(A)'!C:C, $E$1, '발전사업(A)'!G:G, B63, '발전사업(A)'!W:W, B68, '발전사업(A)'!U:U, $C$1),
    COUNTIFS('자가소비(B)'!C:C, $E$1, '자가소비(B)'!G:G, B63, '자가소비(B)'!W:W, B68, '자가소비(B)'!U:U, $C$1),
    COUNTIFS('PPA 사업(C)'!C:C, $E$1, 'PPA 사업(C)'!G:G, B63, 'PPA 사업(C)'!W:W, B68, 'PPA 사업(C)'!U:U, $C$1),
    COUNTIFS('리스사업(D)'!C:C, $E$1, '리스사업(D)'!G:G, B63, '리스사업(D)'!W:W, B68, '리스사업(D)'!U:U, $C$1),
    COUNTIFS('임대사업(E)'!C:C, $E$1, '임대사업(E)'!G:G, B63, '임대사업(E)'!W:W, B68, '임대사업(E)'!U:U, $C$1),
    COUNTIFS('환경부사업(F)'!C:C, $E$1, '환경부사업(F)'!G:G, B63, '환경부사업(F)'!W:W, B68, '환경부사업(F)'!U:U, $C$1),
    COUNTIFS('프로젝트(G)'!C:C, $E$1, '프로젝트(G)'!G:G, B63, '프로젝트(G)'!W:W, B68, '프로젝트(G)'!U:U, $C$1),
    COUNTIFS('협력사 EPC(H)'!C:C, $E$1, '협력사 EPC(H)'!G:G, B63, '협력사 EPC(H)'!W:W, B68, '협력사 EPC(H)'!U:U, $C$1),
    COUNTIFS('기타(Z)'!C:C, $E$1, '기타(Z)'!G:G, B63, '기타(Z)'!W:W, B68, '기타(Z)'!U:U, $C$1)
  ) = 0,
  "",
  SUM(
    COUNTIFS('발전사업(A)'!C:C, $E$1, '발전사업(A)'!G:G, B63, '발전사업(A)'!W:W, B68, '발전사업(A)'!U:U, $C$1),
    COUNTIFS('자가소비(B)'!C:C, $E$1, '자가소비(B)'!G:G, B63, '자가소비(B)'!W:W, B68, '자가소비(B)'!U:U, $C$1),
    COUNTIFS('PPA 사업(C)'!C:C, $E$1, 'PPA 사업(C)'!G:G, B63, 'PPA 사업(C)'!W:W, B68, 'PPA 사업(C)'!U:U, $C$1),
    COUNTIFS('리스사업(D)'!C:C, $E$1, '리스사업(D)'!G:G, B63, '리스사업(D)'!W:W, B68, '리스사업(D)'!U:U, $C$1),
    COUNTIFS('임대사업(E)'!C:C, $E$1, '임대사업(E)'!G:G, B63, '임대사업(E)'!W:W, B68, '임대사업(E)'!U:U, $C$1),
    COUNTIFS('환경부사업(F)'!C:C, $E$1, '환경부사업(F)'!G:G, B63, '환경부사업(F)'!W:W, B68, '환경부사업(F)'!U:U, $C$1),
    COUNTIFS('프로젝트(G)'!C:C, $E$1, '프로젝트(G)'!G:G, B63, '프로젝트(G)'!W:W, B68, '프로젝트(G)'!U:U, $C$1),
    COUNTIFS('협력사 EPC(H)'!C:C, $E$1, '협력사 EPC(H)'!G:G, B63, '협력사 EPC(H)'!W:W, B68, '협력사 EPC(H)'!U:U, $C$1),
    COUNTIFS('기타(Z)'!C:C, $E$1, '기타(Z)'!G:G, B63, '기타(Z)'!W:W, B68, '기타(Z)'!U:U, $C$1)
  )
)</f>
        <v/>
      </c>
      <c r="G68" s="280" t="str">
        <f>IF(
  SUM(
    SUMIFS('발전사업(A)'!I:I, '발전사업(A)'!C:C, $E$1, '발전사업(A)'!G:G, B63, '발전사업(A)'!W:W, B68, '발전사업(A)'!U:U, $D$1),
    SUMIFS('자가소비(B)'!I:I, '자가소비(B)'!C:C, $E$1, '자가소비(B)'!G:G, B63, '자가소비(B)'!W:W, B68, '자가소비(B)'!U:U, $D$1),
    SUMIFS('PPA 사업(C)'!I:I, 'PPA 사업(C)'!C:C, $E$1, 'PPA 사업(C)'!G:G, B63, 'PPA 사업(C)'!W:W, B68, 'PPA 사업(C)'!U:U, $D$1),
    SUMIFS('리스사업(D)'!I:I, '리스사업(D)'!C:C, $E$1, '리스사업(D)'!G:G, B63, '리스사업(D)'!W:W, B68, '리스사업(D)'!U:U, $D$1),
    SUMIFS('임대사업(E)'!I:I, '임대사업(E)'!C:C, $E$1, '임대사업(E)'!G:G, B63, '임대사업(E)'!W:W, B68, '임대사업(E)'!U:U, $D$1),
    SUMIFS('환경부사업(F)'!I:I, '환경부사업(F)'!C:C, $E$1, '환경부사업(F)'!G:G, B63, '환경부사업(F)'!W:W, B68, '환경부사업(F)'!U:U, $D$1),
    SUMIFS('프로젝트(G)'!I:I, '프로젝트(G)'!C:C, $E$1, '프로젝트(G)'!G:G, B63, '프로젝트(G)'!W:W, B68, '프로젝트(G)'!U:U, $D$1),
    SUMIFS('협력사 EPC(H)'!I:I, '협력사 EPC(H)'!C:C, $E$1, '협력사 EPC(H)'!G:G, B63, '협력사 EPC(H)'!W:W, B68, '협력사 EPC(H)'!U:U, $D$1),
    SUMIFS('기타(Z)'!I:I, '기타(Z)'!C:C, $E$1, '기타(Z)'!G:G, B63, '기타(Z)'!W:W, B68, '기타(Z)'!U:U, $D$1)
  ) = 0,
  "",
  SUM(
    SUMIFS('발전사업(A)'!I:I, '발전사업(A)'!C:C, $E$1, '발전사업(A)'!G:G, B63, '발전사업(A)'!W:W, B68, '발전사업(A)'!U:U, $D$1),
    SUMIFS('자가소비(B)'!I:I, '자가소비(B)'!C:C, $E$1, '자가소비(B)'!G:G, B63, '자가소비(B)'!W:W, B68, '자가소비(B)'!U:U, $D$1),
    SUMIFS('PPA 사업(C)'!I:I, 'PPA 사업(C)'!C:C, $E$1, 'PPA 사업(C)'!G:G, B63, 'PPA 사업(C)'!W:W, B68, 'PPA 사업(C)'!U:U, $D$1),
    SUMIFS('리스사업(D)'!I:I, '리스사업(D)'!C:C, $E$1, '리스사업(D)'!G:G, B63, '리스사업(D)'!W:W, B68, '리스사업(D)'!U:U, $D$1),
    SUMIFS('임대사업(E)'!I:I, '임대사업(E)'!C:C, $E$1, '임대사업(E)'!G:G, B63, '임대사업(E)'!W:W, B68, '임대사업(E)'!U:U, $D$1),
    SUMIFS('환경부사업(F)'!I:I, '환경부사업(F)'!C:C, $E$1, '환경부사업(F)'!G:G, B63, '환경부사업(F)'!W:W, B68, '환경부사업(F)'!U:U, $D$1),
    SUMIFS('프로젝트(G)'!I:I, '프로젝트(G)'!C:C, $E$1, '프로젝트(G)'!G:G, B63, '프로젝트(G)'!W:W, B68, '프로젝트(G)'!U:U, $D$1),
    SUMIFS('협력사 EPC(H)'!I:I, '협력사 EPC(H)'!C:C, $E$1, '협력사 EPC(H)'!G:G, B63, '협력사 EPC(H)'!W:W, B68, '협력사 EPC(H)'!U:U, $D$1),
    SUMIFS('기타(Z)'!I:I, '기타(Z)'!C:C, $E$1, '기타(Z)'!G:G, B63, '기타(Z)'!W:W, B68, '기타(Z)'!U:U, $D$1)
  )
)</f>
        <v/>
      </c>
      <c r="H68" s="281" t="str">
        <f>IF(
  (
    COUNTIFS('발전사업(A)'!C:C, $E$1, '발전사업(A)'!G:G, B63, '발전사업(A)'!W:W, B68, '발전사업(A)'!U:U, $D$1)
    + COUNTIFS('자가소비(B)'!C:C, $E$1, '자가소비(B)'!G:G, B63, '자가소비(B)'!W:W, B68, '자가소비(B)'!U:U, $D$1)
    + COUNTIFS('PPA 사업(C)'!C:C, $E$1, 'PPA 사업(C)'!G:G, B63, 'PPA 사업(C)'!W:W, B68, 'PPA 사업(C)'!U:U, $D$1)
    + COUNTIFS('리스사업(D)'!C:C, $E$1, '리스사업(D)'!G:G, B63, '리스사업(D)'!W:W, B68, '리스사업(D)'!U:U, $D$1)
    + COUNTIFS('임대사업(E)'!C:C, $E$1, '임대사업(E)'!G:G, B63, '임대사업(E)'!W:W, B68, '임대사업(E)'!U:U, $D$1)
    + COUNTIFS('환경부사업(F)'!C:C, $E$1, '환경부사업(F)'!G:G, B63, '환경부사업(F)'!W:W, B68, '환경부사업(F)'!U:U, $D$1)
    + COUNTIFS('프로젝트(G)'!C:C, $E$1, '프로젝트(G)'!G:G, B63, '프로젝트(G)'!W:W, B68, '프로젝트(G)'!U:U, $D$1)
    + COUNTIFS('협력사 EPC(H)'!C:C, $E$1, '협력사 EPC(H)'!G:G, B63, '협력사 EPC(H)'!W:W, B68, '협력사 EPC(H)'!U:U, $D$1)
    + COUNTIFS('기타(Z)'!C:C, $E$1, '기타(Z)'!G:G, B63, '기타(Z)'!W:W, B68, '기타(Z)'!U:U, $D$1)
  ) = 0,
  "",
  COUNTIFS('발전사업(A)'!C:C, $E$1, '발전사업(A)'!G:G, B63, '발전사업(A)'!W:W, B68, '발전사업(A)'!U:U, $D$1)
  + COUNTIFS('자가소비(B)'!C:C, $E$1, '자가소비(B)'!G:G, B63, '자가소비(B)'!W:W, B68, '자가소비(B)'!U:U, $D$1)
  + COUNTIFS('PPA 사업(C)'!C:C, $E$1, 'PPA 사업(C)'!G:G, B63, 'PPA 사업(C)'!W:W, B68, 'PPA 사업(C)'!U:U, $D$1)
  + COUNTIFS('리스사업(D)'!C:C, $E$1, '리스사업(D)'!G:G, B63, '리스사업(D)'!W:W, B68, '리스사업(D)'!U:U, $D$1)
  + COUNTIFS('임대사업(E)'!C:C, $E$1, '임대사업(E)'!G:G, B63, '임대사업(E)'!W:W, B68, '임대사업(E)'!U:U, $D$1)
  + COUNTIFS('환경부사업(F)'!C:C, $E$1, '환경부사업(F)'!G:G, B63, '환경부사업(F)'!W:W, B68, '환경부사업(F)'!U:U, $D$1)
  + COUNTIFS('프로젝트(G)'!C:C, $E$1, '프로젝트(G)'!G:G, B63, '프로젝트(G)'!W:W, B68, '프로젝트(G)'!U:U, $D$1)
  + COUNTIFS('협력사 EPC(H)'!C:C, $E$1, '협력사 EPC(H)'!G:G, B63, '협력사 EPC(H)'!W:W, B68, '협력사 EPC(H)'!U:U, $D$1)
  + COUNTIFS('기타(Z)'!C:C, $E$1, '기타(Z)'!G:G, B63, '기타(Z)'!W:W, B68, '기타(Z)'!U:U, $D$1)
)</f>
        <v/>
      </c>
    </row>
    <row r="69" spans="2:8" x14ac:dyDescent="0.25">
      <c r="B69" s="202" t="s">
        <v>263</v>
      </c>
      <c r="C69" s="280" t="str">
        <f>IF(
  SUM(
    SUMIFS('발전사업(A)'!I:I, '발전사업(A)'!C:C, $E$1, '발전사업(A)'!G:G, B63, '발전사업(A)'!W:W, B69),
    SUMIFS('자가소비(B)'!I:I, '자가소비(B)'!C:C, $E$1, '자가소비(B)'!G:G, B63, '자가소비(B)'!W:W, B69),
    SUMIFS('PPA 사업(C)'!I:I, 'PPA 사업(C)'!C:C, $E$1, 'PPA 사업(C)'!G:G, B63, 'PPA 사업(C)'!W:W, B69),
    SUMIFS('리스사업(D)'!I:I, '리스사업(D)'!C:C, $E$1, '리스사업(D)'!G:G, B63, '리스사업(D)'!W:W, B69),
    SUMIFS('임대사업(E)'!I:I, '임대사업(E)'!C:C, $E$1, '임대사업(E)'!G:G, B63, '임대사업(E)'!W:W, B69),
    SUMIFS('환경부사업(F)'!I:I, '환경부사업(F)'!C:C, $E$1, '환경부사업(F)'!G:G, B63, '환경부사업(F)'!W:W, B69),
    SUMIFS('프로젝트(G)'!I:I, '프로젝트(G)'!C:C, $E$1, '프로젝트(G)'!G:G, B63, '프로젝트(G)'!W:W, B69),
    SUMIFS('협력사 EPC(H)'!I:I, '협력사 EPC(H)'!C:C, $E$1, '협력사 EPC(H)'!G:G, B63, '협력사 EPC(H)'!W:W, B69),
    SUMIFS('기타(Z)'!I:I, '기타(Z)'!C:C, $E$1, '기타(Z)'!G:G, B63, '기타(Z)'!W:W, B69)
  ) = 0,
  "",
  SUMIFS('발전사업(A)'!I:I, '발전사업(A)'!C:C, $E$1, '발전사업(A)'!G:G, B63, '발전사업(A)'!W:W, B69)
  + SUMIFS('자가소비(B)'!I:I, '자가소비(B)'!C:C, $E$1, '자가소비(B)'!G:G, B63, '자가소비(B)'!W:W, B69)
  + SUMIFS('PPA 사업(C)'!I:I, 'PPA 사업(C)'!C:C, $E$1, 'PPA 사업(C)'!G:G, B63, 'PPA 사업(C)'!W:W, B69)
  + SUMIFS('리스사업(D)'!I:I, '리스사업(D)'!C:C, $E$1, '리스사업(D)'!G:G, B63, '리스사업(D)'!W:W, B69)
  + SUMIFS('임대사업(E)'!I:I, '임대사업(E)'!C:C, $E$1, '임대사업(E)'!G:G, B63, '임대사업(E)'!W:W, B69)
  + SUMIFS('환경부사업(F)'!I:I, '환경부사업(F)'!C:C, $E$1, '환경부사업(F)'!G:G, B63, '환경부사업(F)'!W:W, B69)
  + SUMIFS('프로젝트(G)'!I:I, '프로젝트(G)'!C:C, $E$1, '프로젝트(G)'!G:G, B63, '프로젝트(G)'!W:W, B69)
  + SUMIFS('협력사 EPC(H)'!I:I, '협력사 EPC(H)'!C:C, $E$1, '협력사 EPC(H)'!G:G, B63, '협력사 EPC(H)'!W:W, B69)
  + SUMIFS('기타(Z)'!I:I, '기타(Z)'!C:C, $E$1, '기타(Z)'!G:G, B63, '기타(Z)'!W:W, B69)
)</f>
        <v/>
      </c>
      <c r="D69" s="281" t="str">
        <f>IF(
  COUNTIFS('발전사업(A)'!C:C, $E$1, '발전사업(A)'!G:G, B63, '발전사업(A)'!W:W, B69)
  + COUNTIFS('자가소비(B)'!C:C, $E$1, '자가소비(B)'!G:G, B63, '자가소비(B)'!W:W, B69)
  + COUNTIFS('PPA 사업(C)'!C:C, $E$1, 'PPA 사업(C)'!G:G, B63, 'PPA 사업(C)'!W:W, B69)
  + COUNTIFS('리스사업(D)'!C:C, $E$1, '리스사업(D)'!G:G, B63, '리스사업(D)'!W:W, B69)
  + COUNTIFS('임대사업(E)'!C:C, $E$1, '임대사업(E)'!G:G, B63, '임대사업(E)'!W:W, B69)
  + COUNTIFS('환경부사업(F)'!C:C, $E$1, '환경부사업(F)'!G:G, B63, '환경부사업(F)'!W:W, B69)
  + COUNTIFS('프로젝트(G)'!C:C, $E$1, '프로젝트(G)'!G:G, B63, '프로젝트(G)'!W:W, B69)
  + COUNTIFS('협력사 EPC(H)'!C:C, $E$1, '협력사 EPC(H)'!G:G, B63, '협력사 EPC(H)'!W:W, B69)
  + COUNTIFS('기타(Z)'!C:C, $E$1, '기타(Z)'!G:G, B63, '기타(Z)'!W:W, B69)
  = 0,
  "",
  COUNTIFS('발전사업(A)'!C:C, $E$1, '발전사업(A)'!G:G, B63, '발전사업(A)'!W:W, B69)
  + COUNTIFS('자가소비(B)'!C:C, $E$1, '자가소비(B)'!G:G, B63, '자가소비(B)'!W:W, B69)
  + COUNTIFS('PPA 사업(C)'!C:C, $E$1, 'PPA 사업(C)'!G:G, B63, 'PPA 사업(C)'!W:W, B69)
  + COUNTIFS('리스사업(D)'!C:C, $E$1, '리스사업(D)'!G:G, B63, '리스사업(D)'!W:W, B69)
  + COUNTIFS('임대사업(E)'!C:C, $E$1, '임대사업(E)'!G:G, B63, '임대사업(E)'!W:W, B69)
  + COUNTIFS('환경부사업(F)'!C:C, $E$1, '환경부사업(F)'!G:G, B63, '환경부사업(F)'!W:W, B69)
  + COUNTIFS('프로젝트(G)'!C:C, $E$1, '프로젝트(G)'!G:G, B63, '프로젝트(G)'!W:W, B69)
  + COUNTIFS('협력사 EPC(H)'!C:C, $E$1, '협력사 EPC(H)'!G:G, B63, '협력사 EPC(H)'!W:W, B69)
  + COUNTIFS('기타(Z)'!C:C, $E$1, '기타(Z)'!G:G, B63, '기타(Z)'!W:W, B69)
)</f>
        <v/>
      </c>
      <c r="E69" s="280" t="str">
        <f>IF(
  SUM(
    SUMIFS('발전사업(A)'!I:I, '발전사업(A)'!C:C, $E$1, '발전사업(A)'!G:G, B63, '발전사업(A)'!W:W, B69, '발전사업(A)'!U:U, $C$1),
    SUMIFS('자가소비(B)'!I:I, '자가소비(B)'!C:C, $E$1, '자가소비(B)'!G:G, B63, '자가소비(B)'!W:W, B69, '자가소비(B)'!U:U, $C$1),
    SUMIFS('PPA 사업(C)'!I:I, 'PPA 사업(C)'!C:C, $E$1, 'PPA 사업(C)'!G:G, B63, 'PPA 사업(C)'!W:W, B69, 'PPA 사업(C)'!U:U, $C$1),
    SUMIFS('리스사업(D)'!I:I, '리스사업(D)'!C:C, $E$1, '리스사업(D)'!G:G, B63, '리스사업(D)'!W:W, B69, '리스사업(D)'!U:U, $C$1),
    SUMIFS('임대사업(E)'!I:I, '임대사업(E)'!C:C, $E$1, '임대사업(E)'!G:G, B63, '임대사업(E)'!W:W, B69, '임대사업(E)'!U:U, $C$1),
    SUMIFS('환경부사업(F)'!I:I, '환경부사업(F)'!C:C, $E$1, '환경부사업(F)'!G:G, B63, '환경부사업(F)'!W:W, B69, '환경부사업(F)'!U:U, $C$1),
    SUMIFS('프로젝트(G)'!I:I, '프로젝트(G)'!C:C, $E$1, '프로젝트(G)'!G:G, B63, '프로젝트(G)'!W:W, B69, '프로젝트(G)'!U:U, $C$1),
    SUMIFS('협력사 EPC(H)'!I:I, '협력사 EPC(H)'!C:C, $E$1, '협력사 EPC(H)'!G:G, B63, '협력사 EPC(H)'!W:W, B69, '협력사 EPC(H)'!U:U, $C$1),
    SUMIFS('기타(Z)'!I:I, '기타(Z)'!C:C, $E$1, '기타(Z)'!G:G, B63, '기타(Z)'!W:W, B69, '기타(Z)'!U:U, $C$1)
  ) = 0,
  "",
  SUM(
    SUMIFS('발전사업(A)'!I:I, '발전사업(A)'!C:C, $E$1, '발전사업(A)'!G:G, B63, '발전사업(A)'!W:W, B69, '발전사업(A)'!U:U, $C$1),
    SUMIFS('자가소비(B)'!I:I, '자가소비(B)'!C:C, $E$1, '자가소비(B)'!G:G, B63, '자가소비(B)'!W:W, B69, '자가소비(B)'!U:U, $C$1),
    SUMIFS('PPA 사업(C)'!I:I, 'PPA 사업(C)'!C:C, $E$1, 'PPA 사업(C)'!G:G, B63, 'PPA 사업(C)'!W:W, B69, 'PPA 사업(C)'!U:U, $C$1),
    SUMIFS('리스사업(D)'!I:I, '리스사업(D)'!C:C, $E$1, '리스사업(D)'!G:G, B63, '리스사업(D)'!W:W, B69, '리스사업(D)'!U:U, $C$1),
    SUMIFS('임대사업(E)'!I:I, '임대사업(E)'!C:C, $E$1, '임대사업(E)'!G:G, B63, '임대사업(E)'!W:W, B69, '임대사업(E)'!U:U, $C$1),
    SUMIFS('환경부사업(F)'!I:I, '환경부사업(F)'!C:C, $E$1, '환경부사업(F)'!G:G, B63, '환경부사업(F)'!W:W, B69, '환경부사업(F)'!U:U, $C$1),
    SUMIFS('프로젝트(G)'!I:I, '프로젝트(G)'!C:C, $E$1, '프로젝트(G)'!G:G, B63, '프로젝트(G)'!W:W, B69, '프로젝트(G)'!U:U, $C$1),
    SUMIFS('협력사 EPC(H)'!I:I, '협력사 EPC(H)'!C:C, $E$1, '협력사 EPC(H)'!G:G, B63, '협력사 EPC(H)'!W:W, B69, '협력사 EPC(H)'!U:U, $C$1),
    SUMIFS('기타(Z)'!I:I, '기타(Z)'!C:C, $E$1, '기타(Z)'!G:G, B63, '기타(Z)'!W:W, B69, '기타(Z)'!U:U, $C$1)
  )
)</f>
        <v/>
      </c>
      <c r="F69" s="281" t="str">
        <f>IF(
  SUM(
    COUNTIFS('발전사업(A)'!C:C, $E$1, '발전사업(A)'!G:G, B63, '발전사업(A)'!W:W, B69, '발전사업(A)'!U:U, $C$1),
    COUNTIFS('자가소비(B)'!C:C, $E$1, '자가소비(B)'!G:G, B63, '자가소비(B)'!W:W, B69, '자가소비(B)'!U:U, $C$1),
    COUNTIFS('PPA 사업(C)'!C:C, $E$1, 'PPA 사업(C)'!G:G, B63, 'PPA 사업(C)'!W:W, B69, 'PPA 사업(C)'!U:U, $C$1),
    COUNTIFS('리스사업(D)'!C:C, $E$1, '리스사업(D)'!G:G, B63, '리스사업(D)'!W:W, B69, '리스사업(D)'!U:U, $C$1),
    COUNTIFS('임대사업(E)'!C:C, $E$1, '임대사업(E)'!G:G, B63, '임대사업(E)'!W:W, B69, '임대사업(E)'!U:U, $C$1),
    COUNTIFS('환경부사업(F)'!C:C, $E$1, '환경부사업(F)'!G:G, B63, '환경부사업(F)'!W:W, B69, '환경부사업(F)'!U:U, $C$1),
    COUNTIFS('프로젝트(G)'!C:C, $E$1, '프로젝트(G)'!G:G, B63, '프로젝트(G)'!W:W, B69, '프로젝트(G)'!U:U, $C$1),
    COUNTIFS('협력사 EPC(H)'!C:C, $E$1, '협력사 EPC(H)'!G:G, B63, '협력사 EPC(H)'!W:W, B69, '협력사 EPC(H)'!U:U, $C$1),
    COUNTIFS('기타(Z)'!C:C, $E$1, '기타(Z)'!G:G, B63, '기타(Z)'!W:W, B69, '기타(Z)'!U:U, $C$1)
  ) = 0,
  "",
  SUM(
    COUNTIFS('발전사업(A)'!C:C, $E$1, '발전사업(A)'!G:G, B63, '발전사업(A)'!W:W, B69, '발전사업(A)'!U:U, $C$1),
    COUNTIFS('자가소비(B)'!C:C, $E$1, '자가소비(B)'!G:G, B63, '자가소비(B)'!W:W, B69, '자가소비(B)'!U:U, $C$1),
    COUNTIFS('PPA 사업(C)'!C:C, $E$1, 'PPA 사업(C)'!G:G, B63, 'PPA 사업(C)'!W:W, B69, 'PPA 사업(C)'!U:U, $C$1),
    COUNTIFS('리스사업(D)'!C:C, $E$1, '리스사업(D)'!G:G, B63, '리스사업(D)'!W:W, B69, '리스사업(D)'!U:U, $C$1),
    COUNTIFS('임대사업(E)'!C:C, $E$1, '임대사업(E)'!G:G, B63, '임대사업(E)'!W:W, B69, '임대사업(E)'!U:U, $C$1),
    COUNTIFS('환경부사업(F)'!C:C, $E$1, '환경부사업(F)'!G:G, B63, '환경부사업(F)'!W:W, B69, '환경부사업(F)'!U:U, $C$1),
    COUNTIFS('프로젝트(G)'!C:C, $E$1, '프로젝트(G)'!G:G, B63, '프로젝트(G)'!W:W, B69, '프로젝트(G)'!U:U, $C$1),
    COUNTIFS('협력사 EPC(H)'!C:C, $E$1, '협력사 EPC(H)'!G:G, B63, '협력사 EPC(H)'!W:W, B69, '협력사 EPC(H)'!U:U, $C$1),
    COUNTIFS('기타(Z)'!C:C, $E$1, '기타(Z)'!G:G, B63, '기타(Z)'!W:W, B69, '기타(Z)'!U:U, $C$1)
  )
)</f>
        <v/>
      </c>
      <c r="G69" s="280" t="str">
        <f>IF(
  SUM(
    SUMIFS('발전사업(A)'!I:I, '발전사업(A)'!C:C, $E$1, '발전사업(A)'!G:G, B63, '발전사업(A)'!W:W, B69, '발전사업(A)'!U:U, $D$1),
    SUMIFS('자가소비(B)'!I:I, '자가소비(B)'!C:C, $E$1, '자가소비(B)'!G:G, B63, '자가소비(B)'!W:W, B69, '자가소비(B)'!U:U, $D$1),
    SUMIFS('PPA 사업(C)'!I:I, 'PPA 사업(C)'!C:C, $E$1, 'PPA 사업(C)'!G:G, B63, 'PPA 사업(C)'!W:W, B69, 'PPA 사업(C)'!U:U, $D$1),
    SUMIFS('리스사업(D)'!I:I, '리스사업(D)'!C:C, $E$1, '리스사업(D)'!G:G, B63, '리스사업(D)'!W:W, B69, '리스사업(D)'!U:U, $D$1),
    SUMIFS('임대사업(E)'!I:I, '임대사업(E)'!C:C, $E$1, '임대사업(E)'!G:G, B63, '임대사업(E)'!W:W, B69, '임대사업(E)'!U:U, $D$1),
    SUMIFS('환경부사업(F)'!I:I, '환경부사업(F)'!C:C, $E$1, '환경부사업(F)'!G:G, B63, '환경부사업(F)'!W:W, B69, '환경부사업(F)'!U:U, $D$1),
    SUMIFS('프로젝트(G)'!I:I, '프로젝트(G)'!C:C, $E$1, '프로젝트(G)'!G:G, B63, '프로젝트(G)'!W:W, B69, '프로젝트(G)'!U:U, $D$1),
    SUMIFS('협력사 EPC(H)'!I:I, '협력사 EPC(H)'!C:C, $E$1, '협력사 EPC(H)'!G:G, B63, '협력사 EPC(H)'!W:W, B69, '협력사 EPC(H)'!U:U, $D$1),
    SUMIFS('기타(Z)'!I:I, '기타(Z)'!C:C, $E$1, '기타(Z)'!G:G, B63, '기타(Z)'!W:W, B69, '기타(Z)'!U:U, $D$1)
  ) = 0,
  "",
  SUM(
    SUMIFS('발전사업(A)'!I:I, '발전사업(A)'!C:C, $E$1, '발전사업(A)'!G:G, B63, '발전사업(A)'!W:W, B69, '발전사업(A)'!U:U, $D$1),
    SUMIFS('자가소비(B)'!I:I, '자가소비(B)'!C:C, $E$1, '자가소비(B)'!G:G, B63, '자가소비(B)'!W:W, B69, '자가소비(B)'!U:U, $D$1),
    SUMIFS('PPA 사업(C)'!I:I, 'PPA 사업(C)'!C:C, $E$1, 'PPA 사업(C)'!G:G, B63, 'PPA 사업(C)'!W:W, B69, 'PPA 사업(C)'!U:U, $D$1),
    SUMIFS('리스사업(D)'!I:I, '리스사업(D)'!C:C, $E$1, '리스사업(D)'!G:G, B63, '리스사업(D)'!W:W, B69, '리스사업(D)'!U:U, $D$1),
    SUMIFS('임대사업(E)'!I:I, '임대사업(E)'!C:C, $E$1, '임대사업(E)'!G:G, B63, '임대사업(E)'!W:W, B69, '임대사업(E)'!U:U, $D$1),
    SUMIFS('환경부사업(F)'!I:I, '환경부사업(F)'!C:C, $E$1, '환경부사업(F)'!G:G, B63, '환경부사업(F)'!W:W, B69, '환경부사업(F)'!U:U, $D$1),
    SUMIFS('프로젝트(G)'!I:I, '프로젝트(G)'!C:C, $E$1, '프로젝트(G)'!G:G, B63, '프로젝트(G)'!W:W, B69, '프로젝트(G)'!U:U, $D$1),
    SUMIFS('협력사 EPC(H)'!I:I, '협력사 EPC(H)'!C:C, $E$1, '협력사 EPC(H)'!G:G, B63, '협력사 EPC(H)'!W:W, B69, '협력사 EPC(H)'!U:U, $D$1),
    SUMIFS('기타(Z)'!I:I, '기타(Z)'!C:C, $E$1, '기타(Z)'!G:G, B63, '기타(Z)'!W:W, B69, '기타(Z)'!U:U, $D$1)
  )
)</f>
        <v/>
      </c>
      <c r="H69" s="281" t="str">
        <f>IF(
  (
    COUNTIFS('발전사업(A)'!C:C, $E$1, '발전사업(A)'!G:G, B63, '발전사업(A)'!W:W, B69, '발전사업(A)'!U:U, $D$1)
    + COUNTIFS('자가소비(B)'!C:C, $E$1, '자가소비(B)'!G:G, B63, '자가소비(B)'!W:W, B69, '자가소비(B)'!U:U, $D$1)
    + COUNTIFS('PPA 사업(C)'!C:C, $E$1, 'PPA 사업(C)'!G:G, B63, 'PPA 사업(C)'!W:W, B69, 'PPA 사업(C)'!U:U, $D$1)
    + COUNTIFS('리스사업(D)'!C:C, $E$1, '리스사업(D)'!G:G, B63, '리스사업(D)'!W:W, B69, '리스사업(D)'!U:U, $D$1)
    + COUNTIFS('임대사업(E)'!C:C, $E$1, '임대사업(E)'!G:G, B63, '임대사업(E)'!W:W, B69, '임대사업(E)'!U:U, $D$1)
    + COUNTIFS('환경부사업(F)'!C:C, $E$1, '환경부사업(F)'!G:G, B63, '환경부사업(F)'!W:W, B69, '환경부사업(F)'!U:U, $D$1)
    + COUNTIFS('프로젝트(G)'!C:C, $E$1, '프로젝트(G)'!G:G, B63, '프로젝트(G)'!W:W, B69, '프로젝트(G)'!U:U, $D$1)
    + COUNTIFS('협력사 EPC(H)'!C:C, $E$1, '협력사 EPC(H)'!G:G, B63, '협력사 EPC(H)'!W:W, B69, '협력사 EPC(H)'!U:U, $D$1)
    + COUNTIFS('기타(Z)'!C:C, $E$1, '기타(Z)'!G:G, B63, '기타(Z)'!W:W, B69, '기타(Z)'!U:U, $D$1)
  ) = 0,
  "",
  COUNTIFS('발전사업(A)'!C:C, $E$1, '발전사업(A)'!G:G, B63, '발전사업(A)'!W:W, B69, '발전사업(A)'!U:U, $D$1)
  + COUNTIFS('자가소비(B)'!C:C, $E$1, '자가소비(B)'!G:G, B63, '자가소비(B)'!W:W, B69, '자가소비(B)'!U:U, $D$1)
  + COUNTIFS('PPA 사업(C)'!C:C, $E$1, 'PPA 사업(C)'!G:G, B63, 'PPA 사업(C)'!W:W, B69, 'PPA 사업(C)'!U:U, $D$1)
  + COUNTIFS('리스사업(D)'!C:C, $E$1, '리스사업(D)'!G:G, B63, '리스사업(D)'!W:W, B69, '리스사업(D)'!U:U, $D$1)
  + COUNTIFS('임대사업(E)'!C:C, $E$1, '임대사업(E)'!G:G, B63, '임대사업(E)'!W:W, B69, '임대사업(E)'!U:U, $D$1)
  + COUNTIFS('환경부사업(F)'!C:C, $E$1, '환경부사업(F)'!G:G, B63, '환경부사업(F)'!W:W, B69, '환경부사업(F)'!U:U, $D$1)
  + COUNTIFS('프로젝트(G)'!C:C, $E$1, '프로젝트(G)'!G:G, B63, '프로젝트(G)'!W:W, B69, '프로젝트(G)'!U:U, $D$1)
  + COUNTIFS('협력사 EPC(H)'!C:C, $E$1, '협력사 EPC(H)'!G:G, B63, '협력사 EPC(H)'!W:W, B69, '협력사 EPC(H)'!U:U, $D$1)
  + COUNTIFS('기타(Z)'!C:C, $E$1, '기타(Z)'!G:G, B63, '기타(Z)'!W:W, B69, '기타(Z)'!U:U, $D$1)
)</f>
        <v/>
      </c>
    </row>
    <row r="70" spans="2:8" x14ac:dyDescent="0.25">
      <c r="B70" s="202" t="s">
        <v>264</v>
      </c>
      <c r="C70" s="280" t="str">
        <f>IF(
  SUM(
    SUMIFS('발전사업(A)'!I:I, '발전사업(A)'!C:C, $E$1, '발전사업(A)'!G:G, B63, '발전사업(A)'!W:W, B70),
    SUMIFS('자가소비(B)'!I:I, '자가소비(B)'!C:C, $E$1, '자가소비(B)'!G:G, B63, '자가소비(B)'!W:W, B70),
    SUMIFS('PPA 사업(C)'!I:I, 'PPA 사업(C)'!C:C, $E$1, 'PPA 사업(C)'!G:G, B63, 'PPA 사업(C)'!W:W, B70),
    SUMIFS('리스사업(D)'!I:I, '리스사업(D)'!C:C, $E$1, '리스사업(D)'!G:G, B63, '리스사업(D)'!W:W, B70),
    SUMIFS('임대사업(E)'!I:I, '임대사업(E)'!C:C, $E$1, '임대사업(E)'!G:G, B63, '임대사업(E)'!W:W, B70),
    SUMIFS('환경부사업(F)'!I:I, '환경부사업(F)'!C:C, $E$1, '환경부사업(F)'!G:G, B63, '환경부사업(F)'!W:W, B70),
    SUMIFS('프로젝트(G)'!I:I, '프로젝트(G)'!C:C, $E$1, '프로젝트(G)'!G:G, B63, '프로젝트(G)'!W:W, B70),
    SUMIFS('협력사 EPC(H)'!I:I, '협력사 EPC(H)'!C:C, $E$1, '협력사 EPC(H)'!G:G, B63, '협력사 EPC(H)'!W:W, B70),
    SUMIFS('기타(Z)'!I:I, '기타(Z)'!C:C, $E$1, '기타(Z)'!G:G, B63, '기타(Z)'!W:W, B70)
  ) = 0,
  "",
  SUMIFS('발전사업(A)'!I:I, '발전사업(A)'!C:C, $E$1, '발전사업(A)'!G:G, B63, '발전사업(A)'!W:W, B70)
  + SUMIFS('자가소비(B)'!I:I, '자가소비(B)'!C:C, $E$1, '자가소비(B)'!G:G, B63, '자가소비(B)'!W:W, B70)
  + SUMIFS('PPA 사업(C)'!I:I, 'PPA 사업(C)'!C:C, $E$1, 'PPA 사업(C)'!G:G, B63, 'PPA 사업(C)'!W:W, B70)
  + SUMIFS('리스사업(D)'!I:I, '리스사업(D)'!C:C, $E$1, '리스사업(D)'!G:G, B63, '리스사업(D)'!W:W, B70)
  + SUMIFS('임대사업(E)'!I:I, '임대사업(E)'!C:C, $E$1, '임대사업(E)'!G:G, B63, '임대사업(E)'!W:W, B70)
  + SUMIFS('환경부사업(F)'!I:I, '환경부사업(F)'!C:C, $E$1, '환경부사업(F)'!G:G, B63, '환경부사업(F)'!W:W, B70)
  + SUMIFS('프로젝트(G)'!I:I, '프로젝트(G)'!C:C, $E$1, '프로젝트(G)'!G:G, B63, '프로젝트(G)'!W:W, B70)
  + SUMIFS('협력사 EPC(H)'!I:I, '협력사 EPC(H)'!C:C, $E$1, '협력사 EPC(H)'!G:G, B63, '협력사 EPC(H)'!W:W, B70)
  + SUMIFS('기타(Z)'!I:I, '기타(Z)'!C:C, $E$1, '기타(Z)'!G:G, B63, '기타(Z)'!W:W, B70)
)</f>
        <v/>
      </c>
      <c r="D70" s="281" t="str">
        <f>IF(
  COUNTIFS('발전사업(A)'!C:C, $E$1, '발전사업(A)'!G:G, B63, '발전사업(A)'!W:W, B70)
  + COUNTIFS('자가소비(B)'!C:C, $E$1, '자가소비(B)'!G:G, B63, '자가소비(B)'!W:W, B70)
  + COUNTIFS('PPA 사업(C)'!C:C, $E$1, 'PPA 사업(C)'!G:G, B63, 'PPA 사업(C)'!W:W, B70)
  + COUNTIFS('리스사업(D)'!C:C, $E$1, '리스사업(D)'!G:G, B63, '리스사업(D)'!W:W, B70)
  + COUNTIFS('임대사업(E)'!C:C, $E$1, '임대사업(E)'!G:G, B63, '임대사업(E)'!W:W, B70)
  + COUNTIFS('환경부사업(F)'!C:C, $E$1, '환경부사업(F)'!G:G, B63, '환경부사업(F)'!W:W, B70)
  + COUNTIFS('프로젝트(G)'!C:C, $E$1, '프로젝트(G)'!G:G, B63, '프로젝트(G)'!W:W, B70)
  + COUNTIFS('협력사 EPC(H)'!C:C, $E$1, '협력사 EPC(H)'!G:G, B63, '협력사 EPC(H)'!W:W, B70)
  + COUNTIFS('기타(Z)'!C:C, $E$1, '기타(Z)'!G:G, B63, '기타(Z)'!W:W, B70)
  = 0,
  "",
  COUNTIFS('발전사업(A)'!C:C, $E$1, '발전사업(A)'!G:G, B63, '발전사업(A)'!W:W, B70)
  + COUNTIFS('자가소비(B)'!C:C, $E$1, '자가소비(B)'!G:G, B63, '자가소비(B)'!W:W, B70)
  + COUNTIFS('PPA 사업(C)'!C:C, $E$1, 'PPA 사업(C)'!G:G, B63, 'PPA 사업(C)'!W:W, B70)
  + COUNTIFS('리스사업(D)'!C:C, $E$1, '리스사업(D)'!G:G, B63, '리스사업(D)'!W:W, B70)
  + COUNTIFS('임대사업(E)'!C:C, $E$1, '임대사업(E)'!G:G, B63, '임대사업(E)'!W:W, B70)
  + COUNTIFS('환경부사업(F)'!C:C, $E$1, '환경부사업(F)'!G:G, B63, '환경부사업(F)'!W:W, B70)
  + COUNTIFS('프로젝트(G)'!C:C, $E$1, '프로젝트(G)'!G:G, B63, '프로젝트(G)'!W:W, B70)
  + COUNTIFS('협력사 EPC(H)'!C:C, $E$1, '협력사 EPC(H)'!G:G, B63, '협력사 EPC(H)'!W:W, B70)
  + COUNTIFS('기타(Z)'!C:C, $E$1, '기타(Z)'!G:G, B63, '기타(Z)'!W:W, B70)
)</f>
        <v/>
      </c>
      <c r="E70" s="280" t="str">
        <f>IF(
  SUM(
    SUMIFS('발전사업(A)'!I:I, '발전사업(A)'!C:C, $E$1, '발전사업(A)'!G:G, B63, '발전사업(A)'!W:W, B70, '발전사업(A)'!U:U, $C$1),
    SUMIFS('자가소비(B)'!I:I, '자가소비(B)'!C:C, $E$1, '자가소비(B)'!G:G, B63, '자가소비(B)'!W:W, B70, '자가소비(B)'!U:U, $C$1),
    SUMIFS('PPA 사업(C)'!I:I, 'PPA 사업(C)'!C:C, $E$1, 'PPA 사업(C)'!G:G, B63, 'PPA 사업(C)'!W:W, B70, 'PPA 사업(C)'!U:U, $C$1),
    SUMIFS('리스사업(D)'!I:I, '리스사업(D)'!C:C, $E$1, '리스사업(D)'!G:G, B63, '리스사업(D)'!W:W, B70, '리스사업(D)'!U:U, $C$1),
    SUMIFS('임대사업(E)'!I:I, '임대사업(E)'!C:C, $E$1, '임대사업(E)'!G:G, B63, '임대사업(E)'!W:W, B70, '임대사업(E)'!U:U, $C$1),
    SUMIFS('환경부사업(F)'!I:I, '환경부사업(F)'!C:C, $E$1, '환경부사업(F)'!G:G, B63, '환경부사업(F)'!W:W, B70, '환경부사업(F)'!U:U, $C$1),
    SUMIFS('프로젝트(G)'!I:I, '프로젝트(G)'!C:C, $E$1, '프로젝트(G)'!G:G, B63, '프로젝트(G)'!W:W, B70, '프로젝트(G)'!U:U, $C$1),
    SUMIFS('협력사 EPC(H)'!I:I, '협력사 EPC(H)'!C:C, $E$1, '협력사 EPC(H)'!G:G, B63, '협력사 EPC(H)'!W:W, B70, '협력사 EPC(H)'!U:U, $C$1),
    SUMIFS('기타(Z)'!I:I, '기타(Z)'!C:C, $E$1, '기타(Z)'!G:G, B63, '기타(Z)'!W:W, B70, '기타(Z)'!U:U, $C$1)
  ) = 0,
  "",
  SUM(
    SUMIFS('발전사업(A)'!I:I, '발전사업(A)'!C:C, $E$1, '발전사업(A)'!G:G, B63, '발전사업(A)'!W:W, B70, '발전사업(A)'!U:U, $C$1),
    SUMIFS('자가소비(B)'!I:I, '자가소비(B)'!C:C, $E$1, '자가소비(B)'!G:G, B63, '자가소비(B)'!W:W, B70, '자가소비(B)'!U:U, $C$1),
    SUMIFS('PPA 사업(C)'!I:I, 'PPA 사업(C)'!C:C, $E$1, 'PPA 사업(C)'!G:G, B63, 'PPA 사업(C)'!W:W, B70, 'PPA 사업(C)'!U:U, $C$1),
    SUMIFS('리스사업(D)'!I:I, '리스사업(D)'!C:C, $E$1, '리스사업(D)'!G:G, B63, '리스사업(D)'!W:W, B70, '리스사업(D)'!U:U, $C$1),
    SUMIFS('임대사업(E)'!I:I, '임대사업(E)'!C:C, $E$1, '임대사업(E)'!G:G, B63, '임대사업(E)'!W:W, B70, '임대사업(E)'!U:U, $C$1),
    SUMIFS('환경부사업(F)'!I:I, '환경부사업(F)'!C:C, $E$1, '환경부사업(F)'!G:G, B63, '환경부사업(F)'!W:W, B70, '환경부사업(F)'!U:U, $C$1),
    SUMIFS('프로젝트(G)'!I:I, '프로젝트(G)'!C:C, $E$1, '프로젝트(G)'!G:G, B63, '프로젝트(G)'!W:W, B70, '프로젝트(G)'!U:U, $C$1),
    SUMIFS('협력사 EPC(H)'!I:I, '협력사 EPC(H)'!C:C, $E$1, '협력사 EPC(H)'!G:G, B63, '협력사 EPC(H)'!W:W, B70, '협력사 EPC(H)'!U:U, $C$1),
    SUMIFS('기타(Z)'!I:I, '기타(Z)'!C:C, $E$1, '기타(Z)'!G:G, B63, '기타(Z)'!W:W, B70, '기타(Z)'!U:U, $C$1)
  )
)</f>
        <v/>
      </c>
      <c r="F70" s="281" t="str">
        <f>IF(
  SUM(
    COUNTIFS('발전사업(A)'!C:C, $E$1, '발전사업(A)'!G:G, B63, '발전사업(A)'!W:W, B70, '발전사업(A)'!U:U, $C$1),
    COUNTIFS('자가소비(B)'!C:C, $E$1, '자가소비(B)'!G:G, B63, '자가소비(B)'!W:W, B70, '자가소비(B)'!U:U, $C$1),
    COUNTIFS('PPA 사업(C)'!C:C, $E$1, 'PPA 사업(C)'!G:G, B63, 'PPA 사업(C)'!W:W, B70, 'PPA 사업(C)'!U:U, $C$1),
    COUNTIFS('리스사업(D)'!C:C, $E$1, '리스사업(D)'!G:G, B63, '리스사업(D)'!W:W, B70, '리스사업(D)'!U:U, $C$1),
    COUNTIFS('임대사업(E)'!C:C, $E$1, '임대사업(E)'!G:G, B63, '임대사업(E)'!W:W, B70, '임대사업(E)'!U:U, $C$1),
    COUNTIFS('환경부사업(F)'!C:C, $E$1, '환경부사업(F)'!G:G, B63, '환경부사업(F)'!W:W, B70, '환경부사업(F)'!U:U, $C$1),
    COUNTIFS('프로젝트(G)'!C:C, $E$1, '프로젝트(G)'!G:G, B63, '프로젝트(G)'!W:W, B70, '프로젝트(G)'!U:U, $C$1),
    COUNTIFS('협력사 EPC(H)'!C:C, $E$1, '협력사 EPC(H)'!G:G, B63, '협력사 EPC(H)'!W:W, B70, '협력사 EPC(H)'!U:U, $C$1),
    COUNTIFS('기타(Z)'!C:C, $E$1, '기타(Z)'!G:G, B63, '기타(Z)'!W:W, B70, '기타(Z)'!U:U, $C$1)
  ) = 0,
  "",
  SUM(
    COUNTIFS('발전사업(A)'!C:C, $E$1, '발전사업(A)'!G:G, B63, '발전사업(A)'!W:W, B70, '발전사업(A)'!U:U, $C$1),
    COUNTIFS('자가소비(B)'!C:C, $E$1, '자가소비(B)'!G:G, B63, '자가소비(B)'!W:W, B70, '자가소비(B)'!U:U, $C$1),
    COUNTIFS('PPA 사업(C)'!C:C, $E$1, 'PPA 사업(C)'!G:G, B63, 'PPA 사업(C)'!W:W, B70, 'PPA 사업(C)'!U:U, $C$1),
    COUNTIFS('리스사업(D)'!C:C, $E$1, '리스사업(D)'!G:G, B63, '리스사업(D)'!W:W, B70, '리스사업(D)'!U:U, $C$1),
    COUNTIFS('임대사업(E)'!C:C, $E$1, '임대사업(E)'!G:G, B63, '임대사업(E)'!W:W, B70, '임대사업(E)'!U:U, $C$1),
    COUNTIFS('환경부사업(F)'!C:C, $E$1, '환경부사업(F)'!G:G, B63, '환경부사업(F)'!W:W, B70, '환경부사업(F)'!U:U, $C$1),
    COUNTIFS('프로젝트(G)'!C:C, $E$1, '프로젝트(G)'!G:G, B63, '프로젝트(G)'!W:W, B70, '프로젝트(G)'!U:U, $C$1),
    COUNTIFS('협력사 EPC(H)'!C:C, $E$1, '협력사 EPC(H)'!G:G, B63, '협력사 EPC(H)'!W:W, B70, '협력사 EPC(H)'!U:U, $C$1),
    COUNTIFS('기타(Z)'!C:C, $E$1, '기타(Z)'!G:G, B63, '기타(Z)'!W:W, B70, '기타(Z)'!U:U, $C$1)
  )
)</f>
        <v/>
      </c>
      <c r="G70" s="280" t="str">
        <f>IF(
  SUM(
    SUMIFS('발전사업(A)'!I:I, '발전사업(A)'!C:C, $E$1, '발전사업(A)'!G:G, B63, '발전사업(A)'!W:W, B70, '발전사업(A)'!U:U, $D$1),
    SUMIFS('자가소비(B)'!I:I, '자가소비(B)'!C:C, $E$1, '자가소비(B)'!G:G, B63, '자가소비(B)'!W:W, B70, '자가소비(B)'!U:U, $D$1),
    SUMIFS('PPA 사업(C)'!I:I, 'PPA 사업(C)'!C:C, $E$1, 'PPA 사업(C)'!G:G, B63, 'PPA 사업(C)'!W:W, B70, 'PPA 사업(C)'!U:U, $D$1),
    SUMIFS('리스사업(D)'!I:I, '리스사업(D)'!C:C, $E$1, '리스사업(D)'!G:G, B63, '리스사업(D)'!W:W, B70, '리스사업(D)'!U:U, $D$1),
    SUMIFS('임대사업(E)'!I:I, '임대사업(E)'!C:C, $E$1, '임대사업(E)'!G:G, B63, '임대사업(E)'!W:W, B70, '임대사업(E)'!U:U, $D$1),
    SUMIFS('환경부사업(F)'!I:I, '환경부사업(F)'!C:C, $E$1, '환경부사업(F)'!G:G, B63, '환경부사업(F)'!W:W, B70, '환경부사업(F)'!U:U, $D$1),
    SUMIFS('프로젝트(G)'!I:I, '프로젝트(G)'!C:C, $E$1, '프로젝트(G)'!G:G, B63, '프로젝트(G)'!W:W, B70, '프로젝트(G)'!U:U, $D$1),
    SUMIFS('협력사 EPC(H)'!I:I, '협력사 EPC(H)'!C:C, $E$1, '협력사 EPC(H)'!G:G, B63, '협력사 EPC(H)'!W:W, B70, '협력사 EPC(H)'!U:U, $D$1),
    SUMIFS('기타(Z)'!I:I, '기타(Z)'!C:C, $E$1, '기타(Z)'!G:G, B63, '기타(Z)'!W:W, B70, '기타(Z)'!U:U, $D$1)
  ) = 0,
  "",
  SUM(
    SUMIFS('발전사업(A)'!I:I, '발전사업(A)'!C:C, $E$1, '발전사업(A)'!G:G, B63, '발전사업(A)'!W:W, B70, '발전사업(A)'!U:U, $D$1),
    SUMIFS('자가소비(B)'!I:I, '자가소비(B)'!C:C, $E$1, '자가소비(B)'!G:G, B63, '자가소비(B)'!W:W, B70, '자가소비(B)'!U:U, $D$1),
    SUMIFS('PPA 사업(C)'!I:I, 'PPA 사업(C)'!C:C, $E$1, 'PPA 사업(C)'!G:G, B63, 'PPA 사업(C)'!W:W, B70, 'PPA 사업(C)'!U:U, $D$1),
    SUMIFS('리스사업(D)'!I:I, '리스사업(D)'!C:C, $E$1, '리스사업(D)'!G:G, B63, '리스사업(D)'!W:W, B70, '리스사업(D)'!U:U, $D$1),
    SUMIFS('임대사업(E)'!I:I, '임대사업(E)'!C:C, $E$1, '임대사업(E)'!G:G, B63, '임대사업(E)'!W:W, B70, '임대사업(E)'!U:U, $D$1),
    SUMIFS('환경부사업(F)'!I:I, '환경부사업(F)'!C:C, $E$1, '환경부사업(F)'!G:G, B63, '환경부사업(F)'!W:W, B70, '환경부사업(F)'!U:U, $D$1),
    SUMIFS('프로젝트(G)'!I:I, '프로젝트(G)'!C:C, $E$1, '프로젝트(G)'!G:G, B63, '프로젝트(G)'!W:W, B70, '프로젝트(G)'!U:U, $D$1),
    SUMIFS('협력사 EPC(H)'!I:I, '협력사 EPC(H)'!C:C, $E$1, '협력사 EPC(H)'!G:G, B63, '협력사 EPC(H)'!W:W, B70, '협력사 EPC(H)'!U:U, $D$1),
    SUMIFS('기타(Z)'!I:I, '기타(Z)'!C:C, $E$1, '기타(Z)'!G:G, B63, '기타(Z)'!W:W, B70, '기타(Z)'!U:U, $D$1)
  )
)</f>
        <v/>
      </c>
      <c r="H70" s="281" t="str">
        <f>IF(
  (
    COUNTIFS('발전사업(A)'!C:C, $E$1, '발전사업(A)'!G:G, B63, '발전사업(A)'!W:W, B70, '발전사업(A)'!U:U, $D$1)
    + COUNTIFS('자가소비(B)'!C:C, $E$1, '자가소비(B)'!G:G, B63, '자가소비(B)'!W:W, B70, '자가소비(B)'!U:U, $D$1)
    + COUNTIFS('PPA 사업(C)'!C:C, $E$1, 'PPA 사업(C)'!G:G, B63, 'PPA 사업(C)'!W:W, B70, 'PPA 사업(C)'!U:U, $D$1)
    + COUNTIFS('리스사업(D)'!C:C, $E$1, '리스사업(D)'!G:G, B63, '리스사업(D)'!W:W, B70, '리스사업(D)'!U:U, $D$1)
    + COUNTIFS('임대사업(E)'!C:C, $E$1, '임대사업(E)'!G:G, B63, '임대사업(E)'!W:W, B70, '임대사업(E)'!U:U, $D$1)
    + COUNTIFS('환경부사업(F)'!C:C, $E$1, '환경부사업(F)'!G:G, B63, '환경부사업(F)'!W:W, B70, '환경부사업(F)'!U:U, $D$1)
    + COUNTIFS('프로젝트(G)'!C:C, $E$1, '프로젝트(G)'!G:G, B63, '프로젝트(G)'!W:W, B70, '프로젝트(G)'!U:U, $D$1)
    + COUNTIFS('협력사 EPC(H)'!C:C, $E$1, '협력사 EPC(H)'!G:G, B63, '협력사 EPC(H)'!W:W, B70, '협력사 EPC(H)'!U:U, $D$1)
    + COUNTIFS('기타(Z)'!C:C, $E$1, '기타(Z)'!G:G, $B63, '기타(Z)'!W:W, B70, '기타(Z)'!U:U, $D$1)
  ) = 0,
  "",
  COUNTIFS('발전사업(A)'!C:C, $E$1, '발전사업(A)'!G:G, B63, '발전사업(A)'!W:W, B70, '발전사업(A)'!U:U, $D$1)
  + COUNTIFS('자가소비(B)'!C:C, $E$1, '자가소비(B)'!G:G, B63, '자가소비(B)'!W:W, B70, '자가소비(B)'!U:U, $D$1)
  + COUNTIFS('PPA 사업(C)'!C:C, $E$1, 'PPA 사업(C)'!G:G, B63, 'PPA 사업(C)'!W:W, B70, 'PPA 사업(C)'!U:U, $D$1)
  + COUNTIFS('리스사업(D)'!C:C, $E$1, '리스사업(D)'!G:G, B63, '리스사업(D)'!W:W, B70, '리스사업(D)'!U:U, $D$1)
  + COUNTIFS('임대사업(E)'!C:C, $E$1, '임대사업(E)'!G:G, B63, '임대사업(E)'!W:W, B70, '임대사업(E)'!U:U, $D$1)
  + COUNTIFS('환경부사업(F)'!C:C, $E$1, '환경부사업(F)'!G:G, B63, '환경부사업(F)'!W:W, B70, '환경부사업(F)'!U:U, $D$1)
  + COUNTIFS('프로젝트(G)'!C:C, $E$1, '프로젝트(G)'!G:G, B63, '프로젝트(G)'!W:W, B70, '프로젝트(G)'!U:U, $D$1)
  + COUNTIFS('협력사 EPC(H)'!C:C, $E$1, '협력사 EPC(H)'!G:G, B63, '협력사 EPC(H)'!W:W, B70, '협력사 EPC(H)'!U:U, $D$1)
  + COUNTIFS('기타(Z)'!C:C, $E$1, '기타(Z)'!G:G, B63, '기타(Z)'!W:W, B70, '기타(Z)'!U:U, $D$1)
)</f>
        <v/>
      </c>
    </row>
    <row r="71" spans="2:8" x14ac:dyDescent="0.25">
      <c r="B71" s="202" t="s">
        <v>265</v>
      </c>
      <c r="C71" s="280">
        <f>IF(
  SUM(
    SUMIFS('발전사업(A)'!I:I, '발전사업(A)'!C:C, $E$1, '발전사업(A)'!G:G, B63, '발전사업(A)'!W:W, B71),
    SUMIFS('자가소비(B)'!I:I, '자가소비(B)'!C:C, $E$1, '자가소비(B)'!G:G, B63, '자가소비(B)'!W:W, B71),
    SUMIFS('PPA 사업(C)'!I:I, 'PPA 사업(C)'!C:C, $E$1, 'PPA 사업(C)'!G:G, B63, 'PPA 사업(C)'!W:W, B71),
    SUMIFS('리스사업(D)'!I:I, '리스사업(D)'!C:C, $E$1, '리스사업(D)'!G:G, B63, '리스사업(D)'!W:W, B71),
    SUMIFS('임대사업(E)'!I:I, '임대사업(E)'!C:C, $E$1, '임대사업(E)'!G:G, B63, '임대사업(E)'!W:W, B71),
    SUMIFS('환경부사업(F)'!I:I, '환경부사업(F)'!C:C, $E$1, '환경부사업(F)'!G:G, B63, '환경부사업(F)'!W:W, B71),
    SUMIFS('프로젝트(G)'!I:I, '프로젝트(G)'!C:C, $E$1, '프로젝트(G)'!G:G, B63, '프로젝트(G)'!W:W, B71),
    SUMIFS('협력사 EPC(H)'!I:I, '협력사 EPC(H)'!C:C, $E$1, '협력사 EPC(H)'!G:G, B63, '협력사 EPC(H)'!W:W, B71),
    SUMIFS('기타(Z)'!I:I, '기타(Z)'!C:C, $E$1, '기타(Z)'!G:G, B63, '기타(Z)'!W:W, B71)
  ) = 0,
  "",
  SUMIFS('발전사업(A)'!I:I, '발전사업(A)'!C:C, $E$1, '발전사업(A)'!G:G, B63, '발전사업(A)'!W:W, B71)
  + SUMIFS('자가소비(B)'!I:I, '자가소비(B)'!C:C, $E$1, '자가소비(B)'!G:G, B63, '자가소비(B)'!W:W, B71)
  + SUMIFS('PPA 사업(C)'!I:I, 'PPA 사업(C)'!C:C, $E$1, 'PPA 사업(C)'!G:G, B63, 'PPA 사업(C)'!W:W, B71)
  + SUMIFS('리스사업(D)'!I:I, '리스사업(D)'!C:C, $E$1, '리스사업(D)'!G:G, B63, '리스사업(D)'!W:W, B71)
  + SUMIFS('임대사업(E)'!I:I, '임대사업(E)'!C:C, $E$1, '임대사업(E)'!G:G, B63, '임대사업(E)'!W:W, B71)
  + SUMIFS('환경부사업(F)'!I:I, '환경부사업(F)'!C:C, $E$1, '환경부사업(F)'!G:G, B63, '환경부사업(F)'!W:W, B71)
  + SUMIFS('프로젝트(G)'!I:I, '프로젝트(G)'!C:C, $E$1, '프로젝트(G)'!G:G, B63, '프로젝트(G)'!W:W, B71)
  + SUMIFS('협력사 EPC(H)'!I:I, '협력사 EPC(H)'!C:C, $E$1, '협력사 EPC(H)'!G:G, B63, '협력사 EPC(H)'!W:W, B71)
  + SUMIFS('기타(Z)'!I:I, '기타(Z)'!C:C, $E$1, '기타(Z)'!G:G, B63, '기타(Z)'!W:W, B71)
)</f>
        <v>149.12</v>
      </c>
      <c r="D71" s="281">
        <f>IF(
  COUNTIFS('발전사업(A)'!C:C, $E$1, '발전사업(A)'!G:G, B63, '발전사업(A)'!W:W, B71)
  + COUNTIFS('자가소비(B)'!C:C, $E$1, '자가소비(B)'!G:G, B63, '자가소비(B)'!W:W, B71)
  + COUNTIFS('PPA 사업(C)'!C:C, $E$1, 'PPA 사업(C)'!G:G, B63, 'PPA 사업(C)'!W:W, B71)
  + COUNTIFS('리스사업(D)'!C:C, $E$1, '리스사업(D)'!G:G, B63, '리스사업(D)'!W:W, B71)
  + COUNTIFS('임대사업(E)'!C:C, $E$1, '임대사업(E)'!G:G, B63, '임대사업(E)'!W:W, B71)
  + COUNTIFS('환경부사업(F)'!C:C, $E$1, '환경부사업(F)'!G:G, B63, '환경부사업(F)'!W:W, B71)
  + COUNTIFS('프로젝트(G)'!C:C, $E$1, '프로젝트(G)'!G:G, B63, '프로젝트(G)'!W:W, B71)
  + COUNTIFS('협력사 EPC(H)'!C:C, $E$1, '협력사 EPC(H)'!G:G, B63, '협력사 EPC(H)'!W:W, B71)
  + COUNTIFS('기타(Z)'!C:C, $E$1, '기타(Z)'!G:G, B63, '기타(Z)'!W:W, B71)
  = 0,
  "",
  COUNTIFS('발전사업(A)'!C:C, $E$1, '발전사업(A)'!G:G, B63, '발전사업(A)'!W:W, B71)
  + COUNTIFS('자가소비(B)'!C:C, $E$1, '자가소비(B)'!G:G, B63, '자가소비(B)'!W:W, B71)
  + COUNTIFS('PPA 사업(C)'!C:C, $E$1, 'PPA 사업(C)'!G:G, B63, 'PPA 사업(C)'!W:W, B71)
  + COUNTIFS('리스사업(D)'!C:C, $E$1, '리스사업(D)'!G:G, B63, '리스사업(D)'!W:W, B71)
  + COUNTIFS('임대사업(E)'!C:C, $E$1, '임대사업(E)'!G:G, B63, '임대사업(E)'!W:W, B71)
  + COUNTIFS('환경부사업(F)'!C:C, $E$1, '환경부사업(F)'!G:G, B63, '환경부사업(F)'!W:W, B71)
  + COUNTIFS('프로젝트(G)'!C:C, $E$1, '프로젝트(G)'!G:G, B63, '프로젝트(G)'!W:W, B71)
  + COUNTIFS('협력사 EPC(H)'!C:C, $E$1, '협력사 EPC(H)'!G:G, B63, '협력사 EPC(H)'!W:W, B71)
  + COUNTIFS('기타(Z)'!C:C, $E$1, '기타(Z)'!G:G, B63, '기타(Z)'!W:W, B71)
)</f>
        <v>2</v>
      </c>
      <c r="E71" s="280">
        <f>IF(
  SUM(
    SUMIFS('발전사업(A)'!I:I, '발전사업(A)'!C:C, $E$1, '발전사업(A)'!G:G, B63, '발전사업(A)'!W:W, B71, '발전사업(A)'!U:U, $C$1),
    SUMIFS('자가소비(B)'!I:I, '자가소비(B)'!C:C, $E$1, '자가소비(B)'!G:G, B63, '자가소비(B)'!W:W, B71, '자가소비(B)'!U:U, $C$1),
    SUMIFS('PPA 사업(C)'!I:I, 'PPA 사업(C)'!C:C, $E$1, 'PPA 사업(C)'!G:G, B63, 'PPA 사업(C)'!W:W, B71, 'PPA 사업(C)'!U:U, $C$1),
    SUMIFS('리스사업(D)'!I:I, '리스사업(D)'!C:C, $E$1, '리스사업(D)'!G:G, B63, '리스사업(D)'!W:W, B71, '리스사업(D)'!U:U, $C$1),
    SUMIFS('임대사업(E)'!I:I, '임대사업(E)'!C:C, $E$1, '임대사업(E)'!G:G, B63, '임대사업(E)'!W:W, B71, '임대사업(E)'!U:U, $C$1),
    SUMIFS('환경부사업(F)'!I:I, '환경부사업(F)'!C:C, $E$1, '환경부사업(F)'!G:G, B63, '환경부사업(F)'!W:W, B71, '환경부사업(F)'!U:U, $C$1),
    SUMIFS('프로젝트(G)'!I:I, '프로젝트(G)'!C:C, $E$1, '프로젝트(G)'!G:G, B63, '프로젝트(G)'!W:W, B71, '프로젝트(G)'!U:U, $C$1),
    SUMIFS('협력사 EPC(H)'!I:I, '협력사 EPC(H)'!C:C, $E$1, '협력사 EPC(H)'!G:G, B63, '협력사 EPC(H)'!W:W, B71, '협력사 EPC(H)'!U:U, $C$1),
    SUMIFS('기타(Z)'!I:I, '기타(Z)'!C:C, $E$1, '기타(Z)'!G:G, B63, '기타(Z)'!W:W, B71, '기타(Z)'!U:U, $C$1)
  ) = 0,
  "",
  SUM(
    SUMIFS('발전사업(A)'!I:I, '발전사업(A)'!C:C, $E$1, '발전사업(A)'!G:G, B63, '발전사업(A)'!W:W, B71, '발전사업(A)'!U:U, $C$1),
    SUMIFS('자가소비(B)'!I:I, '자가소비(B)'!C:C, $E$1, '자가소비(B)'!G:G, B63, '자가소비(B)'!W:W, B71, '자가소비(B)'!U:U, $C$1),
    SUMIFS('PPA 사업(C)'!I:I, 'PPA 사업(C)'!C:C, $E$1, 'PPA 사업(C)'!G:G, B63, 'PPA 사업(C)'!W:W, B71, 'PPA 사업(C)'!U:U, $C$1),
    SUMIFS('리스사업(D)'!I:I, '리스사업(D)'!C:C, $E$1, '리스사업(D)'!G:G, B63, '리스사업(D)'!W:W, B71, '리스사업(D)'!U:U, $C$1),
    SUMIFS('임대사업(E)'!I:I, '임대사업(E)'!C:C, $E$1, '임대사업(E)'!G:G, B63, '임대사업(E)'!W:W, B71, '임대사업(E)'!U:U, $C$1),
    SUMIFS('환경부사업(F)'!I:I, '환경부사업(F)'!C:C, $E$1, '환경부사업(F)'!G:G, B63, '환경부사업(F)'!W:W, B71, '환경부사업(F)'!U:U, $C$1),
    SUMIFS('프로젝트(G)'!I:I, '프로젝트(G)'!C:C, $E$1, '프로젝트(G)'!G:G, B63, '프로젝트(G)'!W:W, B71, '프로젝트(G)'!U:U, $C$1),
    SUMIFS('협력사 EPC(H)'!I:I, '협력사 EPC(H)'!C:C, $E$1, '협력사 EPC(H)'!G:G, B63, '협력사 EPC(H)'!W:W, B71, '협력사 EPC(H)'!U:U, $C$1),
    SUMIFS('기타(Z)'!I:I, '기타(Z)'!C:C, $E$1, '기타(Z)'!G:G, B63, '기타(Z)'!W:W, B71, '기타(Z)'!U:U, $C$1)
  )
)</f>
        <v>59.52</v>
      </c>
      <c r="F71" s="281">
        <f>IF(
  SUM(
    COUNTIFS('발전사업(A)'!C:C, $E$1, '발전사업(A)'!G:G, B63, '발전사업(A)'!W:W, B71, '발전사업(A)'!U:U, $C$1),
    COUNTIFS('자가소비(B)'!C:C, $E$1, '자가소비(B)'!G:G, B63, '자가소비(B)'!W:W, B71, '자가소비(B)'!U:U, $C$1),
    COUNTIFS('PPA 사업(C)'!C:C, $E$1, 'PPA 사업(C)'!G:G, B63, 'PPA 사업(C)'!W:W, B71, 'PPA 사업(C)'!U:U, $C$1),
    COUNTIFS('리스사업(D)'!C:C, $E$1, '리스사업(D)'!G:G, B63, '리스사업(D)'!W:W, B71, '리스사업(D)'!U:U, $C$1),
    COUNTIFS('임대사업(E)'!C:C, $E$1, '임대사업(E)'!G:G, B63, '임대사업(E)'!W:W, B71, '임대사업(E)'!U:U, $C$1),
    COUNTIFS('환경부사업(F)'!C:C, $E$1, '환경부사업(F)'!G:G, B63, '환경부사업(F)'!W:W, B71, '환경부사업(F)'!U:U, $C$1),
    COUNTIFS('프로젝트(G)'!C:C, $E$1, '프로젝트(G)'!G:G, B63, '프로젝트(G)'!W:W, B71, '프로젝트(G)'!U:U, $C$1),
    COUNTIFS('협력사 EPC(H)'!C:C, $E$1, '협력사 EPC(H)'!G:G, B63, '협력사 EPC(H)'!W:W, B71, '협력사 EPC(H)'!U:U, $C$1),
    COUNTIFS('기타(Z)'!C:C, $E$1, '기타(Z)'!G:G, B63, '기타(Z)'!W:W, B71, '기타(Z)'!U:U, $C$1)
  ) = 0,
  "",
  SUM(
    COUNTIFS('발전사업(A)'!C:C, $E$1, '발전사업(A)'!G:G, B63, '발전사업(A)'!W:W, B71, '발전사업(A)'!U:U, $C$1),
    COUNTIFS('자가소비(B)'!C:C, $E$1, '자가소비(B)'!G:G, B63, '자가소비(B)'!W:W, B71, '자가소비(B)'!U:U, $C$1),
    COUNTIFS('PPA 사업(C)'!C:C, $E$1, 'PPA 사업(C)'!G:G, B63, 'PPA 사업(C)'!W:W, B71, 'PPA 사업(C)'!U:U, $C$1),
    COUNTIFS('리스사업(D)'!C:C, $E$1, '리스사업(D)'!G:G, B63, '리스사업(D)'!W:W, B71, '리스사업(D)'!U:U, $C$1),
    COUNTIFS('임대사업(E)'!C:C, $E$1, '임대사업(E)'!G:G, B63, '임대사업(E)'!W:W, B71, '임대사업(E)'!U:U, $C$1),
    COUNTIFS('환경부사업(F)'!C:C, $E$1, '환경부사업(F)'!G:G, B63, '환경부사업(F)'!W:W, B71, '환경부사업(F)'!U:U, $C$1),
    COUNTIFS('프로젝트(G)'!C:C, $E$1, '프로젝트(G)'!G:G, B63, '프로젝트(G)'!W:W, B71, '프로젝트(G)'!U:U, $C$1),
    COUNTIFS('협력사 EPC(H)'!C:C, $E$1, '협력사 EPC(H)'!G:G, B63, '협력사 EPC(H)'!W:W, B71, '협력사 EPC(H)'!U:U, $C$1),
    COUNTIFS('기타(Z)'!C:C, $E$1, '기타(Z)'!G:G, B63, '기타(Z)'!W:W, B71, '기타(Z)'!U:U, $C$1)
  )
)</f>
        <v>1</v>
      </c>
      <c r="G71" s="280">
        <f>IF(
  SUM(
    SUMIFS('발전사업(A)'!I:I, '발전사업(A)'!C:C, $E$1, '발전사업(A)'!G:G, B63, '발전사업(A)'!W:W, B71, '발전사업(A)'!U:U, $D$1),
    SUMIFS('자가소비(B)'!I:I, '자가소비(B)'!C:C, $E$1, '자가소비(B)'!G:G, B63, '자가소비(B)'!W:W, B71, '자가소비(B)'!U:U, $D$1),
    SUMIFS('PPA 사업(C)'!I:I, 'PPA 사업(C)'!C:C, $E$1, 'PPA 사업(C)'!G:G, B63, 'PPA 사업(C)'!W:W, B71, 'PPA 사업(C)'!U:U, $D$1),
    SUMIFS('리스사업(D)'!I:I, '리스사업(D)'!C:C, $E$1, '리스사업(D)'!G:G, B63, '리스사업(D)'!W:W, B71, '리스사업(D)'!U:U, $D$1),
    SUMIFS('임대사업(E)'!I:I, '임대사업(E)'!C:C, $E$1, '임대사업(E)'!G:G, B63, '임대사업(E)'!W:W, B71, '임대사업(E)'!U:U, $D$1),
    SUMIFS('환경부사업(F)'!I:I, '환경부사업(F)'!C:C, $E$1, '환경부사업(F)'!G:G, B63, '환경부사업(F)'!W:W, B71, '환경부사업(F)'!U:U, $D$1),
    SUMIFS('프로젝트(G)'!I:I, '프로젝트(G)'!C:C, $E$1, '프로젝트(G)'!G:G, B63, '프로젝트(G)'!W:W, B71, '프로젝트(G)'!U:U, $D$1),
    SUMIFS('협력사 EPC(H)'!I:I, '협력사 EPC(H)'!C:C, $E$1, '협력사 EPC(H)'!G:G, B63, '협력사 EPC(H)'!W:W, B71, '협력사 EPC(H)'!U:U, $D$1),
    SUMIFS('기타(Z)'!I:I, '기타(Z)'!C:C, $E$1, '기타(Z)'!G:G, B63, '기타(Z)'!W:W, B71, '기타(Z)'!U:U, $D$1)
  ) = 0,
  "",
  SUM(
    SUMIFS('발전사업(A)'!I:I, '발전사업(A)'!C:C, $E$1, '발전사업(A)'!G:G, B63, '발전사업(A)'!W:W, B71, '발전사업(A)'!U:U, $D$1),
    SUMIFS('자가소비(B)'!I:I, '자가소비(B)'!C:C, $E$1, '자가소비(B)'!G:G, B63, '자가소비(B)'!W:W, B71, '자가소비(B)'!U:U, $D$1),
    SUMIFS('PPA 사업(C)'!I:I, 'PPA 사업(C)'!C:C, $E$1, 'PPA 사업(C)'!G:G, B63, 'PPA 사업(C)'!W:W, B71, 'PPA 사업(C)'!U:U, $D$1),
    SUMIFS('리스사업(D)'!I:I, '리스사업(D)'!C:C, $E$1, '리스사업(D)'!G:G, B63, '리스사업(D)'!W:W, B71, '리스사업(D)'!U:U, $D$1),
    SUMIFS('임대사업(E)'!I:I, '임대사업(E)'!C:C, $E$1, '임대사업(E)'!G:G, B63, '임대사업(E)'!W:W, B71, '임대사업(E)'!U:U, $D$1),
    SUMIFS('환경부사업(F)'!I:I, '환경부사업(F)'!C:C, $E$1, '환경부사업(F)'!G:G, B63, '환경부사업(F)'!W:W, B71, '환경부사업(F)'!U:U, $D$1),
    SUMIFS('프로젝트(G)'!I:I, '프로젝트(G)'!C:C, $E$1, '프로젝트(G)'!G:G, B63, '프로젝트(G)'!W:W, B71, '프로젝트(G)'!U:U, $D$1),
    SUMIFS('협력사 EPC(H)'!I:I, '협력사 EPC(H)'!C:C, $E$1, '협력사 EPC(H)'!G:G, B63, '협력사 EPC(H)'!W:W, B71, '협력사 EPC(H)'!U:U, $D$1),
    SUMIFS('기타(Z)'!I:I, '기타(Z)'!C:C, $E$1, '기타(Z)'!G:G, B63, '기타(Z)'!W:W, B71, '기타(Z)'!U:U, $D$1)
  )
)</f>
        <v>89.6</v>
      </c>
      <c r="H71" s="281">
        <f>IF(
  (
    COUNTIFS('발전사업(A)'!C:C, $E$1, '발전사업(A)'!G:G, B63, '발전사업(A)'!W:W, B71, '발전사업(A)'!U:U, $D$1)
    + COUNTIFS('자가소비(B)'!C:C, $E$1, '자가소비(B)'!G:G, B63, '자가소비(B)'!W:W, B71, '자가소비(B)'!U:U, $D$1)
    + COUNTIFS('PPA 사업(C)'!C:C, $E$1, 'PPA 사업(C)'!G:G, B63, 'PPA 사업(C)'!W:W, B71, 'PPA 사업(C)'!U:U, $D$1)
    + COUNTIFS('리스사업(D)'!C:C, $E$1, '리스사업(D)'!G:G, B63, '리스사업(D)'!W:W, B71, '리스사업(D)'!U:U, $D$1)
    + COUNTIFS('임대사업(E)'!C:C, $E$1, '임대사업(E)'!G:G, B63, '임대사업(E)'!W:W, B71, '임대사업(E)'!U:U, $D$1)
    + COUNTIFS('환경부사업(F)'!C:C, $E$1, '환경부사업(F)'!G:G, B63, '환경부사업(F)'!W:W, B71, '환경부사업(F)'!U:U, $D$1)
    + COUNTIFS('프로젝트(G)'!C:C, $E$1, '프로젝트(G)'!G:G, B63, '프로젝트(G)'!W:W, B71, '프로젝트(G)'!U:U, $D$1)
    + COUNTIFS('협력사 EPC(H)'!C:C, $E$1, '협력사 EPC(H)'!G:G, B63, '협력사 EPC(H)'!W:W, B71, '협력사 EPC(H)'!U:U, $D$1)
    + COUNTIFS('기타(Z)'!C:C, $E$1, '기타(Z)'!G:G, B63, '기타(Z)'!W:W, B71, '기타(Z)'!U:U, $D$1)
  ) = 0,
  "",
  COUNTIFS('발전사업(A)'!C:C, $E$1, '발전사업(A)'!G:G, B63, '발전사업(A)'!W:W, B71, '발전사업(A)'!U:U, $D$1)
  + COUNTIFS('자가소비(B)'!C:C, $E$1, '자가소비(B)'!G:G, B63, '자가소비(B)'!W:W, B71, '자가소비(B)'!U:U, $D$1)
  + COUNTIFS('PPA 사업(C)'!C:C, $E$1, 'PPA 사업(C)'!G:G, B63, 'PPA 사업(C)'!W:W, B71, 'PPA 사업(C)'!U:U, $D$1)
  + COUNTIFS('리스사업(D)'!C:C, $E$1, '리스사업(D)'!G:G, B63, '리스사업(D)'!W:W, B71, '리스사업(D)'!U:U, $D$1)
  + COUNTIFS('임대사업(E)'!C:C, $E$1, '임대사업(E)'!G:G, B63, '임대사업(E)'!W:W, B71, '임대사업(E)'!U:U, $D$1)
  + COUNTIFS('환경부사업(F)'!C:C, $E$1, '환경부사업(F)'!G:G, B63, '환경부사업(F)'!W:W, B71, '환경부사업(F)'!U:U, $D$1)
  + COUNTIFS('프로젝트(G)'!C:C, $E$1, '프로젝트(G)'!G:G, B63, '프로젝트(G)'!W:W, B71, '프로젝트(G)'!U:U, $D$1)
  + COUNTIFS('협력사 EPC(H)'!C:C, $E$1, '협력사 EPC(H)'!G:G, B63, '협력사 EPC(H)'!W:W, B71, '협력사 EPC(H)'!U:U, $D$1)
  + COUNTIFS('기타(Z)'!C:C, $E$1, '기타(Z)'!G:G, B63, '기타(Z)'!W:W, B71, '기타(Z)'!U:U, $D$1)
)</f>
        <v>1</v>
      </c>
    </row>
    <row r="72" spans="2:8" ht="16.5" x14ac:dyDescent="0.25">
      <c r="B72" s="292" t="s">
        <v>1062</v>
      </c>
      <c r="C72" s="286">
        <f>SUM(C64:C71)</f>
        <v>5687.0399999999991</v>
      </c>
      <c r="D72" s="287">
        <f t="shared" ref="D72:H72" si="14">SUM(D64:D71)</f>
        <v>19</v>
      </c>
      <c r="E72" s="288">
        <f t="shared" si="14"/>
        <v>5103.3599999999997</v>
      </c>
      <c r="F72" s="289">
        <f t="shared" si="14"/>
        <v>14</v>
      </c>
      <c r="G72" s="290">
        <f t="shared" si="14"/>
        <v>583.68000000000006</v>
      </c>
      <c r="H72" s="291">
        <f t="shared" si="14"/>
        <v>5</v>
      </c>
    </row>
    <row r="75" spans="2:8" ht="17.25" x14ac:dyDescent="0.25">
      <c r="B75" s="282">
        <v>6</v>
      </c>
      <c r="C75" s="283" t="s">
        <v>1064</v>
      </c>
      <c r="D75" s="283" t="s">
        <v>1063</v>
      </c>
      <c r="E75" s="284" t="s">
        <v>1065</v>
      </c>
      <c r="F75" s="284" t="s">
        <v>1066</v>
      </c>
      <c r="G75" s="285" t="s">
        <v>1067</v>
      </c>
      <c r="H75" s="285" t="s">
        <v>1068</v>
      </c>
    </row>
    <row r="76" spans="2:8" x14ac:dyDescent="0.25">
      <c r="B76" s="202" t="s">
        <v>270</v>
      </c>
      <c r="C76" s="280">
        <f>IF(
  SUM(
    SUMIFS('발전사업(A)'!I:I, '발전사업(A)'!C:C, $E$1, '발전사업(A)'!G:G, B75, '발전사업(A)'!W:W, B76),
    SUMIFS('자가소비(B)'!I:I, '자가소비(B)'!C:C, $E$1, '자가소비(B)'!G:G, B75, '자가소비(B)'!W:W, B76),
    SUMIFS('PPA 사업(C)'!I:I, 'PPA 사업(C)'!C:C, $E$1, 'PPA 사업(C)'!G:G, B75, 'PPA 사업(C)'!W:W, B76),
    SUMIFS('리스사업(D)'!I:I, '리스사업(D)'!C:C, $E$1, '리스사업(D)'!G:G, B75, '리스사업(D)'!W:W, B76),
    SUMIFS('임대사업(E)'!I:I, '임대사업(E)'!C:C, $E$1, '임대사업(E)'!G:G, B75, '임대사업(E)'!W:W, B76),
    SUMIFS('환경부사업(F)'!I:I, '환경부사업(F)'!C:C, $E$1, '환경부사업(F)'!G:G, B75, '환경부사업(F)'!W:W, B76),
    SUMIFS('프로젝트(G)'!I:I, '프로젝트(G)'!C:C, $E$1, '프로젝트(G)'!G:G, B75, '프로젝트(G)'!W:W, B76),
    SUMIFS('협력사 EPC(H)'!I:I, '협력사 EPC(H)'!C:C, $E$1, '협력사 EPC(H)'!G:G, B75, '협력사 EPC(H)'!W:W, B76),
    SUMIFS('기타(Z)'!I:I, '기타(Z)'!C:C, $E$1, '기타(Z)'!G:G, B75, '기타(Z)'!W:W, B76)
  ) = 0,
  "",
  SUMIFS('발전사업(A)'!I:I, '발전사업(A)'!C:C, $E$1, '발전사업(A)'!G:G, B75, '발전사업(A)'!W:W, B76)
  + SUMIFS('자가소비(B)'!I:I, '자가소비(B)'!C:C, $E$1, '자가소비(B)'!G:G, B75, '자가소비(B)'!W:W, B76)
  + SUMIFS('PPA 사업(C)'!I:I, 'PPA 사업(C)'!C:C, $E$1, 'PPA 사업(C)'!G:G, B75, 'PPA 사업(C)'!W:W, B76)
  + SUMIFS('리스사업(D)'!I:I, '리스사업(D)'!C:C, $E$1, '리스사업(D)'!G:G, B75, '리스사업(D)'!W:W, B76)
  + SUMIFS('임대사업(E)'!I:I, '임대사업(E)'!C:C, $E$1, '임대사업(E)'!G:G, B75, '임대사업(E)'!W:W, B76)
  + SUMIFS('환경부사업(F)'!I:I, '환경부사업(F)'!C:C, $E$1, '환경부사업(F)'!G:G, B75, '환경부사업(F)'!W:W, B76)
  + SUMIFS('프로젝트(G)'!I:I, '프로젝트(G)'!C:C, $E$1, '프로젝트(G)'!G:G, B75, '프로젝트(G)'!W:W, B76)
  + SUMIFS('협력사 EPC(H)'!I:I, '협력사 EPC(H)'!C:C, $E$1, '협력사 EPC(H)'!G:G, B75, '협력사 EPC(H)'!W:W, B76)
  + SUMIFS('기타(Z)'!I:I, '기타(Z)'!C:C, $E$1, '기타(Z)'!G:G, B75, '기타(Z)'!W:W, B76)
)</f>
        <v>2074.8799999999997</v>
      </c>
      <c r="D76" s="281">
        <f>IF(
  COUNTIFS('발전사업(A)'!C:C, $E$1, '발전사업(A)'!G:G, B75, '발전사업(A)'!W:W, B76)
  + COUNTIFS('자가소비(B)'!C:C, $E$1, '자가소비(B)'!G:G, B75, '자가소비(B)'!W:W, B76)
  + COUNTIFS('PPA 사업(C)'!C:C, $E$1, 'PPA 사업(C)'!G:G, B75, 'PPA 사업(C)'!W:W, B76)
  + COUNTIFS('리스사업(D)'!C:C, $E$1, '리스사업(D)'!G:G, B75, '리스사업(D)'!W:W, B76)
  + COUNTIFS('임대사업(E)'!C:C, $E$1, '임대사업(E)'!G:G, B75, '임대사업(E)'!W:W, B76)
  + COUNTIFS('환경부사업(F)'!C:C, $E$1, '환경부사업(F)'!G:G, B75, '환경부사업(F)'!W:W, B76)
  + COUNTIFS('프로젝트(G)'!C:C, $E$1, '프로젝트(G)'!G:G, B75, '프로젝트(G)'!W:W, B76)
  + COUNTIFS('협력사 EPC(H)'!C:C, $E$1, '협력사 EPC(H)'!G:G, B75, '협력사 EPC(H)'!W:W, B76)
  + COUNTIFS('기타(Z)'!C:C, $E$1, '기타(Z)'!G:G, B75, '기타(Z)'!W:W, B76)
  = 0,
  "",
  COUNTIFS('발전사업(A)'!C:C, $E$1, '발전사업(A)'!G:G, B75, '발전사업(A)'!W:W, B76)
  + COUNTIFS('자가소비(B)'!C:C, $E$1, '자가소비(B)'!G:G, B75, '자가소비(B)'!W:W, B76)
  + COUNTIFS('PPA 사업(C)'!C:C, $E$1, 'PPA 사업(C)'!G:G, B75, 'PPA 사업(C)'!W:W, B76)
  + COUNTIFS('리스사업(D)'!C:C, $E$1, '리스사업(D)'!G:G, B75, '리스사업(D)'!W:W, B76)
  + COUNTIFS('임대사업(E)'!C:C, $E$1, '임대사업(E)'!G:G, B75, '임대사업(E)'!W:W, B76)
  + COUNTIFS('환경부사업(F)'!C:C, $E$1, '환경부사업(F)'!G:G, B75, '환경부사업(F)'!W:W, B76)
  + COUNTIFS('프로젝트(G)'!C:C, $E$1, '프로젝트(G)'!G:G, B75, '프로젝트(G)'!W:W, B76)
  + COUNTIFS('협력사 EPC(H)'!C:C, $E$1, '협력사 EPC(H)'!G:G, B75, '협력사 EPC(H)'!W:W, B76)
  + COUNTIFS('기타(Z)'!C:C, $E$1, '기타(Z)'!G:G, B75, '기타(Z)'!W:W, B76)
)</f>
        <v>6</v>
      </c>
      <c r="E76" s="280">
        <f>IF(
  SUM(
    SUMIFS('발전사업(A)'!I:I, '발전사업(A)'!C:C, $E$1, '발전사업(A)'!G:G, B75, '발전사업(A)'!W:W, B76, '발전사업(A)'!U:U, $C$1),
    SUMIFS('자가소비(B)'!I:I, '자가소비(B)'!C:C, $E$1, '자가소비(B)'!G:G, B75, '자가소비(B)'!W:W, B76, '자가소비(B)'!U:U, $C$1),
    SUMIFS('PPA 사업(C)'!I:I, 'PPA 사업(C)'!C:C, $E$1, 'PPA 사업(C)'!G:G, B75, 'PPA 사업(C)'!W:W, B76, 'PPA 사업(C)'!U:U, $C$1),
    SUMIFS('리스사업(D)'!I:I, '리스사업(D)'!C:C, $E$1, '리스사업(D)'!G:G, B75, '리스사업(D)'!W:W, B76, '리스사업(D)'!U:U, $C$1),
    SUMIFS('임대사업(E)'!I:I, '임대사업(E)'!C:C, $E$1, '임대사업(E)'!G:G, B75, '임대사업(E)'!W:W, B76, '임대사업(E)'!U:U, $C$1),
    SUMIFS('환경부사업(F)'!I:I, '환경부사업(F)'!C:C, $E$1, '환경부사업(F)'!G:G, B75, '환경부사업(F)'!W:W, B76, '환경부사업(F)'!U:U, $C$1),
    SUMIFS('프로젝트(G)'!I:I, '프로젝트(G)'!C:C, $E$1, '프로젝트(G)'!G:G, B75, '프로젝트(G)'!W:W, B76, '프로젝트(G)'!U:U, $C$1),
    SUMIFS('협력사 EPC(H)'!I:I, '협력사 EPC(H)'!C:C, $E$1, '협력사 EPC(H)'!G:G, B75, '협력사 EPC(H)'!W:W, B76, '협력사 EPC(H)'!U:U, $C$1),
    SUMIFS('기타(Z)'!I:I, '기타(Z)'!C:C, $E$1, '기타(Z)'!G:G, B75, '기타(Z)'!W:W, B76, '기타(Z)'!U:U, $C$1)
  ) = 0,
  "",
  SUM(
    SUMIFS('발전사업(A)'!I:I, '발전사업(A)'!C:C, $E$1, '발전사업(A)'!G:G, B75, '발전사업(A)'!W:W, B76, '발전사업(A)'!U:U, $C$1),
    SUMIFS('자가소비(B)'!I:I, '자가소비(B)'!C:C, $E$1, '자가소비(B)'!G:G, B75, '자가소비(B)'!W:W, B76, '자가소비(B)'!U:U, $C$1),
    SUMIFS('PPA 사업(C)'!I:I, 'PPA 사업(C)'!C:C, $E$1, 'PPA 사업(C)'!G:G, B75, 'PPA 사업(C)'!W:W, B76, 'PPA 사업(C)'!U:U, $C$1),
    SUMIFS('리스사업(D)'!I:I, '리스사업(D)'!C:C, $E$1, '리스사업(D)'!G:G, B75, '리스사업(D)'!W:W, B76, '리스사업(D)'!U:U, $C$1),
    SUMIFS('임대사업(E)'!I:I, '임대사업(E)'!C:C, $E$1, '임대사업(E)'!G:G, B75, '임대사업(E)'!W:W, B76, '임대사업(E)'!U:U, $C$1),
    SUMIFS('환경부사업(F)'!I:I, '환경부사업(F)'!C:C, $E$1, '환경부사업(F)'!G:G, B75, '환경부사업(F)'!W:W, B76, '환경부사업(F)'!U:U, $C$1),
    SUMIFS('프로젝트(G)'!I:I, '프로젝트(G)'!C:C, $E$1, '프로젝트(G)'!G:G, B75, '프로젝트(G)'!W:W, B76, '프로젝트(G)'!U:U, $C$1),
    SUMIFS('협력사 EPC(H)'!I:I, '협력사 EPC(H)'!C:C, $E$1, '협력사 EPC(H)'!G:G, B75, '협력사 EPC(H)'!W:W, B76, '협력사 EPC(H)'!U:U, $C$1),
    SUMIFS('기타(Z)'!I:I, '기타(Z)'!C:C, $E$1, '기타(Z)'!G:G, B75, '기타(Z)'!W:W, B76, '기타(Z)'!U:U, $C$1)
  )
)</f>
        <v>1724.8</v>
      </c>
      <c r="F76" s="281">
        <f>IF(
  SUM(
    COUNTIFS('발전사업(A)'!C:C, $E$1, '발전사업(A)'!G:G, B75, '발전사업(A)'!W:W, B76, '발전사업(A)'!U:U, $C$1),
    COUNTIFS('자가소비(B)'!C:C, $E$1, '자가소비(B)'!G:G, B75, '자가소비(B)'!W:W, B76, '자가소비(B)'!U:U, $C$1),
    COUNTIFS('PPA 사업(C)'!C:C, $E$1, 'PPA 사업(C)'!G:G, B75, 'PPA 사업(C)'!W:W, B76, 'PPA 사업(C)'!U:U, $C$1),
    COUNTIFS('리스사업(D)'!C:C, $E$1, '리스사업(D)'!G:G, B75, '리스사업(D)'!W:W, B76, '리스사업(D)'!U:U, $C$1),
    COUNTIFS('임대사업(E)'!C:C, $E$1, '임대사업(E)'!G:G, B75, '임대사업(E)'!W:W, B76, '임대사업(E)'!U:U, $C$1),
    COUNTIFS('환경부사업(F)'!C:C, $E$1, '환경부사업(F)'!G:G, B75, '환경부사업(F)'!W:W, B76, '환경부사업(F)'!U:U, $C$1),
    COUNTIFS('프로젝트(G)'!C:C, $E$1, '프로젝트(G)'!G:G, B75, '프로젝트(G)'!W:W, B76, '프로젝트(G)'!U:U, $C$1),
    COUNTIFS('협력사 EPC(H)'!C:C, $E$1, '협력사 EPC(H)'!G:G, B75, '협력사 EPC(H)'!W:W, B76, '협력사 EPC(H)'!U:U, $C$1),
    COUNTIFS('기타(Z)'!C:C, $E$1, '기타(Z)'!G:G, B75, '기타(Z)'!W:W, B76, '기타(Z)'!U:U, $C$1)
  ) = 0,
  "",
  SUM(
    COUNTIFS('발전사업(A)'!C:C, $E$1, '발전사업(A)'!G:G, B75, '발전사업(A)'!W:W, B76, '발전사업(A)'!U:U, $C$1),
    COUNTIFS('자가소비(B)'!C:C, $E$1, '자가소비(B)'!G:G, B75, '자가소비(B)'!W:W, B76, '자가소비(B)'!U:U, $C$1),
    COUNTIFS('PPA 사업(C)'!C:C, $E$1, 'PPA 사업(C)'!G:G, B75, 'PPA 사업(C)'!W:W, B76, 'PPA 사업(C)'!U:U, $C$1),
    COUNTIFS('리스사업(D)'!C:C, $E$1, '리스사업(D)'!G:G, B75, '리스사업(D)'!W:W, B76, '리스사업(D)'!U:U, $C$1),
    COUNTIFS('임대사업(E)'!C:C, $E$1, '임대사업(E)'!G:G, B75, '임대사업(E)'!W:W, B76, '임대사업(E)'!U:U, $C$1),
    COUNTIFS('환경부사업(F)'!C:C, $E$1, '환경부사업(F)'!G:G, B75, '환경부사업(F)'!W:W, B76, '환경부사업(F)'!U:U, $C$1),
    COUNTIFS('프로젝트(G)'!C:C, $E$1, '프로젝트(G)'!G:G, B75, '프로젝트(G)'!W:W, B76, '프로젝트(G)'!U:U, $C$1),
    COUNTIFS('협력사 EPC(H)'!C:C, $E$1, '협력사 EPC(H)'!G:G, B75, '협력사 EPC(H)'!W:W, B76, '협력사 EPC(H)'!U:U, $C$1),
    COUNTIFS('기타(Z)'!C:C, $E$1, '기타(Z)'!G:G, B75, '기타(Z)'!W:W, B76, '기타(Z)'!U:U, $C$1)
  )
)</f>
        <v>4</v>
      </c>
      <c r="G76" s="280">
        <f>IF(
  SUM(
    SUMIFS('발전사업(A)'!I:I, '발전사업(A)'!C:C, $E$1, '발전사업(A)'!G:G, B75, '발전사업(A)'!W:W, B76, '발전사업(A)'!U:U, $D$1),
    SUMIFS('자가소비(B)'!I:I, '자가소비(B)'!C:C, $E$1, '자가소비(B)'!G:G, B75, '자가소비(B)'!W:W, B76, '자가소비(B)'!U:U, $D$1),
    SUMIFS('PPA 사업(C)'!I:I, 'PPA 사업(C)'!C:C, $E$1, 'PPA 사업(C)'!G:G, B75, 'PPA 사업(C)'!W:W, B76, 'PPA 사업(C)'!U:U, $D$1),
    SUMIFS('리스사업(D)'!I:I, '리스사업(D)'!C:C, $E$1, '리스사업(D)'!G:G, B75, '리스사업(D)'!W:W, B76, '리스사업(D)'!U:U, $D$1),
    SUMIFS('임대사업(E)'!I:I, '임대사업(E)'!C:C, $E$1, '임대사업(E)'!G:G, B75, '임대사업(E)'!W:W, B76, '임대사업(E)'!U:U, $D$1),
    SUMIFS('환경부사업(F)'!I:I, '환경부사업(F)'!C:C, $E$1, '환경부사업(F)'!G:G, B75, '환경부사업(F)'!W:W, B76, '환경부사업(F)'!U:U, $D$1),
    SUMIFS('프로젝트(G)'!I:I, '프로젝트(G)'!C:C, $E$1, '프로젝트(G)'!G:G, B75, '프로젝트(G)'!W:W, B76, '프로젝트(G)'!U:U, $D$1),
    SUMIFS('협력사 EPC(H)'!I:I, '협력사 EPC(H)'!C:C, $E$1, '협력사 EPC(H)'!G:G, B75, '협력사 EPC(H)'!W:W, B76, '협력사 EPC(H)'!U:U, $D$1),
    SUMIFS('기타(Z)'!I:I, '기타(Z)'!C:C, $E$1, '기타(Z)'!G:G, B75, '기타(Z)'!W:W, B76, '기타(Z)'!U:U, $D$1)
  ) = 0,
  "",
  SUM(
    SUMIFS('발전사업(A)'!I:I, '발전사업(A)'!C:C, $E$1, '발전사업(A)'!G:G, B75, '발전사업(A)'!W:W, B76, '발전사업(A)'!U:U, $D$1),
    SUMIFS('자가소비(B)'!I:I, '자가소비(B)'!C:C, $E$1, '자가소비(B)'!G:G, B75, '자가소비(B)'!W:W, B76, '자가소비(B)'!U:U, $D$1),
    SUMIFS('PPA 사업(C)'!I:I, 'PPA 사업(C)'!C:C, $E$1, 'PPA 사업(C)'!G:G, B75, 'PPA 사업(C)'!W:W, B76, 'PPA 사업(C)'!U:U, $D$1),
    SUMIFS('리스사업(D)'!I:I, '리스사업(D)'!C:C, $E$1, '리스사업(D)'!G:G, B75, '리스사업(D)'!W:W, B76, '리스사업(D)'!U:U, $D$1),
    SUMIFS('임대사업(E)'!I:I, '임대사업(E)'!C:C, $E$1, '임대사업(E)'!G:G, B75, '임대사업(E)'!W:W, B76, '임대사업(E)'!U:U, $D$1),
    SUMIFS('환경부사업(F)'!I:I, '환경부사업(F)'!C:C, $E$1, '환경부사업(F)'!G:G, B75, '환경부사업(F)'!W:W, B76, '환경부사업(F)'!U:U, $D$1),
    SUMIFS('프로젝트(G)'!I:I, '프로젝트(G)'!C:C, $E$1, '프로젝트(G)'!G:G, B75, '프로젝트(G)'!W:W, B76, '프로젝트(G)'!U:U, $D$1),
    SUMIFS('협력사 EPC(H)'!I:I, '협력사 EPC(H)'!C:C, $E$1, '협력사 EPC(H)'!G:G, B75, '협력사 EPC(H)'!W:W, B76, '협력사 EPC(H)'!U:U, $D$1),
    SUMIFS('기타(Z)'!I:I, '기타(Z)'!C:C, $E$1, '기타(Z)'!G:G, B75, '기타(Z)'!W:W, B76, '기타(Z)'!U:U, $D$1)
  )
)</f>
        <v>350.08</v>
      </c>
      <c r="H76" s="281">
        <f>IF(
  (
    COUNTIFS('발전사업(A)'!C:C, $E$1, '발전사업(A)'!G:G, B75, '발전사업(A)'!W:W, B76, '발전사업(A)'!U:U, $D$1)
    + COUNTIFS('자가소비(B)'!C:C, $E$1, '자가소비(B)'!G:G, B75, '자가소비(B)'!W:W, B76, '자가소비(B)'!U:U, $D$1)
    + COUNTIFS('PPA 사업(C)'!C:C, $E$1, 'PPA 사업(C)'!G:G, B75, 'PPA 사업(C)'!W:W, B76, 'PPA 사업(C)'!U:U, $D$1)
    + COUNTIFS('리스사업(D)'!C:C, $E$1, '리스사업(D)'!G:G, B75, '리스사업(D)'!W:W, B76, '리스사업(D)'!U:U, $D$1)
    + COUNTIFS('임대사업(E)'!C:C, $E$1, '임대사업(E)'!G:G, B75, '임대사업(E)'!W:W, B76, '임대사업(E)'!U:U, $D$1)
    + COUNTIFS('환경부사업(F)'!C:C, $E$1, '환경부사업(F)'!G:G, B75, '환경부사업(F)'!W:W, B76, '환경부사업(F)'!U:U, $D$1)
    + COUNTIFS('프로젝트(G)'!C:C, $E$1, '프로젝트(G)'!G:G, B75, '프로젝트(G)'!W:W, B76, '프로젝트(G)'!U:U, $D$1)
    + COUNTIFS('협력사 EPC(H)'!C:C, $E$1, '협력사 EPC(H)'!G:G, B75, '협력사 EPC(H)'!W:W, B76, '협력사 EPC(H)'!U:U, $D$1)
    + COUNTIFS('기타(Z)'!C:C, $E$1, '기타(Z)'!G:G, B75, '기타(Z)'!W:W, B76, '기타(Z)'!U:U, $D$1)
  ) = 0,
  "",
  COUNTIFS('발전사업(A)'!C:C, $E$1, '발전사업(A)'!G:G, B75, '발전사업(A)'!W:W, B76, '발전사업(A)'!U:U, $D$1)
  + COUNTIFS('자가소비(B)'!C:C, $E$1, '자가소비(B)'!G:G, B75, '자가소비(B)'!W:W, B76, '자가소비(B)'!U:U, $D$1)
  + COUNTIFS('PPA 사업(C)'!C:C, $E$1, 'PPA 사업(C)'!G:G, B75, 'PPA 사업(C)'!W:W, B76, 'PPA 사업(C)'!U:U, $D$1)
  + COUNTIFS('리스사업(D)'!C:C, $E$1, '리스사업(D)'!G:G, B75, '리스사업(D)'!W:W, B76, '리스사업(D)'!U:U, $D$1)
  + COUNTIFS('임대사업(E)'!C:C, $E$1, '임대사업(E)'!G:G, B75, '임대사업(E)'!W:W, B76, '임대사업(E)'!U:U, $D$1)
  + COUNTIFS('환경부사업(F)'!C:C, $E$1, '환경부사업(F)'!G:G, B75, '환경부사업(F)'!W:W, B76, '환경부사업(F)'!U:U, $D$1)
  + COUNTIFS('프로젝트(G)'!C:C, $E$1, '프로젝트(G)'!G:G, B75, '프로젝트(G)'!W:W, B76, '프로젝트(G)'!U:U, $D$1)
  + COUNTIFS('협력사 EPC(H)'!C:C, $E$1, '협력사 EPC(H)'!G:G, B75, '협력사 EPC(H)'!W:W, B76, '협력사 EPC(H)'!U:U, $D$1)
  + COUNTIFS('기타(Z)'!C:C, $E$1, '기타(Z)'!G:G, B75, '기타(Z)'!W:W, B76, '기타(Z)'!U:U, $D$1)
)</f>
        <v>2</v>
      </c>
    </row>
    <row r="77" spans="2:8" x14ac:dyDescent="0.25">
      <c r="B77" s="202" t="s">
        <v>259</v>
      </c>
      <c r="C77" s="280">
        <f>IF(
  SUM(
    SUMIFS('발전사업(A)'!I:I, '발전사업(A)'!C:C, $E$1, '발전사업(A)'!G:G, B75, '발전사업(A)'!W:W, B77),
    SUMIFS('자가소비(B)'!I:I, '자가소비(B)'!C:C, $E$1, '자가소비(B)'!G:G, B75, '자가소비(B)'!W:W, B77),
    SUMIFS('PPA 사업(C)'!I:I, 'PPA 사업(C)'!C:C, $E$1, 'PPA 사업(C)'!G:G, B75, 'PPA 사업(C)'!W:W, B77),
    SUMIFS('리스사업(D)'!I:I, '리스사업(D)'!C:C, $E$1, '리스사업(D)'!G:G, B75, '리스사업(D)'!W:W, B77),
    SUMIFS('임대사업(E)'!I:I, '임대사업(E)'!C:C, $E$1, '임대사업(E)'!G:G, B75, '임대사업(E)'!W:W, B77),
    SUMIFS('환경부사업(F)'!I:I, '환경부사업(F)'!C:C, $E$1, '환경부사업(F)'!G:G, B75, '환경부사업(F)'!W:W, B77),
    SUMIFS('프로젝트(G)'!I:I, '프로젝트(G)'!C:C, $E$1, '프로젝트(G)'!G:G, B75, '프로젝트(G)'!W:W, B77),
    SUMIFS('협력사 EPC(H)'!I:I, '협력사 EPC(H)'!C:C, $E$1, '협력사 EPC(H)'!G:G, B75, '협력사 EPC(H)'!W:W, B77),
    SUMIFS('기타(Z)'!I:I, '기타(Z)'!C:C, $E$1, '기타(Z)'!G:G, B75, '기타(Z)'!W:W, B77)
  ) = 0,
  "",
  SUMIFS('발전사업(A)'!I:I, '발전사업(A)'!C:C, $E$1, '발전사업(A)'!G:G, B75, '발전사업(A)'!W:W, B77)
  + SUMIFS('자가소비(B)'!I:I, '자가소비(B)'!C:C, $E$1, '자가소비(B)'!G:G, B75, '자가소비(B)'!W:W, B77)
  + SUMIFS('PPA 사업(C)'!I:I, 'PPA 사업(C)'!C:C, $E$1, 'PPA 사업(C)'!G:G, B75, 'PPA 사업(C)'!W:W, B77)
  + SUMIFS('리스사업(D)'!I:I, '리스사업(D)'!C:C, $E$1, '리스사업(D)'!G:G, B75, '리스사업(D)'!W:W, B77)
  + SUMIFS('임대사업(E)'!I:I, '임대사업(E)'!C:C, $E$1, '임대사업(E)'!G:G, B75, '임대사업(E)'!W:W, B77)
  + SUMIFS('환경부사업(F)'!I:I, '환경부사업(F)'!C:C, $E$1, '환경부사업(F)'!G:G, B75, '환경부사업(F)'!W:W, B77)
  + SUMIFS('프로젝트(G)'!I:I, '프로젝트(G)'!C:C, $E$1, '프로젝트(G)'!G:G, B75, '프로젝트(G)'!W:W, B77)
  + SUMIFS('협력사 EPC(H)'!I:I, '협력사 EPC(H)'!C:C, $E$1, '협력사 EPC(H)'!G:G, B75, '협력사 EPC(H)'!W:W, B77)
  + SUMIFS('기타(Z)'!I:I, '기타(Z)'!C:C, $E$1, '기타(Z)'!G:G, B75, '기타(Z)'!W:W, B77)
)</f>
        <v>2699.5200000000004</v>
      </c>
      <c r="D77" s="281">
        <f>IF(
  COUNTIFS('발전사업(A)'!C:C, $E$1, '발전사업(A)'!G:G, B75, '발전사업(A)'!W:W, B77)
  + COUNTIFS('자가소비(B)'!C:C, $E$1, '자가소비(B)'!G:G, B75, '자가소비(B)'!W:W, B77)
  + COUNTIFS('PPA 사업(C)'!C:C, $E$1, 'PPA 사업(C)'!G:G, B75, 'PPA 사업(C)'!W:W, B77)
  + COUNTIFS('리스사업(D)'!C:C, $E$1, '리스사업(D)'!G:G, B75, '리스사업(D)'!W:W, B77)
  + COUNTIFS('임대사업(E)'!C:C, $E$1, '임대사업(E)'!G:G, B75, '임대사업(E)'!W:W, B77)
  + COUNTIFS('환경부사업(F)'!C:C, $E$1, '환경부사업(F)'!G:G, B75, '환경부사업(F)'!W:W, B77)
  + COUNTIFS('프로젝트(G)'!C:C, $E$1, '프로젝트(G)'!G:G, B75, '프로젝트(G)'!W:W, B77)
  + COUNTIFS('협력사 EPC(H)'!C:C, $E$1, '협력사 EPC(H)'!G:G, B75, '협력사 EPC(H)'!W:W, B77)
  + COUNTIFS('기타(Z)'!C:C, $E$1, '기타(Z)'!G:G, B75, '기타(Z)'!W:W, B77)
  = 0,
  "",
  COUNTIFS('발전사업(A)'!C:C, $E$1, '발전사업(A)'!G:G, B75, '발전사업(A)'!W:W, B77)
  + COUNTIFS('자가소비(B)'!C:C, $E$1, '자가소비(B)'!G:G, B75, '자가소비(B)'!W:W, B77)
  + COUNTIFS('PPA 사업(C)'!C:C, $E$1, 'PPA 사업(C)'!G:G, B75, 'PPA 사업(C)'!W:W, B77)
  + COUNTIFS('리스사업(D)'!C:C, $E$1, '리스사업(D)'!G:G, B75, '리스사업(D)'!W:W, B77)
  + COUNTIFS('임대사업(E)'!C:C, $E$1, '임대사업(E)'!G:G, B75, '임대사업(E)'!W:W, B77)
  + COUNTIFS('환경부사업(F)'!C:C, $E$1, '환경부사업(F)'!G:G, B75, '환경부사업(F)'!W:W, B77)
  + COUNTIFS('프로젝트(G)'!C:C, $E$1, '프로젝트(G)'!G:G, B75, '프로젝트(G)'!W:W, B77)
  + COUNTIFS('협력사 EPC(H)'!C:C, $E$1, '협력사 EPC(H)'!G:G, B75, '협력사 EPC(H)'!W:W, B77)
  + COUNTIFS('기타(Z)'!C:C, $E$1, '기타(Z)'!G:G, B75, '기타(Z)'!W:W, B77)
)</f>
        <v>10</v>
      </c>
      <c r="E77" s="280">
        <f>IF(
  SUM(
    SUMIFS('발전사업(A)'!I:I, '발전사업(A)'!C:C, $E$1, '발전사업(A)'!G:G, B75, '발전사업(A)'!W:W, B77, '발전사업(A)'!U:U, $C$1),
    SUMIFS('자가소비(B)'!I:I, '자가소비(B)'!C:C, $E$1, '자가소비(B)'!G:G, B75, '자가소비(B)'!W:W, B77, '자가소비(B)'!U:U, $C$1),
    SUMIFS('PPA 사업(C)'!I:I, 'PPA 사업(C)'!C:C, $E$1, 'PPA 사업(C)'!G:G, B75, 'PPA 사업(C)'!W:W, B77, 'PPA 사업(C)'!U:U, $C$1),
    SUMIFS('리스사업(D)'!I:I, '리스사업(D)'!C:C, $E$1, '리스사업(D)'!G:G, B75, '리스사업(D)'!W:W, B77, '리스사업(D)'!U:U, $C$1),
    SUMIFS('임대사업(E)'!I:I, '임대사업(E)'!C:C, $E$1, '임대사업(E)'!G:G, B75, '임대사업(E)'!W:W, B77, '임대사업(E)'!U:U, $C$1),
    SUMIFS('환경부사업(F)'!I:I, '환경부사업(F)'!C:C, $E$1, '환경부사업(F)'!G:G, B75, '환경부사업(F)'!W:W, B77, '환경부사업(F)'!U:U, $C$1),
    SUMIFS('프로젝트(G)'!I:I, '프로젝트(G)'!C:C, $E$1, '프로젝트(G)'!G:G, B75, '프로젝트(G)'!W:W, B77, '프로젝트(G)'!U:U, $C$1),
    SUMIFS('협력사 EPC(H)'!I:I, '협력사 EPC(H)'!C:C, $E$1, '협력사 EPC(H)'!G:G, B75, '협력사 EPC(H)'!W:W, B77, '협력사 EPC(H)'!U:U, $C$1),
    SUMIFS('기타(Z)'!I:I, '기타(Z)'!C:C, $E$1, '기타(Z)'!G:G, B75, '기타(Z)'!W:W, B77, '기타(Z)'!U:U, $C$1)
  ) = 0,
  "",
  SUM(
    SUMIFS('발전사업(A)'!I:I, '발전사업(A)'!C:C, $E$1, '발전사업(A)'!G:G, B75, '발전사업(A)'!W:W, B77, '발전사업(A)'!U:U, $C$1),
    SUMIFS('자가소비(B)'!I:I, '자가소비(B)'!C:C, $E$1, '자가소비(B)'!G:G, B75, '자가소비(B)'!W:W, B77, '자가소비(B)'!U:U, $C$1),
    SUMIFS('PPA 사업(C)'!I:I, 'PPA 사업(C)'!C:C, $E$1, 'PPA 사업(C)'!G:G, B75, 'PPA 사업(C)'!W:W, B77, 'PPA 사업(C)'!U:U, $C$1),
    SUMIFS('리스사업(D)'!I:I, '리스사업(D)'!C:C, $E$1, '리스사업(D)'!G:G, B75, '리스사업(D)'!W:W, B77, '리스사업(D)'!U:U, $C$1),
    SUMIFS('임대사업(E)'!I:I, '임대사업(E)'!C:C, $E$1, '임대사업(E)'!G:G, B75, '임대사업(E)'!W:W, B77, '임대사업(E)'!U:U, $C$1),
    SUMIFS('환경부사업(F)'!I:I, '환경부사업(F)'!C:C, $E$1, '환경부사업(F)'!G:G, B75, '환경부사업(F)'!W:W, B77, '환경부사업(F)'!U:U, $C$1),
    SUMIFS('프로젝트(G)'!I:I, '프로젝트(G)'!C:C, $E$1, '프로젝트(G)'!G:G, B75, '프로젝트(G)'!W:W, B77, '프로젝트(G)'!U:U, $C$1),
    SUMIFS('협력사 EPC(H)'!I:I, '협력사 EPC(H)'!C:C, $E$1, '협력사 EPC(H)'!G:G, B75, '협력사 EPC(H)'!W:W, B77, '협력사 EPC(H)'!U:U, $C$1),
    SUMIFS('기타(Z)'!I:I, '기타(Z)'!C:C, $E$1, '기타(Z)'!G:G, B75, '기타(Z)'!W:W, B77, '기타(Z)'!U:U, $C$1)
  )
)</f>
        <v>1710.72</v>
      </c>
      <c r="F77" s="281">
        <f>IF(
  SUM(
    COUNTIFS('발전사업(A)'!C:C, $E$1, '발전사업(A)'!G:G, B75, '발전사업(A)'!W:W, B77, '발전사업(A)'!U:U, $C$1),
    COUNTIFS('자가소비(B)'!C:C, $E$1, '자가소비(B)'!G:G, B75, '자가소비(B)'!W:W, B77, '자가소비(B)'!U:U, $C$1),
    COUNTIFS('PPA 사업(C)'!C:C, $E$1, 'PPA 사업(C)'!G:G, B75, 'PPA 사업(C)'!W:W, B77, 'PPA 사업(C)'!U:U, $C$1),
    COUNTIFS('리스사업(D)'!C:C, $E$1, '리스사업(D)'!G:G, B75, '리스사업(D)'!W:W, B77, '리스사업(D)'!U:U, $C$1),
    COUNTIFS('임대사업(E)'!C:C, $E$1, '임대사업(E)'!G:G, B75, '임대사업(E)'!W:W, B77, '임대사업(E)'!U:U, $C$1),
    COUNTIFS('환경부사업(F)'!C:C, $E$1, '환경부사업(F)'!G:G, B75, '환경부사업(F)'!W:W, B77, '환경부사업(F)'!U:U, $C$1),
    COUNTIFS('프로젝트(G)'!C:C, $E$1, '프로젝트(G)'!G:G, B75, '프로젝트(G)'!W:W, B77, '프로젝트(G)'!U:U, $C$1),
    COUNTIFS('협력사 EPC(H)'!C:C, $E$1, '협력사 EPC(H)'!G:G, B75, '협력사 EPC(H)'!W:W, B77, '협력사 EPC(H)'!U:U, $C$1),
    COUNTIFS('기타(Z)'!C:C, $E$1, '기타(Z)'!G:G, B75, '기타(Z)'!W:W, B77, '기타(Z)'!U:U, $C$1)
  ) = 0,
  "",
  SUM(
    COUNTIFS('발전사업(A)'!C:C, $E$1, '발전사업(A)'!G:G, B75, '발전사업(A)'!W:W, B77, '발전사업(A)'!U:U, $C$1),
    COUNTIFS('자가소비(B)'!C:C, $E$1, '자가소비(B)'!G:G, B75, '자가소비(B)'!W:W, B77, '자가소비(B)'!U:U, $C$1),
    COUNTIFS('PPA 사업(C)'!C:C, $E$1, 'PPA 사업(C)'!G:G, B75, 'PPA 사업(C)'!W:W, B77, 'PPA 사업(C)'!U:U, $C$1),
    COUNTIFS('리스사업(D)'!C:C, $E$1, '리스사업(D)'!G:G, B75, '리스사업(D)'!W:W, B77, '리스사업(D)'!U:U, $C$1),
    COUNTIFS('임대사업(E)'!C:C, $E$1, '임대사업(E)'!G:G, B75, '임대사업(E)'!W:W, B77, '임대사업(E)'!U:U, $C$1),
    COUNTIFS('환경부사업(F)'!C:C, $E$1, '환경부사업(F)'!G:G, B75, '환경부사업(F)'!W:W, B77, '환경부사업(F)'!U:U, $C$1),
    COUNTIFS('프로젝트(G)'!C:C, $E$1, '프로젝트(G)'!G:G, B75, '프로젝트(G)'!W:W, B77, '프로젝트(G)'!U:U, $C$1),
    COUNTIFS('협력사 EPC(H)'!C:C, $E$1, '협력사 EPC(H)'!G:G, B75, '협력사 EPC(H)'!W:W, B77, '협력사 EPC(H)'!U:U, $C$1),
    COUNTIFS('기타(Z)'!C:C, $E$1, '기타(Z)'!G:G, B75, '기타(Z)'!W:W, B77, '기타(Z)'!U:U, $C$1)
  )
)</f>
        <v>6</v>
      </c>
      <c r="G77" s="280">
        <f>IF(
  SUM(
    SUMIFS('발전사업(A)'!I:I, '발전사업(A)'!C:C, $E$1, '발전사업(A)'!G:G, B75, '발전사업(A)'!W:W, B77, '발전사업(A)'!U:U, $D$1),
    SUMIFS('자가소비(B)'!I:I, '자가소비(B)'!C:C, $E$1, '자가소비(B)'!G:G, B75, '자가소비(B)'!W:W, B77, '자가소비(B)'!U:U, $D$1),
    SUMIFS('PPA 사업(C)'!I:I, 'PPA 사업(C)'!C:C, $E$1, 'PPA 사업(C)'!G:G, B75, 'PPA 사업(C)'!W:W, B77, 'PPA 사업(C)'!U:U, $D$1),
    SUMIFS('리스사업(D)'!I:I, '리스사업(D)'!C:C, $E$1, '리스사업(D)'!G:G, B75, '리스사업(D)'!W:W, B77, '리스사업(D)'!U:U, $D$1),
    SUMIFS('임대사업(E)'!I:I, '임대사업(E)'!C:C, $E$1, '임대사업(E)'!G:G, B75, '임대사업(E)'!W:W, B77, '임대사업(E)'!U:U, $D$1),
    SUMIFS('환경부사업(F)'!I:I, '환경부사업(F)'!C:C, $E$1, '환경부사업(F)'!G:G, B75, '환경부사업(F)'!W:W, B77, '환경부사업(F)'!U:U, $D$1),
    SUMIFS('프로젝트(G)'!I:I, '프로젝트(G)'!C:C, $E$1, '프로젝트(G)'!G:G, B75, '프로젝트(G)'!W:W, B77, '프로젝트(G)'!U:U, $D$1),
    SUMIFS('협력사 EPC(H)'!I:I, '협력사 EPC(H)'!C:C, $E$1, '협력사 EPC(H)'!G:G, B75, '협력사 EPC(H)'!W:W, B77, '협력사 EPC(H)'!U:U, $D$1),
    SUMIFS('기타(Z)'!I:I, '기타(Z)'!C:C, $E$1, '기타(Z)'!G:G, B75, '기타(Z)'!W:W, B77, '기타(Z)'!U:U, $D$1)
  ) = 0,
  "",
  SUM(
    SUMIFS('발전사업(A)'!I:I, '발전사업(A)'!C:C, $E$1, '발전사업(A)'!G:G, B75, '발전사업(A)'!W:W, B77, '발전사업(A)'!U:U, $D$1),
    SUMIFS('자가소비(B)'!I:I, '자가소비(B)'!C:C, $E$1, '자가소비(B)'!G:G, B75, '자가소비(B)'!W:W, B77, '자가소비(B)'!U:U, $D$1),
    SUMIFS('PPA 사업(C)'!I:I, 'PPA 사업(C)'!C:C, $E$1, 'PPA 사업(C)'!G:G, B75, 'PPA 사업(C)'!W:W, B77, 'PPA 사업(C)'!U:U, $D$1),
    SUMIFS('리스사업(D)'!I:I, '리스사업(D)'!C:C, $E$1, '리스사업(D)'!G:G, B75, '리스사업(D)'!W:W, B77, '리스사업(D)'!U:U, $D$1),
    SUMIFS('임대사업(E)'!I:I, '임대사업(E)'!C:C, $E$1, '임대사업(E)'!G:G, B75, '임대사업(E)'!W:W, B77, '임대사업(E)'!U:U, $D$1),
    SUMIFS('환경부사업(F)'!I:I, '환경부사업(F)'!C:C, $E$1, '환경부사업(F)'!G:G, B75, '환경부사업(F)'!W:W, B77, '환경부사업(F)'!U:U, $D$1),
    SUMIFS('프로젝트(G)'!I:I, '프로젝트(G)'!C:C, $E$1, '프로젝트(G)'!G:G, B75, '프로젝트(G)'!W:W, B77, '프로젝트(G)'!U:U, $D$1),
    SUMIFS('협력사 EPC(H)'!I:I, '협력사 EPC(H)'!C:C, $E$1, '협력사 EPC(H)'!G:G, B75, '협력사 EPC(H)'!W:W, B77, '협력사 EPC(H)'!U:U, $D$1),
    SUMIFS('기타(Z)'!I:I, '기타(Z)'!C:C, $E$1, '기타(Z)'!G:G, B75, '기타(Z)'!W:W, B77, '기타(Z)'!U:U, $D$1)
  )
)</f>
        <v>988.8</v>
      </c>
      <c r="H77" s="281">
        <f>IF(
  (
    COUNTIFS('발전사업(A)'!C:C, $E$1, '발전사업(A)'!G:G, B75, '발전사업(A)'!W:W, B77, '발전사업(A)'!U:U, $D$1)
    + COUNTIFS('자가소비(B)'!C:C, $E$1, '자가소비(B)'!G:G, B75, '자가소비(B)'!W:W, B77, '자가소비(B)'!U:U, $D$1)
    + COUNTIFS('PPA 사업(C)'!C:C, $E$1, 'PPA 사업(C)'!G:G, B75, 'PPA 사업(C)'!W:W, B77, 'PPA 사업(C)'!U:U, $D$1)
    + COUNTIFS('리스사업(D)'!C:C, $E$1, '리스사업(D)'!G:G, B75, '리스사업(D)'!W:W, B77, '리스사업(D)'!U:U, $D$1)
    + COUNTIFS('임대사업(E)'!C:C, $E$1, '임대사업(E)'!G:G, B75, '임대사업(E)'!W:W, B77, '임대사업(E)'!U:U, $D$1)
    + COUNTIFS('환경부사업(F)'!C:C, $E$1, '환경부사업(F)'!G:G, B75, '환경부사업(F)'!W:W, B77, '환경부사업(F)'!U:U, $D$1)
    + COUNTIFS('프로젝트(G)'!C:C, $E$1, '프로젝트(G)'!G:G, B75, '프로젝트(G)'!W:W, B77, '프로젝트(G)'!U:U, $D$1)
    + COUNTIFS('협력사 EPC(H)'!C:C, $E$1, '협력사 EPC(H)'!G:G, B75, '협력사 EPC(H)'!W:W, B77, '협력사 EPC(H)'!U:U, $D$1)
    + COUNTIFS('기타(Z)'!C:C, $E$1, '기타(Z)'!G:G, B75, '기타(Z)'!W:W, B77, '기타(Z)'!U:U, $D$1)
  ) = 0,
  "",
  COUNTIFS('발전사업(A)'!C:C, $E$1, '발전사업(A)'!G:G, B75, '발전사업(A)'!W:W, B77, '발전사업(A)'!U:U, $D$1)
  + COUNTIFS('자가소비(B)'!C:C, $E$1, '자가소비(B)'!G:G, B75, '자가소비(B)'!W:W, B77, '자가소비(B)'!U:U, $D$1)
  + COUNTIFS('PPA 사업(C)'!C:C, $E$1, 'PPA 사업(C)'!G:G, B75, 'PPA 사업(C)'!W:W, B77, 'PPA 사업(C)'!U:U, $D$1)
  + COUNTIFS('리스사업(D)'!C:C, $E$1, '리스사업(D)'!G:G, B75, '리스사업(D)'!W:W, B77, '리스사업(D)'!U:U, $D$1)
  + COUNTIFS('임대사업(E)'!C:C, $E$1, '임대사업(E)'!G:G, B75, '임대사업(E)'!W:W, B77, '임대사업(E)'!U:U, $D$1)
  + COUNTIFS('환경부사업(F)'!C:C, $E$1, '환경부사업(F)'!G:G, B75, '환경부사업(F)'!W:W, B77, '환경부사업(F)'!U:U, $D$1)
  + COUNTIFS('프로젝트(G)'!C:C, $E$1, '프로젝트(G)'!G:G, B75, '프로젝트(G)'!W:W, B77, '프로젝트(G)'!U:U, $D$1)
  + COUNTIFS('협력사 EPC(H)'!C:C, $E$1, '협력사 EPC(H)'!G:G, B75, '협력사 EPC(H)'!W:W, B77, '협력사 EPC(H)'!U:U, $D$1)
  + COUNTIFS('기타(Z)'!C:C, $E$1, '기타(Z)'!G:G, B75, '기타(Z)'!W:W, B77, '기타(Z)'!U:U, $D$1)
)</f>
        <v>4</v>
      </c>
    </row>
    <row r="78" spans="2:8" x14ac:dyDescent="0.25">
      <c r="B78" s="202" t="s">
        <v>260</v>
      </c>
      <c r="C78" s="280">
        <f>IF(
  SUM(
    SUMIFS('발전사업(A)'!I:I, '발전사업(A)'!C:C, $E$1, '발전사업(A)'!G:G, B75, '발전사업(A)'!W:W, B78),
    SUMIFS('자가소비(B)'!I:I, '자가소비(B)'!C:C, $E$1, '자가소비(B)'!G:G, B75, '자가소비(B)'!W:W, B78),
    SUMIFS('PPA 사업(C)'!I:I, 'PPA 사업(C)'!C:C, $E$1, 'PPA 사업(C)'!G:G, B75, 'PPA 사업(C)'!W:W, B78),
    SUMIFS('리스사업(D)'!I:I, '리스사업(D)'!C:C, $E$1, '리스사업(D)'!G:G, B75, '리스사업(D)'!W:W, B78),
    SUMIFS('임대사업(E)'!I:I, '임대사업(E)'!C:C, $E$1, '임대사업(E)'!G:G, B75, '임대사업(E)'!W:W, B78),
    SUMIFS('환경부사업(F)'!I:I, '환경부사업(F)'!C:C, $E$1, '환경부사업(F)'!G:G, B75, '환경부사업(F)'!W:W, B78),
    SUMIFS('프로젝트(G)'!I:I, '프로젝트(G)'!C:C, $E$1, '프로젝트(G)'!G:G, B75, '프로젝트(G)'!W:W, B78),
    SUMIFS('협력사 EPC(H)'!I:I, '협력사 EPC(H)'!C:C, $E$1, '협력사 EPC(H)'!G:G, B75, '협력사 EPC(H)'!W:W, B78),
    SUMIFS('기타(Z)'!I:I, '기타(Z)'!C:C, $E$1, '기타(Z)'!G:G, B75, '기타(Z)'!W:W, B78)
  ) = 0,
  "",
  SUMIFS('발전사업(A)'!I:I, '발전사업(A)'!C:C, $E$1, '발전사업(A)'!G:G, B75, '발전사업(A)'!W:W, B78)
  + SUMIFS('자가소비(B)'!I:I, '자가소비(B)'!C:C, $E$1, '자가소비(B)'!G:G, B75, '자가소비(B)'!W:W, B78)
  + SUMIFS('PPA 사업(C)'!I:I, 'PPA 사업(C)'!C:C, $E$1, 'PPA 사업(C)'!G:G, B75, 'PPA 사업(C)'!W:W, B78)
  + SUMIFS('리스사업(D)'!I:I, '리스사업(D)'!C:C, $E$1, '리스사업(D)'!G:G, B75, '리스사업(D)'!W:W, B78)
  + SUMIFS('임대사업(E)'!I:I, '임대사업(E)'!C:C, $E$1, '임대사업(E)'!G:G, B75, '임대사업(E)'!W:W, B78)
  + SUMIFS('환경부사업(F)'!I:I, '환경부사업(F)'!C:C, $E$1, '환경부사업(F)'!G:G, B75, '환경부사업(F)'!W:W, B78)
  + SUMIFS('프로젝트(G)'!I:I, '프로젝트(G)'!C:C, $E$1, '프로젝트(G)'!G:G, B75, '프로젝트(G)'!W:W, B78)
  + SUMIFS('협력사 EPC(H)'!I:I, '협력사 EPC(H)'!C:C, $E$1, '협력사 EPC(H)'!G:G, B75, '협력사 EPC(H)'!W:W, B78)
  + SUMIFS('기타(Z)'!I:I, '기타(Z)'!C:C, $E$1, '기타(Z)'!G:G, B75, '기타(Z)'!W:W, B78)
)</f>
        <v>951.04</v>
      </c>
      <c r="D78" s="281">
        <f>IF(
  COUNTIFS('발전사업(A)'!C:C, $E$1, '발전사업(A)'!G:G, B75, '발전사업(A)'!W:W, B78)
  + COUNTIFS('자가소비(B)'!C:C, $E$1, '자가소비(B)'!G:G, B75, '자가소비(B)'!W:W, B78)
  + COUNTIFS('PPA 사업(C)'!C:C, $E$1, 'PPA 사업(C)'!G:G, B75, 'PPA 사업(C)'!W:W, B78)
  + COUNTIFS('리스사업(D)'!C:C, $E$1, '리스사업(D)'!G:G, B75, '리스사업(D)'!W:W, B78)
  + COUNTIFS('임대사업(E)'!C:C, $E$1, '임대사업(E)'!G:G, B75, '임대사업(E)'!W:W, B78)
  + COUNTIFS('환경부사업(F)'!C:C, $E$1, '환경부사업(F)'!G:G, B75, '환경부사업(F)'!W:W, B78)
  + COUNTIFS('프로젝트(G)'!C:C, $E$1, '프로젝트(G)'!G:G, B75, '프로젝트(G)'!W:W, B78)
  + COUNTIFS('협력사 EPC(H)'!C:C, $E$1, '협력사 EPC(H)'!G:G, B75, '협력사 EPC(H)'!W:W, B78)
  + COUNTIFS('기타(Z)'!C:C, $E$1, '기타(Z)'!G:G, B75, '기타(Z)'!W:W, B78)
  = 0,
  "",
  COUNTIFS('발전사업(A)'!C:C, $E$1, '발전사업(A)'!G:G, B75, '발전사업(A)'!W:W, B78)
  + COUNTIFS('자가소비(B)'!C:C, $E$1, '자가소비(B)'!G:G, B75, '자가소비(B)'!W:W, B78)
  + COUNTIFS('PPA 사업(C)'!C:C, $E$1, 'PPA 사업(C)'!G:G, B75, 'PPA 사업(C)'!W:W, B78)
  + COUNTIFS('리스사업(D)'!C:C, $E$1, '리스사업(D)'!G:G, B75, '리스사업(D)'!W:W, B78)
  + COUNTIFS('임대사업(E)'!C:C, $E$1, '임대사업(E)'!G:G, B75, '임대사업(E)'!W:W, B78)
  + COUNTIFS('환경부사업(F)'!C:C, $E$1, '환경부사업(F)'!G:G, B75, '환경부사업(F)'!W:W, B78)
  + COUNTIFS('프로젝트(G)'!C:C, $E$1, '프로젝트(G)'!G:G, B75, '프로젝트(G)'!W:W, B78)
  + COUNTIFS('협력사 EPC(H)'!C:C, $E$1, '협력사 EPC(H)'!G:G, B75, '협력사 EPC(H)'!W:W, B78)
  + COUNTIFS('기타(Z)'!C:C, $E$1, '기타(Z)'!G:G, B75, '기타(Z)'!W:W, B78)
)</f>
        <v>1</v>
      </c>
      <c r="E78" s="280">
        <f>IF(
  SUM(
    SUMIFS('발전사업(A)'!I:I, '발전사업(A)'!C:C, $E$1, '발전사업(A)'!G:G, B75, '발전사업(A)'!W:W, B78, '발전사업(A)'!U:U, $C$1),
    SUMIFS('자가소비(B)'!I:I, '자가소비(B)'!C:C, $E$1, '자가소비(B)'!G:G, B75, '자가소비(B)'!W:W, B78, '자가소비(B)'!U:U, $C$1),
    SUMIFS('PPA 사업(C)'!I:I, 'PPA 사업(C)'!C:C, $E$1, 'PPA 사업(C)'!G:G, B75, 'PPA 사업(C)'!W:W, B78, 'PPA 사업(C)'!U:U, $C$1),
    SUMIFS('리스사업(D)'!I:I, '리스사업(D)'!C:C, $E$1, '리스사업(D)'!G:G, B75, '리스사업(D)'!W:W, B78, '리스사업(D)'!U:U, $C$1),
    SUMIFS('임대사업(E)'!I:I, '임대사업(E)'!C:C, $E$1, '임대사업(E)'!G:G, B75, '임대사업(E)'!W:W, B78, '임대사업(E)'!U:U, $C$1),
    SUMIFS('환경부사업(F)'!I:I, '환경부사업(F)'!C:C, $E$1, '환경부사업(F)'!G:G, B75, '환경부사업(F)'!W:W, B78, '환경부사업(F)'!U:U, $C$1),
    SUMIFS('프로젝트(G)'!I:I, '프로젝트(G)'!C:C, $E$1, '프로젝트(G)'!G:G, B75, '프로젝트(G)'!W:W, B78, '프로젝트(G)'!U:U, $C$1),
    SUMIFS('협력사 EPC(H)'!I:I, '협력사 EPC(H)'!C:C, $E$1, '협력사 EPC(H)'!G:G, B75, '협력사 EPC(H)'!W:W, B78, '협력사 EPC(H)'!U:U, $C$1),
    SUMIFS('기타(Z)'!I:I, '기타(Z)'!C:C, $E$1, '기타(Z)'!G:G, B75, '기타(Z)'!W:W, B78, '기타(Z)'!U:U, $C$1)
  ) = 0,
  "",
  SUM(
    SUMIFS('발전사업(A)'!I:I, '발전사업(A)'!C:C, $E$1, '발전사업(A)'!G:G, B75, '발전사업(A)'!W:W, B78, '발전사업(A)'!U:U, $C$1),
    SUMIFS('자가소비(B)'!I:I, '자가소비(B)'!C:C, $E$1, '자가소비(B)'!G:G, B75, '자가소비(B)'!W:W, B78, '자가소비(B)'!U:U, $C$1),
    SUMIFS('PPA 사업(C)'!I:I, 'PPA 사업(C)'!C:C, $E$1, 'PPA 사업(C)'!G:G, B75, 'PPA 사업(C)'!W:W, B78, 'PPA 사업(C)'!U:U, $C$1),
    SUMIFS('리스사업(D)'!I:I, '리스사업(D)'!C:C, $E$1, '리스사업(D)'!G:G, B75, '리스사업(D)'!W:W, B78, '리스사업(D)'!U:U, $C$1),
    SUMIFS('임대사업(E)'!I:I, '임대사업(E)'!C:C, $E$1, '임대사업(E)'!G:G, B75, '임대사업(E)'!W:W, B78, '임대사업(E)'!U:U, $C$1),
    SUMIFS('환경부사업(F)'!I:I, '환경부사업(F)'!C:C, $E$1, '환경부사업(F)'!G:G, B75, '환경부사업(F)'!W:W, B78, '환경부사업(F)'!U:U, $C$1),
    SUMIFS('프로젝트(G)'!I:I, '프로젝트(G)'!C:C, $E$1, '프로젝트(G)'!G:G, B75, '프로젝트(G)'!W:W, B78, '프로젝트(G)'!U:U, $C$1),
    SUMIFS('협력사 EPC(H)'!I:I, '협력사 EPC(H)'!C:C, $E$1, '협력사 EPC(H)'!G:G, B75, '협력사 EPC(H)'!W:W, B78, '협력사 EPC(H)'!U:U, $C$1),
    SUMIFS('기타(Z)'!I:I, '기타(Z)'!C:C, $E$1, '기타(Z)'!G:G, B75, '기타(Z)'!W:W, B78, '기타(Z)'!U:U, $C$1)
  )
)</f>
        <v>951.04</v>
      </c>
      <c r="F78" s="281">
        <f>IF(
  SUM(
    COUNTIFS('발전사업(A)'!C:C, $E$1, '발전사업(A)'!G:G, B75, '발전사업(A)'!W:W, B78, '발전사업(A)'!U:U, $C$1),
    COUNTIFS('자가소비(B)'!C:C, $E$1, '자가소비(B)'!G:G, B75, '자가소비(B)'!W:W, B78, '자가소비(B)'!U:U, $C$1),
    COUNTIFS('PPA 사업(C)'!C:C, $E$1, 'PPA 사업(C)'!G:G, B75, 'PPA 사업(C)'!W:W, B78, 'PPA 사업(C)'!U:U, $C$1),
    COUNTIFS('리스사업(D)'!C:C, $E$1, '리스사업(D)'!G:G, B75, '리스사업(D)'!W:W, B78, '리스사업(D)'!U:U, $C$1),
    COUNTIFS('임대사업(E)'!C:C, $E$1, '임대사업(E)'!G:G, B75, '임대사업(E)'!W:W, B78, '임대사업(E)'!U:U, $C$1),
    COUNTIFS('환경부사업(F)'!C:C, $E$1, '환경부사업(F)'!G:G, B75, '환경부사업(F)'!W:W, B78, '환경부사업(F)'!U:U, $C$1),
    COUNTIFS('프로젝트(G)'!C:C, $E$1, '프로젝트(G)'!G:G, B75, '프로젝트(G)'!W:W, B78, '프로젝트(G)'!U:U, $C$1),
    COUNTIFS('협력사 EPC(H)'!C:C, $E$1, '협력사 EPC(H)'!G:G, B75, '협력사 EPC(H)'!W:W, B78, '협력사 EPC(H)'!U:U, $C$1),
    COUNTIFS('기타(Z)'!C:C, $E$1, '기타(Z)'!G:G, B75, '기타(Z)'!W:W, B78, '기타(Z)'!U:U, $C$1)
  ) = 0,
  "",
  SUM(
    COUNTIFS('발전사업(A)'!C:C, $E$1, '발전사업(A)'!G:G, B75, '발전사업(A)'!W:W, B78, '발전사업(A)'!U:U, $C$1),
    COUNTIFS('자가소비(B)'!C:C, $E$1, '자가소비(B)'!G:G, B75, '자가소비(B)'!W:W, B78, '자가소비(B)'!U:U, $C$1),
    COUNTIFS('PPA 사업(C)'!C:C, $E$1, 'PPA 사업(C)'!G:G, B75, 'PPA 사업(C)'!W:W, B78, 'PPA 사업(C)'!U:U, $C$1),
    COUNTIFS('리스사업(D)'!C:C, $E$1, '리스사업(D)'!G:G, B75, '리스사업(D)'!W:W, B78, '리스사업(D)'!U:U, $C$1),
    COUNTIFS('임대사업(E)'!C:C, $E$1, '임대사업(E)'!G:G, B75, '임대사업(E)'!W:W, B78, '임대사업(E)'!U:U, $C$1),
    COUNTIFS('환경부사업(F)'!C:C, $E$1, '환경부사업(F)'!G:G, B75, '환경부사업(F)'!W:W, B78, '환경부사업(F)'!U:U, $C$1),
    COUNTIFS('프로젝트(G)'!C:C, $E$1, '프로젝트(G)'!G:G, B75, '프로젝트(G)'!W:W, B78, '프로젝트(G)'!U:U, $C$1),
    COUNTIFS('협력사 EPC(H)'!C:C, $E$1, '협력사 EPC(H)'!G:G, B75, '협력사 EPC(H)'!W:W, B78, '협력사 EPC(H)'!U:U, $C$1),
    COUNTIFS('기타(Z)'!C:C, $E$1, '기타(Z)'!G:G, B75, '기타(Z)'!W:W, B78, '기타(Z)'!U:U, $C$1)
  )
)</f>
        <v>1</v>
      </c>
      <c r="G78" s="280" t="str">
        <f>IF(
  SUM(
    SUMIFS('발전사업(A)'!I:I, '발전사업(A)'!C:C, $E$1, '발전사업(A)'!G:G, B75, '발전사업(A)'!W:W, B78, '발전사업(A)'!U:U, $D$1),
    SUMIFS('자가소비(B)'!I:I, '자가소비(B)'!C:C, $E$1, '자가소비(B)'!G:G, B75, '자가소비(B)'!W:W, B78, '자가소비(B)'!U:U, $D$1),
    SUMIFS('PPA 사업(C)'!I:I, 'PPA 사업(C)'!C:C, $E$1, 'PPA 사업(C)'!G:G, B75, 'PPA 사업(C)'!W:W, B78, 'PPA 사업(C)'!U:U, $D$1),
    SUMIFS('리스사업(D)'!I:I, '리스사업(D)'!C:C, $E$1, '리스사업(D)'!G:G, B75, '리스사업(D)'!W:W, B78, '리스사업(D)'!U:U, $D$1),
    SUMIFS('임대사업(E)'!I:I, '임대사업(E)'!C:C, $E$1, '임대사업(E)'!G:G, B75, '임대사업(E)'!W:W, B78, '임대사업(E)'!U:U, $D$1),
    SUMIFS('환경부사업(F)'!I:I, '환경부사업(F)'!C:C, $E$1, '환경부사업(F)'!G:G, B75, '환경부사업(F)'!W:W, B78, '환경부사업(F)'!U:U, $D$1),
    SUMIFS('프로젝트(G)'!I:I, '프로젝트(G)'!C:C, $E$1, '프로젝트(G)'!G:G, B75, '프로젝트(G)'!W:W, B78, '프로젝트(G)'!U:U, $D$1),
    SUMIFS('협력사 EPC(H)'!I:I, '협력사 EPC(H)'!C:C, $E$1, '협력사 EPC(H)'!G:G, B75, '협력사 EPC(H)'!W:W, B78, '협력사 EPC(H)'!U:U, $D$1),
    SUMIFS('기타(Z)'!I:I, '기타(Z)'!C:C, $E$1, '기타(Z)'!G:G, B75, '기타(Z)'!W:W, B78, '기타(Z)'!U:U, $D$1)
  ) = 0,
  "",
  SUM(
    SUMIFS('발전사업(A)'!I:I, '발전사업(A)'!C:C, $E$1, '발전사업(A)'!G:G, B75, '발전사업(A)'!W:W, B78, '발전사업(A)'!U:U, $D$1),
    SUMIFS('자가소비(B)'!I:I, '자가소비(B)'!C:C, $E$1, '자가소비(B)'!G:G, B75, '자가소비(B)'!W:W, B78, '자가소비(B)'!U:U, $D$1),
    SUMIFS('PPA 사업(C)'!I:I, 'PPA 사업(C)'!C:C, $E$1, 'PPA 사업(C)'!G:G, B75, 'PPA 사업(C)'!W:W, B78, 'PPA 사업(C)'!U:U, $D$1),
    SUMIFS('리스사업(D)'!I:I, '리스사업(D)'!C:C, $E$1, '리스사업(D)'!G:G, B75, '리스사업(D)'!W:W, B78, '리스사업(D)'!U:U, $D$1),
    SUMIFS('임대사업(E)'!I:I, '임대사업(E)'!C:C, $E$1, '임대사업(E)'!G:G, B75, '임대사업(E)'!W:W, B78, '임대사업(E)'!U:U, $D$1),
    SUMIFS('환경부사업(F)'!I:I, '환경부사업(F)'!C:C, $E$1, '환경부사업(F)'!G:G, B75, '환경부사업(F)'!W:W, B78, '환경부사업(F)'!U:U, $D$1),
    SUMIFS('프로젝트(G)'!I:I, '프로젝트(G)'!C:C, $E$1, '프로젝트(G)'!G:G, B75, '프로젝트(G)'!W:W, B78, '프로젝트(G)'!U:U, $D$1),
    SUMIFS('협력사 EPC(H)'!I:I, '협력사 EPC(H)'!C:C, $E$1, '협력사 EPC(H)'!G:G, B75, '협력사 EPC(H)'!W:W, B78, '협력사 EPC(H)'!U:U, $D$1),
    SUMIFS('기타(Z)'!I:I, '기타(Z)'!C:C, $E$1, '기타(Z)'!G:G, B75, '기타(Z)'!W:W, B78, '기타(Z)'!U:U, $D$1)
  )
)</f>
        <v/>
      </c>
      <c r="H78" s="281" t="str">
        <f>IF(
  (
    COUNTIFS('발전사업(A)'!C:C, $E$1, '발전사업(A)'!G:G, B75, '발전사업(A)'!W:W, B78, '발전사업(A)'!U:U, $D$1)
    + COUNTIFS('자가소비(B)'!C:C, $E$1, '자가소비(B)'!G:G, B75, '자가소비(B)'!W:W, B78, '자가소비(B)'!U:U, $D$1)
    + COUNTIFS('PPA 사업(C)'!C:C, $E$1, 'PPA 사업(C)'!G:G, B75, 'PPA 사업(C)'!W:W, B78, 'PPA 사업(C)'!U:U, $D$1)
    + COUNTIFS('리스사업(D)'!C:C, $E$1, '리스사업(D)'!G:G, B75, '리스사업(D)'!W:W, B78, '리스사업(D)'!U:U, $D$1)
    + COUNTIFS('임대사업(E)'!C:C, $E$1, '임대사업(E)'!G:G, B75, '임대사업(E)'!W:W, B78, '임대사업(E)'!U:U, $D$1)
    + COUNTIFS('환경부사업(F)'!C:C, $E$1, '환경부사업(F)'!G:G, B75, '환경부사업(F)'!W:W, B78, '환경부사업(F)'!U:U, $D$1)
    + COUNTIFS('프로젝트(G)'!C:C, $E$1, '프로젝트(G)'!G:G, B75, '프로젝트(G)'!W:W, B78, '프로젝트(G)'!U:U, $D$1)
    + COUNTIFS('협력사 EPC(H)'!C:C, $E$1, '협력사 EPC(H)'!G:G, B75, '협력사 EPC(H)'!W:W, B78, '협력사 EPC(H)'!U:U, $D$1)
    + COUNTIFS('기타(Z)'!C:C, $E$1, '기타(Z)'!G:G, B75, '기타(Z)'!W:W, B78, '기타(Z)'!U:U, $D$1)
  ) = 0,
  "",
  COUNTIFS('발전사업(A)'!C:C, $E$1, '발전사업(A)'!G:G, B75, '발전사업(A)'!W:W, B78, '발전사업(A)'!U:U, $D$1)
  + COUNTIFS('자가소비(B)'!C:C, $E$1, '자가소비(B)'!G:G, B75, '자가소비(B)'!W:W, B78, '자가소비(B)'!U:U, $D$1)
  + COUNTIFS('PPA 사업(C)'!C:C, $E$1, 'PPA 사업(C)'!G:G, B75, 'PPA 사업(C)'!W:W, B78, 'PPA 사업(C)'!U:U, $D$1)
  + COUNTIFS('리스사업(D)'!C:C, $E$1, '리스사업(D)'!G:G, B75, '리스사업(D)'!W:W, B78, '리스사업(D)'!U:U, $D$1)
  + COUNTIFS('임대사업(E)'!C:C, $E$1, '임대사업(E)'!G:G, B75, '임대사업(E)'!W:W, B78, '임대사업(E)'!U:U, $D$1)
  + COUNTIFS('환경부사업(F)'!C:C, $E$1, '환경부사업(F)'!G:G, B75, '환경부사업(F)'!W:W, B78, '환경부사업(F)'!U:U, $D$1)
  + COUNTIFS('프로젝트(G)'!C:C, $E$1, '프로젝트(G)'!G:G, B75, '프로젝트(G)'!W:W, B78, '프로젝트(G)'!U:U, $D$1)
  + COUNTIFS('협력사 EPC(H)'!C:C, $E$1, '협력사 EPC(H)'!G:G, B75, '협력사 EPC(H)'!W:W, B78, '협력사 EPC(H)'!U:U, $D$1)
  + COUNTIFS('기타(Z)'!C:C, $E$1, '기타(Z)'!G:G, B75, '기타(Z)'!W:W, B78, '기타(Z)'!U:U, $D$1)
)</f>
        <v/>
      </c>
    </row>
    <row r="79" spans="2:8" x14ac:dyDescent="0.25">
      <c r="B79" s="202" t="s">
        <v>261</v>
      </c>
      <c r="C79" s="280">
        <f>IF(
  SUM(
    SUMIFS('발전사업(A)'!I:I, '발전사업(A)'!C:C, $E$1, '발전사업(A)'!G:G, B75, '발전사업(A)'!W:W, B79),
    SUMIFS('자가소비(B)'!I:I, '자가소비(B)'!C:C, $E$1, '자가소비(B)'!G:G, B75, '자가소비(B)'!W:W, B79),
    SUMIFS('PPA 사업(C)'!I:I, 'PPA 사업(C)'!C:C, $E$1, 'PPA 사업(C)'!G:G, B75, 'PPA 사업(C)'!W:W, B79),
    SUMIFS('리스사업(D)'!I:I, '리스사업(D)'!C:C, $E$1, '리스사업(D)'!G:G, B75, '리스사업(D)'!W:W, B79),
    SUMIFS('임대사업(E)'!I:I, '임대사업(E)'!C:C, $E$1, '임대사업(E)'!G:G, B75, '임대사업(E)'!W:W, B79),
    SUMIFS('환경부사업(F)'!I:I, '환경부사업(F)'!C:C, $E$1, '환경부사업(F)'!G:G, B75, '환경부사업(F)'!W:W, B79),
    SUMIFS('프로젝트(G)'!I:I, '프로젝트(G)'!C:C, $E$1, '프로젝트(G)'!G:G, B75, '프로젝트(G)'!W:W, B79),
    SUMIFS('협력사 EPC(H)'!I:I, '협력사 EPC(H)'!C:C, $E$1, '협력사 EPC(H)'!G:G, B75, '협력사 EPC(H)'!W:W, B79),
    SUMIFS('기타(Z)'!I:I, '기타(Z)'!C:C, $E$1, '기타(Z)'!G:G, B75, '기타(Z)'!W:W, B79)
  ) = 0,
  "",
  SUMIFS('발전사업(A)'!I:I, '발전사업(A)'!C:C, $E$1, '발전사업(A)'!G:G, B75, '발전사업(A)'!W:W, B79)
  + SUMIFS('자가소비(B)'!I:I, '자가소비(B)'!C:C, $E$1, '자가소비(B)'!G:G, B75, '자가소비(B)'!W:W, B79)
  + SUMIFS('PPA 사업(C)'!I:I, 'PPA 사업(C)'!C:C, $E$1, 'PPA 사업(C)'!G:G, B75, 'PPA 사업(C)'!W:W, B79)
  + SUMIFS('리스사업(D)'!I:I, '리스사업(D)'!C:C, $E$1, '리스사업(D)'!G:G, B75, '리스사업(D)'!W:W, B79)
  + SUMIFS('임대사업(E)'!I:I, '임대사업(E)'!C:C, $E$1, '임대사업(E)'!G:G, B75, '임대사업(E)'!W:W, B79)
  + SUMIFS('환경부사업(F)'!I:I, '환경부사업(F)'!C:C, $E$1, '환경부사업(F)'!G:G, B75, '환경부사업(F)'!W:W, B79)
  + SUMIFS('프로젝트(G)'!I:I, '프로젝트(G)'!C:C, $E$1, '프로젝트(G)'!G:G, B75, '프로젝트(G)'!W:W, B79)
  + SUMIFS('협력사 EPC(H)'!I:I, '협력사 EPC(H)'!C:C, $E$1, '협력사 EPC(H)'!G:G, B75, '협력사 EPC(H)'!W:W, B79)
  + SUMIFS('기타(Z)'!I:I, '기타(Z)'!C:C, $E$1, '기타(Z)'!G:G, B75, '기타(Z)'!W:W, B79)
)</f>
        <v>641.92000000000007</v>
      </c>
      <c r="D79" s="281">
        <f>IF(
  COUNTIFS('발전사업(A)'!C:C, $E$1, '발전사업(A)'!G:G, B75, '발전사업(A)'!W:W, B79)
  + COUNTIFS('자가소비(B)'!C:C, $E$1, '자가소비(B)'!G:G, B75, '자가소비(B)'!W:W, B79)
  + COUNTIFS('PPA 사업(C)'!C:C, $E$1, 'PPA 사업(C)'!G:G, B75, 'PPA 사업(C)'!W:W, B79)
  + COUNTIFS('리스사업(D)'!C:C, $E$1, '리스사업(D)'!G:G, B75, '리스사업(D)'!W:W, B79)
  + COUNTIFS('임대사업(E)'!C:C, $E$1, '임대사업(E)'!G:G, B75, '임대사업(E)'!W:W, B79)
  + COUNTIFS('환경부사업(F)'!C:C, $E$1, '환경부사업(F)'!G:G, B75, '환경부사업(F)'!W:W, B79)
  + COUNTIFS('프로젝트(G)'!C:C, $E$1, '프로젝트(G)'!G:G, B75, '프로젝트(G)'!W:W, B79)
  + COUNTIFS('협력사 EPC(H)'!C:C, $E$1, '협력사 EPC(H)'!G:G, B75, '협력사 EPC(H)'!W:W, B79)
  + COUNTIFS('기타(Z)'!C:C, $E$1, '기타(Z)'!G:G, B75, '기타(Z)'!W:W, B79)
  = 0,
  "",
  COUNTIFS('발전사업(A)'!C:C, $E$1, '발전사업(A)'!G:G, B75, '발전사업(A)'!W:W, B79)
  + COUNTIFS('자가소비(B)'!C:C, $E$1, '자가소비(B)'!G:G, B75, '자가소비(B)'!W:W, B79)
  + COUNTIFS('PPA 사업(C)'!C:C, $E$1, 'PPA 사업(C)'!G:G, B75, 'PPA 사업(C)'!W:W, B79)
  + COUNTIFS('리스사업(D)'!C:C, $E$1, '리스사업(D)'!G:G, B75, '리스사업(D)'!W:W, B79)
  + COUNTIFS('임대사업(E)'!C:C, $E$1, '임대사업(E)'!G:G, B75, '임대사업(E)'!W:W, B79)
  + COUNTIFS('환경부사업(F)'!C:C, $E$1, '환경부사업(F)'!G:G, B75, '환경부사업(F)'!W:W, B79)
  + COUNTIFS('프로젝트(G)'!C:C, $E$1, '프로젝트(G)'!G:G, B75, '프로젝트(G)'!W:W, B79)
  + COUNTIFS('협력사 EPC(H)'!C:C, $E$1, '협력사 EPC(H)'!G:G, B75, '협력사 EPC(H)'!W:W, B79)
  + COUNTIFS('기타(Z)'!C:C, $E$1, '기타(Z)'!G:G, B75, '기타(Z)'!W:W, B79)
)</f>
        <v>2</v>
      </c>
      <c r="E79" s="280" t="str">
        <f>IF(
  SUM(
    SUMIFS('발전사업(A)'!I:I, '발전사업(A)'!C:C, $E$1, '발전사업(A)'!G:G, B75, '발전사업(A)'!W:W, B79, '발전사업(A)'!U:U, $C$1),
    SUMIFS('자가소비(B)'!I:I, '자가소비(B)'!C:C, $E$1, '자가소비(B)'!G:G, B75, '자가소비(B)'!W:W, B79, '자가소비(B)'!U:U, $C$1),
    SUMIFS('PPA 사업(C)'!I:I, 'PPA 사업(C)'!C:C, $E$1, 'PPA 사업(C)'!G:G, B75, 'PPA 사업(C)'!W:W, B79, 'PPA 사업(C)'!U:U, $C$1),
    SUMIFS('리스사업(D)'!I:I, '리스사업(D)'!C:C, $E$1, '리스사업(D)'!G:G, B75, '리스사업(D)'!W:W, B79, '리스사업(D)'!U:U, $C$1),
    SUMIFS('임대사업(E)'!I:I, '임대사업(E)'!C:C, $E$1, '임대사업(E)'!G:G, B75, '임대사업(E)'!W:W, B79, '임대사업(E)'!U:U, $C$1),
    SUMIFS('환경부사업(F)'!I:I, '환경부사업(F)'!C:C, $E$1, '환경부사업(F)'!G:G, B75, '환경부사업(F)'!W:W, B79, '환경부사업(F)'!U:U, $C$1),
    SUMIFS('프로젝트(G)'!I:I, '프로젝트(G)'!C:C, $E$1, '프로젝트(G)'!G:G, B75, '프로젝트(G)'!W:W, B79, '프로젝트(G)'!U:U, $C$1),
    SUMIFS('협력사 EPC(H)'!I:I, '협력사 EPC(H)'!C:C, $E$1, '협력사 EPC(H)'!G:G, B75, '협력사 EPC(H)'!W:W, B79, '협력사 EPC(H)'!U:U, $C$1),
    SUMIFS('기타(Z)'!I:I, '기타(Z)'!C:C, $E$1, '기타(Z)'!G:G, B75, '기타(Z)'!W:W, B79, '기타(Z)'!U:U, $C$1)
  ) = 0,
  "",
  SUM(
    SUMIFS('발전사업(A)'!I:I, '발전사업(A)'!C:C, $E$1, '발전사업(A)'!G:G, B75, '발전사업(A)'!W:W, B79, '발전사업(A)'!U:U, $C$1),
    SUMIFS('자가소비(B)'!I:I, '자가소비(B)'!C:C, $E$1, '자가소비(B)'!G:G, B75, '자가소비(B)'!W:W, B79, '자가소비(B)'!U:U, $C$1),
    SUMIFS('PPA 사업(C)'!I:I, 'PPA 사업(C)'!C:C, $E$1, 'PPA 사업(C)'!G:G, B75, 'PPA 사업(C)'!W:W, B79, 'PPA 사업(C)'!U:U, $C$1),
    SUMIFS('리스사업(D)'!I:I, '리스사업(D)'!C:C, $E$1, '리스사업(D)'!G:G, B75, '리스사업(D)'!W:W, B79, '리스사업(D)'!U:U, $C$1),
    SUMIFS('임대사업(E)'!I:I, '임대사업(E)'!C:C, $E$1, '임대사업(E)'!G:G, B75, '임대사업(E)'!W:W, B79, '임대사업(E)'!U:U, $C$1),
    SUMIFS('환경부사업(F)'!I:I, '환경부사업(F)'!C:C, $E$1, '환경부사업(F)'!G:G, B75, '환경부사업(F)'!W:W, B79, '환경부사업(F)'!U:U, $C$1),
    SUMIFS('프로젝트(G)'!I:I, '프로젝트(G)'!C:C, $E$1, '프로젝트(G)'!G:G, B75, '프로젝트(G)'!W:W, B79, '프로젝트(G)'!U:U, $C$1),
    SUMIFS('협력사 EPC(H)'!I:I, '협력사 EPC(H)'!C:C, $E$1, '협력사 EPC(H)'!G:G, B75, '협력사 EPC(H)'!W:W, B79, '협력사 EPC(H)'!U:U, $C$1),
    SUMIFS('기타(Z)'!I:I, '기타(Z)'!C:C, $E$1, '기타(Z)'!G:G, B75, '기타(Z)'!W:W, B79, '기타(Z)'!U:U, $C$1)
  )
)</f>
        <v/>
      </c>
      <c r="F79" s="281" t="str">
        <f>IF(
  SUM(
    COUNTIFS('발전사업(A)'!C:C, $E$1, '발전사업(A)'!G:G, B75, '발전사업(A)'!W:W, B79, '발전사업(A)'!U:U, $C$1),
    COUNTIFS('자가소비(B)'!C:C, $E$1, '자가소비(B)'!G:G, B75, '자가소비(B)'!W:W, B79, '자가소비(B)'!U:U, $C$1),
    COUNTIFS('PPA 사업(C)'!C:C, $E$1, 'PPA 사업(C)'!G:G, B75, 'PPA 사업(C)'!W:W, B79, 'PPA 사업(C)'!U:U, $C$1),
    COUNTIFS('리스사업(D)'!C:C, $E$1, '리스사업(D)'!G:G, B75, '리스사업(D)'!W:W, B79, '리스사업(D)'!U:U, $C$1),
    COUNTIFS('임대사업(E)'!C:C, $E$1, '임대사업(E)'!G:G, B75, '임대사업(E)'!W:W, B79, '임대사업(E)'!U:U, $C$1),
    COUNTIFS('환경부사업(F)'!C:C, $E$1, '환경부사업(F)'!G:G, B75, '환경부사업(F)'!W:W, B79, '환경부사업(F)'!U:U, $C$1),
    COUNTIFS('프로젝트(G)'!C:C, $E$1, '프로젝트(G)'!G:G, B75, '프로젝트(G)'!W:W, B79, '프로젝트(G)'!U:U, $C$1),
    COUNTIFS('협력사 EPC(H)'!C:C, $E$1, '협력사 EPC(H)'!G:G, B75, '협력사 EPC(H)'!W:W, B79, '협력사 EPC(H)'!U:U, $C$1),
    COUNTIFS('기타(Z)'!C:C, $E$1, '기타(Z)'!G:G, B75, '기타(Z)'!W:W, B79, '기타(Z)'!U:U, $C$1)
  ) = 0,
  "",
  SUM(
    COUNTIFS('발전사업(A)'!C:C, $E$1, '발전사업(A)'!G:G, B75, '발전사업(A)'!W:W, B79, '발전사업(A)'!U:U, $C$1),
    COUNTIFS('자가소비(B)'!C:C, $E$1, '자가소비(B)'!G:G, B75, '자가소비(B)'!W:W, B79, '자가소비(B)'!U:U, $C$1),
    COUNTIFS('PPA 사업(C)'!C:C, $E$1, 'PPA 사업(C)'!G:G, B75, 'PPA 사업(C)'!W:W, B79, 'PPA 사업(C)'!U:U, $C$1),
    COUNTIFS('리스사업(D)'!C:C, $E$1, '리스사업(D)'!G:G, B75, '리스사업(D)'!W:W, B79, '리스사업(D)'!U:U, $C$1),
    COUNTIFS('임대사업(E)'!C:C, $E$1, '임대사업(E)'!G:G, B75, '임대사업(E)'!W:W, B79, '임대사업(E)'!U:U, $C$1),
    COUNTIFS('환경부사업(F)'!C:C, $E$1, '환경부사업(F)'!G:G, B75, '환경부사업(F)'!W:W, B79, '환경부사업(F)'!U:U, $C$1),
    COUNTIFS('프로젝트(G)'!C:C, $E$1, '프로젝트(G)'!G:G, B75, '프로젝트(G)'!W:W, B79, '프로젝트(G)'!U:U, $C$1),
    COUNTIFS('협력사 EPC(H)'!C:C, $E$1, '협력사 EPC(H)'!G:G, B75, '협력사 EPC(H)'!W:W, B79, '협력사 EPC(H)'!U:U, $C$1),
    COUNTIFS('기타(Z)'!C:C, $E$1, '기타(Z)'!G:G, B75, '기타(Z)'!W:W, B79, '기타(Z)'!U:U, $C$1)
  )
)</f>
        <v/>
      </c>
      <c r="G79" s="280">
        <f>IF(
  SUM(
    SUMIFS('발전사업(A)'!I:I, '발전사업(A)'!C:C, $E$1, '발전사업(A)'!G:G, B75, '발전사업(A)'!W:W, B79, '발전사업(A)'!U:U, $D$1),
    SUMIFS('자가소비(B)'!I:I, '자가소비(B)'!C:C, $E$1, '자가소비(B)'!G:G, B75, '자가소비(B)'!W:W, B79, '자가소비(B)'!U:U, $D$1),
    SUMIFS('PPA 사업(C)'!I:I, 'PPA 사업(C)'!C:C, $E$1, 'PPA 사업(C)'!G:G, B75, 'PPA 사업(C)'!W:W, B79, 'PPA 사업(C)'!U:U, $D$1),
    SUMIFS('리스사업(D)'!I:I, '리스사업(D)'!C:C, $E$1, '리스사업(D)'!G:G, B75, '리스사업(D)'!W:W, B79, '리스사업(D)'!U:U, $D$1),
    SUMIFS('임대사업(E)'!I:I, '임대사업(E)'!C:C, $E$1, '임대사업(E)'!G:G, B75, '임대사업(E)'!W:W, B79, '임대사업(E)'!U:U, $D$1),
    SUMIFS('환경부사업(F)'!I:I, '환경부사업(F)'!C:C, $E$1, '환경부사업(F)'!G:G, B75, '환경부사업(F)'!W:W, B79, '환경부사업(F)'!U:U, $D$1),
    SUMIFS('프로젝트(G)'!I:I, '프로젝트(G)'!C:C, $E$1, '프로젝트(G)'!G:G, B75, '프로젝트(G)'!W:W, B79, '프로젝트(G)'!U:U, $D$1),
    SUMIFS('협력사 EPC(H)'!I:I, '협력사 EPC(H)'!C:C, $E$1, '협력사 EPC(H)'!G:G, B75, '협력사 EPC(H)'!W:W, B79, '협력사 EPC(H)'!U:U, $D$1),
    SUMIFS('기타(Z)'!I:I, '기타(Z)'!C:C, $E$1, '기타(Z)'!G:G, B75, '기타(Z)'!W:W, B79, '기타(Z)'!U:U, $D$1)
  ) = 0,
  "",
  SUM(
    SUMIFS('발전사업(A)'!I:I, '발전사업(A)'!C:C, $E$1, '발전사업(A)'!G:G, B75, '발전사업(A)'!W:W, B79, '발전사업(A)'!U:U, $D$1),
    SUMIFS('자가소비(B)'!I:I, '자가소비(B)'!C:C, $E$1, '자가소비(B)'!G:G, B75, '자가소비(B)'!W:W, B79, '자가소비(B)'!U:U, $D$1),
    SUMIFS('PPA 사업(C)'!I:I, 'PPA 사업(C)'!C:C, $E$1, 'PPA 사업(C)'!G:G, B75, 'PPA 사업(C)'!W:W, B79, 'PPA 사업(C)'!U:U, $D$1),
    SUMIFS('리스사업(D)'!I:I, '리스사업(D)'!C:C, $E$1, '리스사업(D)'!G:G, B75, '리스사업(D)'!W:W, B79, '리스사업(D)'!U:U, $D$1),
    SUMIFS('임대사업(E)'!I:I, '임대사업(E)'!C:C, $E$1, '임대사업(E)'!G:G, B75, '임대사업(E)'!W:W, B79, '임대사업(E)'!U:U, $D$1),
    SUMIFS('환경부사업(F)'!I:I, '환경부사업(F)'!C:C, $E$1, '환경부사업(F)'!G:G, B75, '환경부사업(F)'!W:W, B79, '환경부사업(F)'!U:U, $D$1),
    SUMIFS('프로젝트(G)'!I:I, '프로젝트(G)'!C:C, $E$1, '프로젝트(G)'!G:G, B75, '프로젝트(G)'!W:W, B79, '프로젝트(G)'!U:U, $D$1),
    SUMIFS('협력사 EPC(H)'!I:I, '협력사 EPC(H)'!C:C, $E$1, '협력사 EPC(H)'!G:G, B75, '협력사 EPC(H)'!W:W, B79, '협력사 EPC(H)'!U:U, $D$1),
    SUMIFS('기타(Z)'!I:I, '기타(Z)'!C:C, $E$1, '기타(Z)'!G:G, B75, '기타(Z)'!W:W, B79, '기타(Z)'!U:U, $D$1)
  )
)</f>
        <v>641.92000000000007</v>
      </c>
      <c r="H79" s="281">
        <f>IF(
  (
    COUNTIFS('발전사업(A)'!C:C, $E$1, '발전사업(A)'!G:G, B75, '발전사업(A)'!W:W, B79, '발전사업(A)'!U:U, $D$1)
    + COUNTIFS('자가소비(B)'!C:C, $E$1, '자가소비(B)'!G:G, B75, '자가소비(B)'!W:W, B79, '자가소비(B)'!U:U, $D$1)
    + COUNTIFS('PPA 사업(C)'!C:C, $E$1, 'PPA 사업(C)'!G:G, B75, 'PPA 사업(C)'!W:W, B79, 'PPA 사업(C)'!U:U, $D$1)
    + COUNTIFS('리스사업(D)'!C:C, $E$1, '리스사업(D)'!G:G, B75, '리스사업(D)'!W:W, B79, '리스사업(D)'!U:U, $D$1)
    + COUNTIFS('임대사업(E)'!C:C, $E$1, '임대사업(E)'!G:G, B75, '임대사업(E)'!W:W, B79, '임대사업(E)'!U:U, $D$1)
    + COUNTIFS('환경부사업(F)'!C:C, $E$1, '환경부사업(F)'!G:G, B75, '환경부사업(F)'!W:W, B79, '환경부사업(F)'!U:U, $D$1)
    + COUNTIFS('프로젝트(G)'!C:C, $E$1, '프로젝트(G)'!G:G, B75, '프로젝트(G)'!W:W, B79, '프로젝트(G)'!U:U, $D$1)
    + COUNTIFS('협력사 EPC(H)'!C:C, $E$1, '협력사 EPC(H)'!G:G, B75, '협력사 EPC(H)'!W:W, B79, '협력사 EPC(H)'!U:U, $D$1)
    + COUNTIFS('기타(Z)'!C:C, $E$1, '기타(Z)'!G:G, B75, '기타(Z)'!W:W, B79, '기타(Z)'!U:U, $D$1)
  ) = 0,
  "",
  COUNTIFS('발전사업(A)'!C:C, $E$1, '발전사업(A)'!G:G, B75, '발전사업(A)'!W:W, B79, '발전사업(A)'!U:U, $D$1)
  + COUNTIFS('자가소비(B)'!C:C, $E$1, '자가소비(B)'!G:G, B75, '자가소비(B)'!W:W, B79, '자가소비(B)'!U:U, $D$1)
  + COUNTIFS('PPA 사업(C)'!C:C, $E$1, 'PPA 사업(C)'!G:G, B75, 'PPA 사업(C)'!W:W, B79, 'PPA 사업(C)'!U:U, $D$1)
  + COUNTIFS('리스사업(D)'!C:C, $E$1, '리스사업(D)'!G:G, B75, '리스사업(D)'!W:W, B79, '리스사업(D)'!U:U, $D$1)
  + COUNTIFS('임대사업(E)'!C:C, $E$1, '임대사업(E)'!G:G, B75, '임대사업(E)'!W:W, B79, '임대사업(E)'!U:U, $D$1)
  + COUNTIFS('환경부사업(F)'!C:C, $E$1, '환경부사업(F)'!G:G, B75, '환경부사업(F)'!W:W, B79, '환경부사업(F)'!U:U, $D$1)
  + COUNTIFS('프로젝트(G)'!C:C, $E$1, '프로젝트(G)'!G:G, B75, '프로젝트(G)'!W:W, B79, '프로젝트(G)'!U:U, $D$1)
  + COUNTIFS('협력사 EPC(H)'!C:C, $E$1, '협력사 EPC(H)'!G:G, B75, '협력사 EPC(H)'!W:W, B79, '협력사 EPC(H)'!U:U, $D$1)
  + COUNTIFS('기타(Z)'!C:C, $E$1, '기타(Z)'!G:G, B75, '기타(Z)'!W:W, B79, '기타(Z)'!U:U, $D$1)
)</f>
        <v>2</v>
      </c>
    </row>
    <row r="80" spans="2:8" x14ac:dyDescent="0.25">
      <c r="B80" s="202" t="s">
        <v>262</v>
      </c>
      <c r="C80" s="280" t="str">
        <f>IF(
  SUM(
    SUMIFS('발전사업(A)'!I:I, '발전사업(A)'!C:C, $E$1, '발전사업(A)'!G:G, B75, '발전사업(A)'!W:W, B80),
    SUMIFS('자가소비(B)'!I:I, '자가소비(B)'!C:C, $E$1, '자가소비(B)'!G:G, B75, '자가소비(B)'!W:W, B80),
    SUMIFS('PPA 사업(C)'!I:I, 'PPA 사업(C)'!C:C, $E$1, 'PPA 사업(C)'!G:G, B75, 'PPA 사업(C)'!W:W, B80),
    SUMIFS('리스사업(D)'!I:I, '리스사업(D)'!C:C, $E$1, '리스사업(D)'!G:G, B75, '리스사업(D)'!W:W, B80),
    SUMIFS('임대사업(E)'!I:I, '임대사업(E)'!C:C, $E$1, '임대사업(E)'!G:G, B75, '임대사업(E)'!W:W, B80),
    SUMIFS('환경부사업(F)'!I:I, '환경부사업(F)'!C:C, $E$1, '환경부사업(F)'!G:G, B75, '환경부사업(F)'!W:W, B80),
    SUMIFS('프로젝트(G)'!I:I, '프로젝트(G)'!C:C, $E$1, '프로젝트(G)'!G:G, B75, '프로젝트(G)'!W:W, B80),
    SUMIFS('협력사 EPC(H)'!I:I, '협력사 EPC(H)'!C:C, $E$1, '협력사 EPC(H)'!G:G, B75, '협력사 EPC(H)'!W:W, B80),
    SUMIFS('기타(Z)'!I:I, '기타(Z)'!C:C, $E$1, '기타(Z)'!G:G, B75, '기타(Z)'!W:W, B80)
  ) = 0,
  "",
  SUMIFS('발전사업(A)'!I:I, '발전사업(A)'!C:C, $E$1, '발전사업(A)'!G:G, B75, '발전사업(A)'!W:W, B80)
  + SUMIFS('자가소비(B)'!I:I, '자가소비(B)'!C:C, $E$1, '자가소비(B)'!G:G, B75, '자가소비(B)'!W:W, B80)
  + SUMIFS('PPA 사업(C)'!I:I, 'PPA 사업(C)'!C:C, $E$1, 'PPA 사업(C)'!G:G, B75, 'PPA 사업(C)'!W:W, B80)
  + SUMIFS('리스사업(D)'!I:I, '리스사업(D)'!C:C, $E$1, '리스사업(D)'!G:G, B75, '리스사업(D)'!W:W, B80)
  + SUMIFS('임대사업(E)'!I:I, '임대사업(E)'!C:C, $E$1, '임대사업(E)'!G:G, B75, '임대사업(E)'!W:W, B80)
  + SUMIFS('환경부사업(F)'!I:I, '환경부사업(F)'!C:C, $E$1, '환경부사업(F)'!G:G, B75, '환경부사업(F)'!W:W, B80)
  + SUMIFS('프로젝트(G)'!I:I, '프로젝트(G)'!C:C, $E$1, '프로젝트(G)'!G:G, B75, '프로젝트(G)'!W:W, B80)
  + SUMIFS('협력사 EPC(H)'!I:I, '협력사 EPC(H)'!C:C, $E$1, '협력사 EPC(H)'!G:G, B75, '협력사 EPC(H)'!W:W, B80)
  + SUMIFS('기타(Z)'!I:I, '기타(Z)'!C:C, $E$1, '기타(Z)'!G:G, B75, '기타(Z)'!W:W, B80)
)</f>
        <v/>
      </c>
      <c r="D80" s="281" t="str">
        <f>IF(
  COUNTIFS('발전사업(A)'!C:C, $E$1, '발전사업(A)'!G:G, B75, '발전사업(A)'!W:W, B80)
  + COUNTIFS('자가소비(B)'!C:C, $E$1, '자가소비(B)'!G:G, B75, '자가소비(B)'!W:W, B80)
  + COUNTIFS('PPA 사업(C)'!C:C, $E$1, 'PPA 사업(C)'!G:G, B75, 'PPA 사업(C)'!W:W, B80)
  + COUNTIFS('리스사업(D)'!C:C, $E$1, '리스사업(D)'!G:G, B75, '리스사업(D)'!W:W, B80)
  + COUNTIFS('임대사업(E)'!C:C, $E$1, '임대사업(E)'!G:G, B75, '임대사업(E)'!W:W, B80)
  + COUNTIFS('환경부사업(F)'!C:C, $E$1, '환경부사업(F)'!G:G, B75, '환경부사업(F)'!W:W, B80)
  + COUNTIFS('프로젝트(G)'!C:C, $E$1, '프로젝트(G)'!G:G, B75, '프로젝트(G)'!W:W, B80)
  + COUNTIFS('협력사 EPC(H)'!C:C, $E$1, '협력사 EPC(H)'!G:G, B75, '협력사 EPC(H)'!W:W, B80)
  + COUNTIFS('기타(Z)'!C:C, $E$1, '기타(Z)'!G:G, B75, '기타(Z)'!W:W, B80)
  = 0,
  "",
  COUNTIFS('발전사업(A)'!C:C, $E$1, '발전사업(A)'!G:G, B75, '발전사업(A)'!W:W, B80)
  + COUNTIFS('자가소비(B)'!C:C, $E$1, '자가소비(B)'!G:G, B75, '자가소비(B)'!W:W, B80)
  + COUNTIFS('PPA 사업(C)'!C:C, $E$1, 'PPA 사업(C)'!G:G, B75, 'PPA 사업(C)'!W:W, B80)
  + COUNTIFS('리스사업(D)'!C:C, $E$1, '리스사업(D)'!G:G, B75, '리스사업(D)'!W:W, B80)
  + COUNTIFS('임대사업(E)'!C:C, $E$1, '임대사업(E)'!G:G, B75, '임대사업(E)'!W:W, B80)
  + COUNTIFS('환경부사업(F)'!C:C, $E$1, '환경부사업(F)'!G:G, B75, '환경부사업(F)'!W:W, B80)
  + COUNTIFS('프로젝트(G)'!C:C, $E$1, '프로젝트(G)'!G:G, B75, '프로젝트(G)'!W:W, B80)
  + COUNTIFS('협력사 EPC(H)'!C:C, $E$1, '협력사 EPC(H)'!G:G, B75, '협력사 EPC(H)'!W:W, B80)
  + COUNTIFS('기타(Z)'!C:C, $E$1, '기타(Z)'!G:G, B75, '기타(Z)'!W:W, B80)
)</f>
        <v/>
      </c>
      <c r="E80" s="280" t="str">
        <f>IF(
  SUM(
    SUMIFS('발전사업(A)'!I:I, '발전사업(A)'!C:C, $E$1, '발전사업(A)'!G:G, B75, '발전사업(A)'!W:W, B80, '발전사업(A)'!U:U, $C$1),
    SUMIFS('자가소비(B)'!I:I, '자가소비(B)'!C:C, $E$1, '자가소비(B)'!G:G, B75, '자가소비(B)'!W:W, B80, '자가소비(B)'!U:U, $C$1),
    SUMIFS('PPA 사업(C)'!I:I, 'PPA 사업(C)'!C:C, $E$1, 'PPA 사업(C)'!G:G, B75, 'PPA 사업(C)'!W:W, B80, 'PPA 사업(C)'!U:U, $C$1),
    SUMIFS('리스사업(D)'!I:I, '리스사업(D)'!C:C, $E$1, '리스사업(D)'!G:G, B75, '리스사업(D)'!W:W, B80, '리스사업(D)'!U:U, $C$1),
    SUMIFS('임대사업(E)'!I:I, '임대사업(E)'!C:C, $E$1, '임대사업(E)'!G:G, B75, '임대사업(E)'!W:W, B80, '임대사업(E)'!U:U, $C$1),
    SUMIFS('환경부사업(F)'!I:I, '환경부사업(F)'!C:C, $E$1, '환경부사업(F)'!G:G, B75, '환경부사업(F)'!W:W, B80, '환경부사업(F)'!U:U, $C$1),
    SUMIFS('프로젝트(G)'!I:I, '프로젝트(G)'!C:C, $E$1, '프로젝트(G)'!G:G, B75, '프로젝트(G)'!W:W, B80, '프로젝트(G)'!U:U, $C$1),
    SUMIFS('협력사 EPC(H)'!I:I, '협력사 EPC(H)'!C:C, $E$1, '협력사 EPC(H)'!G:G, B75, '협력사 EPC(H)'!W:W, B80, '협력사 EPC(H)'!U:U, $C$1),
    SUMIFS('기타(Z)'!I:I, '기타(Z)'!C:C, $E$1, '기타(Z)'!G:G, B75, '기타(Z)'!W:W, B80, '기타(Z)'!U:U, $C$1)
  ) = 0,
  "",
  SUM(
    SUMIFS('발전사업(A)'!I:I, '발전사업(A)'!C:C, $E$1, '발전사업(A)'!G:G, B75, '발전사업(A)'!W:W, B80, '발전사업(A)'!U:U, $C$1),
    SUMIFS('자가소비(B)'!I:I, '자가소비(B)'!C:C, $E$1, '자가소비(B)'!G:G, B75, '자가소비(B)'!W:W, B80, '자가소비(B)'!U:U, $C$1),
    SUMIFS('PPA 사업(C)'!I:I, 'PPA 사업(C)'!C:C, $E$1, 'PPA 사업(C)'!G:G, B75, 'PPA 사업(C)'!W:W, B80, 'PPA 사업(C)'!U:U, $C$1),
    SUMIFS('리스사업(D)'!I:I, '리스사업(D)'!C:C, $E$1, '리스사업(D)'!G:G, B75, '리스사업(D)'!W:W, B80, '리스사업(D)'!U:U, $C$1),
    SUMIFS('임대사업(E)'!I:I, '임대사업(E)'!C:C, $E$1, '임대사업(E)'!G:G, B75, '임대사업(E)'!W:W, B80, '임대사업(E)'!U:U, $C$1),
    SUMIFS('환경부사업(F)'!I:I, '환경부사업(F)'!C:C, $E$1, '환경부사업(F)'!G:G, B75, '환경부사업(F)'!W:W, B80, '환경부사업(F)'!U:U, $C$1),
    SUMIFS('프로젝트(G)'!I:I, '프로젝트(G)'!C:C, $E$1, '프로젝트(G)'!G:G, B75, '프로젝트(G)'!W:W, B80, '프로젝트(G)'!U:U, $C$1),
    SUMIFS('협력사 EPC(H)'!I:I, '협력사 EPC(H)'!C:C, $E$1, '협력사 EPC(H)'!G:G, B75, '협력사 EPC(H)'!W:W, B80, '협력사 EPC(H)'!U:U, $C$1),
    SUMIFS('기타(Z)'!I:I, '기타(Z)'!C:C, $E$1, '기타(Z)'!G:G, B75, '기타(Z)'!W:W, B80, '기타(Z)'!U:U, $C$1)
  )
)</f>
        <v/>
      </c>
      <c r="F80" s="281" t="str">
        <f>IF(
  SUM(
    COUNTIFS('발전사업(A)'!C:C, $E$1, '발전사업(A)'!G:G, B75, '발전사업(A)'!W:W, B80, '발전사업(A)'!U:U, $C$1),
    COUNTIFS('자가소비(B)'!C:C, $E$1, '자가소비(B)'!G:G, B75, '자가소비(B)'!W:W, B80, '자가소비(B)'!U:U, $C$1),
    COUNTIFS('PPA 사업(C)'!C:C, $E$1, 'PPA 사업(C)'!G:G, B75, 'PPA 사업(C)'!W:W, B80, 'PPA 사업(C)'!U:U, $C$1),
    COUNTIFS('리스사업(D)'!C:C, $E$1, '리스사업(D)'!G:G, B75, '리스사업(D)'!W:W, B80, '리스사업(D)'!U:U, $C$1),
    COUNTIFS('임대사업(E)'!C:C, $E$1, '임대사업(E)'!G:G, B75, '임대사업(E)'!W:W, B80, '임대사업(E)'!U:U, $C$1),
    COUNTIFS('환경부사업(F)'!C:C, $E$1, '환경부사업(F)'!G:G, B75, '환경부사업(F)'!W:W, B80, '환경부사업(F)'!U:U, $C$1),
    COUNTIFS('프로젝트(G)'!C:C, $E$1, '프로젝트(G)'!G:G, B75, '프로젝트(G)'!W:W, B80, '프로젝트(G)'!U:U, $C$1),
    COUNTIFS('협력사 EPC(H)'!C:C, $E$1, '협력사 EPC(H)'!G:G, B75, '협력사 EPC(H)'!W:W, B80, '협력사 EPC(H)'!U:U, $C$1),
    COUNTIFS('기타(Z)'!C:C, $E$1, '기타(Z)'!G:G, B75, '기타(Z)'!W:W, B80, '기타(Z)'!U:U, $C$1)
  ) = 0,
  "",
  SUM(
    COUNTIFS('발전사업(A)'!C:C, $E$1, '발전사업(A)'!G:G, B75, '발전사업(A)'!W:W, B80, '발전사업(A)'!U:U, $C$1),
    COUNTIFS('자가소비(B)'!C:C, $E$1, '자가소비(B)'!G:G, B75, '자가소비(B)'!W:W, B80, '자가소비(B)'!U:U, $C$1),
    COUNTIFS('PPA 사업(C)'!C:C, $E$1, 'PPA 사업(C)'!G:G, B75, 'PPA 사업(C)'!W:W, B80, 'PPA 사업(C)'!U:U, $C$1),
    COUNTIFS('리스사업(D)'!C:C, $E$1, '리스사업(D)'!G:G, B75, '리스사업(D)'!W:W, B80, '리스사업(D)'!U:U, $C$1),
    COUNTIFS('임대사업(E)'!C:C, $E$1, '임대사업(E)'!G:G, B75, '임대사업(E)'!W:W, B80, '임대사업(E)'!U:U, $C$1),
    COUNTIFS('환경부사업(F)'!C:C, $E$1, '환경부사업(F)'!G:G, B75, '환경부사업(F)'!W:W, B80, '환경부사업(F)'!U:U, $C$1),
    COUNTIFS('프로젝트(G)'!C:C, $E$1, '프로젝트(G)'!G:G, B75, '프로젝트(G)'!W:W, B80, '프로젝트(G)'!U:U, $C$1),
    COUNTIFS('협력사 EPC(H)'!C:C, $E$1, '협력사 EPC(H)'!G:G, B75, '협력사 EPC(H)'!W:W, B80, '협력사 EPC(H)'!U:U, $C$1),
    COUNTIFS('기타(Z)'!C:C, $E$1, '기타(Z)'!G:G, B75, '기타(Z)'!W:W, B80, '기타(Z)'!U:U, $C$1)
  )
)</f>
        <v/>
      </c>
      <c r="G80" s="280" t="str">
        <f>IF(
  SUM(
    SUMIFS('발전사업(A)'!I:I, '발전사업(A)'!C:C, $E$1, '발전사업(A)'!G:G, B75, '발전사업(A)'!W:W, B80, '발전사업(A)'!U:U, $D$1),
    SUMIFS('자가소비(B)'!I:I, '자가소비(B)'!C:C, $E$1, '자가소비(B)'!G:G, B75, '자가소비(B)'!W:W, B80, '자가소비(B)'!U:U, $D$1),
    SUMIFS('PPA 사업(C)'!I:I, 'PPA 사업(C)'!C:C, $E$1, 'PPA 사업(C)'!G:G, B75, 'PPA 사업(C)'!W:W, B80, 'PPA 사업(C)'!U:U, $D$1),
    SUMIFS('리스사업(D)'!I:I, '리스사업(D)'!C:C, $E$1, '리스사업(D)'!G:G, B75, '리스사업(D)'!W:W, B80, '리스사업(D)'!U:U, $D$1),
    SUMIFS('임대사업(E)'!I:I, '임대사업(E)'!C:C, $E$1, '임대사업(E)'!G:G, B75, '임대사업(E)'!W:W, B80, '임대사업(E)'!U:U, $D$1),
    SUMIFS('환경부사업(F)'!I:I, '환경부사업(F)'!C:C, $E$1, '환경부사업(F)'!G:G, B75, '환경부사업(F)'!W:W, B80, '환경부사업(F)'!U:U, $D$1),
    SUMIFS('프로젝트(G)'!I:I, '프로젝트(G)'!C:C, $E$1, '프로젝트(G)'!G:G, B75, '프로젝트(G)'!W:W, B80, '프로젝트(G)'!U:U, $D$1),
    SUMIFS('협력사 EPC(H)'!I:I, '협력사 EPC(H)'!C:C, $E$1, '협력사 EPC(H)'!G:G, B75, '협력사 EPC(H)'!W:W, B80, '협력사 EPC(H)'!U:U, $D$1),
    SUMIFS('기타(Z)'!I:I, '기타(Z)'!C:C, $E$1, '기타(Z)'!G:G, B75, '기타(Z)'!W:W, B80, '기타(Z)'!U:U, $D$1)
  ) = 0,
  "",
  SUM(
    SUMIFS('발전사업(A)'!I:I, '발전사업(A)'!C:C, $E$1, '발전사업(A)'!G:G, B75, '발전사업(A)'!W:W, B80, '발전사업(A)'!U:U, $D$1),
    SUMIFS('자가소비(B)'!I:I, '자가소비(B)'!C:C, $E$1, '자가소비(B)'!G:G, B75, '자가소비(B)'!W:W, B80, '자가소비(B)'!U:U, $D$1),
    SUMIFS('PPA 사업(C)'!I:I, 'PPA 사업(C)'!C:C, $E$1, 'PPA 사업(C)'!G:G, B75, 'PPA 사업(C)'!W:W, B80, 'PPA 사업(C)'!U:U, $D$1),
    SUMIFS('리스사업(D)'!I:I, '리스사업(D)'!C:C, $E$1, '리스사업(D)'!G:G, B75, '리스사업(D)'!W:W, B80, '리스사업(D)'!U:U, $D$1),
    SUMIFS('임대사업(E)'!I:I, '임대사업(E)'!C:C, $E$1, '임대사업(E)'!G:G, B75, '임대사업(E)'!W:W, B80, '임대사업(E)'!U:U, $D$1),
    SUMIFS('환경부사업(F)'!I:I, '환경부사업(F)'!C:C, $E$1, '환경부사업(F)'!G:G, B75, '환경부사업(F)'!W:W, B80, '환경부사업(F)'!U:U, $D$1),
    SUMIFS('프로젝트(G)'!I:I, '프로젝트(G)'!C:C, $E$1, '프로젝트(G)'!G:G, B75, '프로젝트(G)'!W:W, B80, '프로젝트(G)'!U:U, $D$1),
    SUMIFS('협력사 EPC(H)'!I:I, '협력사 EPC(H)'!C:C, $E$1, '협력사 EPC(H)'!G:G, B75, '협력사 EPC(H)'!W:W, B80, '협력사 EPC(H)'!U:U, $D$1),
    SUMIFS('기타(Z)'!I:I, '기타(Z)'!C:C, $E$1, '기타(Z)'!G:G, B75, '기타(Z)'!W:W, B80, '기타(Z)'!U:U, $D$1)
  )
)</f>
        <v/>
      </c>
      <c r="H80" s="281" t="str">
        <f>IF(
  (
    COUNTIFS('발전사업(A)'!C:C, $E$1, '발전사업(A)'!G:G, B75, '발전사업(A)'!W:W, B80, '발전사업(A)'!U:U, $D$1)
    + COUNTIFS('자가소비(B)'!C:C, $E$1, '자가소비(B)'!G:G, B75, '자가소비(B)'!W:W, B80, '자가소비(B)'!U:U, $D$1)
    + COUNTIFS('PPA 사업(C)'!C:C, $E$1, 'PPA 사업(C)'!G:G, B75, 'PPA 사업(C)'!W:W, B80, 'PPA 사업(C)'!U:U, $D$1)
    + COUNTIFS('리스사업(D)'!C:C, $E$1, '리스사업(D)'!G:G, B75, '리스사업(D)'!W:W, B80, '리스사업(D)'!U:U, $D$1)
    + COUNTIFS('임대사업(E)'!C:C, $E$1, '임대사업(E)'!G:G, B75, '임대사업(E)'!W:W, B80, '임대사업(E)'!U:U, $D$1)
    + COUNTIFS('환경부사업(F)'!C:C, $E$1, '환경부사업(F)'!G:G, B75, '환경부사업(F)'!W:W, B80, '환경부사업(F)'!U:U, $D$1)
    + COUNTIFS('프로젝트(G)'!C:C, $E$1, '프로젝트(G)'!G:G, B75, '프로젝트(G)'!W:W, B80, '프로젝트(G)'!U:U, $D$1)
    + COUNTIFS('협력사 EPC(H)'!C:C, $E$1, '협력사 EPC(H)'!G:G, B75, '협력사 EPC(H)'!W:W, B80, '협력사 EPC(H)'!U:U, $D$1)
    + COUNTIFS('기타(Z)'!C:C, $E$1, '기타(Z)'!G:G, B75, '기타(Z)'!W:W, B80, '기타(Z)'!U:U, $D$1)
  ) = 0,
  "",
  COUNTIFS('발전사업(A)'!C:C, $E$1, '발전사업(A)'!G:G, B75, '발전사업(A)'!W:W, B80, '발전사업(A)'!U:U, $D$1)
  + COUNTIFS('자가소비(B)'!C:C, $E$1, '자가소비(B)'!G:G, B75, '자가소비(B)'!W:W, B80, '자가소비(B)'!U:U, $D$1)
  + COUNTIFS('PPA 사업(C)'!C:C, $E$1, 'PPA 사업(C)'!G:G, B75, 'PPA 사업(C)'!W:W, B80, 'PPA 사업(C)'!U:U, $D$1)
  + COUNTIFS('리스사업(D)'!C:C, $E$1, '리스사업(D)'!G:G, B75, '리스사업(D)'!W:W, B80, '리스사업(D)'!U:U, $D$1)
  + COUNTIFS('임대사업(E)'!C:C, $E$1, '임대사업(E)'!G:G, B75, '임대사업(E)'!W:W, B80, '임대사업(E)'!U:U, $D$1)
  + COUNTIFS('환경부사업(F)'!C:C, $E$1, '환경부사업(F)'!G:G, B75, '환경부사업(F)'!W:W, B80, '환경부사업(F)'!U:U, $D$1)
  + COUNTIFS('프로젝트(G)'!C:C, $E$1, '프로젝트(G)'!G:G, B75, '프로젝트(G)'!W:W, B80, '프로젝트(G)'!U:U, $D$1)
  + COUNTIFS('협력사 EPC(H)'!C:C, $E$1, '협력사 EPC(H)'!G:G, B75, '협력사 EPC(H)'!W:W, B80, '협력사 EPC(H)'!U:U, $D$1)
  + COUNTIFS('기타(Z)'!C:C, $E$1, '기타(Z)'!G:G, B75, '기타(Z)'!W:W, B80, '기타(Z)'!U:U, $D$1)
)</f>
        <v/>
      </c>
    </row>
    <row r="81" spans="2:8" x14ac:dyDescent="0.25">
      <c r="B81" s="202" t="s">
        <v>263</v>
      </c>
      <c r="C81" s="280" t="str">
        <f>IF(
  SUM(
    SUMIFS('발전사업(A)'!I:I, '발전사업(A)'!C:C, $E$1, '발전사업(A)'!G:G, B75, '발전사업(A)'!W:W, B81),
    SUMIFS('자가소비(B)'!I:I, '자가소비(B)'!C:C, $E$1, '자가소비(B)'!G:G, B75, '자가소비(B)'!W:W, B81),
    SUMIFS('PPA 사업(C)'!I:I, 'PPA 사업(C)'!C:C, $E$1, 'PPA 사업(C)'!G:G, B75, 'PPA 사업(C)'!W:W, B81),
    SUMIFS('리스사업(D)'!I:I, '리스사업(D)'!C:C, $E$1, '리스사업(D)'!G:G, B75, '리스사업(D)'!W:W, B81),
    SUMIFS('임대사업(E)'!I:I, '임대사업(E)'!C:C, $E$1, '임대사업(E)'!G:G, B75, '임대사업(E)'!W:W, B81),
    SUMIFS('환경부사업(F)'!I:I, '환경부사업(F)'!C:C, $E$1, '환경부사업(F)'!G:G, B75, '환경부사업(F)'!W:W, B81),
    SUMIFS('프로젝트(G)'!I:I, '프로젝트(G)'!C:C, $E$1, '프로젝트(G)'!G:G, B75, '프로젝트(G)'!W:W, B81),
    SUMIFS('협력사 EPC(H)'!I:I, '협력사 EPC(H)'!C:C, $E$1, '협력사 EPC(H)'!G:G, B75, '협력사 EPC(H)'!W:W, B81),
    SUMIFS('기타(Z)'!I:I, '기타(Z)'!C:C, $E$1, '기타(Z)'!G:G, B75, '기타(Z)'!W:W, B81)
  ) = 0,
  "",
  SUMIFS('발전사업(A)'!I:I, '발전사업(A)'!C:C, $E$1, '발전사업(A)'!G:G, B75, '발전사업(A)'!W:W, B81)
  + SUMIFS('자가소비(B)'!I:I, '자가소비(B)'!C:C, $E$1, '자가소비(B)'!G:G, B75, '자가소비(B)'!W:W, B81)
  + SUMIFS('PPA 사업(C)'!I:I, 'PPA 사업(C)'!C:C, $E$1, 'PPA 사업(C)'!G:G, B75, 'PPA 사업(C)'!W:W, B81)
  + SUMIFS('리스사업(D)'!I:I, '리스사업(D)'!C:C, $E$1, '리스사업(D)'!G:G, B75, '리스사업(D)'!W:W, B81)
  + SUMIFS('임대사업(E)'!I:I, '임대사업(E)'!C:C, $E$1, '임대사업(E)'!G:G, B75, '임대사업(E)'!W:W, B81)
  + SUMIFS('환경부사업(F)'!I:I, '환경부사업(F)'!C:C, $E$1, '환경부사업(F)'!G:G, B75, '환경부사업(F)'!W:W, B81)
  + SUMIFS('프로젝트(G)'!I:I, '프로젝트(G)'!C:C, $E$1, '프로젝트(G)'!G:G, B75, '프로젝트(G)'!W:W, B81)
  + SUMIFS('협력사 EPC(H)'!I:I, '협력사 EPC(H)'!C:C, $E$1, '협력사 EPC(H)'!G:G, B75, '협력사 EPC(H)'!W:W, B81)
  + SUMIFS('기타(Z)'!I:I, '기타(Z)'!C:C, $E$1, '기타(Z)'!G:G, B75, '기타(Z)'!W:W, B81)
)</f>
        <v/>
      </c>
      <c r="D81" s="281" t="str">
        <f>IF(
  COUNTIFS('발전사업(A)'!C:C, $E$1, '발전사업(A)'!G:G, B75, '발전사업(A)'!W:W, B81)
  + COUNTIFS('자가소비(B)'!C:C, $E$1, '자가소비(B)'!G:G, B75, '자가소비(B)'!W:W, B81)
  + COUNTIFS('PPA 사업(C)'!C:C, $E$1, 'PPA 사업(C)'!G:G, B75, 'PPA 사업(C)'!W:W, B81)
  + COUNTIFS('리스사업(D)'!C:C, $E$1, '리스사업(D)'!G:G, B75, '리스사업(D)'!W:W, B81)
  + COUNTIFS('임대사업(E)'!C:C, $E$1, '임대사업(E)'!G:G, B75, '임대사업(E)'!W:W, B81)
  + COUNTIFS('환경부사업(F)'!C:C, $E$1, '환경부사업(F)'!G:G, B75, '환경부사업(F)'!W:W, B81)
  + COUNTIFS('프로젝트(G)'!C:C, $E$1, '프로젝트(G)'!G:G, B75, '프로젝트(G)'!W:W, B81)
  + COUNTIFS('협력사 EPC(H)'!C:C, $E$1, '협력사 EPC(H)'!G:G, B75, '협력사 EPC(H)'!W:W, B81)
  + COUNTIFS('기타(Z)'!C:C, $E$1, '기타(Z)'!G:G, B75, '기타(Z)'!W:W, B81)
  = 0,
  "",
  COUNTIFS('발전사업(A)'!C:C, $E$1, '발전사업(A)'!G:G, B75, '발전사업(A)'!W:W, B81)
  + COUNTIFS('자가소비(B)'!C:C, $E$1, '자가소비(B)'!G:G, B75, '자가소비(B)'!W:W, B81)
  + COUNTIFS('PPA 사업(C)'!C:C, $E$1, 'PPA 사업(C)'!G:G, B75, 'PPA 사업(C)'!W:W, B81)
  + COUNTIFS('리스사업(D)'!C:C, $E$1, '리스사업(D)'!G:G, B75, '리스사업(D)'!W:W, B81)
  + COUNTIFS('임대사업(E)'!C:C, $E$1, '임대사업(E)'!G:G, B75, '임대사업(E)'!W:W, B81)
  + COUNTIFS('환경부사업(F)'!C:C, $E$1, '환경부사업(F)'!G:G, B75, '환경부사업(F)'!W:W, B81)
  + COUNTIFS('프로젝트(G)'!C:C, $E$1, '프로젝트(G)'!G:G, B75, '프로젝트(G)'!W:W, B81)
  + COUNTIFS('협력사 EPC(H)'!C:C, $E$1, '협력사 EPC(H)'!G:G, B75, '협력사 EPC(H)'!W:W, B81)
  + COUNTIFS('기타(Z)'!C:C, $E$1, '기타(Z)'!G:G, B75, '기타(Z)'!W:W, B81)
)</f>
        <v/>
      </c>
      <c r="E81" s="280" t="str">
        <f>IF(
  SUM(
    SUMIFS('발전사업(A)'!I:I, '발전사업(A)'!C:C, $E$1, '발전사업(A)'!G:G, B75, '발전사업(A)'!W:W, B81, '발전사업(A)'!U:U, $C$1),
    SUMIFS('자가소비(B)'!I:I, '자가소비(B)'!C:C, $E$1, '자가소비(B)'!G:G, B75, '자가소비(B)'!W:W, B81, '자가소비(B)'!U:U, $C$1),
    SUMIFS('PPA 사업(C)'!I:I, 'PPA 사업(C)'!C:C, $E$1, 'PPA 사업(C)'!G:G, B75, 'PPA 사업(C)'!W:W, B81, 'PPA 사업(C)'!U:U, $C$1),
    SUMIFS('리스사업(D)'!I:I, '리스사업(D)'!C:C, $E$1, '리스사업(D)'!G:G, B75, '리스사업(D)'!W:W, B81, '리스사업(D)'!U:U, $C$1),
    SUMIFS('임대사업(E)'!I:I, '임대사업(E)'!C:C, $E$1, '임대사업(E)'!G:G, B75, '임대사업(E)'!W:W, B81, '임대사업(E)'!U:U, $C$1),
    SUMIFS('환경부사업(F)'!I:I, '환경부사업(F)'!C:C, $E$1, '환경부사업(F)'!G:G, B75, '환경부사업(F)'!W:W, B81, '환경부사업(F)'!U:U, $C$1),
    SUMIFS('프로젝트(G)'!I:I, '프로젝트(G)'!C:C, $E$1, '프로젝트(G)'!G:G, B75, '프로젝트(G)'!W:W, B81, '프로젝트(G)'!U:U, $C$1),
    SUMIFS('협력사 EPC(H)'!I:I, '협력사 EPC(H)'!C:C, $E$1, '협력사 EPC(H)'!G:G, B75, '협력사 EPC(H)'!W:W, B81, '협력사 EPC(H)'!U:U, $C$1),
    SUMIFS('기타(Z)'!I:I, '기타(Z)'!C:C, $E$1, '기타(Z)'!G:G, B75, '기타(Z)'!W:W, B81, '기타(Z)'!U:U, $C$1)
  ) = 0,
  "",
  SUM(
    SUMIFS('발전사업(A)'!I:I, '발전사업(A)'!C:C, $E$1, '발전사업(A)'!G:G, B75, '발전사업(A)'!W:W, B81, '발전사업(A)'!U:U, $C$1),
    SUMIFS('자가소비(B)'!I:I, '자가소비(B)'!C:C, $E$1, '자가소비(B)'!G:G, B75, '자가소비(B)'!W:W, B81, '자가소비(B)'!U:U, $C$1),
    SUMIFS('PPA 사업(C)'!I:I, 'PPA 사업(C)'!C:C, $E$1, 'PPA 사업(C)'!G:G, B75, 'PPA 사업(C)'!W:W, B81, 'PPA 사업(C)'!U:U, $C$1),
    SUMIFS('리스사업(D)'!I:I, '리스사업(D)'!C:C, $E$1, '리스사업(D)'!G:G, B75, '리스사업(D)'!W:W, B81, '리스사업(D)'!U:U, $C$1),
    SUMIFS('임대사업(E)'!I:I, '임대사업(E)'!C:C, $E$1, '임대사업(E)'!G:G, B75, '임대사업(E)'!W:W, B81, '임대사업(E)'!U:U, $C$1),
    SUMIFS('환경부사업(F)'!I:I, '환경부사업(F)'!C:C, $E$1, '환경부사업(F)'!G:G, B75, '환경부사업(F)'!W:W, B81, '환경부사업(F)'!U:U, $C$1),
    SUMIFS('프로젝트(G)'!I:I, '프로젝트(G)'!C:C, $E$1, '프로젝트(G)'!G:G, B75, '프로젝트(G)'!W:W, B81, '프로젝트(G)'!U:U, $C$1),
    SUMIFS('협력사 EPC(H)'!I:I, '협력사 EPC(H)'!C:C, $E$1, '협력사 EPC(H)'!G:G, B75, '협력사 EPC(H)'!W:W, B81, '협력사 EPC(H)'!U:U, $C$1),
    SUMIFS('기타(Z)'!I:I, '기타(Z)'!C:C, $E$1, '기타(Z)'!G:G, B75, '기타(Z)'!W:W, B81, '기타(Z)'!U:U, $C$1)
  )
)</f>
        <v/>
      </c>
      <c r="F81" s="281" t="str">
        <f>IF(
  SUM(
    COUNTIFS('발전사업(A)'!C:C, $E$1, '발전사업(A)'!G:G, B75, '발전사업(A)'!W:W, B81, '발전사업(A)'!U:U, $C$1),
    COUNTIFS('자가소비(B)'!C:C, $E$1, '자가소비(B)'!G:G, B75, '자가소비(B)'!W:W, B81, '자가소비(B)'!U:U, $C$1),
    COUNTIFS('PPA 사업(C)'!C:C, $E$1, 'PPA 사업(C)'!G:G, B75, 'PPA 사업(C)'!W:W, B81, 'PPA 사업(C)'!U:U, $C$1),
    COUNTIFS('리스사업(D)'!C:C, $E$1, '리스사업(D)'!G:G, B75, '리스사업(D)'!W:W, B81, '리스사업(D)'!U:U, $C$1),
    COUNTIFS('임대사업(E)'!C:C, $E$1, '임대사업(E)'!G:G, B75, '임대사업(E)'!W:W, B81, '임대사업(E)'!U:U, $C$1),
    COUNTIFS('환경부사업(F)'!C:C, $E$1, '환경부사업(F)'!G:G, B75, '환경부사업(F)'!W:W, B81, '환경부사업(F)'!U:U, $C$1),
    COUNTIFS('프로젝트(G)'!C:C, $E$1, '프로젝트(G)'!G:G, B75, '프로젝트(G)'!W:W, B81, '프로젝트(G)'!U:U, $C$1),
    COUNTIFS('협력사 EPC(H)'!C:C, $E$1, '협력사 EPC(H)'!G:G, B75, '협력사 EPC(H)'!W:W, B81, '협력사 EPC(H)'!U:U, $C$1),
    COUNTIFS('기타(Z)'!C:C, $E$1, '기타(Z)'!G:G, B75, '기타(Z)'!W:W, B81, '기타(Z)'!U:U, $C$1)
  ) = 0,
  "",
  SUM(
    COUNTIFS('발전사업(A)'!C:C, $E$1, '발전사업(A)'!G:G, B75, '발전사업(A)'!W:W, B81, '발전사업(A)'!U:U, $C$1),
    COUNTIFS('자가소비(B)'!C:C, $E$1, '자가소비(B)'!G:G, B75, '자가소비(B)'!W:W, B81, '자가소비(B)'!U:U, $C$1),
    COUNTIFS('PPA 사업(C)'!C:C, $E$1, 'PPA 사업(C)'!G:G, B75, 'PPA 사업(C)'!W:W, B81, 'PPA 사업(C)'!U:U, $C$1),
    COUNTIFS('리스사업(D)'!C:C, $E$1, '리스사업(D)'!G:G, B75, '리스사업(D)'!W:W, B81, '리스사업(D)'!U:U, $C$1),
    COUNTIFS('임대사업(E)'!C:C, $E$1, '임대사업(E)'!G:G, B75, '임대사업(E)'!W:W, B81, '임대사업(E)'!U:U, $C$1),
    COUNTIFS('환경부사업(F)'!C:C, $E$1, '환경부사업(F)'!G:G, B75, '환경부사업(F)'!W:W, B81, '환경부사업(F)'!U:U, $C$1),
    COUNTIFS('프로젝트(G)'!C:C, $E$1, '프로젝트(G)'!G:G, B75, '프로젝트(G)'!W:W, B81, '프로젝트(G)'!U:U, $C$1),
    COUNTIFS('협력사 EPC(H)'!C:C, $E$1, '협력사 EPC(H)'!G:G, B75, '협력사 EPC(H)'!W:W, B81, '협력사 EPC(H)'!U:U, $C$1),
    COUNTIFS('기타(Z)'!C:C, $E$1, '기타(Z)'!G:G, B75, '기타(Z)'!W:W, B81, '기타(Z)'!U:U, $C$1)
  )
)</f>
        <v/>
      </c>
      <c r="G81" s="280" t="str">
        <f>IF(
  SUM(
    SUMIFS('발전사업(A)'!I:I, '발전사업(A)'!C:C, $E$1, '발전사업(A)'!G:G, B75, '발전사업(A)'!W:W, B81, '발전사업(A)'!U:U, $D$1),
    SUMIFS('자가소비(B)'!I:I, '자가소비(B)'!C:C, $E$1, '자가소비(B)'!G:G, B75, '자가소비(B)'!W:W, B81, '자가소비(B)'!U:U, $D$1),
    SUMIFS('PPA 사업(C)'!I:I, 'PPA 사업(C)'!C:C, $E$1, 'PPA 사업(C)'!G:G, B75, 'PPA 사업(C)'!W:W, B81, 'PPA 사업(C)'!U:U, $D$1),
    SUMIFS('리스사업(D)'!I:I, '리스사업(D)'!C:C, $E$1, '리스사업(D)'!G:G, B75, '리스사업(D)'!W:W, B81, '리스사업(D)'!U:U, $D$1),
    SUMIFS('임대사업(E)'!I:I, '임대사업(E)'!C:C, $E$1, '임대사업(E)'!G:G, B75, '임대사업(E)'!W:W, B81, '임대사업(E)'!U:U, $D$1),
    SUMIFS('환경부사업(F)'!I:I, '환경부사업(F)'!C:C, $E$1, '환경부사업(F)'!G:G, B75, '환경부사업(F)'!W:W, B81, '환경부사업(F)'!U:U, $D$1),
    SUMIFS('프로젝트(G)'!I:I, '프로젝트(G)'!C:C, $E$1, '프로젝트(G)'!G:G, B75, '프로젝트(G)'!W:W, B81, '프로젝트(G)'!U:U, $D$1),
    SUMIFS('협력사 EPC(H)'!I:I, '협력사 EPC(H)'!C:C, $E$1, '협력사 EPC(H)'!G:G, B75, '협력사 EPC(H)'!W:W, B81, '협력사 EPC(H)'!U:U, $D$1),
    SUMIFS('기타(Z)'!I:I, '기타(Z)'!C:C, $E$1, '기타(Z)'!G:G, B75, '기타(Z)'!W:W, B81, '기타(Z)'!U:U, $D$1)
  ) = 0,
  "",
  SUM(
    SUMIFS('발전사업(A)'!I:I, '발전사업(A)'!C:C, $E$1, '발전사업(A)'!G:G, B75, '발전사업(A)'!W:W, B81, '발전사업(A)'!U:U, $D$1),
    SUMIFS('자가소비(B)'!I:I, '자가소비(B)'!C:C, $E$1, '자가소비(B)'!G:G, B75, '자가소비(B)'!W:W, B81, '자가소비(B)'!U:U, $D$1),
    SUMIFS('PPA 사업(C)'!I:I, 'PPA 사업(C)'!C:C, $E$1, 'PPA 사업(C)'!G:G, B75, 'PPA 사업(C)'!W:W, B81, 'PPA 사업(C)'!U:U, $D$1),
    SUMIFS('리스사업(D)'!I:I, '리스사업(D)'!C:C, $E$1, '리스사업(D)'!G:G, B75, '리스사업(D)'!W:W, B81, '리스사업(D)'!U:U, $D$1),
    SUMIFS('임대사업(E)'!I:I, '임대사업(E)'!C:C, $E$1, '임대사업(E)'!G:G, B75, '임대사업(E)'!W:W, B81, '임대사업(E)'!U:U, $D$1),
    SUMIFS('환경부사업(F)'!I:I, '환경부사업(F)'!C:C, $E$1, '환경부사업(F)'!G:G, B75, '환경부사업(F)'!W:W, B81, '환경부사업(F)'!U:U, $D$1),
    SUMIFS('프로젝트(G)'!I:I, '프로젝트(G)'!C:C, $E$1, '프로젝트(G)'!G:G, B75, '프로젝트(G)'!W:W, B81, '프로젝트(G)'!U:U, $D$1),
    SUMIFS('협력사 EPC(H)'!I:I, '협력사 EPC(H)'!C:C, $E$1, '협력사 EPC(H)'!G:G, B75, '협력사 EPC(H)'!W:W, B81, '협력사 EPC(H)'!U:U, $D$1),
    SUMIFS('기타(Z)'!I:I, '기타(Z)'!C:C, $E$1, '기타(Z)'!G:G, B75, '기타(Z)'!W:W, B81, '기타(Z)'!U:U, $D$1)
  )
)</f>
        <v/>
      </c>
      <c r="H81" s="281" t="str">
        <f>IF(
  (
    COUNTIFS('발전사업(A)'!C:C, $E$1, '발전사업(A)'!G:G, B75, '발전사업(A)'!W:W, B81, '발전사업(A)'!U:U, $D$1)
    + COUNTIFS('자가소비(B)'!C:C, $E$1, '자가소비(B)'!G:G, B75, '자가소비(B)'!W:W, B81, '자가소비(B)'!U:U, $D$1)
    + COUNTIFS('PPA 사업(C)'!C:C, $E$1, 'PPA 사업(C)'!G:G, B75, 'PPA 사업(C)'!W:W, B81, 'PPA 사업(C)'!U:U, $D$1)
    + COUNTIFS('리스사업(D)'!C:C, $E$1, '리스사업(D)'!G:G, B75, '리스사업(D)'!W:W, B81, '리스사업(D)'!U:U, $D$1)
    + COUNTIFS('임대사업(E)'!C:C, $E$1, '임대사업(E)'!G:G, B75, '임대사업(E)'!W:W, B81, '임대사업(E)'!U:U, $D$1)
    + COUNTIFS('환경부사업(F)'!C:C, $E$1, '환경부사업(F)'!G:G, B75, '환경부사업(F)'!W:W, B81, '환경부사업(F)'!U:U, $D$1)
    + COUNTIFS('프로젝트(G)'!C:C, $E$1, '프로젝트(G)'!G:G, B75, '프로젝트(G)'!W:W, B81, '프로젝트(G)'!U:U, $D$1)
    + COUNTIFS('협력사 EPC(H)'!C:C, $E$1, '협력사 EPC(H)'!G:G, B75, '협력사 EPC(H)'!W:W, B81, '협력사 EPC(H)'!U:U, $D$1)
    + COUNTIFS('기타(Z)'!C:C, $E$1, '기타(Z)'!G:G, B75, '기타(Z)'!W:W, B81, '기타(Z)'!U:U, $D$1)
  ) = 0,
  "",
  COUNTIFS('발전사업(A)'!C:C, $E$1, '발전사업(A)'!G:G, B75, '발전사업(A)'!W:W, B81, '발전사업(A)'!U:U, $D$1)
  + COUNTIFS('자가소비(B)'!C:C, $E$1, '자가소비(B)'!G:G, B75, '자가소비(B)'!W:W, B81, '자가소비(B)'!U:U, $D$1)
  + COUNTIFS('PPA 사업(C)'!C:C, $E$1, 'PPA 사업(C)'!G:G, B75, 'PPA 사업(C)'!W:W, B81, 'PPA 사업(C)'!U:U, $D$1)
  + COUNTIFS('리스사업(D)'!C:C, $E$1, '리스사업(D)'!G:G, B75, '리스사업(D)'!W:W, B81, '리스사업(D)'!U:U, $D$1)
  + COUNTIFS('임대사업(E)'!C:C, $E$1, '임대사업(E)'!G:G, B75, '임대사업(E)'!W:W, B81, '임대사업(E)'!U:U, $D$1)
  + COUNTIFS('환경부사업(F)'!C:C, $E$1, '환경부사업(F)'!G:G, B75, '환경부사업(F)'!W:W, B81, '환경부사업(F)'!U:U, $D$1)
  + COUNTIFS('프로젝트(G)'!C:C, $E$1, '프로젝트(G)'!G:G, B75, '프로젝트(G)'!W:W, B81, '프로젝트(G)'!U:U, $D$1)
  + COUNTIFS('협력사 EPC(H)'!C:C, $E$1, '협력사 EPC(H)'!G:G, B75, '협력사 EPC(H)'!W:W, B81, '협력사 EPC(H)'!U:U, $D$1)
  + COUNTIFS('기타(Z)'!C:C, $E$1, '기타(Z)'!G:G, B75, '기타(Z)'!W:W, B81, '기타(Z)'!U:U, $D$1)
)</f>
        <v/>
      </c>
    </row>
    <row r="82" spans="2:8" x14ac:dyDescent="0.25">
      <c r="B82" s="202" t="s">
        <v>264</v>
      </c>
      <c r="C82" s="280" t="str">
        <f>IF(
  SUM(
    SUMIFS('발전사업(A)'!I:I, '발전사업(A)'!C:C, $E$1, '발전사업(A)'!G:G, B75, '발전사업(A)'!W:W, B82),
    SUMIFS('자가소비(B)'!I:I, '자가소비(B)'!C:C, $E$1, '자가소비(B)'!G:G, B75, '자가소비(B)'!W:W, B82),
    SUMIFS('PPA 사업(C)'!I:I, 'PPA 사업(C)'!C:C, $E$1, 'PPA 사업(C)'!G:G, B75, 'PPA 사업(C)'!W:W, B82),
    SUMIFS('리스사업(D)'!I:I, '리스사업(D)'!C:C, $E$1, '리스사업(D)'!G:G, B75, '리스사업(D)'!W:W, B82),
    SUMIFS('임대사업(E)'!I:I, '임대사업(E)'!C:C, $E$1, '임대사업(E)'!G:G, B75, '임대사업(E)'!W:W, B82),
    SUMIFS('환경부사업(F)'!I:I, '환경부사업(F)'!C:C, $E$1, '환경부사업(F)'!G:G, B75, '환경부사업(F)'!W:W, B82),
    SUMIFS('프로젝트(G)'!I:I, '프로젝트(G)'!C:C, $E$1, '프로젝트(G)'!G:G, B75, '프로젝트(G)'!W:W, B82),
    SUMIFS('협력사 EPC(H)'!I:I, '협력사 EPC(H)'!C:C, $E$1, '협력사 EPC(H)'!G:G, B75, '협력사 EPC(H)'!W:W, B82),
    SUMIFS('기타(Z)'!I:I, '기타(Z)'!C:C, $E$1, '기타(Z)'!G:G, B75, '기타(Z)'!W:W, B82)
  ) = 0,
  "",
  SUMIFS('발전사업(A)'!I:I, '발전사업(A)'!C:C, $E$1, '발전사업(A)'!G:G, B75, '발전사업(A)'!W:W, B82)
  + SUMIFS('자가소비(B)'!I:I, '자가소비(B)'!C:C, $E$1, '자가소비(B)'!G:G, B75, '자가소비(B)'!W:W, B82)
  + SUMIFS('PPA 사업(C)'!I:I, 'PPA 사업(C)'!C:C, $E$1, 'PPA 사업(C)'!G:G, B75, 'PPA 사업(C)'!W:W, B82)
  + SUMIFS('리스사업(D)'!I:I, '리스사업(D)'!C:C, $E$1, '리스사업(D)'!G:G, B75, '리스사업(D)'!W:W, B82)
  + SUMIFS('임대사업(E)'!I:I, '임대사업(E)'!C:C, $E$1, '임대사업(E)'!G:G, B75, '임대사업(E)'!W:W, B82)
  + SUMIFS('환경부사업(F)'!I:I, '환경부사업(F)'!C:C, $E$1, '환경부사업(F)'!G:G, B75, '환경부사업(F)'!W:W, B82)
  + SUMIFS('프로젝트(G)'!I:I, '프로젝트(G)'!C:C, $E$1, '프로젝트(G)'!G:G, B75, '프로젝트(G)'!W:W, B82)
  + SUMIFS('협력사 EPC(H)'!I:I, '협력사 EPC(H)'!C:C, $E$1, '협력사 EPC(H)'!G:G, B75, '협력사 EPC(H)'!W:W, B82)
  + SUMIFS('기타(Z)'!I:I, '기타(Z)'!C:C, $E$1, '기타(Z)'!G:G, B75, '기타(Z)'!W:W, B82)
)</f>
        <v/>
      </c>
      <c r="D82" s="281" t="str">
        <f>IF(
  COUNTIFS('발전사업(A)'!C:C, $E$1, '발전사업(A)'!G:G, B75, '발전사업(A)'!W:W, B82)
  + COUNTIFS('자가소비(B)'!C:C, $E$1, '자가소비(B)'!G:G, B75, '자가소비(B)'!W:W, B82)
  + COUNTIFS('PPA 사업(C)'!C:C, $E$1, 'PPA 사업(C)'!G:G, B75, 'PPA 사업(C)'!W:W, B82)
  + COUNTIFS('리스사업(D)'!C:C, $E$1, '리스사업(D)'!G:G, B75, '리스사업(D)'!W:W, B82)
  + COUNTIFS('임대사업(E)'!C:C, $E$1, '임대사업(E)'!G:G, B75, '임대사업(E)'!W:W, B82)
  + COUNTIFS('환경부사업(F)'!C:C, $E$1, '환경부사업(F)'!G:G, B75, '환경부사업(F)'!W:W, B82)
  + COUNTIFS('프로젝트(G)'!C:C, $E$1, '프로젝트(G)'!G:G, B75, '프로젝트(G)'!W:W, B82)
  + COUNTIFS('협력사 EPC(H)'!C:C, $E$1, '협력사 EPC(H)'!G:G, B75, '협력사 EPC(H)'!W:W, B82)
  + COUNTIFS('기타(Z)'!C:C, $E$1, '기타(Z)'!G:G, B75, '기타(Z)'!W:W, B82)
  = 0,
  "",
  COUNTIFS('발전사업(A)'!C:C, $E$1, '발전사업(A)'!G:G, B75, '발전사업(A)'!W:W, B82)
  + COUNTIFS('자가소비(B)'!C:C, $E$1, '자가소비(B)'!G:G, B75, '자가소비(B)'!W:W, B82)
  + COUNTIFS('PPA 사업(C)'!C:C, $E$1, 'PPA 사업(C)'!G:G, B75, 'PPA 사업(C)'!W:W, B82)
  + COUNTIFS('리스사업(D)'!C:C, $E$1, '리스사업(D)'!G:G, B75, '리스사업(D)'!W:W, B82)
  + COUNTIFS('임대사업(E)'!C:C, $E$1, '임대사업(E)'!G:G, B75, '임대사업(E)'!W:W, B82)
  + COUNTIFS('환경부사업(F)'!C:C, $E$1, '환경부사업(F)'!G:G, B75, '환경부사업(F)'!W:W, B82)
  + COUNTIFS('프로젝트(G)'!C:C, $E$1, '프로젝트(G)'!G:G, B75, '프로젝트(G)'!W:W, B82)
  + COUNTIFS('협력사 EPC(H)'!C:C, $E$1, '협력사 EPC(H)'!G:G, B75, '협력사 EPC(H)'!W:W, B82)
  + COUNTIFS('기타(Z)'!C:C, $E$1, '기타(Z)'!G:G, B75, '기타(Z)'!W:W, B82)
)</f>
        <v/>
      </c>
      <c r="E82" s="280" t="str">
        <f>IF(
  SUM(
    SUMIFS('발전사업(A)'!I:I, '발전사업(A)'!C:C, $E$1, '발전사업(A)'!G:G, B75, '발전사업(A)'!W:W, B82, '발전사업(A)'!U:U, $C$1),
    SUMIFS('자가소비(B)'!I:I, '자가소비(B)'!C:C, $E$1, '자가소비(B)'!G:G, B75, '자가소비(B)'!W:W, B82, '자가소비(B)'!U:U, $C$1),
    SUMIFS('PPA 사업(C)'!I:I, 'PPA 사업(C)'!C:C, $E$1, 'PPA 사업(C)'!G:G, B75, 'PPA 사업(C)'!W:W, B82, 'PPA 사업(C)'!U:U, $C$1),
    SUMIFS('리스사업(D)'!I:I, '리스사업(D)'!C:C, $E$1, '리스사업(D)'!G:G, B75, '리스사업(D)'!W:W, B82, '리스사업(D)'!U:U, $C$1),
    SUMIFS('임대사업(E)'!I:I, '임대사업(E)'!C:C, $E$1, '임대사업(E)'!G:G, B75, '임대사업(E)'!W:W, B82, '임대사업(E)'!U:U, $C$1),
    SUMIFS('환경부사업(F)'!I:I, '환경부사업(F)'!C:C, $E$1, '환경부사업(F)'!G:G, B75, '환경부사업(F)'!W:W, B82, '환경부사업(F)'!U:U, $C$1),
    SUMIFS('프로젝트(G)'!I:I, '프로젝트(G)'!C:C, $E$1, '프로젝트(G)'!G:G, B75, '프로젝트(G)'!W:W, B82, '프로젝트(G)'!U:U, $C$1),
    SUMIFS('협력사 EPC(H)'!I:I, '협력사 EPC(H)'!C:C, $E$1, '협력사 EPC(H)'!G:G, B75, '협력사 EPC(H)'!W:W, B82, '협력사 EPC(H)'!U:U, $C$1),
    SUMIFS('기타(Z)'!I:I, '기타(Z)'!C:C, $E$1, '기타(Z)'!G:G, B75, '기타(Z)'!W:W, B82, '기타(Z)'!U:U, $C$1)
  ) = 0,
  "",
  SUM(
    SUMIFS('발전사업(A)'!I:I, '발전사업(A)'!C:C, $E$1, '발전사업(A)'!G:G, B75, '발전사업(A)'!W:W, B82, '발전사업(A)'!U:U, $C$1),
    SUMIFS('자가소비(B)'!I:I, '자가소비(B)'!C:C, $E$1, '자가소비(B)'!G:G, B75, '자가소비(B)'!W:W, B82, '자가소비(B)'!U:U, $C$1),
    SUMIFS('PPA 사업(C)'!I:I, 'PPA 사업(C)'!C:C, $E$1, 'PPA 사업(C)'!G:G, B75, 'PPA 사업(C)'!W:W, B82, 'PPA 사업(C)'!U:U, $C$1),
    SUMIFS('리스사업(D)'!I:I, '리스사업(D)'!C:C, $E$1, '리스사업(D)'!G:G, B75, '리스사업(D)'!W:W, B82, '리스사업(D)'!U:U, $C$1),
    SUMIFS('임대사업(E)'!I:I, '임대사업(E)'!C:C, $E$1, '임대사업(E)'!G:G, B75, '임대사업(E)'!W:W, B82, '임대사업(E)'!U:U, $C$1),
    SUMIFS('환경부사업(F)'!I:I, '환경부사업(F)'!C:C, $E$1, '환경부사업(F)'!G:G, B75, '환경부사업(F)'!W:W, B82, '환경부사업(F)'!U:U, $C$1),
    SUMIFS('프로젝트(G)'!I:I, '프로젝트(G)'!C:C, $E$1, '프로젝트(G)'!G:G, B75, '프로젝트(G)'!W:W, B82, '프로젝트(G)'!U:U, $C$1),
    SUMIFS('협력사 EPC(H)'!I:I, '협력사 EPC(H)'!C:C, $E$1, '협력사 EPC(H)'!G:G, B75, '협력사 EPC(H)'!W:W, B82, '협력사 EPC(H)'!U:U, $C$1),
    SUMIFS('기타(Z)'!I:I, '기타(Z)'!C:C, $E$1, '기타(Z)'!G:G, B75, '기타(Z)'!W:W, B82, '기타(Z)'!U:U, $C$1)
  )
)</f>
        <v/>
      </c>
      <c r="F82" s="281" t="str">
        <f>IF(
  SUM(
    COUNTIFS('발전사업(A)'!C:C, $E$1, '발전사업(A)'!G:G, B75, '발전사업(A)'!W:W, B82, '발전사업(A)'!U:U, $C$1),
    COUNTIFS('자가소비(B)'!C:C, $E$1, '자가소비(B)'!G:G, B75, '자가소비(B)'!W:W, B82, '자가소비(B)'!U:U, $C$1),
    COUNTIFS('PPA 사업(C)'!C:C, $E$1, 'PPA 사업(C)'!G:G, B75, 'PPA 사업(C)'!W:W, B82, 'PPA 사업(C)'!U:U, $C$1),
    COUNTIFS('리스사업(D)'!C:C, $E$1, '리스사업(D)'!G:G, B75, '리스사업(D)'!W:W, B82, '리스사업(D)'!U:U, $C$1),
    COUNTIFS('임대사업(E)'!C:C, $E$1, '임대사업(E)'!G:G, B75, '임대사업(E)'!W:W, B82, '임대사업(E)'!U:U, $C$1),
    COUNTIFS('환경부사업(F)'!C:C, $E$1, '환경부사업(F)'!G:G, B75, '환경부사업(F)'!W:W, B82, '환경부사업(F)'!U:U, $C$1),
    COUNTIFS('프로젝트(G)'!C:C, $E$1, '프로젝트(G)'!G:G, B75, '프로젝트(G)'!W:W, B82, '프로젝트(G)'!U:U, $C$1),
    COUNTIFS('협력사 EPC(H)'!C:C, $E$1, '협력사 EPC(H)'!G:G, B75, '협력사 EPC(H)'!W:W, B82, '협력사 EPC(H)'!U:U, $C$1),
    COUNTIFS('기타(Z)'!C:C, $E$1, '기타(Z)'!G:G, B75, '기타(Z)'!W:W, B82, '기타(Z)'!U:U, $C$1)
  ) = 0,
  "",
  SUM(
    COUNTIFS('발전사업(A)'!C:C, $E$1, '발전사업(A)'!G:G, B75, '발전사업(A)'!W:W, B82, '발전사업(A)'!U:U, $C$1),
    COUNTIFS('자가소비(B)'!C:C, $E$1, '자가소비(B)'!G:G, B75, '자가소비(B)'!W:W, B82, '자가소비(B)'!U:U, $C$1),
    COUNTIFS('PPA 사업(C)'!C:C, $E$1, 'PPA 사업(C)'!G:G, B75, 'PPA 사업(C)'!W:W, B82, 'PPA 사업(C)'!U:U, $C$1),
    COUNTIFS('리스사업(D)'!C:C, $E$1, '리스사업(D)'!G:G, B75, '리스사업(D)'!W:W, B82, '리스사업(D)'!U:U, $C$1),
    COUNTIFS('임대사업(E)'!C:C, $E$1, '임대사업(E)'!G:G, B75, '임대사업(E)'!W:W, B82, '임대사업(E)'!U:U, $C$1),
    COUNTIFS('환경부사업(F)'!C:C, $E$1, '환경부사업(F)'!G:G, B75, '환경부사업(F)'!W:W, B82, '환경부사업(F)'!U:U, $C$1),
    COUNTIFS('프로젝트(G)'!C:C, $E$1, '프로젝트(G)'!G:G, B75, '프로젝트(G)'!W:W, B82, '프로젝트(G)'!U:U, $C$1),
    COUNTIFS('협력사 EPC(H)'!C:C, $E$1, '협력사 EPC(H)'!G:G, B75, '협력사 EPC(H)'!W:W, B82, '협력사 EPC(H)'!U:U, $C$1),
    COUNTIFS('기타(Z)'!C:C, $E$1, '기타(Z)'!G:G, B75, '기타(Z)'!W:W, B82, '기타(Z)'!U:U, $C$1)
  )
)</f>
        <v/>
      </c>
      <c r="G82" s="280" t="str">
        <f>IF(
  SUM(
    SUMIFS('발전사업(A)'!I:I, '발전사업(A)'!C:C, $E$1, '발전사업(A)'!G:G, B75, '발전사업(A)'!W:W, B82, '발전사업(A)'!U:U, $D$1),
    SUMIFS('자가소비(B)'!I:I, '자가소비(B)'!C:C, $E$1, '자가소비(B)'!G:G, B75, '자가소비(B)'!W:W, B82, '자가소비(B)'!U:U, $D$1),
    SUMIFS('PPA 사업(C)'!I:I, 'PPA 사업(C)'!C:C, $E$1, 'PPA 사업(C)'!G:G, B75, 'PPA 사업(C)'!W:W, B82, 'PPA 사업(C)'!U:U, $D$1),
    SUMIFS('리스사업(D)'!I:I, '리스사업(D)'!C:C, $E$1, '리스사업(D)'!G:G, B75, '리스사업(D)'!W:W, B82, '리스사업(D)'!U:U, $D$1),
    SUMIFS('임대사업(E)'!I:I, '임대사업(E)'!C:C, $E$1, '임대사업(E)'!G:G, B75, '임대사업(E)'!W:W, B82, '임대사업(E)'!U:U, $D$1),
    SUMIFS('환경부사업(F)'!I:I, '환경부사업(F)'!C:C, $E$1, '환경부사업(F)'!G:G, B75, '환경부사업(F)'!W:W, B82, '환경부사업(F)'!U:U, $D$1),
    SUMIFS('프로젝트(G)'!I:I, '프로젝트(G)'!C:C, $E$1, '프로젝트(G)'!G:G, B75, '프로젝트(G)'!W:W, B82, '프로젝트(G)'!U:U, $D$1),
    SUMIFS('협력사 EPC(H)'!I:I, '협력사 EPC(H)'!C:C, $E$1, '협력사 EPC(H)'!G:G, B75, '협력사 EPC(H)'!W:W, B82, '협력사 EPC(H)'!U:U, $D$1),
    SUMIFS('기타(Z)'!I:I, '기타(Z)'!C:C, $E$1, '기타(Z)'!G:G, B75, '기타(Z)'!W:W, B82, '기타(Z)'!U:U, $D$1)
  ) = 0,
  "",
  SUM(
    SUMIFS('발전사업(A)'!I:I, '발전사업(A)'!C:C, $E$1, '발전사업(A)'!G:G, B75, '발전사업(A)'!W:W, B82, '발전사업(A)'!U:U, $D$1),
    SUMIFS('자가소비(B)'!I:I, '자가소비(B)'!C:C, $E$1, '자가소비(B)'!G:G, B75, '자가소비(B)'!W:W, B82, '자가소비(B)'!U:U, $D$1),
    SUMIFS('PPA 사업(C)'!I:I, 'PPA 사업(C)'!C:C, $E$1, 'PPA 사업(C)'!G:G, B75, 'PPA 사업(C)'!W:W, B82, 'PPA 사업(C)'!U:U, $D$1),
    SUMIFS('리스사업(D)'!I:I, '리스사업(D)'!C:C, $E$1, '리스사업(D)'!G:G, B75, '리스사업(D)'!W:W, B82, '리스사업(D)'!U:U, $D$1),
    SUMIFS('임대사업(E)'!I:I, '임대사업(E)'!C:C, $E$1, '임대사업(E)'!G:G, B75, '임대사업(E)'!W:W, B82, '임대사업(E)'!U:U, $D$1),
    SUMIFS('환경부사업(F)'!I:I, '환경부사업(F)'!C:C, $E$1, '환경부사업(F)'!G:G, B75, '환경부사업(F)'!W:W, B82, '환경부사업(F)'!U:U, $D$1),
    SUMIFS('프로젝트(G)'!I:I, '프로젝트(G)'!C:C, $E$1, '프로젝트(G)'!G:G, B75, '프로젝트(G)'!W:W, B82, '프로젝트(G)'!U:U, $D$1),
    SUMIFS('협력사 EPC(H)'!I:I, '협력사 EPC(H)'!C:C, $E$1, '협력사 EPC(H)'!G:G, B75, '협력사 EPC(H)'!W:W, B82, '협력사 EPC(H)'!U:U, $D$1),
    SUMIFS('기타(Z)'!I:I, '기타(Z)'!C:C, $E$1, '기타(Z)'!G:G, B75, '기타(Z)'!W:W, B82, '기타(Z)'!U:U, $D$1)
  )
)</f>
        <v/>
      </c>
      <c r="H82" s="281" t="str">
        <f>IF(
  (
    COUNTIFS('발전사업(A)'!C:C, $E$1, '발전사업(A)'!G:G, B75, '발전사업(A)'!W:W, B82, '발전사업(A)'!U:U, $D$1)
    + COUNTIFS('자가소비(B)'!C:C, $E$1, '자가소비(B)'!G:G, B75, '자가소비(B)'!W:W, B82, '자가소비(B)'!U:U, $D$1)
    + COUNTIFS('PPA 사업(C)'!C:C, $E$1, 'PPA 사업(C)'!G:G, B75, 'PPA 사업(C)'!W:W, B82, 'PPA 사업(C)'!U:U, $D$1)
    + COUNTIFS('리스사업(D)'!C:C, $E$1, '리스사업(D)'!G:G, B75, '리스사업(D)'!W:W, B82, '리스사업(D)'!U:U, $D$1)
    + COUNTIFS('임대사업(E)'!C:C, $E$1, '임대사업(E)'!G:G, B75, '임대사업(E)'!W:W, B82, '임대사업(E)'!U:U, $D$1)
    + COUNTIFS('환경부사업(F)'!C:C, $E$1, '환경부사업(F)'!G:G, B75, '환경부사업(F)'!W:W, B82, '환경부사업(F)'!U:U, $D$1)
    + COUNTIFS('프로젝트(G)'!C:C, $E$1, '프로젝트(G)'!G:G, B75, '프로젝트(G)'!W:W, B82, '프로젝트(G)'!U:U, $D$1)
    + COUNTIFS('협력사 EPC(H)'!C:C, $E$1, '협력사 EPC(H)'!G:G, B75, '협력사 EPC(H)'!W:W, B82, '협력사 EPC(H)'!U:U, $D$1)
    + COUNTIFS('기타(Z)'!C:C, $E$1, '기타(Z)'!G:G, $B75, '기타(Z)'!W:W, B82, '기타(Z)'!U:U, $D$1)
  ) = 0,
  "",
  COUNTIFS('발전사업(A)'!C:C, $E$1, '발전사업(A)'!G:G, B75, '발전사업(A)'!W:W, B82, '발전사업(A)'!U:U, $D$1)
  + COUNTIFS('자가소비(B)'!C:C, $E$1, '자가소비(B)'!G:G, B75, '자가소비(B)'!W:W, B82, '자가소비(B)'!U:U, $D$1)
  + COUNTIFS('PPA 사업(C)'!C:C, $E$1, 'PPA 사업(C)'!G:G, B75, 'PPA 사업(C)'!W:W, B82, 'PPA 사업(C)'!U:U, $D$1)
  + COUNTIFS('리스사업(D)'!C:C, $E$1, '리스사업(D)'!G:G, B75, '리스사업(D)'!W:W, B82, '리스사업(D)'!U:U, $D$1)
  + COUNTIFS('임대사업(E)'!C:C, $E$1, '임대사업(E)'!G:G, B75, '임대사업(E)'!W:W, B82, '임대사업(E)'!U:U, $D$1)
  + COUNTIFS('환경부사업(F)'!C:C, $E$1, '환경부사업(F)'!G:G, B75, '환경부사업(F)'!W:W, B82, '환경부사업(F)'!U:U, $D$1)
  + COUNTIFS('프로젝트(G)'!C:C, $E$1, '프로젝트(G)'!G:G, B75, '프로젝트(G)'!W:W, B82, '프로젝트(G)'!U:U, $D$1)
  + COUNTIFS('협력사 EPC(H)'!C:C, $E$1, '협력사 EPC(H)'!G:G, B75, '협력사 EPC(H)'!W:W, B82, '협력사 EPC(H)'!U:U, $D$1)
  + COUNTIFS('기타(Z)'!C:C, $E$1, '기타(Z)'!G:G, B75, '기타(Z)'!W:W, B82, '기타(Z)'!U:U, $D$1)
)</f>
        <v/>
      </c>
    </row>
    <row r="83" spans="2:8" x14ac:dyDescent="0.25">
      <c r="B83" s="202" t="s">
        <v>265</v>
      </c>
      <c r="C83" s="280" t="str">
        <f>IF(
  SUM(
    SUMIFS('발전사업(A)'!I:I, '발전사업(A)'!C:C, $E$1, '발전사업(A)'!G:G, B75, '발전사업(A)'!W:W, B83),
    SUMIFS('자가소비(B)'!I:I, '자가소비(B)'!C:C, $E$1, '자가소비(B)'!G:G, B75, '자가소비(B)'!W:W, B83),
    SUMIFS('PPA 사업(C)'!I:I, 'PPA 사업(C)'!C:C, $E$1, 'PPA 사업(C)'!G:G, B75, 'PPA 사업(C)'!W:W, B83),
    SUMIFS('리스사업(D)'!I:I, '리스사업(D)'!C:C, $E$1, '리스사업(D)'!G:G, B75, '리스사업(D)'!W:W, B83),
    SUMIFS('임대사업(E)'!I:I, '임대사업(E)'!C:C, $E$1, '임대사업(E)'!G:G, B75, '임대사업(E)'!W:W, B83),
    SUMIFS('환경부사업(F)'!I:I, '환경부사업(F)'!C:C, $E$1, '환경부사업(F)'!G:G, B75, '환경부사업(F)'!W:W, B83),
    SUMIFS('프로젝트(G)'!I:I, '프로젝트(G)'!C:C, $E$1, '프로젝트(G)'!G:G, B75, '프로젝트(G)'!W:W, B83),
    SUMIFS('협력사 EPC(H)'!I:I, '협력사 EPC(H)'!C:C, $E$1, '협력사 EPC(H)'!G:G, B75, '협력사 EPC(H)'!W:W, B83),
    SUMIFS('기타(Z)'!I:I, '기타(Z)'!C:C, $E$1, '기타(Z)'!G:G, B75, '기타(Z)'!W:W, B83)
  ) = 0,
  "",
  SUMIFS('발전사업(A)'!I:I, '발전사업(A)'!C:C, $E$1, '발전사업(A)'!G:G, B75, '발전사업(A)'!W:W, B83)
  + SUMIFS('자가소비(B)'!I:I, '자가소비(B)'!C:C, $E$1, '자가소비(B)'!G:G, B75, '자가소비(B)'!W:W, B83)
  + SUMIFS('PPA 사업(C)'!I:I, 'PPA 사업(C)'!C:C, $E$1, 'PPA 사업(C)'!G:G, B75, 'PPA 사업(C)'!W:W, B83)
  + SUMIFS('리스사업(D)'!I:I, '리스사업(D)'!C:C, $E$1, '리스사업(D)'!G:G, B75, '리스사업(D)'!W:W, B83)
  + SUMIFS('임대사업(E)'!I:I, '임대사업(E)'!C:C, $E$1, '임대사업(E)'!G:G, B75, '임대사업(E)'!W:W, B83)
  + SUMIFS('환경부사업(F)'!I:I, '환경부사업(F)'!C:C, $E$1, '환경부사업(F)'!G:G, B75, '환경부사업(F)'!W:W, B83)
  + SUMIFS('프로젝트(G)'!I:I, '프로젝트(G)'!C:C, $E$1, '프로젝트(G)'!G:G, B75, '프로젝트(G)'!W:W, B83)
  + SUMIFS('협력사 EPC(H)'!I:I, '협력사 EPC(H)'!C:C, $E$1, '협력사 EPC(H)'!G:G, B75, '협력사 EPC(H)'!W:W, B83)
  + SUMIFS('기타(Z)'!I:I, '기타(Z)'!C:C, $E$1, '기타(Z)'!G:G, B75, '기타(Z)'!W:W, B83)
)</f>
        <v/>
      </c>
      <c r="D83" s="281" t="str">
        <f>IF(
  COUNTIFS('발전사업(A)'!C:C, $E$1, '발전사업(A)'!G:G, B75, '발전사업(A)'!W:W, B83)
  + COUNTIFS('자가소비(B)'!C:C, $E$1, '자가소비(B)'!G:G, B75, '자가소비(B)'!W:W, B83)
  + COUNTIFS('PPA 사업(C)'!C:C, $E$1, 'PPA 사업(C)'!G:G, B75, 'PPA 사업(C)'!W:W, B83)
  + COUNTIFS('리스사업(D)'!C:C, $E$1, '리스사업(D)'!G:G, B75, '리스사업(D)'!W:W, B83)
  + COUNTIFS('임대사업(E)'!C:C, $E$1, '임대사업(E)'!G:G, B75, '임대사업(E)'!W:W, B83)
  + COUNTIFS('환경부사업(F)'!C:C, $E$1, '환경부사업(F)'!G:G, B75, '환경부사업(F)'!W:W, B83)
  + COUNTIFS('프로젝트(G)'!C:C, $E$1, '프로젝트(G)'!G:G, B75, '프로젝트(G)'!W:W, B83)
  + COUNTIFS('협력사 EPC(H)'!C:C, $E$1, '협력사 EPC(H)'!G:G, B75, '협력사 EPC(H)'!W:W, B83)
  + COUNTIFS('기타(Z)'!C:C, $E$1, '기타(Z)'!G:G, B75, '기타(Z)'!W:W, B83)
  = 0,
  "",
  COUNTIFS('발전사업(A)'!C:C, $E$1, '발전사업(A)'!G:G, B75, '발전사업(A)'!W:W, B83)
  + COUNTIFS('자가소비(B)'!C:C, $E$1, '자가소비(B)'!G:G, B75, '자가소비(B)'!W:W, B83)
  + COUNTIFS('PPA 사업(C)'!C:C, $E$1, 'PPA 사업(C)'!G:G, B75, 'PPA 사업(C)'!W:W, B83)
  + COUNTIFS('리스사업(D)'!C:C, $E$1, '리스사업(D)'!G:G, B75, '리스사업(D)'!W:W, B83)
  + COUNTIFS('임대사업(E)'!C:C, $E$1, '임대사업(E)'!G:G, B75, '임대사업(E)'!W:W, B83)
  + COUNTIFS('환경부사업(F)'!C:C, $E$1, '환경부사업(F)'!G:G, B75, '환경부사업(F)'!W:W, B83)
  + COUNTIFS('프로젝트(G)'!C:C, $E$1, '프로젝트(G)'!G:G, B75, '프로젝트(G)'!W:W, B83)
  + COUNTIFS('협력사 EPC(H)'!C:C, $E$1, '협력사 EPC(H)'!G:G, B75, '협력사 EPC(H)'!W:W, B83)
  + COUNTIFS('기타(Z)'!C:C, $E$1, '기타(Z)'!G:G, B75, '기타(Z)'!W:W, B83)
)</f>
        <v/>
      </c>
      <c r="E83" s="280" t="str">
        <f>IF(
  SUM(
    SUMIFS('발전사업(A)'!I:I, '발전사업(A)'!C:C, $E$1, '발전사업(A)'!G:G, B75, '발전사업(A)'!W:W, B83, '발전사업(A)'!U:U, $C$1),
    SUMIFS('자가소비(B)'!I:I, '자가소비(B)'!C:C, $E$1, '자가소비(B)'!G:G, B75, '자가소비(B)'!W:W, B83, '자가소비(B)'!U:U, $C$1),
    SUMIFS('PPA 사업(C)'!I:I, 'PPA 사업(C)'!C:C, $E$1, 'PPA 사업(C)'!G:G, B75, 'PPA 사업(C)'!W:W, B83, 'PPA 사업(C)'!U:U, $C$1),
    SUMIFS('리스사업(D)'!I:I, '리스사업(D)'!C:C, $E$1, '리스사업(D)'!G:G, B75, '리스사업(D)'!W:W, B83, '리스사업(D)'!U:U, $C$1),
    SUMIFS('임대사업(E)'!I:I, '임대사업(E)'!C:C, $E$1, '임대사업(E)'!G:G, B75, '임대사업(E)'!W:W, B83, '임대사업(E)'!U:U, $C$1),
    SUMIFS('환경부사업(F)'!I:I, '환경부사업(F)'!C:C, $E$1, '환경부사업(F)'!G:G, B75, '환경부사업(F)'!W:W, B83, '환경부사업(F)'!U:U, $C$1),
    SUMIFS('프로젝트(G)'!I:I, '프로젝트(G)'!C:C, $E$1, '프로젝트(G)'!G:G, B75, '프로젝트(G)'!W:W, B83, '프로젝트(G)'!U:U, $C$1),
    SUMIFS('협력사 EPC(H)'!I:I, '협력사 EPC(H)'!C:C, $E$1, '협력사 EPC(H)'!G:G, B75, '협력사 EPC(H)'!W:W, B83, '협력사 EPC(H)'!U:U, $C$1),
    SUMIFS('기타(Z)'!I:I, '기타(Z)'!C:C, $E$1, '기타(Z)'!G:G, B75, '기타(Z)'!W:W, B83, '기타(Z)'!U:U, $C$1)
  ) = 0,
  "",
  SUM(
    SUMIFS('발전사업(A)'!I:I, '발전사업(A)'!C:C, $E$1, '발전사업(A)'!G:G, B75, '발전사업(A)'!W:W, B83, '발전사업(A)'!U:U, $C$1),
    SUMIFS('자가소비(B)'!I:I, '자가소비(B)'!C:C, $E$1, '자가소비(B)'!G:G, B75, '자가소비(B)'!W:W, B83, '자가소비(B)'!U:U, $C$1),
    SUMIFS('PPA 사업(C)'!I:I, 'PPA 사업(C)'!C:C, $E$1, 'PPA 사업(C)'!G:G, B75, 'PPA 사업(C)'!W:W, B83, 'PPA 사업(C)'!U:U, $C$1),
    SUMIFS('리스사업(D)'!I:I, '리스사업(D)'!C:C, $E$1, '리스사업(D)'!G:G, B75, '리스사업(D)'!W:W, B83, '리스사업(D)'!U:U, $C$1),
    SUMIFS('임대사업(E)'!I:I, '임대사업(E)'!C:C, $E$1, '임대사업(E)'!G:G, B75, '임대사업(E)'!W:W, B83, '임대사업(E)'!U:U, $C$1),
    SUMIFS('환경부사업(F)'!I:I, '환경부사업(F)'!C:C, $E$1, '환경부사업(F)'!G:G, B75, '환경부사업(F)'!W:W, B83, '환경부사업(F)'!U:U, $C$1),
    SUMIFS('프로젝트(G)'!I:I, '프로젝트(G)'!C:C, $E$1, '프로젝트(G)'!G:G, B75, '프로젝트(G)'!W:W, B83, '프로젝트(G)'!U:U, $C$1),
    SUMIFS('협력사 EPC(H)'!I:I, '협력사 EPC(H)'!C:C, $E$1, '협력사 EPC(H)'!G:G, B75, '협력사 EPC(H)'!W:W, B83, '협력사 EPC(H)'!U:U, $C$1),
    SUMIFS('기타(Z)'!I:I, '기타(Z)'!C:C, $E$1, '기타(Z)'!G:G, B75, '기타(Z)'!W:W, B83, '기타(Z)'!U:U, $C$1)
  )
)</f>
        <v/>
      </c>
      <c r="F83" s="281" t="str">
        <f>IF(
  SUM(
    COUNTIFS('발전사업(A)'!C:C, $E$1, '발전사업(A)'!G:G, B75, '발전사업(A)'!W:W, B83, '발전사업(A)'!U:U, $C$1),
    COUNTIFS('자가소비(B)'!C:C, $E$1, '자가소비(B)'!G:G, B75, '자가소비(B)'!W:W, B83, '자가소비(B)'!U:U, $C$1),
    COUNTIFS('PPA 사업(C)'!C:C, $E$1, 'PPA 사업(C)'!G:G, B75, 'PPA 사업(C)'!W:W, B83, 'PPA 사업(C)'!U:U, $C$1),
    COUNTIFS('리스사업(D)'!C:C, $E$1, '리스사업(D)'!G:G, B75, '리스사업(D)'!W:W, B83, '리스사업(D)'!U:U, $C$1),
    COUNTIFS('임대사업(E)'!C:C, $E$1, '임대사업(E)'!G:G, B75, '임대사업(E)'!W:W, B83, '임대사업(E)'!U:U, $C$1),
    COUNTIFS('환경부사업(F)'!C:C, $E$1, '환경부사업(F)'!G:G, B75, '환경부사업(F)'!W:W, B83, '환경부사업(F)'!U:U, $C$1),
    COUNTIFS('프로젝트(G)'!C:C, $E$1, '프로젝트(G)'!G:G, B75, '프로젝트(G)'!W:W, B83, '프로젝트(G)'!U:U, $C$1),
    COUNTIFS('협력사 EPC(H)'!C:C, $E$1, '협력사 EPC(H)'!G:G, B75, '협력사 EPC(H)'!W:W, B83, '협력사 EPC(H)'!U:U, $C$1),
    COUNTIFS('기타(Z)'!C:C, $E$1, '기타(Z)'!G:G, B75, '기타(Z)'!W:W, B83, '기타(Z)'!U:U, $C$1)
  ) = 0,
  "",
  SUM(
    COUNTIFS('발전사업(A)'!C:C, $E$1, '발전사업(A)'!G:G, B75, '발전사업(A)'!W:W, B83, '발전사업(A)'!U:U, $C$1),
    COUNTIFS('자가소비(B)'!C:C, $E$1, '자가소비(B)'!G:G, B75, '자가소비(B)'!W:W, B83, '자가소비(B)'!U:U, $C$1),
    COUNTIFS('PPA 사업(C)'!C:C, $E$1, 'PPA 사업(C)'!G:G, B75, 'PPA 사업(C)'!W:W, B83, 'PPA 사업(C)'!U:U, $C$1),
    COUNTIFS('리스사업(D)'!C:C, $E$1, '리스사업(D)'!G:G, B75, '리스사업(D)'!W:W, B83, '리스사업(D)'!U:U, $C$1),
    COUNTIFS('임대사업(E)'!C:C, $E$1, '임대사업(E)'!G:G, B75, '임대사업(E)'!W:W, B83, '임대사업(E)'!U:U, $C$1),
    COUNTIFS('환경부사업(F)'!C:C, $E$1, '환경부사업(F)'!G:G, B75, '환경부사업(F)'!W:W, B83, '환경부사업(F)'!U:U, $C$1),
    COUNTIFS('프로젝트(G)'!C:C, $E$1, '프로젝트(G)'!G:G, B75, '프로젝트(G)'!W:W, B83, '프로젝트(G)'!U:U, $C$1),
    COUNTIFS('협력사 EPC(H)'!C:C, $E$1, '협력사 EPC(H)'!G:G, B75, '협력사 EPC(H)'!W:W, B83, '협력사 EPC(H)'!U:U, $C$1),
    COUNTIFS('기타(Z)'!C:C, $E$1, '기타(Z)'!G:G, B75, '기타(Z)'!W:W, B83, '기타(Z)'!U:U, $C$1)
  )
)</f>
        <v/>
      </c>
      <c r="G83" s="280" t="str">
        <f>IF(
  SUM(
    SUMIFS('발전사업(A)'!I:I, '발전사업(A)'!C:C, $E$1, '발전사업(A)'!G:G, B75, '발전사업(A)'!W:W, B83, '발전사업(A)'!U:U, $D$1),
    SUMIFS('자가소비(B)'!I:I, '자가소비(B)'!C:C, $E$1, '자가소비(B)'!G:G, B75, '자가소비(B)'!W:W, B83, '자가소비(B)'!U:U, $D$1),
    SUMIFS('PPA 사업(C)'!I:I, 'PPA 사업(C)'!C:C, $E$1, 'PPA 사업(C)'!G:G, B75, 'PPA 사업(C)'!W:W, B83, 'PPA 사업(C)'!U:U, $D$1),
    SUMIFS('리스사업(D)'!I:I, '리스사업(D)'!C:C, $E$1, '리스사업(D)'!G:G, B75, '리스사업(D)'!W:W, B83, '리스사업(D)'!U:U, $D$1),
    SUMIFS('임대사업(E)'!I:I, '임대사업(E)'!C:C, $E$1, '임대사업(E)'!G:G, B75, '임대사업(E)'!W:W, B83, '임대사업(E)'!U:U, $D$1),
    SUMIFS('환경부사업(F)'!I:I, '환경부사업(F)'!C:C, $E$1, '환경부사업(F)'!G:G, B75, '환경부사업(F)'!W:W, B83, '환경부사업(F)'!U:U, $D$1),
    SUMIFS('프로젝트(G)'!I:I, '프로젝트(G)'!C:C, $E$1, '프로젝트(G)'!G:G, B75, '프로젝트(G)'!W:W, B83, '프로젝트(G)'!U:U, $D$1),
    SUMIFS('협력사 EPC(H)'!I:I, '협력사 EPC(H)'!C:C, $E$1, '협력사 EPC(H)'!G:G, B75, '협력사 EPC(H)'!W:W, B83, '협력사 EPC(H)'!U:U, $D$1),
    SUMIFS('기타(Z)'!I:I, '기타(Z)'!C:C, $E$1, '기타(Z)'!G:G, B75, '기타(Z)'!W:W, B83, '기타(Z)'!U:U, $D$1)
  ) = 0,
  "",
  SUM(
    SUMIFS('발전사업(A)'!I:I, '발전사업(A)'!C:C, $E$1, '발전사업(A)'!G:G, B75, '발전사업(A)'!W:W, B83, '발전사업(A)'!U:U, $D$1),
    SUMIFS('자가소비(B)'!I:I, '자가소비(B)'!C:C, $E$1, '자가소비(B)'!G:G, B75, '자가소비(B)'!W:W, B83, '자가소비(B)'!U:U, $D$1),
    SUMIFS('PPA 사업(C)'!I:I, 'PPA 사업(C)'!C:C, $E$1, 'PPA 사업(C)'!G:G, B75, 'PPA 사업(C)'!W:W, B83, 'PPA 사업(C)'!U:U, $D$1),
    SUMIFS('리스사업(D)'!I:I, '리스사업(D)'!C:C, $E$1, '리스사업(D)'!G:G, B75, '리스사업(D)'!W:W, B83, '리스사업(D)'!U:U, $D$1),
    SUMIFS('임대사업(E)'!I:I, '임대사업(E)'!C:C, $E$1, '임대사업(E)'!G:G, B75, '임대사업(E)'!W:W, B83, '임대사업(E)'!U:U, $D$1),
    SUMIFS('환경부사업(F)'!I:I, '환경부사업(F)'!C:C, $E$1, '환경부사업(F)'!G:G, B75, '환경부사업(F)'!W:W, B83, '환경부사업(F)'!U:U, $D$1),
    SUMIFS('프로젝트(G)'!I:I, '프로젝트(G)'!C:C, $E$1, '프로젝트(G)'!G:G, B75, '프로젝트(G)'!W:W, B83, '프로젝트(G)'!U:U, $D$1),
    SUMIFS('협력사 EPC(H)'!I:I, '협력사 EPC(H)'!C:C, $E$1, '협력사 EPC(H)'!G:G, B75, '협력사 EPC(H)'!W:W, B83, '협력사 EPC(H)'!U:U, $D$1),
    SUMIFS('기타(Z)'!I:I, '기타(Z)'!C:C, $E$1, '기타(Z)'!G:G, B75, '기타(Z)'!W:W, B83, '기타(Z)'!U:U, $D$1)
  )
)</f>
        <v/>
      </c>
      <c r="H83" s="281" t="str">
        <f>IF(
  (
    COUNTIFS('발전사업(A)'!C:C, $E$1, '발전사업(A)'!G:G, B75, '발전사업(A)'!W:W, B83, '발전사업(A)'!U:U, $D$1)
    + COUNTIFS('자가소비(B)'!C:C, $E$1, '자가소비(B)'!G:G, B75, '자가소비(B)'!W:W, B83, '자가소비(B)'!U:U, $D$1)
    + COUNTIFS('PPA 사업(C)'!C:C, $E$1, 'PPA 사업(C)'!G:G, B75, 'PPA 사업(C)'!W:W, B83, 'PPA 사업(C)'!U:U, $D$1)
    + COUNTIFS('리스사업(D)'!C:C, $E$1, '리스사업(D)'!G:G, B75, '리스사업(D)'!W:W, B83, '리스사업(D)'!U:U, $D$1)
    + COUNTIFS('임대사업(E)'!C:C, $E$1, '임대사업(E)'!G:G, B75, '임대사업(E)'!W:W, B83, '임대사업(E)'!U:U, $D$1)
    + COUNTIFS('환경부사업(F)'!C:C, $E$1, '환경부사업(F)'!G:G, B75, '환경부사업(F)'!W:W, B83, '환경부사업(F)'!U:U, $D$1)
    + COUNTIFS('프로젝트(G)'!C:C, $E$1, '프로젝트(G)'!G:G, B75, '프로젝트(G)'!W:W, B83, '프로젝트(G)'!U:U, $D$1)
    + COUNTIFS('협력사 EPC(H)'!C:C, $E$1, '협력사 EPC(H)'!G:G, B75, '협력사 EPC(H)'!W:W, B83, '협력사 EPC(H)'!U:U, $D$1)
    + COUNTIFS('기타(Z)'!C:C, $E$1, '기타(Z)'!G:G, B75, '기타(Z)'!W:W, B83, '기타(Z)'!U:U, $D$1)
  ) = 0,
  "",
  COUNTIFS('발전사업(A)'!C:C, $E$1, '발전사업(A)'!G:G, B75, '발전사업(A)'!W:W, B83, '발전사업(A)'!U:U, $D$1)
  + COUNTIFS('자가소비(B)'!C:C, $E$1, '자가소비(B)'!G:G, B75, '자가소비(B)'!W:W, B83, '자가소비(B)'!U:U, $D$1)
  + COUNTIFS('PPA 사업(C)'!C:C, $E$1, 'PPA 사업(C)'!G:G, B75, 'PPA 사업(C)'!W:W, B83, 'PPA 사업(C)'!U:U, $D$1)
  + COUNTIFS('리스사업(D)'!C:C, $E$1, '리스사업(D)'!G:G, B75, '리스사업(D)'!W:W, B83, '리스사업(D)'!U:U, $D$1)
  + COUNTIFS('임대사업(E)'!C:C, $E$1, '임대사업(E)'!G:G, B75, '임대사업(E)'!W:W, B83, '임대사업(E)'!U:U, $D$1)
  + COUNTIFS('환경부사업(F)'!C:C, $E$1, '환경부사업(F)'!G:G, B75, '환경부사업(F)'!W:W, B83, '환경부사업(F)'!U:U, $D$1)
  + COUNTIFS('프로젝트(G)'!C:C, $E$1, '프로젝트(G)'!G:G, B75, '프로젝트(G)'!W:W, B83, '프로젝트(G)'!U:U, $D$1)
  + COUNTIFS('협력사 EPC(H)'!C:C, $E$1, '협력사 EPC(H)'!G:G, B75, '협력사 EPC(H)'!W:W, B83, '협력사 EPC(H)'!U:U, $D$1)
  + COUNTIFS('기타(Z)'!C:C, $E$1, '기타(Z)'!G:G, B75, '기타(Z)'!W:W, B83, '기타(Z)'!U:U, $D$1)
)</f>
        <v/>
      </c>
    </row>
    <row r="84" spans="2:8" ht="16.5" x14ac:dyDescent="0.25">
      <c r="B84" s="292" t="s">
        <v>1062</v>
      </c>
      <c r="C84" s="286">
        <f>SUM(C76:C83)</f>
        <v>6367.36</v>
      </c>
      <c r="D84" s="287">
        <f t="shared" ref="D84:H84" si="15">SUM(D76:D83)</f>
        <v>19</v>
      </c>
      <c r="E84" s="288">
        <f t="shared" si="15"/>
        <v>4386.5599999999995</v>
      </c>
      <c r="F84" s="289">
        <f t="shared" si="15"/>
        <v>11</v>
      </c>
      <c r="G84" s="290">
        <f t="shared" si="15"/>
        <v>1980.8</v>
      </c>
      <c r="H84" s="291">
        <f t="shared" si="15"/>
        <v>8</v>
      </c>
    </row>
    <row r="87" spans="2:8" ht="17.25" x14ac:dyDescent="0.25">
      <c r="B87" s="282">
        <v>7</v>
      </c>
      <c r="C87" s="283" t="s">
        <v>1064</v>
      </c>
      <c r="D87" s="283" t="s">
        <v>1063</v>
      </c>
      <c r="E87" s="284" t="s">
        <v>1065</v>
      </c>
      <c r="F87" s="284" t="s">
        <v>1066</v>
      </c>
      <c r="G87" s="285" t="s">
        <v>1067</v>
      </c>
      <c r="H87" s="285" t="s">
        <v>1068</v>
      </c>
    </row>
    <row r="88" spans="2:8" x14ac:dyDescent="0.25">
      <c r="B88" s="202" t="s">
        <v>270</v>
      </c>
      <c r="C88" s="280">
        <f>IF(
  SUM(
    SUMIFS('발전사업(A)'!I:I, '발전사업(A)'!C:C, $E$1, '발전사업(A)'!G:G, B87, '발전사업(A)'!W:W, B88),
    SUMIFS('자가소비(B)'!I:I, '자가소비(B)'!C:C, $E$1, '자가소비(B)'!G:G, B87, '자가소비(B)'!W:W, B88),
    SUMIFS('PPA 사업(C)'!I:I, 'PPA 사업(C)'!C:C, $E$1, 'PPA 사업(C)'!G:G, B87, 'PPA 사업(C)'!W:W, B88),
    SUMIFS('리스사업(D)'!I:I, '리스사업(D)'!C:C, $E$1, '리스사업(D)'!G:G, B87, '리스사업(D)'!W:W, B88),
    SUMIFS('임대사업(E)'!I:I, '임대사업(E)'!C:C, $E$1, '임대사업(E)'!G:G, B87, '임대사업(E)'!W:W, B88),
    SUMIFS('환경부사업(F)'!I:I, '환경부사업(F)'!C:C, $E$1, '환경부사업(F)'!G:G, B87, '환경부사업(F)'!W:W, B88),
    SUMIFS('프로젝트(G)'!I:I, '프로젝트(G)'!C:C, $E$1, '프로젝트(G)'!G:G, B87, '프로젝트(G)'!W:W, B88),
    SUMIFS('협력사 EPC(H)'!I:I, '협력사 EPC(H)'!C:C, $E$1, '협력사 EPC(H)'!G:G, B87, '협력사 EPC(H)'!W:W, B88),
    SUMIFS('기타(Z)'!I:I, '기타(Z)'!C:C, $E$1, '기타(Z)'!G:G, B87, '기타(Z)'!W:W, B88)
  ) = 0,
  "",
  SUMIFS('발전사업(A)'!I:I, '발전사업(A)'!C:C, $E$1, '발전사업(A)'!G:G, B87, '발전사업(A)'!W:W, B88)
  + SUMIFS('자가소비(B)'!I:I, '자가소비(B)'!C:C, $E$1, '자가소비(B)'!G:G, B87, '자가소비(B)'!W:W, B88)
  + SUMIFS('PPA 사업(C)'!I:I, 'PPA 사업(C)'!C:C, $E$1, 'PPA 사업(C)'!G:G, B87, 'PPA 사업(C)'!W:W, B88)
  + SUMIFS('리스사업(D)'!I:I, '리스사업(D)'!C:C, $E$1, '리스사업(D)'!G:G, B87, '리스사업(D)'!W:W, B88)
  + SUMIFS('임대사업(E)'!I:I, '임대사업(E)'!C:C, $E$1, '임대사업(E)'!G:G, B87, '임대사업(E)'!W:W, B88)
  + SUMIFS('환경부사업(F)'!I:I, '환경부사업(F)'!C:C, $E$1, '환경부사업(F)'!G:G, B87, '환경부사업(F)'!W:W, B88)
  + SUMIFS('프로젝트(G)'!I:I, '프로젝트(G)'!C:C, $E$1, '프로젝트(G)'!G:G, B87, '프로젝트(G)'!W:W, B88)
  + SUMIFS('협력사 EPC(H)'!I:I, '협력사 EPC(H)'!C:C, $E$1, '협력사 EPC(H)'!G:G, B87, '협력사 EPC(H)'!W:W, B88)
  + SUMIFS('기타(Z)'!I:I, '기타(Z)'!C:C, $E$1, '기타(Z)'!G:G, B87, '기타(Z)'!W:W, B88)
)</f>
        <v>2090.88</v>
      </c>
      <c r="D88" s="281">
        <f>IF(
  COUNTIFS('발전사업(A)'!C:C, $E$1, '발전사업(A)'!G:G, B87, '발전사업(A)'!W:W, B88)
  + COUNTIFS('자가소비(B)'!C:C, $E$1, '자가소비(B)'!G:G, B87, '자가소비(B)'!W:W, B88)
  + COUNTIFS('PPA 사업(C)'!C:C, $E$1, 'PPA 사업(C)'!G:G, B87, 'PPA 사업(C)'!W:W, B88)
  + COUNTIFS('리스사업(D)'!C:C, $E$1, '리스사업(D)'!G:G, B87, '리스사업(D)'!W:W, B88)
  + COUNTIFS('임대사업(E)'!C:C, $E$1, '임대사업(E)'!G:G, B87, '임대사업(E)'!W:W, B88)
  + COUNTIFS('환경부사업(F)'!C:C, $E$1, '환경부사업(F)'!G:G, B87, '환경부사업(F)'!W:W, B88)
  + COUNTIFS('프로젝트(G)'!C:C, $E$1, '프로젝트(G)'!G:G, B87, '프로젝트(G)'!W:W, B88)
  + COUNTIFS('협력사 EPC(H)'!C:C, $E$1, '협력사 EPC(H)'!G:G, B87, '협력사 EPC(H)'!W:W, B88)
  + COUNTIFS('기타(Z)'!C:C, $E$1, '기타(Z)'!G:G, B87, '기타(Z)'!W:W, B88)
  = 0,
  "",
  COUNTIFS('발전사업(A)'!C:C, $E$1, '발전사업(A)'!G:G, B87, '발전사업(A)'!W:W, B88)
  + COUNTIFS('자가소비(B)'!C:C, $E$1, '자가소비(B)'!G:G, B87, '자가소비(B)'!W:W, B88)
  + COUNTIFS('PPA 사업(C)'!C:C, $E$1, 'PPA 사업(C)'!G:G, B87, 'PPA 사업(C)'!W:W, B88)
  + COUNTIFS('리스사업(D)'!C:C, $E$1, '리스사업(D)'!G:G, B87, '리스사업(D)'!W:W, B88)
  + COUNTIFS('임대사업(E)'!C:C, $E$1, '임대사업(E)'!G:G, B87, '임대사업(E)'!W:W, B88)
  + COUNTIFS('환경부사업(F)'!C:C, $E$1, '환경부사업(F)'!G:G, B87, '환경부사업(F)'!W:W, B88)
  + COUNTIFS('프로젝트(G)'!C:C, $E$1, '프로젝트(G)'!G:G, B87, '프로젝트(G)'!W:W, B88)
  + COUNTIFS('협력사 EPC(H)'!C:C, $E$1, '협력사 EPC(H)'!G:G, B87, '협력사 EPC(H)'!W:W, B88)
  + COUNTIFS('기타(Z)'!C:C, $E$1, '기타(Z)'!G:G, B87, '기타(Z)'!W:W, B88)
)</f>
        <v>5</v>
      </c>
      <c r="E88" s="280">
        <f>IF(
  SUM(
    SUMIFS('발전사업(A)'!I:I, '발전사업(A)'!C:C, $E$1, '발전사업(A)'!G:G, B87, '발전사업(A)'!W:W, B88, '발전사업(A)'!U:U, $C$1),
    SUMIFS('자가소비(B)'!I:I, '자가소비(B)'!C:C, $E$1, '자가소비(B)'!G:G, B87, '자가소비(B)'!W:W, B88, '자가소비(B)'!U:U, $C$1),
    SUMIFS('PPA 사업(C)'!I:I, 'PPA 사업(C)'!C:C, $E$1, 'PPA 사업(C)'!G:G, B87, 'PPA 사업(C)'!W:W, B88, 'PPA 사업(C)'!U:U, $C$1),
    SUMIFS('리스사업(D)'!I:I, '리스사업(D)'!C:C, $E$1, '리스사업(D)'!G:G, B87, '리스사업(D)'!W:W, B88, '리스사업(D)'!U:U, $C$1),
    SUMIFS('임대사업(E)'!I:I, '임대사업(E)'!C:C, $E$1, '임대사업(E)'!G:G, B87, '임대사업(E)'!W:W, B88, '임대사업(E)'!U:U, $C$1),
    SUMIFS('환경부사업(F)'!I:I, '환경부사업(F)'!C:C, $E$1, '환경부사업(F)'!G:G, B87, '환경부사업(F)'!W:W, B88, '환경부사업(F)'!U:U, $C$1),
    SUMIFS('프로젝트(G)'!I:I, '프로젝트(G)'!C:C, $E$1, '프로젝트(G)'!G:G, B87, '프로젝트(G)'!W:W, B88, '프로젝트(G)'!U:U, $C$1),
    SUMIFS('협력사 EPC(H)'!I:I, '협력사 EPC(H)'!C:C, $E$1, '협력사 EPC(H)'!G:G, B87, '협력사 EPC(H)'!W:W, B88, '협력사 EPC(H)'!U:U, $C$1),
    SUMIFS('기타(Z)'!I:I, '기타(Z)'!C:C, $E$1, '기타(Z)'!G:G, B87, '기타(Z)'!W:W, B88, '기타(Z)'!U:U, $C$1)
  ) = 0,
  "",
  SUM(
    SUMIFS('발전사업(A)'!I:I, '발전사업(A)'!C:C, $E$1, '발전사업(A)'!G:G, B87, '발전사업(A)'!W:W, B88, '발전사업(A)'!U:U, $C$1),
    SUMIFS('자가소비(B)'!I:I, '자가소비(B)'!C:C, $E$1, '자가소비(B)'!G:G, B87, '자가소비(B)'!W:W, B88, '자가소비(B)'!U:U, $C$1),
    SUMIFS('PPA 사업(C)'!I:I, 'PPA 사업(C)'!C:C, $E$1, 'PPA 사업(C)'!G:G, B87, 'PPA 사업(C)'!W:W, B88, 'PPA 사업(C)'!U:U, $C$1),
    SUMIFS('리스사업(D)'!I:I, '리스사업(D)'!C:C, $E$1, '리스사업(D)'!G:G, B87, '리스사업(D)'!W:W, B88, '리스사업(D)'!U:U, $C$1),
    SUMIFS('임대사업(E)'!I:I, '임대사업(E)'!C:C, $E$1, '임대사업(E)'!G:G, B87, '임대사업(E)'!W:W, B88, '임대사업(E)'!U:U, $C$1),
    SUMIFS('환경부사업(F)'!I:I, '환경부사업(F)'!C:C, $E$1, '환경부사업(F)'!G:G, B87, '환경부사업(F)'!W:W, B88, '환경부사업(F)'!U:U, $C$1),
    SUMIFS('프로젝트(G)'!I:I, '프로젝트(G)'!C:C, $E$1, '프로젝트(G)'!G:G, B87, '프로젝트(G)'!W:W, B88, '프로젝트(G)'!U:U, $C$1),
    SUMIFS('협력사 EPC(H)'!I:I, '협력사 EPC(H)'!C:C, $E$1, '협력사 EPC(H)'!G:G, B87, '협력사 EPC(H)'!W:W, B88, '협력사 EPC(H)'!U:U, $C$1),
    SUMIFS('기타(Z)'!I:I, '기타(Z)'!C:C, $E$1, '기타(Z)'!G:G, B87, '기타(Z)'!W:W, B88, '기타(Z)'!U:U, $C$1)
  )
)</f>
        <v>740.48</v>
      </c>
      <c r="F88" s="281">
        <f>IF(
  SUM(
    COUNTIFS('발전사업(A)'!C:C, $E$1, '발전사업(A)'!G:G, B87, '발전사업(A)'!W:W, B88, '발전사업(A)'!U:U, $C$1),
    COUNTIFS('자가소비(B)'!C:C, $E$1, '자가소비(B)'!G:G, B87, '자가소비(B)'!W:W, B88, '자가소비(B)'!U:U, $C$1),
    COUNTIFS('PPA 사업(C)'!C:C, $E$1, 'PPA 사업(C)'!G:G, B87, 'PPA 사업(C)'!W:W, B88, 'PPA 사업(C)'!U:U, $C$1),
    COUNTIFS('리스사업(D)'!C:C, $E$1, '리스사업(D)'!G:G, B87, '리스사업(D)'!W:W, B88, '리스사업(D)'!U:U, $C$1),
    COUNTIFS('임대사업(E)'!C:C, $E$1, '임대사업(E)'!G:G, B87, '임대사업(E)'!W:W, B88, '임대사업(E)'!U:U, $C$1),
    COUNTIFS('환경부사업(F)'!C:C, $E$1, '환경부사업(F)'!G:G, B87, '환경부사업(F)'!W:W, B88, '환경부사업(F)'!U:U, $C$1),
    COUNTIFS('프로젝트(G)'!C:C, $E$1, '프로젝트(G)'!G:G, B87, '프로젝트(G)'!W:W, B88, '프로젝트(G)'!U:U, $C$1),
    COUNTIFS('협력사 EPC(H)'!C:C, $E$1, '협력사 EPC(H)'!G:G, B87, '협력사 EPC(H)'!W:W, B88, '협력사 EPC(H)'!U:U, $C$1),
    COUNTIFS('기타(Z)'!C:C, $E$1, '기타(Z)'!G:G, B87, '기타(Z)'!W:W, B88, '기타(Z)'!U:U, $C$1)
  ) = 0,
  "",
  SUM(
    COUNTIFS('발전사업(A)'!C:C, $E$1, '발전사업(A)'!G:G, B87, '발전사업(A)'!W:W, B88, '발전사업(A)'!U:U, $C$1),
    COUNTIFS('자가소비(B)'!C:C, $E$1, '자가소비(B)'!G:G, B87, '자가소비(B)'!W:W, B88, '자가소비(B)'!U:U, $C$1),
    COUNTIFS('PPA 사업(C)'!C:C, $E$1, 'PPA 사업(C)'!G:G, B87, 'PPA 사업(C)'!W:W, B88, 'PPA 사업(C)'!U:U, $C$1),
    COUNTIFS('리스사업(D)'!C:C, $E$1, '리스사업(D)'!G:G, B87, '리스사업(D)'!W:W, B88, '리스사업(D)'!U:U, $C$1),
    COUNTIFS('임대사업(E)'!C:C, $E$1, '임대사업(E)'!G:G, B87, '임대사업(E)'!W:W, B88, '임대사업(E)'!U:U, $C$1),
    COUNTIFS('환경부사업(F)'!C:C, $E$1, '환경부사업(F)'!G:G, B87, '환경부사업(F)'!W:W, B88, '환경부사업(F)'!U:U, $C$1),
    COUNTIFS('프로젝트(G)'!C:C, $E$1, '프로젝트(G)'!G:G, B87, '프로젝트(G)'!W:W, B88, '프로젝트(G)'!U:U, $C$1),
    COUNTIFS('협력사 EPC(H)'!C:C, $E$1, '협력사 EPC(H)'!G:G, B87, '협력사 EPC(H)'!W:W, B88, '협력사 EPC(H)'!U:U, $C$1),
    COUNTIFS('기타(Z)'!C:C, $E$1, '기타(Z)'!G:G, B87, '기타(Z)'!W:W, B88, '기타(Z)'!U:U, $C$1)
  )
)</f>
        <v>4</v>
      </c>
      <c r="G88" s="280">
        <f>IF(
  SUM(
    SUMIFS('발전사업(A)'!I:I, '발전사업(A)'!C:C, $E$1, '발전사업(A)'!G:G, B87, '발전사업(A)'!W:W, B88, '발전사업(A)'!U:U, $D$1),
    SUMIFS('자가소비(B)'!I:I, '자가소비(B)'!C:C, $E$1, '자가소비(B)'!G:G, B87, '자가소비(B)'!W:W, B88, '자가소비(B)'!U:U, $D$1),
    SUMIFS('PPA 사업(C)'!I:I, 'PPA 사업(C)'!C:C, $E$1, 'PPA 사업(C)'!G:G, B87, 'PPA 사업(C)'!W:W, B88, 'PPA 사업(C)'!U:U, $D$1),
    SUMIFS('리스사업(D)'!I:I, '리스사업(D)'!C:C, $E$1, '리스사업(D)'!G:G, B87, '리스사업(D)'!W:W, B88, '리스사업(D)'!U:U, $D$1),
    SUMIFS('임대사업(E)'!I:I, '임대사업(E)'!C:C, $E$1, '임대사업(E)'!G:G, B87, '임대사업(E)'!W:W, B88, '임대사업(E)'!U:U, $D$1),
    SUMIFS('환경부사업(F)'!I:I, '환경부사업(F)'!C:C, $E$1, '환경부사업(F)'!G:G, B87, '환경부사업(F)'!W:W, B88, '환경부사업(F)'!U:U, $D$1),
    SUMIFS('프로젝트(G)'!I:I, '프로젝트(G)'!C:C, $E$1, '프로젝트(G)'!G:G, B87, '프로젝트(G)'!W:W, B88, '프로젝트(G)'!U:U, $D$1),
    SUMIFS('협력사 EPC(H)'!I:I, '협력사 EPC(H)'!C:C, $E$1, '협력사 EPC(H)'!G:G, B87, '협력사 EPC(H)'!W:W, B88, '협력사 EPC(H)'!U:U, $D$1),
    SUMIFS('기타(Z)'!I:I, '기타(Z)'!C:C, $E$1, '기타(Z)'!G:G, B87, '기타(Z)'!W:W, B88, '기타(Z)'!U:U, $D$1)
  ) = 0,
  "",
  SUM(
    SUMIFS('발전사업(A)'!I:I, '발전사업(A)'!C:C, $E$1, '발전사업(A)'!G:G, B87, '발전사업(A)'!W:W, B88, '발전사업(A)'!U:U, $D$1),
    SUMIFS('자가소비(B)'!I:I, '자가소비(B)'!C:C, $E$1, '자가소비(B)'!G:G, B87, '자가소비(B)'!W:W, B88, '자가소비(B)'!U:U, $D$1),
    SUMIFS('PPA 사업(C)'!I:I, 'PPA 사업(C)'!C:C, $E$1, 'PPA 사업(C)'!G:G, B87, 'PPA 사업(C)'!W:W, B88, 'PPA 사업(C)'!U:U, $D$1),
    SUMIFS('리스사업(D)'!I:I, '리스사업(D)'!C:C, $E$1, '리스사업(D)'!G:G, B87, '리스사업(D)'!W:W, B88, '리스사업(D)'!U:U, $D$1),
    SUMIFS('임대사업(E)'!I:I, '임대사업(E)'!C:C, $E$1, '임대사업(E)'!G:G, B87, '임대사업(E)'!W:W, B88, '임대사업(E)'!U:U, $D$1),
    SUMIFS('환경부사업(F)'!I:I, '환경부사업(F)'!C:C, $E$1, '환경부사업(F)'!G:G, B87, '환경부사업(F)'!W:W, B88, '환경부사업(F)'!U:U, $D$1),
    SUMIFS('프로젝트(G)'!I:I, '프로젝트(G)'!C:C, $E$1, '프로젝트(G)'!G:G, B87, '프로젝트(G)'!W:W, B88, '프로젝트(G)'!U:U, $D$1),
    SUMIFS('협력사 EPC(H)'!I:I, '협력사 EPC(H)'!C:C, $E$1, '협력사 EPC(H)'!G:G, B87, '협력사 EPC(H)'!W:W, B88, '협력사 EPC(H)'!U:U, $D$1),
    SUMIFS('기타(Z)'!I:I, '기타(Z)'!C:C, $E$1, '기타(Z)'!G:G, B87, '기타(Z)'!W:W, B88, '기타(Z)'!U:U, $D$1)
  )
)</f>
        <v>1350.4</v>
      </c>
      <c r="H88" s="281">
        <f>IF(
  (
    COUNTIFS('발전사업(A)'!C:C, $E$1, '발전사업(A)'!G:G, B87, '발전사업(A)'!W:W, B88, '발전사업(A)'!U:U, $D$1)
    + COUNTIFS('자가소비(B)'!C:C, $E$1, '자가소비(B)'!G:G, B87, '자가소비(B)'!W:W, B88, '자가소비(B)'!U:U, $D$1)
    + COUNTIFS('PPA 사업(C)'!C:C, $E$1, 'PPA 사업(C)'!G:G, B87, 'PPA 사업(C)'!W:W, B88, 'PPA 사업(C)'!U:U, $D$1)
    + COUNTIFS('리스사업(D)'!C:C, $E$1, '리스사업(D)'!G:G, B87, '리스사업(D)'!W:W, B88, '리스사업(D)'!U:U, $D$1)
    + COUNTIFS('임대사업(E)'!C:C, $E$1, '임대사업(E)'!G:G, B87, '임대사업(E)'!W:W, B88, '임대사업(E)'!U:U, $D$1)
    + COUNTIFS('환경부사업(F)'!C:C, $E$1, '환경부사업(F)'!G:G, B87, '환경부사업(F)'!W:W, B88, '환경부사업(F)'!U:U, $D$1)
    + COUNTIFS('프로젝트(G)'!C:C, $E$1, '프로젝트(G)'!G:G, B87, '프로젝트(G)'!W:W, B88, '프로젝트(G)'!U:U, $D$1)
    + COUNTIFS('협력사 EPC(H)'!C:C, $E$1, '협력사 EPC(H)'!G:G, B87, '협력사 EPC(H)'!W:W, B88, '협력사 EPC(H)'!U:U, $D$1)
    + COUNTIFS('기타(Z)'!C:C, $E$1, '기타(Z)'!G:G, B87, '기타(Z)'!W:W, B88, '기타(Z)'!U:U, $D$1)
  ) = 0,
  "",
  COUNTIFS('발전사업(A)'!C:C, $E$1, '발전사업(A)'!G:G, B87, '발전사업(A)'!W:W, B88, '발전사업(A)'!U:U, $D$1)
  + COUNTIFS('자가소비(B)'!C:C, $E$1, '자가소비(B)'!G:G, B87, '자가소비(B)'!W:W, B88, '자가소비(B)'!U:U, $D$1)
  + COUNTIFS('PPA 사업(C)'!C:C, $E$1, 'PPA 사업(C)'!G:G, B87, 'PPA 사업(C)'!W:W, B88, 'PPA 사업(C)'!U:U, $D$1)
  + COUNTIFS('리스사업(D)'!C:C, $E$1, '리스사업(D)'!G:G, B87, '리스사업(D)'!W:W, B88, '리스사업(D)'!U:U, $D$1)
  + COUNTIFS('임대사업(E)'!C:C, $E$1, '임대사업(E)'!G:G, B87, '임대사업(E)'!W:W, B88, '임대사업(E)'!U:U, $D$1)
  + COUNTIFS('환경부사업(F)'!C:C, $E$1, '환경부사업(F)'!G:G, B87, '환경부사업(F)'!W:W, B88, '환경부사업(F)'!U:U, $D$1)
  + COUNTIFS('프로젝트(G)'!C:C, $E$1, '프로젝트(G)'!G:G, B87, '프로젝트(G)'!W:W, B88, '프로젝트(G)'!U:U, $D$1)
  + COUNTIFS('협력사 EPC(H)'!C:C, $E$1, '협력사 EPC(H)'!G:G, B87, '협력사 EPC(H)'!W:W, B88, '협력사 EPC(H)'!U:U, $D$1)
  + COUNTIFS('기타(Z)'!C:C, $E$1, '기타(Z)'!G:G, B87, '기타(Z)'!W:W, B88, '기타(Z)'!U:U, $D$1)
)</f>
        <v>1</v>
      </c>
    </row>
    <row r="89" spans="2:8" x14ac:dyDescent="0.25">
      <c r="B89" s="202" t="s">
        <v>259</v>
      </c>
      <c r="C89" s="280">
        <f>IF(
  SUM(
    SUMIFS('발전사업(A)'!I:I, '발전사업(A)'!C:C, $E$1, '발전사업(A)'!G:G, B87, '발전사업(A)'!W:W, B89),
    SUMIFS('자가소비(B)'!I:I, '자가소비(B)'!C:C, $E$1, '자가소비(B)'!G:G, B87, '자가소비(B)'!W:W, B89),
    SUMIFS('PPA 사업(C)'!I:I, 'PPA 사업(C)'!C:C, $E$1, 'PPA 사업(C)'!G:G, B87, 'PPA 사업(C)'!W:W, B89),
    SUMIFS('리스사업(D)'!I:I, '리스사업(D)'!C:C, $E$1, '리스사업(D)'!G:G, B87, '리스사업(D)'!W:W, B89),
    SUMIFS('임대사업(E)'!I:I, '임대사업(E)'!C:C, $E$1, '임대사업(E)'!G:G, B87, '임대사업(E)'!W:W, B89),
    SUMIFS('환경부사업(F)'!I:I, '환경부사업(F)'!C:C, $E$1, '환경부사업(F)'!G:G, B87, '환경부사업(F)'!W:W, B89),
    SUMIFS('프로젝트(G)'!I:I, '프로젝트(G)'!C:C, $E$1, '프로젝트(G)'!G:G, B87, '프로젝트(G)'!W:W, B89),
    SUMIFS('협력사 EPC(H)'!I:I, '협력사 EPC(H)'!C:C, $E$1, '협력사 EPC(H)'!G:G, B87, '협력사 EPC(H)'!W:W, B89),
    SUMIFS('기타(Z)'!I:I, '기타(Z)'!C:C, $E$1, '기타(Z)'!G:G, B87, '기타(Z)'!W:W, B89)
  ) = 0,
  "",
  SUMIFS('발전사업(A)'!I:I, '발전사업(A)'!C:C, $E$1, '발전사업(A)'!G:G, B87, '발전사업(A)'!W:W, B89)
  + SUMIFS('자가소비(B)'!I:I, '자가소비(B)'!C:C, $E$1, '자가소비(B)'!G:G, B87, '자가소비(B)'!W:W, B89)
  + SUMIFS('PPA 사업(C)'!I:I, 'PPA 사업(C)'!C:C, $E$1, 'PPA 사업(C)'!G:G, B87, 'PPA 사업(C)'!W:W, B89)
  + SUMIFS('리스사업(D)'!I:I, '리스사업(D)'!C:C, $E$1, '리스사업(D)'!G:G, B87, '리스사업(D)'!W:W, B89)
  + SUMIFS('임대사업(E)'!I:I, '임대사업(E)'!C:C, $E$1, '임대사업(E)'!G:G, B87, '임대사업(E)'!W:W, B89)
  + SUMIFS('환경부사업(F)'!I:I, '환경부사업(F)'!C:C, $E$1, '환경부사업(F)'!G:G, B87, '환경부사업(F)'!W:W, B89)
  + SUMIFS('프로젝트(G)'!I:I, '프로젝트(G)'!C:C, $E$1, '프로젝트(G)'!G:G, B87, '프로젝트(G)'!W:W, B89)
  + SUMIFS('협력사 EPC(H)'!I:I, '협력사 EPC(H)'!C:C, $E$1, '협력사 EPC(H)'!G:G, B87, '협력사 EPC(H)'!W:W, B89)
  + SUMIFS('기타(Z)'!I:I, '기타(Z)'!C:C, $E$1, '기타(Z)'!G:G, B87, '기타(Z)'!W:W, B89)
)</f>
        <v>2047.3600000000001</v>
      </c>
      <c r="D89" s="281">
        <f>IF(
  COUNTIFS('발전사업(A)'!C:C, $E$1, '발전사업(A)'!G:G, B87, '발전사업(A)'!W:W, B89)
  + COUNTIFS('자가소비(B)'!C:C, $E$1, '자가소비(B)'!G:G, B87, '자가소비(B)'!W:W, B89)
  + COUNTIFS('PPA 사업(C)'!C:C, $E$1, 'PPA 사업(C)'!G:G, B87, 'PPA 사업(C)'!W:W, B89)
  + COUNTIFS('리스사업(D)'!C:C, $E$1, '리스사업(D)'!G:G, B87, '리스사업(D)'!W:W, B89)
  + COUNTIFS('임대사업(E)'!C:C, $E$1, '임대사업(E)'!G:G, B87, '임대사업(E)'!W:W, B89)
  + COUNTIFS('환경부사업(F)'!C:C, $E$1, '환경부사업(F)'!G:G, B87, '환경부사업(F)'!W:W, B89)
  + COUNTIFS('프로젝트(G)'!C:C, $E$1, '프로젝트(G)'!G:G, B87, '프로젝트(G)'!W:W, B89)
  + COUNTIFS('협력사 EPC(H)'!C:C, $E$1, '협력사 EPC(H)'!G:G, B87, '협력사 EPC(H)'!W:W, B89)
  + COUNTIFS('기타(Z)'!C:C, $E$1, '기타(Z)'!G:G, B87, '기타(Z)'!W:W, B89)
  = 0,
  "",
  COUNTIFS('발전사업(A)'!C:C, $E$1, '발전사업(A)'!G:G, B87, '발전사업(A)'!W:W, B89)
  + COUNTIFS('자가소비(B)'!C:C, $E$1, '자가소비(B)'!G:G, B87, '자가소비(B)'!W:W, B89)
  + COUNTIFS('PPA 사업(C)'!C:C, $E$1, 'PPA 사업(C)'!G:G, B87, 'PPA 사업(C)'!W:W, B89)
  + COUNTIFS('리스사업(D)'!C:C, $E$1, '리스사업(D)'!G:G, B87, '리스사업(D)'!W:W, B89)
  + COUNTIFS('임대사업(E)'!C:C, $E$1, '임대사업(E)'!G:G, B87, '임대사업(E)'!W:W, B89)
  + COUNTIFS('환경부사업(F)'!C:C, $E$1, '환경부사업(F)'!G:G, B87, '환경부사업(F)'!W:W, B89)
  + COUNTIFS('프로젝트(G)'!C:C, $E$1, '프로젝트(G)'!G:G, B87, '프로젝트(G)'!W:W, B89)
  + COUNTIFS('협력사 EPC(H)'!C:C, $E$1, '협력사 EPC(H)'!G:G, B87, '협력사 EPC(H)'!W:W, B89)
  + COUNTIFS('기타(Z)'!C:C, $E$1, '기타(Z)'!G:G, B87, '기타(Z)'!W:W, B89)
)</f>
        <v>9</v>
      </c>
      <c r="E89" s="280">
        <f>IF(
  SUM(
    SUMIFS('발전사업(A)'!I:I, '발전사업(A)'!C:C, $E$1, '발전사업(A)'!G:G, B87, '발전사업(A)'!W:W, B89, '발전사업(A)'!U:U, $C$1),
    SUMIFS('자가소비(B)'!I:I, '자가소비(B)'!C:C, $E$1, '자가소비(B)'!G:G, B87, '자가소비(B)'!W:W, B89, '자가소비(B)'!U:U, $C$1),
    SUMIFS('PPA 사업(C)'!I:I, 'PPA 사업(C)'!C:C, $E$1, 'PPA 사업(C)'!G:G, B87, 'PPA 사업(C)'!W:W, B89, 'PPA 사업(C)'!U:U, $C$1),
    SUMIFS('리스사업(D)'!I:I, '리스사업(D)'!C:C, $E$1, '리스사업(D)'!G:G, B87, '리스사업(D)'!W:W, B89, '리스사업(D)'!U:U, $C$1),
    SUMIFS('임대사업(E)'!I:I, '임대사업(E)'!C:C, $E$1, '임대사업(E)'!G:G, B87, '임대사업(E)'!W:W, B89, '임대사업(E)'!U:U, $C$1),
    SUMIFS('환경부사업(F)'!I:I, '환경부사업(F)'!C:C, $E$1, '환경부사업(F)'!G:G, B87, '환경부사업(F)'!W:W, B89, '환경부사업(F)'!U:U, $C$1),
    SUMIFS('프로젝트(G)'!I:I, '프로젝트(G)'!C:C, $E$1, '프로젝트(G)'!G:G, B87, '프로젝트(G)'!W:W, B89, '프로젝트(G)'!U:U, $C$1),
    SUMIFS('협력사 EPC(H)'!I:I, '협력사 EPC(H)'!C:C, $E$1, '협력사 EPC(H)'!G:G, B87, '협력사 EPC(H)'!W:W, B89, '협력사 EPC(H)'!U:U, $C$1),
    SUMIFS('기타(Z)'!I:I, '기타(Z)'!C:C, $E$1, '기타(Z)'!G:G, B87, '기타(Z)'!W:W, B89, '기타(Z)'!U:U, $C$1)
  ) = 0,
  "",
  SUM(
    SUMIFS('발전사업(A)'!I:I, '발전사업(A)'!C:C, $E$1, '발전사업(A)'!G:G, B87, '발전사업(A)'!W:W, B89, '발전사업(A)'!U:U, $C$1),
    SUMIFS('자가소비(B)'!I:I, '자가소비(B)'!C:C, $E$1, '자가소비(B)'!G:G, B87, '자가소비(B)'!W:W, B89, '자가소비(B)'!U:U, $C$1),
    SUMIFS('PPA 사업(C)'!I:I, 'PPA 사업(C)'!C:C, $E$1, 'PPA 사업(C)'!G:G, B87, 'PPA 사업(C)'!W:W, B89, 'PPA 사업(C)'!U:U, $C$1),
    SUMIFS('리스사업(D)'!I:I, '리스사업(D)'!C:C, $E$1, '리스사업(D)'!G:G, B87, '리스사업(D)'!W:W, B89, '리스사업(D)'!U:U, $C$1),
    SUMIFS('임대사업(E)'!I:I, '임대사업(E)'!C:C, $E$1, '임대사업(E)'!G:G, B87, '임대사업(E)'!W:W, B89, '임대사업(E)'!U:U, $C$1),
    SUMIFS('환경부사업(F)'!I:I, '환경부사업(F)'!C:C, $E$1, '환경부사업(F)'!G:G, B87, '환경부사업(F)'!W:W, B89, '환경부사업(F)'!U:U, $C$1),
    SUMIFS('프로젝트(G)'!I:I, '프로젝트(G)'!C:C, $E$1, '프로젝트(G)'!G:G, B87, '프로젝트(G)'!W:W, B89, '프로젝트(G)'!U:U, $C$1),
    SUMIFS('협력사 EPC(H)'!I:I, '협력사 EPC(H)'!C:C, $E$1, '협력사 EPC(H)'!G:G, B87, '협력사 EPC(H)'!W:W, B89, '협력사 EPC(H)'!U:U, $C$1),
    SUMIFS('기타(Z)'!I:I, '기타(Z)'!C:C, $E$1, '기타(Z)'!G:G, B87, '기타(Z)'!W:W, B89, '기타(Z)'!U:U, $C$1)
  )
)</f>
        <v>937.60000000000014</v>
      </c>
      <c r="F89" s="281">
        <f>IF(
  SUM(
    COUNTIFS('발전사업(A)'!C:C, $E$1, '발전사업(A)'!G:G, B87, '발전사업(A)'!W:W, B89, '발전사업(A)'!U:U, $C$1),
    COUNTIFS('자가소비(B)'!C:C, $E$1, '자가소비(B)'!G:G, B87, '자가소비(B)'!W:W, B89, '자가소비(B)'!U:U, $C$1),
    COUNTIFS('PPA 사업(C)'!C:C, $E$1, 'PPA 사업(C)'!G:G, B87, 'PPA 사업(C)'!W:W, B89, 'PPA 사업(C)'!U:U, $C$1),
    COUNTIFS('리스사업(D)'!C:C, $E$1, '리스사업(D)'!G:G, B87, '리스사업(D)'!W:W, B89, '리스사업(D)'!U:U, $C$1),
    COUNTIFS('임대사업(E)'!C:C, $E$1, '임대사업(E)'!G:G, B87, '임대사업(E)'!W:W, B89, '임대사업(E)'!U:U, $C$1),
    COUNTIFS('환경부사업(F)'!C:C, $E$1, '환경부사업(F)'!G:G, B87, '환경부사업(F)'!W:W, B89, '환경부사업(F)'!U:U, $C$1),
    COUNTIFS('프로젝트(G)'!C:C, $E$1, '프로젝트(G)'!G:G, B87, '프로젝트(G)'!W:W, B89, '프로젝트(G)'!U:U, $C$1),
    COUNTIFS('협력사 EPC(H)'!C:C, $E$1, '협력사 EPC(H)'!G:G, B87, '협력사 EPC(H)'!W:W, B89, '협력사 EPC(H)'!U:U, $C$1),
    COUNTIFS('기타(Z)'!C:C, $E$1, '기타(Z)'!G:G, B87, '기타(Z)'!W:W, B89, '기타(Z)'!U:U, $C$1)
  ) = 0,
  "",
  SUM(
    COUNTIFS('발전사업(A)'!C:C, $E$1, '발전사업(A)'!G:G, B87, '발전사업(A)'!W:W, B89, '발전사업(A)'!U:U, $C$1),
    COUNTIFS('자가소비(B)'!C:C, $E$1, '자가소비(B)'!G:G, B87, '자가소비(B)'!W:W, B89, '자가소비(B)'!U:U, $C$1),
    COUNTIFS('PPA 사업(C)'!C:C, $E$1, 'PPA 사업(C)'!G:G, B87, 'PPA 사업(C)'!W:W, B89, 'PPA 사업(C)'!U:U, $C$1),
    COUNTIFS('리스사업(D)'!C:C, $E$1, '리스사업(D)'!G:G, B87, '리스사업(D)'!W:W, B89, '리스사업(D)'!U:U, $C$1),
    COUNTIFS('임대사업(E)'!C:C, $E$1, '임대사업(E)'!G:G, B87, '임대사업(E)'!W:W, B89, '임대사업(E)'!U:U, $C$1),
    COUNTIFS('환경부사업(F)'!C:C, $E$1, '환경부사업(F)'!G:G, B87, '환경부사업(F)'!W:W, B89, '환경부사업(F)'!U:U, $C$1),
    COUNTIFS('프로젝트(G)'!C:C, $E$1, '프로젝트(G)'!G:G, B87, '프로젝트(G)'!W:W, B89, '프로젝트(G)'!U:U, $C$1),
    COUNTIFS('협력사 EPC(H)'!C:C, $E$1, '협력사 EPC(H)'!G:G, B87, '협력사 EPC(H)'!W:W, B89, '협력사 EPC(H)'!U:U, $C$1),
    COUNTIFS('기타(Z)'!C:C, $E$1, '기타(Z)'!G:G, B87, '기타(Z)'!W:W, B89, '기타(Z)'!U:U, $C$1)
  )
)</f>
        <v>4</v>
      </c>
      <c r="G89" s="280">
        <f>IF(
  SUM(
    SUMIFS('발전사업(A)'!I:I, '발전사업(A)'!C:C, $E$1, '발전사업(A)'!G:G, B87, '발전사업(A)'!W:W, B89, '발전사업(A)'!U:U, $D$1),
    SUMIFS('자가소비(B)'!I:I, '자가소비(B)'!C:C, $E$1, '자가소비(B)'!G:G, B87, '자가소비(B)'!W:W, B89, '자가소비(B)'!U:U, $D$1),
    SUMIFS('PPA 사업(C)'!I:I, 'PPA 사업(C)'!C:C, $E$1, 'PPA 사업(C)'!G:G, B87, 'PPA 사업(C)'!W:W, B89, 'PPA 사업(C)'!U:U, $D$1),
    SUMIFS('리스사업(D)'!I:I, '리스사업(D)'!C:C, $E$1, '리스사업(D)'!G:G, B87, '리스사업(D)'!W:W, B89, '리스사업(D)'!U:U, $D$1),
    SUMIFS('임대사업(E)'!I:I, '임대사업(E)'!C:C, $E$1, '임대사업(E)'!G:G, B87, '임대사업(E)'!W:W, B89, '임대사업(E)'!U:U, $D$1),
    SUMIFS('환경부사업(F)'!I:I, '환경부사업(F)'!C:C, $E$1, '환경부사업(F)'!G:G, B87, '환경부사업(F)'!W:W, B89, '환경부사업(F)'!U:U, $D$1),
    SUMIFS('프로젝트(G)'!I:I, '프로젝트(G)'!C:C, $E$1, '프로젝트(G)'!G:G, B87, '프로젝트(G)'!W:W, B89, '프로젝트(G)'!U:U, $D$1),
    SUMIFS('협력사 EPC(H)'!I:I, '협력사 EPC(H)'!C:C, $E$1, '협력사 EPC(H)'!G:G, B87, '협력사 EPC(H)'!W:W, B89, '협력사 EPC(H)'!U:U, $D$1),
    SUMIFS('기타(Z)'!I:I, '기타(Z)'!C:C, $E$1, '기타(Z)'!G:G, B87, '기타(Z)'!W:W, B89, '기타(Z)'!U:U, $D$1)
  ) = 0,
  "",
  SUM(
    SUMIFS('발전사업(A)'!I:I, '발전사업(A)'!C:C, $E$1, '발전사업(A)'!G:G, B87, '발전사업(A)'!W:W, B89, '발전사업(A)'!U:U, $D$1),
    SUMIFS('자가소비(B)'!I:I, '자가소비(B)'!C:C, $E$1, '자가소비(B)'!G:G, B87, '자가소비(B)'!W:W, B89, '자가소비(B)'!U:U, $D$1),
    SUMIFS('PPA 사업(C)'!I:I, 'PPA 사업(C)'!C:C, $E$1, 'PPA 사업(C)'!G:G, B87, 'PPA 사업(C)'!W:W, B89, 'PPA 사업(C)'!U:U, $D$1),
    SUMIFS('리스사업(D)'!I:I, '리스사업(D)'!C:C, $E$1, '리스사업(D)'!G:G, B87, '리스사업(D)'!W:W, B89, '리스사업(D)'!U:U, $D$1),
    SUMIFS('임대사업(E)'!I:I, '임대사업(E)'!C:C, $E$1, '임대사업(E)'!G:G, B87, '임대사업(E)'!W:W, B89, '임대사업(E)'!U:U, $D$1),
    SUMIFS('환경부사업(F)'!I:I, '환경부사업(F)'!C:C, $E$1, '환경부사업(F)'!G:G, B87, '환경부사업(F)'!W:W, B89, '환경부사업(F)'!U:U, $D$1),
    SUMIFS('프로젝트(G)'!I:I, '프로젝트(G)'!C:C, $E$1, '프로젝트(G)'!G:G, B87, '프로젝트(G)'!W:W, B89, '프로젝트(G)'!U:U, $D$1),
    SUMIFS('협력사 EPC(H)'!I:I, '협력사 EPC(H)'!C:C, $E$1, '협력사 EPC(H)'!G:G, B87, '협력사 EPC(H)'!W:W, B89, '협력사 EPC(H)'!U:U, $D$1),
    SUMIFS('기타(Z)'!I:I, '기타(Z)'!C:C, $E$1, '기타(Z)'!G:G, B87, '기타(Z)'!W:W, B89, '기타(Z)'!U:U, $D$1)
  )
)</f>
        <v>1109.7600000000002</v>
      </c>
      <c r="H89" s="281">
        <f>IF(
  (
    COUNTIFS('발전사업(A)'!C:C, $E$1, '발전사업(A)'!G:G, B87, '발전사업(A)'!W:W, B89, '발전사업(A)'!U:U, $D$1)
    + COUNTIFS('자가소비(B)'!C:C, $E$1, '자가소비(B)'!G:G, B87, '자가소비(B)'!W:W, B89, '자가소비(B)'!U:U, $D$1)
    + COUNTIFS('PPA 사업(C)'!C:C, $E$1, 'PPA 사업(C)'!G:G, B87, 'PPA 사업(C)'!W:W, B89, 'PPA 사업(C)'!U:U, $D$1)
    + COUNTIFS('리스사업(D)'!C:C, $E$1, '리스사업(D)'!G:G, B87, '리스사업(D)'!W:W, B89, '리스사업(D)'!U:U, $D$1)
    + COUNTIFS('임대사업(E)'!C:C, $E$1, '임대사업(E)'!G:G, B87, '임대사업(E)'!W:W, B89, '임대사업(E)'!U:U, $D$1)
    + COUNTIFS('환경부사업(F)'!C:C, $E$1, '환경부사업(F)'!G:G, B87, '환경부사업(F)'!W:W, B89, '환경부사업(F)'!U:U, $D$1)
    + COUNTIFS('프로젝트(G)'!C:C, $E$1, '프로젝트(G)'!G:G, B87, '프로젝트(G)'!W:W, B89, '프로젝트(G)'!U:U, $D$1)
    + COUNTIFS('협력사 EPC(H)'!C:C, $E$1, '협력사 EPC(H)'!G:G, B87, '협력사 EPC(H)'!W:W, B89, '협력사 EPC(H)'!U:U, $D$1)
    + COUNTIFS('기타(Z)'!C:C, $E$1, '기타(Z)'!G:G, B87, '기타(Z)'!W:W, B89, '기타(Z)'!U:U, $D$1)
  ) = 0,
  "",
  COUNTIFS('발전사업(A)'!C:C, $E$1, '발전사업(A)'!G:G, B87, '발전사업(A)'!W:W, B89, '발전사업(A)'!U:U, $D$1)
  + COUNTIFS('자가소비(B)'!C:C, $E$1, '자가소비(B)'!G:G, B87, '자가소비(B)'!W:W, B89, '자가소비(B)'!U:U, $D$1)
  + COUNTIFS('PPA 사업(C)'!C:C, $E$1, 'PPA 사업(C)'!G:G, B87, 'PPA 사업(C)'!W:W, B89, 'PPA 사업(C)'!U:U, $D$1)
  + COUNTIFS('리스사업(D)'!C:C, $E$1, '리스사업(D)'!G:G, B87, '리스사업(D)'!W:W, B89, '리스사업(D)'!U:U, $D$1)
  + COUNTIFS('임대사업(E)'!C:C, $E$1, '임대사업(E)'!G:G, B87, '임대사업(E)'!W:W, B89, '임대사업(E)'!U:U, $D$1)
  + COUNTIFS('환경부사업(F)'!C:C, $E$1, '환경부사업(F)'!G:G, B87, '환경부사업(F)'!W:W, B89, '환경부사업(F)'!U:U, $D$1)
  + COUNTIFS('프로젝트(G)'!C:C, $E$1, '프로젝트(G)'!G:G, B87, '프로젝트(G)'!W:W, B89, '프로젝트(G)'!U:U, $D$1)
  + COUNTIFS('협력사 EPC(H)'!C:C, $E$1, '협력사 EPC(H)'!G:G, B87, '협력사 EPC(H)'!W:W, B89, '협력사 EPC(H)'!U:U, $D$1)
  + COUNTIFS('기타(Z)'!C:C, $E$1, '기타(Z)'!G:G, B87, '기타(Z)'!W:W, B89, '기타(Z)'!U:U, $D$1)
)</f>
        <v>5</v>
      </c>
    </row>
    <row r="90" spans="2:8" x14ac:dyDescent="0.25">
      <c r="B90" s="202" t="s">
        <v>260</v>
      </c>
      <c r="C90" s="280">
        <f>IF(
  SUM(
    SUMIFS('발전사업(A)'!I:I, '발전사업(A)'!C:C, $E$1, '발전사업(A)'!G:G, B87, '발전사업(A)'!W:W, B90),
    SUMIFS('자가소비(B)'!I:I, '자가소비(B)'!C:C, $E$1, '자가소비(B)'!G:G, B87, '자가소비(B)'!W:W, B90),
    SUMIFS('PPA 사업(C)'!I:I, 'PPA 사업(C)'!C:C, $E$1, 'PPA 사업(C)'!G:G, B87, 'PPA 사업(C)'!W:W, B90),
    SUMIFS('리스사업(D)'!I:I, '리스사업(D)'!C:C, $E$1, '리스사업(D)'!G:G, B87, '리스사업(D)'!W:W, B90),
    SUMIFS('임대사업(E)'!I:I, '임대사업(E)'!C:C, $E$1, '임대사업(E)'!G:G, B87, '임대사업(E)'!W:W, B90),
    SUMIFS('환경부사업(F)'!I:I, '환경부사업(F)'!C:C, $E$1, '환경부사업(F)'!G:G, B87, '환경부사업(F)'!W:W, B90),
    SUMIFS('프로젝트(G)'!I:I, '프로젝트(G)'!C:C, $E$1, '프로젝트(G)'!G:G, B87, '프로젝트(G)'!W:W, B90),
    SUMIFS('협력사 EPC(H)'!I:I, '협력사 EPC(H)'!C:C, $E$1, '협력사 EPC(H)'!G:G, B87, '협력사 EPC(H)'!W:W, B90),
    SUMIFS('기타(Z)'!I:I, '기타(Z)'!C:C, $E$1, '기타(Z)'!G:G, B87, '기타(Z)'!W:W, B90)
  ) = 0,
  "",
  SUMIFS('발전사업(A)'!I:I, '발전사업(A)'!C:C, $E$1, '발전사업(A)'!G:G, B87, '발전사업(A)'!W:W, B90)
  + SUMIFS('자가소비(B)'!I:I, '자가소비(B)'!C:C, $E$1, '자가소비(B)'!G:G, B87, '자가소비(B)'!W:W, B90)
  + SUMIFS('PPA 사업(C)'!I:I, 'PPA 사업(C)'!C:C, $E$1, 'PPA 사업(C)'!G:G, B87, 'PPA 사업(C)'!W:W, B90)
  + SUMIFS('리스사업(D)'!I:I, '리스사업(D)'!C:C, $E$1, '리스사업(D)'!G:G, B87, '리스사업(D)'!W:W, B90)
  + SUMIFS('임대사업(E)'!I:I, '임대사업(E)'!C:C, $E$1, '임대사업(E)'!G:G, B87, '임대사업(E)'!W:W, B90)
  + SUMIFS('환경부사업(F)'!I:I, '환경부사업(F)'!C:C, $E$1, '환경부사업(F)'!G:G, B87, '환경부사업(F)'!W:W, B90)
  + SUMIFS('프로젝트(G)'!I:I, '프로젝트(G)'!C:C, $E$1, '프로젝트(G)'!G:G, B87, '프로젝트(G)'!W:W, B90)
  + SUMIFS('협력사 EPC(H)'!I:I, '협력사 EPC(H)'!C:C, $E$1, '협력사 EPC(H)'!G:G, B87, '협력사 EPC(H)'!W:W, B90)
  + SUMIFS('기타(Z)'!I:I, '기타(Z)'!C:C, $E$1, '기타(Z)'!G:G, B87, '기타(Z)'!W:W, B90)
)</f>
        <v>57.6</v>
      </c>
      <c r="D90" s="281">
        <f>IF(
  COUNTIFS('발전사업(A)'!C:C, $E$1, '발전사업(A)'!G:G, B87, '발전사업(A)'!W:W, B90)
  + COUNTIFS('자가소비(B)'!C:C, $E$1, '자가소비(B)'!G:G, B87, '자가소비(B)'!W:W, B90)
  + COUNTIFS('PPA 사업(C)'!C:C, $E$1, 'PPA 사업(C)'!G:G, B87, 'PPA 사업(C)'!W:W, B90)
  + COUNTIFS('리스사업(D)'!C:C, $E$1, '리스사업(D)'!G:G, B87, '리스사업(D)'!W:W, B90)
  + COUNTIFS('임대사업(E)'!C:C, $E$1, '임대사업(E)'!G:G, B87, '임대사업(E)'!W:W, B90)
  + COUNTIFS('환경부사업(F)'!C:C, $E$1, '환경부사업(F)'!G:G, B87, '환경부사업(F)'!W:W, B90)
  + COUNTIFS('프로젝트(G)'!C:C, $E$1, '프로젝트(G)'!G:G, B87, '프로젝트(G)'!W:W, B90)
  + COUNTIFS('협력사 EPC(H)'!C:C, $E$1, '협력사 EPC(H)'!G:G, B87, '협력사 EPC(H)'!W:W, B90)
  + COUNTIFS('기타(Z)'!C:C, $E$1, '기타(Z)'!G:G, B87, '기타(Z)'!W:W, B90)
  = 0,
  "",
  COUNTIFS('발전사업(A)'!C:C, $E$1, '발전사업(A)'!G:G, B87, '발전사업(A)'!W:W, B90)
  + COUNTIFS('자가소비(B)'!C:C, $E$1, '자가소비(B)'!G:G, B87, '자가소비(B)'!W:W, B90)
  + COUNTIFS('PPA 사업(C)'!C:C, $E$1, 'PPA 사업(C)'!G:G, B87, 'PPA 사업(C)'!W:W, B90)
  + COUNTIFS('리스사업(D)'!C:C, $E$1, '리스사업(D)'!G:G, B87, '리스사업(D)'!W:W, B90)
  + COUNTIFS('임대사업(E)'!C:C, $E$1, '임대사업(E)'!G:G, B87, '임대사업(E)'!W:W, B90)
  + COUNTIFS('환경부사업(F)'!C:C, $E$1, '환경부사업(F)'!G:G, B87, '환경부사업(F)'!W:W, B90)
  + COUNTIFS('프로젝트(G)'!C:C, $E$1, '프로젝트(G)'!G:G, B87, '프로젝트(G)'!W:W, B90)
  + COUNTIFS('협력사 EPC(H)'!C:C, $E$1, '협력사 EPC(H)'!G:G, B87, '협력사 EPC(H)'!W:W, B90)
  + COUNTIFS('기타(Z)'!C:C, $E$1, '기타(Z)'!G:G, B87, '기타(Z)'!W:W, B90)
)</f>
        <v>1</v>
      </c>
      <c r="E90" s="280">
        <f>IF(
  SUM(
    SUMIFS('발전사업(A)'!I:I, '발전사업(A)'!C:C, $E$1, '발전사업(A)'!G:G, B87, '발전사업(A)'!W:W, B90, '발전사업(A)'!U:U, $C$1),
    SUMIFS('자가소비(B)'!I:I, '자가소비(B)'!C:C, $E$1, '자가소비(B)'!G:G, B87, '자가소비(B)'!W:W, B90, '자가소비(B)'!U:U, $C$1),
    SUMIFS('PPA 사업(C)'!I:I, 'PPA 사업(C)'!C:C, $E$1, 'PPA 사업(C)'!G:G, B87, 'PPA 사업(C)'!W:W, B90, 'PPA 사업(C)'!U:U, $C$1),
    SUMIFS('리스사업(D)'!I:I, '리스사업(D)'!C:C, $E$1, '리스사업(D)'!G:G, B87, '리스사업(D)'!W:W, B90, '리스사업(D)'!U:U, $C$1),
    SUMIFS('임대사업(E)'!I:I, '임대사업(E)'!C:C, $E$1, '임대사업(E)'!G:G, B87, '임대사업(E)'!W:W, B90, '임대사업(E)'!U:U, $C$1),
    SUMIFS('환경부사업(F)'!I:I, '환경부사업(F)'!C:C, $E$1, '환경부사업(F)'!G:G, B87, '환경부사업(F)'!W:W, B90, '환경부사업(F)'!U:U, $C$1),
    SUMIFS('프로젝트(G)'!I:I, '프로젝트(G)'!C:C, $E$1, '프로젝트(G)'!G:G, B87, '프로젝트(G)'!W:W, B90, '프로젝트(G)'!U:U, $C$1),
    SUMIFS('협력사 EPC(H)'!I:I, '협력사 EPC(H)'!C:C, $E$1, '협력사 EPC(H)'!G:G, B87, '협력사 EPC(H)'!W:W, B90, '협력사 EPC(H)'!U:U, $C$1),
    SUMIFS('기타(Z)'!I:I, '기타(Z)'!C:C, $E$1, '기타(Z)'!G:G, B87, '기타(Z)'!W:W, B90, '기타(Z)'!U:U, $C$1)
  ) = 0,
  "",
  SUM(
    SUMIFS('발전사업(A)'!I:I, '발전사업(A)'!C:C, $E$1, '발전사업(A)'!G:G, B87, '발전사업(A)'!W:W, B90, '발전사업(A)'!U:U, $C$1),
    SUMIFS('자가소비(B)'!I:I, '자가소비(B)'!C:C, $E$1, '자가소비(B)'!G:G, B87, '자가소비(B)'!W:W, B90, '자가소비(B)'!U:U, $C$1),
    SUMIFS('PPA 사업(C)'!I:I, 'PPA 사업(C)'!C:C, $E$1, 'PPA 사업(C)'!G:G, B87, 'PPA 사업(C)'!W:W, B90, 'PPA 사업(C)'!U:U, $C$1),
    SUMIFS('리스사업(D)'!I:I, '리스사업(D)'!C:C, $E$1, '리스사업(D)'!G:G, B87, '리스사업(D)'!W:W, B90, '리스사업(D)'!U:U, $C$1),
    SUMIFS('임대사업(E)'!I:I, '임대사업(E)'!C:C, $E$1, '임대사업(E)'!G:G, B87, '임대사업(E)'!W:W, B90, '임대사업(E)'!U:U, $C$1),
    SUMIFS('환경부사업(F)'!I:I, '환경부사업(F)'!C:C, $E$1, '환경부사업(F)'!G:G, B87, '환경부사업(F)'!W:W, B90, '환경부사업(F)'!U:U, $C$1),
    SUMIFS('프로젝트(G)'!I:I, '프로젝트(G)'!C:C, $E$1, '프로젝트(G)'!G:G, B87, '프로젝트(G)'!W:W, B90, '프로젝트(G)'!U:U, $C$1),
    SUMIFS('협력사 EPC(H)'!I:I, '협력사 EPC(H)'!C:C, $E$1, '협력사 EPC(H)'!G:G, B87, '협력사 EPC(H)'!W:W, B90, '협력사 EPC(H)'!U:U, $C$1),
    SUMIFS('기타(Z)'!I:I, '기타(Z)'!C:C, $E$1, '기타(Z)'!G:G, B87, '기타(Z)'!W:W, B90, '기타(Z)'!U:U, $C$1)
  )
)</f>
        <v>57.6</v>
      </c>
      <c r="F90" s="281">
        <f>IF(
  SUM(
    COUNTIFS('발전사업(A)'!C:C, $E$1, '발전사업(A)'!G:G, B87, '발전사업(A)'!W:W, B90, '발전사업(A)'!U:U, $C$1),
    COUNTIFS('자가소비(B)'!C:C, $E$1, '자가소비(B)'!G:G, B87, '자가소비(B)'!W:W, B90, '자가소비(B)'!U:U, $C$1),
    COUNTIFS('PPA 사업(C)'!C:C, $E$1, 'PPA 사업(C)'!G:G, B87, 'PPA 사업(C)'!W:W, B90, 'PPA 사업(C)'!U:U, $C$1),
    COUNTIFS('리스사업(D)'!C:C, $E$1, '리스사업(D)'!G:G, B87, '리스사업(D)'!W:W, B90, '리스사업(D)'!U:U, $C$1),
    COUNTIFS('임대사업(E)'!C:C, $E$1, '임대사업(E)'!G:G, B87, '임대사업(E)'!W:W, B90, '임대사업(E)'!U:U, $C$1),
    COUNTIFS('환경부사업(F)'!C:C, $E$1, '환경부사업(F)'!G:G, B87, '환경부사업(F)'!W:W, B90, '환경부사업(F)'!U:U, $C$1),
    COUNTIFS('프로젝트(G)'!C:C, $E$1, '프로젝트(G)'!G:G, B87, '프로젝트(G)'!W:W, B90, '프로젝트(G)'!U:U, $C$1),
    COUNTIFS('협력사 EPC(H)'!C:C, $E$1, '협력사 EPC(H)'!G:G, B87, '협력사 EPC(H)'!W:W, B90, '협력사 EPC(H)'!U:U, $C$1),
    COUNTIFS('기타(Z)'!C:C, $E$1, '기타(Z)'!G:G, B87, '기타(Z)'!W:W, B90, '기타(Z)'!U:U, $C$1)
  ) = 0,
  "",
  SUM(
    COUNTIFS('발전사업(A)'!C:C, $E$1, '발전사업(A)'!G:G, B87, '발전사업(A)'!W:W, B90, '발전사업(A)'!U:U, $C$1),
    COUNTIFS('자가소비(B)'!C:C, $E$1, '자가소비(B)'!G:G, B87, '자가소비(B)'!W:W, B90, '자가소비(B)'!U:U, $C$1),
    COUNTIFS('PPA 사업(C)'!C:C, $E$1, 'PPA 사업(C)'!G:G, B87, 'PPA 사업(C)'!W:W, B90, 'PPA 사업(C)'!U:U, $C$1),
    COUNTIFS('리스사업(D)'!C:C, $E$1, '리스사업(D)'!G:G, B87, '리스사업(D)'!W:W, B90, '리스사업(D)'!U:U, $C$1),
    COUNTIFS('임대사업(E)'!C:C, $E$1, '임대사업(E)'!G:G, B87, '임대사업(E)'!W:W, B90, '임대사업(E)'!U:U, $C$1),
    COUNTIFS('환경부사업(F)'!C:C, $E$1, '환경부사업(F)'!G:G, B87, '환경부사업(F)'!W:W, B90, '환경부사업(F)'!U:U, $C$1),
    COUNTIFS('프로젝트(G)'!C:C, $E$1, '프로젝트(G)'!G:G, B87, '프로젝트(G)'!W:W, B90, '프로젝트(G)'!U:U, $C$1),
    COUNTIFS('협력사 EPC(H)'!C:C, $E$1, '협력사 EPC(H)'!G:G, B87, '협력사 EPC(H)'!W:W, B90, '협력사 EPC(H)'!U:U, $C$1),
    COUNTIFS('기타(Z)'!C:C, $E$1, '기타(Z)'!G:G, B87, '기타(Z)'!W:W, B90, '기타(Z)'!U:U, $C$1)
  )
)</f>
        <v>1</v>
      </c>
      <c r="G90" s="280" t="str">
        <f>IF(
  SUM(
    SUMIFS('발전사업(A)'!I:I, '발전사업(A)'!C:C, $E$1, '발전사업(A)'!G:G, B87, '발전사업(A)'!W:W, B90, '발전사업(A)'!U:U, $D$1),
    SUMIFS('자가소비(B)'!I:I, '자가소비(B)'!C:C, $E$1, '자가소비(B)'!G:G, B87, '자가소비(B)'!W:W, B90, '자가소비(B)'!U:U, $D$1),
    SUMIFS('PPA 사업(C)'!I:I, 'PPA 사업(C)'!C:C, $E$1, 'PPA 사업(C)'!G:G, B87, 'PPA 사업(C)'!W:W, B90, 'PPA 사업(C)'!U:U, $D$1),
    SUMIFS('리스사업(D)'!I:I, '리스사업(D)'!C:C, $E$1, '리스사업(D)'!G:G, B87, '리스사업(D)'!W:W, B90, '리스사업(D)'!U:U, $D$1),
    SUMIFS('임대사업(E)'!I:I, '임대사업(E)'!C:C, $E$1, '임대사업(E)'!G:G, B87, '임대사업(E)'!W:W, B90, '임대사업(E)'!U:U, $D$1),
    SUMIFS('환경부사업(F)'!I:I, '환경부사업(F)'!C:C, $E$1, '환경부사업(F)'!G:G, B87, '환경부사업(F)'!W:W, B90, '환경부사업(F)'!U:U, $D$1),
    SUMIFS('프로젝트(G)'!I:I, '프로젝트(G)'!C:C, $E$1, '프로젝트(G)'!G:G, B87, '프로젝트(G)'!W:W, B90, '프로젝트(G)'!U:U, $D$1),
    SUMIFS('협력사 EPC(H)'!I:I, '협력사 EPC(H)'!C:C, $E$1, '협력사 EPC(H)'!G:G, B87, '협력사 EPC(H)'!W:W, B90, '협력사 EPC(H)'!U:U, $D$1),
    SUMIFS('기타(Z)'!I:I, '기타(Z)'!C:C, $E$1, '기타(Z)'!G:G, B87, '기타(Z)'!W:W, B90, '기타(Z)'!U:U, $D$1)
  ) = 0,
  "",
  SUM(
    SUMIFS('발전사업(A)'!I:I, '발전사업(A)'!C:C, $E$1, '발전사업(A)'!G:G, B87, '발전사업(A)'!W:W, B90, '발전사업(A)'!U:U, $D$1),
    SUMIFS('자가소비(B)'!I:I, '자가소비(B)'!C:C, $E$1, '자가소비(B)'!G:G, B87, '자가소비(B)'!W:W, B90, '자가소비(B)'!U:U, $D$1),
    SUMIFS('PPA 사업(C)'!I:I, 'PPA 사업(C)'!C:C, $E$1, 'PPA 사업(C)'!G:G, B87, 'PPA 사업(C)'!W:W, B90, 'PPA 사업(C)'!U:U, $D$1),
    SUMIFS('리스사업(D)'!I:I, '리스사업(D)'!C:C, $E$1, '리스사업(D)'!G:G, B87, '리스사업(D)'!W:W, B90, '리스사업(D)'!U:U, $D$1),
    SUMIFS('임대사업(E)'!I:I, '임대사업(E)'!C:C, $E$1, '임대사업(E)'!G:G, B87, '임대사업(E)'!W:W, B90, '임대사업(E)'!U:U, $D$1),
    SUMIFS('환경부사업(F)'!I:I, '환경부사업(F)'!C:C, $E$1, '환경부사업(F)'!G:G, B87, '환경부사업(F)'!W:W, B90, '환경부사업(F)'!U:U, $D$1),
    SUMIFS('프로젝트(G)'!I:I, '프로젝트(G)'!C:C, $E$1, '프로젝트(G)'!G:G, B87, '프로젝트(G)'!W:W, B90, '프로젝트(G)'!U:U, $D$1),
    SUMIFS('협력사 EPC(H)'!I:I, '협력사 EPC(H)'!C:C, $E$1, '협력사 EPC(H)'!G:G, B87, '협력사 EPC(H)'!W:W, B90, '협력사 EPC(H)'!U:U, $D$1),
    SUMIFS('기타(Z)'!I:I, '기타(Z)'!C:C, $E$1, '기타(Z)'!G:G, B87, '기타(Z)'!W:W, B90, '기타(Z)'!U:U, $D$1)
  )
)</f>
        <v/>
      </c>
      <c r="H90" s="281" t="str">
        <f>IF(
  (
    COUNTIFS('발전사업(A)'!C:C, $E$1, '발전사업(A)'!G:G, B87, '발전사업(A)'!W:W, B90, '발전사업(A)'!U:U, $D$1)
    + COUNTIFS('자가소비(B)'!C:C, $E$1, '자가소비(B)'!G:G, B87, '자가소비(B)'!W:W, B90, '자가소비(B)'!U:U, $D$1)
    + COUNTIFS('PPA 사업(C)'!C:C, $E$1, 'PPA 사업(C)'!G:G, B87, 'PPA 사업(C)'!W:W, B90, 'PPA 사업(C)'!U:U, $D$1)
    + COUNTIFS('리스사업(D)'!C:C, $E$1, '리스사업(D)'!G:G, B87, '리스사업(D)'!W:W, B90, '리스사업(D)'!U:U, $D$1)
    + COUNTIFS('임대사업(E)'!C:C, $E$1, '임대사업(E)'!G:G, B87, '임대사업(E)'!W:W, B90, '임대사업(E)'!U:U, $D$1)
    + COUNTIFS('환경부사업(F)'!C:C, $E$1, '환경부사업(F)'!G:G, B87, '환경부사업(F)'!W:W, B90, '환경부사업(F)'!U:U, $D$1)
    + COUNTIFS('프로젝트(G)'!C:C, $E$1, '프로젝트(G)'!G:G, B87, '프로젝트(G)'!W:W, B90, '프로젝트(G)'!U:U, $D$1)
    + COUNTIFS('협력사 EPC(H)'!C:C, $E$1, '협력사 EPC(H)'!G:G, B87, '협력사 EPC(H)'!W:W, B90, '협력사 EPC(H)'!U:U, $D$1)
    + COUNTIFS('기타(Z)'!C:C, $E$1, '기타(Z)'!G:G, B87, '기타(Z)'!W:W, B90, '기타(Z)'!U:U, $D$1)
  ) = 0,
  "",
  COUNTIFS('발전사업(A)'!C:C, $E$1, '발전사업(A)'!G:G, B87, '발전사업(A)'!W:W, B90, '발전사업(A)'!U:U, $D$1)
  + COUNTIFS('자가소비(B)'!C:C, $E$1, '자가소비(B)'!G:G, B87, '자가소비(B)'!W:W, B90, '자가소비(B)'!U:U, $D$1)
  + COUNTIFS('PPA 사업(C)'!C:C, $E$1, 'PPA 사업(C)'!G:G, B87, 'PPA 사업(C)'!W:W, B90, 'PPA 사업(C)'!U:U, $D$1)
  + COUNTIFS('리스사업(D)'!C:C, $E$1, '리스사업(D)'!G:G, B87, '리스사업(D)'!W:W, B90, '리스사업(D)'!U:U, $D$1)
  + COUNTIFS('임대사업(E)'!C:C, $E$1, '임대사업(E)'!G:G, B87, '임대사업(E)'!W:W, B90, '임대사업(E)'!U:U, $D$1)
  + COUNTIFS('환경부사업(F)'!C:C, $E$1, '환경부사업(F)'!G:G, B87, '환경부사업(F)'!W:W, B90, '환경부사업(F)'!U:U, $D$1)
  + COUNTIFS('프로젝트(G)'!C:C, $E$1, '프로젝트(G)'!G:G, B87, '프로젝트(G)'!W:W, B90, '프로젝트(G)'!U:U, $D$1)
  + COUNTIFS('협력사 EPC(H)'!C:C, $E$1, '협력사 EPC(H)'!G:G, B87, '협력사 EPC(H)'!W:W, B90, '협력사 EPC(H)'!U:U, $D$1)
  + COUNTIFS('기타(Z)'!C:C, $E$1, '기타(Z)'!G:G, B87, '기타(Z)'!W:W, B90, '기타(Z)'!U:U, $D$1)
)</f>
        <v/>
      </c>
    </row>
    <row r="91" spans="2:8" x14ac:dyDescent="0.25">
      <c r="B91" s="202" t="s">
        <v>261</v>
      </c>
      <c r="C91" s="280" t="str">
        <f>IF(
  SUM(
    SUMIFS('발전사업(A)'!I:I, '발전사업(A)'!C:C, $E$1, '발전사업(A)'!G:G, B87, '발전사업(A)'!W:W, B91),
    SUMIFS('자가소비(B)'!I:I, '자가소비(B)'!C:C, $E$1, '자가소비(B)'!G:G, B87, '자가소비(B)'!W:W, B91),
    SUMIFS('PPA 사업(C)'!I:I, 'PPA 사업(C)'!C:C, $E$1, 'PPA 사업(C)'!G:G, B87, 'PPA 사업(C)'!W:W, B91),
    SUMIFS('리스사업(D)'!I:I, '리스사업(D)'!C:C, $E$1, '리스사업(D)'!G:G, B87, '리스사업(D)'!W:W, B91),
    SUMIFS('임대사업(E)'!I:I, '임대사업(E)'!C:C, $E$1, '임대사업(E)'!G:G, B87, '임대사업(E)'!W:W, B91),
    SUMIFS('환경부사업(F)'!I:I, '환경부사업(F)'!C:C, $E$1, '환경부사업(F)'!G:G, B87, '환경부사업(F)'!W:W, B91),
    SUMIFS('프로젝트(G)'!I:I, '프로젝트(G)'!C:C, $E$1, '프로젝트(G)'!G:G, B87, '프로젝트(G)'!W:W, B91),
    SUMIFS('협력사 EPC(H)'!I:I, '협력사 EPC(H)'!C:C, $E$1, '협력사 EPC(H)'!G:G, B87, '협력사 EPC(H)'!W:W, B91),
    SUMIFS('기타(Z)'!I:I, '기타(Z)'!C:C, $E$1, '기타(Z)'!G:G, B87, '기타(Z)'!W:W, B91)
  ) = 0,
  "",
  SUMIFS('발전사업(A)'!I:I, '발전사업(A)'!C:C, $E$1, '발전사업(A)'!G:G, B87, '발전사업(A)'!W:W, B91)
  + SUMIFS('자가소비(B)'!I:I, '자가소비(B)'!C:C, $E$1, '자가소비(B)'!G:G, B87, '자가소비(B)'!W:W, B91)
  + SUMIFS('PPA 사업(C)'!I:I, 'PPA 사업(C)'!C:C, $E$1, 'PPA 사업(C)'!G:G, B87, 'PPA 사업(C)'!W:W, B91)
  + SUMIFS('리스사업(D)'!I:I, '리스사업(D)'!C:C, $E$1, '리스사업(D)'!G:G, B87, '리스사업(D)'!W:W, B91)
  + SUMIFS('임대사업(E)'!I:I, '임대사업(E)'!C:C, $E$1, '임대사업(E)'!G:G, B87, '임대사업(E)'!W:W, B91)
  + SUMIFS('환경부사업(F)'!I:I, '환경부사업(F)'!C:C, $E$1, '환경부사업(F)'!G:G, B87, '환경부사업(F)'!W:W, B91)
  + SUMIFS('프로젝트(G)'!I:I, '프로젝트(G)'!C:C, $E$1, '프로젝트(G)'!G:G, B87, '프로젝트(G)'!W:W, B91)
  + SUMIFS('협력사 EPC(H)'!I:I, '협력사 EPC(H)'!C:C, $E$1, '협력사 EPC(H)'!G:G, B87, '협력사 EPC(H)'!W:W, B91)
  + SUMIFS('기타(Z)'!I:I, '기타(Z)'!C:C, $E$1, '기타(Z)'!G:G, B87, '기타(Z)'!W:W, B91)
)</f>
        <v/>
      </c>
      <c r="D91" s="281" t="str">
        <f>IF(
  COUNTIFS('발전사업(A)'!C:C, $E$1, '발전사업(A)'!G:G, B87, '발전사업(A)'!W:W, B91)
  + COUNTIFS('자가소비(B)'!C:C, $E$1, '자가소비(B)'!G:G, B87, '자가소비(B)'!W:W, B91)
  + COUNTIFS('PPA 사업(C)'!C:C, $E$1, 'PPA 사업(C)'!G:G, B87, 'PPA 사업(C)'!W:W, B91)
  + COUNTIFS('리스사업(D)'!C:C, $E$1, '리스사업(D)'!G:G, B87, '리스사업(D)'!W:W, B91)
  + COUNTIFS('임대사업(E)'!C:C, $E$1, '임대사업(E)'!G:G, B87, '임대사업(E)'!W:W, B91)
  + COUNTIFS('환경부사업(F)'!C:C, $E$1, '환경부사업(F)'!G:G, B87, '환경부사업(F)'!W:W, B91)
  + COUNTIFS('프로젝트(G)'!C:C, $E$1, '프로젝트(G)'!G:G, B87, '프로젝트(G)'!W:W, B91)
  + COUNTIFS('협력사 EPC(H)'!C:C, $E$1, '협력사 EPC(H)'!G:G, B87, '협력사 EPC(H)'!W:W, B91)
  + COUNTIFS('기타(Z)'!C:C, $E$1, '기타(Z)'!G:G, B87, '기타(Z)'!W:W, B91)
  = 0,
  "",
  COUNTIFS('발전사업(A)'!C:C, $E$1, '발전사업(A)'!G:G, B87, '발전사업(A)'!W:W, B91)
  + COUNTIFS('자가소비(B)'!C:C, $E$1, '자가소비(B)'!G:G, B87, '자가소비(B)'!W:W, B91)
  + COUNTIFS('PPA 사업(C)'!C:C, $E$1, 'PPA 사업(C)'!G:G, B87, 'PPA 사업(C)'!W:W, B91)
  + COUNTIFS('리스사업(D)'!C:C, $E$1, '리스사업(D)'!G:G, B87, '리스사업(D)'!W:W, B91)
  + COUNTIFS('임대사업(E)'!C:C, $E$1, '임대사업(E)'!G:G, B87, '임대사업(E)'!W:W, B91)
  + COUNTIFS('환경부사업(F)'!C:C, $E$1, '환경부사업(F)'!G:G, B87, '환경부사업(F)'!W:W, B91)
  + COUNTIFS('프로젝트(G)'!C:C, $E$1, '프로젝트(G)'!G:G, B87, '프로젝트(G)'!W:W, B91)
  + COUNTIFS('협력사 EPC(H)'!C:C, $E$1, '협력사 EPC(H)'!G:G, B87, '협력사 EPC(H)'!W:W, B91)
  + COUNTIFS('기타(Z)'!C:C, $E$1, '기타(Z)'!G:G, B87, '기타(Z)'!W:W, B91)
)</f>
        <v/>
      </c>
      <c r="E91" s="280" t="str">
        <f>IF(
  SUM(
    SUMIFS('발전사업(A)'!I:I, '발전사업(A)'!C:C, $E$1, '발전사업(A)'!G:G, B87, '발전사업(A)'!W:W, B91, '발전사업(A)'!U:U, $C$1),
    SUMIFS('자가소비(B)'!I:I, '자가소비(B)'!C:C, $E$1, '자가소비(B)'!G:G, B87, '자가소비(B)'!W:W, B91, '자가소비(B)'!U:U, $C$1),
    SUMIFS('PPA 사업(C)'!I:I, 'PPA 사업(C)'!C:C, $E$1, 'PPA 사업(C)'!G:G, B87, 'PPA 사업(C)'!W:W, B91, 'PPA 사업(C)'!U:U, $C$1),
    SUMIFS('리스사업(D)'!I:I, '리스사업(D)'!C:C, $E$1, '리스사업(D)'!G:G, B87, '리스사업(D)'!W:W, B91, '리스사업(D)'!U:U, $C$1),
    SUMIFS('임대사업(E)'!I:I, '임대사업(E)'!C:C, $E$1, '임대사업(E)'!G:G, B87, '임대사업(E)'!W:W, B91, '임대사업(E)'!U:U, $C$1),
    SUMIFS('환경부사업(F)'!I:I, '환경부사업(F)'!C:C, $E$1, '환경부사업(F)'!G:G, B87, '환경부사업(F)'!W:W, B91, '환경부사업(F)'!U:U, $C$1),
    SUMIFS('프로젝트(G)'!I:I, '프로젝트(G)'!C:C, $E$1, '프로젝트(G)'!G:G, B87, '프로젝트(G)'!W:W, B91, '프로젝트(G)'!U:U, $C$1),
    SUMIFS('협력사 EPC(H)'!I:I, '협력사 EPC(H)'!C:C, $E$1, '협력사 EPC(H)'!G:G, B87, '협력사 EPC(H)'!W:W, B91, '협력사 EPC(H)'!U:U, $C$1),
    SUMIFS('기타(Z)'!I:I, '기타(Z)'!C:C, $E$1, '기타(Z)'!G:G, B87, '기타(Z)'!W:W, B91, '기타(Z)'!U:U, $C$1)
  ) = 0,
  "",
  SUM(
    SUMIFS('발전사업(A)'!I:I, '발전사업(A)'!C:C, $E$1, '발전사업(A)'!G:G, B87, '발전사업(A)'!W:W, B91, '발전사업(A)'!U:U, $C$1),
    SUMIFS('자가소비(B)'!I:I, '자가소비(B)'!C:C, $E$1, '자가소비(B)'!G:G, B87, '자가소비(B)'!W:W, B91, '자가소비(B)'!U:U, $C$1),
    SUMIFS('PPA 사업(C)'!I:I, 'PPA 사업(C)'!C:C, $E$1, 'PPA 사업(C)'!G:G, B87, 'PPA 사업(C)'!W:W, B91, 'PPA 사업(C)'!U:U, $C$1),
    SUMIFS('리스사업(D)'!I:I, '리스사업(D)'!C:C, $E$1, '리스사업(D)'!G:G, B87, '리스사업(D)'!W:W, B91, '리스사업(D)'!U:U, $C$1),
    SUMIFS('임대사업(E)'!I:I, '임대사업(E)'!C:C, $E$1, '임대사업(E)'!G:G, B87, '임대사업(E)'!W:W, B91, '임대사업(E)'!U:U, $C$1),
    SUMIFS('환경부사업(F)'!I:I, '환경부사업(F)'!C:C, $E$1, '환경부사업(F)'!G:G, B87, '환경부사업(F)'!W:W, B91, '환경부사업(F)'!U:U, $C$1),
    SUMIFS('프로젝트(G)'!I:I, '프로젝트(G)'!C:C, $E$1, '프로젝트(G)'!G:G, B87, '프로젝트(G)'!W:W, B91, '프로젝트(G)'!U:U, $C$1),
    SUMIFS('협력사 EPC(H)'!I:I, '협력사 EPC(H)'!C:C, $E$1, '협력사 EPC(H)'!G:G, B87, '협력사 EPC(H)'!W:W, B91, '협력사 EPC(H)'!U:U, $C$1),
    SUMIFS('기타(Z)'!I:I, '기타(Z)'!C:C, $E$1, '기타(Z)'!G:G, B87, '기타(Z)'!W:W, B91, '기타(Z)'!U:U, $C$1)
  )
)</f>
        <v/>
      </c>
      <c r="F91" s="281" t="str">
        <f>IF(
  SUM(
    COUNTIFS('발전사업(A)'!C:C, $E$1, '발전사업(A)'!G:G, B87, '발전사업(A)'!W:W, B91, '발전사업(A)'!U:U, $C$1),
    COUNTIFS('자가소비(B)'!C:C, $E$1, '자가소비(B)'!G:G, B87, '자가소비(B)'!W:W, B91, '자가소비(B)'!U:U, $C$1),
    COUNTIFS('PPA 사업(C)'!C:C, $E$1, 'PPA 사업(C)'!G:G, B87, 'PPA 사업(C)'!W:W, B91, 'PPA 사업(C)'!U:U, $C$1),
    COUNTIFS('리스사업(D)'!C:C, $E$1, '리스사업(D)'!G:G, B87, '리스사업(D)'!W:W, B91, '리스사업(D)'!U:U, $C$1),
    COUNTIFS('임대사업(E)'!C:C, $E$1, '임대사업(E)'!G:G, B87, '임대사업(E)'!W:W, B91, '임대사업(E)'!U:U, $C$1),
    COUNTIFS('환경부사업(F)'!C:C, $E$1, '환경부사업(F)'!G:G, B87, '환경부사업(F)'!W:W, B91, '환경부사업(F)'!U:U, $C$1),
    COUNTIFS('프로젝트(G)'!C:C, $E$1, '프로젝트(G)'!G:G, B87, '프로젝트(G)'!W:W, B91, '프로젝트(G)'!U:U, $C$1),
    COUNTIFS('협력사 EPC(H)'!C:C, $E$1, '협력사 EPC(H)'!G:G, B87, '협력사 EPC(H)'!W:W, B91, '협력사 EPC(H)'!U:U, $C$1),
    COUNTIFS('기타(Z)'!C:C, $E$1, '기타(Z)'!G:G, B87, '기타(Z)'!W:W, B91, '기타(Z)'!U:U, $C$1)
  ) = 0,
  "",
  SUM(
    COUNTIFS('발전사업(A)'!C:C, $E$1, '발전사업(A)'!G:G, B87, '발전사업(A)'!W:W, B91, '발전사업(A)'!U:U, $C$1),
    COUNTIFS('자가소비(B)'!C:C, $E$1, '자가소비(B)'!G:G, B87, '자가소비(B)'!W:W, B91, '자가소비(B)'!U:U, $C$1),
    COUNTIFS('PPA 사업(C)'!C:C, $E$1, 'PPA 사업(C)'!G:G, B87, 'PPA 사업(C)'!W:W, B91, 'PPA 사업(C)'!U:U, $C$1),
    COUNTIFS('리스사업(D)'!C:C, $E$1, '리스사업(D)'!G:G, B87, '리스사업(D)'!W:W, B91, '리스사업(D)'!U:U, $C$1),
    COUNTIFS('임대사업(E)'!C:C, $E$1, '임대사업(E)'!G:G, B87, '임대사업(E)'!W:W, B91, '임대사업(E)'!U:U, $C$1),
    COUNTIFS('환경부사업(F)'!C:C, $E$1, '환경부사업(F)'!G:G, B87, '환경부사업(F)'!W:W, B91, '환경부사업(F)'!U:U, $C$1),
    COUNTIFS('프로젝트(G)'!C:C, $E$1, '프로젝트(G)'!G:G, B87, '프로젝트(G)'!W:W, B91, '프로젝트(G)'!U:U, $C$1),
    COUNTIFS('협력사 EPC(H)'!C:C, $E$1, '협력사 EPC(H)'!G:G, B87, '협력사 EPC(H)'!W:W, B91, '협력사 EPC(H)'!U:U, $C$1),
    COUNTIFS('기타(Z)'!C:C, $E$1, '기타(Z)'!G:G, B87, '기타(Z)'!W:W, B91, '기타(Z)'!U:U, $C$1)
  )
)</f>
        <v/>
      </c>
      <c r="G91" s="280" t="str">
        <f>IF(
  SUM(
    SUMIFS('발전사업(A)'!I:I, '발전사업(A)'!C:C, $E$1, '발전사업(A)'!G:G, B87, '발전사업(A)'!W:W, B91, '발전사업(A)'!U:U, $D$1),
    SUMIFS('자가소비(B)'!I:I, '자가소비(B)'!C:C, $E$1, '자가소비(B)'!G:G, B87, '자가소비(B)'!W:W, B91, '자가소비(B)'!U:U, $D$1),
    SUMIFS('PPA 사업(C)'!I:I, 'PPA 사업(C)'!C:C, $E$1, 'PPA 사업(C)'!G:G, B87, 'PPA 사업(C)'!W:W, B91, 'PPA 사업(C)'!U:U, $D$1),
    SUMIFS('리스사업(D)'!I:I, '리스사업(D)'!C:C, $E$1, '리스사업(D)'!G:G, B87, '리스사업(D)'!W:W, B91, '리스사업(D)'!U:U, $D$1),
    SUMIFS('임대사업(E)'!I:I, '임대사업(E)'!C:C, $E$1, '임대사업(E)'!G:G, B87, '임대사업(E)'!W:W, B91, '임대사업(E)'!U:U, $D$1),
    SUMIFS('환경부사업(F)'!I:I, '환경부사업(F)'!C:C, $E$1, '환경부사업(F)'!G:G, B87, '환경부사업(F)'!W:W, B91, '환경부사업(F)'!U:U, $D$1),
    SUMIFS('프로젝트(G)'!I:I, '프로젝트(G)'!C:C, $E$1, '프로젝트(G)'!G:G, B87, '프로젝트(G)'!W:W, B91, '프로젝트(G)'!U:U, $D$1),
    SUMIFS('협력사 EPC(H)'!I:I, '협력사 EPC(H)'!C:C, $E$1, '협력사 EPC(H)'!G:G, B87, '협력사 EPC(H)'!W:W, B91, '협력사 EPC(H)'!U:U, $D$1),
    SUMIFS('기타(Z)'!I:I, '기타(Z)'!C:C, $E$1, '기타(Z)'!G:G, B87, '기타(Z)'!W:W, B91, '기타(Z)'!U:U, $D$1)
  ) = 0,
  "",
  SUM(
    SUMIFS('발전사업(A)'!I:I, '발전사업(A)'!C:C, $E$1, '발전사업(A)'!G:G, B87, '발전사업(A)'!W:W, B91, '발전사업(A)'!U:U, $D$1),
    SUMIFS('자가소비(B)'!I:I, '자가소비(B)'!C:C, $E$1, '자가소비(B)'!G:G, B87, '자가소비(B)'!W:W, B91, '자가소비(B)'!U:U, $D$1),
    SUMIFS('PPA 사업(C)'!I:I, 'PPA 사업(C)'!C:C, $E$1, 'PPA 사업(C)'!G:G, B87, 'PPA 사업(C)'!W:W, B91, 'PPA 사업(C)'!U:U, $D$1),
    SUMIFS('리스사업(D)'!I:I, '리스사업(D)'!C:C, $E$1, '리스사업(D)'!G:G, B87, '리스사업(D)'!W:W, B91, '리스사업(D)'!U:U, $D$1),
    SUMIFS('임대사업(E)'!I:I, '임대사업(E)'!C:C, $E$1, '임대사업(E)'!G:G, B87, '임대사업(E)'!W:W, B91, '임대사업(E)'!U:U, $D$1),
    SUMIFS('환경부사업(F)'!I:I, '환경부사업(F)'!C:C, $E$1, '환경부사업(F)'!G:G, B87, '환경부사업(F)'!W:W, B91, '환경부사업(F)'!U:U, $D$1),
    SUMIFS('프로젝트(G)'!I:I, '프로젝트(G)'!C:C, $E$1, '프로젝트(G)'!G:G, B87, '프로젝트(G)'!W:W, B91, '프로젝트(G)'!U:U, $D$1),
    SUMIFS('협력사 EPC(H)'!I:I, '협력사 EPC(H)'!C:C, $E$1, '협력사 EPC(H)'!G:G, B87, '협력사 EPC(H)'!W:W, B91, '협력사 EPC(H)'!U:U, $D$1),
    SUMIFS('기타(Z)'!I:I, '기타(Z)'!C:C, $E$1, '기타(Z)'!G:G, B87, '기타(Z)'!W:W, B91, '기타(Z)'!U:U, $D$1)
  )
)</f>
        <v/>
      </c>
      <c r="H91" s="281" t="str">
        <f>IF(
  (
    COUNTIFS('발전사업(A)'!C:C, $E$1, '발전사업(A)'!G:G, B87, '발전사업(A)'!W:W, B91, '발전사업(A)'!U:U, $D$1)
    + COUNTIFS('자가소비(B)'!C:C, $E$1, '자가소비(B)'!G:G, B87, '자가소비(B)'!W:W, B91, '자가소비(B)'!U:U, $D$1)
    + COUNTIFS('PPA 사업(C)'!C:C, $E$1, 'PPA 사업(C)'!G:G, B87, 'PPA 사업(C)'!W:W, B91, 'PPA 사업(C)'!U:U, $D$1)
    + COUNTIFS('리스사업(D)'!C:C, $E$1, '리스사업(D)'!G:G, B87, '리스사업(D)'!W:W, B91, '리스사업(D)'!U:U, $D$1)
    + COUNTIFS('임대사업(E)'!C:C, $E$1, '임대사업(E)'!G:G, B87, '임대사업(E)'!W:W, B91, '임대사업(E)'!U:U, $D$1)
    + COUNTIFS('환경부사업(F)'!C:C, $E$1, '환경부사업(F)'!G:G, B87, '환경부사업(F)'!W:W, B91, '환경부사업(F)'!U:U, $D$1)
    + COUNTIFS('프로젝트(G)'!C:C, $E$1, '프로젝트(G)'!G:G, B87, '프로젝트(G)'!W:W, B91, '프로젝트(G)'!U:U, $D$1)
    + COUNTIFS('협력사 EPC(H)'!C:C, $E$1, '협력사 EPC(H)'!G:G, B87, '협력사 EPC(H)'!W:W, B91, '협력사 EPC(H)'!U:U, $D$1)
    + COUNTIFS('기타(Z)'!C:C, $E$1, '기타(Z)'!G:G, B87, '기타(Z)'!W:W, B91, '기타(Z)'!U:U, $D$1)
  ) = 0,
  "",
  COUNTIFS('발전사업(A)'!C:C, $E$1, '발전사업(A)'!G:G, B87, '발전사업(A)'!W:W, B91, '발전사업(A)'!U:U, $D$1)
  + COUNTIFS('자가소비(B)'!C:C, $E$1, '자가소비(B)'!G:G, B87, '자가소비(B)'!W:W, B91, '자가소비(B)'!U:U, $D$1)
  + COUNTIFS('PPA 사업(C)'!C:C, $E$1, 'PPA 사업(C)'!G:G, B87, 'PPA 사업(C)'!W:W, B91, 'PPA 사업(C)'!U:U, $D$1)
  + COUNTIFS('리스사업(D)'!C:C, $E$1, '리스사업(D)'!G:G, B87, '리스사업(D)'!W:W, B91, '리스사업(D)'!U:U, $D$1)
  + COUNTIFS('임대사업(E)'!C:C, $E$1, '임대사업(E)'!G:G, B87, '임대사업(E)'!W:W, B91, '임대사업(E)'!U:U, $D$1)
  + COUNTIFS('환경부사업(F)'!C:C, $E$1, '환경부사업(F)'!G:G, B87, '환경부사업(F)'!W:W, B91, '환경부사업(F)'!U:U, $D$1)
  + COUNTIFS('프로젝트(G)'!C:C, $E$1, '프로젝트(G)'!G:G, B87, '프로젝트(G)'!W:W, B91, '프로젝트(G)'!U:U, $D$1)
  + COUNTIFS('협력사 EPC(H)'!C:C, $E$1, '협력사 EPC(H)'!G:G, B87, '협력사 EPC(H)'!W:W, B91, '협력사 EPC(H)'!U:U, $D$1)
  + COUNTIFS('기타(Z)'!C:C, $E$1, '기타(Z)'!G:G, B87, '기타(Z)'!W:W, B91, '기타(Z)'!U:U, $D$1)
)</f>
        <v/>
      </c>
    </row>
    <row r="92" spans="2:8" x14ac:dyDescent="0.25">
      <c r="B92" s="202" t="s">
        <v>262</v>
      </c>
      <c r="C92" s="280">
        <f>IF(
  SUM(
    SUMIFS('발전사업(A)'!I:I, '발전사업(A)'!C:C, $E$1, '발전사업(A)'!G:G, B87, '발전사업(A)'!W:W, B92),
    SUMIFS('자가소비(B)'!I:I, '자가소비(B)'!C:C, $E$1, '자가소비(B)'!G:G, B87, '자가소비(B)'!W:W, B92),
    SUMIFS('PPA 사업(C)'!I:I, 'PPA 사업(C)'!C:C, $E$1, 'PPA 사업(C)'!G:G, B87, 'PPA 사업(C)'!W:W, B92),
    SUMIFS('리스사업(D)'!I:I, '리스사업(D)'!C:C, $E$1, '리스사업(D)'!G:G, B87, '리스사업(D)'!W:W, B92),
    SUMIFS('임대사업(E)'!I:I, '임대사업(E)'!C:C, $E$1, '임대사업(E)'!G:G, B87, '임대사업(E)'!W:W, B92),
    SUMIFS('환경부사업(F)'!I:I, '환경부사업(F)'!C:C, $E$1, '환경부사업(F)'!G:G, B87, '환경부사업(F)'!W:W, B92),
    SUMIFS('프로젝트(G)'!I:I, '프로젝트(G)'!C:C, $E$1, '프로젝트(G)'!G:G, B87, '프로젝트(G)'!W:W, B92),
    SUMIFS('협력사 EPC(H)'!I:I, '협력사 EPC(H)'!C:C, $E$1, '협력사 EPC(H)'!G:G, B87, '협력사 EPC(H)'!W:W, B92),
    SUMIFS('기타(Z)'!I:I, '기타(Z)'!C:C, $E$1, '기타(Z)'!G:G, B87, '기타(Z)'!W:W, B92)
  ) = 0,
  "",
  SUMIFS('발전사업(A)'!I:I, '발전사업(A)'!C:C, $E$1, '발전사업(A)'!G:G, B87, '발전사업(A)'!W:W, B92)
  + SUMIFS('자가소비(B)'!I:I, '자가소비(B)'!C:C, $E$1, '자가소비(B)'!G:G, B87, '자가소비(B)'!W:W, B92)
  + SUMIFS('PPA 사업(C)'!I:I, 'PPA 사업(C)'!C:C, $E$1, 'PPA 사업(C)'!G:G, B87, 'PPA 사업(C)'!W:W, B92)
  + SUMIFS('리스사업(D)'!I:I, '리스사업(D)'!C:C, $E$1, '리스사업(D)'!G:G, B87, '리스사업(D)'!W:W, B92)
  + SUMIFS('임대사업(E)'!I:I, '임대사업(E)'!C:C, $E$1, '임대사업(E)'!G:G, B87, '임대사업(E)'!W:W, B92)
  + SUMIFS('환경부사업(F)'!I:I, '환경부사업(F)'!C:C, $E$1, '환경부사업(F)'!G:G, B87, '환경부사업(F)'!W:W, B92)
  + SUMIFS('프로젝트(G)'!I:I, '프로젝트(G)'!C:C, $E$1, '프로젝트(G)'!G:G, B87, '프로젝트(G)'!W:W, B92)
  + SUMIFS('협력사 EPC(H)'!I:I, '협력사 EPC(H)'!C:C, $E$1, '협력사 EPC(H)'!G:G, B87, '협력사 EPC(H)'!W:W, B92)
  + SUMIFS('기타(Z)'!I:I, '기타(Z)'!C:C, $E$1, '기타(Z)'!G:G, B87, '기타(Z)'!W:W, B92)
)</f>
        <v>120.32</v>
      </c>
      <c r="D92" s="281">
        <f>IF(
  COUNTIFS('발전사업(A)'!C:C, $E$1, '발전사업(A)'!G:G, B87, '발전사업(A)'!W:W, B92)
  + COUNTIFS('자가소비(B)'!C:C, $E$1, '자가소비(B)'!G:G, B87, '자가소비(B)'!W:W, B92)
  + COUNTIFS('PPA 사업(C)'!C:C, $E$1, 'PPA 사업(C)'!G:G, B87, 'PPA 사업(C)'!W:W, B92)
  + COUNTIFS('리스사업(D)'!C:C, $E$1, '리스사업(D)'!G:G, B87, '리스사업(D)'!W:W, B92)
  + COUNTIFS('임대사업(E)'!C:C, $E$1, '임대사업(E)'!G:G, B87, '임대사업(E)'!W:W, B92)
  + COUNTIFS('환경부사업(F)'!C:C, $E$1, '환경부사업(F)'!G:G, B87, '환경부사업(F)'!W:W, B92)
  + COUNTIFS('프로젝트(G)'!C:C, $E$1, '프로젝트(G)'!G:G, B87, '프로젝트(G)'!W:W, B92)
  + COUNTIFS('협력사 EPC(H)'!C:C, $E$1, '협력사 EPC(H)'!G:G, B87, '협력사 EPC(H)'!W:W, B92)
  + COUNTIFS('기타(Z)'!C:C, $E$1, '기타(Z)'!G:G, B87, '기타(Z)'!W:W, B92)
  = 0,
  "",
  COUNTIFS('발전사업(A)'!C:C, $E$1, '발전사업(A)'!G:G, B87, '발전사업(A)'!W:W, B92)
  + COUNTIFS('자가소비(B)'!C:C, $E$1, '자가소비(B)'!G:G, B87, '자가소비(B)'!W:W, B92)
  + COUNTIFS('PPA 사업(C)'!C:C, $E$1, 'PPA 사업(C)'!G:G, B87, 'PPA 사업(C)'!W:W, B92)
  + COUNTIFS('리스사업(D)'!C:C, $E$1, '리스사업(D)'!G:G, B87, '리스사업(D)'!W:W, B92)
  + COUNTIFS('임대사업(E)'!C:C, $E$1, '임대사업(E)'!G:G, B87, '임대사업(E)'!W:W, B92)
  + COUNTIFS('환경부사업(F)'!C:C, $E$1, '환경부사업(F)'!G:G, B87, '환경부사업(F)'!W:W, B92)
  + COUNTIFS('프로젝트(G)'!C:C, $E$1, '프로젝트(G)'!G:G, B87, '프로젝트(G)'!W:W, B92)
  + COUNTIFS('협력사 EPC(H)'!C:C, $E$1, '협력사 EPC(H)'!G:G, B87, '협력사 EPC(H)'!W:W, B92)
  + COUNTIFS('기타(Z)'!C:C, $E$1, '기타(Z)'!G:G, B87, '기타(Z)'!W:W, B92)
)</f>
        <v>1</v>
      </c>
      <c r="E92" s="280">
        <f>IF(
  SUM(
    SUMIFS('발전사업(A)'!I:I, '발전사업(A)'!C:C, $E$1, '발전사업(A)'!G:G, B87, '발전사업(A)'!W:W, B92, '발전사업(A)'!U:U, $C$1),
    SUMIFS('자가소비(B)'!I:I, '자가소비(B)'!C:C, $E$1, '자가소비(B)'!G:G, B87, '자가소비(B)'!W:W, B92, '자가소비(B)'!U:U, $C$1),
    SUMIFS('PPA 사업(C)'!I:I, 'PPA 사업(C)'!C:C, $E$1, 'PPA 사업(C)'!G:G, B87, 'PPA 사업(C)'!W:W, B92, 'PPA 사업(C)'!U:U, $C$1),
    SUMIFS('리스사업(D)'!I:I, '리스사업(D)'!C:C, $E$1, '리스사업(D)'!G:G, B87, '리스사업(D)'!W:W, B92, '리스사업(D)'!U:U, $C$1),
    SUMIFS('임대사업(E)'!I:I, '임대사업(E)'!C:C, $E$1, '임대사업(E)'!G:G, B87, '임대사업(E)'!W:W, B92, '임대사업(E)'!U:U, $C$1),
    SUMIFS('환경부사업(F)'!I:I, '환경부사업(F)'!C:C, $E$1, '환경부사업(F)'!G:G, B87, '환경부사업(F)'!W:W, B92, '환경부사업(F)'!U:U, $C$1),
    SUMIFS('프로젝트(G)'!I:I, '프로젝트(G)'!C:C, $E$1, '프로젝트(G)'!G:G, B87, '프로젝트(G)'!W:W, B92, '프로젝트(G)'!U:U, $C$1),
    SUMIFS('협력사 EPC(H)'!I:I, '협력사 EPC(H)'!C:C, $E$1, '협력사 EPC(H)'!G:G, B87, '협력사 EPC(H)'!W:W, B92, '협력사 EPC(H)'!U:U, $C$1),
    SUMIFS('기타(Z)'!I:I, '기타(Z)'!C:C, $E$1, '기타(Z)'!G:G, B87, '기타(Z)'!W:W, B92, '기타(Z)'!U:U, $C$1)
  ) = 0,
  "",
  SUM(
    SUMIFS('발전사업(A)'!I:I, '발전사업(A)'!C:C, $E$1, '발전사업(A)'!G:G, B87, '발전사업(A)'!W:W, B92, '발전사업(A)'!U:U, $C$1),
    SUMIFS('자가소비(B)'!I:I, '자가소비(B)'!C:C, $E$1, '자가소비(B)'!G:G, B87, '자가소비(B)'!W:W, B92, '자가소비(B)'!U:U, $C$1),
    SUMIFS('PPA 사업(C)'!I:I, 'PPA 사업(C)'!C:C, $E$1, 'PPA 사업(C)'!G:G, B87, 'PPA 사업(C)'!W:W, B92, 'PPA 사업(C)'!U:U, $C$1),
    SUMIFS('리스사업(D)'!I:I, '리스사업(D)'!C:C, $E$1, '리스사업(D)'!G:G, B87, '리스사업(D)'!W:W, B92, '리스사업(D)'!U:U, $C$1),
    SUMIFS('임대사업(E)'!I:I, '임대사업(E)'!C:C, $E$1, '임대사업(E)'!G:G, B87, '임대사업(E)'!W:W, B92, '임대사업(E)'!U:U, $C$1),
    SUMIFS('환경부사업(F)'!I:I, '환경부사업(F)'!C:C, $E$1, '환경부사업(F)'!G:G, B87, '환경부사업(F)'!W:W, B92, '환경부사업(F)'!U:U, $C$1),
    SUMIFS('프로젝트(G)'!I:I, '프로젝트(G)'!C:C, $E$1, '프로젝트(G)'!G:G, B87, '프로젝트(G)'!W:W, B92, '프로젝트(G)'!U:U, $C$1),
    SUMIFS('협력사 EPC(H)'!I:I, '협력사 EPC(H)'!C:C, $E$1, '협력사 EPC(H)'!G:G, B87, '협력사 EPC(H)'!W:W, B92, '협력사 EPC(H)'!U:U, $C$1),
    SUMIFS('기타(Z)'!I:I, '기타(Z)'!C:C, $E$1, '기타(Z)'!G:G, B87, '기타(Z)'!W:W, B92, '기타(Z)'!U:U, $C$1)
  )
)</f>
        <v>120.32</v>
      </c>
      <c r="F92" s="281">
        <f>IF(
  SUM(
    COUNTIFS('발전사업(A)'!C:C, $E$1, '발전사업(A)'!G:G, B87, '발전사업(A)'!W:W, B92, '발전사업(A)'!U:U, $C$1),
    COUNTIFS('자가소비(B)'!C:C, $E$1, '자가소비(B)'!G:G, B87, '자가소비(B)'!W:W, B92, '자가소비(B)'!U:U, $C$1),
    COUNTIFS('PPA 사업(C)'!C:C, $E$1, 'PPA 사업(C)'!G:G, B87, 'PPA 사업(C)'!W:W, B92, 'PPA 사업(C)'!U:U, $C$1),
    COUNTIFS('리스사업(D)'!C:C, $E$1, '리스사업(D)'!G:G, B87, '리스사업(D)'!W:W, B92, '리스사업(D)'!U:U, $C$1),
    COUNTIFS('임대사업(E)'!C:C, $E$1, '임대사업(E)'!G:G, B87, '임대사업(E)'!W:W, B92, '임대사업(E)'!U:U, $C$1),
    COUNTIFS('환경부사업(F)'!C:C, $E$1, '환경부사업(F)'!G:G, B87, '환경부사업(F)'!W:W, B92, '환경부사업(F)'!U:U, $C$1),
    COUNTIFS('프로젝트(G)'!C:C, $E$1, '프로젝트(G)'!G:G, B87, '프로젝트(G)'!W:W, B92, '프로젝트(G)'!U:U, $C$1),
    COUNTIFS('협력사 EPC(H)'!C:C, $E$1, '협력사 EPC(H)'!G:G, B87, '협력사 EPC(H)'!W:W, B92, '협력사 EPC(H)'!U:U, $C$1),
    COUNTIFS('기타(Z)'!C:C, $E$1, '기타(Z)'!G:G, B87, '기타(Z)'!W:W, B92, '기타(Z)'!U:U, $C$1)
  ) = 0,
  "",
  SUM(
    COUNTIFS('발전사업(A)'!C:C, $E$1, '발전사업(A)'!G:G, B87, '발전사업(A)'!W:W, B92, '발전사업(A)'!U:U, $C$1),
    COUNTIFS('자가소비(B)'!C:C, $E$1, '자가소비(B)'!G:G, B87, '자가소비(B)'!W:W, B92, '자가소비(B)'!U:U, $C$1),
    COUNTIFS('PPA 사업(C)'!C:C, $E$1, 'PPA 사업(C)'!G:G, B87, 'PPA 사업(C)'!W:W, B92, 'PPA 사업(C)'!U:U, $C$1),
    COUNTIFS('리스사업(D)'!C:C, $E$1, '리스사업(D)'!G:G, B87, '리스사업(D)'!W:W, B92, '리스사업(D)'!U:U, $C$1),
    COUNTIFS('임대사업(E)'!C:C, $E$1, '임대사업(E)'!G:G, B87, '임대사업(E)'!W:W, B92, '임대사업(E)'!U:U, $C$1),
    COUNTIFS('환경부사업(F)'!C:C, $E$1, '환경부사업(F)'!G:G, B87, '환경부사업(F)'!W:W, B92, '환경부사업(F)'!U:U, $C$1),
    COUNTIFS('프로젝트(G)'!C:C, $E$1, '프로젝트(G)'!G:G, B87, '프로젝트(G)'!W:W, B92, '프로젝트(G)'!U:U, $C$1),
    COUNTIFS('협력사 EPC(H)'!C:C, $E$1, '협력사 EPC(H)'!G:G, B87, '협력사 EPC(H)'!W:W, B92, '협력사 EPC(H)'!U:U, $C$1),
    COUNTIFS('기타(Z)'!C:C, $E$1, '기타(Z)'!G:G, B87, '기타(Z)'!W:W, B92, '기타(Z)'!U:U, $C$1)
  )
)</f>
        <v>1</v>
      </c>
      <c r="G92" s="280" t="str">
        <f>IF(
  SUM(
    SUMIFS('발전사업(A)'!I:I, '발전사업(A)'!C:C, $E$1, '발전사업(A)'!G:G, B87, '발전사업(A)'!W:W, B92, '발전사업(A)'!U:U, $D$1),
    SUMIFS('자가소비(B)'!I:I, '자가소비(B)'!C:C, $E$1, '자가소비(B)'!G:G, B87, '자가소비(B)'!W:W, B92, '자가소비(B)'!U:U, $D$1),
    SUMIFS('PPA 사업(C)'!I:I, 'PPA 사업(C)'!C:C, $E$1, 'PPA 사업(C)'!G:G, B87, 'PPA 사업(C)'!W:W, B92, 'PPA 사업(C)'!U:U, $D$1),
    SUMIFS('리스사업(D)'!I:I, '리스사업(D)'!C:C, $E$1, '리스사업(D)'!G:G, B87, '리스사업(D)'!W:W, B92, '리스사업(D)'!U:U, $D$1),
    SUMIFS('임대사업(E)'!I:I, '임대사업(E)'!C:C, $E$1, '임대사업(E)'!G:G, B87, '임대사업(E)'!W:W, B92, '임대사업(E)'!U:U, $D$1),
    SUMIFS('환경부사업(F)'!I:I, '환경부사업(F)'!C:C, $E$1, '환경부사업(F)'!G:G, B87, '환경부사업(F)'!W:W, B92, '환경부사업(F)'!U:U, $D$1),
    SUMIFS('프로젝트(G)'!I:I, '프로젝트(G)'!C:C, $E$1, '프로젝트(G)'!G:G, B87, '프로젝트(G)'!W:W, B92, '프로젝트(G)'!U:U, $D$1),
    SUMIFS('협력사 EPC(H)'!I:I, '협력사 EPC(H)'!C:C, $E$1, '협력사 EPC(H)'!G:G, B87, '협력사 EPC(H)'!W:W, B92, '협력사 EPC(H)'!U:U, $D$1),
    SUMIFS('기타(Z)'!I:I, '기타(Z)'!C:C, $E$1, '기타(Z)'!G:G, B87, '기타(Z)'!W:W, B92, '기타(Z)'!U:U, $D$1)
  ) = 0,
  "",
  SUM(
    SUMIFS('발전사업(A)'!I:I, '발전사업(A)'!C:C, $E$1, '발전사업(A)'!G:G, B87, '발전사업(A)'!W:W, B92, '발전사업(A)'!U:U, $D$1),
    SUMIFS('자가소비(B)'!I:I, '자가소비(B)'!C:C, $E$1, '자가소비(B)'!G:G, B87, '자가소비(B)'!W:W, B92, '자가소비(B)'!U:U, $D$1),
    SUMIFS('PPA 사업(C)'!I:I, 'PPA 사업(C)'!C:C, $E$1, 'PPA 사업(C)'!G:G, B87, 'PPA 사업(C)'!W:W, B92, 'PPA 사업(C)'!U:U, $D$1),
    SUMIFS('리스사업(D)'!I:I, '리스사업(D)'!C:C, $E$1, '리스사업(D)'!G:G, B87, '리스사업(D)'!W:W, B92, '리스사업(D)'!U:U, $D$1),
    SUMIFS('임대사업(E)'!I:I, '임대사업(E)'!C:C, $E$1, '임대사업(E)'!G:G, B87, '임대사업(E)'!W:W, B92, '임대사업(E)'!U:U, $D$1),
    SUMIFS('환경부사업(F)'!I:I, '환경부사업(F)'!C:C, $E$1, '환경부사업(F)'!G:G, B87, '환경부사업(F)'!W:W, B92, '환경부사업(F)'!U:U, $D$1),
    SUMIFS('프로젝트(G)'!I:I, '프로젝트(G)'!C:C, $E$1, '프로젝트(G)'!G:G, B87, '프로젝트(G)'!W:W, B92, '프로젝트(G)'!U:U, $D$1),
    SUMIFS('협력사 EPC(H)'!I:I, '협력사 EPC(H)'!C:C, $E$1, '협력사 EPC(H)'!G:G, B87, '협력사 EPC(H)'!W:W, B92, '협력사 EPC(H)'!U:U, $D$1),
    SUMIFS('기타(Z)'!I:I, '기타(Z)'!C:C, $E$1, '기타(Z)'!G:G, B87, '기타(Z)'!W:W, B92, '기타(Z)'!U:U, $D$1)
  )
)</f>
        <v/>
      </c>
      <c r="H92" s="281" t="str">
        <f>IF(
  (
    COUNTIFS('발전사업(A)'!C:C, $E$1, '발전사업(A)'!G:G, B87, '발전사업(A)'!W:W, B92, '발전사업(A)'!U:U, $D$1)
    + COUNTIFS('자가소비(B)'!C:C, $E$1, '자가소비(B)'!G:G, B87, '자가소비(B)'!W:W, B92, '자가소비(B)'!U:U, $D$1)
    + COUNTIFS('PPA 사업(C)'!C:C, $E$1, 'PPA 사업(C)'!G:G, B87, 'PPA 사업(C)'!W:W, B92, 'PPA 사업(C)'!U:U, $D$1)
    + COUNTIFS('리스사업(D)'!C:C, $E$1, '리스사업(D)'!G:G, B87, '리스사업(D)'!W:W, B92, '리스사업(D)'!U:U, $D$1)
    + COUNTIFS('임대사업(E)'!C:C, $E$1, '임대사업(E)'!G:G, B87, '임대사업(E)'!W:W, B92, '임대사업(E)'!U:U, $D$1)
    + COUNTIFS('환경부사업(F)'!C:C, $E$1, '환경부사업(F)'!G:G, B87, '환경부사업(F)'!W:W, B92, '환경부사업(F)'!U:U, $D$1)
    + COUNTIFS('프로젝트(G)'!C:C, $E$1, '프로젝트(G)'!G:G, B87, '프로젝트(G)'!W:W, B92, '프로젝트(G)'!U:U, $D$1)
    + COUNTIFS('협력사 EPC(H)'!C:C, $E$1, '협력사 EPC(H)'!G:G, B87, '협력사 EPC(H)'!W:W, B92, '협력사 EPC(H)'!U:U, $D$1)
    + COUNTIFS('기타(Z)'!C:C, $E$1, '기타(Z)'!G:G, B87, '기타(Z)'!W:W, B92, '기타(Z)'!U:U, $D$1)
  ) = 0,
  "",
  COUNTIFS('발전사업(A)'!C:C, $E$1, '발전사업(A)'!G:G, B87, '발전사업(A)'!W:W, B92, '발전사업(A)'!U:U, $D$1)
  + COUNTIFS('자가소비(B)'!C:C, $E$1, '자가소비(B)'!G:G, B87, '자가소비(B)'!W:W, B92, '자가소비(B)'!U:U, $D$1)
  + COUNTIFS('PPA 사업(C)'!C:C, $E$1, 'PPA 사업(C)'!G:G, B87, 'PPA 사업(C)'!W:W, B92, 'PPA 사업(C)'!U:U, $D$1)
  + COUNTIFS('리스사업(D)'!C:C, $E$1, '리스사업(D)'!G:G, B87, '리스사업(D)'!W:W, B92, '리스사업(D)'!U:U, $D$1)
  + COUNTIFS('임대사업(E)'!C:C, $E$1, '임대사업(E)'!G:G, B87, '임대사업(E)'!W:W, B92, '임대사업(E)'!U:U, $D$1)
  + COUNTIFS('환경부사업(F)'!C:C, $E$1, '환경부사업(F)'!G:G, B87, '환경부사업(F)'!W:W, B92, '환경부사업(F)'!U:U, $D$1)
  + COUNTIFS('프로젝트(G)'!C:C, $E$1, '프로젝트(G)'!G:G, B87, '프로젝트(G)'!W:W, B92, '프로젝트(G)'!U:U, $D$1)
  + COUNTIFS('협력사 EPC(H)'!C:C, $E$1, '협력사 EPC(H)'!G:G, B87, '협력사 EPC(H)'!W:W, B92, '협력사 EPC(H)'!U:U, $D$1)
  + COUNTIFS('기타(Z)'!C:C, $E$1, '기타(Z)'!G:G, B87, '기타(Z)'!W:W, B92, '기타(Z)'!U:U, $D$1)
)</f>
        <v/>
      </c>
    </row>
    <row r="93" spans="2:8" x14ac:dyDescent="0.25">
      <c r="B93" s="202" t="s">
        <v>263</v>
      </c>
      <c r="C93" s="280" t="str">
        <f>IF(
  SUM(
    SUMIFS('발전사업(A)'!I:I, '발전사업(A)'!C:C, $E$1, '발전사업(A)'!G:G, B87, '발전사업(A)'!W:W, B93),
    SUMIFS('자가소비(B)'!I:I, '자가소비(B)'!C:C, $E$1, '자가소비(B)'!G:G, B87, '자가소비(B)'!W:W, B93),
    SUMIFS('PPA 사업(C)'!I:I, 'PPA 사업(C)'!C:C, $E$1, 'PPA 사업(C)'!G:G, B87, 'PPA 사업(C)'!W:W, B93),
    SUMIFS('리스사업(D)'!I:I, '리스사업(D)'!C:C, $E$1, '리스사업(D)'!G:G, B87, '리스사업(D)'!W:W, B93),
    SUMIFS('임대사업(E)'!I:I, '임대사업(E)'!C:C, $E$1, '임대사업(E)'!G:G, B87, '임대사업(E)'!W:W, B93),
    SUMIFS('환경부사업(F)'!I:I, '환경부사업(F)'!C:C, $E$1, '환경부사업(F)'!G:G, B87, '환경부사업(F)'!W:W, B93),
    SUMIFS('프로젝트(G)'!I:I, '프로젝트(G)'!C:C, $E$1, '프로젝트(G)'!G:G, B87, '프로젝트(G)'!W:W, B93),
    SUMIFS('협력사 EPC(H)'!I:I, '협력사 EPC(H)'!C:C, $E$1, '협력사 EPC(H)'!G:G, B87, '협력사 EPC(H)'!W:W, B93),
    SUMIFS('기타(Z)'!I:I, '기타(Z)'!C:C, $E$1, '기타(Z)'!G:G, B87, '기타(Z)'!W:W, B93)
  ) = 0,
  "",
  SUMIFS('발전사업(A)'!I:I, '발전사업(A)'!C:C, $E$1, '발전사업(A)'!G:G, B87, '발전사업(A)'!W:W, B93)
  + SUMIFS('자가소비(B)'!I:I, '자가소비(B)'!C:C, $E$1, '자가소비(B)'!G:G, B87, '자가소비(B)'!W:W, B93)
  + SUMIFS('PPA 사업(C)'!I:I, 'PPA 사업(C)'!C:C, $E$1, 'PPA 사업(C)'!G:G, B87, 'PPA 사업(C)'!W:W, B93)
  + SUMIFS('리스사업(D)'!I:I, '리스사업(D)'!C:C, $E$1, '리스사업(D)'!G:G, B87, '리스사업(D)'!W:W, B93)
  + SUMIFS('임대사업(E)'!I:I, '임대사업(E)'!C:C, $E$1, '임대사업(E)'!G:G, B87, '임대사업(E)'!W:W, B93)
  + SUMIFS('환경부사업(F)'!I:I, '환경부사업(F)'!C:C, $E$1, '환경부사업(F)'!G:G, B87, '환경부사업(F)'!W:W, B93)
  + SUMIFS('프로젝트(G)'!I:I, '프로젝트(G)'!C:C, $E$1, '프로젝트(G)'!G:G, B87, '프로젝트(G)'!W:W, B93)
  + SUMIFS('협력사 EPC(H)'!I:I, '협력사 EPC(H)'!C:C, $E$1, '협력사 EPC(H)'!G:G, B87, '협력사 EPC(H)'!W:W, B93)
  + SUMIFS('기타(Z)'!I:I, '기타(Z)'!C:C, $E$1, '기타(Z)'!G:G, B87, '기타(Z)'!W:W, B93)
)</f>
        <v/>
      </c>
      <c r="D93" s="281" t="str">
        <f>IF(
  COUNTIFS('발전사업(A)'!C:C, $E$1, '발전사업(A)'!G:G, B87, '발전사업(A)'!W:W, B93)
  + COUNTIFS('자가소비(B)'!C:C, $E$1, '자가소비(B)'!G:G, B87, '자가소비(B)'!W:W, B93)
  + COUNTIFS('PPA 사업(C)'!C:C, $E$1, 'PPA 사업(C)'!G:G, B87, 'PPA 사업(C)'!W:W, B93)
  + COUNTIFS('리스사업(D)'!C:C, $E$1, '리스사업(D)'!G:G, B87, '리스사업(D)'!W:W, B93)
  + COUNTIFS('임대사업(E)'!C:C, $E$1, '임대사업(E)'!G:G, B87, '임대사업(E)'!W:W, B93)
  + COUNTIFS('환경부사업(F)'!C:C, $E$1, '환경부사업(F)'!G:G, B87, '환경부사업(F)'!W:W, B93)
  + COUNTIFS('프로젝트(G)'!C:C, $E$1, '프로젝트(G)'!G:G, B87, '프로젝트(G)'!W:W, B93)
  + COUNTIFS('협력사 EPC(H)'!C:C, $E$1, '협력사 EPC(H)'!G:G, B87, '협력사 EPC(H)'!W:W, B93)
  + COUNTIFS('기타(Z)'!C:C, $E$1, '기타(Z)'!G:G, B87, '기타(Z)'!W:W, B93)
  = 0,
  "",
  COUNTIFS('발전사업(A)'!C:C, $E$1, '발전사업(A)'!G:G, B87, '발전사업(A)'!W:W, B93)
  + COUNTIFS('자가소비(B)'!C:C, $E$1, '자가소비(B)'!G:G, B87, '자가소비(B)'!W:W, B93)
  + COUNTIFS('PPA 사업(C)'!C:C, $E$1, 'PPA 사업(C)'!G:G, B87, 'PPA 사업(C)'!W:W, B93)
  + COUNTIFS('리스사업(D)'!C:C, $E$1, '리스사업(D)'!G:G, B87, '리스사업(D)'!W:W, B93)
  + COUNTIFS('임대사업(E)'!C:C, $E$1, '임대사업(E)'!G:G, B87, '임대사업(E)'!W:W, B93)
  + COUNTIFS('환경부사업(F)'!C:C, $E$1, '환경부사업(F)'!G:G, B87, '환경부사업(F)'!W:W, B93)
  + COUNTIFS('프로젝트(G)'!C:C, $E$1, '프로젝트(G)'!G:G, B87, '프로젝트(G)'!W:W, B93)
  + COUNTIFS('협력사 EPC(H)'!C:C, $E$1, '협력사 EPC(H)'!G:G, B87, '협력사 EPC(H)'!W:W, B93)
  + COUNTIFS('기타(Z)'!C:C, $E$1, '기타(Z)'!G:G, B87, '기타(Z)'!W:W, B93)
)</f>
        <v/>
      </c>
      <c r="E93" s="280" t="str">
        <f>IF(
  SUM(
    SUMIFS('발전사업(A)'!I:I, '발전사업(A)'!C:C, $E$1, '발전사업(A)'!G:G, B87, '발전사업(A)'!W:W, B93, '발전사업(A)'!U:U, $C$1),
    SUMIFS('자가소비(B)'!I:I, '자가소비(B)'!C:C, $E$1, '자가소비(B)'!G:G, B87, '자가소비(B)'!W:W, B93, '자가소비(B)'!U:U, $C$1),
    SUMIFS('PPA 사업(C)'!I:I, 'PPA 사업(C)'!C:C, $E$1, 'PPA 사업(C)'!G:G, B87, 'PPA 사업(C)'!W:W, B93, 'PPA 사업(C)'!U:U, $C$1),
    SUMIFS('리스사업(D)'!I:I, '리스사업(D)'!C:C, $E$1, '리스사업(D)'!G:G, B87, '리스사업(D)'!W:W, B93, '리스사업(D)'!U:U, $C$1),
    SUMIFS('임대사업(E)'!I:I, '임대사업(E)'!C:C, $E$1, '임대사업(E)'!G:G, B87, '임대사업(E)'!W:W, B93, '임대사업(E)'!U:U, $C$1),
    SUMIFS('환경부사업(F)'!I:I, '환경부사업(F)'!C:C, $E$1, '환경부사업(F)'!G:G, B87, '환경부사업(F)'!W:W, B93, '환경부사업(F)'!U:U, $C$1),
    SUMIFS('프로젝트(G)'!I:I, '프로젝트(G)'!C:C, $E$1, '프로젝트(G)'!G:G, B87, '프로젝트(G)'!W:W, B93, '프로젝트(G)'!U:U, $C$1),
    SUMIFS('협력사 EPC(H)'!I:I, '협력사 EPC(H)'!C:C, $E$1, '협력사 EPC(H)'!G:G, B87, '협력사 EPC(H)'!W:W, B93, '협력사 EPC(H)'!U:U, $C$1),
    SUMIFS('기타(Z)'!I:I, '기타(Z)'!C:C, $E$1, '기타(Z)'!G:G, B87, '기타(Z)'!W:W, B93, '기타(Z)'!U:U, $C$1)
  ) = 0,
  "",
  SUM(
    SUMIFS('발전사업(A)'!I:I, '발전사업(A)'!C:C, $E$1, '발전사업(A)'!G:G, B87, '발전사업(A)'!W:W, B93, '발전사업(A)'!U:U, $C$1),
    SUMIFS('자가소비(B)'!I:I, '자가소비(B)'!C:C, $E$1, '자가소비(B)'!G:G, B87, '자가소비(B)'!W:W, B93, '자가소비(B)'!U:U, $C$1),
    SUMIFS('PPA 사업(C)'!I:I, 'PPA 사업(C)'!C:C, $E$1, 'PPA 사업(C)'!G:G, B87, 'PPA 사업(C)'!W:W, B93, 'PPA 사업(C)'!U:U, $C$1),
    SUMIFS('리스사업(D)'!I:I, '리스사업(D)'!C:C, $E$1, '리스사업(D)'!G:G, B87, '리스사업(D)'!W:W, B93, '리스사업(D)'!U:U, $C$1),
    SUMIFS('임대사업(E)'!I:I, '임대사업(E)'!C:C, $E$1, '임대사업(E)'!G:G, B87, '임대사업(E)'!W:W, B93, '임대사업(E)'!U:U, $C$1),
    SUMIFS('환경부사업(F)'!I:I, '환경부사업(F)'!C:C, $E$1, '환경부사업(F)'!G:G, B87, '환경부사업(F)'!W:W, B93, '환경부사업(F)'!U:U, $C$1),
    SUMIFS('프로젝트(G)'!I:I, '프로젝트(G)'!C:C, $E$1, '프로젝트(G)'!G:G, B87, '프로젝트(G)'!W:W, B93, '프로젝트(G)'!U:U, $C$1),
    SUMIFS('협력사 EPC(H)'!I:I, '협력사 EPC(H)'!C:C, $E$1, '협력사 EPC(H)'!G:G, B87, '협력사 EPC(H)'!W:W, B93, '협력사 EPC(H)'!U:U, $C$1),
    SUMIFS('기타(Z)'!I:I, '기타(Z)'!C:C, $E$1, '기타(Z)'!G:G, B87, '기타(Z)'!W:W, B93, '기타(Z)'!U:U, $C$1)
  )
)</f>
        <v/>
      </c>
      <c r="F93" s="281" t="str">
        <f>IF(
  SUM(
    COUNTIFS('발전사업(A)'!C:C, $E$1, '발전사업(A)'!G:G, B87, '발전사업(A)'!W:W, B93, '발전사업(A)'!U:U, $C$1),
    COUNTIFS('자가소비(B)'!C:C, $E$1, '자가소비(B)'!G:G, B87, '자가소비(B)'!W:W, B93, '자가소비(B)'!U:U, $C$1),
    COUNTIFS('PPA 사업(C)'!C:C, $E$1, 'PPA 사업(C)'!G:G, B87, 'PPA 사업(C)'!W:W, B93, 'PPA 사업(C)'!U:U, $C$1),
    COUNTIFS('리스사업(D)'!C:C, $E$1, '리스사업(D)'!G:G, B87, '리스사업(D)'!W:W, B93, '리스사업(D)'!U:U, $C$1),
    COUNTIFS('임대사업(E)'!C:C, $E$1, '임대사업(E)'!G:G, B87, '임대사업(E)'!W:W, B93, '임대사업(E)'!U:U, $C$1),
    COUNTIFS('환경부사업(F)'!C:C, $E$1, '환경부사업(F)'!G:G, B87, '환경부사업(F)'!W:W, B93, '환경부사업(F)'!U:U, $C$1),
    COUNTIFS('프로젝트(G)'!C:C, $E$1, '프로젝트(G)'!G:G, B87, '프로젝트(G)'!W:W, B93, '프로젝트(G)'!U:U, $C$1),
    COUNTIFS('협력사 EPC(H)'!C:C, $E$1, '협력사 EPC(H)'!G:G, B87, '협력사 EPC(H)'!W:W, B93, '협력사 EPC(H)'!U:U, $C$1),
    COUNTIFS('기타(Z)'!C:C, $E$1, '기타(Z)'!G:G, B87, '기타(Z)'!W:W, B93, '기타(Z)'!U:U, $C$1)
  ) = 0,
  "",
  SUM(
    COUNTIFS('발전사업(A)'!C:C, $E$1, '발전사업(A)'!G:G, B87, '발전사업(A)'!W:W, B93, '발전사업(A)'!U:U, $C$1),
    COUNTIFS('자가소비(B)'!C:C, $E$1, '자가소비(B)'!G:G, B87, '자가소비(B)'!W:W, B93, '자가소비(B)'!U:U, $C$1),
    COUNTIFS('PPA 사업(C)'!C:C, $E$1, 'PPA 사업(C)'!G:G, B87, 'PPA 사업(C)'!W:W, B93, 'PPA 사업(C)'!U:U, $C$1),
    COUNTIFS('리스사업(D)'!C:C, $E$1, '리스사업(D)'!G:G, B87, '리스사업(D)'!W:W, B93, '리스사업(D)'!U:U, $C$1),
    COUNTIFS('임대사업(E)'!C:C, $E$1, '임대사업(E)'!G:G, B87, '임대사업(E)'!W:W, B93, '임대사업(E)'!U:U, $C$1),
    COUNTIFS('환경부사업(F)'!C:C, $E$1, '환경부사업(F)'!G:G, B87, '환경부사업(F)'!W:W, B93, '환경부사업(F)'!U:U, $C$1),
    COUNTIFS('프로젝트(G)'!C:C, $E$1, '프로젝트(G)'!G:G, B87, '프로젝트(G)'!W:W, B93, '프로젝트(G)'!U:U, $C$1),
    COUNTIFS('협력사 EPC(H)'!C:C, $E$1, '협력사 EPC(H)'!G:G, B87, '협력사 EPC(H)'!W:W, B93, '협력사 EPC(H)'!U:U, $C$1),
    COUNTIFS('기타(Z)'!C:C, $E$1, '기타(Z)'!G:G, B87, '기타(Z)'!W:W, B93, '기타(Z)'!U:U, $C$1)
  )
)</f>
        <v/>
      </c>
      <c r="G93" s="280" t="str">
        <f>IF(
  SUM(
    SUMIFS('발전사업(A)'!I:I, '발전사업(A)'!C:C, $E$1, '발전사업(A)'!G:G, B87, '발전사업(A)'!W:W, B93, '발전사업(A)'!U:U, $D$1),
    SUMIFS('자가소비(B)'!I:I, '자가소비(B)'!C:C, $E$1, '자가소비(B)'!G:G, B87, '자가소비(B)'!W:W, B93, '자가소비(B)'!U:U, $D$1),
    SUMIFS('PPA 사업(C)'!I:I, 'PPA 사업(C)'!C:C, $E$1, 'PPA 사업(C)'!G:G, B87, 'PPA 사업(C)'!W:W, B93, 'PPA 사업(C)'!U:U, $D$1),
    SUMIFS('리스사업(D)'!I:I, '리스사업(D)'!C:C, $E$1, '리스사업(D)'!G:G, B87, '리스사업(D)'!W:W, B93, '리스사업(D)'!U:U, $D$1),
    SUMIFS('임대사업(E)'!I:I, '임대사업(E)'!C:C, $E$1, '임대사업(E)'!G:G, B87, '임대사업(E)'!W:W, B93, '임대사업(E)'!U:U, $D$1),
    SUMIFS('환경부사업(F)'!I:I, '환경부사업(F)'!C:C, $E$1, '환경부사업(F)'!G:G, B87, '환경부사업(F)'!W:W, B93, '환경부사업(F)'!U:U, $D$1),
    SUMIFS('프로젝트(G)'!I:I, '프로젝트(G)'!C:C, $E$1, '프로젝트(G)'!G:G, B87, '프로젝트(G)'!W:W, B93, '프로젝트(G)'!U:U, $D$1),
    SUMIFS('협력사 EPC(H)'!I:I, '협력사 EPC(H)'!C:C, $E$1, '협력사 EPC(H)'!G:G, B87, '협력사 EPC(H)'!W:W, B93, '협력사 EPC(H)'!U:U, $D$1),
    SUMIFS('기타(Z)'!I:I, '기타(Z)'!C:C, $E$1, '기타(Z)'!G:G, B87, '기타(Z)'!W:W, B93, '기타(Z)'!U:U, $D$1)
  ) = 0,
  "",
  SUM(
    SUMIFS('발전사업(A)'!I:I, '발전사업(A)'!C:C, $E$1, '발전사업(A)'!G:G, B87, '발전사업(A)'!W:W, B93, '발전사업(A)'!U:U, $D$1),
    SUMIFS('자가소비(B)'!I:I, '자가소비(B)'!C:C, $E$1, '자가소비(B)'!G:G, B87, '자가소비(B)'!W:W, B93, '자가소비(B)'!U:U, $D$1),
    SUMIFS('PPA 사업(C)'!I:I, 'PPA 사업(C)'!C:C, $E$1, 'PPA 사업(C)'!G:G, B87, 'PPA 사업(C)'!W:W, B93, 'PPA 사업(C)'!U:U, $D$1),
    SUMIFS('리스사업(D)'!I:I, '리스사업(D)'!C:C, $E$1, '리스사업(D)'!G:G, B87, '리스사업(D)'!W:W, B93, '리스사업(D)'!U:U, $D$1),
    SUMIFS('임대사업(E)'!I:I, '임대사업(E)'!C:C, $E$1, '임대사업(E)'!G:G, B87, '임대사업(E)'!W:W, B93, '임대사업(E)'!U:U, $D$1),
    SUMIFS('환경부사업(F)'!I:I, '환경부사업(F)'!C:C, $E$1, '환경부사업(F)'!G:G, B87, '환경부사업(F)'!W:W, B93, '환경부사업(F)'!U:U, $D$1),
    SUMIFS('프로젝트(G)'!I:I, '프로젝트(G)'!C:C, $E$1, '프로젝트(G)'!G:G, B87, '프로젝트(G)'!W:W, B93, '프로젝트(G)'!U:U, $D$1),
    SUMIFS('협력사 EPC(H)'!I:I, '협력사 EPC(H)'!C:C, $E$1, '협력사 EPC(H)'!G:G, B87, '협력사 EPC(H)'!W:W, B93, '협력사 EPC(H)'!U:U, $D$1),
    SUMIFS('기타(Z)'!I:I, '기타(Z)'!C:C, $E$1, '기타(Z)'!G:G, B87, '기타(Z)'!W:W, B93, '기타(Z)'!U:U, $D$1)
  )
)</f>
        <v/>
      </c>
      <c r="H93" s="281" t="str">
        <f>IF(
  (
    COUNTIFS('발전사업(A)'!C:C, $E$1, '발전사업(A)'!G:G, B87, '발전사업(A)'!W:W, B93, '발전사업(A)'!U:U, $D$1)
    + COUNTIFS('자가소비(B)'!C:C, $E$1, '자가소비(B)'!G:G, B87, '자가소비(B)'!W:W, B93, '자가소비(B)'!U:U, $D$1)
    + COUNTIFS('PPA 사업(C)'!C:C, $E$1, 'PPA 사업(C)'!G:G, B87, 'PPA 사업(C)'!W:W, B93, 'PPA 사업(C)'!U:U, $D$1)
    + COUNTIFS('리스사업(D)'!C:C, $E$1, '리스사업(D)'!G:G, B87, '리스사업(D)'!W:W, B93, '리스사업(D)'!U:U, $D$1)
    + COUNTIFS('임대사업(E)'!C:C, $E$1, '임대사업(E)'!G:G, B87, '임대사업(E)'!W:W, B93, '임대사업(E)'!U:U, $D$1)
    + COUNTIFS('환경부사업(F)'!C:C, $E$1, '환경부사업(F)'!G:G, B87, '환경부사업(F)'!W:W, B93, '환경부사업(F)'!U:U, $D$1)
    + COUNTIFS('프로젝트(G)'!C:C, $E$1, '프로젝트(G)'!G:G, B87, '프로젝트(G)'!W:W, B93, '프로젝트(G)'!U:U, $D$1)
    + COUNTIFS('협력사 EPC(H)'!C:C, $E$1, '협력사 EPC(H)'!G:G, B87, '협력사 EPC(H)'!W:W, B93, '협력사 EPC(H)'!U:U, $D$1)
    + COUNTIFS('기타(Z)'!C:C, $E$1, '기타(Z)'!G:G, B87, '기타(Z)'!W:W, B93, '기타(Z)'!U:U, $D$1)
  ) = 0,
  "",
  COUNTIFS('발전사업(A)'!C:C, $E$1, '발전사업(A)'!G:G, B87, '발전사업(A)'!W:W, B93, '발전사업(A)'!U:U, $D$1)
  + COUNTIFS('자가소비(B)'!C:C, $E$1, '자가소비(B)'!G:G, B87, '자가소비(B)'!W:W, B93, '자가소비(B)'!U:U, $D$1)
  + COUNTIFS('PPA 사업(C)'!C:C, $E$1, 'PPA 사업(C)'!G:G, B87, 'PPA 사업(C)'!W:W, B93, 'PPA 사업(C)'!U:U, $D$1)
  + COUNTIFS('리스사업(D)'!C:C, $E$1, '리스사업(D)'!G:G, B87, '리스사업(D)'!W:W, B93, '리스사업(D)'!U:U, $D$1)
  + COUNTIFS('임대사업(E)'!C:C, $E$1, '임대사업(E)'!G:G, B87, '임대사업(E)'!W:W, B93, '임대사업(E)'!U:U, $D$1)
  + COUNTIFS('환경부사업(F)'!C:C, $E$1, '환경부사업(F)'!G:G, B87, '환경부사업(F)'!W:W, B93, '환경부사업(F)'!U:U, $D$1)
  + COUNTIFS('프로젝트(G)'!C:C, $E$1, '프로젝트(G)'!G:G, B87, '프로젝트(G)'!W:W, B93, '프로젝트(G)'!U:U, $D$1)
  + COUNTIFS('협력사 EPC(H)'!C:C, $E$1, '협력사 EPC(H)'!G:G, B87, '협력사 EPC(H)'!W:W, B93, '협력사 EPC(H)'!U:U, $D$1)
  + COUNTIFS('기타(Z)'!C:C, $E$1, '기타(Z)'!G:G, B87, '기타(Z)'!W:W, B93, '기타(Z)'!U:U, $D$1)
)</f>
        <v/>
      </c>
    </row>
    <row r="94" spans="2:8" x14ac:dyDescent="0.25">
      <c r="B94" s="202" t="s">
        <v>264</v>
      </c>
      <c r="C94" s="280" t="str">
        <f>IF(
  SUM(
    SUMIFS('발전사업(A)'!I:I, '발전사업(A)'!C:C, $E$1, '발전사업(A)'!G:G, B87, '발전사업(A)'!W:W, B94),
    SUMIFS('자가소비(B)'!I:I, '자가소비(B)'!C:C, $E$1, '자가소비(B)'!G:G, B87, '자가소비(B)'!W:W, B94),
    SUMIFS('PPA 사업(C)'!I:I, 'PPA 사업(C)'!C:C, $E$1, 'PPA 사업(C)'!G:G, B87, 'PPA 사업(C)'!W:W, B94),
    SUMIFS('리스사업(D)'!I:I, '리스사업(D)'!C:C, $E$1, '리스사업(D)'!G:G, B87, '리스사업(D)'!W:W, B94),
    SUMIFS('임대사업(E)'!I:I, '임대사업(E)'!C:C, $E$1, '임대사업(E)'!G:G, B87, '임대사업(E)'!W:W, B94),
    SUMIFS('환경부사업(F)'!I:I, '환경부사업(F)'!C:C, $E$1, '환경부사업(F)'!G:G, B87, '환경부사업(F)'!W:W, B94),
    SUMIFS('프로젝트(G)'!I:I, '프로젝트(G)'!C:C, $E$1, '프로젝트(G)'!G:G, B87, '프로젝트(G)'!W:W, B94),
    SUMIFS('협력사 EPC(H)'!I:I, '협력사 EPC(H)'!C:C, $E$1, '협력사 EPC(H)'!G:G, B87, '협력사 EPC(H)'!W:W, B94),
    SUMIFS('기타(Z)'!I:I, '기타(Z)'!C:C, $E$1, '기타(Z)'!G:G, B87, '기타(Z)'!W:W, B94)
  ) = 0,
  "",
  SUMIFS('발전사업(A)'!I:I, '발전사업(A)'!C:C, $E$1, '발전사업(A)'!G:G, B87, '발전사업(A)'!W:W, B94)
  + SUMIFS('자가소비(B)'!I:I, '자가소비(B)'!C:C, $E$1, '자가소비(B)'!G:G, B87, '자가소비(B)'!W:W, B94)
  + SUMIFS('PPA 사업(C)'!I:I, 'PPA 사업(C)'!C:C, $E$1, 'PPA 사업(C)'!G:G, B87, 'PPA 사업(C)'!W:W, B94)
  + SUMIFS('리스사업(D)'!I:I, '리스사업(D)'!C:C, $E$1, '리스사업(D)'!G:G, B87, '리스사업(D)'!W:W, B94)
  + SUMIFS('임대사업(E)'!I:I, '임대사업(E)'!C:C, $E$1, '임대사업(E)'!G:G, B87, '임대사업(E)'!W:W, B94)
  + SUMIFS('환경부사업(F)'!I:I, '환경부사업(F)'!C:C, $E$1, '환경부사업(F)'!G:G, B87, '환경부사업(F)'!W:W, B94)
  + SUMIFS('프로젝트(G)'!I:I, '프로젝트(G)'!C:C, $E$1, '프로젝트(G)'!G:G, B87, '프로젝트(G)'!W:W, B94)
  + SUMIFS('협력사 EPC(H)'!I:I, '협력사 EPC(H)'!C:C, $E$1, '협력사 EPC(H)'!G:G, B87, '협력사 EPC(H)'!W:W, B94)
  + SUMIFS('기타(Z)'!I:I, '기타(Z)'!C:C, $E$1, '기타(Z)'!G:G, B87, '기타(Z)'!W:W, B94)
)</f>
        <v/>
      </c>
      <c r="D94" s="281" t="str">
        <f>IF(
  COUNTIFS('발전사업(A)'!C:C, $E$1, '발전사업(A)'!G:G, B87, '발전사업(A)'!W:W, B94)
  + COUNTIFS('자가소비(B)'!C:C, $E$1, '자가소비(B)'!G:G, B87, '자가소비(B)'!W:W, B94)
  + COUNTIFS('PPA 사업(C)'!C:C, $E$1, 'PPA 사업(C)'!G:G, B87, 'PPA 사업(C)'!W:W, B94)
  + COUNTIFS('리스사업(D)'!C:C, $E$1, '리스사업(D)'!G:G, B87, '리스사업(D)'!W:W, B94)
  + COUNTIFS('임대사업(E)'!C:C, $E$1, '임대사업(E)'!G:G, B87, '임대사업(E)'!W:W, B94)
  + COUNTIFS('환경부사업(F)'!C:C, $E$1, '환경부사업(F)'!G:G, B87, '환경부사업(F)'!W:W, B94)
  + COUNTIFS('프로젝트(G)'!C:C, $E$1, '프로젝트(G)'!G:G, B87, '프로젝트(G)'!W:W, B94)
  + COUNTIFS('협력사 EPC(H)'!C:C, $E$1, '협력사 EPC(H)'!G:G, B87, '협력사 EPC(H)'!W:W, B94)
  + COUNTIFS('기타(Z)'!C:C, $E$1, '기타(Z)'!G:G, B87, '기타(Z)'!W:W, B94)
  = 0,
  "",
  COUNTIFS('발전사업(A)'!C:C, $E$1, '발전사업(A)'!G:G, B87, '발전사업(A)'!W:W, B94)
  + COUNTIFS('자가소비(B)'!C:C, $E$1, '자가소비(B)'!G:G, B87, '자가소비(B)'!W:W, B94)
  + COUNTIFS('PPA 사업(C)'!C:C, $E$1, 'PPA 사업(C)'!G:G, B87, 'PPA 사업(C)'!W:W, B94)
  + COUNTIFS('리스사업(D)'!C:C, $E$1, '리스사업(D)'!G:G, B87, '리스사업(D)'!W:W, B94)
  + COUNTIFS('임대사업(E)'!C:C, $E$1, '임대사업(E)'!G:G, B87, '임대사업(E)'!W:W, B94)
  + COUNTIFS('환경부사업(F)'!C:C, $E$1, '환경부사업(F)'!G:G, B87, '환경부사업(F)'!W:W, B94)
  + COUNTIFS('프로젝트(G)'!C:C, $E$1, '프로젝트(G)'!G:G, B87, '프로젝트(G)'!W:W, B94)
  + COUNTIFS('협력사 EPC(H)'!C:C, $E$1, '협력사 EPC(H)'!G:G, B87, '협력사 EPC(H)'!W:W, B94)
  + COUNTIFS('기타(Z)'!C:C, $E$1, '기타(Z)'!G:G, B87, '기타(Z)'!W:W, B94)
)</f>
        <v/>
      </c>
      <c r="E94" s="280" t="str">
        <f>IF(
  SUM(
    SUMIFS('발전사업(A)'!I:I, '발전사업(A)'!C:C, $E$1, '발전사업(A)'!G:G, B87, '발전사업(A)'!W:W, B94, '발전사업(A)'!U:U, $C$1),
    SUMIFS('자가소비(B)'!I:I, '자가소비(B)'!C:C, $E$1, '자가소비(B)'!G:G, B87, '자가소비(B)'!W:W, B94, '자가소비(B)'!U:U, $C$1),
    SUMIFS('PPA 사업(C)'!I:I, 'PPA 사업(C)'!C:C, $E$1, 'PPA 사업(C)'!G:G, B87, 'PPA 사업(C)'!W:W, B94, 'PPA 사업(C)'!U:U, $C$1),
    SUMIFS('리스사업(D)'!I:I, '리스사업(D)'!C:C, $E$1, '리스사업(D)'!G:G, B87, '리스사업(D)'!W:W, B94, '리스사업(D)'!U:U, $C$1),
    SUMIFS('임대사업(E)'!I:I, '임대사업(E)'!C:C, $E$1, '임대사업(E)'!G:G, B87, '임대사업(E)'!W:W, B94, '임대사업(E)'!U:U, $C$1),
    SUMIFS('환경부사업(F)'!I:I, '환경부사업(F)'!C:C, $E$1, '환경부사업(F)'!G:G, B87, '환경부사업(F)'!W:W, B94, '환경부사업(F)'!U:U, $C$1),
    SUMIFS('프로젝트(G)'!I:I, '프로젝트(G)'!C:C, $E$1, '프로젝트(G)'!G:G, B87, '프로젝트(G)'!W:W, B94, '프로젝트(G)'!U:U, $C$1),
    SUMIFS('협력사 EPC(H)'!I:I, '협력사 EPC(H)'!C:C, $E$1, '협력사 EPC(H)'!G:G, B87, '협력사 EPC(H)'!W:W, B94, '협력사 EPC(H)'!U:U, $C$1),
    SUMIFS('기타(Z)'!I:I, '기타(Z)'!C:C, $E$1, '기타(Z)'!G:G, B87, '기타(Z)'!W:W, B94, '기타(Z)'!U:U, $C$1)
  ) = 0,
  "",
  SUM(
    SUMIFS('발전사업(A)'!I:I, '발전사업(A)'!C:C, $E$1, '발전사업(A)'!G:G, B87, '발전사업(A)'!W:W, B94, '발전사업(A)'!U:U, $C$1),
    SUMIFS('자가소비(B)'!I:I, '자가소비(B)'!C:C, $E$1, '자가소비(B)'!G:G, B87, '자가소비(B)'!W:W, B94, '자가소비(B)'!U:U, $C$1),
    SUMIFS('PPA 사업(C)'!I:I, 'PPA 사업(C)'!C:C, $E$1, 'PPA 사업(C)'!G:G, B87, 'PPA 사업(C)'!W:W, B94, 'PPA 사업(C)'!U:U, $C$1),
    SUMIFS('리스사업(D)'!I:I, '리스사업(D)'!C:C, $E$1, '리스사업(D)'!G:G, B87, '리스사업(D)'!W:W, B94, '리스사업(D)'!U:U, $C$1),
    SUMIFS('임대사업(E)'!I:I, '임대사업(E)'!C:C, $E$1, '임대사업(E)'!G:G, B87, '임대사업(E)'!W:W, B94, '임대사업(E)'!U:U, $C$1),
    SUMIFS('환경부사업(F)'!I:I, '환경부사업(F)'!C:C, $E$1, '환경부사업(F)'!G:G, B87, '환경부사업(F)'!W:W, B94, '환경부사업(F)'!U:U, $C$1),
    SUMIFS('프로젝트(G)'!I:I, '프로젝트(G)'!C:C, $E$1, '프로젝트(G)'!G:G, B87, '프로젝트(G)'!W:W, B94, '프로젝트(G)'!U:U, $C$1),
    SUMIFS('협력사 EPC(H)'!I:I, '협력사 EPC(H)'!C:C, $E$1, '협력사 EPC(H)'!G:G, B87, '협력사 EPC(H)'!W:W, B94, '협력사 EPC(H)'!U:U, $C$1),
    SUMIFS('기타(Z)'!I:I, '기타(Z)'!C:C, $E$1, '기타(Z)'!G:G, B87, '기타(Z)'!W:W, B94, '기타(Z)'!U:U, $C$1)
  )
)</f>
        <v/>
      </c>
      <c r="F94" s="281" t="str">
        <f>IF(
  SUM(
    COUNTIFS('발전사업(A)'!C:C, $E$1, '발전사업(A)'!G:G, B87, '발전사업(A)'!W:W, B94, '발전사업(A)'!U:U, $C$1),
    COUNTIFS('자가소비(B)'!C:C, $E$1, '자가소비(B)'!G:G, B87, '자가소비(B)'!W:W, B94, '자가소비(B)'!U:U, $C$1),
    COUNTIFS('PPA 사업(C)'!C:C, $E$1, 'PPA 사업(C)'!G:G, B87, 'PPA 사업(C)'!W:W, B94, 'PPA 사업(C)'!U:U, $C$1),
    COUNTIFS('리스사업(D)'!C:C, $E$1, '리스사업(D)'!G:G, B87, '리스사업(D)'!W:W, B94, '리스사업(D)'!U:U, $C$1),
    COUNTIFS('임대사업(E)'!C:C, $E$1, '임대사업(E)'!G:G, B87, '임대사업(E)'!W:W, B94, '임대사업(E)'!U:U, $C$1),
    COUNTIFS('환경부사업(F)'!C:C, $E$1, '환경부사업(F)'!G:G, B87, '환경부사업(F)'!W:W, B94, '환경부사업(F)'!U:U, $C$1),
    COUNTIFS('프로젝트(G)'!C:C, $E$1, '프로젝트(G)'!G:G, B87, '프로젝트(G)'!W:W, B94, '프로젝트(G)'!U:U, $C$1),
    COUNTIFS('협력사 EPC(H)'!C:C, $E$1, '협력사 EPC(H)'!G:G, B87, '협력사 EPC(H)'!W:W, B94, '협력사 EPC(H)'!U:U, $C$1),
    COUNTIFS('기타(Z)'!C:C, $E$1, '기타(Z)'!G:G, B87, '기타(Z)'!W:W, B94, '기타(Z)'!U:U, $C$1)
  ) = 0,
  "",
  SUM(
    COUNTIFS('발전사업(A)'!C:C, $E$1, '발전사업(A)'!G:G, B87, '발전사업(A)'!W:W, B94, '발전사업(A)'!U:U, $C$1),
    COUNTIFS('자가소비(B)'!C:C, $E$1, '자가소비(B)'!G:G, B87, '자가소비(B)'!W:W, B94, '자가소비(B)'!U:U, $C$1),
    COUNTIFS('PPA 사업(C)'!C:C, $E$1, 'PPA 사업(C)'!G:G, B87, 'PPA 사업(C)'!W:W, B94, 'PPA 사업(C)'!U:U, $C$1),
    COUNTIFS('리스사업(D)'!C:C, $E$1, '리스사업(D)'!G:G, B87, '리스사업(D)'!W:W, B94, '리스사업(D)'!U:U, $C$1),
    COUNTIFS('임대사업(E)'!C:C, $E$1, '임대사업(E)'!G:G, B87, '임대사업(E)'!W:W, B94, '임대사업(E)'!U:U, $C$1),
    COUNTIFS('환경부사업(F)'!C:C, $E$1, '환경부사업(F)'!G:G, B87, '환경부사업(F)'!W:W, B94, '환경부사업(F)'!U:U, $C$1),
    COUNTIFS('프로젝트(G)'!C:C, $E$1, '프로젝트(G)'!G:G, B87, '프로젝트(G)'!W:W, B94, '프로젝트(G)'!U:U, $C$1),
    COUNTIFS('협력사 EPC(H)'!C:C, $E$1, '협력사 EPC(H)'!G:G, B87, '협력사 EPC(H)'!W:W, B94, '협력사 EPC(H)'!U:U, $C$1),
    COUNTIFS('기타(Z)'!C:C, $E$1, '기타(Z)'!G:G, B87, '기타(Z)'!W:W, B94, '기타(Z)'!U:U, $C$1)
  )
)</f>
        <v/>
      </c>
      <c r="G94" s="280" t="str">
        <f>IF(
  SUM(
    SUMIFS('발전사업(A)'!I:I, '발전사업(A)'!C:C, $E$1, '발전사업(A)'!G:G, B87, '발전사업(A)'!W:W, B94, '발전사업(A)'!U:U, $D$1),
    SUMIFS('자가소비(B)'!I:I, '자가소비(B)'!C:C, $E$1, '자가소비(B)'!G:G, B87, '자가소비(B)'!W:W, B94, '자가소비(B)'!U:U, $D$1),
    SUMIFS('PPA 사업(C)'!I:I, 'PPA 사업(C)'!C:C, $E$1, 'PPA 사업(C)'!G:G, B87, 'PPA 사업(C)'!W:W, B94, 'PPA 사업(C)'!U:U, $D$1),
    SUMIFS('리스사업(D)'!I:I, '리스사업(D)'!C:C, $E$1, '리스사업(D)'!G:G, B87, '리스사업(D)'!W:W, B94, '리스사업(D)'!U:U, $D$1),
    SUMIFS('임대사업(E)'!I:I, '임대사업(E)'!C:C, $E$1, '임대사업(E)'!G:G, B87, '임대사업(E)'!W:W, B94, '임대사업(E)'!U:U, $D$1),
    SUMIFS('환경부사업(F)'!I:I, '환경부사업(F)'!C:C, $E$1, '환경부사업(F)'!G:G, B87, '환경부사업(F)'!W:W, B94, '환경부사업(F)'!U:U, $D$1),
    SUMIFS('프로젝트(G)'!I:I, '프로젝트(G)'!C:C, $E$1, '프로젝트(G)'!G:G, B87, '프로젝트(G)'!W:W, B94, '프로젝트(G)'!U:U, $D$1),
    SUMIFS('협력사 EPC(H)'!I:I, '협력사 EPC(H)'!C:C, $E$1, '협력사 EPC(H)'!G:G, B87, '협력사 EPC(H)'!W:W, B94, '협력사 EPC(H)'!U:U, $D$1),
    SUMIFS('기타(Z)'!I:I, '기타(Z)'!C:C, $E$1, '기타(Z)'!G:G, B87, '기타(Z)'!W:W, B94, '기타(Z)'!U:U, $D$1)
  ) = 0,
  "",
  SUM(
    SUMIFS('발전사업(A)'!I:I, '발전사업(A)'!C:C, $E$1, '발전사업(A)'!G:G, B87, '발전사업(A)'!W:W, B94, '발전사업(A)'!U:U, $D$1),
    SUMIFS('자가소비(B)'!I:I, '자가소비(B)'!C:C, $E$1, '자가소비(B)'!G:G, B87, '자가소비(B)'!W:W, B94, '자가소비(B)'!U:U, $D$1),
    SUMIFS('PPA 사업(C)'!I:I, 'PPA 사업(C)'!C:C, $E$1, 'PPA 사업(C)'!G:G, B87, 'PPA 사업(C)'!W:W, B94, 'PPA 사업(C)'!U:U, $D$1),
    SUMIFS('리스사업(D)'!I:I, '리스사업(D)'!C:C, $E$1, '리스사업(D)'!G:G, B87, '리스사업(D)'!W:W, B94, '리스사업(D)'!U:U, $D$1),
    SUMIFS('임대사업(E)'!I:I, '임대사업(E)'!C:C, $E$1, '임대사업(E)'!G:G, B87, '임대사업(E)'!W:W, B94, '임대사업(E)'!U:U, $D$1),
    SUMIFS('환경부사업(F)'!I:I, '환경부사업(F)'!C:C, $E$1, '환경부사업(F)'!G:G, B87, '환경부사업(F)'!W:W, B94, '환경부사업(F)'!U:U, $D$1),
    SUMIFS('프로젝트(G)'!I:I, '프로젝트(G)'!C:C, $E$1, '프로젝트(G)'!G:G, B87, '프로젝트(G)'!W:W, B94, '프로젝트(G)'!U:U, $D$1),
    SUMIFS('협력사 EPC(H)'!I:I, '협력사 EPC(H)'!C:C, $E$1, '협력사 EPC(H)'!G:G, B87, '협력사 EPC(H)'!W:W, B94, '협력사 EPC(H)'!U:U, $D$1),
    SUMIFS('기타(Z)'!I:I, '기타(Z)'!C:C, $E$1, '기타(Z)'!G:G, B87, '기타(Z)'!W:W, B94, '기타(Z)'!U:U, $D$1)
  )
)</f>
        <v/>
      </c>
      <c r="H94" s="281" t="str">
        <f>IF(
  (
    COUNTIFS('발전사업(A)'!C:C, $E$1, '발전사업(A)'!G:G, B87, '발전사업(A)'!W:W, B94, '발전사업(A)'!U:U, $D$1)
    + COUNTIFS('자가소비(B)'!C:C, $E$1, '자가소비(B)'!G:G, B87, '자가소비(B)'!W:W, B94, '자가소비(B)'!U:U, $D$1)
    + COUNTIFS('PPA 사업(C)'!C:C, $E$1, 'PPA 사업(C)'!G:G, B87, 'PPA 사업(C)'!W:W, B94, 'PPA 사업(C)'!U:U, $D$1)
    + COUNTIFS('리스사업(D)'!C:C, $E$1, '리스사업(D)'!G:G, B87, '리스사업(D)'!W:W, B94, '리스사업(D)'!U:U, $D$1)
    + COUNTIFS('임대사업(E)'!C:C, $E$1, '임대사업(E)'!G:G, B87, '임대사업(E)'!W:W, B94, '임대사업(E)'!U:U, $D$1)
    + COUNTIFS('환경부사업(F)'!C:C, $E$1, '환경부사업(F)'!G:G, B87, '환경부사업(F)'!W:W, B94, '환경부사업(F)'!U:U, $D$1)
    + COUNTIFS('프로젝트(G)'!C:C, $E$1, '프로젝트(G)'!G:G, B87, '프로젝트(G)'!W:W, B94, '프로젝트(G)'!U:U, $D$1)
    + COUNTIFS('협력사 EPC(H)'!C:C, $E$1, '협력사 EPC(H)'!G:G, B87, '협력사 EPC(H)'!W:W, B94, '협력사 EPC(H)'!U:U, $D$1)
    + COUNTIFS('기타(Z)'!C:C, $E$1, '기타(Z)'!G:G, $B87, '기타(Z)'!W:W, B94, '기타(Z)'!U:U, $D$1)
  ) = 0,
  "",
  COUNTIFS('발전사업(A)'!C:C, $E$1, '발전사업(A)'!G:G, B87, '발전사업(A)'!W:W, B94, '발전사업(A)'!U:U, $D$1)
  + COUNTIFS('자가소비(B)'!C:C, $E$1, '자가소비(B)'!G:G, B87, '자가소비(B)'!W:W, B94, '자가소비(B)'!U:U, $D$1)
  + COUNTIFS('PPA 사업(C)'!C:C, $E$1, 'PPA 사업(C)'!G:G, B87, 'PPA 사업(C)'!W:W, B94, 'PPA 사업(C)'!U:U, $D$1)
  + COUNTIFS('리스사업(D)'!C:C, $E$1, '리스사업(D)'!G:G, B87, '리스사업(D)'!W:W, B94, '리스사업(D)'!U:U, $D$1)
  + COUNTIFS('임대사업(E)'!C:C, $E$1, '임대사업(E)'!G:G, B87, '임대사업(E)'!W:W, B94, '임대사업(E)'!U:U, $D$1)
  + COUNTIFS('환경부사업(F)'!C:C, $E$1, '환경부사업(F)'!G:G, B87, '환경부사업(F)'!W:W, B94, '환경부사업(F)'!U:U, $D$1)
  + COUNTIFS('프로젝트(G)'!C:C, $E$1, '프로젝트(G)'!G:G, B87, '프로젝트(G)'!W:W, B94, '프로젝트(G)'!U:U, $D$1)
  + COUNTIFS('협력사 EPC(H)'!C:C, $E$1, '협력사 EPC(H)'!G:G, B87, '협력사 EPC(H)'!W:W, B94, '협력사 EPC(H)'!U:U, $D$1)
  + COUNTIFS('기타(Z)'!C:C, $E$1, '기타(Z)'!G:G, B87, '기타(Z)'!W:W, B94, '기타(Z)'!U:U, $D$1)
)</f>
        <v/>
      </c>
    </row>
    <row r="95" spans="2:8" x14ac:dyDescent="0.25">
      <c r="B95" s="202" t="s">
        <v>265</v>
      </c>
      <c r="C95" s="280" t="str">
        <f>IF(
  SUM(
    SUMIFS('발전사업(A)'!I:I, '발전사업(A)'!C:C, $E$1, '발전사업(A)'!G:G, B87, '발전사업(A)'!W:W, B95),
    SUMIFS('자가소비(B)'!I:I, '자가소비(B)'!C:C, $E$1, '자가소비(B)'!G:G, B87, '자가소비(B)'!W:W, B95),
    SUMIFS('PPA 사업(C)'!I:I, 'PPA 사업(C)'!C:C, $E$1, 'PPA 사업(C)'!G:G, B87, 'PPA 사업(C)'!W:W, B95),
    SUMIFS('리스사업(D)'!I:I, '리스사업(D)'!C:C, $E$1, '리스사업(D)'!G:G, B87, '리스사업(D)'!W:W, B95),
    SUMIFS('임대사업(E)'!I:I, '임대사업(E)'!C:C, $E$1, '임대사업(E)'!G:G, B87, '임대사업(E)'!W:W, B95),
    SUMIFS('환경부사업(F)'!I:I, '환경부사업(F)'!C:C, $E$1, '환경부사업(F)'!G:G, B87, '환경부사업(F)'!W:W, B95),
    SUMIFS('프로젝트(G)'!I:I, '프로젝트(G)'!C:C, $E$1, '프로젝트(G)'!G:G, B87, '프로젝트(G)'!W:W, B95),
    SUMIFS('협력사 EPC(H)'!I:I, '협력사 EPC(H)'!C:C, $E$1, '협력사 EPC(H)'!G:G, B87, '협력사 EPC(H)'!W:W, B95),
    SUMIFS('기타(Z)'!I:I, '기타(Z)'!C:C, $E$1, '기타(Z)'!G:G, B87, '기타(Z)'!W:W, B95)
  ) = 0,
  "",
  SUMIFS('발전사업(A)'!I:I, '발전사업(A)'!C:C, $E$1, '발전사업(A)'!G:G, B87, '발전사업(A)'!W:W, B95)
  + SUMIFS('자가소비(B)'!I:I, '자가소비(B)'!C:C, $E$1, '자가소비(B)'!G:G, B87, '자가소비(B)'!W:W, B95)
  + SUMIFS('PPA 사업(C)'!I:I, 'PPA 사업(C)'!C:C, $E$1, 'PPA 사업(C)'!G:G, B87, 'PPA 사업(C)'!W:W, B95)
  + SUMIFS('리스사업(D)'!I:I, '리스사업(D)'!C:C, $E$1, '리스사업(D)'!G:G, B87, '리스사업(D)'!W:W, B95)
  + SUMIFS('임대사업(E)'!I:I, '임대사업(E)'!C:C, $E$1, '임대사업(E)'!G:G, B87, '임대사업(E)'!W:W, B95)
  + SUMIFS('환경부사업(F)'!I:I, '환경부사업(F)'!C:C, $E$1, '환경부사업(F)'!G:G, B87, '환경부사업(F)'!W:W, B95)
  + SUMIFS('프로젝트(G)'!I:I, '프로젝트(G)'!C:C, $E$1, '프로젝트(G)'!G:G, B87, '프로젝트(G)'!W:W, B95)
  + SUMIFS('협력사 EPC(H)'!I:I, '협력사 EPC(H)'!C:C, $E$1, '협력사 EPC(H)'!G:G, B87, '협력사 EPC(H)'!W:W, B95)
  + SUMIFS('기타(Z)'!I:I, '기타(Z)'!C:C, $E$1, '기타(Z)'!G:G, B87, '기타(Z)'!W:W, B95)
)</f>
        <v/>
      </c>
      <c r="D95" s="281" t="str">
        <f>IF(
  COUNTIFS('발전사업(A)'!C:C, $E$1, '발전사업(A)'!G:G, B87, '발전사업(A)'!W:W, B95)
  + COUNTIFS('자가소비(B)'!C:C, $E$1, '자가소비(B)'!G:G, B87, '자가소비(B)'!W:W, B95)
  + COUNTIFS('PPA 사업(C)'!C:C, $E$1, 'PPA 사업(C)'!G:G, B87, 'PPA 사업(C)'!W:W, B95)
  + COUNTIFS('리스사업(D)'!C:C, $E$1, '리스사업(D)'!G:G, B87, '리스사업(D)'!W:W, B95)
  + COUNTIFS('임대사업(E)'!C:C, $E$1, '임대사업(E)'!G:G, B87, '임대사업(E)'!W:W, B95)
  + COUNTIFS('환경부사업(F)'!C:C, $E$1, '환경부사업(F)'!G:G, B87, '환경부사업(F)'!W:W, B95)
  + COUNTIFS('프로젝트(G)'!C:C, $E$1, '프로젝트(G)'!G:G, B87, '프로젝트(G)'!W:W, B95)
  + COUNTIFS('협력사 EPC(H)'!C:C, $E$1, '협력사 EPC(H)'!G:G, B87, '협력사 EPC(H)'!W:W, B95)
  + COUNTIFS('기타(Z)'!C:C, $E$1, '기타(Z)'!G:G, B87, '기타(Z)'!W:W, B95)
  = 0,
  "",
  COUNTIFS('발전사업(A)'!C:C, $E$1, '발전사업(A)'!G:G, B87, '발전사업(A)'!W:W, B95)
  + COUNTIFS('자가소비(B)'!C:C, $E$1, '자가소비(B)'!G:G, B87, '자가소비(B)'!W:W, B95)
  + COUNTIFS('PPA 사업(C)'!C:C, $E$1, 'PPA 사업(C)'!G:G, B87, 'PPA 사업(C)'!W:W, B95)
  + COUNTIFS('리스사업(D)'!C:C, $E$1, '리스사업(D)'!G:G, B87, '리스사업(D)'!W:W, B95)
  + COUNTIFS('임대사업(E)'!C:C, $E$1, '임대사업(E)'!G:G, B87, '임대사업(E)'!W:W, B95)
  + COUNTIFS('환경부사업(F)'!C:C, $E$1, '환경부사업(F)'!G:G, B87, '환경부사업(F)'!W:W, B95)
  + COUNTIFS('프로젝트(G)'!C:C, $E$1, '프로젝트(G)'!G:G, B87, '프로젝트(G)'!W:W, B95)
  + COUNTIFS('협력사 EPC(H)'!C:C, $E$1, '협력사 EPC(H)'!G:G, B87, '협력사 EPC(H)'!W:W, B95)
  + COUNTIFS('기타(Z)'!C:C, $E$1, '기타(Z)'!G:G, B87, '기타(Z)'!W:W, B95)
)</f>
        <v/>
      </c>
      <c r="E95" s="280" t="str">
        <f>IF(
  SUM(
    SUMIFS('발전사업(A)'!I:I, '발전사업(A)'!C:C, $E$1, '발전사업(A)'!G:G, B87, '발전사업(A)'!W:W, B95, '발전사업(A)'!U:U, $C$1),
    SUMIFS('자가소비(B)'!I:I, '자가소비(B)'!C:C, $E$1, '자가소비(B)'!G:G, B87, '자가소비(B)'!W:W, B95, '자가소비(B)'!U:U, $C$1),
    SUMIFS('PPA 사업(C)'!I:I, 'PPA 사업(C)'!C:C, $E$1, 'PPA 사업(C)'!G:G, B87, 'PPA 사업(C)'!W:W, B95, 'PPA 사업(C)'!U:U, $C$1),
    SUMIFS('리스사업(D)'!I:I, '리스사업(D)'!C:C, $E$1, '리스사업(D)'!G:G, B87, '리스사업(D)'!W:W, B95, '리스사업(D)'!U:U, $C$1),
    SUMIFS('임대사업(E)'!I:I, '임대사업(E)'!C:C, $E$1, '임대사업(E)'!G:G, B87, '임대사업(E)'!W:W, B95, '임대사업(E)'!U:U, $C$1),
    SUMIFS('환경부사업(F)'!I:I, '환경부사업(F)'!C:C, $E$1, '환경부사업(F)'!G:G, B87, '환경부사업(F)'!W:W, B95, '환경부사업(F)'!U:U, $C$1),
    SUMIFS('프로젝트(G)'!I:I, '프로젝트(G)'!C:C, $E$1, '프로젝트(G)'!G:G, B87, '프로젝트(G)'!W:W, B95, '프로젝트(G)'!U:U, $C$1),
    SUMIFS('협력사 EPC(H)'!I:I, '협력사 EPC(H)'!C:C, $E$1, '협력사 EPC(H)'!G:G, B87, '협력사 EPC(H)'!W:W, B95, '협력사 EPC(H)'!U:U, $C$1),
    SUMIFS('기타(Z)'!I:I, '기타(Z)'!C:C, $E$1, '기타(Z)'!G:G, B87, '기타(Z)'!W:W, B95, '기타(Z)'!U:U, $C$1)
  ) = 0,
  "",
  SUM(
    SUMIFS('발전사업(A)'!I:I, '발전사업(A)'!C:C, $E$1, '발전사업(A)'!G:G, B87, '발전사업(A)'!W:W, B95, '발전사업(A)'!U:U, $C$1),
    SUMIFS('자가소비(B)'!I:I, '자가소비(B)'!C:C, $E$1, '자가소비(B)'!G:G, B87, '자가소비(B)'!W:W, B95, '자가소비(B)'!U:U, $C$1),
    SUMIFS('PPA 사업(C)'!I:I, 'PPA 사업(C)'!C:C, $E$1, 'PPA 사업(C)'!G:G, B87, 'PPA 사업(C)'!W:W, B95, 'PPA 사업(C)'!U:U, $C$1),
    SUMIFS('리스사업(D)'!I:I, '리스사업(D)'!C:C, $E$1, '리스사업(D)'!G:G, B87, '리스사업(D)'!W:W, B95, '리스사업(D)'!U:U, $C$1),
    SUMIFS('임대사업(E)'!I:I, '임대사업(E)'!C:C, $E$1, '임대사업(E)'!G:G, B87, '임대사업(E)'!W:W, B95, '임대사업(E)'!U:U, $C$1),
    SUMIFS('환경부사업(F)'!I:I, '환경부사업(F)'!C:C, $E$1, '환경부사업(F)'!G:G, B87, '환경부사업(F)'!W:W, B95, '환경부사업(F)'!U:U, $C$1),
    SUMIFS('프로젝트(G)'!I:I, '프로젝트(G)'!C:C, $E$1, '프로젝트(G)'!G:G, B87, '프로젝트(G)'!W:W, B95, '프로젝트(G)'!U:U, $C$1),
    SUMIFS('협력사 EPC(H)'!I:I, '협력사 EPC(H)'!C:C, $E$1, '협력사 EPC(H)'!G:G, B87, '협력사 EPC(H)'!W:W, B95, '협력사 EPC(H)'!U:U, $C$1),
    SUMIFS('기타(Z)'!I:I, '기타(Z)'!C:C, $E$1, '기타(Z)'!G:G, B87, '기타(Z)'!W:W, B95, '기타(Z)'!U:U, $C$1)
  )
)</f>
        <v/>
      </c>
      <c r="F95" s="281" t="str">
        <f>IF(
  SUM(
    COUNTIFS('발전사업(A)'!C:C, $E$1, '발전사업(A)'!G:G, B87, '발전사업(A)'!W:W, B95, '발전사업(A)'!U:U, $C$1),
    COUNTIFS('자가소비(B)'!C:C, $E$1, '자가소비(B)'!G:G, B87, '자가소비(B)'!W:W, B95, '자가소비(B)'!U:U, $C$1),
    COUNTIFS('PPA 사업(C)'!C:C, $E$1, 'PPA 사업(C)'!G:G, B87, 'PPA 사업(C)'!W:W, B95, 'PPA 사업(C)'!U:U, $C$1),
    COUNTIFS('리스사업(D)'!C:C, $E$1, '리스사업(D)'!G:G, B87, '리스사업(D)'!W:W, B95, '리스사업(D)'!U:U, $C$1),
    COUNTIFS('임대사업(E)'!C:C, $E$1, '임대사업(E)'!G:G, B87, '임대사업(E)'!W:W, B95, '임대사업(E)'!U:U, $C$1),
    COUNTIFS('환경부사업(F)'!C:C, $E$1, '환경부사업(F)'!G:G, B87, '환경부사업(F)'!W:W, B95, '환경부사업(F)'!U:U, $C$1),
    COUNTIFS('프로젝트(G)'!C:C, $E$1, '프로젝트(G)'!G:G, B87, '프로젝트(G)'!W:W, B95, '프로젝트(G)'!U:U, $C$1),
    COUNTIFS('협력사 EPC(H)'!C:C, $E$1, '협력사 EPC(H)'!G:G, B87, '협력사 EPC(H)'!W:W, B95, '협력사 EPC(H)'!U:U, $C$1),
    COUNTIFS('기타(Z)'!C:C, $E$1, '기타(Z)'!G:G, B87, '기타(Z)'!W:W, B95, '기타(Z)'!U:U, $C$1)
  ) = 0,
  "",
  SUM(
    COUNTIFS('발전사업(A)'!C:C, $E$1, '발전사업(A)'!G:G, B87, '발전사업(A)'!W:W, B95, '발전사업(A)'!U:U, $C$1),
    COUNTIFS('자가소비(B)'!C:C, $E$1, '자가소비(B)'!G:G, B87, '자가소비(B)'!W:W, B95, '자가소비(B)'!U:U, $C$1),
    COUNTIFS('PPA 사업(C)'!C:C, $E$1, 'PPA 사업(C)'!G:G, B87, 'PPA 사업(C)'!W:W, B95, 'PPA 사업(C)'!U:U, $C$1),
    COUNTIFS('리스사업(D)'!C:C, $E$1, '리스사업(D)'!G:G, B87, '리스사업(D)'!W:W, B95, '리스사업(D)'!U:U, $C$1),
    COUNTIFS('임대사업(E)'!C:C, $E$1, '임대사업(E)'!G:G, B87, '임대사업(E)'!W:W, B95, '임대사업(E)'!U:U, $C$1),
    COUNTIFS('환경부사업(F)'!C:C, $E$1, '환경부사업(F)'!G:G, B87, '환경부사업(F)'!W:W, B95, '환경부사업(F)'!U:U, $C$1),
    COUNTIFS('프로젝트(G)'!C:C, $E$1, '프로젝트(G)'!G:G, B87, '프로젝트(G)'!W:W, B95, '프로젝트(G)'!U:U, $C$1),
    COUNTIFS('협력사 EPC(H)'!C:C, $E$1, '협력사 EPC(H)'!G:G, B87, '협력사 EPC(H)'!W:W, B95, '협력사 EPC(H)'!U:U, $C$1),
    COUNTIFS('기타(Z)'!C:C, $E$1, '기타(Z)'!G:G, B87, '기타(Z)'!W:W, B95, '기타(Z)'!U:U, $C$1)
  )
)</f>
        <v/>
      </c>
      <c r="G95" s="280" t="str">
        <f>IF(
  SUM(
    SUMIFS('발전사업(A)'!I:I, '발전사업(A)'!C:C, $E$1, '발전사업(A)'!G:G, B87, '발전사업(A)'!W:W, B95, '발전사업(A)'!U:U, $D$1),
    SUMIFS('자가소비(B)'!I:I, '자가소비(B)'!C:C, $E$1, '자가소비(B)'!G:G, B87, '자가소비(B)'!W:W, B95, '자가소비(B)'!U:U, $D$1),
    SUMIFS('PPA 사업(C)'!I:I, 'PPA 사업(C)'!C:C, $E$1, 'PPA 사업(C)'!G:G, B87, 'PPA 사업(C)'!W:W, B95, 'PPA 사업(C)'!U:U, $D$1),
    SUMIFS('리스사업(D)'!I:I, '리스사업(D)'!C:C, $E$1, '리스사업(D)'!G:G, B87, '리스사업(D)'!W:W, B95, '리스사업(D)'!U:U, $D$1),
    SUMIFS('임대사업(E)'!I:I, '임대사업(E)'!C:C, $E$1, '임대사업(E)'!G:G, B87, '임대사업(E)'!W:W, B95, '임대사업(E)'!U:U, $D$1),
    SUMIFS('환경부사업(F)'!I:I, '환경부사업(F)'!C:C, $E$1, '환경부사업(F)'!G:G, B87, '환경부사업(F)'!W:W, B95, '환경부사업(F)'!U:U, $D$1),
    SUMIFS('프로젝트(G)'!I:I, '프로젝트(G)'!C:C, $E$1, '프로젝트(G)'!G:G, B87, '프로젝트(G)'!W:W, B95, '프로젝트(G)'!U:U, $D$1),
    SUMIFS('협력사 EPC(H)'!I:I, '협력사 EPC(H)'!C:C, $E$1, '협력사 EPC(H)'!G:G, B87, '협력사 EPC(H)'!W:W, B95, '협력사 EPC(H)'!U:U, $D$1),
    SUMIFS('기타(Z)'!I:I, '기타(Z)'!C:C, $E$1, '기타(Z)'!G:G, B87, '기타(Z)'!W:W, B95, '기타(Z)'!U:U, $D$1)
  ) = 0,
  "",
  SUM(
    SUMIFS('발전사업(A)'!I:I, '발전사업(A)'!C:C, $E$1, '발전사업(A)'!G:G, B87, '발전사업(A)'!W:W, B95, '발전사업(A)'!U:U, $D$1),
    SUMIFS('자가소비(B)'!I:I, '자가소비(B)'!C:C, $E$1, '자가소비(B)'!G:G, B87, '자가소비(B)'!W:W, B95, '자가소비(B)'!U:U, $D$1),
    SUMIFS('PPA 사업(C)'!I:I, 'PPA 사업(C)'!C:C, $E$1, 'PPA 사업(C)'!G:G, B87, 'PPA 사업(C)'!W:W, B95, 'PPA 사업(C)'!U:U, $D$1),
    SUMIFS('리스사업(D)'!I:I, '리스사업(D)'!C:C, $E$1, '리스사업(D)'!G:G, B87, '리스사업(D)'!W:W, B95, '리스사업(D)'!U:U, $D$1),
    SUMIFS('임대사업(E)'!I:I, '임대사업(E)'!C:C, $E$1, '임대사업(E)'!G:G, B87, '임대사업(E)'!W:W, B95, '임대사업(E)'!U:U, $D$1),
    SUMIFS('환경부사업(F)'!I:I, '환경부사업(F)'!C:C, $E$1, '환경부사업(F)'!G:G, B87, '환경부사업(F)'!W:W, B95, '환경부사업(F)'!U:U, $D$1),
    SUMIFS('프로젝트(G)'!I:I, '프로젝트(G)'!C:C, $E$1, '프로젝트(G)'!G:G, B87, '프로젝트(G)'!W:W, B95, '프로젝트(G)'!U:U, $D$1),
    SUMIFS('협력사 EPC(H)'!I:I, '협력사 EPC(H)'!C:C, $E$1, '협력사 EPC(H)'!G:G, B87, '협력사 EPC(H)'!W:W, B95, '협력사 EPC(H)'!U:U, $D$1),
    SUMIFS('기타(Z)'!I:I, '기타(Z)'!C:C, $E$1, '기타(Z)'!G:G, B87, '기타(Z)'!W:W, B95, '기타(Z)'!U:U, $D$1)
  )
)</f>
        <v/>
      </c>
      <c r="H95" s="281" t="str">
        <f>IF(
  (
    COUNTIFS('발전사업(A)'!C:C, $E$1, '발전사업(A)'!G:G, B87, '발전사업(A)'!W:W, B95, '발전사업(A)'!U:U, $D$1)
    + COUNTIFS('자가소비(B)'!C:C, $E$1, '자가소비(B)'!G:G, B87, '자가소비(B)'!W:W, B95, '자가소비(B)'!U:U, $D$1)
    + COUNTIFS('PPA 사업(C)'!C:C, $E$1, 'PPA 사업(C)'!G:G, B87, 'PPA 사업(C)'!W:W, B95, 'PPA 사업(C)'!U:U, $D$1)
    + COUNTIFS('리스사업(D)'!C:C, $E$1, '리스사업(D)'!G:G, B87, '리스사업(D)'!W:W, B95, '리스사업(D)'!U:U, $D$1)
    + COUNTIFS('임대사업(E)'!C:C, $E$1, '임대사업(E)'!G:G, B87, '임대사업(E)'!W:W, B95, '임대사업(E)'!U:U, $D$1)
    + COUNTIFS('환경부사업(F)'!C:C, $E$1, '환경부사업(F)'!G:G, B87, '환경부사업(F)'!W:W, B95, '환경부사업(F)'!U:U, $D$1)
    + COUNTIFS('프로젝트(G)'!C:C, $E$1, '프로젝트(G)'!G:G, B87, '프로젝트(G)'!W:W, B95, '프로젝트(G)'!U:U, $D$1)
    + COUNTIFS('협력사 EPC(H)'!C:C, $E$1, '협력사 EPC(H)'!G:G, B87, '협력사 EPC(H)'!W:W, B95, '협력사 EPC(H)'!U:U, $D$1)
    + COUNTIFS('기타(Z)'!C:C, $E$1, '기타(Z)'!G:G, B87, '기타(Z)'!W:W, B95, '기타(Z)'!U:U, $D$1)
  ) = 0,
  "",
  COUNTIFS('발전사업(A)'!C:C, $E$1, '발전사업(A)'!G:G, B87, '발전사업(A)'!W:W, B95, '발전사업(A)'!U:U, $D$1)
  + COUNTIFS('자가소비(B)'!C:C, $E$1, '자가소비(B)'!G:G, B87, '자가소비(B)'!W:W, B95, '자가소비(B)'!U:U, $D$1)
  + COUNTIFS('PPA 사업(C)'!C:C, $E$1, 'PPA 사업(C)'!G:G, B87, 'PPA 사업(C)'!W:W, B95, 'PPA 사업(C)'!U:U, $D$1)
  + COUNTIFS('리스사업(D)'!C:C, $E$1, '리스사업(D)'!G:G, B87, '리스사업(D)'!W:W, B95, '리스사업(D)'!U:U, $D$1)
  + COUNTIFS('임대사업(E)'!C:C, $E$1, '임대사업(E)'!G:G, B87, '임대사업(E)'!W:W, B95, '임대사업(E)'!U:U, $D$1)
  + COUNTIFS('환경부사업(F)'!C:C, $E$1, '환경부사업(F)'!G:G, B87, '환경부사업(F)'!W:W, B95, '환경부사업(F)'!U:U, $D$1)
  + COUNTIFS('프로젝트(G)'!C:C, $E$1, '프로젝트(G)'!G:G, B87, '프로젝트(G)'!W:W, B95, '프로젝트(G)'!U:U, $D$1)
  + COUNTIFS('협력사 EPC(H)'!C:C, $E$1, '협력사 EPC(H)'!G:G, B87, '협력사 EPC(H)'!W:W, B95, '협력사 EPC(H)'!U:U, $D$1)
  + COUNTIFS('기타(Z)'!C:C, $E$1, '기타(Z)'!G:G, B87, '기타(Z)'!W:W, B95, '기타(Z)'!U:U, $D$1)
)</f>
        <v/>
      </c>
    </row>
    <row r="96" spans="2:8" ht="16.5" x14ac:dyDescent="0.25">
      <c r="B96" s="292" t="s">
        <v>1062</v>
      </c>
      <c r="C96" s="286">
        <f>SUM(C88:C95)</f>
        <v>4316.16</v>
      </c>
      <c r="D96" s="287">
        <f t="shared" ref="D96:H96" si="16">SUM(D88:D95)</f>
        <v>16</v>
      </c>
      <c r="E96" s="288">
        <f t="shared" si="16"/>
        <v>1856</v>
      </c>
      <c r="F96" s="289">
        <f t="shared" si="16"/>
        <v>10</v>
      </c>
      <c r="G96" s="290">
        <f t="shared" si="16"/>
        <v>2460.1600000000003</v>
      </c>
      <c r="H96" s="291">
        <f t="shared" si="16"/>
        <v>6</v>
      </c>
    </row>
    <row r="99" spans="2:8" ht="17.25" x14ac:dyDescent="0.25">
      <c r="B99" s="282">
        <v>8</v>
      </c>
      <c r="C99" s="283" t="s">
        <v>1064</v>
      </c>
      <c r="D99" s="283" t="s">
        <v>1063</v>
      </c>
      <c r="E99" s="284" t="s">
        <v>1065</v>
      </c>
      <c r="F99" s="284" t="s">
        <v>1066</v>
      </c>
      <c r="G99" s="285" t="s">
        <v>1067</v>
      </c>
      <c r="H99" s="285" t="s">
        <v>1068</v>
      </c>
    </row>
    <row r="100" spans="2:8" x14ac:dyDescent="0.25">
      <c r="B100" s="202" t="s">
        <v>270</v>
      </c>
      <c r="C100" s="280">
        <f>IF(
  SUM(
    SUMIFS('발전사업(A)'!I:I, '발전사업(A)'!C:C, $E$1, '발전사업(A)'!G:G, B99, '발전사업(A)'!W:W, B100),
    SUMIFS('자가소비(B)'!I:I, '자가소비(B)'!C:C, $E$1, '자가소비(B)'!G:G, B99, '자가소비(B)'!W:W, B100),
    SUMIFS('PPA 사업(C)'!I:I, 'PPA 사업(C)'!C:C, $E$1, 'PPA 사업(C)'!G:G, B99, 'PPA 사업(C)'!W:W, B100),
    SUMIFS('리스사업(D)'!I:I, '리스사업(D)'!C:C, $E$1, '리스사업(D)'!G:G, B99, '리스사업(D)'!W:W, B100),
    SUMIFS('임대사업(E)'!I:I, '임대사업(E)'!C:C, $E$1, '임대사업(E)'!G:G, B99, '임대사업(E)'!W:W, B100),
    SUMIFS('환경부사업(F)'!I:I, '환경부사업(F)'!C:C, $E$1, '환경부사업(F)'!G:G, B99, '환경부사업(F)'!W:W, B100),
    SUMIFS('프로젝트(G)'!I:I, '프로젝트(G)'!C:C, $E$1, '프로젝트(G)'!G:G, B99, '프로젝트(G)'!W:W, B100),
    SUMIFS('협력사 EPC(H)'!I:I, '협력사 EPC(H)'!C:C, $E$1, '협력사 EPC(H)'!G:G, B99, '협력사 EPC(H)'!W:W, B100),
    SUMIFS('기타(Z)'!I:I, '기타(Z)'!C:C, $E$1, '기타(Z)'!G:G, B99, '기타(Z)'!W:W, B100)
  ) = 0,
  "",
  SUMIFS('발전사업(A)'!I:I, '발전사업(A)'!C:C, $E$1, '발전사업(A)'!G:G, B99, '발전사업(A)'!W:W, B100)
  + SUMIFS('자가소비(B)'!I:I, '자가소비(B)'!C:C, $E$1, '자가소비(B)'!G:G, B99, '자가소비(B)'!W:W, B100)
  + SUMIFS('PPA 사업(C)'!I:I, 'PPA 사업(C)'!C:C, $E$1, 'PPA 사업(C)'!G:G, B99, 'PPA 사업(C)'!W:W, B100)
  + SUMIFS('리스사업(D)'!I:I, '리스사업(D)'!C:C, $E$1, '리스사업(D)'!G:G, B99, '리스사업(D)'!W:W, B100)
  + SUMIFS('임대사업(E)'!I:I, '임대사업(E)'!C:C, $E$1, '임대사업(E)'!G:G, B99, '임대사업(E)'!W:W, B100)
  + SUMIFS('환경부사업(F)'!I:I, '환경부사업(F)'!C:C, $E$1, '환경부사업(F)'!G:G, B99, '환경부사업(F)'!W:W, B100)
  + SUMIFS('프로젝트(G)'!I:I, '프로젝트(G)'!C:C, $E$1, '프로젝트(G)'!G:G, B99, '프로젝트(G)'!W:W, B100)
  + SUMIFS('협력사 EPC(H)'!I:I, '협력사 EPC(H)'!C:C, $E$1, '협력사 EPC(H)'!G:G, B99, '협력사 EPC(H)'!W:W, B100)
  + SUMIFS('기타(Z)'!I:I, '기타(Z)'!C:C, $E$1, '기타(Z)'!G:G, B99, '기타(Z)'!W:W, B100)
)</f>
        <v>909.44</v>
      </c>
      <c r="D100" s="281">
        <f>IF(
  COUNTIFS('발전사업(A)'!C:C, $E$1, '발전사업(A)'!G:G, B99, '발전사업(A)'!W:W, B100)
  + COUNTIFS('자가소비(B)'!C:C, $E$1, '자가소비(B)'!G:G, B99, '자가소비(B)'!W:W, B100)
  + COUNTIFS('PPA 사업(C)'!C:C, $E$1, 'PPA 사업(C)'!G:G, B99, 'PPA 사업(C)'!W:W, B100)
  + COUNTIFS('리스사업(D)'!C:C, $E$1, '리스사업(D)'!G:G, B99, '리스사업(D)'!W:W, B100)
  + COUNTIFS('임대사업(E)'!C:C, $E$1, '임대사업(E)'!G:G, B99, '임대사업(E)'!W:W, B100)
  + COUNTIFS('환경부사업(F)'!C:C, $E$1, '환경부사업(F)'!G:G, B99, '환경부사업(F)'!W:W, B100)
  + COUNTIFS('프로젝트(G)'!C:C, $E$1, '프로젝트(G)'!G:G, B99, '프로젝트(G)'!W:W, B100)
  + COUNTIFS('협력사 EPC(H)'!C:C, $E$1, '협력사 EPC(H)'!G:G, B99, '협력사 EPC(H)'!W:W, B100)
  + COUNTIFS('기타(Z)'!C:C, $E$1, '기타(Z)'!G:G, B99, '기타(Z)'!W:W, B100)
  = 0,
  "",
  COUNTIFS('발전사업(A)'!C:C, $E$1, '발전사업(A)'!G:G, B99, '발전사업(A)'!W:W, B100)
  + COUNTIFS('자가소비(B)'!C:C, $E$1, '자가소비(B)'!G:G, B99, '자가소비(B)'!W:W, B100)
  + COUNTIFS('PPA 사업(C)'!C:C, $E$1, 'PPA 사업(C)'!G:G, B99, 'PPA 사업(C)'!W:W, B100)
  + COUNTIFS('리스사업(D)'!C:C, $E$1, '리스사업(D)'!G:G, B99, '리스사업(D)'!W:W, B100)
  + COUNTIFS('임대사업(E)'!C:C, $E$1, '임대사업(E)'!G:G, B99, '임대사업(E)'!W:W, B100)
  + COUNTIFS('환경부사업(F)'!C:C, $E$1, '환경부사업(F)'!G:G, B99, '환경부사업(F)'!W:W, B100)
  + COUNTIFS('프로젝트(G)'!C:C, $E$1, '프로젝트(G)'!G:G, B99, '프로젝트(G)'!W:W, B100)
  + COUNTIFS('협력사 EPC(H)'!C:C, $E$1, '협력사 EPC(H)'!G:G, B99, '협력사 EPC(H)'!W:W, B100)
  + COUNTIFS('기타(Z)'!C:C, $E$1, '기타(Z)'!G:G, B99, '기타(Z)'!W:W, B100)
)</f>
        <v>3</v>
      </c>
      <c r="E100" s="280">
        <f>IF(
  SUM(
    SUMIFS('발전사업(A)'!I:I, '발전사업(A)'!C:C, $E$1, '발전사업(A)'!G:G, B99, '발전사업(A)'!W:W, B100, '발전사업(A)'!U:U, $C$1),
    SUMIFS('자가소비(B)'!I:I, '자가소비(B)'!C:C, $E$1, '자가소비(B)'!G:G, B99, '자가소비(B)'!W:W, B100, '자가소비(B)'!U:U, $C$1),
    SUMIFS('PPA 사업(C)'!I:I, 'PPA 사업(C)'!C:C, $E$1, 'PPA 사업(C)'!G:G, B99, 'PPA 사업(C)'!W:W, B100, 'PPA 사업(C)'!U:U, $C$1),
    SUMIFS('리스사업(D)'!I:I, '리스사업(D)'!C:C, $E$1, '리스사업(D)'!G:G, B99, '리스사업(D)'!W:W, B100, '리스사업(D)'!U:U, $C$1),
    SUMIFS('임대사업(E)'!I:I, '임대사업(E)'!C:C, $E$1, '임대사업(E)'!G:G, B99, '임대사업(E)'!W:W, B100, '임대사업(E)'!U:U, $C$1),
    SUMIFS('환경부사업(F)'!I:I, '환경부사업(F)'!C:C, $E$1, '환경부사업(F)'!G:G, B99, '환경부사업(F)'!W:W, B100, '환경부사업(F)'!U:U, $C$1),
    SUMIFS('프로젝트(G)'!I:I, '프로젝트(G)'!C:C, $E$1, '프로젝트(G)'!G:G, B99, '프로젝트(G)'!W:W, B100, '프로젝트(G)'!U:U, $C$1),
    SUMIFS('협력사 EPC(H)'!I:I, '협력사 EPC(H)'!C:C, $E$1, '협력사 EPC(H)'!G:G, B99, '협력사 EPC(H)'!W:W, B100, '협력사 EPC(H)'!U:U, $C$1),
    SUMIFS('기타(Z)'!I:I, '기타(Z)'!C:C, $E$1, '기타(Z)'!G:G, B99, '기타(Z)'!W:W, B100, '기타(Z)'!U:U, $C$1)
  ) = 0,
  "",
  SUM(
    SUMIFS('발전사업(A)'!I:I, '발전사업(A)'!C:C, $E$1, '발전사업(A)'!G:G, B99, '발전사업(A)'!W:W, B100, '발전사업(A)'!U:U, $C$1),
    SUMIFS('자가소비(B)'!I:I, '자가소비(B)'!C:C, $E$1, '자가소비(B)'!G:G, B99, '자가소비(B)'!W:W, B100, '자가소비(B)'!U:U, $C$1),
    SUMIFS('PPA 사업(C)'!I:I, 'PPA 사업(C)'!C:C, $E$1, 'PPA 사업(C)'!G:G, B99, 'PPA 사업(C)'!W:W, B100, 'PPA 사업(C)'!U:U, $C$1),
    SUMIFS('리스사업(D)'!I:I, '리스사업(D)'!C:C, $E$1, '리스사업(D)'!G:G, B99, '리스사업(D)'!W:W, B100, '리스사업(D)'!U:U, $C$1),
    SUMIFS('임대사업(E)'!I:I, '임대사업(E)'!C:C, $E$1, '임대사업(E)'!G:G, B99, '임대사업(E)'!W:W, B100, '임대사업(E)'!U:U, $C$1),
    SUMIFS('환경부사업(F)'!I:I, '환경부사업(F)'!C:C, $E$1, '환경부사업(F)'!G:G, B99, '환경부사업(F)'!W:W, B100, '환경부사업(F)'!U:U, $C$1),
    SUMIFS('프로젝트(G)'!I:I, '프로젝트(G)'!C:C, $E$1, '프로젝트(G)'!G:G, B99, '프로젝트(G)'!W:W, B100, '프로젝트(G)'!U:U, $C$1),
    SUMIFS('협력사 EPC(H)'!I:I, '협력사 EPC(H)'!C:C, $E$1, '협력사 EPC(H)'!G:G, B99, '협력사 EPC(H)'!W:W, B100, '협력사 EPC(H)'!U:U, $C$1),
    SUMIFS('기타(Z)'!I:I, '기타(Z)'!C:C, $E$1, '기타(Z)'!G:G, B99, '기타(Z)'!W:W, B100, '기타(Z)'!U:U, $C$1)
  )
)</f>
        <v>458.24</v>
      </c>
      <c r="F100" s="281">
        <f>IF(
  SUM(
    COUNTIFS('발전사업(A)'!C:C, $E$1, '발전사업(A)'!G:G, B99, '발전사업(A)'!W:W, B100, '발전사업(A)'!U:U, $C$1),
    COUNTIFS('자가소비(B)'!C:C, $E$1, '자가소비(B)'!G:G, B99, '자가소비(B)'!W:W, B100, '자가소비(B)'!U:U, $C$1),
    COUNTIFS('PPA 사업(C)'!C:C, $E$1, 'PPA 사업(C)'!G:G, B99, 'PPA 사업(C)'!W:W, B100, 'PPA 사업(C)'!U:U, $C$1),
    COUNTIFS('리스사업(D)'!C:C, $E$1, '리스사업(D)'!G:G, B99, '리스사업(D)'!W:W, B100, '리스사업(D)'!U:U, $C$1),
    COUNTIFS('임대사업(E)'!C:C, $E$1, '임대사업(E)'!G:G, B99, '임대사업(E)'!W:W, B100, '임대사업(E)'!U:U, $C$1),
    COUNTIFS('환경부사업(F)'!C:C, $E$1, '환경부사업(F)'!G:G, B99, '환경부사업(F)'!W:W, B100, '환경부사업(F)'!U:U, $C$1),
    COUNTIFS('프로젝트(G)'!C:C, $E$1, '프로젝트(G)'!G:G, B99, '프로젝트(G)'!W:W, B100, '프로젝트(G)'!U:U, $C$1),
    COUNTIFS('협력사 EPC(H)'!C:C, $E$1, '협력사 EPC(H)'!G:G, B99, '협력사 EPC(H)'!W:W, B100, '협력사 EPC(H)'!U:U, $C$1),
    COUNTIFS('기타(Z)'!C:C, $E$1, '기타(Z)'!G:G, B99, '기타(Z)'!W:W, B100, '기타(Z)'!U:U, $C$1)
  ) = 0,
  "",
  SUM(
    COUNTIFS('발전사업(A)'!C:C, $E$1, '발전사업(A)'!G:G, B99, '발전사업(A)'!W:W, B100, '발전사업(A)'!U:U, $C$1),
    COUNTIFS('자가소비(B)'!C:C, $E$1, '자가소비(B)'!G:G, B99, '자가소비(B)'!W:W, B100, '자가소비(B)'!U:U, $C$1),
    COUNTIFS('PPA 사업(C)'!C:C, $E$1, 'PPA 사업(C)'!G:G, B99, 'PPA 사업(C)'!W:W, B100, 'PPA 사업(C)'!U:U, $C$1),
    COUNTIFS('리스사업(D)'!C:C, $E$1, '리스사업(D)'!G:G, B99, '리스사업(D)'!W:W, B100, '리스사업(D)'!U:U, $C$1),
    COUNTIFS('임대사업(E)'!C:C, $E$1, '임대사업(E)'!G:G, B99, '임대사업(E)'!W:W, B100, '임대사업(E)'!U:U, $C$1),
    COUNTIFS('환경부사업(F)'!C:C, $E$1, '환경부사업(F)'!G:G, B99, '환경부사업(F)'!W:W, B100, '환경부사업(F)'!U:U, $C$1),
    COUNTIFS('프로젝트(G)'!C:C, $E$1, '프로젝트(G)'!G:G, B99, '프로젝트(G)'!W:W, B100, '프로젝트(G)'!U:U, $C$1),
    COUNTIFS('협력사 EPC(H)'!C:C, $E$1, '협력사 EPC(H)'!G:G, B99, '협력사 EPC(H)'!W:W, B100, '협력사 EPC(H)'!U:U, $C$1),
    COUNTIFS('기타(Z)'!C:C, $E$1, '기타(Z)'!G:G, B99, '기타(Z)'!W:W, B100, '기타(Z)'!U:U, $C$1)
  )
)</f>
        <v>1</v>
      </c>
      <c r="G100" s="280">
        <f>IF(
  SUM(
    SUMIFS('발전사업(A)'!I:I, '발전사업(A)'!C:C, $E$1, '발전사업(A)'!G:G, B99, '발전사업(A)'!W:W, B100, '발전사업(A)'!U:U, $D$1),
    SUMIFS('자가소비(B)'!I:I, '자가소비(B)'!C:C, $E$1, '자가소비(B)'!G:G, B99, '자가소비(B)'!W:W, B100, '자가소비(B)'!U:U, $D$1),
    SUMIFS('PPA 사업(C)'!I:I, 'PPA 사업(C)'!C:C, $E$1, 'PPA 사업(C)'!G:G, B99, 'PPA 사업(C)'!W:W, B100, 'PPA 사업(C)'!U:U, $D$1),
    SUMIFS('리스사업(D)'!I:I, '리스사업(D)'!C:C, $E$1, '리스사업(D)'!G:G, B99, '리스사업(D)'!W:W, B100, '리스사업(D)'!U:U, $D$1),
    SUMIFS('임대사업(E)'!I:I, '임대사업(E)'!C:C, $E$1, '임대사업(E)'!G:G, B99, '임대사업(E)'!W:W, B100, '임대사업(E)'!U:U, $D$1),
    SUMIFS('환경부사업(F)'!I:I, '환경부사업(F)'!C:C, $E$1, '환경부사업(F)'!G:G, B99, '환경부사업(F)'!W:W, B100, '환경부사업(F)'!U:U, $D$1),
    SUMIFS('프로젝트(G)'!I:I, '프로젝트(G)'!C:C, $E$1, '프로젝트(G)'!G:G, B99, '프로젝트(G)'!W:W, B100, '프로젝트(G)'!U:U, $D$1),
    SUMIFS('협력사 EPC(H)'!I:I, '협력사 EPC(H)'!C:C, $E$1, '협력사 EPC(H)'!G:G, B99, '협력사 EPC(H)'!W:W, B100, '협력사 EPC(H)'!U:U, $D$1),
    SUMIFS('기타(Z)'!I:I, '기타(Z)'!C:C, $E$1, '기타(Z)'!G:G, B99, '기타(Z)'!W:W, B100, '기타(Z)'!U:U, $D$1)
  ) = 0,
  "",
  SUM(
    SUMIFS('발전사업(A)'!I:I, '발전사업(A)'!C:C, $E$1, '발전사업(A)'!G:G, B99, '발전사업(A)'!W:W, B100, '발전사업(A)'!U:U, $D$1),
    SUMIFS('자가소비(B)'!I:I, '자가소비(B)'!C:C, $E$1, '자가소비(B)'!G:G, B99, '자가소비(B)'!W:W, B100, '자가소비(B)'!U:U, $D$1),
    SUMIFS('PPA 사업(C)'!I:I, 'PPA 사업(C)'!C:C, $E$1, 'PPA 사업(C)'!G:G, B99, 'PPA 사업(C)'!W:W, B100, 'PPA 사업(C)'!U:U, $D$1),
    SUMIFS('리스사업(D)'!I:I, '리스사업(D)'!C:C, $E$1, '리스사업(D)'!G:G, B99, '리스사업(D)'!W:W, B100, '리스사업(D)'!U:U, $D$1),
    SUMIFS('임대사업(E)'!I:I, '임대사업(E)'!C:C, $E$1, '임대사업(E)'!G:G, B99, '임대사업(E)'!W:W, B100, '임대사업(E)'!U:U, $D$1),
    SUMIFS('환경부사업(F)'!I:I, '환경부사업(F)'!C:C, $E$1, '환경부사업(F)'!G:G, B99, '환경부사업(F)'!W:W, B100, '환경부사업(F)'!U:U, $D$1),
    SUMIFS('프로젝트(G)'!I:I, '프로젝트(G)'!C:C, $E$1, '프로젝트(G)'!G:G, B99, '프로젝트(G)'!W:W, B100, '프로젝트(G)'!U:U, $D$1),
    SUMIFS('협력사 EPC(H)'!I:I, '협력사 EPC(H)'!C:C, $E$1, '협력사 EPC(H)'!G:G, B99, '협력사 EPC(H)'!W:W, B100, '협력사 EPC(H)'!U:U, $D$1),
    SUMIFS('기타(Z)'!I:I, '기타(Z)'!C:C, $E$1, '기타(Z)'!G:G, B99, '기타(Z)'!W:W, B100, '기타(Z)'!U:U, $D$1)
  )
)</f>
        <v>451.2</v>
      </c>
      <c r="H100" s="281">
        <f>IF(
  (
    COUNTIFS('발전사업(A)'!C:C, $E$1, '발전사업(A)'!G:G, B99, '발전사업(A)'!W:W, B100, '발전사업(A)'!U:U, $D$1)
    + COUNTIFS('자가소비(B)'!C:C, $E$1, '자가소비(B)'!G:G, B99, '자가소비(B)'!W:W, B100, '자가소비(B)'!U:U, $D$1)
    + COUNTIFS('PPA 사업(C)'!C:C, $E$1, 'PPA 사업(C)'!G:G, B99, 'PPA 사업(C)'!W:W, B100, 'PPA 사업(C)'!U:U, $D$1)
    + COUNTIFS('리스사업(D)'!C:C, $E$1, '리스사업(D)'!G:G, B99, '리스사업(D)'!W:W, B100, '리스사업(D)'!U:U, $D$1)
    + COUNTIFS('임대사업(E)'!C:C, $E$1, '임대사업(E)'!G:G, B99, '임대사업(E)'!W:W, B100, '임대사업(E)'!U:U, $D$1)
    + COUNTIFS('환경부사업(F)'!C:C, $E$1, '환경부사업(F)'!G:G, B99, '환경부사업(F)'!W:W, B100, '환경부사업(F)'!U:U, $D$1)
    + COUNTIFS('프로젝트(G)'!C:C, $E$1, '프로젝트(G)'!G:G, B99, '프로젝트(G)'!W:W, B100, '프로젝트(G)'!U:U, $D$1)
    + COUNTIFS('협력사 EPC(H)'!C:C, $E$1, '협력사 EPC(H)'!G:G, B99, '협력사 EPC(H)'!W:W, B100, '협력사 EPC(H)'!U:U, $D$1)
    + COUNTIFS('기타(Z)'!C:C, $E$1, '기타(Z)'!G:G, B99, '기타(Z)'!W:W, B100, '기타(Z)'!U:U, $D$1)
  ) = 0,
  "",
  COUNTIFS('발전사업(A)'!C:C, $E$1, '발전사업(A)'!G:G, B99, '발전사업(A)'!W:W, B100, '발전사업(A)'!U:U, $D$1)
  + COUNTIFS('자가소비(B)'!C:C, $E$1, '자가소비(B)'!G:G, B99, '자가소비(B)'!W:W, B100, '자가소비(B)'!U:U, $D$1)
  + COUNTIFS('PPA 사업(C)'!C:C, $E$1, 'PPA 사업(C)'!G:G, B99, 'PPA 사업(C)'!W:W, B100, 'PPA 사업(C)'!U:U, $D$1)
  + COUNTIFS('리스사업(D)'!C:C, $E$1, '리스사업(D)'!G:G, B99, '리스사업(D)'!W:W, B100, '리스사업(D)'!U:U, $D$1)
  + COUNTIFS('임대사업(E)'!C:C, $E$1, '임대사업(E)'!G:G, B99, '임대사업(E)'!W:W, B100, '임대사업(E)'!U:U, $D$1)
  + COUNTIFS('환경부사업(F)'!C:C, $E$1, '환경부사업(F)'!G:G, B99, '환경부사업(F)'!W:W, B100, '환경부사업(F)'!U:U, $D$1)
  + COUNTIFS('프로젝트(G)'!C:C, $E$1, '프로젝트(G)'!G:G, B99, '프로젝트(G)'!W:W, B100, '프로젝트(G)'!U:U, $D$1)
  + COUNTIFS('협력사 EPC(H)'!C:C, $E$1, '협력사 EPC(H)'!G:G, B99, '협력사 EPC(H)'!W:W, B100, '협력사 EPC(H)'!U:U, $D$1)
  + COUNTIFS('기타(Z)'!C:C, $E$1, '기타(Z)'!G:G, B99, '기타(Z)'!W:W, B100, '기타(Z)'!U:U, $D$1)
)</f>
        <v>2</v>
      </c>
    </row>
    <row r="101" spans="2:8" x14ac:dyDescent="0.25">
      <c r="B101" s="202" t="s">
        <v>259</v>
      </c>
      <c r="C101" s="280">
        <f>IF(
  SUM(
    SUMIFS('발전사업(A)'!I:I, '발전사업(A)'!C:C, $E$1, '발전사업(A)'!G:G, B99, '발전사업(A)'!W:W, B101),
    SUMIFS('자가소비(B)'!I:I, '자가소비(B)'!C:C, $E$1, '자가소비(B)'!G:G, B99, '자가소비(B)'!W:W, B101),
    SUMIFS('PPA 사업(C)'!I:I, 'PPA 사업(C)'!C:C, $E$1, 'PPA 사업(C)'!G:G, B99, 'PPA 사업(C)'!W:W, B101),
    SUMIFS('리스사업(D)'!I:I, '리스사업(D)'!C:C, $E$1, '리스사업(D)'!G:G, B99, '리스사업(D)'!W:W, B101),
    SUMIFS('임대사업(E)'!I:I, '임대사업(E)'!C:C, $E$1, '임대사업(E)'!G:G, B99, '임대사업(E)'!W:W, B101),
    SUMIFS('환경부사업(F)'!I:I, '환경부사업(F)'!C:C, $E$1, '환경부사업(F)'!G:G, B99, '환경부사업(F)'!W:W, B101),
    SUMIFS('프로젝트(G)'!I:I, '프로젝트(G)'!C:C, $E$1, '프로젝트(G)'!G:G, B99, '프로젝트(G)'!W:W, B101),
    SUMIFS('협력사 EPC(H)'!I:I, '협력사 EPC(H)'!C:C, $E$1, '협력사 EPC(H)'!G:G, B99, '협력사 EPC(H)'!W:W, B101),
    SUMIFS('기타(Z)'!I:I, '기타(Z)'!C:C, $E$1, '기타(Z)'!G:G, B99, '기타(Z)'!W:W, B101)
  ) = 0,
  "",
  SUMIFS('발전사업(A)'!I:I, '발전사업(A)'!C:C, $E$1, '발전사업(A)'!G:G, B99, '발전사업(A)'!W:W, B101)
  + SUMIFS('자가소비(B)'!I:I, '자가소비(B)'!C:C, $E$1, '자가소비(B)'!G:G, B99, '자가소비(B)'!W:W, B101)
  + SUMIFS('PPA 사업(C)'!I:I, 'PPA 사업(C)'!C:C, $E$1, 'PPA 사업(C)'!G:G, B99, 'PPA 사업(C)'!W:W, B101)
  + SUMIFS('리스사업(D)'!I:I, '리스사업(D)'!C:C, $E$1, '리스사업(D)'!G:G, B99, '리스사업(D)'!W:W, B101)
  + SUMIFS('임대사업(E)'!I:I, '임대사업(E)'!C:C, $E$1, '임대사업(E)'!G:G, B99, '임대사업(E)'!W:W, B101)
  + SUMIFS('환경부사업(F)'!I:I, '환경부사업(F)'!C:C, $E$1, '환경부사업(F)'!G:G, B99, '환경부사업(F)'!W:W, B101)
  + SUMIFS('프로젝트(G)'!I:I, '프로젝트(G)'!C:C, $E$1, '프로젝트(G)'!G:G, B99, '프로젝트(G)'!W:W, B101)
  + SUMIFS('협력사 EPC(H)'!I:I, '협력사 EPC(H)'!C:C, $E$1, '협력사 EPC(H)'!G:G, B99, '협력사 EPC(H)'!W:W, B101)
  + SUMIFS('기타(Z)'!I:I, '기타(Z)'!C:C, $E$1, '기타(Z)'!G:G, B99, '기타(Z)'!W:W, B101)
)</f>
        <v>3112.3199999999997</v>
      </c>
      <c r="D101" s="281">
        <f>IF(
  COUNTIFS('발전사업(A)'!C:C, $E$1, '발전사업(A)'!G:G, B99, '발전사업(A)'!W:W, B101)
  + COUNTIFS('자가소비(B)'!C:C, $E$1, '자가소비(B)'!G:G, B99, '자가소비(B)'!W:W, B101)
  + COUNTIFS('PPA 사업(C)'!C:C, $E$1, 'PPA 사업(C)'!G:G, B99, 'PPA 사업(C)'!W:W, B101)
  + COUNTIFS('리스사업(D)'!C:C, $E$1, '리스사업(D)'!G:G, B99, '리스사업(D)'!W:W, B101)
  + COUNTIFS('임대사업(E)'!C:C, $E$1, '임대사업(E)'!G:G, B99, '임대사업(E)'!W:W, B101)
  + COUNTIFS('환경부사업(F)'!C:C, $E$1, '환경부사업(F)'!G:G, B99, '환경부사업(F)'!W:W, B101)
  + COUNTIFS('프로젝트(G)'!C:C, $E$1, '프로젝트(G)'!G:G, B99, '프로젝트(G)'!W:W, B101)
  + COUNTIFS('협력사 EPC(H)'!C:C, $E$1, '협력사 EPC(H)'!G:G, B99, '협력사 EPC(H)'!W:W, B101)
  + COUNTIFS('기타(Z)'!C:C, $E$1, '기타(Z)'!G:G, B99, '기타(Z)'!W:W, B101)
  = 0,
  "",
  COUNTIFS('발전사업(A)'!C:C, $E$1, '발전사업(A)'!G:G, B99, '발전사업(A)'!W:W, B101)
  + COUNTIFS('자가소비(B)'!C:C, $E$1, '자가소비(B)'!G:G, B99, '자가소비(B)'!W:W, B101)
  + COUNTIFS('PPA 사업(C)'!C:C, $E$1, 'PPA 사업(C)'!G:G, B99, 'PPA 사업(C)'!W:W, B101)
  + COUNTIFS('리스사업(D)'!C:C, $E$1, '리스사업(D)'!G:G, B99, '리스사업(D)'!W:W, B101)
  + COUNTIFS('임대사업(E)'!C:C, $E$1, '임대사업(E)'!G:G, B99, '임대사업(E)'!W:W, B101)
  + COUNTIFS('환경부사업(F)'!C:C, $E$1, '환경부사업(F)'!G:G, B99, '환경부사업(F)'!W:W, B101)
  + COUNTIFS('프로젝트(G)'!C:C, $E$1, '프로젝트(G)'!G:G, B99, '프로젝트(G)'!W:W, B101)
  + COUNTIFS('협력사 EPC(H)'!C:C, $E$1, '협력사 EPC(H)'!G:G, B99, '협력사 EPC(H)'!W:W, B101)
  + COUNTIFS('기타(Z)'!C:C, $E$1, '기타(Z)'!G:G, B99, '기타(Z)'!W:W, B101)
)</f>
        <v>8</v>
      </c>
      <c r="E101" s="280">
        <f>IF(
  SUM(
    SUMIFS('발전사업(A)'!I:I, '발전사업(A)'!C:C, $E$1, '발전사업(A)'!G:G, B99, '발전사업(A)'!W:W, B101, '발전사업(A)'!U:U, $C$1),
    SUMIFS('자가소비(B)'!I:I, '자가소비(B)'!C:C, $E$1, '자가소비(B)'!G:G, B99, '자가소비(B)'!W:W, B101, '자가소비(B)'!U:U, $C$1),
    SUMIFS('PPA 사업(C)'!I:I, 'PPA 사업(C)'!C:C, $E$1, 'PPA 사업(C)'!G:G, B99, 'PPA 사업(C)'!W:W, B101, 'PPA 사업(C)'!U:U, $C$1),
    SUMIFS('리스사업(D)'!I:I, '리스사업(D)'!C:C, $E$1, '리스사업(D)'!G:G, B99, '리스사업(D)'!W:W, B101, '리스사업(D)'!U:U, $C$1),
    SUMIFS('임대사업(E)'!I:I, '임대사업(E)'!C:C, $E$1, '임대사업(E)'!G:G, B99, '임대사업(E)'!W:W, B101, '임대사업(E)'!U:U, $C$1),
    SUMIFS('환경부사업(F)'!I:I, '환경부사업(F)'!C:C, $E$1, '환경부사업(F)'!G:G, B99, '환경부사업(F)'!W:W, B101, '환경부사업(F)'!U:U, $C$1),
    SUMIFS('프로젝트(G)'!I:I, '프로젝트(G)'!C:C, $E$1, '프로젝트(G)'!G:G, B99, '프로젝트(G)'!W:W, B101, '프로젝트(G)'!U:U, $C$1),
    SUMIFS('협력사 EPC(H)'!I:I, '협력사 EPC(H)'!C:C, $E$1, '협력사 EPC(H)'!G:G, B99, '협력사 EPC(H)'!W:W, B101, '협력사 EPC(H)'!U:U, $C$1),
    SUMIFS('기타(Z)'!I:I, '기타(Z)'!C:C, $E$1, '기타(Z)'!G:G, B99, '기타(Z)'!W:W, B101, '기타(Z)'!U:U, $C$1)
  ) = 0,
  "",
  SUM(
    SUMIFS('발전사업(A)'!I:I, '발전사업(A)'!C:C, $E$1, '발전사업(A)'!G:G, B99, '발전사업(A)'!W:W, B101, '발전사업(A)'!U:U, $C$1),
    SUMIFS('자가소비(B)'!I:I, '자가소비(B)'!C:C, $E$1, '자가소비(B)'!G:G, B99, '자가소비(B)'!W:W, B101, '자가소비(B)'!U:U, $C$1),
    SUMIFS('PPA 사업(C)'!I:I, 'PPA 사업(C)'!C:C, $E$1, 'PPA 사업(C)'!G:G, B99, 'PPA 사업(C)'!W:W, B101, 'PPA 사업(C)'!U:U, $C$1),
    SUMIFS('리스사업(D)'!I:I, '리스사업(D)'!C:C, $E$1, '리스사업(D)'!G:G, B99, '리스사업(D)'!W:W, B101, '리스사업(D)'!U:U, $C$1),
    SUMIFS('임대사업(E)'!I:I, '임대사업(E)'!C:C, $E$1, '임대사업(E)'!G:G, B99, '임대사업(E)'!W:W, B101, '임대사업(E)'!U:U, $C$1),
    SUMIFS('환경부사업(F)'!I:I, '환경부사업(F)'!C:C, $E$1, '환경부사업(F)'!G:G, B99, '환경부사업(F)'!W:W, B101, '환경부사업(F)'!U:U, $C$1),
    SUMIFS('프로젝트(G)'!I:I, '프로젝트(G)'!C:C, $E$1, '프로젝트(G)'!G:G, B99, '프로젝트(G)'!W:W, B101, '프로젝트(G)'!U:U, $C$1),
    SUMIFS('협력사 EPC(H)'!I:I, '협력사 EPC(H)'!C:C, $E$1, '협력사 EPC(H)'!G:G, B99, '협력사 EPC(H)'!W:W, B101, '협력사 EPC(H)'!U:U, $C$1),
    SUMIFS('기타(Z)'!I:I, '기타(Z)'!C:C, $E$1, '기타(Z)'!G:G, B99, '기타(Z)'!W:W, B101, '기타(Z)'!U:U, $C$1)
  )
)</f>
        <v>2483.84</v>
      </c>
      <c r="F101" s="281">
        <f>IF(
  SUM(
    COUNTIFS('발전사업(A)'!C:C, $E$1, '발전사업(A)'!G:G, B99, '발전사업(A)'!W:W, B101, '발전사업(A)'!U:U, $C$1),
    COUNTIFS('자가소비(B)'!C:C, $E$1, '자가소비(B)'!G:G, B99, '자가소비(B)'!W:W, B101, '자가소비(B)'!U:U, $C$1),
    COUNTIFS('PPA 사업(C)'!C:C, $E$1, 'PPA 사업(C)'!G:G, B99, 'PPA 사업(C)'!W:W, B101, 'PPA 사업(C)'!U:U, $C$1),
    COUNTIFS('리스사업(D)'!C:C, $E$1, '리스사업(D)'!G:G, B99, '리스사업(D)'!W:W, B101, '리스사업(D)'!U:U, $C$1),
    COUNTIFS('임대사업(E)'!C:C, $E$1, '임대사업(E)'!G:G, B99, '임대사업(E)'!W:W, B101, '임대사업(E)'!U:U, $C$1),
    COUNTIFS('환경부사업(F)'!C:C, $E$1, '환경부사업(F)'!G:G, B99, '환경부사업(F)'!W:W, B101, '환경부사업(F)'!U:U, $C$1),
    COUNTIFS('프로젝트(G)'!C:C, $E$1, '프로젝트(G)'!G:G, B99, '프로젝트(G)'!W:W, B101, '프로젝트(G)'!U:U, $C$1),
    COUNTIFS('협력사 EPC(H)'!C:C, $E$1, '협력사 EPC(H)'!G:G, B99, '협력사 EPC(H)'!W:W, B101, '협력사 EPC(H)'!U:U, $C$1),
    COUNTIFS('기타(Z)'!C:C, $E$1, '기타(Z)'!G:G, B99, '기타(Z)'!W:W, B101, '기타(Z)'!U:U, $C$1)
  ) = 0,
  "",
  SUM(
    COUNTIFS('발전사업(A)'!C:C, $E$1, '발전사업(A)'!G:G, B99, '발전사업(A)'!W:W, B101, '발전사업(A)'!U:U, $C$1),
    COUNTIFS('자가소비(B)'!C:C, $E$1, '자가소비(B)'!G:G, B99, '자가소비(B)'!W:W, B101, '자가소비(B)'!U:U, $C$1),
    COUNTIFS('PPA 사업(C)'!C:C, $E$1, 'PPA 사업(C)'!G:G, B99, 'PPA 사업(C)'!W:W, B101, 'PPA 사업(C)'!U:U, $C$1),
    COUNTIFS('리스사업(D)'!C:C, $E$1, '리스사업(D)'!G:G, B99, '리스사업(D)'!W:W, B101, '리스사업(D)'!U:U, $C$1),
    COUNTIFS('임대사업(E)'!C:C, $E$1, '임대사업(E)'!G:G, B99, '임대사업(E)'!W:W, B101, '임대사업(E)'!U:U, $C$1),
    COUNTIFS('환경부사업(F)'!C:C, $E$1, '환경부사업(F)'!G:G, B99, '환경부사업(F)'!W:W, B101, '환경부사업(F)'!U:U, $C$1),
    COUNTIFS('프로젝트(G)'!C:C, $E$1, '프로젝트(G)'!G:G, B99, '프로젝트(G)'!W:W, B101, '프로젝트(G)'!U:U, $C$1),
    COUNTIFS('협력사 EPC(H)'!C:C, $E$1, '협력사 EPC(H)'!G:G, B99, '협력사 EPC(H)'!W:W, B101, '협력사 EPC(H)'!U:U, $C$1),
    COUNTIFS('기타(Z)'!C:C, $E$1, '기타(Z)'!G:G, B99, '기타(Z)'!W:W, B101, '기타(Z)'!U:U, $C$1)
  )
)</f>
        <v>6</v>
      </c>
      <c r="G101" s="280">
        <f>IF(
  SUM(
    SUMIFS('발전사업(A)'!I:I, '발전사업(A)'!C:C, $E$1, '발전사업(A)'!G:G, B99, '발전사업(A)'!W:W, B101, '발전사업(A)'!U:U, $D$1),
    SUMIFS('자가소비(B)'!I:I, '자가소비(B)'!C:C, $E$1, '자가소비(B)'!G:G, B99, '자가소비(B)'!W:W, B101, '자가소비(B)'!U:U, $D$1),
    SUMIFS('PPA 사업(C)'!I:I, 'PPA 사업(C)'!C:C, $E$1, 'PPA 사업(C)'!G:G, B99, 'PPA 사업(C)'!W:W, B101, 'PPA 사업(C)'!U:U, $D$1),
    SUMIFS('리스사업(D)'!I:I, '리스사업(D)'!C:C, $E$1, '리스사업(D)'!G:G, B99, '리스사업(D)'!W:W, B101, '리스사업(D)'!U:U, $D$1),
    SUMIFS('임대사업(E)'!I:I, '임대사업(E)'!C:C, $E$1, '임대사업(E)'!G:G, B99, '임대사업(E)'!W:W, B101, '임대사업(E)'!U:U, $D$1),
    SUMIFS('환경부사업(F)'!I:I, '환경부사업(F)'!C:C, $E$1, '환경부사업(F)'!G:G, B99, '환경부사업(F)'!W:W, B101, '환경부사업(F)'!U:U, $D$1),
    SUMIFS('프로젝트(G)'!I:I, '프로젝트(G)'!C:C, $E$1, '프로젝트(G)'!G:G, B99, '프로젝트(G)'!W:W, B101, '프로젝트(G)'!U:U, $D$1),
    SUMIFS('협력사 EPC(H)'!I:I, '협력사 EPC(H)'!C:C, $E$1, '협력사 EPC(H)'!G:G, B99, '협력사 EPC(H)'!W:W, B101, '협력사 EPC(H)'!U:U, $D$1),
    SUMIFS('기타(Z)'!I:I, '기타(Z)'!C:C, $E$1, '기타(Z)'!G:G, B99, '기타(Z)'!W:W, B101, '기타(Z)'!U:U, $D$1)
  ) = 0,
  "",
  SUM(
    SUMIFS('발전사업(A)'!I:I, '발전사업(A)'!C:C, $E$1, '발전사업(A)'!G:G, B99, '발전사업(A)'!W:W, B101, '발전사업(A)'!U:U, $D$1),
    SUMIFS('자가소비(B)'!I:I, '자가소비(B)'!C:C, $E$1, '자가소비(B)'!G:G, B99, '자가소비(B)'!W:W, B101, '자가소비(B)'!U:U, $D$1),
    SUMIFS('PPA 사업(C)'!I:I, 'PPA 사업(C)'!C:C, $E$1, 'PPA 사업(C)'!G:G, B99, 'PPA 사업(C)'!W:W, B101, 'PPA 사업(C)'!U:U, $D$1),
    SUMIFS('리스사업(D)'!I:I, '리스사업(D)'!C:C, $E$1, '리스사업(D)'!G:G, B99, '리스사업(D)'!W:W, B101, '리스사업(D)'!U:U, $D$1),
    SUMIFS('임대사업(E)'!I:I, '임대사업(E)'!C:C, $E$1, '임대사업(E)'!G:G, B99, '임대사업(E)'!W:W, B101, '임대사업(E)'!U:U, $D$1),
    SUMIFS('환경부사업(F)'!I:I, '환경부사업(F)'!C:C, $E$1, '환경부사업(F)'!G:G, B99, '환경부사업(F)'!W:W, B101, '환경부사업(F)'!U:U, $D$1),
    SUMIFS('프로젝트(G)'!I:I, '프로젝트(G)'!C:C, $E$1, '프로젝트(G)'!G:G, B99, '프로젝트(G)'!W:W, B101, '프로젝트(G)'!U:U, $D$1),
    SUMIFS('협력사 EPC(H)'!I:I, '협력사 EPC(H)'!C:C, $E$1, '협력사 EPC(H)'!G:G, B99, '협력사 EPC(H)'!W:W, B101, '협력사 EPC(H)'!U:U, $D$1),
    SUMIFS('기타(Z)'!I:I, '기타(Z)'!C:C, $E$1, '기타(Z)'!G:G, B99, '기타(Z)'!W:W, B101, '기타(Z)'!U:U, $D$1)
  )
)</f>
        <v>628.48</v>
      </c>
      <c r="H101" s="281">
        <f>IF(
  (
    COUNTIFS('발전사업(A)'!C:C, $E$1, '발전사업(A)'!G:G, B99, '발전사업(A)'!W:W, B101, '발전사업(A)'!U:U, $D$1)
    + COUNTIFS('자가소비(B)'!C:C, $E$1, '자가소비(B)'!G:G, B99, '자가소비(B)'!W:W, B101, '자가소비(B)'!U:U, $D$1)
    + COUNTIFS('PPA 사업(C)'!C:C, $E$1, 'PPA 사업(C)'!G:G, B99, 'PPA 사업(C)'!W:W, B101, 'PPA 사업(C)'!U:U, $D$1)
    + COUNTIFS('리스사업(D)'!C:C, $E$1, '리스사업(D)'!G:G, B99, '리스사업(D)'!W:W, B101, '리스사업(D)'!U:U, $D$1)
    + COUNTIFS('임대사업(E)'!C:C, $E$1, '임대사업(E)'!G:G, B99, '임대사업(E)'!W:W, B101, '임대사업(E)'!U:U, $D$1)
    + COUNTIFS('환경부사업(F)'!C:C, $E$1, '환경부사업(F)'!G:G, B99, '환경부사업(F)'!W:W, B101, '환경부사업(F)'!U:U, $D$1)
    + COUNTIFS('프로젝트(G)'!C:C, $E$1, '프로젝트(G)'!G:G, B99, '프로젝트(G)'!W:W, B101, '프로젝트(G)'!U:U, $D$1)
    + COUNTIFS('협력사 EPC(H)'!C:C, $E$1, '협력사 EPC(H)'!G:G, B99, '협력사 EPC(H)'!W:W, B101, '협력사 EPC(H)'!U:U, $D$1)
    + COUNTIFS('기타(Z)'!C:C, $E$1, '기타(Z)'!G:G, B99, '기타(Z)'!W:W, B101, '기타(Z)'!U:U, $D$1)
  ) = 0,
  "",
  COUNTIFS('발전사업(A)'!C:C, $E$1, '발전사업(A)'!G:G, B99, '발전사업(A)'!W:W, B101, '발전사업(A)'!U:U, $D$1)
  + COUNTIFS('자가소비(B)'!C:C, $E$1, '자가소비(B)'!G:G, B99, '자가소비(B)'!W:W, B101, '자가소비(B)'!U:U, $D$1)
  + COUNTIFS('PPA 사업(C)'!C:C, $E$1, 'PPA 사업(C)'!G:G, B99, 'PPA 사업(C)'!W:W, B101, 'PPA 사업(C)'!U:U, $D$1)
  + COUNTIFS('리스사업(D)'!C:C, $E$1, '리스사업(D)'!G:G, B99, '리스사업(D)'!W:W, B101, '리스사업(D)'!U:U, $D$1)
  + COUNTIFS('임대사업(E)'!C:C, $E$1, '임대사업(E)'!G:G, B99, '임대사업(E)'!W:W, B101, '임대사업(E)'!U:U, $D$1)
  + COUNTIFS('환경부사업(F)'!C:C, $E$1, '환경부사업(F)'!G:G, B99, '환경부사업(F)'!W:W, B101, '환경부사업(F)'!U:U, $D$1)
  + COUNTIFS('프로젝트(G)'!C:C, $E$1, '프로젝트(G)'!G:G, B99, '프로젝트(G)'!W:W, B101, '프로젝트(G)'!U:U, $D$1)
  + COUNTIFS('협력사 EPC(H)'!C:C, $E$1, '협력사 EPC(H)'!G:G, B99, '협력사 EPC(H)'!W:W, B101, '협력사 EPC(H)'!U:U, $D$1)
  + COUNTIFS('기타(Z)'!C:C, $E$1, '기타(Z)'!G:G, B99, '기타(Z)'!W:W, B101, '기타(Z)'!U:U, $D$1)
)</f>
        <v>2</v>
      </c>
    </row>
    <row r="102" spans="2:8" x14ac:dyDescent="0.25">
      <c r="B102" s="202" t="s">
        <v>260</v>
      </c>
      <c r="C102" s="280">
        <f>IF(
  SUM(
    SUMIFS('발전사업(A)'!I:I, '발전사업(A)'!C:C, $E$1, '발전사업(A)'!G:G, B99, '발전사업(A)'!W:W, B102),
    SUMIFS('자가소비(B)'!I:I, '자가소비(B)'!C:C, $E$1, '자가소비(B)'!G:G, B99, '자가소비(B)'!W:W, B102),
    SUMIFS('PPA 사업(C)'!I:I, 'PPA 사업(C)'!C:C, $E$1, 'PPA 사업(C)'!G:G, B99, 'PPA 사업(C)'!W:W, B102),
    SUMIFS('리스사업(D)'!I:I, '리스사업(D)'!C:C, $E$1, '리스사업(D)'!G:G, B99, '리스사업(D)'!W:W, B102),
    SUMIFS('임대사업(E)'!I:I, '임대사업(E)'!C:C, $E$1, '임대사업(E)'!G:G, B99, '임대사업(E)'!W:W, B102),
    SUMIFS('환경부사업(F)'!I:I, '환경부사업(F)'!C:C, $E$1, '환경부사업(F)'!G:G, B99, '환경부사업(F)'!W:W, B102),
    SUMIFS('프로젝트(G)'!I:I, '프로젝트(G)'!C:C, $E$1, '프로젝트(G)'!G:G, B99, '프로젝트(G)'!W:W, B102),
    SUMIFS('협력사 EPC(H)'!I:I, '협력사 EPC(H)'!C:C, $E$1, '협력사 EPC(H)'!G:G, B99, '협력사 EPC(H)'!W:W, B102),
    SUMIFS('기타(Z)'!I:I, '기타(Z)'!C:C, $E$1, '기타(Z)'!G:G, B99, '기타(Z)'!W:W, B102)
  ) = 0,
  "",
  SUMIFS('발전사업(A)'!I:I, '발전사업(A)'!C:C, $E$1, '발전사업(A)'!G:G, B99, '발전사업(A)'!W:W, B102)
  + SUMIFS('자가소비(B)'!I:I, '자가소비(B)'!C:C, $E$1, '자가소비(B)'!G:G, B99, '자가소비(B)'!W:W, B102)
  + SUMIFS('PPA 사업(C)'!I:I, 'PPA 사업(C)'!C:C, $E$1, 'PPA 사업(C)'!G:G, B99, 'PPA 사업(C)'!W:W, B102)
  + SUMIFS('리스사업(D)'!I:I, '리스사업(D)'!C:C, $E$1, '리스사업(D)'!G:G, B99, '리스사업(D)'!W:W, B102)
  + SUMIFS('임대사업(E)'!I:I, '임대사업(E)'!C:C, $E$1, '임대사업(E)'!G:G, B99, '임대사업(E)'!W:W, B102)
  + SUMIFS('환경부사업(F)'!I:I, '환경부사업(F)'!C:C, $E$1, '환경부사업(F)'!G:G, B99, '환경부사업(F)'!W:W, B102)
  + SUMIFS('프로젝트(G)'!I:I, '프로젝트(G)'!C:C, $E$1, '프로젝트(G)'!G:G, B99, '프로젝트(G)'!W:W, B102)
  + SUMIFS('협력사 EPC(H)'!I:I, '협력사 EPC(H)'!C:C, $E$1, '협력사 EPC(H)'!G:G, B99, '협력사 EPC(H)'!W:W, B102)
  + SUMIFS('기타(Z)'!I:I, '기타(Z)'!C:C, $E$1, '기타(Z)'!G:G, B99, '기타(Z)'!W:W, B102)
)</f>
        <v>111.36</v>
      </c>
      <c r="D102" s="281">
        <f>IF(
  COUNTIFS('발전사업(A)'!C:C, $E$1, '발전사업(A)'!G:G, B99, '발전사업(A)'!W:W, B102)
  + COUNTIFS('자가소비(B)'!C:C, $E$1, '자가소비(B)'!G:G, B99, '자가소비(B)'!W:W, B102)
  + COUNTIFS('PPA 사업(C)'!C:C, $E$1, 'PPA 사업(C)'!G:G, B99, 'PPA 사업(C)'!W:W, B102)
  + COUNTIFS('리스사업(D)'!C:C, $E$1, '리스사업(D)'!G:G, B99, '리스사업(D)'!W:W, B102)
  + COUNTIFS('임대사업(E)'!C:C, $E$1, '임대사업(E)'!G:G, B99, '임대사업(E)'!W:W, B102)
  + COUNTIFS('환경부사업(F)'!C:C, $E$1, '환경부사업(F)'!G:G, B99, '환경부사업(F)'!W:W, B102)
  + COUNTIFS('프로젝트(G)'!C:C, $E$1, '프로젝트(G)'!G:G, B99, '프로젝트(G)'!W:W, B102)
  + COUNTIFS('협력사 EPC(H)'!C:C, $E$1, '협력사 EPC(H)'!G:G, B99, '협력사 EPC(H)'!W:W, B102)
  + COUNTIFS('기타(Z)'!C:C, $E$1, '기타(Z)'!G:G, B99, '기타(Z)'!W:W, B102)
  = 0,
  "",
  COUNTIFS('발전사업(A)'!C:C, $E$1, '발전사업(A)'!G:G, B99, '발전사업(A)'!W:W, B102)
  + COUNTIFS('자가소비(B)'!C:C, $E$1, '자가소비(B)'!G:G, B99, '자가소비(B)'!W:W, B102)
  + COUNTIFS('PPA 사업(C)'!C:C, $E$1, 'PPA 사업(C)'!G:G, B99, 'PPA 사업(C)'!W:W, B102)
  + COUNTIFS('리스사업(D)'!C:C, $E$1, '리스사업(D)'!G:G, B99, '리스사업(D)'!W:W, B102)
  + COUNTIFS('임대사업(E)'!C:C, $E$1, '임대사업(E)'!G:G, B99, '임대사업(E)'!W:W, B102)
  + COUNTIFS('환경부사업(F)'!C:C, $E$1, '환경부사업(F)'!G:G, B99, '환경부사업(F)'!W:W, B102)
  + COUNTIFS('프로젝트(G)'!C:C, $E$1, '프로젝트(G)'!G:G, B99, '프로젝트(G)'!W:W, B102)
  + COUNTIFS('협력사 EPC(H)'!C:C, $E$1, '협력사 EPC(H)'!G:G, B99, '협력사 EPC(H)'!W:W, B102)
  + COUNTIFS('기타(Z)'!C:C, $E$1, '기타(Z)'!G:G, B99, '기타(Z)'!W:W, B102)
)</f>
        <v>1</v>
      </c>
      <c r="E102" s="280">
        <f>IF(
  SUM(
    SUMIFS('발전사업(A)'!I:I, '발전사업(A)'!C:C, $E$1, '발전사업(A)'!G:G, B99, '발전사업(A)'!W:W, B102, '발전사업(A)'!U:U, $C$1),
    SUMIFS('자가소비(B)'!I:I, '자가소비(B)'!C:C, $E$1, '자가소비(B)'!G:G, B99, '자가소비(B)'!W:W, B102, '자가소비(B)'!U:U, $C$1),
    SUMIFS('PPA 사업(C)'!I:I, 'PPA 사업(C)'!C:C, $E$1, 'PPA 사업(C)'!G:G, B99, 'PPA 사업(C)'!W:W, B102, 'PPA 사업(C)'!U:U, $C$1),
    SUMIFS('리스사업(D)'!I:I, '리스사업(D)'!C:C, $E$1, '리스사업(D)'!G:G, B99, '리스사업(D)'!W:W, B102, '리스사업(D)'!U:U, $C$1),
    SUMIFS('임대사업(E)'!I:I, '임대사업(E)'!C:C, $E$1, '임대사업(E)'!G:G, B99, '임대사업(E)'!W:W, B102, '임대사업(E)'!U:U, $C$1),
    SUMIFS('환경부사업(F)'!I:I, '환경부사업(F)'!C:C, $E$1, '환경부사업(F)'!G:G, B99, '환경부사업(F)'!W:W, B102, '환경부사업(F)'!U:U, $C$1),
    SUMIFS('프로젝트(G)'!I:I, '프로젝트(G)'!C:C, $E$1, '프로젝트(G)'!G:G, B99, '프로젝트(G)'!W:W, B102, '프로젝트(G)'!U:U, $C$1),
    SUMIFS('협력사 EPC(H)'!I:I, '협력사 EPC(H)'!C:C, $E$1, '협력사 EPC(H)'!G:G, B99, '협력사 EPC(H)'!W:W, B102, '협력사 EPC(H)'!U:U, $C$1),
    SUMIFS('기타(Z)'!I:I, '기타(Z)'!C:C, $E$1, '기타(Z)'!G:G, B99, '기타(Z)'!W:W, B102, '기타(Z)'!U:U, $C$1)
  ) = 0,
  "",
  SUM(
    SUMIFS('발전사업(A)'!I:I, '발전사업(A)'!C:C, $E$1, '발전사업(A)'!G:G, B99, '발전사업(A)'!W:W, B102, '발전사업(A)'!U:U, $C$1),
    SUMIFS('자가소비(B)'!I:I, '자가소비(B)'!C:C, $E$1, '자가소비(B)'!G:G, B99, '자가소비(B)'!W:W, B102, '자가소비(B)'!U:U, $C$1),
    SUMIFS('PPA 사업(C)'!I:I, 'PPA 사업(C)'!C:C, $E$1, 'PPA 사업(C)'!G:G, B99, 'PPA 사업(C)'!W:W, B102, 'PPA 사업(C)'!U:U, $C$1),
    SUMIFS('리스사업(D)'!I:I, '리스사업(D)'!C:C, $E$1, '리스사업(D)'!G:G, B99, '리스사업(D)'!W:W, B102, '리스사업(D)'!U:U, $C$1),
    SUMIFS('임대사업(E)'!I:I, '임대사업(E)'!C:C, $E$1, '임대사업(E)'!G:G, B99, '임대사업(E)'!W:W, B102, '임대사업(E)'!U:U, $C$1),
    SUMIFS('환경부사업(F)'!I:I, '환경부사업(F)'!C:C, $E$1, '환경부사업(F)'!G:G, B99, '환경부사업(F)'!W:W, B102, '환경부사업(F)'!U:U, $C$1),
    SUMIFS('프로젝트(G)'!I:I, '프로젝트(G)'!C:C, $E$1, '프로젝트(G)'!G:G, B99, '프로젝트(G)'!W:W, B102, '프로젝트(G)'!U:U, $C$1),
    SUMIFS('협력사 EPC(H)'!I:I, '협력사 EPC(H)'!C:C, $E$1, '협력사 EPC(H)'!G:G, B99, '협력사 EPC(H)'!W:W, B102, '협력사 EPC(H)'!U:U, $C$1),
    SUMIFS('기타(Z)'!I:I, '기타(Z)'!C:C, $E$1, '기타(Z)'!G:G, B99, '기타(Z)'!W:W, B102, '기타(Z)'!U:U, $C$1)
  )
)</f>
        <v>111.36</v>
      </c>
      <c r="F102" s="281">
        <f>IF(
  SUM(
    COUNTIFS('발전사업(A)'!C:C, $E$1, '발전사업(A)'!G:G, B99, '발전사업(A)'!W:W, B102, '발전사업(A)'!U:U, $C$1),
    COUNTIFS('자가소비(B)'!C:C, $E$1, '자가소비(B)'!G:G, B99, '자가소비(B)'!W:W, B102, '자가소비(B)'!U:U, $C$1),
    COUNTIFS('PPA 사업(C)'!C:C, $E$1, 'PPA 사업(C)'!G:G, B99, 'PPA 사업(C)'!W:W, B102, 'PPA 사업(C)'!U:U, $C$1),
    COUNTIFS('리스사업(D)'!C:C, $E$1, '리스사업(D)'!G:G, B99, '리스사업(D)'!W:W, B102, '리스사업(D)'!U:U, $C$1),
    COUNTIFS('임대사업(E)'!C:C, $E$1, '임대사업(E)'!G:G, B99, '임대사업(E)'!W:W, B102, '임대사업(E)'!U:U, $C$1),
    COUNTIFS('환경부사업(F)'!C:C, $E$1, '환경부사업(F)'!G:G, B99, '환경부사업(F)'!W:W, B102, '환경부사업(F)'!U:U, $C$1),
    COUNTIFS('프로젝트(G)'!C:C, $E$1, '프로젝트(G)'!G:G, B99, '프로젝트(G)'!W:W, B102, '프로젝트(G)'!U:U, $C$1),
    COUNTIFS('협력사 EPC(H)'!C:C, $E$1, '협력사 EPC(H)'!G:G, B99, '협력사 EPC(H)'!W:W, B102, '협력사 EPC(H)'!U:U, $C$1),
    COUNTIFS('기타(Z)'!C:C, $E$1, '기타(Z)'!G:G, B99, '기타(Z)'!W:W, B102, '기타(Z)'!U:U, $C$1)
  ) = 0,
  "",
  SUM(
    COUNTIFS('발전사업(A)'!C:C, $E$1, '발전사업(A)'!G:G, B99, '발전사업(A)'!W:W, B102, '발전사업(A)'!U:U, $C$1),
    COUNTIFS('자가소비(B)'!C:C, $E$1, '자가소비(B)'!G:G, B99, '자가소비(B)'!W:W, B102, '자가소비(B)'!U:U, $C$1),
    COUNTIFS('PPA 사업(C)'!C:C, $E$1, 'PPA 사업(C)'!G:G, B99, 'PPA 사업(C)'!W:W, B102, 'PPA 사업(C)'!U:U, $C$1),
    COUNTIFS('리스사업(D)'!C:C, $E$1, '리스사업(D)'!G:G, B99, '리스사업(D)'!W:W, B102, '리스사업(D)'!U:U, $C$1),
    COUNTIFS('임대사업(E)'!C:C, $E$1, '임대사업(E)'!G:G, B99, '임대사업(E)'!W:W, B102, '임대사업(E)'!U:U, $C$1),
    COUNTIFS('환경부사업(F)'!C:C, $E$1, '환경부사업(F)'!G:G, B99, '환경부사업(F)'!W:W, B102, '환경부사업(F)'!U:U, $C$1),
    COUNTIFS('프로젝트(G)'!C:C, $E$1, '프로젝트(G)'!G:G, B99, '프로젝트(G)'!W:W, B102, '프로젝트(G)'!U:U, $C$1),
    COUNTIFS('협력사 EPC(H)'!C:C, $E$1, '협력사 EPC(H)'!G:G, B99, '협력사 EPC(H)'!W:W, B102, '협력사 EPC(H)'!U:U, $C$1),
    COUNTIFS('기타(Z)'!C:C, $E$1, '기타(Z)'!G:G, B99, '기타(Z)'!W:W, B102, '기타(Z)'!U:U, $C$1)
  )
)</f>
        <v>1</v>
      </c>
      <c r="G102" s="280" t="str">
        <f>IF(
  SUM(
    SUMIFS('발전사업(A)'!I:I, '발전사업(A)'!C:C, $E$1, '발전사업(A)'!G:G, B99, '발전사업(A)'!W:W, B102, '발전사업(A)'!U:U, $D$1),
    SUMIFS('자가소비(B)'!I:I, '자가소비(B)'!C:C, $E$1, '자가소비(B)'!G:G, B99, '자가소비(B)'!W:W, B102, '자가소비(B)'!U:U, $D$1),
    SUMIFS('PPA 사업(C)'!I:I, 'PPA 사업(C)'!C:C, $E$1, 'PPA 사업(C)'!G:G, B99, 'PPA 사업(C)'!W:W, B102, 'PPA 사업(C)'!U:U, $D$1),
    SUMIFS('리스사업(D)'!I:I, '리스사업(D)'!C:C, $E$1, '리스사업(D)'!G:G, B99, '리스사업(D)'!W:W, B102, '리스사업(D)'!U:U, $D$1),
    SUMIFS('임대사업(E)'!I:I, '임대사업(E)'!C:C, $E$1, '임대사업(E)'!G:G, B99, '임대사업(E)'!W:W, B102, '임대사업(E)'!U:U, $D$1),
    SUMIFS('환경부사업(F)'!I:I, '환경부사업(F)'!C:C, $E$1, '환경부사업(F)'!G:G, B99, '환경부사업(F)'!W:W, B102, '환경부사업(F)'!U:U, $D$1),
    SUMIFS('프로젝트(G)'!I:I, '프로젝트(G)'!C:C, $E$1, '프로젝트(G)'!G:G, B99, '프로젝트(G)'!W:W, B102, '프로젝트(G)'!U:U, $D$1),
    SUMIFS('협력사 EPC(H)'!I:I, '협력사 EPC(H)'!C:C, $E$1, '협력사 EPC(H)'!G:G, B99, '협력사 EPC(H)'!W:W, B102, '협력사 EPC(H)'!U:U, $D$1),
    SUMIFS('기타(Z)'!I:I, '기타(Z)'!C:C, $E$1, '기타(Z)'!G:G, B99, '기타(Z)'!W:W, B102, '기타(Z)'!U:U, $D$1)
  ) = 0,
  "",
  SUM(
    SUMIFS('발전사업(A)'!I:I, '발전사업(A)'!C:C, $E$1, '발전사업(A)'!G:G, B99, '발전사업(A)'!W:W, B102, '발전사업(A)'!U:U, $D$1),
    SUMIFS('자가소비(B)'!I:I, '자가소비(B)'!C:C, $E$1, '자가소비(B)'!G:G, B99, '자가소비(B)'!W:W, B102, '자가소비(B)'!U:U, $D$1),
    SUMIFS('PPA 사업(C)'!I:I, 'PPA 사업(C)'!C:C, $E$1, 'PPA 사업(C)'!G:G, B99, 'PPA 사업(C)'!W:W, B102, 'PPA 사업(C)'!U:U, $D$1),
    SUMIFS('리스사업(D)'!I:I, '리스사업(D)'!C:C, $E$1, '리스사업(D)'!G:G, B99, '리스사업(D)'!W:W, B102, '리스사업(D)'!U:U, $D$1),
    SUMIFS('임대사업(E)'!I:I, '임대사업(E)'!C:C, $E$1, '임대사업(E)'!G:G, B99, '임대사업(E)'!W:W, B102, '임대사업(E)'!U:U, $D$1),
    SUMIFS('환경부사업(F)'!I:I, '환경부사업(F)'!C:C, $E$1, '환경부사업(F)'!G:G, B99, '환경부사업(F)'!W:W, B102, '환경부사업(F)'!U:U, $D$1),
    SUMIFS('프로젝트(G)'!I:I, '프로젝트(G)'!C:C, $E$1, '프로젝트(G)'!G:G, B99, '프로젝트(G)'!W:W, B102, '프로젝트(G)'!U:U, $D$1),
    SUMIFS('협력사 EPC(H)'!I:I, '협력사 EPC(H)'!C:C, $E$1, '협력사 EPC(H)'!G:G, B99, '협력사 EPC(H)'!W:W, B102, '협력사 EPC(H)'!U:U, $D$1),
    SUMIFS('기타(Z)'!I:I, '기타(Z)'!C:C, $E$1, '기타(Z)'!G:G, B99, '기타(Z)'!W:W, B102, '기타(Z)'!U:U, $D$1)
  )
)</f>
        <v/>
      </c>
      <c r="H102" s="281" t="str">
        <f>IF(
  (
    COUNTIFS('발전사업(A)'!C:C, $E$1, '발전사업(A)'!G:G, B99, '발전사업(A)'!W:W, B102, '발전사업(A)'!U:U, $D$1)
    + COUNTIFS('자가소비(B)'!C:C, $E$1, '자가소비(B)'!G:G, B99, '자가소비(B)'!W:W, B102, '자가소비(B)'!U:U, $D$1)
    + COUNTIFS('PPA 사업(C)'!C:C, $E$1, 'PPA 사업(C)'!G:G, B99, 'PPA 사업(C)'!W:W, B102, 'PPA 사업(C)'!U:U, $D$1)
    + COUNTIFS('리스사업(D)'!C:C, $E$1, '리스사업(D)'!G:G, B99, '리스사업(D)'!W:W, B102, '리스사업(D)'!U:U, $D$1)
    + COUNTIFS('임대사업(E)'!C:C, $E$1, '임대사업(E)'!G:G, B99, '임대사업(E)'!W:W, B102, '임대사업(E)'!U:U, $D$1)
    + COUNTIFS('환경부사업(F)'!C:C, $E$1, '환경부사업(F)'!G:G, B99, '환경부사업(F)'!W:W, B102, '환경부사업(F)'!U:U, $D$1)
    + COUNTIFS('프로젝트(G)'!C:C, $E$1, '프로젝트(G)'!G:G, B99, '프로젝트(G)'!W:W, B102, '프로젝트(G)'!U:U, $D$1)
    + COUNTIFS('협력사 EPC(H)'!C:C, $E$1, '협력사 EPC(H)'!G:G, B99, '협력사 EPC(H)'!W:W, B102, '협력사 EPC(H)'!U:U, $D$1)
    + COUNTIFS('기타(Z)'!C:C, $E$1, '기타(Z)'!G:G, B99, '기타(Z)'!W:W, B102, '기타(Z)'!U:U, $D$1)
  ) = 0,
  "",
  COUNTIFS('발전사업(A)'!C:C, $E$1, '발전사업(A)'!G:G, B99, '발전사업(A)'!W:W, B102, '발전사업(A)'!U:U, $D$1)
  + COUNTIFS('자가소비(B)'!C:C, $E$1, '자가소비(B)'!G:G, B99, '자가소비(B)'!W:W, B102, '자가소비(B)'!U:U, $D$1)
  + COUNTIFS('PPA 사업(C)'!C:C, $E$1, 'PPA 사업(C)'!G:G, B99, 'PPA 사업(C)'!W:W, B102, 'PPA 사업(C)'!U:U, $D$1)
  + COUNTIFS('리스사업(D)'!C:C, $E$1, '리스사업(D)'!G:G, B99, '리스사업(D)'!W:W, B102, '리스사업(D)'!U:U, $D$1)
  + COUNTIFS('임대사업(E)'!C:C, $E$1, '임대사업(E)'!G:G, B99, '임대사업(E)'!W:W, B102, '임대사업(E)'!U:U, $D$1)
  + COUNTIFS('환경부사업(F)'!C:C, $E$1, '환경부사업(F)'!G:G, B99, '환경부사업(F)'!W:W, B102, '환경부사업(F)'!U:U, $D$1)
  + COUNTIFS('프로젝트(G)'!C:C, $E$1, '프로젝트(G)'!G:G, B99, '프로젝트(G)'!W:W, B102, '프로젝트(G)'!U:U, $D$1)
  + COUNTIFS('협력사 EPC(H)'!C:C, $E$1, '협력사 EPC(H)'!G:G, B99, '협력사 EPC(H)'!W:W, B102, '협력사 EPC(H)'!U:U, $D$1)
  + COUNTIFS('기타(Z)'!C:C, $E$1, '기타(Z)'!G:G, B99, '기타(Z)'!W:W, B102, '기타(Z)'!U:U, $D$1)
)</f>
        <v/>
      </c>
    </row>
    <row r="103" spans="2:8" x14ac:dyDescent="0.25">
      <c r="B103" s="202" t="s">
        <v>261</v>
      </c>
      <c r="C103" s="280">
        <f>IF(
  SUM(
    SUMIFS('발전사업(A)'!I:I, '발전사업(A)'!C:C, $E$1, '발전사업(A)'!G:G, B99, '발전사업(A)'!W:W, B103),
    SUMIFS('자가소비(B)'!I:I, '자가소비(B)'!C:C, $E$1, '자가소비(B)'!G:G, B99, '자가소비(B)'!W:W, B103),
    SUMIFS('PPA 사업(C)'!I:I, 'PPA 사업(C)'!C:C, $E$1, 'PPA 사업(C)'!G:G, B99, 'PPA 사업(C)'!W:W, B103),
    SUMIFS('리스사업(D)'!I:I, '리스사업(D)'!C:C, $E$1, '리스사업(D)'!G:G, B99, '리스사업(D)'!W:W, B103),
    SUMIFS('임대사업(E)'!I:I, '임대사업(E)'!C:C, $E$1, '임대사업(E)'!G:G, B99, '임대사업(E)'!W:W, B103),
    SUMIFS('환경부사업(F)'!I:I, '환경부사업(F)'!C:C, $E$1, '환경부사업(F)'!G:G, B99, '환경부사업(F)'!W:W, B103),
    SUMIFS('프로젝트(G)'!I:I, '프로젝트(G)'!C:C, $E$1, '프로젝트(G)'!G:G, B99, '프로젝트(G)'!W:W, B103),
    SUMIFS('협력사 EPC(H)'!I:I, '협력사 EPC(H)'!C:C, $E$1, '협력사 EPC(H)'!G:G, B99, '협력사 EPC(H)'!W:W, B103),
    SUMIFS('기타(Z)'!I:I, '기타(Z)'!C:C, $E$1, '기타(Z)'!G:G, B99, '기타(Z)'!W:W, B103)
  ) = 0,
  "",
  SUMIFS('발전사업(A)'!I:I, '발전사업(A)'!C:C, $E$1, '발전사업(A)'!G:G, B99, '발전사업(A)'!W:W, B103)
  + SUMIFS('자가소비(B)'!I:I, '자가소비(B)'!C:C, $E$1, '자가소비(B)'!G:G, B99, '자가소비(B)'!W:W, B103)
  + SUMIFS('PPA 사업(C)'!I:I, 'PPA 사업(C)'!C:C, $E$1, 'PPA 사업(C)'!G:G, B99, 'PPA 사업(C)'!W:W, B103)
  + SUMIFS('리스사업(D)'!I:I, '리스사업(D)'!C:C, $E$1, '리스사업(D)'!G:G, B99, '리스사업(D)'!W:W, B103)
  + SUMIFS('임대사업(E)'!I:I, '임대사업(E)'!C:C, $E$1, '임대사업(E)'!G:G, B99, '임대사업(E)'!W:W, B103)
  + SUMIFS('환경부사업(F)'!I:I, '환경부사업(F)'!C:C, $E$1, '환경부사업(F)'!G:G, B99, '환경부사업(F)'!W:W, B103)
  + SUMIFS('프로젝트(G)'!I:I, '프로젝트(G)'!C:C, $E$1, '프로젝트(G)'!G:G, B99, '프로젝트(G)'!W:W, B103)
  + SUMIFS('협력사 EPC(H)'!I:I, '협력사 EPC(H)'!C:C, $E$1, '협력사 EPC(H)'!G:G, B99, '협력사 EPC(H)'!W:W, B103)
  + SUMIFS('기타(Z)'!I:I, '기타(Z)'!C:C, $E$1, '기타(Z)'!G:G, B99, '기타(Z)'!W:W, B103)
)</f>
        <v>74.174999999999997</v>
      </c>
      <c r="D103" s="281">
        <f>IF(
  COUNTIFS('발전사업(A)'!C:C, $E$1, '발전사업(A)'!G:G, B99, '발전사업(A)'!W:W, B103)
  + COUNTIFS('자가소비(B)'!C:C, $E$1, '자가소비(B)'!G:G, B99, '자가소비(B)'!W:W, B103)
  + COUNTIFS('PPA 사업(C)'!C:C, $E$1, 'PPA 사업(C)'!G:G, B99, 'PPA 사업(C)'!W:W, B103)
  + COUNTIFS('리스사업(D)'!C:C, $E$1, '리스사업(D)'!G:G, B99, '리스사업(D)'!W:W, B103)
  + COUNTIFS('임대사업(E)'!C:C, $E$1, '임대사업(E)'!G:G, B99, '임대사업(E)'!W:W, B103)
  + COUNTIFS('환경부사업(F)'!C:C, $E$1, '환경부사업(F)'!G:G, B99, '환경부사업(F)'!W:W, B103)
  + COUNTIFS('프로젝트(G)'!C:C, $E$1, '프로젝트(G)'!G:G, B99, '프로젝트(G)'!W:W, B103)
  + COUNTIFS('협력사 EPC(H)'!C:C, $E$1, '협력사 EPC(H)'!G:G, B99, '협력사 EPC(H)'!W:W, B103)
  + COUNTIFS('기타(Z)'!C:C, $E$1, '기타(Z)'!G:G, B99, '기타(Z)'!W:W, B103)
  = 0,
  "",
  COUNTIFS('발전사업(A)'!C:C, $E$1, '발전사업(A)'!G:G, B99, '발전사업(A)'!W:W, B103)
  + COUNTIFS('자가소비(B)'!C:C, $E$1, '자가소비(B)'!G:G, B99, '자가소비(B)'!W:W, B103)
  + COUNTIFS('PPA 사업(C)'!C:C, $E$1, 'PPA 사업(C)'!G:G, B99, 'PPA 사업(C)'!W:W, B103)
  + COUNTIFS('리스사업(D)'!C:C, $E$1, '리스사업(D)'!G:G, B99, '리스사업(D)'!W:W, B103)
  + COUNTIFS('임대사업(E)'!C:C, $E$1, '임대사업(E)'!G:G, B99, '임대사업(E)'!W:W, B103)
  + COUNTIFS('환경부사업(F)'!C:C, $E$1, '환경부사업(F)'!G:G, B99, '환경부사업(F)'!W:W, B103)
  + COUNTIFS('프로젝트(G)'!C:C, $E$1, '프로젝트(G)'!G:G, B99, '프로젝트(G)'!W:W, B103)
  + COUNTIFS('협력사 EPC(H)'!C:C, $E$1, '협력사 EPC(H)'!G:G, B99, '협력사 EPC(H)'!W:W, B103)
  + COUNTIFS('기타(Z)'!C:C, $E$1, '기타(Z)'!G:G, B99, '기타(Z)'!W:W, B103)
)</f>
        <v>1</v>
      </c>
      <c r="E103" s="280">
        <f>IF(
  SUM(
    SUMIFS('발전사업(A)'!I:I, '발전사업(A)'!C:C, $E$1, '발전사업(A)'!G:G, B99, '발전사업(A)'!W:W, B103, '발전사업(A)'!U:U, $C$1),
    SUMIFS('자가소비(B)'!I:I, '자가소비(B)'!C:C, $E$1, '자가소비(B)'!G:G, B99, '자가소비(B)'!W:W, B103, '자가소비(B)'!U:U, $C$1),
    SUMIFS('PPA 사업(C)'!I:I, 'PPA 사업(C)'!C:C, $E$1, 'PPA 사업(C)'!G:G, B99, 'PPA 사업(C)'!W:W, B103, 'PPA 사업(C)'!U:U, $C$1),
    SUMIFS('리스사업(D)'!I:I, '리스사업(D)'!C:C, $E$1, '리스사업(D)'!G:G, B99, '리스사업(D)'!W:W, B103, '리스사업(D)'!U:U, $C$1),
    SUMIFS('임대사업(E)'!I:I, '임대사업(E)'!C:C, $E$1, '임대사업(E)'!G:G, B99, '임대사업(E)'!W:W, B103, '임대사업(E)'!U:U, $C$1),
    SUMIFS('환경부사업(F)'!I:I, '환경부사업(F)'!C:C, $E$1, '환경부사업(F)'!G:G, B99, '환경부사업(F)'!W:W, B103, '환경부사업(F)'!U:U, $C$1),
    SUMIFS('프로젝트(G)'!I:I, '프로젝트(G)'!C:C, $E$1, '프로젝트(G)'!G:G, B99, '프로젝트(G)'!W:W, B103, '프로젝트(G)'!U:U, $C$1),
    SUMIFS('협력사 EPC(H)'!I:I, '협력사 EPC(H)'!C:C, $E$1, '협력사 EPC(H)'!G:G, B99, '협력사 EPC(H)'!W:W, B103, '협력사 EPC(H)'!U:U, $C$1),
    SUMIFS('기타(Z)'!I:I, '기타(Z)'!C:C, $E$1, '기타(Z)'!G:G, B99, '기타(Z)'!W:W, B103, '기타(Z)'!U:U, $C$1)
  ) = 0,
  "",
  SUM(
    SUMIFS('발전사업(A)'!I:I, '발전사업(A)'!C:C, $E$1, '발전사업(A)'!G:G, B99, '발전사업(A)'!W:W, B103, '발전사업(A)'!U:U, $C$1),
    SUMIFS('자가소비(B)'!I:I, '자가소비(B)'!C:C, $E$1, '자가소비(B)'!G:G, B99, '자가소비(B)'!W:W, B103, '자가소비(B)'!U:U, $C$1),
    SUMIFS('PPA 사업(C)'!I:I, 'PPA 사업(C)'!C:C, $E$1, 'PPA 사업(C)'!G:G, B99, 'PPA 사업(C)'!W:W, B103, 'PPA 사업(C)'!U:U, $C$1),
    SUMIFS('리스사업(D)'!I:I, '리스사업(D)'!C:C, $E$1, '리스사업(D)'!G:G, B99, '리스사업(D)'!W:W, B103, '리스사업(D)'!U:U, $C$1),
    SUMIFS('임대사업(E)'!I:I, '임대사업(E)'!C:C, $E$1, '임대사업(E)'!G:G, B99, '임대사업(E)'!W:W, B103, '임대사업(E)'!U:U, $C$1),
    SUMIFS('환경부사업(F)'!I:I, '환경부사업(F)'!C:C, $E$1, '환경부사업(F)'!G:G, B99, '환경부사업(F)'!W:W, B103, '환경부사업(F)'!U:U, $C$1),
    SUMIFS('프로젝트(G)'!I:I, '프로젝트(G)'!C:C, $E$1, '프로젝트(G)'!G:G, B99, '프로젝트(G)'!W:W, B103, '프로젝트(G)'!U:U, $C$1),
    SUMIFS('협력사 EPC(H)'!I:I, '협력사 EPC(H)'!C:C, $E$1, '협력사 EPC(H)'!G:G, B99, '협력사 EPC(H)'!W:W, B103, '협력사 EPC(H)'!U:U, $C$1),
    SUMIFS('기타(Z)'!I:I, '기타(Z)'!C:C, $E$1, '기타(Z)'!G:G, B99, '기타(Z)'!W:W, B103, '기타(Z)'!U:U, $C$1)
  )
)</f>
        <v>74.174999999999997</v>
      </c>
      <c r="F103" s="281">
        <f>IF(
  SUM(
    COUNTIFS('발전사업(A)'!C:C, $E$1, '발전사업(A)'!G:G, B99, '발전사업(A)'!W:W, B103, '발전사업(A)'!U:U, $C$1),
    COUNTIFS('자가소비(B)'!C:C, $E$1, '자가소비(B)'!G:G, B99, '자가소비(B)'!W:W, B103, '자가소비(B)'!U:U, $C$1),
    COUNTIFS('PPA 사업(C)'!C:C, $E$1, 'PPA 사업(C)'!G:G, B99, 'PPA 사업(C)'!W:W, B103, 'PPA 사업(C)'!U:U, $C$1),
    COUNTIFS('리스사업(D)'!C:C, $E$1, '리스사업(D)'!G:G, B99, '리스사업(D)'!W:W, B103, '리스사업(D)'!U:U, $C$1),
    COUNTIFS('임대사업(E)'!C:C, $E$1, '임대사업(E)'!G:G, B99, '임대사업(E)'!W:W, B103, '임대사업(E)'!U:U, $C$1),
    COUNTIFS('환경부사업(F)'!C:C, $E$1, '환경부사업(F)'!G:G, B99, '환경부사업(F)'!W:W, B103, '환경부사업(F)'!U:U, $C$1),
    COUNTIFS('프로젝트(G)'!C:C, $E$1, '프로젝트(G)'!G:G, B99, '프로젝트(G)'!W:W, B103, '프로젝트(G)'!U:U, $C$1),
    COUNTIFS('협력사 EPC(H)'!C:C, $E$1, '협력사 EPC(H)'!G:G, B99, '협력사 EPC(H)'!W:W, B103, '협력사 EPC(H)'!U:U, $C$1),
    COUNTIFS('기타(Z)'!C:C, $E$1, '기타(Z)'!G:G, B99, '기타(Z)'!W:W, B103, '기타(Z)'!U:U, $C$1)
  ) = 0,
  "",
  SUM(
    COUNTIFS('발전사업(A)'!C:C, $E$1, '발전사업(A)'!G:G, B99, '발전사업(A)'!W:W, B103, '발전사업(A)'!U:U, $C$1),
    COUNTIFS('자가소비(B)'!C:C, $E$1, '자가소비(B)'!G:G, B99, '자가소비(B)'!W:W, B103, '자가소비(B)'!U:U, $C$1),
    COUNTIFS('PPA 사업(C)'!C:C, $E$1, 'PPA 사업(C)'!G:G, B99, 'PPA 사업(C)'!W:W, B103, 'PPA 사업(C)'!U:U, $C$1),
    COUNTIFS('리스사업(D)'!C:C, $E$1, '리스사업(D)'!G:G, B99, '리스사업(D)'!W:W, B103, '리스사업(D)'!U:U, $C$1),
    COUNTIFS('임대사업(E)'!C:C, $E$1, '임대사업(E)'!G:G, B99, '임대사업(E)'!W:W, B103, '임대사업(E)'!U:U, $C$1),
    COUNTIFS('환경부사업(F)'!C:C, $E$1, '환경부사업(F)'!G:G, B99, '환경부사업(F)'!W:W, B103, '환경부사업(F)'!U:U, $C$1),
    COUNTIFS('프로젝트(G)'!C:C, $E$1, '프로젝트(G)'!G:G, B99, '프로젝트(G)'!W:W, B103, '프로젝트(G)'!U:U, $C$1),
    COUNTIFS('협력사 EPC(H)'!C:C, $E$1, '협력사 EPC(H)'!G:G, B99, '협력사 EPC(H)'!W:W, B103, '협력사 EPC(H)'!U:U, $C$1),
    COUNTIFS('기타(Z)'!C:C, $E$1, '기타(Z)'!G:G, B99, '기타(Z)'!W:W, B103, '기타(Z)'!U:U, $C$1)
  )
)</f>
        <v>1</v>
      </c>
      <c r="G103" s="280" t="str">
        <f>IF(
  SUM(
    SUMIFS('발전사업(A)'!I:I, '발전사업(A)'!C:C, $E$1, '발전사업(A)'!G:G, B99, '발전사업(A)'!W:W, B103, '발전사업(A)'!U:U, $D$1),
    SUMIFS('자가소비(B)'!I:I, '자가소비(B)'!C:C, $E$1, '자가소비(B)'!G:G, B99, '자가소비(B)'!W:W, B103, '자가소비(B)'!U:U, $D$1),
    SUMIFS('PPA 사업(C)'!I:I, 'PPA 사업(C)'!C:C, $E$1, 'PPA 사업(C)'!G:G, B99, 'PPA 사업(C)'!W:W, B103, 'PPA 사업(C)'!U:U, $D$1),
    SUMIFS('리스사업(D)'!I:I, '리스사업(D)'!C:C, $E$1, '리스사업(D)'!G:G, B99, '리스사업(D)'!W:W, B103, '리스사업(D)'!U:U, $D$1),
    SUMIFS('임대사업(E)'!I:I, '임대사업(E)'!C:C, $E$1, '임대사업(E)'!G:G, B99, '임대사업(E)'!W:W, B103, '임대사업(E)'!U:U, $D$1),
    SUMIFS('환경부사업(F)'!I:I, '환경부사업(F)'!C:C, $E$1, '환경부사업(F)'!G:G, B99, '환경부사업(F)'!W:W, B103, '환경부사업(F)'!U:U, $D$1),
    SUMIFS('프로젝트(G)'!I:I, '프로젝트(G)'!C:C, $E$1, '프로젝트(G)'!G:G, B99, '프로젝트(G)'!W:W, B103, '프로젝트(G)'!U:U, $D$1),
    SUMIFS('협력사 EPC(H)'!I:I, '협력사 EPC(H)'!C:C, $E$1, '협력사 EPC(H)'!G:G, B99, '협력사 EPC(H)'!W:W, B103, '협력사 EPC(H)'!U:U, $D$1),
    SUMIFS('기타(Z)'!I:I, '기타(Z)'!C:C, $E$1, '기타(Z)'!G:G, B99, '기타(Z)'!W:W, B103, '기타(Z)'!U:U, $D$1)
  ) = 0,
  "",
  SUM(
    SUMIFS('발전사업(A)'!I:I, '발전사업(A)'!C:C, $E$1, '발전사업(A)'!G:G, B99, '발전사업(A)'!W:W, B103, '발전사업(A)'!U:U, $D$1),
    SUMIFS('자가소비(B)'!I:I, '자가소비(B)'!C:C, $E$1, '자가소비(B)'!G:G, B99, '자가소비(B)'!W:W, B103, '자가소비(B)'!U:U, $D$1),
    SUMIFS('PPA 사업(C)'!I:I, 'PPA 사업(C)'!C:C, $E$1, 'PPA 사업(C)'!G:G, B99, 'PPA 사업(C)'!W:W, B103, 'PPA 사업(C)'!U:U, $D$1),
    SUMIFS('리스사업(D)'!I:I, '리스사업(D)'!C:C, $E$1, '리스사업(D)'!G:G, B99, '리스사업(D)'!W:W, B103, '리스사업(D)'!U:U, $D$1),
    SUMIFS('임대사업(E)'!I:I, '임대사업(E)'!C:C, $E$1, '임대사업(E)'!G:G, B99, '임대사업(E)'!W:W, B103, '임대사업(E)'!U:U, $D$1),
    SUMIFS('환경부사업(F)'!I:I, '환경부사업(F)'!C:C, $E$1, '환경부사업(F)'!G:G, B99, '환경부사업(F)'!W:W, B103, '환경부사업(F)'!U:U, $D$1),
    SUMIFS('프로젝트(G)'!I:I, '프로젝트(G)'!C:C, $E$1, '프로젝트(G)'!G:G, B99, '프로젝트(G)'!W:W, B103, '프로젝트(G)'!U:U, $D$1),
    SUMIFS('협력사 EPC(H)'!I:I, '협력사 EPC(H)'!C:C, $E$1, '협력사 EPC(H)'!G:G, B99, '협력사 EPC(H)'!W:W, B103, '협력사 EPC(H)'!U:U, $D$1),
    SUMIFS('기타(Z)'!I:I, '기타(Z)'!C:C, $E$1, '기타(Z)'!G:G, B99, '기타(Z)'!W:W, B103, '기타(Z)'!U:U, $D$1)
  )
)</f>
        <v/>
      </c>
      <c r="H103" s="281" t="str">
        <f>IF(
  (
    COUNTIFS('발전사업(A)'!C:C, $E$1, '발전사업(A)'!G:G, B99, '발전사업(A)'!W:W, B103, '발전사업(A)'!U:U, $D$1)
    + COUNTIFS('자가소비(B)'!C:C, $E$1, '자가소비(B)'!G:G, B99, '자가소비(B)'!W:W, B103, '자가소비(B)'!U:U, $D$1)
    + COUNTIFS('PPA 사업(C)'!C:C, $E$1, 'PPA 사업(C)'!G:G, B99, 'PPA 사업(C)'!W:W, B103, 'PPA 사업(C)'!U:U, $D$1)
    + COUNTIFS('리스사업(D)'!C:C, $E$1, '리스사업(D)'!G:G, B99, '리스사업(D)'!W:W, B103, '리스사업(D)'!U:U, $D$1)
    + COUNTIFS('임대사업(E)'!C:C, $E$1, '임대사업(E)'!G:G, B99, '임대사업(E)'!W:W, B103, '임대사업(E)'!U:U, $D$1)
    + COUNTIFS('환경부사업(F)'!C:C, $E$1, '환경부사업(F)'!G:G, B99, '환경부사업(F)'!W:W, B103, '환경부사업(F)'!U:U, $D$1)
    + COUNTIFS('프로젝트(G)'!C:C, $E$1, '프로젝트(G)'!G:G, B99, '프로젝트(G)'!W:W, B103, '프로젝트(G)'!U:U, $D$1)
    + COUNTIFS('협력사 EPC(H)'!C:C, $E$1, '협력사 EPC(H)'!G:G, B99, '협력사 EPC(H)'!W:W, B103, '협력사 EPC(H)'!U:U, $D$1)
    + COUNTIFS('기타(Z)'!C:C, $E$1, '기타(Z)'!G:G, B99, '기타(Z)'!W:W, B103, '기타(Z)'!U:U, $D$1)
  ) = 0,
  "",
  COUNTIFS('발전사업(A)'!C:C, $E$1, '발전사업(A)'!G:G, B99, '발전사업(A)'!W:W, B103, '발전사업(A)'!U:U, $D$1)
  + COUNTIFS('자가소비(B)'!C:C, $E$1, '자가소비(B)'!G:G, B99, '자가소비(B)'!W:W, B103, '자가소비(B)'!U:U, $D$1)
  + COUNTIFS('PPA 사업(C)'!C:C, $E$1, 'PPA 사업(C)'!G:G, B99, 'PPA 사업(C)'!W:W, B103, 'PPA 사업(C)'!U:U, $D$1)
  + COUNTIFS('리스사업(D)'!C:C, $E$1, '리스사업(D)'!G:G, B99, '리스사업(D)'!W:W, B103, '리스사업(D)'!U:U, $D$1)
  + COUNTIFS('임대사업(E)'!C:C, $E$1, '임대사업(E)'!G:G, B99, '임대사업(E)'!W:W, B103, '임대사업(E)'!U:U, $D$1)
  + COUNTIFS('환경부사업(F)'!C:C, $E$1, '환경부사업(F)'!G:G, B99, '환경부사업(F)'!W:W, B103, '환경부사업(F)'!U:U, $D$1)
  + COUNTIFS('프로젝트(G)'!C:C, $E$1, '프로젝트(G)'!G:G, B99, '프로젝트(G)'!W:W, B103, '프로젝트(G)'!U:U, $D$1)
  + COUNTIFS('협력사 EPC(H)'!C:C, $E$1, '협력사 EPC(H)'!G:G, B99, '협력사 EPC(H)'!W:W, B103, '협력사 EPC(H)'!U:U, $D$1)
  + COUNTIFS('기타(Z)'!C:C, $E$1, '기타(Z)'!G:G, B99, '기타(Z)'!W:W, B103, '기타(Z)'!U:U, $D$1)
)</f>
        <v/>
      </c>
    </row>
    <row r="104" spans="2:8" x14ac:dyDescent="0.25">
      <c r="B104" s="202" t="s">
        <v>262</v>
      </c>
      <c r="C104" s="280">
        <f>IF(
  SUM(
    SUMIFS('발전사업(A)'!I:I, '발전사업(A)'!C:C, $E$1, '발전사업(A)'!G:G, B99, '발전사업(A)'!W:W, B104),
    SUMIFS('자가소비(B)'!I:I, '자가소비(B)'!C:C, $E$1, '자가소비(B)'!G:G, B99, '자가소비(B)'!W:W, B104),
    SUMIFS('PPA 사업(C)'!I:I, 'PPA 사업(C)'!C:C, $E$1, 'PPA 사업(C)'!G:G, B99, 'PPA 사업(C)'!W:W, B104),
    SUMIFS('리스사업(D)'!I:I, '리스사업(D)'!C:C, $E$1, '리스사업(D)'!G:G, B99, '리스사업(D)'!W:W, B104),
    SUMIFS('임대사업(E)'!I:I, '임대사업(E)'!C:C, $E$1, '임대사업(E)'!G:G, B99, '임대사업(E)'!W:W, B104),
    SUMIFS('환경부사업(F)'!I:I, '환경부사업(F)'!C:C, $E$1, '환경부사업(F)'!G:G, B99, '환경부사업(F)'!W:W, B104),
    SUMIFS('프로젝트(G)'!I:I, '프로젝트(G)'!C:C, $E$1, '프로젝트(G)'!G:G, B99, '프로젝트(G)'!W:W, B104),
    SUMIFS('협력사 EPC(H)'!I:I, '협력사 EPC(H)'!C:C, $E$1, '협력사 EPC(H)'!G:G, B99, '협력사 EPC(H)'!W:W, B104),
    SUMIFS('기타(Z)'!I:I, '기타(Z)'!C:C, $E$1, '기타(Z)'!G:G, B99, '기타(Z)'!W:W, B104)
  ) = 0,
  "",
  SUMIFS('발전사업(A)'!I:I, '발전사업(A)'!C:C, $E$1, '발전사업(A)'!G:G, B99, '발전사업(A)'!W:W, B104)
  + SUMIFS('자가소비(B)'!I:I, '자가소비(B)'!C:C, $E$1, '자가소비(B)'!G:G, B99, '자가소비(B)'!W:W, B104)
  + SUMIFS('PPA 사업(C)'!I:I, 'PPA 사업(C)'!C:C, $E$1, 'PPA 사업(C)'!G:G, B99, 'PPA 사업(C)'!W:W, B104)
  + SUMIFS('리스사업(D)'!I:I, '리스사업(D)'!C:C, $E$1, '리스사업(D)'!G:G, B99, '리스사업(D)'!W:W, B104)
  + SUMIFS('임대사업(E)'!I:I, '임대사업(E)'!C:C, $E$1, '임대사업(E)'!G:G, B99, '임대사업(E)'!W:W, B104)
  + SUMIFS('환경부사업(F)'!I:I, '환경부사업(F)'!C:C, $E$1, '환경부사업(F)'!G:G, B99, '환경부사업(F)'!W:W, B104)
  + SUMIFS('프로젝트(G)'!I:I, '프로젝트(G)'!C:C, $E$1, '프로젝트(G)'!G:G, B99, '프로젝트(G)'!W:W, B104)
  + SUMIFS('협력사 EPC(H)'!I:I, '협력사 EPC(H)'!C:C, $E$1, '협력사 EPC(H)'!G:G, B99, '협력사 EPC(H)'!W:W, B104)
  + SUMIFS('기타(Z)'!I:I, '기타(Z)'!C:C, $E$1, '기타(Z)'!G:G, B99, '기타(Z)'!W:W, B104)
)</f>
        <v>108.80000000000001</v>
      </c>
      <c r="D104" s="281">
        <f>IF(
  COUNTIFS('발전사업(A)'!C:C, $E$1, '발전사업(A)'!G:G, B99, '발전사업(A)'!W:W, B104)
  + COUNTIFS('자가소비(B)'!C:C, $E$1, '자가소비(B)'!G:G, B99, '자가소비(B)'!W:W, B104)
  + COUNTIFS('PPA 사업(C)'!C:C, $E$1, 'PPA 사업(C)'!G:G, B99, 'PPA 사업(C)'!W:W, B104)
  + COUNTIFS('리스사업(D)'!C:C, $E$1, '리스사업(D)'!G:G, B99, '리스사업(D)'!W:W, B104)
  + COUNTIFS('임대사업(E)'!C:C, $E$1, '임대사업(E)'!G:G, B99, '임대사업(E)'!W:W, B104)
  + COUNTIFS('환경부사업(F)'!C:C, $E$1, '환경부사업(F)'!G:G, B99, '환경부사업(F)'!W:W, B104)
  + COUNTIFS('프로젝트(G)'!C:C, $E$1, '프로젝트(G)'!G:G, B99, '프로젝트(G)'!W:W, B104)
  + COUNTIFS('협력사 EPC(H)'!C:C, $E$1, '협력사 EPC(H)'!G:G, B99, '협력사 EPC(H)'!W:W, B104)
  + COUNTIFS('기타(Z)'!C:C, $E$1, '기타(Z)'!G:G, B99, '기타(Z)'!W:W, B104)
  = 0,
  "",
  COUNTIFS('발전사업(A)'!C:C, $E$1, '발전사업(A)'!G:G, B99, '발전사업(A)'!W:W, B104)
  + COUNTIFS('자가소비(B)'!C:C, $E$1, '자가소비(B)'!G:G, B99, '자가소비(B)'!W:W, B104)
  + COUNTIFS('PPA 사업(C)'!C:C, $E$1, 'PPA 사업(C)'!G:G, B99, 'PPA 사업(C)'!W:W, B104)
  + COUNTIFS('리스사업(D)'!C:C, $E$1, '리스사업(D)'!G:G, B99, '리스사업(D)'!W:W, B104)
  + COUNTIFS('임대사업(E)'!C:C, $E$1, '임대사업(E)'!G:G, B99, '임대사업(E)'!W:W, B104)
  + COUNTIFS('환경부사업(F)'!C:C, $E$1, '환경부사업(F)'!G:G, B99, '환경부사업(F)'!W:W, B104)
  + COUNTIFS('프로젝트(G)'!C:C, $E$1, '프로젝트(G)'!G:G, B99, '프로젝트(G)'!W:W, B104)
  + COUNTIFS('협력사 EPC(H)'!C:C, $E$1, '협력사 EPC(H)'!G:G, B99, '협력사 EPC(H)'!W:W, B104)
  + COUNTIFS('기타(Z)'!C:C, $E$1, '기타(Z)'!G:G, B99, '기타(Z)'!W:W, B104)
)</f>
        <v>2</v>
      </c>
      <c r="E104" s="280">
        <f>IF(
  SUM(
    SUMIFS('발전사업(A)'!I:I, '발전사업(A)'!C:C, $E$1, '발전사업(A)'!G:G, B99, '발전사업(A)'!W:W, B104, '발전사업(A)'!U:U, $C$1),
    SUMIFS('자가소비(B)'!I:I, '자가소비(B)'!C:C, $E$1, '자가소비(B)'!G:G, B99, '자가소비(B)'!W:W, B104, '자가소비(B)'!U:U, $C$1),
    SUMIFS('PPA 사업(C)'!I:I, 'PPA 사업(C)'!C:C, $E$1, 'PPA 사업(C)'!G:G, B99, 'PPA 사업(C)'!W:W, B104, 'PPA 사업(C)'!U:U, $C$1),
    SUMIFS('리스사업(D)'!I:I, '리스사업(D)'!C:C, $E$1, '리스사업(D)'!G:G, B99, '리스사업(D)'!W:W, B104, '리스사업(D)'!U:U, $C$1),
    SUMIFS('임대사업(E)'!I:I, '임대사업(E)'!C:C, $E$1, '임대사업(E)'!G:G, B99, '임대사업(E)'!W:W, B104, '임대사업(E)'!U:U, $C$1),
    SUMIFS('환경부사업(F)'!I:I, '환경부사업(F)'!C:C, $E$1, '환경부사업(F)'!G:G, B99, '환경부사업(F)'!W:W, B104, '환경부사업(F)'!U:U, $C$1),
    SUMIFS('프로젝트(G)'!I:I, '프로젝트(G)'!C:C, $E$1, '프로젝트(G)'!G:G, B99, '프로젝트(G)'!W:W, B104, '프로젝트(G)'!U:U, $C$1),
    SUMIFS('협력사 EPC(H)'!I:I, '협력사 EPC(H)'!C:C, $E$1, '협력사 EPC(H)'!G:G, B99, '협력사 EPC(H)'!W:W, B104, '협력사 EPC(H)'!U:U, $C$1),
    SUMIFS('기타(Z)'!I:I, '기타(Z)'!C:C, $E$1, '기타(Z)'!G:G, B99, '기타(Z)'!W:W, B104, '기타(Z)'!U:U, $C$1)
  ) = 0,
  "",
  SUM(
    SUMIFS('발전사업(A)'!I:I, '발전사업(A)'!C:C, $E$1, '발전사업(A)'!G:G, B99, '발전사업(A)'!W:W, B104, '발전사업(A)'!U:U, $C$1),
    SUMIFS('자가소비(B)'!I:I, '자가소비(B)'!C:C, $E$1, '자가소비(B)'!G:G, B99, '자가소비(B)'!W:W, B104, '자가소비(B)'!U:U, $C$1),
    SUMIFS('PPA 사업(C)'!I:I, 'PPA 사업(C)'!C:C, $E$1, 'PPA 사업(C)'!G:G, B99, 'PPA 사업(C)'!W:W, B104, 'PPA 사업(C)'!U:U, $C$1),
    SUMIFS('리스사업(D)'!I:I, '리스사업(D)'!C:C, $E$1, '리스사업(D)'!G:G, B99, '리스사업(D)'!W:W, B104, '리스사업(D)'!U:U, $C$1),
    SUMIFS('임대사업(E)'!I:I, '임대사업(E)'!C:C, $E$1, '임대사업(E)'!G:G, B99, '임대사업(E)'!W:W, B104, '임대사업(E)'!U:U, $C$1),
    SUMIFS('환경부사업(F)'!I:I, '환경부사업(F)'!C:C, $E$1, '환경부사업(F)'!G:G, B99, '환경부사업(F)'!W:W, B104, '환경부사업(F)'!U:U, $C$1),
    SUMIFS('프로젝트(G)'!I:I, '프로젝트(G)'!C:C, $E$1, '프로젝트(G)'!G:G, B99, '프로젝트(G)'!W:W, B104, '프로젝트(G)'!U:U, $C$1),
    SUMIFS('협력사 EPC(H)'!I:I, '협력사 EPC(H)'!C:C, $E$1, '협력사 EPC(H)'!G:G, B99, '협력사 EPC(H)'!W:W, B104, '협력사 EPC(H)'!U:U, $C$1),
    SUMIFS('기타(Z)'!I:I, '기타(Z)'!C:C, $E$1, '기타(Z)'!G:G, B99, '기타(Z)'!W:W, B104, '기타(Z)'!U:U, $C$1)
  )
)</f>
        <v>108.80000000000001</v>
      </c>
      <c r="F104" s="281">
        <f>IF(
  SUM(
    COUNTIFS('발전사업(A)'!C:C, $E$1, '발전사업(A)'!G:G, B99, '발전사업(A)'!W:W, B104, '발전사업(A)'!U:U, $C$1),
    COUNTIFS('자가소비(B)'!C:C, $E$1, '자가소비(B)'!G:G, B99, '자가소비(B)'!W:W, B104, '자가소비(B)'!U:U, $C$1),
    COUNTIFS('PPA 사업(C)'!C:C, $E$1, 'PPA 사업(C)'!G:G, B99, 'PPA 사업(C)'!W:W, B104, 'PPA 사업(C)'!U:U, $C$1),
    COUNTIFS('리스사업(D)'!C:C, $E$1, '리스사업(D)'!G:G, B99, '리스사업(D)'!W:W, B104, '리스사업(D)'!U:U, $C$1),
    COUNTIFS('임대사업(E)'!C:C, $E$1, '임대사업(E)'!G:G, B99, '임대사업(E)'!W:W, B104, '임대사업(E)'!U:U, $C$1),
    COUNTIFS('환경부사업(F)'!C:C, $E$1, '환경부사업(F)'!G:G, B99, '환경부사업(F)'!W:W, B104, '환경부사업(F)'!U:U, $C$1),
    COUNTIFS('프로젝트(G)'!C:C, $E$1, '프로젝트(G)'!G:G, B99, '프로젝트(G)'!W:W, B104, '프로젝트(G)'!U:U, $C$1),
    COUNTIFS('협력사 EPC(H)'!C:C, $E$1, '협력사 EPC(H)'!G:G, B99, '협력사 EPC(H)'!W:W, B104, '협력사 EPC(H)'!U:U, $C$1),
    COUNTIFS('기타(Z)'!C:C, $E$1, '기타(Z)'!G:G, B99, '기타(Z)'!W:W, B104, '기타(Z)'!U:U, $C$1)
  ) = 0,
  "",
  SUM(
    COUNTIFS('발전사업(A)'!C:C, $E$1, '발전사업(A)'!G:G, B99, '발전사업(A)'!W:W, B104, '발전사업(A)'!U:U, $C$1),
    COUNTIFS('자가소비(B)'!C:C, $E$1, '자가소비(B)'!G:G, B99, '자가소비(B)'!W:W, B104, '자가소비(B)'!U:U, $C$1),
    COUNTIFS('PPA 사업(C)'!C:C, $E$1, 'PPA 사업(C)'!G:G, B99, 'PPA 사업(C)'!W:W, B104, 'PPA 사업(C)'!U:U, $C$1),
    COUNTIFS('리스사업(D)'!C:C, $E$1, '리스사업(D)'!G:G, B99, '리스사업(D)'!W:W, B104, '리스사업(D)'!U:U, $C$1),
    COUNTIFS('임대사업(E)'!C:C, $E$1, '임대사업(E)'!G:G, B99, '임대사업(E)'!W:W, B104, '임대사업(E)'!U:U, $C$1),
    COUNTIFS('환경부사업(F)'!C:C, $E$1, '환경부사업(F)'!G:G, B99, '환경부사업(F)'!W:W, B104, '환경부사업(F)'!U:U, $C$1),
    COUNTIFS('프로젝트(G)'!C:C, $E$1, '프로젝트(G)'!G:G, B99, '프로젝트(G)'!W:W, B104, '프로젝트(G)'!U:U, $C$1),
    COUNTIFS('협력사 EPC(H)'!C:C, $E$1, '협력사 EPC(H)'!G:G, B99, '협력사 EPC(H)'!W:W, B104, '협력사 EPC(H)'!U:U, $C$1),
    COUNTIFS('기타(Z)'!C:C, $E$1, '기타(Z)'!G:G, B99, '기타(Z)'!W:W, B104, '기타(Z)'!U:U, $C$1)
  )
)</f>
        <v>2</v>
      </c>
      <c r="G104" s="280" t="str">
        <f>IF(
  SUM(
    SUMIFS('발전사업(A)'!I:I, '발전사업(A)'!C:C, $E$1, '발전사업(A)'!G:G, B99, '발전사업(A)'!W:W, B104, '발전사업(A)'!U:U, $D$1),
    SUMIFS('자가소비(B)'!I:I, '자가소비(B)'!C:C, $E$1, '자가소비(B)'!G:G, B99, '자가소비(B)'!W:W, B104, '자가소비(B)'!U:U, $D$1),
    SUMIFS('PPA 사업(C)'!I:I, 'PPA 사업(C)'!C:C, $E$1, 'PPA 사업(C)'!G:G, B99, 'PPA 사업(C)'!W:W, B104, 'PPA 사업(C)'!U:U, $D$1),
    SUMIFS('리스사업(D)'!I:I, '리스사업(D)'!C:C, $E$1, '리스사업(D)'!G:G, B99, '리스사업(D)'!W:W, B104, '리스사업(D)'!U:U, $D$1),
    SUMIFS('임대사업(E)'!I:I, '임대사업(E)'!C:C, $E$1, '임대사업(E)'!G:G, B99, '임대사업(E)'!W:W, B104, '임대사업(E)'!U:U, $D$1),
    SUMIFS('환경부사업(F)'!I:I, '환경부사업(F)'!C:C, $E$1, '환경부사업(F)'!G:G, B99, '환경부사업(F)'!W:W, B104, '환경부사업(F)'!U:U, $D$1),
    SUMIFS('프로젝트(G)'!I:I, '프로젝트(G)'!C:C, $E$1, '프로젝트(G)'!G:G, B99, '프로젝트(G)'!W:W, B104, '프로젝트(G)'!U:U, $D$1),
    SUMIFS('협력사 EPC(H)'!I:I, '협력사 EPC(H)'!C:C, $E$1, '협력사 EPC(H)'!G:G, B99, '협력사 EPC(H)'!W:W, B104, '협력사 EPC(H)'!U:U, $D$1),
    SUMIFS('기타(Z)'!I:I, '기타(Z)'!C:C, $E$1, '기타(Z)'!G:G, B99, '기타(Z)'!W:W, B104, '기타(Z)'!U:U, $D$1)
  ) = 0,
  "",
  SUM(
    SUMIFS('발전사업(A)'!I:I, '발전사업(A)'!C:C, $E$1, '발전사업(A)'!G:G, B99, '발전사업(A)'!W:W, B104, '발전사업(A)'!U:U, $D$1),
    SUMIFS('자가소비(B)'!I:I, '자가소비(B)'!C:C, $E$1, '자가소비(B)'!G:G, B99, '자가소비(B)'!W:W, B104, '자가소비(B)'!U:U, $D$1),
    SUMIFS('PPA 사업(C)'!I:I, 'PPA 사업(C)'!C:C, $E$1, 'PPA 사업(C)'!G:G, B99, 'PPA 사업(C)'!W:W, B104, 'PPA 사업(C)'!U:U, $D$1),
    SUMIFS('리스사업(D)'!I:I, '리스사업(D)'!C:C, $E$1, '리스사업(D)'!G:G, B99, '리스사업(D)'!W:W, B104, '리스사업(D)'!U:U, $D$1),
    SUMIFS('임대사업(E)'!I:I, '임대사업(E)'!C:C, $E$1, '임대사업(E)'!G:G, B99, '임대사업(E)'!W:W, B104, '임대사업(E)'!U:U, $D$1),
    SUMIFS('환경부사업(F)'!I:I, '환경부사업(F)'!C:C, $E$1, '환경부사업(F)'!G:G, B99, '환경부사업(F)'!W:W, B104, '환경부사업(F)'!U:U, $D$1),
    SUMIFS('프로젝트(G)'!I:I, '프로젝트(G)'!C:C, $E$1, '프로젝트(G)'!G:G, B99, '프로젝트(G)'!W:W, B104, '프로젝트(G)'!U:U, $D$1),
    SUMIFS('협력사 EPC(H)'!I:I, '협력사 EPC(H)'!C:C, $E$1, '협력사 EPC(H)'!G:G, B99, '협력사 EPC(H)'!W:W, B104, '협력사 EPC(H)'!U:U, $D$1),
    SUMIFS('기타(Z)'!I:I, '기타(Z)'!C:C, $E$1, '기타(Z)'!G:G, B99, '기타(Z)'!W:W, B104, '기타(Z)'!U:U, $D$1)
  )
)</f>
        <v/>
      </c>
      <c r="H104" s="281" t="str">
        <f>IF(
  (
    COUNTIFS('발전사업(A)'!C:C, $E$1, '발전사업(A)'!G:G, B99, '발전사업(A)'!W:W, B104, '발전사업(A)'!U:U, $D$1)
    + COUNTIFS('자가소비(B)'!C:C, $E$1, '자가소비(B)'!G:G, B99, '자가소비(B)'!W:W, B104, '자가소비(B)'!U:U, $D$1)
    + COUNTIFS('PPA 사업(C)'!C:C, $E$1, 'PPA 사업(C)'!G:G, B99, 'PPA 사업(C)'!W:W, B104, 'PPA 사업(C)'!U:U, $D$1)
    + COUNTIFS('리스사업(D)'!C:C, $E$1, '리스사업(D)'!G:G, B99, '리스사업(D)'!W:W, B104, '리스사업(D)'!U:U, $D$1)
    + COUNTIFS('임대사업(E)'!C:C, $E$1, '임대사업(E)'!G:G, B99, '임대사업(E)'!W:W, B104, '임대사업(E)'!U:U, $D$1)
    + COUNTIFS('환경부사업(F)'!C:C, $E$1, '환경부사업(F)'!G:G, B99, '환경부사업(F)'!W:W, B104, '환경부사업(F)'!U:U, $D$1)
    + COUNTIFS('프로젝트(G)'!C:C, $E$1, '프로젝트(G)'!G:G, B99, '프로젝트(G)'!W:W, B104, '프로젝트(G)'!U:U, $D$1)
    + COUNTIFS('협력사 EPC(H)'!C:C, $E$1, '협력사 EPC(H)'!G:G, B99, '협력사 EPC(H)'!W:W, B104, '협력사 EPC(H)'!U:U, $D$1)
    + COUNTIFS('기타(Z)'!C:C, $E$1, '기타(Z)'!G:G, B99, '기타(Z)'!W:W, B104, '기타(Z)'!U:U, $D$1)
  ) = 0,
  "",
  COUNTIFS('발전사업(A)'!C:C, $E$1, '발전사업(A)'!G:G, B99, '발전사업(A)'!W:W, B104, '발전사업(A)'!U:U, $D$1)
  + COUNTIFS('자가소비(B)'!C:C, $E$1, '자가소비(B)'!G:G, B99, '자가소비(B)'!W:W, B104, '자가소비(B)'!U:U, $D$1)
  + COUNTIFS('PPA 사업(C)'!C:C, $E$1, 'PPA 사업(C)'!G:G, B99, 'PPA 사업(C)'!W:W, B104, 'PPA 사업(C)'!U:U, $D$1)
  + COUNTIFS('리스사업(D)'!C:C, $E$1, '리스사업(D)'!G:G, B99, '리스사업(D)'!W:W, B104, '리스사업(D)'!U:U, $D$1)
  + COUNTIFS('임대사업(E)'!C:C, $E$1, '임대사업(E)'!G:G, B99, '임대사업(E)'!W:W, B104, '임대사업(E)'!U:U, $D$1)
  + COUNTIFS('환경부사업(F)'!C:C, $E$1, '환경부사업(F)'!G:G, B99, '환경부사업(F)'!W:W, B104, '환경부사업(F)'!U:U, $D$1)
  + COUNTIFS('프로젝트(G)'!C:C, $E$1, '프로젝트(G)'!G:G, B99, '프로젝트(G)'!W:W, B104, '프로젝트(G)'!U:U, $D$1)
  + COUNTIFS('협력사 EPC(H)'!C:C, $E$1, '협력사 EPC(H)'!G:G, B99, '협력사 EPC(H)'!W:W, B104, '협력사 EPC(H)'!U:U, $D$1)
  + COUNTIFS('기타(Z)'!C:C, $E$1, '기타(Z)'!G:G, B99, '기타(Z)'!W:W, B104, '기타(Z)'!U:U, $D$1)
)</f>
        <v/>
      </c>
    </row>
    <row r="105" spans="2:8" x14ac:dyDescent="0.25">
      <c r="B105" s="202" t="s">
        <v>263</v>
      </c>
      <c r="C105" s="280">
        <f>IF(
  SUM(
    SUMIFS('발전사업(A)'!I:I, '발전사업(A)'!C:C, $E$1, '발전사업(A)'!G:G, B99, '발전사업(A)'!W:W, B105),
    SUMIFS('자가소비(B)'!I:I, '자가소비(B)'!C:C, $E$1, '자가소비(B)'!G:G, B99, '자가소비(B)'!W:W, B105),
    SUMIFS('PPA 사업(C)'!I:I, 'PPA 사업(C)'!C:C, $E$1, 'PPA 사업(C)'!G:G, B99, 'PPA 사업(C)'!W:W, B105),
    SUMIFS('리스사업(D)'!I:I, '리스사업(D)'!C:C, $E$1, '리스사업(D)'!G:G, B99, '리스사업(D)'!W:W, B105),
    SUMIFS('임대사업(E)'!I:I, '임대사업(E)'!C:C, $E$1, '임대사업(E)'!G:G, B99, '임대사업(E)'!W:W, B105),
    SUMIFS('환경부사업(F)'!I:I, '환경부사업(F)'!C:C, $E$1, '환경부사업(F)'!G:G, B99, '환경부사업(F)'!W:W, B105),
    SUMIFS('프로젝트(G)'!I:I, '프로젝트(G)'!C:C, $E$1, '프로젝트(G)'!G:G, B99, '프로젝트(G)'!W:W, B105),
    SUMIFS('협력사 EPC(H)'!I:I, '협력사 EPC(H)'!C:C, $E$1, '협력사 EPC(H)'!G:G, B99, '협력사 EPC(H)'!W:W, B105),
    SUMIFS('기타(Z)'!I:I, '기타(Z)'!C:C, $E$1, '기타(Z)'!G:G, B99, '기타(Z)'!W:W, B105)
  ) = 0,
  "",
  SUMIFS('발전사업(A)'!I:I, '발전사업(A)'!C:C, $E$1, '발전사업(A)'!G:G, B99, '발전사업(A)'!W:W, B105)
  + SUMIFS('자가소비(B)'!I:I, '자가소비(B)'!C:C, $E$1, '자가소비(B)'!G:G, B99, '자가소비(B)'!W:W, B105)
  + SUMIFS('PPA 사업(C)'!I:I, 'PPA 사업(C)'!C:C, $E$1, 'PPA 사업(C)'!G:G, B99, 'PPA 사업(C)'!W:W, B105)
  + SUMIFS('리스사업(D)'!I:I, '리스사업(D)'!C:C, $E$1, '리스사업(D)'!G:G, B99, '리스사업(D)'!W:W, B105)
  + SUMIFS('임대사업(E)'!I:I, '임대사업(E)'!C:C, $E$1, '임대사업(E)'!G:G, B99, '임대사업(E)'!W:W, B105)
  + SUMIFS('환경부사업(F)'!I:I, '환경부사업(F)'!C:C, $E$1, '환경부사업(F)'!G:G, B99, '환경부사업(F)'!W:W, B105)
  + SUMIFS('프로젝트(G)'!I:I, '프로젝트(G)'!C:C, $E$1, '프로젝트(G)'!G:G, B99, '프로젝트(G)'!W:W, B105)
  + SUMIFS('협력사 EPC(H)'!I:I, '협력사 EPC(H)'!C:C, $E$1, '협력사 EPC(H)'!G:G, B99, '협력사 EPC(H)'!W:W, B105)
  + SUMIFS('기타(Z)'!I:I, '기타(Z)'!C:C, $E$1, '기타(Z)'!G:G, B99, '기타(Z)'!W:W, B105)
)</f>
        <v>139.32</v>
      </c>
      <c r="D105" s="281">
        <f>IF(
  COUNTIFS('발전사업(A)'!C:C, $E$1, '발전사업(A)'!G:G, B99, '발전사업(A)'!W:W, B105)
  + COUNTIFS('자가소비(B)'!C:C, $E$1, '자가소비(B)'!G:G, B99, '자가소비(B)'!W:W, B105)
  + COUNTIFS('PPA 사업(C)'!C:C, $E$1, 'PPA 사업(C)'!G:G, B99, 'PPA 사업(C)'!W:W, B105)
  + COUNTIFS('리스사업(D)'!C:C, $E$1, '리스사업(D)'!G:G, B99, '리스사업(D)'!W:W, B105)
  + COUNTIFS('임대사업(E)'!C:C, $E$1, '임대사업(E)'!G:G, B99, '임대사업(E)'!W:W, B105)
  + COUNTIFS('환경부사업(F)'!C:C, $E$1, '환경부사업(F)'!G:G, B99, '환경부사업(F)'!W:W, B105)
  + COUNTIFS('프로젝트(G)'!C:C, $E$1, '프로젝트(G)'!G:G, B99, '프로젝트(G)'!W:W, B105)
  + COUNTIFS('협력사 EPC(H)'!C:C, $E$1, '협력사 EPC(H)'!G:G, B99, '협력사 EPC(H)'!W:W, B105)
  + COUNTIFS('기타(Z)'!C:C, $E$1, '기타(Z)'!G:G, B99, '기타(Z)'!W:W, B105)
  = 0,
  "",
  COUNTIFS('발전사업(A)'!C:C, $E$1, '발전사업(A)'!G:G, B99, '발전사업(A)'!W:W, B105)
  + COUNTIFS('자가소비(B)'!C:C, $E$1, '자가소비(B)'!G:G, B99, '자가소비(B)'!W:W, B105)
  + COUNTIFS('PPA 사업(C)'!C:C, $E$1, 'PPA 사업(C)'!G:G, B99, 'PPA 사업(C)'!W:W, B105)
  + COUNTIFS('리스사업(D)'!C:C, $E$1, '리스사업(D)'!G:G, B99, '리스사업(D)'!W:W, B105)
  + COUNTIFS('임대사업(E)'!C:C, $E$1, '임대사업(E)'!G:G, B99, '임대사업(E)'!W:W, B105)
  + COUNTIFS('환경부사업(F)'!C:C, $E$1, '환경부사업(F)'!G:G, B99, '환경부사업(F)'!W:W, B105)
  + COUNTIFS('프로젝트(G)'!C:C, $E$1, '프로젝트(G)'!G:G, B99, '프로젝트(G)'!W:W, B105)
  + COUNTIFS('협력사 EPC(H)'!C:C, $E$1, '협력사 EPC(H)'!G:G, B99, '협력사 EPC(H)'!W:W, B105)
  + COUNTIFS('기타(Z)'!C:C, $E$1, '기타(Z)'!G:G, B99, '기타(Z)'!W:W, B105)
)</f>
        <v>1</v>
      </c>
      <c r="E105" s="280">
        <f>IF(
  SUM(
    SUMIFS('발전사업(A)'!I:I, '발전사업(A)'!C:C, $E$1, '발전사업(A)'!G:G, B99, '발전사업(A)'!W:W, B105, '발전사업(A)'!U:U, $C$1),
    SUMIFS('자가소비(B)'!I:I, '자가소비(B)'!C:C, $E$1, '자가소비(B)'!G:G, B99, '자가소비(B)'!W:W, B105, '자가소비(B)'!U:U, $C$1),
    SUMIFS('PPA 사업(C)'!I:I, 'PPA 사업(C)'!C:C, $E$1, 'PPA 사업(C)'!G:G, B99, 'PPA 사업(C)'!W:W, B105, 'PPA 사업(C)'!U:U, $C$1),
    SUMIFS('리스사업(D)'!I:I, '리스사업(D)'!C:C, $E$1, '리스사업(D)'!G:G, B99, '리스사업(D)'!W:W, B105, '리스사업(D)'!U:U, $C$1),
    SUMIFS('임대사업(E)'!I:I, '임대사업(E)'!C:C, $E$1, '임대사업(E)'!G:G, B99, '임대사업(E)'!W:W, B105, '임대사업(E)'!U:U, $C$1),
    SUMIFS('환경부사업(F)'!I:I, '환경부사업(F)'!C:C, $E$1, '환경부사업(F)'!G:G, B99, '환경부사업(F)'!W:W, B105, '환경부사업(F)'!U:U, $C$1),
    SUMIFS('프로젝트(G)'!I:I, '프로젝트(G)'!C:C, $E$1, '프로젝트(G)'!G:G, B99, '프로젝트(G)'!W:W, B105, '프로젝트(G)'!U:U, $C$1),
    SUMIFS('협력사 EPC(H)'!I:I, '협력사 EPC(H)'!C:C, $E$1, '협력사 EPC(H)'!G:G, B99, '협력사 EPC(H)'!W:W, B105, '협력사 EPC(H)'!U:U, $C$1),
    SUMIFS('기타(Z)'!I:I, '기타(Z)'!C:C, $E$1, '기타(Z)'!G:G, B99, '기타(Z)'!W:W, B105, '기타(Z)'!U:U, $C$1)
  ) = 0,
  "",
  SUM(
    SUMIFS('발전사업(A)'!I:I, '발전사업(A)'!C:C, $E$1, '발전사업(A)'!G:G, B99, '발전사업(A)'!W:W, B105, '발전사업(A)'!U:U, $C$1),
    SUMIFS('자가소비(B)'!I:I, '자가소비(B)'!C:C, $E$1, '자가소비(B)'!G:G, B99, '자가소비(B)'!W:W, B105, '자가소비(B)'!U:U, $C$1),
    SUMIFS('PPA 사업(C)'!I:I, 'PPA 사업(C)'!C:C, $E$1, 'PPA 사업(C)'!G:G, B99, 'PPA 사업(C)'!W:W, B105, 'PPA 사업(C)'!U:U, $C$1),
    SUMIFS('리스사업(D)'!I:I, '리스사업(D)'!C:C, $E$1, '리스사업(D)'!G:G, B99, '리스사업(D)'!W:W, B105, '리스사업(D)'!U:U, $C$1),
    SUMIFS('임대사업(E)'!I:I, '임대사업(E)'!C:C, $E$1, '임대사업(E)'!G:G, B99, '임대사업(E)'!W:W, B105, '임대사업(E)'!U:U, $C$1),
    SUMIFS('환경부사업(F)'!I:I, '환경부사업(F)'!C:C, $E$1, '환경부사업(F)'!G:G, B99, '환경부사업(F)'!W:W, B105, '환경부사업(F)'!U:U, $C$1),
    SUMIFS('프로젝트(G)'!I:I, '프로젝트(G)'!C:C, $E$1, '프로젝트(G)'!G:G, B99, '프로젝트(G)'!W:W, B105, '프로젝트(G)'!U:U, $C$1),
    SUMIFS('협력사 EPC(H)'!I:I, '협력사 EPC(H)'!C:C, $E$1, '협력사 EPC(H)'!G:G, B99, '협력사 EPC(H)'!W:W, B105, '협력사 EPC(H)'!U:U, $C$1),
    SUMIFS('기타(Z)'!I:I, '기타(Z)'!C:C, $E$1, '기타(Z)'!G:G, B99, '기타(Z)'!W:W, B105, '기타(Z)'!U:U, $C$1)
  )
)</f>
        <v>139.32</v>
      </c>
      <c r="F105" s="281">
        <f>IF(
  SUM(
    COUNTIFS('발전사업(A)'!C:C, $E$1, '발전사업(A)'!G:G, B99, '발전사업(A)'!W:W, B105, '발전사업(A)'!U:U, $C$1),
    COUNTIFS('자가소비(B)'!C:C, $E$1, '자가소비(B)'!G:G, B99, '자가소비(B)'!W:W, B105, '자가소비(B)'!U:U, $C$1),
    COUNTIFS('PPA 사업(C)'!C:C, $E$1, 'PPA 사업(C)'!G:G, B99, 'PPA 사업(C)'!W:W, B105, 'PPA 사업(C)'!U:U, $C$1),
    COUNTIFS('리스사업(D)'!C:C, $E$1, '리스사업(D)'!G:G, B99, '리스사업(D)'!W:W, B105, '리스사업(D)'!U:U, $C$1),
    COUNTIFS('임대사업(E)'!C:C, $E$1, '임대사업(E)'!G:G, B99, '임대사업(E)'!W:W, B105, '임대사업(E)'!U:U, $C$1),
    COUNTIFS('환경부사업(F)'!C:C, $E$1, '환경부사업(F)'!G:G, B99, '환경부사업(F)'!W:W, B105, '환경부사업(F)'!U:U, $C$1),
    COUNTIFS('프로젝트(G)'!C:C, $E$1, '프로젝트(G)'!G:G, B99, '프로젝트(G)'!W:W, B105, '프로젝트(G)'!U:U, $C$1),
    COUNTIFS('협력사 EPC(H)'!C:C, $E$1, '협력사 EPC(H)'!G:G, B99, '협력사 EPC(H)'!W:W, B105, '협력사 EPC(H)'!U:U, $C$1),
    COUNTIFS('기타(Z)'!C:C, $E$1, '기타(Z)'!G:G, B99, '기타(Z)'!W:W, B105, '기타(Z)'!U:U, $C$1)
  ) = 0,
  "",
  SUM(
    COUNTIFS('발전사업(A)'!C:C, $E$1, '발전사업(A)'!G:G, B99, '발전사업(A)'!W:W, B105, '발전사업(A)'!U:U, $C$1),
    COUNTIFS('자가소비(B)'!C:C, $E$1, '자가소비(B)'!G:G, B99, '자가소비(B)'!W:W, B105, '자가소비(B)'!U:U, $C$1),
    COUNTIFS('PPA 사업(C)'!C:C, $E$1, 'PPA 사업(C)'!G:G, B99, 'PPA 사업(C)'!W:W, B105, 'PPA 사업(C)'!U:U, $C$1),
    COUNTIFS('리스사업(D)'!C:C, $E$1, '리스사업(D)'!G:G, B99, '리스사업(D)'!W:W, B105, '리스사업(D)'!U:U, $C$1),
    COUNTIFS('임대사업(E)'!C:C, $E$1, '임대사업(E)'!G:G, B99, '임대사업(E)'!W:W, B105, '임대사업(E)'!U:U, $C$1),
    COUNTIFS('환경부사업(F)'!C:C, $E$1, '환경부사업(F)'!G:G, B99, '환경부사업(F)'!W:W, B105, '환경부사업(F)'!U:U, $C$1),
    COUNTIFS('프로젝트(G)'!C:C, $E$1, '프로젝트(G)'!G:G, B99, '프로젝트(G)'!W:W, B105, '프로젝트(G)'!U:U, $C$1),
    COUNTIFS('협력사 EPC(H)'!C:C, $E$1, '협력사 EPC(H)'!G:G, B99, '협력사 EPC(H)'!W:W, B105, '협력사 EPC(H)'!U:U, $C$1),
    COUNTIFS('기타(Z)'!C:C, $E$1, '기타(Z)'!G:G, B99, '기타(Z)'!W:W, B105, '기타(Z)'!U:U, $C$1)
  )
)</f>
        <v>1</v>
      </c>
      <c r="G105" s="280" t="str">
        <f>IF(
  SUM(
    SUMIFS('발전사업(A)'!I:I, '발전사업(A)'!C:C, $E$1, '발전사업(A)'!G:G, B99, '발전사업(A)'!W:W, B105, '발전사업(A)'!U:U, $D$1),
    SUMIFS('자가소비(B)'!I:I, '자가소비(B)'!C:C, $E$1, '자가소비(B)'!G:G, B99, '자가소비(B)'!W:W, B105, '자가소비(B)'!U:U, $D$1),
    SUMIFS('PPA 사업(C)'!I:I, 'PPA 사업(C)'!C:C, $E$1, 'PPA 사업(C)'!G:G, B99, 'PPA 사업(C)'!W:W, B105, 'PPA 사업(C)'!U:U, $D$1),
    SUMIFS('리스사업(D)'!I:I, '리스사업(D)'!C:C, $E$1, '리스사업(D)'!G:G, B99, '리스사업(D)'!W:W, B105, '리스사업(D)'!U:U, $D$1),
    SUMIFS('임대사업(E)'!I:I, '임대사업(E)'!C:C, $E$1, '임대사업(E)'!G:G, B99, '임대사업(E)'!W:W, B105, '임대사업(E)'!U:U, $D$1),
    SUMIFS('환경부사업(F)'!I:I, '환경부사업(F)'!C:C, $E$1, '환경부사업(F)'!G:G, B99, '환경부사업(F)'!W:W, B105, '환경부사업(F)'!U:U, $D$1),
    SUMIFS('프로젝트(G)'!I:I, '프로젝트(G)'!C:C, $E$1, '프로젝트(G)'!G:G, B99, '프로젝트(G)'!W:W, B105, '프로젝트(G)'!U:U, $D$1),
    SUMIFS('협력사 EPC(H)'!I:I, '협력사 EPC(H)'!C:C, $E$1, '협력사 EPC(H)'!G:G, B99, '협력사 EPC(H)'!W:W, B105, '협력사 EPC(H)'!U:U, $D$1),
    SUMIFS('기타(Z)'!I:I, '기타(Z)'!C:C, $E$1, '기타(Z)'!G:G, B99, '기타(Z)'!W:W, B105, '기타(Z)'!U:U, $D$1)
  ) = 0,
  "",
  SUM(
    SUMIFS('발전사업(A)'!I:I, '발전사업(A)'!C:C, $E$1, '발전사업(A)'!G:G, B99, '발전사업(A)'!W:W, B105, '발전사업(A)'!U:U, $D$1),
    SUMIFS('자가소비(B)'!I:I, '자가소비(B)'!C:C, $E$1, '자가소비(B)'!G:G, B99, '자가소비(B)'!W:W, B105, '자가소비(B)'!U:U, $D$1),
    SUMIFS('PPA 사업(C)'!I:I, 'PPA 사업(C)'!C:C, $E$1, 'PPA 사업(C)'!G:G, B99, 'PPA 사업(C)'!W:W, B105, 'PPA 사업(C)'!U:U, $D$1),
    SUMIFS('리스사업(D)'!I:I, '리스사업(D)'!C:C, $E$1, '리스사업(D)'!G:G, B99, '리스사업(D)'!W:W, B105, '리스사업(D)'!U:U, $D$1),
    SUMIFS('임대사업(E)'!I:I, '임대사업(E)'!C:C, $E$1, '임대사업(E)'!G:G, B99, '임대사업(E)'!W:W, B105, '임대사업(E)'!U:U, $D$1),
    SUMIFS('환경부사업(F)'!I:I, '환경부사업(F)'!C:C, $E$1, '환경부사업(F)'!G:G, B99, '환경부사업(F)'!W:W, B105, '환경부사업(F)'!U:U, $D$1),
    SUMIFS('프로젝트(G)'!I:I, '프로젝트(G)'!C:C, $E$1, '프로젝트(G)'!G:G, B99, '프로젝트(G)'!W:W, B105, '프로젝트(G)'!U:U, $D$1),
    SUMIFS('협력사 EPC(H)'!I:I, '협력사 EPC(H)'!C:C, $E$1, '협력사 EPC(H)'!G:G, B99, '협력사 EPC(H)'!W:W, B105, '협력사 EPC(H)'!U:U, $D$1),
    SUMIFS('기타(Z)'!I:I, '기타(Z)'!C:C, $E$1, '기타(Z)'!G:G, B99, '기타(Z)'!W:W, B105, '기타(Z)'!U:U, $D$1)
  )
)</f>
        <v/>
      </c>
      <c r="H105" s="281" t="str">
        <f>IF(
  (
    COUNTIFS('발전사업(A)'!C:C, $E$1, '발전사업(A)'!G:G, B99, '발전사업(A)'!W:W, B105, '발전사업(A)'!U:U, $D$1)
    + COUNTIFS('자가소비(B)'!C:C, $E$1, '자가소비(B)'!G:G, B99, '자가소비(B)'!W:W, B105, '자가소비(B)'!U:U, $D$1)
    + COUNTIFS('PPA 사업(C)'!C:C, $E$1, 'PPA 사업(C)'!G:G, B99, 'PPA 사업(C)'!W:W, B105, 'PPA 사업(C)'!U:U, $D$1)
    + COUNTIFS('리스사업(D)'!C:C, $E$1, '리스사업(D)'!G:G, B99, '리스사업(D)'!W:W, B105, '리스사업(D)'!U:U, $D$1)
    + COUNTIFS('임대사업(E)'!C:C, $E$1, '임대사업(E)'!G:G, B99, '임대사업(E)'!W:W, B105, '임대사업(E)'!U:U, $D$1)
    + COUNTIFS('환경부사업(F)'!C:C, $E$1, '환경부사업(F)'!G:G, B99, '환경부사업(F)'!W:W, B105, '환경부사업(F)'!U:U, $D$1)
    + COUNTIFS('프로젝트(G)'!C:C, $E$1, '프로젝트(G)'!G:G, B99, '프로젝트(G)'!W:W, B105, '프로젝트(G)'!U:U, $D$1)
    + COUNTIFS('협력사 EPC(H)'!C:C, $E$1, '협력사 EPC(H)'!G:G, B99, '협력사 EPC(H)'!W:W, B105, '협력사 EPC(H)'!U:U, $D$1)
    + COUNTIFS('기타(Z)'!C:C, $E$1, '기타(Z)'!G:G, B99, '기타(Z)'!W:W, B105, '기타(Z)'!U:U, $D$1)
  ) = 0,
  "",
  COUNTIFS('발전사업(A)'!C:C, $E$1, '발전사업(A)'!G:G, B99, '발전사업(A)'!W:W, B105, '발전사업(A)'!U:U, $D$1)
  + COUNTIFS('자가소비(B)'!C:C, $E$1, '자가소비(B)'!G:G, B99, '자가소비(B)'!W:W, B105, '자가소비(B)'!U:U, $D$1)
  + COUNTIFS('PPA 사업(C)'!C:C, $E$1, 'PPA 사업(C)'!G:G, B99, 'PPA 사업(C)'!W:W, B105, 'PPA 사업(C)'!U:U, $D$1)
  + COUNTIFS('리스사업(D)'!C:C, $E$1, '리스사업(D)'!G:G, B99, '리스사업(D)'!W:W, B105, '리스사업(D)'!U:U, $D$1)
  + COUNTIFS('임대사업(E)'!C:C, $E$1, '임대사업(E)'!G:G, B99, '임대사업(E)'!W:W, B105, '임대사업(E)'!U:U, $D$1)
  + COUNTIFS('환경부사업(F)'!C:C, $E$1, '환경부사업(F)'!G:G, B99, '환경부사업(F)'!W:W, B105, '환경부사업(F)'!U:U, $D$1)
  + COUNTIFS('프로젝트(G)'!C:C, $E$1, '프로젝트(G)'!G:G, B99, '프로젝트(G)'!W:W, B105, '프로젝트(G)'!U:U, $D$1)
  + COUNTIFS('협력사 EPC(H)'!C:C, $E$1, '협력사 EPC(H)'!G:G, B99, '협력사 EPC(H)'!W:W, B105, '협력사 EPC(H)'!U:U, $D$1)
  + COUNTIFS('기타(Z)'!C:C, $E$1, '기타(Z)'!G:G, B99, '기타(Z)'!W:W, B105, '기타(Z)'!U:U, $D$1)
)</f>
        <v/>
      </c>
    </row>
    <row r="106" spans="2:8" x14ac:dyDescent="0.25">
      <c r="B106" s="202" t="s">
        <v>264</v>
      </c>
      <c r="C106" s="280" t="str">
        <f>IF(
  SUM(
    SUMIFS('발전사업(A)'!I:I, '발전사업(A)'!C:C, $E$1, '발전사업(A)'!G:G, B99, '발전사업(A)'!W:W, B106),
    SUMIFS('자가소비(B)'!I:I, '자가소비(B)'!C:C, $E$1, '자가소비(B)'!G:G, B99, '자가소비(B)'!W:W, B106),
    SUMIFS('PPA 사업(C)'!I:I, 'PPA 사업(C)'!C:C, $E$1, 'PPA 사업(C)'!G:G, B99, 'PPA 사업(C)'!W:W, B106),
    SUMIFS('리스사업(D)'!I:I, '리스사업(D)'!C:C, $E$1, '리스사업(D)'!G:G, B99, '리스사업(D)'!W:W, B106),
    SUMIFS('임대사업(E)'!I:I, '임대사업(E)'!C:C, $E$1, '임대사업(E)'!G:G, B99, '임대사업(E)'!W:W, B106),
    SUMIFS('환경부사업(F)'!I:I, '환경부사업(F)'!C:C, $E$1, '환경부사업(F)'!G:G, B99, '환경부사업(F)'!W:W, B106),
    SUMIFS('프로젝트(G)'!I:I, '프로젝트(G)'!C:C, $E$1, '프로젝트(G)'!G:G, B99, '프로젝트(G)'!W:W, B106),
    SUMIFS('협력사 EPC(H)'!I:I, '협력사 EPC(H)'!C:C, $E$1, '협력사 EPC(H)'!G:G, B99, '협력사 EPC(H)'!W:W, B106),
    SUMIFS('기타(Z)'!I:I, '기타(Z)'!C:C, $E$1, '기타(Z)'!G:G, B99, '기타(Z)'!W:W, B106)
  ) = 0,
  "",
  SUMIFS('발전사업(A)'!I:I, '발전사업(A)'!C:C, $E$1, '발전사업(A)'!G:G, B99, '발전사업(A)'!W:W, B106)
  + SUMIFS('자가소비(B)'!I:I, '자가소비(B)'!C:C, $E$1, '자가소비(B)'!G:G, B99, '자가소비(B)'!W:W, B106)
  + SUMIFS('PPA 사업(C)'!I:I, 'PPA 사업(C)'!C:C, $E$1, 'PPA 사업(C)'!G:G, B99, 'PPA 사업(C)'!W:W, B106)
  + SUMIFS('리스사업(D)'!I:I, '리스사업(D)'!C:C, $E$1, '리스사업(D)'!G:G, B99, '리스사업(D)'!W:W, B106)
  + SUMIFS('임대사업(E)'!I:I, '임대사업(E)'!C:C, $E$1, '임대사업(E)'!G:G, B99, '임대사업(E)'!W:W, B106)
  + SUMIFS('환경부사업(F)'!I:I, '환경부사업(F)'!C:C, $E$1, '환경부사업(F)'!G:G, B99, '환경부사업(F)'!W:W, B106)
  + SUMIFS('프로젝트(G)'!I:I, '프로젝트(G)'!C:C, $E$1, '프로젝트(G)'!G:G, B99, '프로젝트(G)'!W:W, B106)
  + SUMIFS('협력사 EPC(H)'!I:I, '협력사 EPC(H)'!C:C, $E$1, '협력사 EPC(H)'!G:G, B99, '협력사 EPC(H)'!W:W, B106)
  + SUMIFS('기타(Z)'!I:I, '기타(Z)'!C:C, $E$1, '기타(Z)'!G:G, B99, '기타(Z)'!W:W, B106)
)</f>
        <v/>
      </c>
      <c r="D106" s="281" t="str">
        <f>IF(
  COUNTIFS('발전사업(A)'!C:C, $E$1, '발전사업(A)'!G:G, B99, '발전사업(A)'!W:W, B106)
  + COUNTIFS('자가소비(B)'!C:C, $E$1, '자가소비(B)'!G:G, B99, '자가소비(B)'!W:W, B106)
  + COUNTIFS('PPA 사업(C)'!C:C, $E$1, 'PPA 사업(C)'!G:G, B99, 'PPA 사업(C)'!W:W, B106)
  + COUNTIFS('리스사업(D)'!C:C, $E$1, '리스사업(D)'!G:G, B99, '리스사업(D)'!W:W, B106)
  + COUNTIFS('임대사업(E)'!C:C, $E$1, '임대사업(E)'!G:G, B99, '임대사업(E)'!W:W, B106)
  + COUNTIFS('환경부사업(F)'!C:C, $E$1, '환경부사업(F)'!G:G, B99, '환경부사업(F)'!W:W, B106)
  + COUNTIFS('프로젝트(G)'!C:C, $E$1, '프로젝트(G)'!G:G, B99, '프로젝트(G)'!W:W, B106)
  + COUNTIFS('협력사 EPC(H)'!C:C, $E$1, '협력사 EPC(H)'!G:G, B99, '협력사 EPC(H)'!W:W, B106)
  + COUNTIFS('기타(Z)'!C:C, $E$1, '기타(Z)'!G:G, B99, '기타(Z)'!W:W, B106)
  = 0,
  "",
  COUNTIFS('발전사업(A)'!C:C, $E$1, '발전사업(A)'!G:G, B99, '발전사업(A)'!W:W, B106)
  + COUNTIFS('자가소비(B)'!C:C, $E$1, '자가소비(B)'!G:G, B99, '자가소비(B)'!W:W, B106)
  + COUNTIFS('PPA 사업(C)'!C:C, $E$1, 'PPA 사업(C)'!G:G, B99, 'PPA 사업(C)'!W:W, B106)
  + COUNTIFS('리스사업(D)'!C:C, $E$1, '리스사업(D)'!G:G, B99, '리스사업(D)'!W:W, B106)
  + COUNTIFS('임대사업(E)'!C:C, $E$1, '임대사업(E)'!G:G, B99, '임대사업(E)'!W:W, B106)
  + COUNTIFS('환경부사업(F)'!C:C, $E$1, '환경부사업(F)'!G:G, B99, '환경부사업(F)'!W:W, B106)
  + COUNTIFS('프로젝트(G)'!C:C, $E$1, '프로젝트(G)'!G:G, B99, '프로젝트(G)'!W:W, B106)
  + COUNTIFS('협력사 EPC(H)'!C:C, $E$1, '협력사 EPC(H)'!G:G, B99, '협력사 EPC(H)'!W:W, B106)
  + COUNTIFS('기타(Z)'!C:C, $E$1, '기타(Z)'!G:G, B99, '기타(Z)'!W:W, B106)
)</f>
        <v/>
      </c>
      <c r="E106" s="280" t="str">
        <f>IF(
  SUM(
    SUMIFS('발전사업(A)'!I:I, '발전사업(A)'!C:C, $E$1, '발전사업(A)'!G:G, B99, '발전사업(A)'!W:W, B106, '발전사업(A)'!U:U, $C$1),
    SUMIFS('자가소비(B)'!I:I, '자가소비(B)'!C:C, $E$1, '자가소비(B)'!G:G, B99, '자가소비(B)'!W:W, B106, '자가소비(B)'!U:U, $C$1),
    SUMIFS('PPA 사업(C)'!I:I, 'PPA 사업(C)'!C:C, $E$1, 'PPA 사업(C)'!G:G, B99, 'PPA 사업(C)'!W:W, B106, 'PPA 사업(C)'!U:U, $C$1),
    SUMIFS('리스사업(D)'!I:I, '리스사업(D)'!C:C, $E$1, '리스사업(D)'!G:G, B99, '리스사업(D)'!W:W, B106, '리스사업(D)'!U:U, $C$1),
    SUMIFS('임대사업(E)'!I:I, '임대사업(E)'!C:C, $E$1, '임대사업(E)'!G:G, B99, '임대사업(E)'!W:W, B106, '임대사업(E)'!U:U, $C$1),
    SUMIFS('환경부사업(F)'!I:I, '환경부사업(F)'!C:C, $E$1, '환경부사업(F)'!G:G, B99, '환경부사업(F)'!W:W, B106, '환경부사업(F)'!U:U, $C$1),
    SUMIFS('프로젝트(G)'!I:I, '프로젝트(G)'!C:C, $E$1, '프로젝트(G)'!G:G, B99, '프로젝트(G)'!W:W, B106, '프로젝트(G)'!U:U, $C$1),
    SUMIFS('협력사 EPC(H)'!I:I, '협력사 EPC(H)'!C:C, $E$1, '협력사 EPC(H)'!G:G, B99, '협력사 EPC(H)'!W:W, B106, '협력사 EPC(H)'!U:U, $C$1),
    SUMIFS('기타(Z)'!I:I, '기타(Z)'!C:C, $E$1, '기타(Z)'!G:G, B99, '기타(Z)'!W:W, B106, '기타(Z)'!U:U, $C$1)
  ) = 0,
  "",
  SUM(
    SUMIFS('발전사업(A)'!I:I, '발전사업(A)'!C:C, $E$1, '발전사업(A)'!G:G, B99, '발전사업(A)'!W:W, B106, '발전사업(A)'!U:U, $C$1),
    SUMIFS('자가소비(B)'!I:I, '자가소비(B)'!C:C, $E$1, '자가소비(B)'!G:G, B99, '자가소비(B)'!W:W, B106, '자가소비(B)'!U:U, $C$1),
    SUMIFS('PPA 사업(C)'!I:I, 'PPA 사업(C)'!C:C, $E$1, 'PPA 사업(C)'!G:G, B99, 'PPA 사업(C)'!W:W, B106, 'PPA 사업(C)'!U:U, $C$1),
    SUMIFS('리스사업(D)'!I:I, '리스사업(D)'!C:C, $E$1, '리스사업(D)'!G:G, B99, '리스사업(D)'!W:W, B106, '리스사업(D)'!U:U, $C$1),
    SUMIFS('임대사업(E)'!I:I, '임대사업(E)'!C:C, $E$1, '임대사업(E)'!G:G, B99, '임대사업(E)'!W:W, B106, '임대사업(E)'!U:U, $C$1),
    SUMIFS('환경부사업(F)'!I:I, '환경부사업(F)'!C:C, $E$1, '환경부사업(F)'!G:G, B99, '환경부사업(F)'!W:W, B106, '환경부사업(F)'!U:U, $C$1),
    SUMIFS('프로젝트(G)'!I:I, '프로젝트(G)'!C:C, $E$1, '프로젝트(G)'!G:G, B99, '프로젝트(G)'!W:W, B106, '프로젝트(G)'!U:U, $C$1),
    SUMIFS('협력사 EPC(H)'!I:I, '협력사 EPC(H)'!C:C, $E$1, '협력사 EPC(H)'!G:G, B99, '협력사 EPC(H)'!W:W, B106, '협력사 EPC(H)'!U:U, $C$1),
    SUMIFS('기타(Z)'!I:I, '기타(Z)'!C:C, $E$1, '기타(Z)'!G:G, B99, '기타(Z)'!W:W, B106, '기타(Z)'!U:U, $C$1)
  )
)</f>
        <v/>
      </c>
      <c r="F106" s="281" t="str">
        <f>IF(
  SUM(
    COUNTIFS('발전사업(A)'!C:C, $E$1, '발전사업(A)'!G:G, B99, '발전사업(A)'!W:W, B106, '발전사업(A)'!U:U, $C$1),
    COUNTIFS('자가소비(B)'!C:C, $E$1, '자가소비(B)'!G:G, B99, '자가소비(B)'!W:W, B106, '자가소비(B)'!U:U, $C$1),
    COUNTIFS('PPA 사업(C)'!C:C, $E$1, 'PPA 사업(C)'!G:G, B99, 'PPA 사업(C)'!W:W, B106, 'PPA 사업(C)'!U:U, $C$1),
    COUNTIFS('리스사업(D)'!C:C, $E$1, '리스사업(D)'!G:G, B99, '리스사업(D)'!W:W, B106, '리스사업(D)'!U:U, $C$1),
    COUNTIFS('임대사업(E)'!C:C, $E$1, '임대사업(E)'!G:G, B99, '임대사업(E)'!W:W, B106, '임대사업(E)'!U:U, $C$1),
    COUNTIFS('환경부사업(F)'!C:C, $E$1, '환경부사업(F)'!G:G, B99, '환경부사업(F)'!W:W, B106, '환경부사업(F)'!U:U, $C$1),
    COUNTIFS('프로젝트(G)'!C:C, $E$1, '프로젝트(G)'!G:G, B99, '프로젝트(G)'!W:W, B106, '프로젝트(G)'!U:U, $C$1),
    COUNTIFS('협력사 EPC(H)'!C:C, $E$1, '협력사 EPC(H)'!G:G, B99, '협력사 EPC(H)'!W:W, B106, '협력사 EPC(H)'!U:U, $C$1),
    COUNTIFS('기타(Z)'!C:C, $E$1, '기타(Z)'!G:G, B99, '기타(Z)'!W:W, B106, '기타(Z)'!U:U, $C$1)
  ) = 0,
  "",
  SUM(
    COUNTIFS('발전사업(A)'!C:C, $E$1, '발전사업(A)'!G:G, B99, '발전사업(A)'!W:W, B106, '발전사업(A)'!U:U, $C$1),
    COUNTIFS('자가소비(B)'!C:C, $E$1, '자가소비(B)'!G:G, B99, '자가소비(B)'!W:W, B106, '자가소비(B)'!U:U, $C$1),
    COUNTIFS('PPA 사업(C)'!C:C, $E$1, 'PPA 사업(C)'!G:G, B99, 'PPA 사업(C)'!W:W, B106, 'PPA 사업(C)'!U:U, $C$1),
    COUNTIFS('리스사업(D)'!C:C, $E$1, '리스사업(D)'!G:G, B99, '리스사업(D)'!W:W, B106, '리스사업(D)'!U:U, $C$1),
    COUNTIFS('임대사업(E)'!C:C, $E$1, '임대사업(E)'!G:G, B99, '임대사업(E)'!W:W, B106, '임대사업(E)'!U:U, $C$1),
    COUNTIFS('환경부사업(F)'!C:C, $E$1, '환경부사업(F)'!G:G, B99, '환경부사업(F)'!W:W, B106, '환경부사업(F)'!U:U, $C$1),
    COUNTIFS('프로젝트(G)'!C:C, $E$1, '프로젝트(G)'!G:G, B99, '프로젝트(G)'!W:W, B106, '프로젝트(G)'!U:U, $C$1),
    COUNTIFS('협력사 EPC(H)'!C:C, $E$1, '협력사 EPC(H)'!G:G, B99, '협력사 EPC(H)'!W:W, B106, '협력사 EPC(H)'!U:U, $C$1),
    COUNTIFS('기타(Z)'!C:C, $E$1, '기타(Z)'!G:G, B99, '기타(Z)'!W:W, B106, '기타(Z)'!U:U, $C$1)
  )
)</f>
        <v/>
      </c>
      <c r="G106" s="280" t="str">
        <f>IF(
  SUM(
    SUMIFS('발전사업(A)'!I:I, '발전사업(A)'!C:C, $E$1, '발전사업(A)'!G:G, B99, '발전사업(A)'!W:W, B106, '발전사업(A)'!U:U, $D$1),
    SUMIFS('자가소비(B)'!I:I, '자가소비(B)'!C:C, $E$1, '자가소비(B)'!G:G, B99, '자가소비(B)'!W:W, B106, '자가소비(B)'!U:U, $D$1),
    SUMIFS('PPA 사업(C)'!I:I, 'PPA 사업(C)'!C:C, $E$1, 'PPA 사업(C)'!G:G, B99, 'PPA 사업(C)'!W:W, B106, 'PPA 사업(C)'!U:U, $D$1),
    SUMIFS('리스사업(D)'!I:I, '리스사업(D)'!C:C, $E$1, '리스사업(D)'!G:G, B99, '리스사업(D)'!W:W, B106, '리스사업(D)'!U:U, $D$1),
    SUMIFS('임대사업(E)'!I:I, '임대사업(E)'!C:C, $E$1, '임대사업(E)'!G:G, B99, '임대사업(E)'!W:W, B106, '임대사업(E)'!U:U, $D$1),
    SUMIFS('환경부사업(F)'!I:I, '환경부사업(F)'!C:C, $E$1, '환경부사업(F)'!G:G, B99, '환경부사업(F)'!W:W, B106, '환경부사업(F)'!U:U, $D$1),
    SUMIFS('프로젝트(G)'!I:I, '프로젝트(G)'!C:C, $E$1, '프로젝트(G)'!G:G, B99, '프로젝트(G)'!W:W, B106, '프로젝트(G)'!U:U, $D$1),
    SUMIFS('협력사 EPC(H)'!I:I, '협력사 EPC(H)'!C:C, $E$1, '협력사 EPC(H)'!G:G, B99, '협력사 EPC(H)'!W:W, B106, '협력사 EPC(H)'!U:U, $D$1),
    SUMIFS('기타(Z)'!I:I, '기타(Z)'!C:C, $E$1, '기타(Z)'!G:G, B99, '기타(Z)'!W:W, B106, '기타(Z)'!U:U, $D$1)
  ) = 0,
  "",
  SUM(
    SUMIFS('발전사업(A)'!I:I, '발전사업(A)'!C:C, $E$1, '발전사업(A)'!G:G, B99, '발전사업(A)'!W:W, B106, '발전사업(A)'!U:U, $D$1),
    SUMIFS('자가소비(B)'!I:I, '자가소비(B)'!C:C, $E$1, '자가소비(B)'!G:G, B99, '자가소비(B)'!W:W, B106, '자가소비(B)'!U:U, $D$1),
    SUMIFS('PPA 사업(C)'!I:I, 'PPA 사업(C)'!C:C, $E$1, 'PPA 사업(C)'!G:G, B99, 'PPA 사업(C)'!W:W, B106, 'PPA 사업(C)'!U:U, $D$1),
    SUMIFS('리스사업(D)'!I:I, '리스사업(D)'!C:C, $E$1, '리스사업(D)'!G:G, B99, '리스사업(D)'!W:W, B106, '리스사업(D)'!U:U, $D$1),
    SUMIFS('임대사업(E)'!I:I, '임대사업(E)'!C:C, $E$1, '임대사업(E)'!G:G, B99, '임대사업(E)'!W:W, B106, '임대사업(E)'!U:U, $D$1),
    SUMIFS('환경부사업(F)'!I:I, '환경부사업(F)'!C:C, $E$1, '환경부사업(F)'!G:G, B99, '환경부사업(F)'!W:W, B106, '환경부사업(F)'!U:U, $D$1),
    SUMIFS('프로젝트(G)'!I:I, '프로젝트(G)'!C:C, $E$1, '프로젝트(G)'!G:G, B99, '프로젝트(G)'!W:W, B106, '프로젝트(G)'!U:U, $D$1),
    SUMIFS('협력사 EPC(H)'!I:I, '협력사 EPC(H)'!C:C, $E$1, '협력사 EPC(H)'!G:G, B99, '협력사 EPC(H)'!W:W, B106, '협력사 EPC(H)'!U:U, $D$1),
    SUMIFS('기타(Z)'!I:I, '기타(Z)'!C:C, $E$1, '기타(Z)'!G:G, B99, '기타(Z)'!W:W, B106, '기타(Z)'!U:U, $D$1)
  )
)</f>
        <v/>
      </c>
      <c r="H106" s="281" t="str">
        <f>IF(
  (
    COUNTIFS('발전사업(A)'!C:C, $E$1, '발전사업(A)'!G:G, B99, '발전사업(A)'!W:W, B106, '발전사업(A)'!U:U, $D$1)
    + COUNTIFS('자가소비(B)'!C:C, $E$1, '자가소비(B)'!G:G, B99, '자가소비(B)'!W:W, B106, '자가소비(B)'!U:U, $D$1)
    + COUNTIFS('PPA 사업(C)'!C:C, $E$1, 'PPA 사업(C)'!G:G, B99, 'PPA 사업(C)'!W:W, B106, 'PPA 사업(C)'!U:U, $D$1)
    + COUNTIFS('리스사업(D)'!C:C, $E$1, '리스사업(D)'!G:G, B99, '리스사업(D)'!W:W, B106, '리스사업(D)'!U:U, $D$1)
    + COUNTIFS('임대사업(E)'!C:C, $E$1, '임대사업(E)'!G:G, B99, '임대사업(E)'!W:W, B106, '임대사업(E)'!U:U, $D$1)
    + COUNTIFS('환경부사업(F)'!C:C, $E$1, '환경부사업(F)'!G:G, B99, '환경부사업(F)'!W:W, B106, '환경부사업(F)'!U:U, $D$1)
    + COUNTIFS('프로젝트(G)'!C:C, $E$1, '프로젝트(G)'!G:G, B99, '프로젝트(G)'!W:W, B106, '프로젝트(G)'!U:U, $D$1)
    + COUNTIFS('협력사 EPC(H)'!C:C, $E$1, '협력사 EPC(H)'!G:G, B99, '협력사 EPC(H)'!W:W, B106, '협력사 EPC(H)'!U:U, $D$1)
    + COUNTIFS('기타(Z)'!C:C, $E$1, '기타(Z)'!G:G, $B99, '기타(Z)'!W:W, B106, '기타(Z)'!U:U, $D$1)
  ) = 0,
  "",
  COUNTIFS('발전사업(A)'!C:C, $E$1, '발전사업(A)'!G:G, B99, '발전사업(A)'!W:W, B106, '발전사업(A)'!U:U, $D$1)
  + COUNTIFS('자가소비(B)'!C:C, $E$1, '자가소비(B)'!G:G, B99, '자가소비(B)'!W:W, B106, '자가소비(B)'!U:U, $D$1)
  + COUNTIFS('PPA 사업(C)'!C:C, $E$1, 'PPA 사업(C)'!G:G, B99, 'PPA 사업(C)'!W:W, B106, 'PPA 사업(C)'!U:U, $D$1)
  + COUNTIFS('리스사업(D)'!C:C, $E$1, '리스사업(D)'!G:G, B99, '리스사업(D)'!W:W, B106, '리스사업(D)'!U:U, $D$1)
  + COUNTIFS('임대사업(E)'!C:C, $E$1, '임대사업(E)'!G:G, B99, '임대사업(E)'!W:W, B106, '임대사업(E)'!U:U, $D$1)
  + COUNTIFS('환경부사업(F)'!C:C, $E$1, '환경부사업(F)'!G:G, B99, '환경부사업(F)'!W:W, B106, '환경부사업(F)'!U:U, $D$1)
  + COUNTIFS('프로젝트(G)'!C:C, $E$1, '프로젝트(G)'!G:G, B99, '프로젝트(G)'!W:W, B106, '프로젝트(G)'!U:U, $D$1)
  + COUNTIFS('협력사 EPC(H)'!C:C, $E$1, '협력사 EPC(H)'!G:G, B99, '협력사 EPC(H)'!W:W, B106, '협력사 EPC(H)'!U:U, $D$1)
  + COUNTIFS('기타(Z)'!C:C, $E$1, '기타(Z)'!G:G, B99, '기타(Z)'!W:W, B106, '기타(Z)'!U:U, $D$1)
)</f>
        <v/>
      </c>
    </row>
    <row r="107" spans="2:8" x14ac:dyDescent="0.25">
      <c r="B107" s="202" t="s">
        <v>265</v>
      </c>
      <c r="C107" s="280" t="str">
        <f>IF(
  SUM(
    SUMIFS('발전사업(A)'!I:I, '발전사업(A)'!C:C, $E$1, '발전사업(A)'!G:G, B99, '발전사업(A)'!W:W, B107),
    SUMIFS('자가소비(B)'!I:I, '자가소비(B)'!C:C, $E$1, '자가소비(B)'!G:G, B99, '자가소비(B)'!W:W, B107),
    SUMIFS('PPA 사업(C)'!I:I, 'PPA 사업(C)'!C:C, $E$1, 'PPA 사업(C)'!G:G, B99, 'PPA 사업(C)'!W:W, B107),
    SUMIFS('리스사업(D)'!I:I, '리스사업(D)'!C:C, $E$1, '리스사업(D)'!G:G, B99, '리스사업(D)'!W:W, B107),
    SUMIFS('임대사업(E)'!I:I, '임대사업(E)'!C:C, $E$1, '임대사업(E)'!G:G, B99, '임대사업(E)'!W:W, B107),
    SUMIFS('환경부사업(F)'!I:I, '환경부사업(F)'!C:C, $E$1, '환경부사업(F)'!G:G, B99, '환경부사업(F)'!W:W, B107),
    SUMIFS('프로젝트(G)'!I:I, '프로젝트(G)'!C:C, $E$1, '프로젝트(G)'!G:G, B99, '프로젝트(G)'!W:W, B107),
    SUMIFS('협력사 EPC(H)'!I:I, '협력사 EPC(H)'!C:C, $E$1, '협력사 EPC(H)'!G:G, B99, '협력사 EPC(H)'!W:W, B107),
    SUMIFS('기타(Z)'!I:I, '기타(Z)'!C:C, $E$1, '기타(Z)'!G:G, B99, '기타(Z)'!W:W, B107)
  ) = 0,
  "",
  SUMIFS('발전사업(A)'!I:I, '발전사업(A)'!C:C, $E$1, '발전사업(A)'!G:G, B99, '발전사업(A)'!W:W, B107)
  + SUMIFS('자가소비(B)'!I:I, '자가소비(B)'!C:C, $E$1, '자가소비(B)'!G:G, B99, '자가소비(B)'!W:W, B107)
  + SUMIFS('PPA 사업(C)'!I:I, 'PPA 사업(C)'!C:C, $E$1, 'PPA 사업(C)'!G:G, B99, 'PPA 사업(C)'!W:W, B107)
  + SUMIFS('리스사업(D)'!I:I, '리스사업(D)'!C:C, $E$1, '리스사업(D)'!G:G, B99, '리스사업(D)'!W:W, B107)
  + SUMIFS('임대사업(E)'!I:I, '임대사업(E)'!C:C, $E$1, '임대사업(E)'!G:G, B99, '임대사업(E)'!W:W, B107)
  + SUMIFS('환경부사업(F)'!I:I, '환경부사업(F)'!C:C, $E$1, '환경부사업(F)'!G:G, B99, '환경부사업(F)'!W:W, B107)
  + SUMIFS('프로젝트(G)'!I:I, '프로젝트(G)'!C:C, $E$1, '프로젝트(G)'!G:G, B99, '프로젝트(G)'!W:W, B107)
  + SUMIFS('협력사 EPC(H)'!I:I, '협력사 EPC(H)'!C:C, $E$1, '협력사 EPC(H)'!G:G, B99, '협력사 EPC(H)'!W:W, B107)
  + SUMIFS('기타(Z)'!I:I, '기타(Z)'!C:C, $E$1, '기타(Z)'!G:G, B99, '기타(Z)'!W:W, B107)
)</f>
        <v/>
      </c>
      <c r="D107" s="281" t="str">
        <f>IF(
  COUNTIFS('발전사업(A)'!C:C, $E$1, '발전사업(A)'!G:G, B99, '발전사업(A)'!W:W, B107)
  + COUNTIFS('자가소비(B)'!C:C, $E$1, '자가소비(B)'!G:G, B99, '자가소비(B)'!W:W, B107)
  + COUNTIFS('PPA 사업(C)'!C:C, $E$1, 'PPA 사업(C)'!G:G, B99, 'PPA 사업(C)'!W:W, B107)
  + COUNTIFS('리스사업(D)'!C:C, $E$1, '리스사업(D)'!G:G, B99, '리스사업(D)'!W:W, B107)
  + COUNTIFS('임대사업(E)'!C:C, $E$1, '임대사업(E)'!G:G, B99, '임대사업(E)'!W:W, B107)
  + COUNTIFS('환경부사업(F)'!C:C, $E$1, '환경부사업(F)'!G:G, B99, '환경부사업(F)'!W:W, B107)
  + COUNTIFS('프로젝트(G)'!C:C, $E$1, '프로젝트(G)'!G:G, B99, '프로젝트(G)'!W:W, B107)
  + COUNTIFS('협력사 EPC(H)'!C:C, $E$1, '협력사 EPC(H)'!G:G, B99, '협력사 EPC(H)'!W:W, B107)
  + COUNTIFS('기타(Z)'!C:C, $E$1, '기타(Z)'!G:G, B99, '기타(Z)'!W:W, B107)
  = 0,
  "",
  COUNTIFS('발전사업(A)'!C:C, $E$1, '발전사업(A)'!G:G, B99, '발전사업(A)'!W:W, B107)
  + COUNTIFS('자가소비(B)'!C:C, $E$1, '자가소비(B)'!G:G, B99, '자가소비(B)'!W:W, B107)
  + COUNTIFS('PPA 사업(C)'!C:C, $E$1, 'PPA 사업(C)'!G:G, B99, 'PPA 사업(C)'!W:W, B107)
  + COUNTIFS('리스사업(D)'!C:C, $E$1, '리스사업(D)'!G:G, B99, '리스사업(D)'!W:W, B107)
  + COUNTIFS('임대사업(E)'!C:C, $E$1, '임대사업(E)'!G:G, B99, '임대사업(E)'!W:W, B107)
  + COUNTIFS('환경부사업(F)'!C:C, $E$1, '환경부사업(F)'!G:G, B99, '환경부사업(F)'!W:W, B107)
  + COUNTIFS('프로젝트(G)'!C:C, $E$1, '프로젝트(G)'!G:G, B99, '프로젝트(G)'!W:W, B107)
  + COUNTIFS('협력사 EPC(H)'!C:C, $E$1, '협력사 EPC(H)'!G:G, B99, '협력사 EPC(H)'!W:W, B107)
  + COUNTIFS('기타(Z)'!C:C, $E$1, '기타(Z)'!G:G, B99, '기타(Z)'!W:W, B107)
)</f>
        <v/>
      </c>
      <c r="E107" s="280" t="str">
        <f>IF(
  SUM(
    SUMIFS('발전사업(A)'!I:I, '발전사업(A)'!C:C, $E$1, '발전사업(A)'!G:G, B99, '발전사업(A)'!W:W, B107, '발전사업(A)'!U:U, $C$1),
    SUMIFS('자가소비(B)'!I:I, '자가소비(B)'!C:C, $E$1, '자가소비(B)'!G:G, B99, '자가소비(B)'!W:W, B107, '자가소비(B)'!U:U, $C$1),
    SUMIFS('PPA 사업(C)'!I:I, 'PPA 사업(C)'!C:C, $E$1, 'PPA 사업(C)'!G:G, B99, 'PPA 사업(C)'!W:W, B107, 'PPA 사업(C)'!U:U, $C$1),
    SUMIFS('리스사업(D)'!I:I, '리스사업(D)'!C:C, $E$1, '리스사업(D)'!G:G, B99, '리스사업(D)'!W:W, B107, '리스사업(D)'!U:U, $C$1),
    SUMIFS('임대사업(E)'!I:I, '임대사업(E)'!C:C, $E$1, '임대사업(E)'!G:G, B99, '임대사업(E)'!W:W, B107, '임대사업(E)'!U:U, $C$1),
    SUMIFS('환경부사업(F)'!I:I, '환경부사업(F)'!C:C, $E$1, '환경부사업(F)'!G:G, B99, '환경부사업(F)'!W:W, B107, '환경부사업(F)'!U:U, $C$1),
    SUMIFS('프로젝트(G)'!I:I, '프로젝트(G)'!C:C, $E$1, '프로젝트(G)'!G:G, B99, '프로젝트(G)'!W:W, B107, '프로젝트(G)'!U:U, $C$1),
    SUMIFS('협력사 EPC(H)'!I:I, '협력사 EPC(H)'!C:C, $E$1, '협력사 EPC(H)'!G:G, B99, '협력사 EPC(H)'!W:W, B107, '협력사 EPC(H)'!U:U, $C$1),
    SUMIFS('기타(Z)'!I:I, '기타(Z)'!C:C, $E$1, '기타(Z)'!G:G, B99, '기타(Z)'!W:W, B107, '기타(Z)'!U:U, $C$1)
  ) = 0,
  "",
  SUM(
    SUMIFS('발전사업(A)'!I:I, '발전사업(A)'!C:C, $E$1, '발전사업(A)'!G:G, B99, '발전사업(A)'!W:W, B107, '발전사업(A)'!U:U, $C$1),
    SUMIFS('자가소비(B)'!I:I, '자가소비(B)'!C:C, $E$1, '자가소비(B)'!G:G, B99, '자가소비(B)'!W:W, B107, '자가소비(B)'!U:U, $C$1),
    SUMIFS('PPA 사업(C)'!I:I, 'PPA 사업(C)'!C:C, $E$1, 'PPA 사업(C)'!G:G, B99, 'PPA 사업(C)'!W:W, B107, 'PPA 사업(C)'!U:U, $C$1),
    SUMIFS('리스사업(D)'!I:I, '리스사업(D)'!C:C, $E$1, '리스사업(D)'!G:G, B99, '리스사업(D)'!W:W, B107, '리스사업(D)'!U:U, $C$1),
    SUMIFS('임대사업(E)'!I:I, '임대사업(E)'!C:C, $E$1, '임대사업(E)'!G:G, B99, '임대사업(E)'!W:W, B107, '임대사업(E)'!U:U, $C$1),
    SUMIFS('환경부사업(F)'!I:I, '환경부사업(F)'!C:C, $E$1, '환경부사업(F)'!G:G, B99, '환경부사업(F)'!W:W, B107, '환경부사업(F)'!U:U, $C$1),
    SUMIFS('프로젝트(G)'!I:I, '프로젝트(G)'!C:C, $E$1, '프로젝트(G)'!G:G, B99, '프로젝트(G)'!W:W, B107, '프로젝트(G)'!U:U, $C$1),
    SUMIFS('협력사 EPC(H)'!I:I, '협력사 EPC(H)'!C:C, $E$1, '협력사 EPC(H)'!G:G, B99, '협력사 EPC(H)'!W:W, B107, '협력사 EPC(H)'!U:U, $C$1),
    SUMIFS('기타(Z)'!I:I, '기타(Z)'!C:C, $E$1, '기타(Z)'!G:G, B99, '기타(Z)'!W:W, B107, '기타(Z)'!U:U, $C$1)
  )
)</f>
        <v/>
      </c>
      <c r="F107" s="281" t="str">
        <f>IF(
  SUM(
    COUNTIFS('발전사업(A)'!C:C, $E$1, '발전사업(A)'!G:G, B99, '발전사업(A)'!W:W, B107, '발전사업(A)'!U:U, $C$1),
    COUNTIFS('자가소비(B)'!C:C, $E$1, '자가소비(B)'!G:G, B99, '자가소비(B)'!W:W, B107, '자가소비(B)'!U:U, $C$1),
    COUNTIFS('PPA 사업(C)'!C:C, $E$1, 'PPA 사업(C)'!G:G, B99, 'PPA 사업(C)'!W:W, B107, 'PPA 사업(C)'!U:U, $C$1),
    COUNTIFS('리스사업(D)'!C:C, $E$1, '리스사업(D)'!G:G, B99, '리스사업(D)'!W:W, B107, '리스사업(D)'!U:U, $C$1),
    COUNTIFS('임대사업(E)'!C:C, $E$1, '임대사업(E)'!G:G, B99, '임대사업(E)'!W:W, B107, '임대사업(E)'!U:U, $C$1),
    COUNTIFS('환경부사업(F)'!C:C, $E$1, '환경부사업(F)'!G:G, B99, '환경부사업(F)'!W:W, B107, '환경부사업(F)'!U:U, $C$1),
    COUNTIFS('프로젝트(G)'!C:C, $E$1, '프로젝트(G)'!G:G, B99, '프로젝트(G)'!W:W, B107, '프로젝트(G)'!U:U, $C$1),
    COUNTIFS('협력사 EPC(H)'!C:C, $E$1, '협력사 EPC(H)'!G:G, B99, '협력사 EPC(H)'!W:W, B107, '협력사 EPC(H)'!U:U, $C$1),
    COUNTIFS('기타(Z)'!C:C, $E$1, '기타(Z)'!G:G, B99, '기타(Z)'!W:W, B107, '기타(Z)'!U:U, $C$1)
  ) = 0,
  "",
  SUM(
    COUNTIFS('발전사업(A)'!C:C, $E$1, '발전사업(A)'!G:G, B99, '발전사업(A)'!W:W, B107, '발전사업(A)'!U:U, $C$1),
    COUNTIFS('자가소비(B)'!C:C, $E$1, '자가소비(B)'!G:G, B99, '자가소비(B)'!W:W, B107, '자가소비(B)'!U:U, $C$1),
    COUNTIFS('PPA 사업(C)'!C:C, $E$1, 'PPA 사업(C)'!G:G, B99, 'PPA 사업(C)'!W:W, B107, 'PPA 사업(C)'!U:U, $C$1),
    COUNTIFS('리스사업(D)'!C:C, $E$1, '리스사업(D)'!G:G, B99, '리스사업(D)'!W:W, B107, '리스사업(D)'!U:U, $C$1),
    COUNTIFS('임대사업(E)'!C:C, $E$1, '임대사업(E)'!G:G, B99, '임대사업(E)'!W:W, B107, '임대사업(E)'!U:U, $C$1),
    COUNTIFS('환경부사업(F)'!C:C, $E$1, '환경부사업(F)'!G:G, B99, '환경부사업(F)'!W:W, B107, '환경부사업(F)'!U:U, $C$1),
    COUNTIFS('프로젝트(G)'!C:C, $E$1, '프로젝트(G)'!G:G, B99, '프로젝트(G)'!W:W, B107, '프로젝트(G)'!U:U, $C$1),
    COUNTIFS('협력사 EPC(H)'!C:C, $E$1, '협력사 EPC(H)'!G:G, B99, '협력사 EPC(H)'!W:W, B107, '협력사 EPC(H)'!U:U, $C$1),
    COUNTIFS('기타(Z)'!C:C, $E$1, '기타(Z)'!G:G, B99, '기타(Z)'!W:W, B107, '기타(Z)'!U:U, $C$1)
  )
)</f>
        <v/>
      </c>
      <c r="G107" s="280" t="str">
        <f>IF(
  SUM(
    SUMIFS('발전사업(A)'!I:I, '발전사업(A)'!C:C, $E$1, '발전사업(A)'!G:G, B99, '발전사업(A)'!W:W, B107, '발전사업(A)'!U:U, $D$1),
    SUMIFS('자가소비(B)'!I:I, '자가소비(B)'!C:C, $E$1, '자가소비(B)'!G:G, B99, '자가소비(B)'!W:W, B107, '자가소비(B)'!U:U, $D$1),
    SUMIFS('PPA 사업(C)'!I:I, 'PPA 사업(C)'!C:C, $E$1, 'PPA 사업(C)'!G:G, B99, 'PPA 사업(C)'!W:W, B107, 'PPA 사업(C)'!U:U, $D$1),
    SUMIFS('리스사업(D)'!I:I, '리스사업(D)'!C:C, $E$1, '리스사업(D)'!G:G, B99, '리스사업(D)'!W:W, B107, '리스사업(D)'!U:U, $D$1),
    SUMIFS('임대사업(E)'!I:I, '임대사업(E)'!C:C, $E$1, '임대사업(E)'!G:G, B99, '임대사업(E)'!W:W, B107, '임대사업(E)'!U:U, $D$1),
    SUMIFS('환경부사업(F)'!I:I, '환경부사업(F)'!C:C, $E$1, '환경부사업(F)'!G:G, B99, '환경부사업(F)'!W:W, B107, '환경부사업(F)'!U:U, $D$1),
    SUMIFS('프로젝트(G)'!I:I, '프로젝트(G)'!C:C, $E$1, '프로젝트(G)'!G:G, B99, '프로젝트(G)'!W:W, B107, '프로젝트(G)'!U:U, $D$1),
    SUMIFS('협력사 EPC(H)'!I:I, '협력사 EPC(H)'!C:C, $E$1, '협력사 EPC(H)'!G:G, B99, '협력사 EPC(H)'!W:W, B107, '협력사 EPC(H)'!U:U, $D$1),
    SUMIFS('기타(Z)'!I:I, '기타(Z)'!C:C, $E$1, '기타(Z)'!G:G, B99, '기타(Z)'!W:W, B107, '기타(Z)'!U:U, $D$1)
  ) = 0,
  "",
  SUM(
    SUMIFS('발전사업(A)'!I:I, '발전사업(A)'!C:C, $E$1, '발전사업(A)'!G:G, B99, '발전사업(A)'!W:W, B107, '발전사업(A)'!U:U, $D$1),
    SUMIFS('자가소비(B)'!I:I, '자가소비(B)'!C:C, $E$1, '자가소비(B)'!G:G, B99, '자가소비(B)'!W:W, B107, '자가소비(B)'!U:U, $D$1),
    SUMIFS('PPA 사업(C)'!I:I, 'PPA 사업(C)'!C:C, $E$1, 'PPA 사업(C)'!G:G, B99, 'PPA 사업(C)'!W:W, B107, 'PPA 사업(C)'!U:U, $D$1),
    SUMIFS('리스사업(D)'!I:I, '리스사업(D)'!C:C, $E$1, '리스사업(D)'!G:G, B99, '리스사업(D)'!W:W, B107, '리스사업(D)'!U:U, $D$1),
    SUMIFS('임대사업(E)'!I:I, '임대사업(E)'!C:C, $E$1, '임대사업(E)'!G:G, B99, '임대사업(E)'!W:W, B107, '임대사업(E)'!U:U, $D$1),
    SUMIFS('환경부사업(F)'!I:I, '환경부사업(F)'!C:C, $E$1, '환경부사업(F)'!G:G, B99, '환경부사업(F)'!W:W, B107, '환경부사업(F)'!U:U, $D$1),
    SUMIFS('프로젝트(G)'!I:I, '프로젝트(G)'!C:C, $E$1, '프로젝트(G)'!G:G, B99, '프로젝트(G)'!W:W, B107, '프로젝트(G)'!U:U, $D$1),
    SUMIFS('협력사 EPC(H)'!I:I, '협력사 EPC(H)'!C:C, $E$1, '협력사 EPC(H)'!G:G, B99, '협력사 EPC(H)'!W:W, B107, '협력사 EPC(H)'!U:U, $D$1),
    SUMIFS('기타(Z)'!I:I, '기타(Z)'!C:C, $E$1, '기타(Z)'!G:G, B99, '기타(Z)'!W:W, B107, '기타(Z)'!U:U, $D$1)
  )
)</f>
        <v/>
      </c>
      <c r="H107" s="281" t="str">
        <f>IF(
  (
    COUNTIFS('발전사업(A)'!C:C, $E$1, '발전사업(A)'!G:G, B99, '발전사업(A)'!W:W, B107, '발전사업(A)'!U:U, $D$1)
    + COUNTIFS('자가소비(B)'!C:C, $E$1, '자가소비(B)'!G:G, B99, '자가소비(B)'!W:W, B107, '자가소비(B)'!U:U, $D$1)
    + COUNTIFS('PPA 사업(C)'!C:C, $E$1, 'PPA 사업(C)'!G:G, B99, 'PPA 사업(C)'!W:W, B107, 'PPA 사업(C)'!U:U, $D$1)
    + COUNTIFS('리스사업(D)'!C:C, $E$1, '리스사업(D)'!G:G, B99, '리스사업(D)'!W:W, B107, '리스사업(D)'!U:U, $D$1)
    + COUNTIFS('임대사업(E)'!C:C, $E$1, '임대사업(E)'!G:G, B99, '임대사업(E)'!W:W, B107, '임대사업(E)'!U:U, $D$1)
    + COUNTIFS('환경부사업(F)'!C:C, $E$1, '환경부사업(F)'!G:G, B99, '환경부사업(F)'!W:W, B107, '환경부사업(F)'!U:U, $D$1)
    + COUNTIFS('프로젝트(G)'!C:C, $E$1, '프로젝트(G)'!G:G, B99, '프로젝트(G)'!W:W, B107, '프로젝트(G)'!U:U, $D$1)
    + COUNTIFS('협력사 EPC(H)'!C:C, $E$1, '협력사 EPC(H)'!G:G, B99, '협력사 EPC(H)'!W:W, B107, '협력사 EPC(H)'!U:U, $D$1)
    + COUNTIFS('기타(Z)'!C:C, $E$1, '기타(Z)'!G:G, B99, '기타(Z)'!W:W, B107, '기타(Z)'!U:U, $D$1)
  ) = 0,
  "",
  COUNTIFS('발전사업(A)'!C:C, $E$1, '발전사업(A)'!G:G, B99, '발전사업(A)'!W:W, B107, '발전사업(A)'!U:U, $D$1)
  + COUNTIFS('자가소비(B)'!C:C, $E$1, '자가소비(B)'!G:G, B99, '자가소비(B)'!W:W, B107, '자가소비(B)'!U:U, $D$1)
  + COUNTIFS('PPA 사업(C)'!C:C, $E$1, 'PPA 사업(C)'!G:G, B99, 'PPA 사업(C)'!W:W, B107, 'PPA 사업(C)'!U:U, $D$1)
  + COUNTIFS('리스사업(D)'!C:C, $E$1, '리스사업(D)'!G:G, B99, '리스사업(D)'!W:W, B107, '리스사업(D)'!U:U, $D$1)
  + COUNTIFS('임대사업(E)'!C:C, $E$1, '임대사업(E)'!G:G, B99, '임대사업(E)'!W:W, B107, '임대사업(E)'!U:U, $D$1)
  + COUNTIFS('환경부사업(F)'!C:C, $E$1, '환경부사업(F)'!G:G, B99, '환경부사업(F)'!W:W, B107, '환경부사업(F)'!U:U, $D$1)
  + COUNTIFS('프로젝트(G)'!C:C, $E$1, '프로젝트(G)'!G:G, B99, '프로젝트(G)'!W:W, B107, '프로젝트(G)'!U:U, $D$1)
  + COUNTIFS('협력사 EPC(H)'!C:C, $E$1, '협력사 EPC(H)'!G:G, B99, '협력사 EPC(H)'!W:W, B107, '협력사 EPC(H)'!U:U, $D$1)
  + COUNTIFS('기타(Z)'!C:C, $E$1, '기타(Z)'!G:G, B99, '기타(Z)'!W:W, B107, '기타(Z)'!U:U, $D$1)
)</f>
        <v/>
      </c>
    </row>
    <row r="108" spans="2:8" ht="16.5" x14ac:dyDescent="0.25">
      <c r="B108" s="292" t="s">
        <v>1062</v>
      </c>
      <c r="C108" s="286">
        <f>SUM(C100:C107)</f>
        <v>4455.415</v>
      </c>
      <c r="D108" s="287">
        <f t="shared" ref="D108:H108" si="17">SUM(D100:D107)</f>
        <v>16</v>
      </c>
      <c r="E108" s="288">
        <f t="shared" si="17"/>
        <v>3375.7350000000006</v>
      </c>
      <c r="F108" s="289">
        <f t="shared" si="17"/>
        <v>12</v>
      </c>
      <c r="G108" s="290">
        <f t="shared" si="17"/>
        <v>1079.68</v>
      </c>
      <c r="H108" s="291">
        <f t="shared" si="17"/>
        <v>4</v>
      </c>
    </row>
    <row r="111" spans="2:8" ht="17.25" x14ac:dyDescent="0.25">
      <c r="B111" s="282">
        <v>9</v>
      </c>
      <c r="C111" s="283" t="s">
        <v>1064</v>
      </c>
      <c r="D111" s="283" t="s">
        <v>1063</v>
      </c>
      <c r="E111" s="284" t="s">
        <v>1065</v>
      </c>
      <c r="F111" s="284" t="s">
        <v>1066</v>
      </c>
      <c r="G111" s="285" t="s">
        <v>1067</v>
      </c>
      <c r="H111" s="285" t="s">
        <v>1068</v>
      </c>
    </row>
    <row r="112" spans="2:8" x14ac:dyDescent="0.25">
      <c r="B112" s="202" t="s">
        <v>270</v>
      </c>
      <c r="C112" s="280">
        <f>IF(
  SUM(
    SUMIFS('발전사업(A)'!I:I, '발전사업(A)'!C:C, $E$1, '발전사업(A)'!G:G, B111, '발전사업(A)'!W:W, B112),
    SUMIFS('자가소비(B)'!I:I, '자가소비(B)'!C:C, $E$1, '자가소비(B)'!G:G, B111, '자가소비(B)'!W:W, B112),
    SUMIFS('PPA 사업(C)'!I:I, 'PPA 사업(C)'!C:C, $E$1, 'PPA 사업(C)'!G:G, B111, 'PPA 사업(C)'!W:W, B112),
    SUMIFS('리스사업(D)'!I:I, '리스사업(D)'!C:C, $E$1, '리스사업(D)'!G:G, B111, '리스사업(D)'!W:W, B112),
    SUMIFS('임대사업(E)'!I:I, '임대사업(E)'!C:C, $E$1, '임대사업(E)'!G:G, B111, '임대사업(E)'!W:W, B112),
    SUMIFS('환경부사업(F)'!I:I, '환경부사업(F)'!C:C, $E$1, '환경부사업(F)'!G:G, B111, '환경부사업(F)'!W:W, B112),
    SUMIFS('프로젝트(G)'!I:I, '프로젝트(G)'!C:C, $E$1, '프로젝트(G)'!G:G, B111, '프로젝트(G)'!W:W, B112),
    SUMIFS('협력사 EPC(H)'!I:I, '협력사 EPC(H)'!C:C, $E$1, '협력사 EPC(H)'!G:G, B111, '협력사 EPC(H)'!W:W, B112),
    SUMIFS('기타(Z)'!I:I, '기타(Z)'!C:C, $E$1, '기타(Z)'!G:G, B111, '기타(Z)'!W:W, B112)
  ) = 0,
  "",
  SUMIFS('발전사업(A)'!I:I, '발전사업(A)'!C:C, $E$1, '발전사업(A)'!G:G, B111, '발전사업(A)'!W:W, B112)
  + SUMIFS('자가소비(B)'!I:I, '자가소비(B)'!C:C, $E$1, '자가소비(B)'!G:G, B111, '자가소비(B)'!W:W, B112)
  + SUMIFS('PPA 사업(C)'!I:I, 'PPA 사업(C)'!C:C, $E$1, 'PPA 사업(C)'!G:G, B111, 'PPA 사업(C)'!W:W, B112)
  + SUMIFS('리스사업(D)'!I:I, '리스사업(D)'!C:C, $E$1, '리스사업(D)'!G:G, B111, '리스사업(D)'!W:W, B112)
  + SUMIFS('임대사업(E)'!I:I, '임대사업(E)'!C:C, $E$1, '임대사업(E)'!G:G, B111, '임대사업(E)'!W:W, B112)
  + SUMIFS('환경부사업(F)'!I:I, '환경부사업(F)'!C:C, $E$1, '환경부사업(F)'!G:G, B111, '환경부사업(F)'!W:W, B112)
  + SUMIFS('프로젝트(G)'!I:I, '프로젝트(G)'!C:C, $E$1, '프로젝트(G)'!G:G, B111, '프로젝트(G)'!W:W, B112)
  + SUMIFS('협력사 EPC(H)'!I:I, '협력사 EPC(H)'!C:C, $E$1, '협력사 EPC(H)'!G:G, B111, '협력사 EPC(H)'!W:W, B112)
  + SUMIFS('기타(Z)'!I:I, '기타(Z)'!C:C, $E$1, '기타(Z)'!G:G, B111, '기타(Z)'!W:W, B112)
)</f>
        <v>3346.5599999999995</v>
      </c>
      <c r="D112" s="281">
        <f>IF(
  COUNTIFS('발전사업(A)'!C:C, $E$1, '발전사업(A)'!G:G, B111, '발전사업(A)'!W:W, B112)
  + COUNTIFS('자가소비(B)'!C:C, $E$1, '자가소비(B)'!G:G, B111, '자가소비(B)'!W:W, B112)
  + COUNTIFS('PPA 사업(C)'!C:C, $E$1, 'PPA 사업(C)'!G:G, B111, 'PPA 사업(C)'!W:W, B112)
  + COUNTIFS('리스사업(D)'!C:C, $E$1, '리스사업(D)'!G:G, B111, '리스사업(D)'!W:W, B112)
  + COUNTIFS('임대사업(E)'!C:C, $E$1, '임대사업(E)'!G:G, B111, '임대사업(E)'!W:W, B112)
  + COUNTIFS('환경부사업(F)'!C:C, $E$1, '환경부사업(F)'!G:G, B111, '환경부사업(F)'!W:W, B112)
  + COUNTIFS('프로젝트(G)'!C:C, $E$1, '프로젝트(G)'!G:G, B111, '프로젝트(G)'!W:W, B112)
  + COUNTIFS('협력사 EPC(H)'!C:C, $E$1, '협력사 EPC(H)'!G:G, B111, '협력사 EPC(H)'!W:W, B112)
  + COUNTIFS('기타(Z)'!C:C, $E$1, '기타(Z)'!G:G, B111, '기타(Z)'!W:W, B112)
  = 0,
  "",
  COUNTIFS('발전사업(A)'!C:C, $E$1, '발전사업(A)'!G:G, B111, '발전사업(A)'!W:W, B112)
  + COUNTIFS('자가소비(B)'!C:C, $E$1, '자가소비(B)'!G:G, B111, '자가소비(B)'!W:W, B112)
  + COUNTIFS('PPA 사업(C)'!C:C, $E$1, 'PPA 사업(C)'!G:G, B111, 'PPA 사업(C)'!W:W, B112)
  + COUNTIFS('리스사업(D)'!C:C, $E$1, '리스사업(D)'!G:G, B111, '리스사업(D)'!W:W, B112)
  + COUNTIFS('임대사업(E)'!C:C, $E$1, '임대사업(E)'!G:G, B111, '임대사업(E)'!W:W, B112)
  + COUNTIFS('환경부사업(F)'!C:C, $E$1, '환경부사업(F)'!G:G, B111, '환경부사업(F)'!W:W, B112)
  + COUNTIFS('프로젝트(G)'!C:C, $E$1, '프로젝트(G)'!G:G, B111, '프로젝트(G)'!W:W, B112)
  + COUNTIFS('협력사 EPC(H)'!C:C, $E$1, '협력사 EPC(H)'!G:G, B111, '협력사 EPC(H)'!W:W, B112)
  + COUNTIFS('기타(Z)'!C:C, $E$1, '기타(Z)'!G:G, B111, '기타(Z)'!W:W, B112)
)</f>
        <v>7</v>
      </c>
      <c r="E112" s="280">
        <f>IF(
  SUM(
    SUMIFS('발전사업(A)'!I:I, '발전사업(A)'!C:C, $E$1, '발전사업(A)'!G:G, B111, '발전사업(A)'!W:W, B112, '발전사업(A)'!U:U, $C$1),
    SUMIFS('자가소비(B)'!I:I, '자가소비(B)'!C:C, $E$1, '자가소비(B)'!G:G, B111, '자가소비(B)'!W:W, B112, '자가소비(B)'!U:U, $C$1),
    SUMIFS('PPA 사업(C)'!I:I, 'PPA 사업(C)'!C:C, $E$1, 'PPA 사업(C)'!G:G, B111, 'PPA 사업(C)'!W:W, B112, 'PPA 사업(C)'!U:U, $C$1),
    SUMIFS('리스사업(D)'!I:I, '리스사업(D)'!C:C, $E$1, '리스사업(D)'!G:G, B111, '리스사업(D)'!W:W, B112, '리스사업(D)'!U:U, $C$1),
    SUMIFS('임대사업(E)'!I:I, '임대사업(E)'!C:C, $E$1, '임대사업(E)'!G:G, B111, '임대사업(E)'!W:W, B112, '임대사업(E)'!U:U, $C$1),
    SUMIFS('환경부사업(F)'!I:I, '환경부사업(F)'!C:C, $E$1, '환경부사업(F)'!G:G, B111, '환경부사업(F)'!W:W, B112, '환경부사업(F)'!U:U, $C$1),
    SUMIFS('프로젝트(G)'!I:I, '프로젝트(G)'!C:C, $E$1, '프로젝트(G)'!G:G, B111, '프로젝트(G)'!W:W, B112, '프로젝트(G)'!U:U, $C$1),
    SUMIFS('협력사 EPC(H)'!I:I, '협력사 EPC(H)'!C:C, $E$1, '협력사 EPC(H)'!G:G, B111, '협력사 EPC(H)'!W:W, B112, '협력사 EPC(H)'!U:U, $C$1),
    SUMIFS('기타(Z)'!I:I, '기타(Z)'!C:C, $E$1, '기타(Z)'!G:G, B111, '기타(Z)'!W:W, B112, '기타(Z)'!U:U, $C$1)
  ) = 0,
  "",
  SUM(
    SUMIFS('발전사업(A)'!I:I, '발전사업(A)'!C:C, $E$1, '발전사업(A)'!G:G, B111, '발전사업(A)'!W:W, B112, '발전사업(A)'!U:U, $C$1),
    SUMIFS('자가소비(B)'!I:I, '자가소비(B)'!C:C, $E$1, '자가소비(B)'!G:G, B111, '자가소비(B)'!W:W, B112, '자가소비(B)'!U:U, $C$1),
    SUMIFS('PPA 사업(C)'!I:I, 'PPA 사업(C)'!C:C, $E$1, 'PPA 사업(C)'!G:G, B111, 'PPA 사업(C)'!W:W, B112, 'PPA 사업(C)'!U:U, $C$1),
    SUMIFS('리스사업(D)'!I:I, '리스사업(D)'!C:C, $E$1, '리스사업(D)'!G:G, B111, '리스사업(D)'!W:W, B112, '리스사업(D)'!U:U, $C$1),
    SUMIFS('임대사업(E)'!I:I, '임대사업(E)'!C:C, $E$1, '임대사업(E)'!G:G, B111, '임대사업(E)'!W:W, B112, '임대사업(E)'!U:U, $C$1),
    SUMIFS('환경부사업(F)'!I:I, '환경부사업(F)'!C:C, $E$1, '환경부사업(F)'!G:G, B111, '환경부사업(F)'!W:W, B112, '환경부사업(F)'!U:U, $C$1),
    SUMIFS('프로젝트(G)'!I:I, '프로젝트(G)'!C:C, $E$1, '프로젝트(G)'!G:G, B111, '프로젝트(G)'!W:W, B112, '프로젝트(G)'!U:U, $C$1),
    SUMIFS('협력사 EPC(H)'!I:I, '협력사 EPC(H)'!C:C, $E$1, '협력사 EPC(H)'!G:G, B111, '협력사 EPC(H)'!W:W, B112, '협력사 EPC(H)'!U:U, $C$1),
    SUMIFS('기타(Z)'!I:I, '기타(Z)'!C:C, $E$1, '기타(Z)'!G:G, B111, '기타(Z)'!W:W, B112, '기타(Z)'!U:U, $C$1)
  )
)</f>
        <v>1696</v>
      </c>
      <c r="F112" s="281">
        <f>IF(
  SUM(
    COUNTIFS('발전사업(A)'!C:C, $E$1, '발전사업(A)'!G:G, B111, '발전사업(A)'!W:W, B112, '발전사업(A)'!U:U, $C$1),
    COUNTIFS('자가소비(B)'!C:C, $E$1, '자가소비(B)'!G:G, B111, '자가소비(B)'!W:W, B112, '자가소비(B)'!U:U, $C$1),
    COUNTIFS('PPA 사업(C)'!C:C, $E$1, 'PPA 사업(C)'!G:G, B111, 'PPA 사업(C)'!W:W, B112, 'PPA 사업(C)'!U:U, $C$1),
    COUNTIFS('리스사업(D)'!C:C, $E$1, '리스사업(D)'!G:G, B111, '리스사업(D)'!W:W, B112, '리스사업(D)'!U:U, $C$1),
    COUNTIFS('임대사업(E)'!C:C, $E$1, '임대사업(E)'!G:G, B111, '임대사업(E)'!W:W, B112, '임대사업(E)'!U:U, $C$1),
    COUNTIFS('환경부사업(F)'!C:C, $E$1, '환경부사업(F)'!G:G, B111, '환경부사업(F)'!W:W, B112, '환경부사업(F)'!U:U, $C$1),
    COUNTIFS('프로젝트(G)'!C:C, $E$1, '프로젝트(G)'!G:G, B111, '프로젝트(G)'!W:W, B112, '프로젝트(G)'!U:U, $C$1),
    COUNTIFS('협력사 EPC(H)'!C:C, $E$1, '협력사 EPC(H)'!G:G, B111, '협력사 EPC(H)'!W:W, B112, '협력사 EPC(H)'!U:U, $C$1),
    COUNTIFS('기타(Z)'!C:C, $E$1, '기타(Z)'!G:G, B111, '기타(Z)'!W:W, B112, '기타(Z)'!U:U, $C$1)
  ) = 0,
  "",
  SUM(
    COUNTIFS('발전사업(A)'!C:C, $E$1, '발전사업(A)'!G:G, B111, '발전사업(A)'!W:W, B112, '발전사업(A)'!U:U, $C$1),
    COUNTIFS('자가소비(B)'!C:C, $E$1, '자가소비(B)'!G:G, B111, '자가소비(B)'!W:W, B112, '자가소비(B)'!U:U, $C$1),
    COUNTIFS('PPA 사업(C)'!C:C, $E$1, 'PPA 사업(C)'!G:G, B111, 'PPA 사업(C)'!W:W, B112, 'PPA 사업(C)'!U:U, $C$1),
    COUNTIFS('리스사업(D)'!C:C, $E$1, '리스사업(D)'!G:G, B111, '리스사업(D)'!W:W, B112, '리스사업(D)'!U:U, $C$1),
    COUNTIFS('임대사업(E)'!C:C, $E$1, '임대사업(E)'!G:G, B111, '임대사업(E)'!W:W, B112, '임대사업(E)'!U:U, $C$1),
    COUNTIFS('환경부사업(F)'!C:C, $E$1, '환경부사업(F)'!G:G, B111, '환경부사업(F)'!W:W, B112, '환경부사업(F)'!U:U, $C$1),
    COUNTIFS('프로젝트(G)'!C:C, $E$1, '프로젝트(G)'!G:G, B111, '프로젝트(G)'!W:W, B112, '프로젝트(G)'!U:U, $C$1),
    COUNTIFS('협력사 EPC(H)'!C:C, $E$1, '협력사 EPC(H)'!G:G, B111, '협력사 EPC(H)'!W:W, B112, '협력사 EPC(H)'!U:U, $C$1),
    COUNTIFS('기타(Z)'!C:C, $E$1, '기타(Z)'!G:G, B111, '기타(Z)'!W:W, B112, '기타(Z)'!U:U, $C$1)
  )
)</f>
        <v>5</v>
      </c>
      <c r="G112" s="280">
        <f>IF(
  SUM(
    SUMIFS('발전사업(A)'!I:I, '발전사업(A)'!C:C, $E$1, '발전사업(A)'!G:G, B111, '발전사업(A)'!W:W, B112, '발전사업(A)'!U:U, $D$1),
    SUMIFS('자가소비(B)'!I:I, '자가소비(B)'!C:C, $E$1, '자가소비(B)'!G:G, B111, '자가소비(B)'!W:W, B112, '자가소비(B)'!U:U, $D$1),
    SUMIFS('PPA 사업(C)'!I:I, 'PPA 사업(C)'!C:C, $E$1, 'PPA 사업(C)'!G:G, B111, 'PPA 사업(C)'!W:W, B112, 'PPA 사업(C)'!U:U, $D$1),
    SUMIFS('리스사업(D)'!I:I, '리스사업(D)'!C:C, $E$1, '리스사업(D)'!G:G, B111, '리스사업(D)'!W:W, B112, '리스사업(D)'!U:U, $D$1),
    SUMIFS('임대사업(E)'!I:I, '임대사업(E)'!C:C, $E$1, '임대사업(E)'!G:G, B111, '임대사업(E)'!W:W, B112, '임대사업(E)'!U:U, $D$1),
    SUMIFS('환경부사업(F)'!I:I, '환경부사업(F)'!C:C, $E$1, '환경부사업(F)'!G:G, B111, '환경부사업(F)'!W:W, B112, '환경부사업(F)'!U:U, $D$1),
    SUMIFS('프로젝트(G)'!I:I, '프로젝트(G)'!C:C, $E$1, '프로젝트(G)'!G:G, B111, '프로젝트(G)'!W:W, B112, '프로젝트(G)'!U:U, $D$1),
    SUMIFS('협력사 EPC(H)'!I:I, '협력사 EPC(H)'!C:C, $E$1, '협력사 EPC(H)'!G:G, B111, '협력사 EPC(H)'!W:W, B112, '협력사 EPC(H)'!U:U, $D$1),
    SUMIFS('기타(Z)'!I:I, '기타(Z)'!C:C, $E$1, '기타(Z)'!G:G, B111, '기타(Z)'!W:W, B112, '기타(Z)'!U:U, $D$1)
  ) = 0,
  "",
  SUM(
    SUMIFS('발전사업(A)'!I:I, '발전사업(A)'!C:C, $E$1, '발전사업(A)'!G:G, B111, '발전사업(A)'!W:W, B112, '발전사업(A)'!U:U, $D$1),
    SUMIFS('자가소비(B)'!I:I, '자가소비(B)'!C:C, $E$1, '자가소비(B)'!G:G, B111, '자가소비(B)'!W:W, B112, '자가소비(B)'!U:U, $D$1),
    SUMIFS('PPA 사업(C)'!I:I, 'PPA 사업(C)'!C:C, $E$1, 'PPA 사업(C)'!G:G, B111, 'PPA 사업(C)'!W:W, B112, 'PPA 사업(C)'!U:U, $D$1),
    SUMIFS('리스사업(D)'!I:I, '리스사업(D)'!C:C, $E$1, '리스사업(D)'!G:G, B111, '리스사업(D)'!W:W, B112, '리스사업(D)'!U:U, $D$1),
    SUMIFS('임대사업(E)'!I:I, '임대사업(E)'!C:C, $E$1, '임대사업(E)'!G:G, B111, '임대사업(E)'!W:W, B112, '임대사업(E)'!U:U, $D$1),
    SUMIFS('환경부사업(F)'!I:I, '환경부사업(F)'!C:C, $E$1, '환경부사업(F)'!G:G, B111, '환경부사업(F)'!W:W, B112, '환경부사업(F)'!U:U, $D$1),
    SUMIFS('프로젝트(G)'!I:I, '프로젝트(G)'!C:C, $E$1, '프로젝트(G)'!G:G, B111, '프로젝트(G)'!W:W, B112, '프로젝트(G)'!U:U, $D$1),
    SUMIFS('협력사 EPC(H)'!I:I, '협력사 EPC(H)'!C:C, $E$1, '협력사 EPC(H)'!G:G, B111, '협력사 EPC(H)'!W:W, B112, '협력사 EPC(H)'!U:U, $D$1),
    SUMIFS('기타(Z)'!I:I, '기타(Z)'!C:C, $E$1, '기타(Z)'!G:G, B111, '기타(Z)'!W:W, B112, '기타(Z)'!U:U, $D$1)
  )
)</f>
        <v>1650.56</v>
      </c>
      <c r="H112" s="281">
        <f>IF(
  (
    COUNTIFS('발전사업(A)'!C:C, $E$1, '발전사업(A)'!G:G, B111, '발전사업(A)'!W:W, B112, '발전사업(A)'!U:U, $D$1)
    + COUNTIFS('자가소비(B)'!C:C, $E$1, '자가소비(B)'!G:G, B111, '자가소비(B)'!W:W, B112, '자가소비(B)'!U:U, $D$1)
    + COUNTIFS('PPA 사업(C)'!C:C, $E$1, 'PPA 사업(C)'!G:G, B111, 'PPA 사업(C)'!W:W, B112, 'PPA 사업(C)'!U:U, $D$1)
    + COUNTIFS('리스사업(D)'!C:C, $E$1, '리스사업(D)'!G:G, B111, '리스사업(D)'!W:W, B112, '리스사업(D)'!U:U, $D$1)
    + COUNTIFS('임대사업(E)'!C:C, $E$1, '임대사업(E)'!G:G, B111, '임대사업(E)'!W:W, B112, '임대사업(E)'!U:U, $D$1)
    + COUNTIFS('환경부사업(F)'!C:C, $E$1, '환경부사업(F)'!G:G, B111, '환경부사업(F)'!W:W, B112, '환경부사업(F)'!U:U, $D$1)
    + COUNTIFS('프로젝트(G)'!C:C, $E$1, '프로젝트(G)'!G:G, B111, '프로젝트(G)'!W:W, B112, '프로젝트(G)'!U:U, $D$1)
    + COUNTIFS('협력사 EPC(H)'!C:C, $E$1, '협력사 EPC(H)'!G:G, B111, '협력사 EPC(H)'!W:W, B112, '협력사 EPC(H)'!U:U, $D$1)
    + COUNTIFS('기타(Z)'!C:C, $E$1, '기타(Z)'!G:G, B111, '기타(Z)'!W:W, B112, '기타(Z)'!U:U, $D$1)
  ) = 0,
  "",
  COUNTIFS('발전사업(A)'!C:C, $E$1, '발전사업(A)'!G:G, B111, '발전사업(A)'!W:W, B112, '발전사업(A)'!U:U, $D$1)
  + COUNTIFS('자가소비(B)'!C:C, $E$1, '자가소비(B)'!G:G, B111, '자가소비(B)'!W:W, B112, '자가소비(B)'!U:U, $D$1)
  + COUNTIFS('PPA 사업(C)'!C:C, $E$1, 'PPA 사업(C)'!G:G, B111, 'PPA 사업(C)'!W:W, B112, 'PPA 사업(C)'!U:U, $D$1)
  + COUNTIFS('리스사업(D)'!C:C, $E$1, '리스사업(D)'!G:G, B111, '리스사업(D)'!W:W, B112, '리스사업(D)'!U:U, $D$1)
  + COUNTIFS('임대사업(E)'!C:C, $E$1, '임대사업(E)'!G:G, B111, '임대사업(E)'!W:W, B112, '임대사업(E)'!U:U, $D$1)
  + COUNTIFS('환경부사업(F)'!C:C, $E$1, '환경부사업(F)'!G:G, B111, '환경부사업(F)'!W:W, B112, '환경부사업(F)'!U:U, $D$1)
  + COUNTIFS('프로젝트(G)'!C:C, $E$1, '프로젝트(G)'!G:G, B111, '프로젝트(G)'!W:W, B112, '프로젝트(G)'!U:U, $D$1)
  + COUNTIFS('협력사 EPC(H)'!C:C, $E$1, '협력사 EPC(H)'!G:G, B111, '협력사 EPC(H)'!W:W, B112, '협력사 EPC(H)'!U:U, $D$1)
  + COUNTIFS('기타(Z)'!C:C, $E$1, '기타(Z)'!G:G, B111, '기타(Z)'!W:W, B112, '기타(Z)'!U:U, $D$1)
)</f>
        <v>2</v>
      </c>
    </row>
    <row r="113" spans="2:8" x14ac:dyDescent="0.25">
      <c r="B113" s="202" t="s">
        <v>259</v>
      </c>
      <c r="C113" s="280">
        <f>IF(
  SUM(
    SUMIFS('발전사업(A)'!I:I, '발전사업(A)'!C:C, $E$1, '발전사업(A)'!G:G, B111, '발전사업(A)'!W:W, B113),
    SUMIFS('자가소비(B)'!I:I, '자가소비(B)'!C:C, $E$1, '자가소비(B)'!G:G, B111, '자가소비(B)'!W:W, B113),
    SUMIFS('PPA 사업(C)'!I:I, 'PPA 사업(C)'!C:C, $E$1, 'PPA 사업(C)'!G:G, B111, 'PPA 사업(C)'!W:W, B113),
    SUMIFS('리스사업(D)'!I:I, '리스사업(D)'!C:C, $E$1, '리스사업(D)'!G:G, B111, '리스사업(D)'!W:W, B113),
    SUMIFS('임대사업(E)'!I:I, '임대사업(E)'!C:C, $E$1, '임대사업(E)'!G:G, B111, '임대사업(E)'!W:W, B113),
    SUMIFS('환경부사업(F)'!I:I, '환경부사업(F)'!C:C, $E$1, '환경부사업(F)'!G:G, B111, '환경부사업(F)'!W:W, B113),
    SUMIFS('프로젝트(G)'!I:I, '프로젝트(G)'!C:C, $E$1, '프로젝트(G)'!G:G, B111, '프로젝트(G)'!W:W, B113),
    SUMIFS('협력사 EPC(H)'!I:I, '협력사 EPC(H)'!C:C, $E$1, '협력사 EPC(H)'!G:G, B111, '협력사 EPC(H)'!W:W, B113),
    SUMIFS('기타(Z)'!I:I, '기타(Z)'!C:C, $E$1, '기타(Z)'!G:G, B111, '기타(Z)'!W:W, B113)
  ) = 0,
  "",
  SUMIFS('발전사업(A)'!I:I, '발전사업(A)'!C:C, $E$1, '발전사업(A)'!G:G, B111, '발전사업(A)'!W:W, B113)
  + SUMIFS('자가소비(B)'!I:I, '자가소비(B)'!C:C, $E$1, '자가소비(B)'!G:G, B111, '자가소비(B)'!W:W, B113)
  + SUMIFS('PPA 사업(C)'!I:I, 'PPA 사업(C)'!C:C, $E$1, 'PPA 사업(C)'!G:G, B111, 'PPA 사업(C)'!W:W, B113)
  + SUMIFS('리스사업(D)'!I:I, '리스사업(D)'!C:C, $E$1, '리스사업(D)'!G:G, B111, '리스사업(D)'!W:W, B113)
  + SUMIFS('임대사업(E)'!I:I, '임대사업(E)'!C:C, $E$1, '임대사업(E)'!G:G, B111, '임대사업(E)'!W:W, B113)
  + SUMIFS('환경부사업(F)'!I:I, '환경부사업(F)'!C:C, $E$1, '환경부사업(F)'!G:G, B111, '환경부사업(F)'!W:W, B113)
  + SUMIFS('프로젝트(G)'!I:I, '프로젝트(G)'!C:C, $E$1, '프로젝트(G)'!G:G, B111, '프로젝트(G)'!W:W, B113)
  + SUMIFS('협력사 EPC(H)'!I:I, '협력사 EPC(H)'!C:C, $E$1, '협력사 EPC(H)'!G:G, B111, '협력사 EPC(H)'!W:W, B113)
  + SUMIFS('기타(Z)'!I:I, '기타(Z)'!C:C, $E$1, '기타(Z)'!G:G, B111, '기타(Z)'!W:W, B113)
)</f>
        <v>3026.56</v>
      </c>
      <c r="D113" s="281">
        <f>IF(
  COUNTIFS('발전사업(A)'!C:C, $E$1, '발전사업(A)'!G:G, B111, '발전사업(A)'!W:W, B113)
  + COUNTIFS('자가소비(B)'!C:C, $E$1, '자가소비(B)'!G:G, B111, '자가소비(B)'!W:W, B113)
  + COUNTIFS('PPA 사업(C)'!C:C, $E$1, 'PPA 사업(C)'!G:G, B111, 'PPA 사업(C)'!W:W, B113)
  + COUNTIFS('리스사업(D)'!C:C, $E$1, '리스사업(D)'!G:G, B111, '리스사업(D)'!W:W, B113)
  + COUNTIFS('임대사업(E)'!C:C, $E$1, '임대사업(E)'!G:G, B111, '임대사업(E)'!W:W, B113)
  + COUNTIFS('환경부사업(F)'!C:C, $E$1, '환경부사업(F)'!G:G, B111, '환경부사업(F)'!W:W, B113)
  + COUNTIFS('프로젝트(G)'!C:C, $E$1, '프로젝트(G)'!G:G, B111, '프로젝트(G)'!W:W, B113)
  + COUNTIFS('협력사 EPC(H)'!C:C, $E$1, '협력사 EPC(H)'!G:G, B111, '협력사 EPC(H)'!W:W, B113)
  + COUNTIFS('기타(Z)'!C:C, $E$1, '기타(Z)'!G:G, B111, '기타(Z)'!W:W, B113)
  = 0,
  "",
  COUNTIFS('발전사업(A)'!C:C, $E$1, '발전사업(A)'!G:G, B111, '발전사업(A)'!W:W, B113)
  + COUNTIFS('자가소비(B)'!C:C, $E$1, '자가소비(B)'!G:G, B111, '자가소비(B)'!W:W, B113)
  + COUNTIFS('PPA 사업(C)'!C:C, $E$1, 'PPA 사업(C)'!G:G, B111, 'PPA 사업(C)'!W:W, B113)
  + COUNTIFS('리스사업(D)'!C:C, $E$1, '리스사업(D)'!G:G, B111, '리스사업(D)'!W:W, B113)
  + COUNTIFS('임대사업(E)'!C:C, $E$1, '임대사업(E)'!G:G, B111, '임대사업(E)'!W:W, B113)
  + COUNTIFS('환경부사업(F)'!C:C, $E$1, '환경부사업(F)'!G:G, B111, '환경부사업(F)'!W:W, B113)
  + COUNTIFS('프로젝트(G)'!C:C, $E$1, '프로젝트(G)'!G:G, B111, '프로젝트(G)'!W:W, B113)
  + COUNTIFS('협력사 EPC(H)'!C:C, $E$1, '협력사 EPC(H)'!G:G, B111, '협력사 EPC(H)'!W:W, B113)
  + COUNTIFS('기타(Z)'!C:C, $E$1, '기타(Z)'!G:G, B111, '기타(Z)'!W:W, B113)
)</f>
        <v>10</v>
      </c>
      <c r="E113" s="280">
        <f>IF(
  SUM(
    SUMIFS('발전사업(A)'!I:I, '발전사업(A)'!C:C, $E$1, '발전사업(A)'!G:G, B111, '발전사업(A)'!W:W, B113, '발전사업(A)'!U:U, $C$1),
    SUMIFS('자가소비(B)'!I:I, '자가소비(B)'!C:C, $E$1, '자가소비(B)'!G:G, B111, '자가소비(B)'!W:W, B113, '자가소비(B)'!U:U, $C$1),
    SUMIFS('PPA 사업(C)'!I:I, 'PPA 사업(C)'!C:C, $E$1, 'PPA 사업(C)'!G:G, B111, 'PPA 사업(C)'!W:W, B113, 'PPA 사업(C)'!U:U, $C$1),
    SUMIFS('리스사업(D)'!I:I, '리스사업(D)'!C:C, $E$1, '리스사업(D)'!G:G, B111, '리스사업(D)'!W:W, B113, '리스사업(D)'!U:U, $C$1),
    SUMIFS('임대사업(E)'!I:I, '임대사업(E)'!C:C, $E$1, '임대사업(E)'!G:G, B111, '임대사업(E)'!W:W, B113, '임대사업(E)'!U:U, $C$1),
    SUMIFS('환경부사업(F)'!I:I, '환경부사업(F)'!C:C, $E$1, '환경부사업(F)'!G:G, B111, '환경부사업(F)'!W:W, B113, '환경부사업(F)'!U:U, $C$1),
    SUMIFS('프로젝트(G)'!I:I, '프로젝트(G)'!C:C, $E$1, '프로젝트(G)'!G:G, B111, '프로젝트(G)'!W:W, B113, '프로젝트(G)'!U:U, $C$1),
    SUMIFS('협력사 EPC(H)'!I:I, '협력사 EPC(H)'!C:C, $E$1, '협력사 EPC(H)'!G:G, B111, '협력사 EPC(H)'!W:W, B113, '협력사 EPC(H)'!U:U, $C$1),
    SUMIFS('기타(Z)'!I:I, '기타(Z)'!C:C, $E$1, '기타(Z)'!G:G, B111, '기타(Z)'!W:W, B113, '기타(Z)'!U:U, $C$1)
  ) = 0,
  "",
  SUM(
    SUMIFS('발전사업(A)'!I:I, '발전사업(A)'!C:C, $E$1, '발전사업(A)'!G:G, B111, '발전사업(A)'!W:W, B113, '발전사업(A)'!U:U, $C$1),
    SUMIFS('자가소비(B)'!I:I, '자가소비(B)'!C:C, $E$1, '자가소비(B)'!G:G, B111, '자가소비(B)'!W:W, B113, '자가소비(B)'!U:U, $C$1),
    SUMIFS('PPA 사업(C)'!I:I, 'PPA 사업(C)'!C:C, $E$1, 'PPA 사업(C)'!G:G, B111, 'PPA 사업(C)'!W:W, B113, 'PPA 사업(C)'!U:U, $C$1),
    SUMIFS('리스사업(D)'!I:I, '리스사업(D)'!C:C, $E$1, '리스사업(D)'!G:G, B111, '리스사업(D)'!W:W, B113, '리스사업(D)'!U:U, $C$1),
    SUMIFS('임대사업(E)'!I:I, '임대사업(E)'!C:C, $E$1, '임대사업(E)'!G:G, B111, '임대사업(E)'!W:W, B113, '임대사업(E)'!U:U, $C$1),
    SUMIFS('환경부사업(F)'!I:I, '환경부사업(F)'!C:C, $E$1, '환경부사업(F)'!G:G, B111, '환경부사업(F)'!W:W, B113, '환경부사업(F)'!U:U, $C$1),
    SUMIFS('프로젝트(G)'!I:I, '프로젝트(G)'!C:C, $E$1, '프로젝트(G)'!G:G, B111, '프로젝트(G)'!W:W, B113, '프로젝트(G)'!U:U, $C$1),
    SUMIFS('협력사 EPC(H)'!I:I, '협력사 EPC(H)'!C:C, $E$1, '협력사 EPC(H)'!G:G, B111, '협력사 EPC(H)'!W:W, B113, '협력사 EPC(H)'!U:U, $C$1),
    SUMIFS('기타(Z)'!I:I, '기타(Z)'!C:C, $E$1, '기타(Z)'!G:G, B111, '기타(Z)'!W:W, B113, '기타(Z)'!U:U, $C$1)
  )
)</f>
        <v>1408</v>
      </c>
      <c r="F113" s="281">
        <f>IF(
  SUM(
    COUNTIFS('발전사업(A)'!C:C, $E$1, '발전사업(A)'!G:G, B111, '발전사업(A)'!W:W, B113, '발전사업(A)'!U:U, $C$1),
    COUNTIFS('자가소비(B)'!C:C, $E$1, '자가소비(B)'!G:G, B111, '자가소비(B)'!W:W, B113, '자가소비(B)'!U:U, $C$1),
    COUNTIFS('PPA 사업(C)'!C:C, $E$1, 'PPA 사업(C)'!G:G, B111, 'PPA 사업(C)'!W:W, B113, 'PPA 사업(C)'!U:U, $C$1),
    COUNTIFS('리스사업(D)'!C:C, $E$1, '리스사업(D)'!G:G, B111, '리스사업(D)'!W:W, B113, '리스사업(D)'!U:U, $C$1),
    COUNTIFS('임대사업(E)'!C:C, $E$1, '임대사업(E)'!G:G, B111, '임대사업(E)'!W:W, B113, '임대사업(E)'!U:U, $C$1),
    COUNTIFS('환경부사업(F)'!C:C, $E$1, '환경부사업(F)'!G:G, B111, '환경부사업(F)'!W:W, B113, '환경부사업(F)'!U:U, $C$1),
    COUNTIFS('프로젝트(G)'!C:C, $E$1, '프로젝트(G)'!G:G, B111, '프로젝트(G)'!W:W, B113, '프로젝트(G)'!U:U, $C$1),
    COUNTIFS('협력사 EPC(H)'!C:C, $E$1, '협력사 EPC(H)'!G:G, B111, '협력사 EPC(H)'!W:W, B113, '협력사 EPC(H)'!U:U, $C$1),
    COUNTIFS('기타(Z)'!C:C, $E$1, '기타(Z)'!G:G, B111, '기타(Z)'!W:W, B113, '기타(Z)'!U:U, $C$1)
  ) = 0,
  "",
  SUM(
    COUNTIFS('발전사업(A)'!C:C, $E$1, '발전사업(A)'!G:G, B111, '발전사업(A)'!W:W, B113, '발전사업(A)'!U:U, $C$1),
    COUNTIFS('자가소비(B)'!C:C, $E$1, '자가소비(B)'!G:G, B111, '자가소비(B)'!W:W, B113, '자가소비(B)'!U:U, $C$1),
    COUNTIFS('PPA 사업(C)'!C:C, $E$1, 'PPA 사업(C)'!G:G, B111, 'PPA 사업(C)'!W:W, B113, 'PPA 사업(C)'!U:U, $C$1),
    COUNTIFS('리스사업(D)'!C:C, $E$1, '리스사업(D)'!G:G, B111, '리스사업(D)'!W:W, B113, '리스사업(D)'!U:U, $C$1),
    COUNTIFS('임대사업(E)'!C:C, $E$1, '임대사업(E)'!G:G, B111, '임대사업(E)'!W:W, B113, '임대사업(E)'!U:U, $C$1),
    COUNTIFS('환경부사업(F)'!C:C, $E$1, '환경부사업(F)'!G:G, B111, '환경부사업(F)'!W:W, B113, '환경부사업(F)'!U:U, $C$1),
    COUNTIFS('프로젝트(G)'!C:C, $E$1, '프로젝트(G)'!G:G, B111, '프로젝트(G)'!W:W, B113, '프로젝트(G)'!U:U, $C$1),
    COUNTIFS('협력사 EPC(H)'!C:C, $E$1, '협력사 EPC(H)'!G:G, B111, '협력사 EPC(H)'!W:W, B113, '협력사 EPC(H)'!U:U, $C$1),
    COUNTIFS('기타(Z)'!C:C, $E$1, '기타(Z)'!G:G, B111, '기타(Z)'!W:W, B113, '기타(Z)'!U:U, $C$1)
  )
)</f>
        <v>4</v>
      </c>
      <c r="G113" s="280">
        <f>IF(
  SUM(
    SUMIFS('발전사업(A)'!I:I, '발전사업(A)'!C:C, $E$1, '발전사업(A)'!G:G, B111, '발전사업(A)'!W:W, B113, '발전사업(A)'!U:U, $D$1),
    SUMIFS('자가소비(B)'!I:I, '자가소비(B)'!C:C, $E$1, '자가소비(B)'!G:G, B111, '자가소비(B)'!W:W, B113, '자가소비(B)'!U:U, $D$1),
    SUMIFS('PPA 사업(C)'!I:I, 'PPA 사업(C)'!C:C, $E$1, 'PPA 사업(C)'!G:G, B111, 'PPA 사업(C)'!W:W, B113, 'PPA 사업(C)'!U:U, $D$1),
    SUMIFS('리스사업(D)'!I:I, '리스사업(D)'!C:C, $E$1, '리스사업(D)'!G:G, B111, '리스사업(D)'!W:W, B113, '리스사업(D)'!U:U, $D$1),
    SUMIFS('임대사업(E)'!I:I, '임대사업(E)'!C:C, $E$1, '임대사업(E)'!G:G, B111, '임대사업(E)'!W:W, B113, '임대사업(E)'!U:U, $D$1),
    SUMIFS('환경부사업(F)'!I:I, '환경부사업(F)'!C:C, $E$1, '환경부사업(F)'!G:G, B111, '환경부사업(F)'!W:W, B113, '환경부사업(F)'!U:U, $D$1),
    SUMIFS('프로젝트(G)'!I:I, '프로젝트(G)'!C:C, $E$1, '프로젝트(G)'!G:G, B111, '프로젝트(G)'!W:W, B113, '프로젝트(G)'!U:U, $D$1),
    SUMIFS('협력사 EPC(H)'!I:I, '협력사 EPC(H)'!C:C, $E$1, '협력사 EPC(H)'!G:G, B111, '협력사 EPC(H)'!W:W, B113, '협력사 EPC(H)'!U:U, $D$1),
    SUMIFS('기타(Z)'!I:I, '기타(Z)'!C:C, $E$1, '기타(Z)'!G:G, B111, '기타(Z)'!W:W, B113, '기타(Z)'!U:U, $D$1)
  ) = 0,
  "",
  SUM(
    SUMIFS('발전사업(A)'!I:I, '발전사업(A)'!C:C, $E$1, '발전사업(A)'!G:G, B111, '발전사업(A)'!W:W, B113, '발전사업(A)'!U:U, $D$1),
    SUMIFS('자가소비(B)'!I:I, '자가소비(B)'!C:C, $E$1, '자가소비(B)'!G:G, B111, '자가소비(B)'!W:W, B113, '자가소비(B)'!U:U, $D$1),
    SUMIFS('PPA 사업(C)'!I:I, 'PPA 사업(C)'!C:C, $E$1, 'PPA 사업(C)'!G:G, B111, 'PPA 사업(C)'!W:W, B113, 'PPA 사업(C)'!U:U, $D$1),
    SUMIFS('리스사업(D)'!I:I, '리스사업(D)'!C:C, $E$1, '리스사업(D)'!G:G, B111, '리스사업(D)'!W:W, B113, '리스사업(D)'!U:U, $D$1),
    SUMIFS('임대사업(E)'!I:I, '임대사업(E)'!C:C, $E$1, '임대사업(E)'!G:G, B111, '임대사업(E)'!W:W, B113, '임대사업(E)'!U:U, $D$1),
    SUMIFS('환경부사업(F)'!I:I, '환경부사업(F)'!C:C, $E$1, '환경부사업(F)'!G:G, B111, '환경부사업(F)'!W:W, B113, '환경부사업(F)'!U:U, $D$1),
    SUMIFS('프로젝트(G)'!I:I, '프로젝트(G)'!C:C, $E$1, '프로젝트(G)'!G:G, B111, '프로젝트(G)'!W:W, B113, '프로젝트(G)'!U:U, $D$1),
    SUMIFS('협력사 EPC(H)'!I:I, '협력사 EPC(H)'!C:C, $E$1, '협력사 EPC(H)'!G:G, B111, '협력사 EPC(H)'!W:W, B113, '협력사 EPC(H)'!U:U, $D$1),
    SUMIFS('기타(Z)'!I:I, '기타(Z)'!C:C, $E$1, '기타(Z)'!G:G, B111, '기타(Z)'!W:W, B113, '기타(Z)'!U:U, $D$1)
  )
)</f>
        <v>1618.56</v>
      </c>
      <c r="H113" s="281">
        <f>IF(
  (
    COUNTIFS('발전사업(A)'!C:C, $E$1, '발전사업(A)'!G:G, B111, '발전사업(A)'!W:W, B113, '발전사업(A)'!U:U, $D$1)
    + COUNTIFS('자가소비(B)'!C:C, $E$1, '자가소비(B)'!G:G, B111, '자가소비(B)'!W:W, B113, '자가소비(B)'!U:U, $D$1)
    + COUNTIFS('PPA 사업(C)'!C:C, $E$1, 'PPA 사업(C)'!G:G, B111, 'PPA 사업(C)'!W:W, B113, 'PPA 사업(C)'!U:U, $D$1)
    + COUNTIFS('리스사업(D)'!C:C, $E$1, '리스사업(D)'!G:G, B111, '리스사업(D)'!W:W, B113, '리스사업(D)'!U:U, $D$1)
    + COUNTIFS('임대사업(E)'!C:C, $E$1, '임대사업(E)'!G:G, B111, '임대사업(E)'!W:W, B113, '임대사업(E)'!U:U, $D$1)
    + COUNTIFS('환경부사업(F)'!C:C, $E$1, '환경부사업(F)'!G:G, B111, '환경부사업(F)'!W:W, B113, '환경부사업(F)'!U:U, $D$1)
    + COUNTIFS('프로젝트(G)'!C:C, $E$1, '프로젝트(G)'!G:G, B111, '프로젝트(G)'!W:W, B113, '프로젝트(G)'!U:U, $D$1)
    + COUNTIFS('협력사 EPC(H)'!C:C, $E$1, '협력사 EPC(H)'!G:G, B111, '협력사 EPC(H)'!W:W, B113, '협력사 EPC(H)'!U:U, $D$1)
    + COUNTIFS('기타(Z)'!C:C, $E$1, '기타(Z)'!G:G, B111, '기타(Z)'!W:W, B113, '기타(Z)'!U:U, $D$1)
  ) = 0,
  "",
  COUNTIFS('발전사업(A)'!C:C, $E$1, '발전사업(A)'!G:G, B111, '발전사업(A)'!W:W, B113, '발전사업(A)'!U:U, $D$1)
  + COUNTIFS('자가소비(B)'!C:C, $E$1, '자가소비(B)'!G:G, B111, '자가소비(B)'!W:W, B113, '자가소비(B)'!U:U, $D$1)
  + COUNTIFS('PPA 사업(C)'!C:C, $E$1, 'PPA 사업(C)'!G:G, B111, 'PPA 사업(C)'!W:W, B113, 'PPA 사업(C)'!U:U, $D$1)
  + COUNTIFS('리스사업(D)'!C:C, $E$1, '리스사업(D)'!G:G, B111, '리스사업(D)'!W:W, B113, '리스사업(D)'!U:U, $D$1)
  + COUNTIFS('임대사업(E)'!C:C, $E$1, '임대사업(E)'!G:G, B111, '임대사업(E)'!W:W, B113, '임대사업(E)'!U:U, $D$1)
  + COUNTIFS('환경부사업(F)'!C:C, $E$1, '환경부사업(F)'!G:G, B111, '환경부사업(F)'!W:W, B113, '환경부사업(F)'!U:U, $D$1)
  + COUNTIFS('프로젝트(G)'!C:C, $E$1, '프로젝트(G)'!G:G, B111, '프로젝트(G)'!W:W, B113, '프로젝트(G)'!U:U, $D$1)
  + COUNTIFS('협력사 EPC(H)'!C:C, $E$1, '협력사 EPC(H)'!G:G, B111, '협력사 EPC(H)'!W:W, B113, '협력사 EPC(H)'!U:U, $D$1)
  + COUNTIFS('기타(Z)'!C:C, $E$1, '기타(Z)'!G:G, B111, '기타(Z)'!W:W, B113, '기타(Z)'!U:U, $D$1)
)</f>
        <v>6</v>
      </c>
    </row>
    <row r="114" spans="2:8" x14ac:dyDescent="0.25">
      <c r="B114" s="202" t="s">
        <v>260</v>
      </c>
      <c r="C114" s="280">
        <f>IF(
  SUM(
    SUMIFS('발전사업(A)'!I:I, '발전사업(A)'!C:C, $E$1, '발전사업(A)'!G:G, B111, '발전사업(A)'!W:W, B114),
    SUMIFS('자가소비(B)'!I:I, '자가소비(B)'!C:C, $E$1, '자가소비(B)'!G:G, B111, '자가소비(B)'!W:W, B114),
    SUMIFS('PPA 사업(C)'!I:I, 'PPA 사업(C)'!C:C, $E$1, 'PPA 사업(C)'!G:G, B111, 'PPA 사업(C)'!W:W, B114),
    SUMIFS('리스사업(D)'!I:I, '리스사업(D)'!C:C, $E$1, '리스사업(D)'!G:G, B111, '리스사업(D)'!W:W, B114),
    SUMIFS('임대사업(E)'!I:I, '임대사업(E)'!C:C, $E$1, '임대사업(E)'!G:G, B111, '임대사업(E)'!W:W, B114),
    SUMIFS('환경부사업(F)'!I:I, '환경부사업(F)'!C:C, $E$1, '환경부사업(F)'!G:G, B111, '환경부사업(F)'!W:W, B114),
    SUMIFS('프로젝트(G)'!I:I, '프로젝트(G)'!C:C, $E$1, '프로젝트(G)'!G:G, B111, '프로젝트(G)'!W:W, B114),
    SUMIFS('협력사 EPC(H)'!I:I, '협력사 EPC(H)'!C:C, $E$1, '협력사 EPC(H)'!G:G, B111, '협력사 EPC(H)'!W:W, B114),
    SUMIFS('기타(Z)'!I:I, '기타(Z)'!C:C, $E$1, '기타(Z)'!G:G, B111, '기타(Z)'!W:W, B114)
  ) = 0,
  "",
  SUMIFS('발전사업(A)'!I:I, '발전사업(A)'!C:C, $E$1, '발전사업(A)'!G:G, B111, '발전사업(A)'!W:W, B114)
  + SUMIFS('자가소비(B)'!I:I, '자가소비(B)'!C:C, $E$1, '자가소비(B)'!G:G, B111, '자가소비(B)'!W:W, B114)
  + SUMIFS('PPA 사업(C)'!I:I, 'PPA 사업(C)'!C:C, $E$1, 'PPA 사업(C)'!G:G, B111, 'PPA 사업(C)'!W:W, B114)
  + SUMIFS('리스사업(D)'!I:I, '리스사업(D)'!C:C, $E$1, '리스사업(D)'!G:G, B111, '리스사업(D)'!W:W, B114)
  + SUMIFS('임대사업(E)'!I:I, '임대사업(E)'!C:C, $E$1, '임대사업(E)'!G:G, B111, '임대사업(E)'!W:W, B114)
  + SUMIFS('환경부사업(F)'!I:I, '환경부사업(F)'!C:C, $E$1, '환경부사업(F)'!G:G, B111, '환경부사업(F)'!W:W, B114)
  + SUMIFS('프로젝트(G)'!I:I, '프로젝트(G)'!C:C, $E$1, '프로젝트(G)'!G:G, B111, '프로젝트(G)'!W:W, B114)
  + SUMIFS('협력사 EPC(H)'!I:I, '협력사 EPC(H)'!C:C, $E$1, '협력사 EPC(H)'!G:G, B111, '협력사 EPC(H)'!W:W, B114)
  + SUMIFS('기타(Z)'!I:I, '기타(Z)'!C:C, $E$1, '기타(Z)'!G:G, B111, '기타(Z)'!W:W, B114)
)</f>
        <v>476.79999999999995</v>
      </c>
      <c r="D114" s="281">
        <f>IF(
  COUNTIFS('발전사업(A)'!C:C, $E$1, '발전사업(A)'!G:G, B111, '발전사업(A)'!W:W, B114)
  + COUNTIFS('자가소비(B)'!C:C, $E$1, '자가소비(B)'!G:G, B111, '자가소비(B)'!W:W, B114)
  + COUNTIFS('PPA 사업(C)'!C:C, $E$1, 'PPA 사업(C)'!G:G, B111, 'PPA 사업(C)'!W:W, B114)
  + COUNTIFS('리스사업(D)'!C:C, $E$1, '리스사업(D)'!G:G, B111, '리스사업(D)'!W:W, B114)
  + COUNTIFS('임대사업(E)'!C:C, $E$1, '임대사업(E)'!G:G, B111, '임대사업(E)'!W:W, B114)
  + COUNTIFS('환경부사업(F)'!C:C, $E$1, '환경부사업(F)'!G:G, B111, '환경부사업(F)'!W:W, B114)
  + COUNTIFS('프로젝트(G)'!C:C, $E$1, '프로젝트(G)'!G:G, B111, '프로젝트(G)'!W:W, B114)
  + COUNTIFS('협력사 EPC(H)'!C:C, $E$1, '협력사 EPC(H)'!G:G, B111, '협력사 EPC(H)'!W:W, B114)
  + COUNTIFS('기타(Z)'!C:C, $E$1, '기타(Z)'!G:G, B111, '기타(Z)'!W:W, B114)
  = 0,
  "",
  COUNTIFS('발전사업(A)'!C:C, $E$1, '발전사업(A)'!G:G, B111, '발전사업(A)'!W:W, B114)
  + COUNTIFS('자가소비(B)'!C:C, $E$1, '자가소비(B)'!G:G, B111, '자가소비(B)'!W:W, B114)
  + COUNTIFS('PPA 사업(C)'!C:C, $E$1, 'PPA 사업(C)'!G:G, B111, 'PPA 사업(C)'!W:W, B114)
  + COUNTIFS('리스사업(D)'!C:C, $E$1, '리스사업(D)'!G:G, B111, '리스사업(D)'!W:W, B114)
  + COUNTIFS('임대사업(E)'!C:C, $E$1, '임대사업(E)'!G:G, B111, '임대사업(E)'!W:W, B114)
  + COUNTIFS('환경부사업(F)'!C:C, $E$1, '환경부사업(F)'!G:G, B111, '환경부사업(F)'!W:W, B114)
  + COUNTIFS('프로젝트(G)'!C:C, $E$1, '프로젝트(G)'!G:G, B111, '프로젝트(G)'!W:W, B114)
  + COUNTIFS('협력사 EPC(H)'!C:C, $E$1, '협력사 EPC(H)'!G:G, B111, '협력사 EPC(H)'!W:W, B114)
  + COUNTIFS('기타(Z)'!C:C, $E$1, '기타(Z)'!G:G, B111, '기타(Z)'!W:W, B114)
)</f>
        <v>4</v>
      </c>
      <c r="E114" s="280">
        <f>IF(
  SUM(
    SUMIFS('발전사업(A)'!I:I, '발전사업(A)'!C:C, $E$1, '발전사업(A)'!G:G, B111, '발전사업(A)'!W:W, B114, '발전사업(A)'!U:U, $C$1),
    SUMIFS('자가소비(B)'!I:I, '자가소비(B)'!C:C, $E$1, '자가소비(B)'!G:G, B111, '자가소비(B)'!W:W, B114, '자가소비(B)'!U:U, $C$1),
    SUMIFS('PPA 사업(C)'!I:I, 'PPA 사업(C)'!C:C, $E$1, 'PPA 사업(C)'!G:G, B111, 'PPA 사업(C)'!W:W, B114, 'PPA 사업(C)'!U:U, $C$1),
    SUMIFS('리스사업(D)'!I:I, '리스사업(D)'!C:C, $E$1, '리스사업(D)'!G:G, B111, '리스사업(D)'!W:W, B114, '리스사업(D)'!U:U, $C$1),
    SUMIFS('임대사업(E)'!I:I, '임대사업(E)'!C:C, $E$1, '임대사업(E)'!G:G, B111, '임대사업(E)'!W:W, B114, '임대사업(E)'!U:U, $C$1),
    SUMIFS('환경부사업(F)'!I:I, '환경부사업(F)'!C:C, $E$1, '환경부사업(F)'!G:G, B111, '환경부사업(F)'!W:W, B114, '환경부사업(F)'!U:U, $C$1),
    SUMIFS('프로젝트(G)'!I:I, '프로젝트(G)'!C:C, $E$1, '프로젝트(G)'!G:G, B111, '프로젝트(G)'!W:W, B114, '프로젝트(G)'!U:U, $C$1),
    SUMIFS('협력사 EPC(H)'!I:I, '협력사 EPC(H)'!C:C, $E$1, '협력사 EPC(H)'!G:G, B111, '협력사 EPC(H)'!W:W, B114, '협력사 EPC(H)'!U:U, $C$1),
    SUMIFS('기타(Z)'!I:I, '기타(Z)'!C:C, $E$1, '기타(Z)'!G:G, B111, '기타(Z)'!W:W, B114, '기타(Z)'!U:U, $C$1)
  ) = 0,
  "",
  SUM(
    SUMIFS('발전사업(A)'!I:I, '발전사업(A)'!C:C, $E$1, '발전사업(A)'!G:G, B111, '발전사업(A)'!W:W, B114, '발전사업(A)'!U:U, $C$1),
    SUMIFS('자가소비(B)'!I:I, '자가소비(B)'!C:C, $E$1, '자가소비(B)'!G:G, B111, '자가소비(B)'!W:W, B114, '자가소비(B)'!U:U, $C$1),
    SUMIFS('PPA 사업(C)'!I:I, 'PPA 사업(C)'!C:C, $E$1, 'PPA 사업(C)'!G:G, B111, 'PPA 사업(C)'!W:W, B114, 'PPA 사업(C)'!U:U, $C$1),
    SUMIFS('리스사업(D)'!I:I, '리스사업(D)'!C:C, $E$1, '리스사업(D)'!G:G, B111, '리스사업(D)'!W:W, B114, '리스사업(D)'!U:U, $C$1),
    SUMIFS('임대사업(E)'!I:I, '임대사업(E)'!C:C, $E$1, '임대사업(E)'!G:G, B111, '임대사업(E)'!W:W, B114, '임대사업(E)'!U:U, $C$1),
    SUMIFS('환경부사업(F)'!I:I, '환경부사업(F)'!C:C, $E$1, '환경부사업(F)'!G:G, B111, '환경부사업(F)'!W:W, B114, '환경부사업(F)'!U:U, $C$1),
    SUMIFS('프로젝트(G)'!I:I, '프로젝트(G)'!C:C, $E$1, '프로젝트(G)'!G:G, B111, '프로젝트(G)'!W:W, B114, '프로젝트(G)'!U:U, $C$1),
    SUMIFS('협력사 EPC(H)'!I:I, '협력사 EPC(H)'!C:C, $E$1, '협력사 EPC(H)'!G:G, B111, '협력사 EPC(H)'!W:W, B114, '협력사 EPC(H)'!U:U, $C$1),
    SUMIFS('기타(Z)'!I:I, '기타(Z)'!C:C, $E$1, '기타(Z)'!G:G, B111, '기타(Z)'!W:W, B114, '기타(Z)'!U:U, $C$1)
  )
)</f>
        <v>321.27999999999997</v>
      </c>
      <c r="F114" s="281">
        <f>IF(
  SUM(
    COUNTIFS('발전사업(A)'!C:C, $E$1, '발전사업(A)'!G:G, B111, '발전사업(A)'!W:W, B114, '발전사업(A)'!U:U, $C$1),
    COUNTIFS('자가소비(B)'!C:C, $E$1, '자가소비(B)'!G:G, B111, '자가소비(B)'!W:W, B114, '자가소비(B)'!U:U, $C$1),
    COUNTIFS('PPA 사업(C)'!C:C, $E$1, 'PPA 사업(C)'!G:G, B111, 'PPA 사업(C)'!W:W, B114, 'PPA 사업(C)'!U:U, $C$1),
    COUNTIFS('리스사업(D)'!C:C, $E$1, '리스사업(D)'!G:G, B111, '리스사업(D)'!W:W, B114, '리스사업(D)'!U:U, $C$1),
    COUNTIFS('임대사업(E)'!C:C, $E$1, '임대사업(E)'!G:G, B111, '임대사업(E)'!W:W, B114, '임대사업(E)'!U:U, $C$1),
    COUNTIFS('환경부사업(F)'!C:C, $E$1, '환경부사업(F)'!G:G, B111, '환경부사업(F)'!W:W, B114, '환경부사업(F)'!U:U, $C$1),
    COUNTIFS('프로젝트(G)'!C:C, $E$1, '프로젝트(G)'!G:G, B111, '프로젝트(G)'!W:W, B114, '프로젝트(G)'!U:U, $C$1),
    COUNTIFS('협력사 EPC(H)'!C:C, $E$1, '협력사 EPC(H)'!G:G, B111, '협력사 EPC(H)'!W:W, B114, '협력사 EPC(H)'!U:U, $C$1),
    COUNTIFS('기타(Z)'!C:C, $E$1, '기타(Z)'!G:G, B111, '기타(Z)'!W:W, B114, '기타(Z)'!U:U, $C$1)
  ) = 0,
  "",
  SUM(
    COUNTIFS('발전사업(A)'!C:C, $E$1, '발전사업(A)'!G:G, B111, '발전사업(A)'!W:W, B114, '발전사업(A)'!U:U, $C$1),
    COUNTIFS('자가소비(B)'!C:C, $E$1, '자가소비(B)'!G:G, B111, '자가소비(B)'!W:W, B114, '자가소비(B)'!U:U, $C$1),
    COUNTIFS('PPA 사업(C)'!C:C, $E$1, 'PPA 사업(C)'!G:G, B111, 'PPA 사업(C)'!W:W, B114, 'PPA 사업(C)'!U:U, $C$1),
    COUNTIFS('리스사업(D)'!C:C, $E$1, '리스사업(D)'!G:G, B111, '리스사업(D)'!W:W, B114, '리스사업(D)'!U:U, $C$1),
    COUNTIFS('임대사업(E)'!C:C, $E$1, '임대사업(E)'!G:G, B111, '임대사업(E)'!W:W, B114, '임대사업(E)'!U:U, $C$1),
    COUNTIFS('환경부사업(F)'!C:C, $E$1, '환경부사업(F)'!G:G, B111, '환경부사업(F)'!W:W, B114, '환경부사업(F)'!U:U, $C$1),
    COUNTIFS('프로젝트(G)'!C:C, $E$1, '프로젝트(G)'!G:G, B111, '프로젝트(G)'!W:W, B114, '프로젝트(G)'!U:U, $C$1),
    COUNTIFS('협력사 EPC(H)'!C:C, $E$1, '협력사 EPC(H)'!G:G, B111, '협력사 EPC(H)'!W:W, B114, '협력사 EPC(H)'!U:U, $C$1),
    COUNTIFS('기타(Z)'!C:C, $E$1, '기타(Z)'!G:G, B111, '기타(Z)'!W:W, B114, '기타(Z)'!U:U, $C$1)
  )
)</f>
        <v>1</v>
      </c>
      <c r="G114" s="280">
        <f>IF(
  SUM(
    SUMIFS('발전사업(A)'!I:I, '발전사업(A)'!C:C, $E$1, '발전사업(A)'!G:G, B111, '발전사업(A)'!W:W, B114, '발전사업(A)'!U:U, $D$1),
    SUMIFS('자가소비(B)'!I:I, '자가소비(B)'!C:C, $E$1, '자가소비(B)'!G:G, B111, '자가소비(B)'!W:W, B114, '자가소비(B)'!U:U, $D$1),
    SUMIFS('PPA 사업(C)'!I:I, 'PPA 사업(C)'!C:C, $E$1, 'PPA 사업(C)'!G:G, B111, 'PPA 사업(C)'!W:W, B114, 'PPA 사업(C)'!U:U, $D$1),
    SUMIFS('리스사업(D)'!I:I, '리스사업(D)'!C:C, $E$1, '리스사업(D)'!G:G, B111, '리스사업(D)'!W:W, B114, '리스사업(D)'!U:U, $D$1),
    SUMIFS('임대사업(E)'!I:I, '임대사업(E)'!C:C, $E$1, '임대사업(E)'!G:G, B111, '임대사업(E)'!W:W, B114, '임대사업(E)'!U:U, $D$1),
    SUMIFS('환경부사업(F)'!I:I, '환경부사업(F)'!C:C, $E$1, '환경부사업(F)'!G:G, B111, '환경부사업(F)'!W:W, B114, '환경부사업(F)'!U:U, $D$1),
    SUMIFS('프로젝트(G)'!I:I, '프로젝트(G)'!C:C, $E$1, '프로젝트(G)'!G:G, B111, '프로젝트(G)'!W:W, B114, '프로젝트(G)'!U:U, $D$1),
    SUMIFS('협력사 EPC(H)'!I:I, '협력사 EPC(H)'!C:C, $E$1, '협력사 EPC(H)'!G:G, B111, '협력사 EPC(H)'!W:W, B114, '협력사 EPC(H)'!U:U, $D$1),
    SUMIFS('기타(Z)'!I:I, '기타(Z)'!C:C, $E$1, '기타(Z)'!G:G, B111, '기타(Z)'!W:W, B114, '기타(Z)'!U:U, $D$1)
  ) = 0,
  "",
  SUM(
    SUMIFS('발전사업(A)'!I:I, '발전사업(A)'!C:C, $E$1, '발전사업(A)'!G:G, B111, '발전사업(A)'!W:W, B114, '발전사업(A)'!U:U, $D$1),
    SUMIFS('자가소비(B)'!I:I, '자가소비(B)'!C:C, $E$1, '자가소비(B)'!G:G, B111, '자가소비(B)'!W:W, B114, '자가소비(B)'!U:U, $D$1),
    SUMIFS('PPA 사업(C)'!I:I, 'PPA 사업(C)'!C:C, $E$1, 'PPA 사업(C)'!G:G, B111, 'PPA 사업(C)'!W:W, B114, 'PPA 사업(C)'!U:U, $D$1),
    SUMIFS('리스사업(D)'!I:I, '리스사업(D)'!C:C, $E$1, '리스사업(D)'!G:G, B111, '리스사업(D)'!W:W, B114, '리스사업(D)'!U:U, $D$1),
    SUMIFS('임대사업(E)'!I:I, '임대사업(E)'!C:C, $E$1, '임대사업(E)'!G:G, B111, '임대사업(E)'!W:W, B114, '임대사업(E)'!U:U, $D$1),
    SUMIFS('환경부사업(F)'!I:I, '환경부사업(F)'!C:C, $E$1, '환경부사업(F)'!G:G, B111, '환경부사업(F)'!W:W, B114, '환경부사업(F)'!U:U, $D$1),
    SUMIFS('프로젝트(G)'!I:I, '프로젝트(G)'!C:C, $E$1, '프로젝트(G)'!G:G, B111, '프로젝트(G)'!W:W, B114, '프로젝트(G)'!U:U, $D$1),
    SUMIFS('협력사 EPC(H)'!I:I, '협력사 EPC(H)'!C:C, $E$1, '협력사 EPC(H)'!G:G, B111, '협력사 EPC(H)'!W:W, B114, '협력사 EPC(H)'!U:U, $D$1),
    SUMIFS('기타(Z)'!I:I, '기타(Z)'!C:C, $E$1, '기타(Z)'!G:G, B111, '기타(Z)'!W:W, B114, '기타(Z)'!U:U, $D$1)
  )
)</f>
        <v>155.52000000000001</v>
      </c>
      <c r="H114" s="281">
        <f>IF(
  (
    COUNTIFS('발전사업(A)'!C:C, $E$1, '발전사업(A)'!G:G, B111, '발전사업(A)'!W:W, B114, '발전사업(A)'!U:U, $D$1)
    + COUNTIFS('자가소비(B)'!C:C, $E$1, '자가소비(B)'!G:G, B111, '자가소비(B)'!W:W, B114, '자가소비(B)'!U:U, $D$1)
    + COUNTIFS('PPA 사업(C)'!C:C, $E$1, 'PPA 사업(C)'!G:G, B111, 'PPA 사업(C)'!W:W, B114, 'PPA 사업(C)'!U:U, $D$1)
    + COUNTIFS('리스사업(D)'!C:C, $E$1, '리스사업(D)'!G:G, B111, '리스사업(D)'!W:W, B114, '리스사업(D)'!U:U, $D$1)
    + COUNTIFS('임대사업(E)'!C:C, $E$1, '임대사업(E)'!G:G, B111, '임대사업(E)'!W:W, B114, '임대사업(E)'!U:U, $D$1)
    + COUNTIFS('환경부사업(F)'!C:C, $E$1, '환경부사업(F)'!G:G, B111, '환경부사업(F)'!W:W, B114, '환경부사업(F)'!U:U, $D$1)
    + COUNTIFS('프로젝트(G)'!C:C, $E$1, '프로젝트(G)'!G:G, B111, '프로젝트(G)'!W:W, B114, '프로젝트(G)'!U:U, $D$1)
    + COUNTIFS('협력사 EPC(H)'!C:C, $E$1, '협력사 EPC(H)'!G:G, B111, '협력사 EPC(H)'!W:W, B114, '협력사 EPC(H)'!U:U, $D$1)
    + COUNTIFS('기타(Z)'!C:C, $E$1, '기타(Z)'!G:G, B111, '기타(Z)'!W:W, B114, '기타(Z)'!U:U, $D$1)
  ) = 0,
  "",
  COUNTIFS('발전사업(A)'!C:C, $E$1, '발전사업(A)'!G:G, B111, '발전사업(A)'!W:W, B114, '발전사업(A)'!U:U, $D$1)
  + COUNTIFS('자가소비(B)'!C:C, $E$1, '자가소비(B)'!G:G, B111, '자가소비(B)'!W:W, B114, '자가소비(B)'!U:U, $D$1)
  + COUNTIFS('PPA 사업(C)'!C:C, $E$1, 'PPA 사업(C)'!G:G, B111, 'PPA 사업(C)'!W:W, B114, 'PPA 사업(C)'!U:U, $D$1)
  + COUNTIFS('리스사업(D)'!C:C, $E$1, '리스사업(D)'!G:G, B111, '리스사업(D)'!W:W, B114, '리스사업(D)'!U:U, $D$1)
  + COUNTIFS('임대사업(E)'!C:C, $E$1, '임대사업(E)'!G:G, B111, '임대사업(E)'!W:W, B114, '임대사업(E)'!U:U, $D$1)
  + COUNTIFS('환경부사업(F)'!C:C, $E$1, '환경부사업(F)'!G:G, B111, '환경부사업(F)'!W:W, B114, '환경부사업(F)'!U:U, $D$1)
  + COUNTIFS('프로젝트(G)'!C:C, $E$1, '프로젝트(G)'!G:G, B111, '프로젝트(G)'!W:W, B114, '프로젝트(G)'!U:U, $D$1)
  + COUNTIFS('협력사 EPC(H)'!C:C, $E$1, '협력사 EPC(H)'!G:G, B111, '협력사 EPC(H)'!W:W, B114, '협력사 EPC(H)'!U:U, $D$1)
  + COUNTIFS('기타(Z)'!C:C, $E$1, '기타(Z)'!G:G, B111, '기타(Z)'!W:W, B114, '기타(Z)'!U:U, $D$1)
)</f>
        <v>3</v>
      </c>
    </row>
    <row r="115" spans="2:8" x14ac:dyDescent="0.25">
      <c r="B115" s="202" t="s">
        <v>261</v>
      </c>
      <c r="C115" s="280" t="str">
        <f>IF(
  SUM(
    SUMIFS('발전사업(A)'!I:I, '발전사업(A)'!C:C, $E$1, '발전사업(A)'!G:G, B111, '발전사업(A)'!W:W, B115),
    SUMIFS('자가소비(B)'!I:I, '자가소비(B)'!C:C, $E$1, '자가소비(B)'!G:G, B111, '자가소비(B)'!W:W, B115),
    SUMIFS('PPA 사업(C)'!I:I, 'PPA 사업(C)'!C:C, $E$1, 'PPA 사업(C)'!G:G, B111, 'PPA 사업(C)'!W:W, B115),
    SUMIFS('리스사업(D)'!I:I, '리스사업(D)'!C:C, $E$1, '리스사업(D)'!G:G, B111, '리스사업(D)'!W:W, B115),
    SUMIFS('임대사업(E)'!I:I, '임대사업(E)'!C:C, $E$1, '임대사업(E)'!G:G, B111, '임대사업(E)'!W:W, B115),
    SUMIFS('환경부사업(F)'!I:I, '환경부사업(F)'!C:C, $E$1, '환경부사업(F)'!G:G, B111, '환경부사업(F)'!W:W, B115),
    SUMIFS('프로젝트(G)'!I:I, '프로젝트(G)'!C:C, $E$1, '프로젝트(G)'!G:G, B111, '프로젝트(G)'!W:W, B115),
    SUMIFS('협력사 EPC(H)'!I:I, '협력사 EPC(H)'!C:C, $E$1, '협력사 EPC(H)'!G:G, B111, '협력사 EPC(H)'!W:W, B115),
    SUMIFS('기타(Z)'!I:I, '기타(Z)'!C:C, $E$1, '기타(Z)'!G:G, B111, '기타(Z)'!W:W, B115)
  ) = 0,
  "",
  SUMIFS('발전사업(A)'!I:I, '발전사업(A)'!C:C, $E$1, '발전사업(A)'!G:G, B111, '발전사업(A)'!W:W, B115)
  + SUMIFS('자가소비(B)'!I:I, '자가소비(B)'!C:C, $E$1, '자가소비(B)'!G:G, B111, '자가소비(B)'!W:W, B115)
  + SUMIFS('PPA 사업(C)'!I:I, 'PPA 사업(C)'!C:C, $E$1, 'PPA 사업(C)'!G:G, B111, 'PPA 사업(C)'!W:W, B115)
  + SUMIFS('리스사업(D)'!I:I, '리스사업(D)'!C:C, $E$1, '리스사업(D)'!G:G, B111, '리스사업(D)'!W:W, B115)
  + SUMIFS('임대사업(E)'!I:I, '임대사업(E)'!C:C, $E$1, '임대사업(E)'!G:G, B111, '임대사업(E)'!W:W, B115)
  + SUMIFS('환경부사업(F)'!I:I, '환경부사업(F)'!C:C, $E$1, '환경부사업(F)'!G:G, B111, '환경부사업(F)'!W:W, B115)
  + SUMIFS('프로젝트(G)'!I:I, '프로젝트(G)'!C:C, $E$1, '프로젝트(G)'!G:G, B111, '프로젝트(G)'!W:W, B115)
  + SUMIFS('협력사 EPC(H)'!I:I, '협력사 EPC(H)'!C:C, $E$1, '협력사 EPC(H)'!G:G, B111, '협력사 EPC(H)'!W:W, B115)
  + SUMIFS('기타(Z)'!I:I, '기타(Z)'!C:C, $E$1, '기타(Z)'!G:G, B111, '기타(Z)'!W:W, B115)
)</f>
        <v/>
      </c>
      <c r="D115" s="281" t="str">
        <f>IF(
  COUNTIFS('발전사업(A)'!C:C, $E$1, '발전사업(A)'!G:G, B111, '발전사업(A)'!W:W, B115)
  + COUNTIFS('자가소비(B)'!C:C, $E$1, '자가소비(B)'!G:G, B111, '자가소비(B)'!W:W, B115)
  + COUNTIFS('PPA 사업(C)'!C:C, $E$1, 'PPA 사업(C)'!G:G, B111, 'PPA 사업(C)'!W:W, B115)
  + COUNTIFS('리스사업(D)'!C:C, $E$1, '리스사업(D)'!G:G, B111, '리스사업(D)'!W:W, B115)
  + COUNTIFS('임대사업(E)'!C:C, $E$1, '임대사업(E)'!G:G, B111, '임대사업(E)'!W:W, B115)
  + COUNTIFS('환경부사업(F)'!C:C, $E$1, '환경부사업(F)'!G:G, B111, '환경부사업(F)'!W:W, B115)
  + COUNTIFS('프로젝트(G)'!C:C, $E$1, '프로젝트(G)'!G:G, B111, '프로젝트(G)'!W:W, B115)
  + COUNTIFS('협력사 EPC(H)'!C:C, $E$1, '협력사 EPC(H)'!G:G, B111, '협력사 EPC(H)'!W:W, B115)
  + COUNTIFS('기타(Z)'!C:C, $E$1, '기타(Z)'!G:G, B111, '기타(Z)'!W:W, B115)
  = 0,
  "",
  COUNTIFS('발전사업(A)'!C:C, $E$1, '발전사업(A)'!G:G, B111, '발전사업(A)'!W:W, B115)
  + COUNTIFS('자가소비(B)'!C:C, $E$1, '자가소비(B)'!G:G, B111, '자가소비(B)'!W:W, B115)
  + COUNTIFS('PPA 사업(C)'!C:C, $E$1, 'PPA 사업(C)'!G:G, B111, 'PPA 사업(C)'!W:W, B115)
  + COUNTIFS('리스사업(D)'!C:C, $E$1, '리스사업(D)'!G:G, B111, '리스사업(D)'!W:W, B115)
  + COUNTIFS('임대사업(E)'!C:C, $E$1, '임대사업(E)'!G:G, B111, '임대사업(E)'!W:W, B115)
  + COUNTIFS('환경부사업(F)'!C:C, $E$1, '환경부사업(F)'!G:G, B111, '환경부사업(F)'!W:W, B115)
  + COUNTIFS('프로젝트(G)'!C:C, $E$1, '프로젝트(G)'!G:G, B111, '프로젝트(G)'!W:W, B115)
  + COUNTIFS('협력사 EPC(H)'!C:C, $E$1, '협력사 EPC(H)'!G:G, B111, '협력사 EPC(H)'!W:W, B115)
  + COUNTIFS('기타(Z)'!C:C, $E$1, '기타(Z)'!G:G, B111, '기타(Z)'!W:W, B115)
)</f>
        <v/>
      </c>
      <c r="E115" s="280" t="str">
        <f>IF(
  SUM(
    SUMIFS('발전사업(A)'!I:I, '발전사업(A)'!C:C, $E$1, '발전사업(A)'!G:G, B111, '발전사업(A)'!W:W, B115, '발전사업(A)'!U:U, $C$1),
    SUMIFS('자가소비(B)'!I:I, '자가소비(B)'!C:C, $E$1, '자가소비(B)'!G:G, B111, '자가소비(B)'!W:W, B115, '자가소비(B)'!U:U, $C$1),
    SUMIFS('PPA 사업(C)'!I:I, 'PPA 사업(C)'!C:C, $E$1, 'PPA 사업(C)'!G:G, B111, 'PPA 사업(C)'!W:W, B115, 'PPA 사업(C)'!U:U, $C$1),
    SUMIFS('리스사업(D)'!I:I, '리스사업(D)'!C:C, $E$1, '리스사업(D)'!G:G, B111, '리스사업(D)'!W:W, B115, '리스사업(D)'!U:U, $C$1),
    SUMIFS('임대사업(E)'!I:I, '임대사업(E)'!C:C, $E$1, '임대사업(E)'!G:G, B111, '임대사업(E)'!W:W, B115, '임대사업(E)'!U:U, $C$1),
    SUMIFS('환경부사업(F)'!I:I, '환경부사업(F)'!C:C, $E$1, '환경부사업(F)'!G:G, B111, '환경부사업(F)'!W:W, B115, '환경부사업(F)'!U:U, $C$1),
    SUMIFS('프로젝트(G)'!I:I, '프로젝트(G)'!C:C, $E$1, '프로젝트(G)'!G:G, B111, '프로젝트(G)'!W:W, B115, '프로젝트(G)'!U:U, $C$1),
    SUMIFS('협력사 EPC(H)'!I:I, '협력사 EPC(H)'!C:C, $E$1, '협력사 EPC(H)'!G:G, B111, '협력사 EPC(H)'!W:W, B115, '협력사 EPC(H)'!U:U, $C$1),
    SUMIFS('기타(Z)'!I:I, '기타(Z)'!C:C, $E$1, '기타(Z)'!G:G, B111, '기타(Z)'!W:W, B115, '기타(Z)'!U:U, $C$1)
  ) = 0,
  "",
  SUM(
    SUMIFS('발전사업(A)'!I:I, '발전사업(A)'!C:C, $E$1, '발전사업(A)'!G:G, B111, '발전사업(A)'!W:W, B115, '발전사업(A)'!U:U, $C$1),
    SUMIFS('자가소비(B)'!I:I, '자가소비(B)'!C:C, $E$1, '자가소비(B)'!G:G, B111, '자가소비(B)'!W:W, B115, '자가소비(B)'!U:U, $C$1),
    SUMIFS('PPA 사업(C)'!I:I, 'PPA 사업(C)'!C:C, $E$1, 'PPA 사업(C)'!G:G, B111, 'PPA 사업(C)'!W:W, B115, 'PPA 사업(C)'!U:U, $C$1),
    SUMIFS('리스사업(D)'!I:I, '리스사업(D)'!C:C, $E$1, '리스사업(D)'!G:G, B111, '리스사업(D)'!W:W, B115, '리스사업(D)'!U:U, $C$1),
    SUMIFS('임대사업(E)'!I:I, '임대사업(E)'!C:C, $E$1, '임대사업(E)'!G:G, B111, '임대사업(E)'!W:W, B115, '임대사업(E)'!U:U, $C$1),
    SUMIFS('환경부사업(F)'!I:I, '환경부사업(F)'!C:C, $E$1, '환경부사업(F)'!G:G, B111, '환경부사업(F)'!W:W, B115, '환경부사업(F)'!U:U, $C$1),
    SUMIFS('프로젝트(G)'!I:I, '프로젝트(G)'!C:C, $E$1, '프로젝트(G)'!G:G, B111, '프로젝트(G)'!W:W, B115, '프로젝트(G)'!U:U, $C$1),
    SUMIFS('협력사 EPC(H)'!I:I, '협력사 EPC(H)'!C:C, $E$1, '협력사 EPC(H)'!G:G, B111, '협력사 EPC(H)'!W:W, B115, '협력사 EPC(H)'!U:U, $C$1),
    SUMIFS('기타(Z)'!I:I, '기타(Z)'!C:C, $E$1, '기타(Z)'!G:G, B111, '기타(Z)'!W:W, B115, '기타(Z)'!U:U, $C$1)
  )
)</f>
        <v/>
      </c>
      <c r="F115" s="281" t="str">
        <f>IF(
  SUM(
    COUNTIFS('발전사업(A)'!C:C, $E$1, '발전사업(A)'!G:G, B111, '발전사업(A)'!W:W, B115, '발전사업(A)'!U:U, $C$1),
    COUNTIFS('자가소비(B)'!C:C, $E$1, '자가소비(B)'!G:G, B111, '자가소비(B)'!W:W, B115, '자가소비(B)'!U:U, $C$1),
    COUNTIFS('PPA 사업(C)'!C:C, $E$1, 'PPA 사업(C)'!G:G, B111, 'PPA 사업(C)'!W:W, B115, 'PPA 사업(C)'!U:U, $C$1),
    COUNTIFS('리스사업(D)'!C:C, $E$1, '리스사업(D)'!G:G, B111, '리스사업(D)'!W:W, B115, '리스사업(D)'!U:U, $C$1),
    COUNTIFS('임대사업(E)'!C:C, $E$1, '임대사업(E)'!G:G, B111, '임대사업(E)'!W:W, B115, '임대사업(E)'!U:U, $C$1),
    COUNTIFS('환경부사업(F)'!C:C, $E$1, '환경부사업(F)'!G:G, B111, '환경부사업(F)'!W:W, B115, '환경부사업(F)'!U:U, $C$1),
    COUNTIFS('프로젝트(G)'!C:C, $E$1, '프로젝트(G)'!G:G, B111, '프로젝트(G)'!W:W, B115, '프로젝트(G)'!U:U, $C$1),
    COUNTIFS('협력사 EPC(H)'!C:C, $E$1, '협력사 EPC(H)'!G:G, B111, '협력사 EPC(H)'!W:W, B115, '협력사 EPC(H)'!U:U, $C$1),
    COUNTIFS('기타(Z)'!C:C, $E$1, '기타(Z)'!G:G, B111, '기타(Z)'!W:W, B115, '기타(Z)'!U:U, $C$1)
  ) = 0,
  "",
  SUM(
    COUNTIFS('발전사업(A)'!C:C, $E$1, '발전사업(A)'!G:G, B111, '발전사업(A)'!W:W, B115, '발전사업(A)'!U:U, $C$1),
    COUNTIFS('자가소비(B)'!C:C, $E$1, '자가소비(B)'!G:G, B111, '자가소비(B)'!W:W, B115, '자가소비(B)'!U:U, $C$1),
    COUNTIFS('PPA 사업(C)'!C:C, $E$1, 'PPA 사업(C)'!G:G, B111, 'PPA 사업(C)'!W:W, B115, 'PPA 사업(C)'!U:U, $C$1),
    COUNTIFS('리스사업(D)'!C:C, $E$1, '리스사업(D)'!G:G, B111, '리스사업(D)'!W:W, B115, '리스사업(D)'!U:U, $C$1),
    COUNTIFS('임대사업(E)'!C:C, $E$1, '임대사업(E)'!G:G, B111, '임대사업(E)'!W:W, B115, '임대사업(E)'!U:U, $C$1),
    COUNTIFS('환경부사업(F)'!C:C, $E$1, '환경부사업(F)'!G:G, B111, '환경부사업(F)'!W:W, B115, '환경부사업(F)'!U:U, $C$1),
    COUNTIFS('프로젝트(G)'!C:C, $E$1, '프로젝트(G)'!G:G, B111, '프로젝트(G)'!W:W, B115, '프로젝트(G)'!U:U, $C$1),
    COUNTIFS('협력사 EPC(H)'!C:C, $E$1, '협력사 EPC(H)'!G:G, B111, '협력사 EPC(H)'!W:W, B115, '협력사 EPC(H)'!U:U, $C$1),
    COUNTIFS('기타(Z)'!C:C, $E$1, '기타(Z)'!G:G, B111, '기타(Z)'!W:W, B115, '기타(Z)'!U:U, $C$1)
  )
)</f>
        <v/>
      </c>
      <c r="G115" s="280" t="str">
        <f>IF(
  SUM(
    SUMIFS('발전사업(A)'!I:I, '발전사업(A)'!C:C, $E$1, '발전사업(A)'!G:G, B111, '발전사업(A)'!W:W, B115, '발전사업(A)'!U:U, $D$1),
    SUMIFS('자가소비(B)'!I:I, '자가소비(B)'!C:C, $E$1, '자가소비(B)'!G:G, B111, '자가소비(B)'!W:W, B115, '자가소비(B)'!U:U, $D$1),
    SUMIFS('PPA 사업(C)'!I:I, 'PPA 사업(C)'!C:C, $E$1, 'PPA 사업(C)'!G:G, B111, 'PPA 사업(C)'!W:W, B115, 'PPA 사업(C)'!U:U, $D$1),
    SUMIFS('리스사업(D)'!I:I, '리스사업(D)'!C:C, $E$1, '리스사업(D)'!G:G, B111, '리스사업(D)'!W:W, B115, '리스사업(D)'!U:U, $D$1),
    SUMIFS('임대사업(E)'!I:I, '임대사업(E)'!C:C, $E$1, '임대사업(E)'!G:G, B111, '임대사업(E)'!W:W, B115, '임대사업(E)'!U:U, $D$1),
    SUMIFS('환경부사업(F)'!I:I, '환경부사업(F)'!C:C, $E$1, '환경부사업(F)'!G:G, B111, '환경부사업(F)'!W:W, B115, '환경부사업(F)'!U:U, $D$1),
    SUMIFS('프로젝트(G)'!I:I, '프로젝트(G)'!C:C, $E$1, '프로젝트(G)'!G:G, B111, '프로젝트(G)'!W:W, B115, '프로젝트(G)'!U:U, $D$1),
    SUMIFS('협력사 EPC(H)'!I:I, '협력사 EPC(H)'!C:C, $E$1, '협력사 EPC(H)'!G:G, B111, '협력사 EPC(H)'!W:W, B115, '협력사 EPC(H)'!U:U, $D$1),
    SUMIFS('기타(Z)'!I:I, '기타(Z)'!C:C, $E$1, '기타(Z)'!G:G, B111, '기타(Z)'!W:W, B115, '기타(Z)'!U:U, $D$1)
  ) = 0,
  "",
  SUM(
    SUMIFS('발전사업(A)'!I:I, '발전사업(A)'!C:C, $E$1, '발전사업(A)'!G:G, B111, '발전사업(A)'!W:W, B115, '발전사업(A)'!U:U, $D$1),
    SUMIFS('자가소비(B)'!I:I, '자가소비(B)'!C:C, $E$1, '자가소비(B)'!G:G, B111, '자가소비(B)'!W:W, B115, '자가소비(B)'!U:U, $D$1),
    SUMIFS('PPA 사업(C)'!I:I, 'PPA 사업(C)'!C:C, $E$1, 'PPA 사업(C)'!G:G, B111, 'PPA 사업(C)'!W:W, B115, 'PPA 사업(C)'!U:U, $D$1),
    SUMIFS('리스사업(D)'!I:I, '리스사업(D)'!C:C, $E$1, '리스사업(D)'!G:G, B111, '리스사업(D)'!W:W, B115, '리스사업(D)'!U:U, $D$1),
    SUMIFS('임대사업(E)'!I:I, '임대사업(E)'!C:C, $E$1, '임대사업(E)'!G:G, B111, '임대사업(E)'!W:W, B115, '임대사업(E)'!U:U, $D$1),
    SUMIFS('환경부사업(F)'!I:I, '환경부사업(F)'!C:C, $E$1, '환경부사업(F)'!G:G, B111, '환경부사업(F)'!W:W, B115, '환경부사업(F)'!U:U, $D$1),
    SUMIFS('프로젝트(G)'!I:I, '프로젝트(G)'!C:C, $E$1, '프로젝트(G)'!G:G, B111, '프로젝트(G)'!W:W, B115, '프로젝트(G)'!U:U, $D$1),
    SUMIFS('협력사 EPC(H)'!I:I, '협력사 EPC(H)'!C:C, $E$1, '협력사 EPC(H)'!G:G, B111, '협력사 EPC(H)'!W:W, B115, '협력사 EPC(H)'!U:U, $D$1),
    SUMIFS('기타(Z)'!I:I, '기타(Z)'!C:C, $E$1, '기타(Z)'!G:G, B111, '기타(Z)'!W:W, B115, '기타(Z)'!U:U, $D$1)
  )
)</f>
        <v/>
      </c>
      <c r="H115" s="281" t="str">
        <f>IF(
  (
    COUNTIFS('발전사업(A)'!C:C, $E$1, '발전사업(A)'!G:G, B111, '발전사업(A)'!W:W, B115, '발전사업(A)'!U:U, $D$1)
    + COUNTIFS('자가소비(B)'!C:C, $E$1, '자가소비(B)'!G:G, B111, '자가소비(B)'!W:W, B115, '자가소비(B)'!U:U, $D$1)
    + COUNTIFS('PPA 사업(C)'!C:C, $E$1, 'PPA 사업(C)'!G:G, B111, 'PPA 사업(C)'!W:W, B115, 'PPA 사업(C)'!U:U, $D$1)
    + COUNTIFS('리스사업(D)'!C:C, $E$1, '리스사업(D)'!G:G, B111, '리스사업(D)'!W:W, B115, '리스사업(D)'!U:U, $D$1)
    + COUNTIFS('임대사업(E)'!C:C, $E$1, '임대사업(E)'!G:G, B111, '임대사업(E)'!W:W, B115, '임대사업(E)'!U:U, $D$1)
    + COUNTIFS('환경부사업(F)'!C:C, $E$1, '환경부사업(F)'!G:G, B111, '환경부사업(F)'!W:W, B115, '환경부사업(F)'!U:U, $D$1)
    + COUNTIFS('프로젝트(G)'!C:C, $E$1, '프로젝트(G)'!G:G, B111, '프로젝트(G)'!W:W, B115, '프로젝트(G)'!U:U, $D$1)
    + COUNTIFS('협력사 EPC(H)'!C:C, $E$1, '협력사 EPC(H)'!G:G, B111, '협력사 EPC(H)'!W:W, B115, '협력사 EPC(H)'!U:U, $D$1)
    + COUNTIFS('기타(Z)'!C:C, $E$1, '기타(Z)'!G:G, B111, '기타(Z)'!W:W, B115, '기타(Z)'!U:U, $D$1)
  ) = 0,
  "",
  COUNTIFS('발전사업(A)'!C:C, $E$1, '발전사업(A)'!G:G, B111, '발전사업(A)'!W:W, B115, '발전사업(A)'!U:U, $D$1)
  + COUNTIFS('자가소비(B)'!C:C, $E$1, '자가소비(B)'!G:G, B111, '자가소비(B)'!W:W, B115, '자가소비(B)'!U:U, $D$1)
  + COUNTIFS('PPA 사업(C)'!C:C, $E$1, 'PPA 사업(C)'!G:G, B111, 'PPA 사업(C)'!W:W, B115, 'PPA 사업(C)'!U:U, $D$1)
  + COUNTIFS('리스사업(D)'!C:C, $E$1, '리스사업(D)'!G:G, B111, '리스사업(D)'!W:W, B115, '리스사업(D)'!U:U, $D$1)
  + COUNTIFS('임대사업(E)'!C:C, $E$1, '임대사업(E)'!G:G, B111, '임대사업(E)'!W:W, B115, '임대사업(E)'!U:U, $D$1)
  + COUNTIFS('환경부사업(F)'!C:C, $E$1, '환경부사업(F)'!G:G, B111, '환경부사업(F)'!W:W, B115, '환경부사업(F)'!U:U, $D$1)
  + COUNTIFS('프로젝트(G)'!C:C, $E$1, '프로젝트(G)'!G:G, B111, '프로젝트(G)'!W:W, B115, '프로젝트(G)'!U:U, $D$1)
  + COUNTIFS('협력사 EPC(H)'!C:C, $E$1, '협력사 EPC(H)'!G:G, B111, '협력사 EPC(H)'!W:W, B115, '협력사 EPC(H)'!U:U, $D$1)
  + COUNTIFS('기타(Z)'!C:C, $E$1, '기타(Z)'!G:G, B111, '기타(Z)'!W:W, B115, '기타(Z)'!U:U, $D$1)
)</f>
        <v/>
      </c>
    </row>
    <row r="116" spans="2:8" x14ac:dyDescent="0.25">
      <c r="B116" s="202" t="s">
        <v>262</v>
      </c>
      <c r="C116" s="280">
        <f>IF(
  SUM(
    SUMIFS('발전사업(A)'!I:I, '발전사업(A)'!C:C, $E$1, '발전사업(A)'!G:G, B111, '발전사업(A)'!W:W, B116),
    SUMIFS('자가소비(B)'!I:I, '자가소비(B)'!C:C, $E$1, '자가소비(B)'!G:G, B111, '자가소비(B)'!W:W, B116),
    SUMIFS('PPA 사업(C)'!I:I, 'PPA 사업(C)'!C:C, $E$1, 'PPA 사업(C)'!G:G, B111, 'PPA 사업(C)'!W:W, B116),
    SUMIFS('리스사업(D)'!I:I, '리스사업(D)'!C:C, $E$1, '리스사업(D)'!G:G, B111, '리스사업(D)'!W:W, B116),
    SUMIFS('임대사업(E)'!I:I, '임대사업(E)'!C:C, $E$1, '임대사업(E)'!G:G, B111, '임대사업(E)'!W:W, B116),
    SUMIFS('환경부사업(F)'!I:I, '환경부사업(F)'!C:C, $E$1, '환경부사업(F)'!G:G, B111, '환경부사업(F)'!W:W, B116),
    SUMIFS('프로젝트(G)'!I:I, '프로젝트(G)'!C:C, $E$1, '프로젝트(G)'!G:G, B111, '프로젝트(G)'!W:W, B116),
    SUMIFS('협력사 EPC(H)'!I:I, '협력사 EPC(H)'!C:C, $E$1, '협력사 EPC(H)'!G:G, B111, '협력사 EPC(H)'!W:W, B116),
    SUMIFS('기타(Z)'!I:I, '기타(Z)'!C:C, $E$1, '기타(Z)'!G:G, B111, '기타(Z)'!W:W, B116)
  ) = 0,
  "",
  SUMIFS('발전사업(A)'!I:I, '발전사업(A)'!C:C, $E$1, '발전사업(A)'!G:G, B111, '발전사업(A)'!W:W, B116)
  + SUMIFS('자가소비(B)'!I:I, '자가소비(B)'!C:C, $E$1, '자가소비(B)'!G:G, B111, '자가소비(B)'!W:W, B116)
  + SUMIFS('PPA 사업(C)'!I:I, 'PPA 사업(C)'!C:C, $E$1, 'PPA 사업(C)'!G:G, B111, 'PPA 사업(C)'!W:W, B116)
  + SUMIFS('리스사업(D)'!I:I, '리스사업(D)'!C:C, $E$1, '리스사업(D)'!G:G, B111, '리스사업(D)'!W:W, B116)
  + SUMIFS('임대사업(E)'!I:I, '임대사업(E)'!C:C, $E$1, '임대사업(E)'!G:G, B111, '임대사업(E)'!W:W, B116)
  + SUMIFS('환경부사업(F)'!I:I, '환경부사업(F)'!C:C, $E$1, '환경부사업(F)'!G:G, B111, '환경부사업(F)'!W:W, B116)
  + SUMIFS('프로젝트(G)'!I:I, '프로젝트(G)'!C:C, $E$1, '프로젝트(G)'!G:G, B111, '프로젝트(G)'!W:W, B116)
  + SUMIFS('협력사 EPC(H)'!I:I, '협력사 EPC(H)'!C:C, $E$1, '협력사 EPC(H)'!G:G, B111, '협력사 EPC(H)'!W:W, B116)
  + SUMIFS('기타(Z)'!I:I, '기타(Z)'!C:C, $E$1, '기타(Z)'!G:G, B111, '기타(Z)'!W:W, B116)
)</f>
        <v>171.51999999999998</v>
      </c>
      <c r="D116" s="281">
        <f>IF(
  COUNTIFS('발전사업(A)'!C:C, $E$1, '발전사업(A)'!G:G, B111, '발전사업(A)'!W:W, B116)
  + COUNTIFS('자가소비(B)'!C:C, $E$1, '자가소비(B)'!G:G, B111, '자가소비(B)'!W:W, B116)
  + COUNTIFS('PPA 사업(C)'!C:C, $E$1, 'PPA 사업(C)'!G:G, B111, 'PPA 사업(C)'!W:W, B116)
  + COUNTIFS('리스사업(D)'!C:C, $E$1, '리스사업(D)'!G:G, B111, '리스사업(D)'!W:W, B116)
  + COUNTIFS('임대사업(E)'!C:C, $E$1, '임대사업(E)'!G:G, B111, '임대사업(E)'!W:W, B116)
  + COUNTIFS('환경부사업(F)'!C:C, $E$1, '환경부사업(F)'!G:G, B111, '환경부사업(F)'!W:W, B116)
  + COUNTIFS('프로젝트(G)'!C:C, $E$1, '프로젝트(G)'!G:G, B111, '프로젝트(G)'!W:W, B116)
  + COUNTIFS('협력사 EPC(H)'!C:C, $E$1, '협력사 EPC(H)'!G:G, B111, '협력사 EPC(H)'!W:W, B116)
  + COUNTIFS('기타(Z)'!C:C, $E$1, '기타(Z)'!G:G, B111, '기타(Z)'!W:W, B116)
  = 0,
  "",
  COUNTIFS('발전사업(A)'!C:C, $E$1, '발전사업(A)'!G:G, B111, '발전사업(A)'!W:W, B116)
  + COUNTIFS('자가소비(B)'!C:C, $E$1, '자가소비(B)'!G:G, B111, '자가소비(B)'!W:W, B116)
  + COUNTIFS('PPA 사업(C)'!C:C, $E$1, 'PPA 사업(C)'!G:G, B111, 'PPA 사업(C)'!W:W, B116)
  + COUNTIFS('리스사업(D)'!C:C, $E$1, '리스사업(D)'!G:G, B111, '리스사업(D)'!W:W, B116)
  + COUNTIFS('임대사업(E)'!C:C, $E$1, '임대사업(E)'!G:G, B111, '임대사업(E)'!W:W, B116)
  + COUNTIFS('환경부사업(F)'!C:C, $E$1, '환경부사업(F)'!G:G, B111, '환경부사업(F)'!W:W, B116)
  + COUNTIFS('프로젝트(G)'!C:C, $E$1, '프로젝트(G)'!G:G, B111, '프로젝트(G)'!W:W, B116)
  + COUNTIFS('협력사 EPC(H)'!C:C, $E$1, '협력사 EPC(H)'!G:G, B111, '협력사 EPC(H)'!W:W, B116)
  + COUNTIFS('기타(Z)'!C:C, $E$1, '기타(Z)'!G:G, B111, '기타(Z)'!W:W, B116)
)</f>
        <v>2</v>
      </c>
      <c r="E116" s="280">
        <f>IF(
  SUM(
    SUMIFS('발전사업(A)'!I:I, '발전사업(A)'!C:C, $E$1, '발전사업(A)'!G:G, B111, '발전사업(A)'!W:W, B116, '발전사업(A)'!U:U, $C$1),
    SUMIFS('자가소비(B)'!I:I, '자가소비(B)'!C:C, $E$1, '자가소비(B)'!G:G, B111, '자가소비(B)'!W:W, B116, '자가소비(B)'!U:U, $C$1),
    SUMIFS('PPA 사업(C)'!I:I, 'PPA 사업(C)'!C:C, $E$1, 'PPA 사업(C)'!G:G, B111, 'PPA 사업(C)'!W:W, B116, 'PPA 사업(C)'!U:U, $C$1),
    SUMIFS('리스사업(D)'!I:I, '리스사업(D)'!C:C, $E$1, '리스사업(D)'!G:G, B111, '리스사업(D)'!W:W, B116, '리스사업(D)'!U:U, $C$1),
    SUMIFS('임대사업(E)'!I:I, '임대사업(E)'!C:C, $E$1, '임대사업(E)'!G:G, B111, '임대사업(E)'!W:W, B116, '임대사업(E)'!U:U, $C$1),
    SUMIFS('환경부사업(F)'!I:I, '환경부사업(F)'!C:C, $E$1, '환경부사업(F)'!G:G, B111, '환경부사업(F)'!W:W, B116, '환경부사업(F)'!U:U, $C$1),
    SUMIFS('프로젝트(G)'!I:I, '프로젝트(G)'!C:C, $E$1, '프로젝트(G)'!G:G, B111, '프로젝트(G)'!W:W, B116, '프로젝트(G)'!U:U, $C$1),
    SUMIFS('협력사 EPC(H)'!I:I, '협력사 EPC(H)'!C:C, $E$1, '협력사 EPC(H)'!G:G, B111, '협력사 EPC(H)'!W:W, B116, '협력사 EPC(H)'!U:U, $C$1),
    SUMIFS('기타(Z)'!I:I, '기타(Z)'!C:C, $E$1, '기타(Z)'!G:G, B111, '기타(Z)'!W:W, B116, '기타(Z)'!U:U, $C$1)
  ) = 0,
  "",
  SUM(
    SUMIFS('발전사업(A)'!I:I, '발전사업(A)'!C:C, $E$1, '발전사업(A)'!G:G, B111, '발전사업(A)'!W:W, B116, '발전사업(A)'!U:U, $C$1),
    SUMIFS('자가소비(B)'!I:I, '자가소비(B)'!C:C, $E$1, '자가소비(B)'!G:G, B111, '자가소비(B)'!W:W, B116, '자가소비(B)'!U:U, $C$1),
    SUMIFS('PPA 사업(C)'!I:I, 'PPA 사업(C)'!C:C, $E$1, 'PPA 사업(C)'!G:G, B111, 'PPA 사업(C)'!W:W, B116, 'PPA 사업(C)'!U:U, $C$1),
    SUMIFS('리스사업(D)'!I:I, '리스사업(D)'!C:C, $E$1, '리스사업(D)'!G:G, B111, '리스사업(D)'!W:W, B116, '리스사업(D)'!U:U, $C$1),
    SUMIFS('임대사업(E)'!I:I, '임대사업(E)'!C:C, $E$1, '임대사업(E)'!G:G, B111, '임대사업(E)'!W:W, B116, '임대사업(E)'!U:U, $C$1),
    SUMIFS('환경부사업(F)'!I:I, '환경부사업(F)'!C:C, $E$1, '환경부사업(F)'!G:G, B111, '환경부사업(F)'!W:W, B116, '환경부사업(F)'!U:U, $C$1),
    SUMIFS('프로젝트(G)'!I:I, '프로젝트(G)'!C:C, $E$1, '프로젝트(G)'!G:G, B111, '프로젝트(G)'!W:W, B116, '프로젝트(G)'!U:U, $C$1),
    SUMIFS('협력사 EPC(H)'!I:I, '협력사 EPC(H)'!C:C, $E$1, '협력사 EPC(H)'!G:G, B111, '협력사 EPC(H)'!W:W, B116, '협력사 EPC(H)'!U:U, $C$1),
    SUMIFS('기타(Z)'!I:I, '기타(Z)'!C:C, $E$1, '기타(Z)'!G:G, B111, '기타(Z)'!W:W, B116, '기타(Z)'!U:U, $C$1)
  )
)</f>
        <v>89.6</v>
      </c>
      <c r="F116" s="281">
        <f>IF(
  SUM(
    COUNTIFS('발전사업(A)'!C:C, $E$1, '발전사업(A)'!G:G, B111, '발전사업(A)'!W:W, B116, '발전사업(A)'!U:U, $C$1),
    COUNTIFS('자가소비(B)'!C:C, $E$1, '자가소비(B)'!G:G, B111, '자가소비(B)'!W:W, B116, '자가소비(B)'!U:U, $C$1),
    COUNTIFS('PPA 사업(C)'!C:C, $E$1, 'PPA 사업(C)'!G:G, B111, 'PPA 사업(C)'!W:W, B116, 'PPA 사업(C)'!U:U, $C$1),
    COUNTIFS('리스사업(D)'!C:C, $E$1, '리스사업(D)'!G:G, B111, '리스사업(D)'!W:W, B116, '리스사업(D)'!U:U, $C$1),
    COUNTIFS('임대사업(E)'!C:C, $E$1, '임대사업(E)'!G:G, B111, '임대사업(E)'!W:W, B116, '임대사업(E)'!U:U, $C$1),
    COUNTIFS('환경부사업(F)'!C:C, $E$1, '환경부사업(F)'!G:G, B111, '환경부사업(F)'!W:W, B116, '환경부사업(F)'!U:U, $C$1),
    COUNTIFS('프로젝트(G)'!C:C, $E$1, '프로젝트(G)'!G:G, B111, '프로젝트(G)'!W:W, B116, '프로젝트(G)'!U:U, $C$1),
    COUNTIFS('협력사 EPC(H)'!C:C, $E$1, '협력사 EPC(H)'!G:G, B111, '협력사 EPC(H)'!W:W, B116, '협력사 EPC(H)'!U:U, $C$1),
    COUNTIFS('기타(Z)'!C:C, $E$1, '기타(Z)'!G:G, B111, '기타(Z)'!W:W, B116, '기타(Z)'!U:U, $C$1)
  ) = 0,
  "",
  SUM(
    COUNTIFS('발전사업(A)'!C:C, $E$1, '발전사업(A)'!G:G, B111, '발전사업(A)'!W:W, B116, '발전사업(A)'!U:U, $C$1),
    COUNTIFS('자가소비(B)'!C:C, $E$1, '자가소비(B)'!G:G, B111, '자가소비(B)'!W:W, B116, '자가소비(B)'!U:U, $C$1),
    COUNTIFS('PPA 사업(C)'!C:C, $E$1, 'PPA 사업(C)'!G:G, B111, 'PPA 사업(C)'!W:W, B116, 'PPA 사업(C)'!U:U, $C$1),
    COUNTIFS('리스사업(D)'!C:C, $E$1, '리스사업(D)'!G:G, B111, '리스사업(D)'!W:W, B116, '리스사업(D)'!U:U, $C$1),
    COUNTIFS('임대사업(E)'!C:C, $E$1, '임대사업(E)'!G:G, B111, '임대사업(E)'!W:W, B116, '임대사업(E)'!U:U, $C$1),
    COUNTIFS('환경부사업(F)'!C:C, $E$1, '환경부사업(F)'!G:G, B111, '환경부사업(F)'!W:W, B116, '환경부사업(F)'!U:U, $C$1),
    COUNTIFS('프로젝트(G)'!C:C, $E$1, '프로젝트(G)'!G:G, B111, '프로젝트(G)'!W:W, B116, '프로젝트(G)'!U:U, $C$1),
    COUNTIFS('협력사 EPC(H)'!C:C, $E$1, '협력사 EPC(H)'!G:G, B111, '협력사 EPC(H)'!W:W, B116, '협력사 EPC(H)'!U:U, $C$1),
    COUNTIFS('기타(Z)'!C:C, $E$1, '기타(Z)'!G:G, B111, '기타(Z)'!W:W, B116, '기타(Z)'!U:U, $C$1)
  )
)</f>
        <v>1</v>
      </c>
      <c r="G116" s="280">
        <f>IF(
  SUM(
    SUMIFS('발전사업(A)'!I:I, '발전사업(A)'!C:C, $E$1, '발전사업(A)'!G:G, B111, '발전사업(A)'!W:W, B116, '발전사업(A)'!U:U, $D$1),
    SUMIFS('자가소비(B)'!I:I, '자가소비(B)'!C:C, $E$1, '자가소비(B)'!G:G, B111, '자가소비(B)'!W:W, B116, '자가소비(B)'!U:U, $D$1),
    SUMIFS('PPA 사업(C)'!I:I, 'PPA 사업(C)'!C:C, $E$1, 'PPA 사업(C)'!G:G, B111, 'PPA 사업(C)'!W:W, B116, 'PPA 사업(C)'!U:U, $D$1),
    SUMIFS('리스사업(D)'!I:I, '리스사업(D)'!C:C, $E$1, '리스사업(D)'!G:G, B111, '리스사업(D)'!W:W, B116, '리스사업(D)'!U:U, $D$1),
    SUMIFS('임대사업(E)'!I:I, '임대사업(E)'!C:C, $E$1, '임대사업(E)'!G:G, B111, '임대사업(E)'!W:W, B116, '임대사업(E)'!U:U, $D$1),
    SUMIFS('환경부사업(F)'!I:I, '환경부사업(F)'!C:C, $E$1, '환경부사업(F)'!G:G, B111, '환경부사업(F)'!W:W, B116, '환경부사업(F)'!U:U, $D$1),
    SUMIFS('프로젝트(G)'!I:I, '프로젝트(G)'!C:C, $E$1, '프로젝트(G)'!G:G, B111, '프로젝트(G)'!W:W, B116, '프로젝트(G)'!U:U, $D$1),
    SUMIFS('협력사 EPC(H)'!I:I, '협력사 EPC(H)'!C:C, $E$1, '협력사 EPC(H)'!G:G, B111, '협력사 EPC(H)'!W:W, B116, '협력사 EPC(H)'!U:U, $D$1),
    SUMIFS('기타(Z)'!I:I, '기타(Z)'!C:C, $E$1, '기타(Z)'!G:G, B111, '기타(Z)'!W:W, B116, '기타(Z)'!U:U, $D$1)
  ) = 0,
  "",
  SUM(
    SUMIFS('발전사업(A)'!I:I, '발전사업(A)'!C:C, $E$1, '발전사업(A)'!G:G, B111, '발전사업(A)'!W:W, B116, '발전사업(A)'!U:U, $D$1),
    SUMIFS('자가소비(B)'!I:I, '자가소비(B)'!C:C, $E$1, '자가소비(B)'!G:G, B111, '자가소비(B)'!W:W, B116, '자가소비(B)'!U:U, $D$1),
    SUMIFS('PPA 사업(C)'!I:I, 'PPA 사업(C)'!C:C, $E$1, 'PPA 사업(C)'!G:G, B111, 'PPA 사업(C)'!W:W, B116, 'PPA 사업(C)'!U:U, $D$1),
    SUMIFS('리스사업(D)'!I:I, '리스사업(D)'!C:C, $E$1, '리스사업(D)'!G:G, B111, '리스사업(D)'!W:W, B116, '리스사업(D)'!U:U, $D$1),
    SUMIFS('임대사업(E)'!I:I, '임대사업(E)'!C:C, $E$1, '임대사업(E)'!G:G, B111, '임대사업(E)'!W:W, B116, '임대사업(E)'!U:U, $D$1),
    SUMIFS('환경부사업(F)'!I:I, '환경부사업(F)'!C:C, $E$1, '환경부사업(F)'!G:G, B111, '환경부사업(F)'!W:W, B116, '환경부사업(F)'!U:U, $D$1),
    SUMIFS('프로젝트(G)'!I:I, '프로젝트(G)'!C:C, $E$1, '프로젝트(G)'!G:G, B111, '프로젝트(G)'!W:W, B116, '프로젝트(G)'!U:U, $D$1),
    SUMIFS('협력사 EPC(H)'!I:I, '협력사 EPC(H)'!C:C, $E$1, '협력사 EPC(H)'!G:G, B111, '협력사 EPC(H)'!W:W, B116, '협력사 EPC(H)'!U:U, $D$1),
    SUMIFS('기타(Z)'!I:I, '기타(Z)'!C:C, $E$1, '기타(Z)'!G:G, B111, '기타(Z)'!W:W, B116, '기타(Z)'!U:U, $D$1)
  )
)</f>
        <v>81.92</v>
      </c>
      <c r="H116" s="281">
        <f>IF(
  (
    COUNTIFS('발전사업(A)'!C:C, $E$1, '발전사업(A)'!G:G, B111, '발전사업(A)'!W:W, B116, '발전사업(A)'!U:U, $D$1)
    + COUNTIFS('자가소비(B)'!C:C, $E$1, '자가소비(B)'!G:G, B111, '자가소비(B)'!W:W, B116, '자가소비(B)'!U:U, $D$1)
    + COUNTIFS('PPA 사업(C)'!C:C, $E$1, 'PPA 사업(C)'!G:G, B111, 'PPA 사업(C)'!W:W, B116, 'PPA 사업(C)'!U:U, $D$1)
    + COUNTIFS('리스사업(D)'!C:C, $E$1, '리스사업(D)'!G:G, B111, '리스사업(D)'!W:W, B116, '리스사업(D)'!U:U, $D$1)
    + COUNTIFS('임대사업(E)'!C:C, $E$1, '임대사업(E)'!G:G, B111, '임대사업(E)'!W:W, B116, '임대사업(E)'!U:U, $D$1)
    + COUNTIFS('환경부사업(F)'!C:C, $E$1, '환경부사업(F)'!G:G, B111, '환경부사업(F)'!W:W, B116, '환경부사업(F)'!U:U, $D$1)
    + COUNTIFS('프로젝트(G)'!C:C, $E$1, '프로젝트(G)'!G:G, B111, '프로젝트(G)'!W:W, B116, '프로젝트(G)'!U:U, $D$1)
    + COUNTIFS('협력사 EPC(H)'!C:C, $E$1, '협력사 EPC(H)'!G:G, B111, '협력사 EPC(H)'!W:W, B116, '협력사 EPC(H)'!U:U, $D$1)
    + COUNTIFS('기타(Z)'!C:C, $E$1, '기타(Z)'!G:G, B111, '기타(Z)'!W:W, B116, '기타(Z)'!U:U, $D$1)
  ) = 0,
  "",
  COUNTIFS('발전사업(A)'!C:C, $E$1, '발전사업(A)'!G:G, B111, '발전사업(A)'!W:W, B116, '발전사업(A)'!U:U, $D$1)
  + COUNTIFS('자가소비(B)'!C:C, $E$1, '자가소비(B)'!G:G, B111, '자가소비(B)'!W:W, B116, '자가소비(B)'!U:U, $D$1)
  + COUNTIFS('PPA 사업(C)'!C:C, $E$1, 'PPA 사업(C)'!G:G, B111, 'PPA 사업(C)'!W:W, B116, 'PPA 사업(C)'!U:U, $D$1)
  + COUNTIFS('리스사업(D)'!C:C, $E$1, '리스사업(D)'!G:G, B111, '리스사업(D)'!W:W, B116, '리스사업(D)'!U:U, $D$1)
  + COUNTIFS('임대사업(E)'!C:C, $E$1, '임대사업(E)'!G:G, B111, '임대사업(E)'!W:W, B116, '임대사업(E)'!U:U, $D$1)
  + COUNTIFS('환경부사업(F)'!C:C, $E$1, '환경부사업(F)'!G:G, B111, '환경부사업(F)'!W:W, B116, '환경부사업(F)'!U:U, $D$1)
  + COUNTIFS('프로젝트(G)'!C:C, $E$1, '프로젝트(G)'!G:G, B111, '프로젝트(G)'!W:W, B116, '프로젝트(G)'!U:U, $D$1)
  + COUNTIFS('협력사 EPC(H)'!C:C, $E$1, '협력사 EPC(H)'!G:G, B111, '협력사 EPC(H)'!W:W, B116, '협력사 EPC(H)'!U:U, $D$1)
  + COUNTIFS('기타(Z)'!C:C, $E$1, '기타(Z)'!G:G, B111, '기타(Z)'!W:W, B116, '기타(Z)'!U:U, $D$1)
)</f>
        <v>1</v>
      </c>
    </row>
    <row r="117" spans="2:8" x14ac:dyDescent="0.25">
      <c r="B117" s="202" t="s">
        <v>263</v>
      </c>
      <c r="C117" s="280">
        <f>IF(
  SUM(
    SUMIFS('발전사업(A)'!I:I, '발전사업(A)'!C:C, $E$1, '발전사업(A)'!G:G, B111, '발전사업(A)'!W:W, B117),
    SUMIFS('자가소비(B)'!I:I, '자가소비(B)'!C:C, $E$1, '자가소비(B)'!G:G, B111, '자가소비(B)'!W:W, B117),
    SUMIFS('PPA 사업(C)'!I:I, 'PPA 사업(C)'!C:C, $E$1, 'PPA 사업(C)'!G:G, B111, 'PPA 사업(C)'!W:W, B117),
    SUMIFS('리스사업(D)'!I:I, '리스사업(D)'!C:C, $E$1, '리스사업(D)'!G:G, B111, '리스사업(D)'!W:W, B117),
    SUMIFS('임대사업(E)'!I:I, '임대사업(E)'!C:C, $E$1, '임대사업(E)'!G:G, B111, '임대사업(E)'!W:W, B117),
    SUMIFS('환경부사업(F)'!I:I, '환경부사업(F)'!C:C, $E$1, '환경부사업(F)'!G:G, B111, '환경부사업(F)'!W:W, B117),
    SUMIFS('프로젝트(G)'!I:I, '프로젝트(G)'!C:C, $E$1, '프로젝트(G)'!G:G, B111, '프로젝트(G)'!W:W, B117),
    SUMIFS('협력사 EPC(H)'!I:I, '협력사 EPC(H)'!C:C, $E$1, '협력사 EPC(H)'!G:G, B111, '협력사 EPC(H)'!W:W, B117),
    SUMIFS('기타(Z)'!I:I, '기타(Z)'!C:C, $E$1, '기타(Z)'!G:G, B111, '기타(Z)'!W:W, B117)
  ) = 0,
  "",
  SUMIFS('발전사업(A)'!I:I, '발전사업(A)'!C:C, $E$1, '발전사업(A)'!G:G, B111, '발전사업(A)'!W:W, B117)
  + SUMIFS('자가소비(B)'!I:I, '자가소비(B)'!C:C, $E$1, '자가소비(B)'!G:G, B111, '자가소비(B)'!W:W, B117)
  + SUMIFS('PPA 사업(C)'!I:I, 'PPA 사업(C)'!C:C, $E$1, 'PPA 사업(C)'!G:G, B111, 'PPA 사업(C)'!W:W, B117)
  + SUMIFS('리스사업(D)'!I:I, '리스사업(D)'!C:C, $E$1, '리스사업(D)'!G:G, B111, '리스사업(D)'!W:W, B117)
  + SUMIFS('임대사업(E)'!I:I, '임대사업(E)'!C:C, $E$1, '임대사업(E)'!G:G, B111, '임대사업(E)'!W:W, B117)
  + SUMIFS('환경부사업(F)'!I:I, '환경부사업(F)'!C:C, $E$1, '환경부사업(F)'!G:G, B111, '환경부사업(F)'!W:W, B117)
  + SUMIFS('프로젝트(G)'!I:I, '프로젝트(G)'!C:C, $E$1, '프로젝트(G)'!G:G, B111, '프로젝트(G)'!W:W, B117)
  + SUMIFS('협력사 EPC(H)'!I:I, '협력사 EPC(H)'!C:C, $E$1, '협력사 EPC(H)'!G:G, B111, '협력사 EPC(H)'!W:W, B117)
  + SUMIFS('기타(Z)'!I:I, '기타(Z)'!C:C, $E$1, '기타(Z)'!G:G, B111, '기타(Z)'!W:W, B117)
)</f>
        <v>38.4</v>
      </c>
      <c r="D117" s="281">
        <f>IF(
  COUNTIFS('발전사업(A)'!C:C, $E$1, '발전사업(A)'!G:G, B111, '발전사업(A)'!W:W, B117)
  + COUNTIFS('자가소비(B)'!C:C, $E$1, '자가소비(B)'!G:G, B111, '자가소비(B)'!W:W, B117)
  + COUNTIFS('PPA 사업(C)'!C:C, $E$1, 'PPA 사업(C)'!G:G, B111, 'PPA 사업(C)'!W:W, B117)
  + COUNTIFS('리스사업(D)'!C:C, $E$1, '리스사업(D)'!G:G, B111, '리스사업(D)'!W:W, B117)
  + COUNTIFS('임대사업(E)'!C:C, $E$1, '임대사업(E)'!G:G, B111, '임대사업(E)'!W:W, B117)
  + COUNTIFS('환경부사업(F)'!C:C, $E$1, '환경부사업(F)'!G:G, B111, '환경부사업(F)'!W:W, B117)
  + COUNTIFS('프로젝트(G)'!C:C, $E$1, '프로젝트(G)'!G:G, B111, '프로젝트(G)'!W:W, B117)
  + COUNTIFS('협력사 EPC(H)'!C:C, $E$1, '협력사 EPC(H)'!G:G, B111, '협력사 EPC(H)'!W:W, B117)
  + COUNTIFS('기타(Z)'!C:C, $E$1, '기타(Z)'!G:G, B111, '기타(Z)'!W:W, B117)
  = 0,
  "",
  COUNTIFS('발전사업(A)'!C:C, $E$1, '발전사업(A)'!G:G, B111, '발전사업(A)'!W:W, B117)
  + COUNTIFS('자가소비(B)'!C:C, $E$1, '자가소비(B)'!G:G, B111, '자가소비(B)'!W:W, B117)
  + COUNTIFS('PPA 사업(C)'!C:C, $E$1, 'PPA 사업(C)'!G:G, B111, 'PPA 사업(C)'!W:W, B117)
  + COUNTIFS('리스사업(D)'!C:C, $E$1, '리스사업(D)'!G:G, B111, '리스사업(D)'!W:W, B117)
  + COUNTIFS('임대사업(E)'!C:C, $E$1, '임대사업(E)'!G:G, B111, '임대사업(E)'!W:W, B117)
  + COUNTIFS('환경부사업(F)'!C:C, $E$1, '환경부사업(F)'!G:G, B111, '환경부사업(F)'!W:W, B117)
  + COUNTIFS('프로젝트(G)'!C:C, $E$1, '프로젝트(G)'!G:G, B111, '프로젝트(G)'!W:W, B117)
  + COUNTIFS('협력사 EPC(H)'!C:C, $E$1, '협력사 EPC(H)'!G:G, B111, '협력사 EPC(H)'!W:W, B117)
  + COUNTIFS('기타(Z)'!C:C, $E$1, '기타(Z)'!G:G, B111, '기타(Z)'!W:W, B117)
)</f>
        <v>1</v>
      </c>
      <c r="E117" s="280">
        <f>IF(
  SUM(
    SUMIFS('발전사업(A)'!I:I, '발전사업(A)'!C:C, $E$1, '발전사업(A)'!G:G, B111, '발전사업(A)'!W:W, B117, '발전사업(A)'!U:U, $C$1),
    SUMIFS('자가소비(B)'!I:I, '자가소비(B)'!C:C, $E$1, '자가소비(B)'!G:G, B111, '자가소비(B)'!W:W, B117, '자가소비(B)'!U:U, $C$1),
    SUMIFS('PPA 사업(C)'!I:I, 'PPA 사업(C)'!C:C, $E$1, 'PPA 사업(C)'!G:G, B111, 'PPA 사업(C)'!W:W, B117, 'PPA 사업(C)'!U:U, $C$1),
    SUMIFS('리스사업(D)'!I:I, '리스사업(D)'!C:C, $E$1, '리스사업(D)'!G:G, B111, '리스사업(D)'!W:W, B117, '리스사업(D)'!U:U, $C$1),
    SUMIFS('임대사업(E)'!I:I, '임대사업(E)'!C:C, $E$1, '임대사업(E)'!G:G, B111, '임대사업(E)'!W:W, B117, '임대사업(E)'!U:U, $C$1),
    SUMIFS('환경부사업(F)'!I:I, '환경부사업(F)'!C:C, $E$1, '환경부사업(F)'!G:G, B111, '환경부사업(F)'!W:W, B117, '환경부사업(F)'!U:U, $C$1),
    SUMIFS('프로젝트(G)'!I:I, '프로젝트(G)'!C:C, $E$1, '프로젝트(G)'!G:G, B111, '프로젝트(G)'!W:W, B117, '프로젝트(G)'!U:U, $C$1),
    SUMIFS('협력사 EPC(H)'!I:I, '협력사 EPC(H)'!C:C, $E$1, '협력사 EPC(H)'!G:G, B111, '협력사 EPC(H)'!W:W, B117, '협력사 EPC(H)'!U:U, $C$1),
    SUMIFS('기타(Z)'!I:I, '기타(Z)'!C:C, $E$1, '기타(Z)'!G:G, B111, '기타(Z)'!W:W, B117, '기타(Z)'!U:U, $C$1)
  ) = 0,
  "",
  SUM(
    SUMIFS('발전사업(A)'!I:I, '발전사업(A)'!C:C, $E$1, '발전사업(A)'!G:G, B111, '발전사업(A)'!W:W, B117, '발전사업(A)'!U:U, $C$1),
    SUMIFS('자가소비(B)'!I:I, '자가소비(B)'!C:C, $E$1, '자가소비(B)'!G:G, B111, '자가소비(B)'!W:W, B117, '자가소비(B)'!U:U, $C$1),
    SUMIFS('PPA 사업(C)'!I:I, 'PPA 사업(C)'!C:C, $E$1, 'PPA 사업(C)'!G:G, B111, 'PPA 사업(C)'!W:W, B117, 'PPA 사업(C)'!U:U, $C$1),
    SUMIFS('리스사업(D)'!I:I, '리스사업(D)'!C:C, $E$1, '리스사업(D)'!G:G, B111, '리스사업(D)'!W:W, B117, '리스사업(D)'!U:U, $C$1),
    SUMIFS('임대사업(E)'!I:I, '임대사업(E)'!C:C, $E$1, '임대사업(E)'!G:G, B111, '임대사업(E)'!W:W, B117, '임대사업(E)'!U:U, $C$1),
    SUMIFS('환경부사업(F)'!I:I, '환경부사업(F)'!C:C, $E$1, '환경부사업(F)'!G:G, B111, '환경부사업(F)'!W:W, B117, '환경부사업(F)'!U:U, $C$1),
    SUMIFS('프로젝트(G)'!I:I, '프로젝트(G)'!C:C, $E$1, '프로젝트(G)'!G:G, B111, '프로젝트(G)'!W:W, B117, '프로젝트(G)'!U:U, $C$1),
    SUMIFS('협력사 EPC(H)'!I:I, '협력사 EPC(H)'!C:C, $E$1, '협력사 EPC(H)'!G:G, B111, '협력사 EPC(H)'!W:W, B117, '협력사 EPC(H)'!U:U, $C$1),
    SUMIFS('기타(Z)'!I:I, '기타(Z)'!C:C, $E$1, '기타(Z)'!G:G, B111, '기타(Z)'!W:W, B117, '기타(Z)'!U:U, $C$1)
  )
)</f>
        <v>38.4</v>
      </c>
      <c r="F117" s="281">
        <f>IF(
  SUM(
    COUNTIFS('발전사업(A)'!C:C, $E$1, '발전사업(A)'!G:G, B111, '발전사업(A)'!W:W, B117, '발전사업(A)'!U:U, $C$1),
    COUNTIFS('자가소비(B)'!C:C, $E$1, '자가소비(B)'!G:G, B111, '자가소비(B)'!W:W, B117, '자가소비(B)'!U:U, $C$1),
    COUNTIFS('PPA 사업(C)'!C:C, $E$1, 'PPA 사업(C)'!G:G, B111, 'PPA 사업(C)'!W:W, B117, 'PPA 사업(C)'!U:U, $C$1),
    COUNTIFS('리스사업(D)'!C:C, $E$1, '리스사업(D)'!G:G, B111, '리스사업(D)'!W:W, B117, '리스사업(D)'!U:U, $C$1),
    COUNTIFS('임대사업(E)'!C:C, $E$1, '임대사업(E)'!G:G, B111, '임대사업(E)'!W:W, B117, '임대사업(E)'!U:U, $C$1),
    COUNTIFS('환경부사업(F)'!C:C, $E$1, '환경부사업(F)'!G:G, B111, '환경부사업(F)'!W:W, B117, '환경부사업(F)'!U:U, $C$1),
    COUNTIFS('프로젝트(G)'!C:C, $E$1, '프로젝트(G)'!G:G, B111, '프로젝트(G)'!W:W, B117, '프로젝트(G)'!U:U, $C$1),
    COUNTIFS('협력사 EPC(H)'!C:C, $E$1, '협력사 EPC(H)'!G:G, B111, '협력사 EPC(H)'!W:W, B117, '협력사 EPC(H)'!U:U, $C$1),
    COUNTIFS('기타(Z)'!C:C, $E$1, '기타(Z)'!G:G, B111, '기타(Z)'!W:W, B117, '기타(Z)'!U:U, $C$1)
  ) = 0,
  "",
  SUM(
    COUNTIFS('발전사업(A)'!C:C, $E$1, '발전사업(A)'!G:G, B111, '발전사업(A)'!W:W, B117, '발전사업(A)'!U:U, $C$1),
    COUNTIFS('자가소비(B)'!C:C, $E$1, '자가소비(B)'!G:G, B111, '자가소비(B)'!W:W, B117, '자가소비(B)'!U:U, $C$1),
    COUNTIFS('PPA 사업(C)'!C:C, $E$1, 'PPA 사업(C)'!G:G, B111, 'PPA 사업(C)'!W:W, B117, 'PPA 사업(C)'!U:U, $C$1),
    COUNTIFS('리스사업(D)'!C:C, $E$1, '리스사업(D)'!G:G, B111, '리스사업(D)'!W:W, B117, '리스사업(D)'!U:U, $C$1),
    COUNTIFS('임대사업(E)'!C:C, $E$1, '임대사업(E)'!G:G, B111, '임대사업(E)'!W:W, B117, '임대사업(E)'!U:U, $C$1),
    COUNTIFS('환경부사업(F)'!C:C, $E$1, '환경부사업(F)'!G:G, B111, '환경부사업(F)'!W:W, B117, '환경부사업(F)'!U:U, $C$1),
    COUNTIFS('프로젝트(G)'!C:C, $E$1, '프로젝트(G)'!G:G, B111, '프로젝트(G)'!W:W, B117, '프로젝트(G)'!U:U, $C$1),
    COUNTIFS('협력사 EPC(H)'!C:C, $E$1, '협력사 EPC(H)'!G:G, B111, '협력사 EPC(H)'!W:W, B117, '협력사 EPC(H)'!U:U, $C$1),
    COUNTIFS('기타(Z)'!C:C, $E$1, '기타(Z)'!G:G, B111, '기타(Z)'!W:W, B117, '기타(Z)'!U:U, $C$1)
  )
)</f>
        <v>1</v>
      </c>
      <c r="G117" s="280" t="str">
        <f>IF(
  SUM(
    SUMIFS('발전사업(A)'!I:I, '발전사업(A)'!C:C, $E$1, '발전사업(A)'!G:G, B111, '발전사업(A)'!W:W, B117, '발전사업(A)'!U:U, $D$1),
    SUMIFS('자가소비(B)'!I:I, '자가소비(B)'!C:C, $E$1, '자가소비(B)'!G:G, B111, '자가소비(B)'!W:W, B117, '자가소비(B)'!U:U, $D$1),
    SUMIFS('PPA 사업(C)'!I:I, 'PPA 사업(C)'!C:C, $E$1, 'PPA 사업(C)'!G:G, B111, 'PPA 사업(C)'!W:W, B117, 'PPA 사업(C)'!U:U, $D$1),
    SUMIFS('리스사업(D)'!I:I, '리스사업(D)'!C:C, $E$1, '리스사업(D)'!G:G, B111, '리스사업(D)'!W:W, B117, '리스사업(D)'!U:U, $D$1),
    SUMIFS('임대사업(E)'!I:I, '임대사업(E)'!C:C, $E$1, '임대사업(E)'!G:G, B111, '임대사업(E)'!W:W, B117, '임대사업(E)'!U:U, $D$1),
    SUMIFS('환경부사업(F)'!I:I, '환경부사업(F)'!C:C, $E$1, '환경부사업(F)'!G:G, B111, '환경부사업(F)'!W:W, B117, '환경부사업(F)'!U:U, $D$1),
    SUMIFS('프로젝트(G)'!I:I, '프로젝트(G)'!C:C, $E$1, '프로젝트(G)'!G:G, B111, '프로젝트(G)'!W:W, B117, '프로젝트(G)'!U:U, $D$1),
    SUMIFS('협력사 EPC(H)'!I:I, '협력사 EPC(H)'!C:C, $E$1, '협력사 EPC(H)'!G:G, B111, '협력사 EPC(H)'!W:W, B117, '협력사 EPC(H)'!U:U, $D$1),
    SUMIFS('기타(Z)'!I:I, '기타(Z)'!C:C, $E$1, '기타(Z)'!G:G, B111, '기타(Z)'!W:W, B117, '기타(Z)'!U:U, $D$1)
  ) = 0,
  "",
  SUM(
    SUMIFS('발전사업(A)'!I:I, '발전사업(A)'!C:C, $E$1, '발전사업(A)'!G:G, B111, '발전사업(A)'!W:W, B117, '발전사업(A)'!U:U, $D$1),
    SUMIFS('자가소비(B)'!I:I, '자가소비(B)'!C:C, $E$1, '자가소비(B)'!G:G, B111, '자가소비(B)'!W:W, B117, '자가소비(B)'!U:U, $D$1),
    SUMIFS('PPA 사업(C)'!I:I, 'PPA 사업(C)'!C:C, $E$1, 'PPA 사업(C)'!G:G, B111, 'PPA 사업(C)'!W:W, B117, 'PPA 사업(C)'!U:U, $D$1),
    SUMIFS('리스사업(D)'!I:I, '리스사업(D)'!C:C, $E$1, '리스사업(D)'!G:G, B111, '리스사업(D)'!W:W, B117, '리스사업(D)'!U:U, $D$1),
    SUMIFS('임대사업(E)'!I:I, '임대사업(E)'!C:C, $E$1, '임대사업(E)'!G:G, B111, '임대사업(E)'!W:W, B117, '임대사업(E)'!U:U, $D$1),
    SUMIFS('환경부사업(F)'!I:I, '환경부사업(F)'!C:C, $E$1, '환경부사업(F)'!G:G, B111, '환경부사업(F)'!W:W, B117, '환경부사업(F)'!U:U, $D$1),
    SUMIFS('프로젝트(G)'!I:I, '프로젝트(G)'!C:C, $E$1, '프로젝트(G)'!G:G, B111, '프로젝트(G)'!W:W, B117, '프로젝트(G)'!U:U, $D$1),
    SUMIFS('협력사 EPC(H)'!I:I, '협력사 EPC(H)'!C:C, $E$1, '협력사 EPC(H)'!G:G, B111, '협력사 EPC(H)'!W:W, B117, '협력사 EPC(H)'!U:U, $D$1),
    SUMIFS('기타(Z)'!I:I, '기타(Z)'!C:C, $E$1, '기타(Z)'!G:G, B111, '기타(Z)'!W:W, B117, '기타(Z)'!U:U, $D$1)
  )
)</f>
        <v/>
      </c>
      <c r="H117" s="281" t="str">
        <f>IF(
  (
    COUNTIFS('발전사업(A)'!C:C, $E$1, '발전사업(A)'!G:G, B111, '발전사업(A)'!W:W, B117, '발전사업(A)'!U:U, $D$1)
    + COUNTIFS('자가소비(B)'!C:C, $E$1, '자가소비(B)'!G:G, B111, '자가소비(B)'!W:W, B117, '자가소비(B)'!U:U, $D$1)
    + COUNTIFS('PPA 사업(C)'!C:C, $E$1, 'PPA 사업(C)'!G:G, B111, 'PPA 사업(C)'!W:W, B117, 'PPA 사업(C)'!U:U, $D$1)
    + COUNTIFS('리스사업(D)'!C:C, $E$1, '리스사업(D)'!G:G, B111, '리스사업(D)'!W:W, B117, '리스사업(D)'!U:U, $D$1)
    + COUNTIFS('임대사업(E)'!C:C, $E$1, '임대사업(E)'!G:G, B111, '임대사업(E)'!W:W, B117, '임대사업(E)'!U:U, $D$1)
    + COUNTIFS('환경부사업(F)'!C:C, $E$1, '환경부사업(F)'!G:G, B111, '환경부사업(F)'!W:W, B117, '환경부사업(F)'!U:U, $D$1)
    + COUNTIFS('프로젝트(G)'!C:C, $E$1, '프로젝트(G)'!G:G, B111, '프로젝트(G)'!W:W, B117, '프로젝트(G)'!U:U, $D$1)
    + COUNTIFS('협력사 EPC(H)'!C:C, $E$1, '협력사 EPC(H)'!G:G, B111, '협력사 EPC(H)'!W:W, B117, '협력사 EPC(H)'!U:U, $D$1)
    + COUNTIFS('기타(Z)'!C:C, $E$1, '기타(Z)'!G:G, B111, '기타(Z)'!W:W, B117, '기타(Z)'!U:U, $D$1)
  ) = 0,
  "",
  COUNTIFS('발전사업(A)'!C:C, $E$1, '발전사업(A)'!G:G, B111, '발전사업(A)'!W:W, B117, '발전사업(A)'!U:U, $D$1)
  + COUNTIFS('자가소비(B)'!C:C, $E$1, '자가소비(B)'!G:G, B111, '자가소비(B)'!W:W, B117, '자가소비(B)'!U:U, $D$1)
  + COUNTIFS('PPA 사업(C)'!C:C, $E$1, 'PPA 사업(C)'!G:G, B111, 'PPA 사업(C)'!W:W, B117, 'PPA 사업(C)'!U:U, $D$1)
  + COUNTIFS('리스사업(D)'!C:C, $E$1, '리스사업(D)'!G:G, B111, '리스사업(D)'!W:W, B117, '리스사업(D)'!U:U, $D$1)
  + COUNTIFS('임대사업(E)'!C:C, $E$1, '임대사업(E)'!G:G, B111, '임대사업(E)'!W:W, B117, '임대사업(E)'!U:U, $D$1)
  + COUNTIFS('환경부사업(F)'!C:C, $E$1, '환경부사업(F)'!G:G, B111, '환경부사업(F)'!W:W, B117, '환경부사업(F)'!U:U, $D$1)
  + COUNTIFS('프로젝트(G)'!C:C, $E$1, '프로젝트(G)'!G:G, B111, '프로젝트(G)'!W:W, B117, '프로젝트(G)'!U:U, $D$1)
  + COUNTIFS('협력사 EPC(H)'!C:C, $E$1, '협력사 EPC(H)'!G:G, B111, '협력사 EPC(H)'!W:W, B117, '협력사 EPC(H)'!U:U, $D$1)
  + COUNTIFS('기타(Z)'!C:C, $E$1, '기타(Z)'!G:G, B111, '기타(Z)'!W:W, B117, '기타(Z)'!U:U, $D$1)
)</f>
        <v/>
      </c>
    </row>
    <row r="118" spans="2:8" x14ac:dyDescent="0.25">
      <c r="B118" s="202" t="s">
        <v>264</v>
      </c>
      <c r="C118" s="280" t="str">
        <f>IF(
  SUM(
    SUMIFS('발전사업(A)'!I:I, '발전사업(A)'!C:C, $E$1, '발전사업(A)'!G:G, B111, '발전사업(A)'!W:W, B118),
    SUMIFS('자가소비(B)'!I:I, '자가소비(B)'!C:C, $E$1, '자가소비(B)'!G:G, B111, '자가소비(B)'!W:W, B118),
    SUMIFS('PPA 사업(C)'!I:I, 'PPA 사업(C)'!C:C, $E$1, 'PPA 사업(C)'!G:G, B111, 'PPA 사업(C)'!W:W, B118),
    SUMIFS('리스사업(D)'!I:I, '리스사업(D)'!C:C, $E$1, '리스사업(D)'!G:G, B111, '리스사업(D)'!W:W, B118),
    SUMIFS('임대사업(E)'!I:I, '임대사업(E)'!C:C, $E$1, '임대사업(E)'!G:G, B111, '임대사업(E)'!W:W, B118),
    SUMIFS('환경부사업(F)'!I:I, '환경부사업(F)'!C:C, $E$1, '환경부사업(F)'!G:G, B111, '환경부사업(F)'!W:W, B118),
    SUMIFS('프로젝트(G)'!I:I, '프로젝트(G)'!C:C, $E$1, '프로젝트(G)'!G:G, B111, '프로젝트(G)'!W:W, B118),
    SUMIFS('협력사 EPC(H)'!I:I, '협력사 EPC(H)'!C:C, $E$1, '협력사 EPC(H)'!G:G, B111, '협력사 EPC(H)'!W:W, B118),
    SUMIFS('기타(Z)'!I:I, '기타(Z)'!C:C, $E$1, '기타(Z)'!G:G, B111, '기타(Z)'!W:W, B118)
  ) = 0,
  "",
  SUMIFS('발전사업(A)'!I:I, '발전사업(A)'!C:C, $E$1, '발전사업(A)'!G:G, B111, '발전사업(A)'!W:W, B118)
  + SUMIFS('자가소비(B)'!I:I, '자가소비(B)'!C:C, $E$1, '자가소비(B)'!G:G, B111, '자가소비(B)'!W:W, B118)
  + SUMIFS('PPA 사업(C)'!I:I, 'PPA 사업(C)'!C:C, $E$1, 'PPA 사업(C)'!G:G, B111, 'PPA 사업(C)'!W:W, B118)
  + SUMIFS('리스사업(D)'!I:I, '리스사업(D)'!C:C, $E$1, '리스사업(D)'!G:G, B111, '리스사업(D)'!W:W, B118)
  + SUMIFS('임대사업(E)'!I:I, '임대사업(E)'!C:C, $E$1, '임대사업(E)'!G:G, B111, '임대사업(E)'!W:W, B118)
  + SUMIFS('환경부사업(F)'!I:I, '환경부사업(F)'!C:C, $E$1, '환경부사업(F)'!G:G, B111, '환경부사업(F)'!W:W, B118)
  + SUMIFS('프로젝트(G)'!I:I, '프로젝트(G)'!C:C, $E$1, '프로젝트(G)'!G:G, B111, '프로젝트(G)'!W:W, B118)
  + SUMIFS('협력사 EPC(H)'!I:I, '협력사 EPC(H)'!C:C, $E$1, '협력사 EPC(H)'!G:G, B111, '협력사 EPC(H)'!W:W, B118)
  + SUMIFS('기타(Z)'!I:I, '기타(Z)'!C:C, $E$1, '기타(Z)'!G:G, B111, '기타(Z)'!W:W, B118)
)</f>
        <v/>
      </c>
      <c r="D118" s="281" t="str">
        <f>IF(
  COUNTIFS('발전사업(A)'!C:C, $E$1, '발전사업(A)'!G:G, B111, '발전사업(A)'!W:W, B118)
  + COUNTIFS('자가소비(B)'!C:C, $E$1, '자가소비(B)'!G:G, B111, '자가소비(B)'!W:W, B118)
  + COUNTIFS('PPA 사업(C)'!C:C, $E$1, 'PPA 사업(C)'!G:G, B111, 'PPA 사업(C)'!W:W, B118)
  + COUNTIFS('리스사업(D)'!C:C, $E$1, '리스사업(D)'!G:G, B111, '리스사업(D)'!W:W, B118)
  + COUNTIFS('임대사업(E)'!C:C, $E$1, '임대사업(E)'!G:G, B111, '임대사업(E)'!W:W, B118)
  + COUNTIFS('환경부사업(F)'!C:C, $E$1, '환경부사업(F)'!G:G, B111, '환경부사업(F)'!W:W, B118)
  + COUNTIFS('프로젝트(G)'!C:C, $E$1, '프로젝트(G)'!G:G, B111, '프로젝트(G)'!W:W, B118)
  + COUNTIFS('협력사 EPC(H)'!C:C, $E$1, '협력사 EPC(H)'!G:G, B111, '협력사 EPC(H)'!W:W, B118)
  + COUNTIFS('기타(Z)'!C:C, $E$1, '기타(Z)'!G:G, B111, '기타(Z)'!W:W, B118)
  = 0,
  "",
  COUNTIFS('발전사업(A)'!C:C, $E$1, '발전사업(A)'!G:G, B111, '발전사업(A)'!W:W, B118)
  + COUNTIFS('자가소비(B)'!C:C, $E$1, '자가소비(B)'!G:G, B111, '자가소비(B)'!W:W, B118)
  + COUNTIFS('PPA 사업(C)'!C:C, $E$1, 'PPA 사업(C)'!G:G, B111, 'PPA 사업(C)'!W:W, B118)
  + COUNTIFS('리스사업(D)'!C:C, $E$1, '리스사업(D)'!G:G, B111, '리스사업(D)'!W:W, B118)
  + COUNTIFS('임대사업(E)'!C:C, $E$1, '임대사업(E)'!G:G, B111, '임대사업(E)'!W:W, B118)
  + COUNTIFS('환경부사업(F)'!C:C, $E$1, '환경부사업(F)'!G:G, B111, '환경부사업(F)'!W:W, B118)
  + COUNTIFS('프로젝트(G)'!C:C, $E$1, '프로젝트(G)'!G:G, B111, '프로젝트(G)'!W:W, B118)
  + COUNTIFS('협력사 EPC(H)'!C:C, $E$1, '협력사 EPC(H)'!G:G, B111, '협력사 EPC(H)'!W:W, B118)
  + COUNTIFS('기타(Z)'!C:C, $E$1, '기타(Z)'!G:G, B111, '기타(Z)'!W:W, B118)
)</f>
        <v/>
      </c>
      <c r="E118" s="280" t="str">
        <f>IF(
  SUM(
    SUMIFS('발전사업(A)'!I:I, '발전사업(A)'!C:C, $E$1, '발전사업(A)'!G:G, B111, '발전사업(A)'!W:W, B118, '발전사업(A)'!U:U, $C$1),
    SUMIFS('자가소비(B)'!I:I, '자가소비(B)'!C:C, $E$1, '자가소비(B)'!G:G, B111, '자가소비(B)'!W:W, B118, '자가소비(B)'!U:U, $C$1),
    SUMIFS('PPA 사업(C)'!I:I, 'PPA 사업(C)'!C:C, $E$1, 'PPA 사업(C)'!G:G, B111, 'PPA 사업(C)'!W:W, B118, 'PPA 사업(C)'!U:U, $C$1),
    SUMIFS('리스사업(D)'!I:I, '리스사업(D)'!C:C, $E$1, '리스사업(D)'!G:G, B111, '리스사업(D)'!W:W, B118, '리스사업(D)'!U:U, $C$1),
    SUMIFS('임대사업(E)'!I:I, '임대사업(E)'!C:C, $E$1, '임대사업(E)'!G:G, B111, '임대사업(E)'!W:W, B118, '임대사업(E)'!U:U, $C$1),
    SUMIFS('환경부사업(F)'!I:I, '환경부사업(F)'!C:C, $E$1, '환경부사업(F)'!G:G, B111, '환경부사업(F)'!W:W, B118, '환경부사업(F)'!U:U, $C$1),
    SUMIFS('프로젝트(G)'!I:I, '프로젝트(G)'!C:C, $E$1, '프로젝트(G)'!G:G, B111, '프로젝트(G)'!W:W, B118, '프로젝트(G)'!U:U, $C$1),
    SUMIFS('협력사 EPC(H)'!I:I, '협력사 EPC(H)'!C:C, $E$1, '협력사 EPC(H)'!G:G, B111, '협력사 EPC(H)'!W:W, B118, '협력사 EPC(H)'!U:U, $C$1),
    SUMIFS('기타(Z)'!I:I, '기타(Z)'!C:C, $E$1, '기타(Z)'!G:G, B111, '기타(Z)'!W:W, B118, '기타(Z)'!U:U, $C$1)
  ) = 0,
  "",
  SUM(
    SUMIFS('발전사업(A)'!I:I, '발전사업(A)'!C:C, $E$1, '발전사업(A)'!G:G, B111, '발전사업(A)'!W:W, B118, '발전사업(A)'!U:U, $C$1),
    SUMIFS('자가소비(B)'!I:I, '자가소비(B)'!C:C, $E$1, '자가소비(B)'!G:G, B111, '자가소비(B)'!W:W, B118, '자가소비(B)'!U:U, $C$1),
    SUMIFS('PPA 사업(C)'!I:I, 'PPA 사업(C)'!C:C, $E$1, 'PPA 사업(C)'!G:G, B111, 'PPA 사업(C)'!W:W, B118, 'PPA 사업(C)'!U:U, $C$1),
    SUMIFS('리스사업(D)'!I:I, '리스사업(D)'!C:C, $E$1, '리스사업(D)'!G:G, B111, '리스사업(D)'!W:W, B118, '리스사업(D)'!U:U, $C$1),
    SUMIFS('임대사업(E)'!I:I, '임대사업(E)'!C:C, $E$1, '임대사업(E)'!G:G, B111, '임대사업(E)'!W:W, B118, '임대사업(E)'!U:U, $C$1),
    SUMIFS('환경부사업(F)'!I:I, '환경부사업(F)'!C:C, $E$1, '환경부사업(F)'!G:G, B111, '환경부사업(F)'!W:W, B118, '환경부사업(F)'!U:U, $C$1),
    SUMIFS('프로젝트(G)'!I:I, '프로젝트(G)'!C:C, $E$1, '프로젝트(G)'!G:G, B111, '프로젝트(G)'!W:W, B118, '프로젝트(G)'!U:U, $C$1),
    SUMIFS('협력사 EPC(H)'!I:I, '협력사 EPC(H)'!C:C, $E$1, '협력사 EPC(H)'!G:G, B111, '협력사 EPC(H)'!W:W, B118, '협력사 EPC(H)'!U:U, $C$1),
    SUMIFS('기타(Z)'!I:I, '기타(Z)'!C:C, $E$1, '기타(Z)'!G:G, B111, '기타(Z)'!W:W, B118, '기타(Z)'!U:U, $C$1)
  )
)</f>
        <v/>
      </c>
      <c r="F118" s="281" t="str">
        <f>IF(
  SUM(
    COUNTIFS('발전사업(A)'!C:C, $E$1, '발전사업(A)'!G:G, B111, '발전사업(A)'!W:W, B118, '발전사업(A)'!U:U, $C$1),
    COUNTIFS('자가소비(B)'!C:C, $E$1, '자가소비(B)'!G:G, B111, '자가소비(B)'!W:W, B118, '자가소비(B)'!U:U, $C$1),
    COUNTIFS('PPA 사업(C)'!C:C, $E$1, 'PPA 사업(C)'!G:G, B111, 'PPA 사업(C)'!W:W, B118, 'PPA 사업(C)'!U:U, $C$1),
    COUNTIFS('리스사업(D)'!C:C, $E$1, '리스사업(D)'!G:G, B111, '리스사업(D)'!W:W, B118, '리스사업(D)'!U:U, $C$1),
    COUNTIFS('임대사업(E)'!C:C, $E$1, '임대사업(E)'!G:G, B111, '임대사업(E)'!W:W, B118, '임대사업(E)'!U:U, $C$1),
    COUNTIFS('환경부사업(F)'!C:C, $E$1, '환경부사업(F)'!G:G, B111, '환경부사업(F)'!W:W, B118, '환경부사업(F)'!U:U, $C$1),
    COUNTIFS('프로젝트(G)'!C:C, $E$1, '프로젝트(G)'!G:G, B111, '프로젝트(G)'!W:W, B118, '프로젝트(G)'!U:U, $C$1),
    COUNTIFS('협력사 EPC(H)'!C:C, $E$1, '협력사 EPC(H)'!G:G, B111, '협력사 EPC(H)'!W:W, B118, '협력사 EPC(H)'!U:U, $C$1),
    COUNTIFS('기타(Z)'!C:C, $E$1, '기타(Z)'!G:G, B111, '기타(Z)'!W:W, B118, '기타(Z)'!U:U, $C$1)
  ) = 0,
  "",
  SUM(
    COUNTIFS('발전사업(A)'!C:C, $E$1, '발전사업(A)'!G:G, B111, '발전사업(A)'!W:W, B118, '발전사업(A)'!U:U, $C$1),
    COUNTIFS('자가소비(B)'!C:C, $E$1, '자가소비(B)'!G:G, B111, '자가소비(B)'!W:W, B118, '자가소비(B)'!U:U, $C$1),
    COUNTIFS('PPA 사업(C)'!C:C, $E$1, 'PPA 사업(C)'!G:G, B111, 'PPA 사업(C)'!W:W, B118, 'PPA 사업(C)'!U:U, $C$1),
    COUNTIFS('리스사업(D)'!C:C, $E$1, '리스사업(D)'!G:G, B111, '리스사업(D)'!W:W, B118, '리스사업(D)'!U:U, $C$1),
    COUNTIFS('임대사업(E)'!C:C, $E$1, '임대사업(E)'!G:G, B111, '임대사업(E)'!W:W, B118, '임대사업(E)'!U:U, $C$1),
    COUNTIFS('환경부사업(F)'!C:C, $E$1, '환경부사업(F)'!G:G, B111, '환경부사업(F)'!W:W, B118, '환경부사업(F)'!U:U, $C$1),
    COUNTIFS('프로젝트(G)'!C:C, $E$1, '프로젝트(G)'!G:G, B111, '프로젝트(G)'!W:W, B118, '프로젝트(G)'!U:U, $C$1),
    COUNTIFS('협력사 EPC(H)'!C:C, $E$1, '협력사 EPC(H)'!G:G, B111, '협력사 EPC(H)'!W:W, B118, '협력사 EPC(H)'!U:U, $C$1),
    COUNTIFS('기타(Z)'!C:C, $E$1, '기타(Z)'!G:G, B111, '기타(Z)'!W:W, B118, '기타(Z)'!U:U, $C$1)
  )
)</f>
        <v/>
      </c>
      <c r="G118" s="280" t="str">
        <f>IF(
  SUM(
    SUMIFS('발전사업(A)'!I:I, '발전사업(A)'!C:C, $E$1, '발전사업(A)'!G:G, B111, '발전사업(A)'!W:W, B118, '발전사업(A)'!U:U, $D$1),
    SUMIFS('자가소비(B)'!I:I, '자가소비(B)'!C:C, $E$1, '자가소비(B)'!G:G, B111, '자가소비(B)'!W:W, B118, '자가소비(B)'!U:U, $D$1),
    SUMIFS('PPA 사업(C)'!I:I, 'PPA 사업(C)'!C:C, $E$1, 'PPA 사업(C)'!G:G, B111, 'PPA 사업(C)'!W:W, B118, 'PPA 사업(C)'!U:U, $D$1),
    SUMIFS('리스사업(D)'!I:I, '리스사업(D)'!C:C, $E$1, '리스사업(D)'!G:G, B111, '리스사업(D)'!W:W, B118, '리스사업(D)'!U:U, $D$1),
    SUMIFS('임대사업(E)'!I:I, '임대사업(E)'!C:C, $E$1, '임대사업(E)'!G:G, B111, '임대사업(E)'!W:W, B118, '임대사업(E)'!U:U, $D$1),
    SUMIFS('환경부사업(F)'!I:I, '환경부사업(F)'!C:C, $E$1, '환경부사업(F)'!G:G, B111, '환경부사업(F)'!W:W, B118, '환경부사업(F)'!U:U, $D$1),
    SUMIFS('프로젝트(G)'!I:I, '프로젝트(G)'!C:C, $E$1, '프로젝트(G)'!G:G, B111, '프로젝트(G)'!W:W, B118, '프로젝트(G)'!U:U, $D$1),
    SUMIFS('협력사 EPC(H)'!I:I, '협력사 EPC(H)'!C:C, $E$1, '협력사 EPC(H)'!G:G, B111, '협력사 EPC(H)'!W:W, B118, '협력사 EPC(H)'!U:U, $D$1),
    SUMIFS('기타(Z)'!I:I, '기타(Z)'!C:C, $E$1, '기타(Z)'!G:G, B111, '기타(Z)'!W:W, B118, '기타(Z)'!U:U, $D$1)
  ) = 0,
  "",
  SUM(
    SUMIFS('발전사업(A)'!I:I, '발전사업(A)'!C:C, $E$1, '발전사업(A)'!G:G, B111, '발전사업(A)'!W:W, B118, '발전사업(A)'!U:U, $D$1),
    SUMIFS('자가소비(B)'!I:I, '자가소비(B)'!C:C, $E$1, '자가소비(B)'!G:G, B111, '자가소비(B)'!W:W, B118, '자가소비(B)'!U:U, $D$1),
    SUMIFS('PPA 사업(C)'!I:I, 'PPA 사업(C)'!C:C, $E$1, 'PPA 사업(C)'!G:G, B111, 'PPA 사업(C)'!W:W, B118, 'PPA 사업(C)'!U:U, $D$1),
    SUMIFS('리스사업(D)'!I:I, '리스사업(D)'!C:C, $E$1, '리스사업(D)'!G:G, B111, '리스사업(D)'!W:W, B118, '리스사업(D)'!U:U, $D$1),
    SUMIFS('임대사업(E)'!I:I, '임대사업(E)'!C:C, $E$1, '임대사업(E)'!G:G, B111, '임대사업(E)'!W:W, B118, '임대사업(E)'!U:U, $D$1),
    SUMIFS('환경부사업(F)'!I:I, '환경부사업(F)'!C:C, $E$1, '환경부사업(F)'!G:G, B111, '환경부사업(F)'!W:W, B118, '환경부사업(F)'!U:U, $D$1),
    SUMIFS('프로젝트(G)'!I:I, '프로젝트(G)'!C:C, $E$1, '프로젝트(G)'!G:G, B111, '프로젝트(G)'!W:W, B118, '프로젝트(G)'!U:U, $D$1),
    SUMIFS('협력사 EPC(H)'!I:I, '협력사 EPC(H)'!C:C, $E$1, '협력사 EPC(H)'!G:G, B111, '협력사 EPC(H)'!W:W, B118, '협력사 EPC(H)'!U:U, $D$1),
    SUMIFS('기타(Z)'!I:I, '기타(Z)'!C:C, $E$1, '기타(Z)'!G:G, B111, '기타(Z)'!W:W, B118, '기타(Z)'!U:U, $D$1)
  )
)</f>
        <v/>
      </c>
      <c r="H118" s="281" t="str">
        <f>IF(
  (
    COUNTIFS('발전사업(A)'!C:C, $E$1, '발전사업(A)'!G:G, B111, '발전사업(A)'!W:W, B118, '발전사업(A)'!U:U, $D$1)
    + COUNTIFS('자가소비(B)'!C:C, $E$1, '자가소비(B)'!G:G, B111, '자가소비(B)'!W:W, B118, '자가소비(B)'!U:U, $D$1)
    + COUNTIFS('PPA 사업(C)'!C:C, $E$1, 'PPA 사업(C)'!G:G, B111, 'PPA 사업(C)'!W:W, B118, 'PPA 사업(C)'!U:U, $D$1)
    + COUNTIFS('리스사업(D)'!C:C, $E$1, '리스사업(D)'!G:G, B111, '리스사업(D)'!W:W, B118, '리스사업(D)'!U:U, $D$1)
    + COUNTIFS('임대사업(E)'!C:C, $E$1, '임대사업(E)'!G:G, B111, '임대사업(E)'!W:W, B118, '임대사업(E)'!U:U, $D$1)
    + COUNTIFS('환경부사업(F)'!C:C, $E$1, '환경부사업(F)'!G:G, B111, '환경부사업(F)'!W:W, B118, '환경부사업(F)'!U:U, $D$1)
    + COUNTIFS('프로젝트(G)'!C:C, $E$1, '프로젝트(G)'!G:G, B111, '프로젝트(G)'!W:W, B118, '프로젝트(G)'!U:U, $D$1)
    + COUNTIFS('협력사 EPC(H)'!C:C, $E$1, '협력사 EPC(H)'!G:G, B111, '협력사 EPC(H)'!W:W, B118, '협력사 EPC(H)'!U:U, $D$1)
    + COUNTIFS('기타(Z)'!C:C, $E$1, '기타(Z)'!G:G, $B111, '기타(Z)'!W:W, B118, '기타(Z)'!U:U, $D$1)
  ) = 0,
  "",
  COUNTIFS('발전사업(A)'!C:C, $E$1, '발전사업(A)'!G:G, B111, '발전사업(A)'!W:W, B118, '발전사업(A)'!U:U, $D$1)
  + COUNTIFS('자가소비(B)'!C:C, $E$1, '자가소비(B)'!G:G, B111, '자가소비(B)'!W:W, B118, '자가소비(B)'!U:U, $D$1)
  + COUNTIFS('PPA 사업(C)'!C:C, $E$1, 'PPA 사업(C)'!G:G, B111, 'PPA 사업(C)'!W:W, B118, 'PPA 사업(C)'!U:U, $D$1)
  + COUNTIFS('리스사업(D)'!C:C, $E$1, '리스사업(D)'!G:G, B111, '리스사업(D)'!W:W, B118, '리스사업(D)'!U:U, $D$1)
  + COUNTIFS('임대사업(E)'!C:C, $E$1, '임대사업(E)'!G:G, B111, '임대사업(E)'!W:W, B118, '임대사업(E)'!U:U, $D$1)
  + COUNTIFS('환경부사업(F)'!C:C, $E$1, '환경부사업(F)'!G:G, B111, '환경부사업(F)'!W:W, B118, '환경부사업(F)'!U:U, $D$1)
  + COUNTIFS('프로젝트(G)'!C:C, $E$1, '프로젝트(G)'!G:G, B111, '프로젝트(G)'!W:W, B118, '프로젝트(G)'!U:U, $D$1)
  + COUNTIFS('협력사 EPC(H)'!C:C, $E$1, '협력사 EPC(H)'!G:G, B111, '협력사 EPC(H)'!W:W, B118, '협력사 EPC(H)'!U:U, $D$1)
  + COUNTIFS('기타(Z)'!C:C, $E$1, '기타(Z)'!G:G, B111, '기타(Z)'!W:W, B118, '기타(Z)'!U:U, $D$1)
)</f>
        <v/>
      </c>
    </row>
    <row r="119" spans="2:8" x14ac:dyDescent="0.25">
      <c r="B119" s="202" t="s">
        <v>265</v>
      </c>
      <c r="C119" s="280">
        <f>IF(
  SUM(
    SUMIFS('발전사업(A)'!I:I, '발전사업(A)'!C:C, $E$1, '발전사업(A)'!G:G, B111, '발전사업(A)'!W:W, B119),
    SUMIFS('자가소비(B)'!I:I, '자가소비(B)'!C:C, $E$1, '자가소비(B)'!G:G, B111, '자가소비(B)'!W:W, B119),
    SUMIFS('PPA 사업(C)'!I:I, 'PPA 사업(C)'!C:C, $E$1, 'PPA 사업(C)'!G:G, B111, 'PPA 사업(C)'!W:W, B119),
    SUMIFS('리스사업(D)'!I:I, '리스사업(D)'!C:C, $E$1, '리스사업(D)'!G:G, B111, '리스사업(D)'!W:W, B119),
    SUMIFS('임대사업(E)'!I:I, '임대사업(E)'!C:C, $E$1, '임대사업(E)'!G:G, B111, '임대사업(E)'!W:W, B119),
    SUMIFS('환경부사업(F)'!I:I, '환경부사업(F)'!C:C, $E$1, '환경부사업(F)'!G:G, B111, '환경부사업(F)'!W:W, B119),
    SUMIFS('프로젝트(G)'!I:I, '프로젝트(G)'!C:C, $E$1, '프로젝트(G)'!G:G, B111, '프로젝트(G)'!W:W, B119),
    SUMIFS('협력사 EPC(H)'!I:I, '협력사 EPC(H)'!C:C, $E$1, '협력사 EPC(H)'!G:G, B111, '협력사 EPC(H)'!W:W, B119),
    SUMIFS('기타(Z)'!I:I, '기타(Z)'!C:C, $E$1, '기타(Z)'!G:G, B111, '기타(Z)'!W:W, B119)
  ) = 0,
  "",
  SUMIFS('발전사업(A)'!I:I, '발전사업(A)'!C:C, $E$1, '발전사업(A)'!G:G, B111, '발전사업(A)'!W:W, B119)
  + SUMIFS('자가소비(B)'!I:I, '자가소비(B)'!C:C, $E$1, '자가소비(B)'!G:G, B111, '자가소비(B)'!W:W, B119)
  + SUMIFS('PPA 사업(C)'!I:I, 'PPA 사업(C)'!C:C, $E$1, 'PPA 사업(C)'!G:G, B111, 'PPA 사업(C)'!W:W, B119)
  + SUMIFS('리스사업(D)'!I:I, '리스사업(D)'!C:C, $E$1, '리스사업(D)'!G:G, B111, '리스사업(D)'!W:W, B119)
  + SUMIFS('임대사업(E)'!I:I, '임대사업(E)'!C:C, $E$1, '임대사업(E)'!G:G, B111, '임대사업(E)'!W:W, B119)
  + SUMIFS('환경부사업(F)'!I:I, '환경부사업(F)'!C:C, $E$1, '환경부사업(F)'!G:G, B111, '환경부사업(F)'!W:W, B119)
  + SUMIFS('프로젝트(G)'!I:I, '프로젝트(G)'!C:C, $E$1, '프로젝트(G)'!G:G, B111, '프로젝트(G)'!W:W, B119)
  + SUMIFS('협력사 EPC(H)'!I:I, '협력사 EPC(H)'!C:C, $E$1, '협력사 EPC(H)'!G:G, B111, '협력사 EPC(H)'!W:W, B119)
  + SUMIFS('기타(Z)'!I:I, '기타(Z)'!C:C, $E$1, '기타(Z)'!G:G, B111, '기타(Z)'!W:W, B119)
)</f>
        <v>204.16</v>
      </c>
      <c r="D119" s="281">
        <f>IF(
  COUNTIFS('발전사업(A)'!C:C, $E$1, '발전사업(A)'!G:G, B111, '발전사업(A)'!W:W, B119)
  + COUNTIFS('자가소비(B)'!C:C, $E$1, '자가소비(B)'!G:G, B111, '자가소비(B)'!W:W, B119)
  + COUNTIFS('PPA 사업(C)'!C:C, $E$1, 'PPA 사업(C)'!G:G, B111, 'PPA 사업(C)'!W:W, B119)
  + COUNTIFS('리스사업(D)'!C:C, $E$1, '리스사업(D)'!G:G, B111, '리스사업(D)'!W:W, B119)
  + COUNTIFS('임대사업(E)'!C:C, $E$1, '임대사업(E)'!G:G, B111, '임대사업(E)'!W:W, B119)
  + COUNTIFS('환경부사업(F)'!C:C, $E$1, '환경부사업(F)'!G:G, B111, '환경부사업(F)'!W:W, B119)
  + COUNTIFS('프로젝트(G)'!C:C, $E$1, '프로젝트(G)'!G:G, B111, '프로젝트(G)'!W:W, B119)
  + COUNTIFS('협력사 EPC(H)'!C:C, $E$1, '협력사 EPC(H)'!G:G, B111, '협력사 EPC(H)'!W:W, B119)
  + COUNTIFS('기타(Z)'!C:C, $E$1, '기타(Z)'!G:G, B111, '기타(Z)'!W:W, B119)
  = 0,
  "",
  COUNTIFS('발전사업(A)'!C:C, $E$1, '발전사업(A)'!G:G, B111, '발전사업(A)'!W:W, B119)
  + COUNTIFS('자가소비(B)'!C:C, $E$1, '자가소비(B)'!G:G, B111, '자가소비(B)'!W:W, B119)
  + COUNTIFS('PPA 사업(C)'!C:C, $E$1, 'PPA 사업(C)'!G:G, B111, 'PPA 사업(C)'!W:W, B119)
  + COUNTIFS('리스사업(D)'!C:C, $E$1, '리스사업(D)'!G:G, B111, '리스사업(D)'!W:W, B119)
  + COUNTIFS('임대사업(E)'!C:C, $E$1, '임대사업(E)'!G:G, B111, '임대사업(E)'!W:W, B119)
  + COUNTIFS('환경부사업(F)'!C:C, $E$1, '환경부사업(F)'!G:G, B111, '환경부사업(F)'!W:W, B119)
  + COUNTIFS('프로젝트(G)'!C:C, $E$1, '프로젝트(G)'!G:G, B111, '프로젝트(G)'!W:W, B119)
  + COUNTIFS('협력사 EPC(H)'!C:C, $E$1, '협력사 EPC(H)'!G:G, B111, '협력사 EPC(H)'!W:W, B119)
  + COUNTIFS('기타(Z)'!C:C, $E$1, '기타(Z)'!G:G, B111, '기타(Z)'!W:W, B119)
)</f>
        <v>2</v>
      </c>
      <c r="E119" s="280" t="str">
        <f>IF(
  SUM(
    SUMIFS('발전사업(A)'!I:I, '발전사업(A)'!C:C, $E$1, '발전사업(A)'!G:G, B111, '발전사업(A)'!W:W, B119, '발전사업(A)'!U:U, $C$1),
    SUMIFS('자가소비(B)'!I:I, '자가소비(B)'!C:C, $E$1, '자가소비(B)'!G:G, B111, '자가소비(B)'!W:W, B119, '자가소비(B)'!U:U, $C$1),
    SUMIFS('PPA 사업(C)'!I:I, 'PPA 사업(C)'!C:C, $E$1, 'PPA 사업(C)'!G:G, B111, 'PPA 사업(C)'!W:W, B119, 'PPA 사업(C)'!U:U, $C$1),
    SUMIFS('리스사업(D)'!I:I, '리스사업(D)'!C:C, $E$1, '리스사업(D)'!G:G, B111, '리스사업(D)'!W:W, B119, '리스사업(D)'!U:U, $C$1),
    SUMIFS('임대사업(E)'!I:I, '임대사업(E)'!C:C, $E$1, '임대사업(E)'!G:G, B111, '임대사업(E)'!W:W, B119, '임대사업(E)'!U:U, $C$1),
    SUMIFS('환경부사업(F)'!I:I, '환경부사업(F)'!C:C, $E$1, '환경부사업(F)'!G:G, B111, '환경부사업(F)'!W:W, B119, '환경부사업(F)'!U:U, $C$1),
    SUMIFS('프로젝트(G)'!I:I, '프로젝트(G)'!C:C, $E$1, '프로젝트(G)'!G:G, B111, '프로젝트(G)'!W:W, B119, '프로젝트(G)'!U:U, $C$1),
    SUMIFS('협력사 EPC(H)'!I:I, '협력사 EPC(H)'!C:C, $E$1, '협력사 EPC(H)'!G:G, B111, '협력사 EPC(H)'!W:W, B119, '협력사 EPC(H)'!U:U, $C$1),
    SUMIFS('기타(Z)'!I:I, '기타(Z)'!C:C, $E$1, '기타(Z)'!G:G, B111, '기타(Z)'!W:W, B119, '기타(Z)'!U:U, $C$1)
  ) = 0,
  "",
  SUM(
    SUMIFS('발전사업(A)'!I:I, '발전사업(A)'!C:C, $E$1, '발전사업(A)'!G:G, B111, '발전사업(A)'!W:W, B119, '발전사업(A)'!U:U, $C$1),
    SUMIFS('자가소비(B)'!I:I, '자가소비(B)'!C:C, $E$1, '자가소비(B)'!G:G, B111, '자가소비(B)'!W:W, B119, '자가소비(B)'!U:U, $C$1),
    SUMIFS('PPA 사업(C)'!I:I, 'PPA 사업(C)'!C:C, $E$1, 'PPA 사업(C)'!G:G, B111, 'PPA 사업(C)'!W:W, B119, 'PPA 사업(C)'!U:U, $C$1),
    SUMIFS('리스사업(D)'!I:I, '리스사업(D)'!C:C, $E$1, '리스사업(D)'!G:G, B111, '리스사업(D)'!W:W, B119, '리스사업(D)'!U:U, $C$1),
    SUMIFS('임대사업(E)'!I:I, '임대사업(E)'!C:C, $E$1, '임대사업(E)'!G:G, B111, '임대사업(E)'!W:W, B119, '임대사업(E)'!U:U, $C$1),
    SUMIFS('환경부사업(F)'!I:I, '환경부사업(F)'!C:C, $E$1, '환경부사업(F)'!G:G, B111, '환경부사업(F)'!W:W, B119, '환경부사업(F)'!U:U, $C$1),
    SUMIFS('프로젝트(G)'!I:I, '프로젝트(G)'!C:C, $E$1, '프로젝트(G)'!G:G, B111, '프로젝트(G)'!W:W, B119, '프로젝트(G)'!U:U, $C$1),
    SUMIFS('협력사 EPC(H)'!I:I, '협력사 EPC(H)'!C:C, $E$1, '협력사 EPC(H)'!G:G, B111, '협력사 EPC(H)'!W:W, B119, '협력사 EPC(H)'!U:U, $C$1),
    SUMIFS('기타(Z)'!I:I, '기타(Z)'!C:C, $E$1, '기타(Z)'!G:G, B111, '기타(Z)'!W:W, B119, '기타(Z)'!U:U, $C$1)
  )
)</f>
        <v/>
      </c>
      <c r="F119" s="281" t="str">
        <f>IF(
  SUM(
    COUNTIFS('발전사업(A)'!C:C, $E$1, '발전사업(A)'!G:G, B111, '발전사업(A)'!W:W, B119, '발전사업(A)'!U:U, $C$1),
    COUNTIFS('자가소비(B)'!C:C, $E$1, '자가소비(B)'!G:G, B111, '자가소비(B)'!W:W, B119, '자가소비(B)'!U:U, $C$1),
    COUNTIFS('PPA 사업(C)'!C:C, $E$1, 'PPA 사업(C)'!G:G, B111, 'PPA 사업(C)'!W:W, B119, 'PPA 사업(C)'!U:U, $C$1),
    COUNTIFS('리스사업(D)'!C:C, $E$1, '리스사업(D)'!G:G, B111, '리스사업(D)'!W:W, B119, '리스사업(D)'!U:U, $C$1),
    COUNTIFS('임대사업(E)'!C:C, $E$1, '임대사업(E)'!G:G, B111, '임대사업(E)'!W:W, B119, '임대사업(E)'!U:U, $C$1),
    COUNTIFS('환경부사업(F)'!C:C, $E$1, '환경부사업(F)'!G:G, B111, '환경부사업(F)'!W:W, B119, '환경부사업(F)'!U:U, $C$1),
    COUNTIFS('프로젝트(G)'!C:C, $E$1, '프로젝트(G)'!G:G, B111, '프로젝트(G)'!W:W, B119, '프로젝트(G)'!U:U, $C$1),
    COUNTIFS('협력사 EPC(H)'!C:C, $E$1, '협력사 EPC(H)'!G:G, B111, '협력사 EPC(H)'!W:W, B119, '협력사 EPC(H)'!U:U, $C$1),
    COUNTIFS('기타(Z)'!C:C, $E$1, '기타(Z)'!G:G, B111, '기타(Z)'!W:W, B119, '기타(Z)'!U:U, $C$1)
  ) = 0,
  "",
  SUM(
    COUNTIFS('발전사업(A)'!C:C, $E$1, '발전사업(A)'!G:G, B111, '발전사업(A)'!W:W, B119, '발전사업(A)'!U:U, $C$1),
    COUNTIFS('자가소비(B)'!C:C, $E$1, '자가소비(B)'!G:G, B111, '자가소비(B)'!W:W, B119, '자가소비(B)'!U:U, $C$1),
    COUNTIFS('PPA 사업(C)'!C:C, $E$1, 'PPA 사업(C)'!G:G, B111, 'PPA 사업(C)'!W:W, B119, 'PPA 사업(C)'!U:U, $C$1),
    COUNTIFS('리스사업(D)'!C:C, $E$1, '리스사업(D)'!G:G, B111, '리스사업(D)'!W:W, B119, '리스사업(D)'!U:U, $C$1),
    COUNTIFS('임대사업(E)'!C:C, $E$1, '임대사업(E)'!G:G, B111, '임대사업(E)'!W:W, B119, '임대사업(E)'!U:U, $C$1),
    COUNTIFS('환경부사업(F)'!C:C, $E$1, '환경부사업(F)'!G:G, B111, '환경부사업(F)'!W:W, B119, '환경부사업(F)'!U:U, $C$1),
    COUNTIFS('프로젝트(G)'!C:C, $E$1, '프로젝트(G)'!G:G, B111, '프로젝트(G)'!W:W, B119, '프로젝트(G)'!U:U, $C$1),
    COUNTIFS('협력사 EPC(H)'!C:C, $E$1, '협력사 EPC(H)'!G:G, B111, '협력사 EPC(H)'!W:W, B119, '협력사 EPC(H)'!U:U, $C$1),
    COUNTIFS('기타(Z)'!C:C, $E$1, '기타(Z)'!G:G, B111, '기타(Z)'!W:W, B119, '기타(Z)'!U:U, $C$1)
  )
)</f>
        <v/>
      </c>
      <c r="G119" s="280">
        <f>IF(
  SUM(
    SUMIFS('발전사업(A)'!I:I, '발전사업(A)'!C:C, $E$1, '발전사업(A)'!G:G, B111, '발전사업(A)'!W:W, B119, '발전사업(A)'!U:U, $D$1),
    SUMIFS('자가소비(B)'!I:I, '자가소비(B)'!C:C, $E$1, '자가소비(B)'!G:G, B111, '자가소비(B)'!W:W, B119, '자가소비(B)'!U:U, $D$1),
    SUMIFS('PPA 사업(C)'!I:I, 'PPA 사업(C)'!C:C, $E$1, 'PPA 사업(C)'!G:G, B111, 'PPA 사업(C)'!W:W, B119, 'PPA 사업(C)'!U:U, $D$1),
    SUMIFS('리스사업(D)'!I:I, '리스사업(D)'!C:C, $E$1, '리스사업(D)'!G:G, B111, '리스사업(D)'!W:W, B119, '리스사업(D)'!U:U, $D$1),
    SUMIFS('임대사업(E)'!I:I, '임대사업(E)'!C:C, $E$1, '임대사업(E)'!G:G, B111, '임대사업(E)'!W:W, B119, '임대사업(E)'!U:U, $D$1),
    SUMIFS('환경부사업(F)'!I:I, '환경부사업(F)'!C:C, $E$1, '환경부사업(F)'!G:G, B111, '환경부사업(F)'!W:W, B119, '환경부사업(F)'!U:U, $D$1),
    SUMIFS('프로젝트(G)'!I:I, '프로젝트(G)'!C:C, $E$1, '프로젝트(G)'!G:G, B111, '프로젝트(G)'!W:W, B119, '프로젝트(G)'!U:U, $D$1),
    SUMIFS('협력사 EPC(H)'!I:I, '협력사 EPC(H)'!C:C, $E$1, '협력사 EPC(H)'!G:G, B111, '협력사 EPC(H)'!W:W, B119, '협력사 EPC(H)'!U:U, $D$1),
    SUMIFS('기타(Z)'!I:I, '기타(Z)'!C:C, $E$1, '기타(Z)'!G:G, B111, '기타(Z)'!W:W, B119, '기타(Z)'!U:U, $D$1)
  ) = 0,
  "",
  SUM(
    SUMIFS('발전사업(A)'!I:I, '발전사업(A)'!C:C, $E$1, '발전사업(A)'!G:G, B111, '발전사업(A)'!W:W, B119, '발전사업(A)'!U:U, $D$1),
    SUMIFS('자가소비(B)'!I:I, '자가소비(B)'!C:C, $E$1, '자가소비(B)'!G:G, B111, '자가소비(B)'!W:W, B119, '자가소비(B)'!U:U, $D$1),
    SUMIFS('PPA 사업(C)'!I:I, 'PPA 사업(C)'!C:C, $E$1, 'PPA 사업(C)'!G:G, B111, 'PPA 사업(C)'!W:W, B119, 'PPA 사업(C)'!U:U, $D$1),
    SUMIFS('리스사업(D)'!I:I, '리스사업(D)'!C:C, $E$1, '리스사업(D)'!G:G, B111, '리스사업(D)'!W:W, B119, '리스사업(D)'!U:U, $D$1),
    SUMIFS('임대사업(E)'!I:I, '임대사업(E)'!C:C, $E$1, '임대사업(E)'!G:G, B111, '임대사업(E)'!W:W, B119, '임대사업(E)'!U:U, $D$1),
    SUMIFS('환경부사업(F)'!I:I, '환경부사업(F)'!C:C, $E$1, '환경부사업(F)'!G:G, B111, '환경부사업(F)'!W:W, B119, '환경부사업(F)'!U:U, $D$1),
    SUMIFS('프로젝트(G)'!I:I, '프로젝트(G)'!C:C, $E$1, '프로젝트(G)'!G:G, B111, '프로젝트(G)'!W:W, B119, '프로젝트(G)'!U:U, $D$1),
    SUMIFS('협력사 EPC(H)'!I:I, '협력사 EPC(H)'!C:C, $E$1, '협력사 EPC(H)'!G:G, B111, '협력사 EPC(H)'!W:W, B119, '협력사 EPC(H)'!U:U, $D$1),
    SUMIFS('기타(Z)'!I:I, '기타(Z)'!C:C, $E$1, '기타(Z)'!G:G, B111, '기타(Z)'!W:W, B119, '기타(Z)'!U:U, $D$1)
  )
)</f>
        <v>204.16</v>
      </c>
      <c r="H119" s="281">
        <f>IF(
  (
    COUNTIFS('발전사업(A)'!C:C, $E$1, '발전사업(A)'!G:G, B111, '발전사업(A)'!W:W, B119, '발전사업(A)'!U:U, $D$1)
    + COUNTIFS('자가소비(B)'!C:C, $E$1, '자가소비(B)'!G:G, B111, '자가소비(B)'!W:W, B119, '자가소비(B)'!U:U, $D$1)
    + COUNTIFS('PPA 사업(C)'!C:C, $E$1, 'PPA 사업(C)'!G:G, B111, 'PPA 사업(C)'!W:W, B119, 'PPA 사업(C)'!U:U, $D$1)
    + COUNTIFS('리스사업(D)'!C:C, $E$1, '리스사업(D)'!G:G, B111, '리스사업(D)'!W:W, B119, '리스사업(D)'!U:U, $D$1)
    + COUNTIFS('임대사업(E)'!C:C, $E$1, '임대사업(E)'!G:G, B111, '임대사업(E)'!W:W, B119, '임대사업(E)'!U:U, $D$1)
    + COUNTIFS('환경부사업(F)'!C:C, $E$1, '환경부사업(F)'!G:G, B111, '환경부사업(F)'!W:W, B119, '환경부사업(F)'!U:U, $D$1)
    + COUNTIFS('프로젝트(G)'!C:C, $E$1, '프로젝트(G)'!G:G, B111, '프로젝트(G)'!W:W, B119, '프로젝트(G)'!U:U, $D$1)
    + COUNTIFS('협력사 EPC(H)'!C:C, $E$1, '협력사 EPC(H)'!G:G, B111, '협력사 EPC(H)'!W:W, B119, '협력사 EPC(H)'!U:U, $D$1)
    + COUNTIFS('기타(Z)'!C:C, $E$1, '기타(Z)'!G:G, B111, '기타(Z)'!W:W, B119, '기타(Z)'!U:U, $D$1)
  ) = 0,
  "",
  COUNTIFS('발전사업(A)'!C:C, $E$1, '발전사업(A)'!G:G, B111, '발전사업(A)'!W:W, B119, '발전사업(A)'!U:U, $D$1)
  + COUNTIFS('자가소비(B)'!C:C, $E$1, '자가소비(B)'!G:G, B111, '자가소비(B)'!W:W, B119, '자가소비(B)'!U:U, $D$1)
  + COUNTIFS('PPA 사업(C)'!C:C, $E$1, 'PPA 사업(C)'!G:G, B111, 'PPA 사업(C)'!W:W, B119, 'PPA 사업(C)'!U:U, $D$1)
  + COUNTIFS('리스사업(D)'!C:C, $E$1, '리스사업(D)'!G:G, B111, '리스사업(D)'!W:W, B119, '리스사업(D)'!U:U, $D$1)
  + COUNTIFS('임대사업(E)'!C:C, $E$1, '임대사업(E)'!G:G, B111, '임대사업(E)'!W:W, B119, '임대사업(E)'!U:U, $D$1)
  + COUNTIFS('환경부사업(F)'!C:C, $E$1, '환경부사업(F)'!G:G, B111, '환경부사업(F)'!W:W, B119, '환경부사업(F)'!U:U, $D$1)
  + COUNTIFS('프로젝트(G)'!C:C, $E$1, '프로젝트(G)'!G:G, B111, '프로젝트(G)'!W:W, B119, '프로젝트(G)'!U:U, $D$1)
  + COUNTIFS('협력사 EPC(H)'!C:C, $E$1, '협력사 EPC(H)'!G:G, B111, '협력사 EPC(H)'!W:W, B119, '협력사 EPC(H)'!U:U, $D$1)
  + COUNTIFS('기타(Z)'!C:C, $E$1, '기타(Z)'!G:G, B111, '기타(Z)'!W:W, B119, '기타(Z)'!U:U, $D$1)
)</f>
        <v>2</v>
      </c>
    </row>
    <row r="120" spans="2:8" ht="16.5" x14ac:dyDescent="0.25">
      <c r="B120" s="292" t="s">
        <v>1062</v>
      </c>
      <c r="C120" s="286">
        <f>SUM(C112:C119)</f>
        <v>7263.9999999999982</v>
      </c>
      <c r="D120" s="287">
        <f t="shared" ref="D120:H120" si="18">SUM(D112:D119)</f>
        <v>26</v>
      </c>
      <c r="E120" s="288">
        <f t="shared" si="18"/>
        <v>3553.2799999999997</v>
      </c>
      <c r="F120" s="289">
        <f t="shared" si="18"/>
        <v>12</v>
      </c>
      <c r="G120" s="290">
        <f t="shared" si="18"/>
        <v>3710.72</v>
      </c>
      <c r="H120" s="291">
        <f t="shared" si="18"/>
        <v>14</v>
      </c>
    </row>
    <row r="123" spans="2:8" ht="17.25" x14ac:dyDescent="0.25">
      <c r="B123" s="282">
        <v>10</v>
      </c>
      <c r="C123" s="283" t="s">
        <v>1064</v>
      </c>
      <c r="D123" s="283" t="s">
        <v>1063</v>
      </c>
      <c r="E123" s="284" t="s">
        <v>1065</v>
      </c>
      <c r="F123" s="284" t="s">
        <v>1066</v>
      </c>
      <c r="G123" s="285" t="s">
        <v>1067</v>
      </c>
      <c r="H123" s="285" t="s">
        <v>1068</v>
      </c>
    </row>
    <row r="124" spans="2:8" x14ac:dyDescent="0.25">
      <c r="B124" s="202" t="s">
        <v>270</v>
      </c>
      <c r="C124" s="280">
        <f>IF(
  SUM(
    SUMIFS('발전사업(A)'!I:I, '발전사업(A)'!C:C, $E$1, '발전사업(A)'!G:G, B123, '발전사업(A)'!W:W, B124),
    SUMIFS('자가소비(B)'!I:I, '자가소비(B)'!C:C, $E$1, '자가소비(B)'!G:G, B123, '자가소비(B)'!W:W, B124),
    SUMIFS('PPA 사업(C)'!I:I, 'PPA 사업(C)'!C:C, $E$1, 'PPA 사업(C)'!G:G, B123, 'PPA 사업(C)'!W:W, B124),
    SUMIFS('리스사업(D)'!I:I, '리스사업(D)'!C:C, $E$1, '리스사업(D)'!G:G, B123, '리스사업(D)'!W:W, B124),
    SUMIFS('임대사업(E)'!I:I, '임대사업(E)'!C:C, $E$1, '임대사업(E)'!G:G, B123, '임대사업(E)'!W:W, B124),
    SUMIFS('환경부사업(F)'!I:I, '환경부사업(F)'!C:C, $E$1, '환경부사업(F)'!G:G, B123, '환경부사업(F)'!W:W, B124),
    SUMIFS('프로젝트(G)'!I:I, '프로젝트(G)'!C:C, $E$1, '프로젝트(G)'!G:G, B123, '프로젝트(G)'!W:W, B124),
    SUMIFS('협력사 EPC(H)'!I:I, '협력사 EPC(H)'!C:C, $E$1, '협력사 EPC(H)'!G:G, B123, '협력사 EPC(H)'!W:W, B124),
    SUMIFS('기타(Z)'!I:I, '기타(Z)'!C:C, $E$1, '기타(Z)'!G:G, B123, '기타(Z)'!W:W, B124)
  ) = 0,
  "",
  SUMIFS('발전사업(A)'!I:I, '발전사업(A)'!C:C, $E$1, '발전사업(A)'!G:G, B123, '발전사업(A)'!W:W, B124)
  + SUMIFS('자가소비(B)'!I:I, '자가소비(B)'!C:C, $E$1, '자가소비(B)'!G:G, B123, '자가소비(B)'!W:W, B124)
  + SUMIFS('PPA 사업(C)'!I:I, 'PPA 사업(C)'!C:C, $E$1, 'PPA 사업(C)'!G:G, B123, 'PPA 사업(C)'!W:W, B124)
  + SUMIFS('리스사업(D)'!I:I, '리스사업(D)'!C:C, $E$1, '리스사업(D)'!G:G, B123, '리스사업(D)'!W:W, B124)
  + SUMIFS('임대사업(E)'!I:I, '임대사업(E)'!C:C, $E$1, '임대사업(E)'!G:G, B123, '임대사업(E)'!W:W, B124)
  + SUMIFS('환경부사업(F)'!I:I, '환경부사업(F)'!C:C, $E$1, '환경부사업(F)'!G:G, B123, '환경부사업(F)'!W:W, B124)
  + SUMIFS('프로젝트(G)'!I:I, '프로젝트(G)'!C:C, $E$1, '프로젝트(G)'!G:G, B123, '프로젝트(G)'!W:W, B124)
  + SUMIFS('협력사 EPC(H)'!I:I, '협력사 EPC(H)'!C:C, $E$1, '협력사 EPC(H)'!G:G, B123, '협력사 EPC(H)'!W:W, B124)
  + SUMIFS('기타(Z)'!I:I, '기타(Z)'!C:C, $E$1, '기타(Z)'!G:G, B123, '기타(Z)'!W:W, B124)
)</f>
        <v>3128.3950000000004</v>
      </c>
      <c r="D124" s="281">
        <f>IF(
  COUNTIFS('발전사업(A)'!C:C, $E$1, '발전사업(A)'!G:G, B123, '발전사업(A)'!W:W, B124)
  + COUNTIFS('자가소비(B)'!C:C, $E$1, '자가소비(B)'!G:G, B123, '자가소비(B)'!W:W, B124)
  + COUNTIFS('PPA 사업(C)'!C:C, $E$1, 'PPA 사업(C)'!G:G, B123, 'PPA 사업(C)'!W:W, B124)
  + COUNTIFS('리스사업(D)'!C:C, $E$1, '리스사업(D)'!G:G, B123, '리스사업(D)'!W:W, B124)
  + COUNTIFS('임대사업(E)'!C:C, $E$1, '임대사업(E)'!G:G, B123, '임대사업(E)'!W:W, B124)
  + COUNTIFS('환경부사업(F)'!C:C, $E$1, '환경부사업(F)'!G:G, B123, '환경부사업(F)'!W:W, B124)
  + COUNTIFS('프로젝트(G)'!C:C, $E$1, '프로젝트(G)'!G:G, B123, '프로젝트(G)'!W:W, B124)
  + COUNTIFS('협력사 EPC(H)'!C:C, $E$1, '협력사 EPC(H)'!G:G, B123, '협력사 EPC(H)'!W:W, B124)
  + COUNTIFS('기타(Z)'!C:C, $E$1, '기타(Z)'!G:G, B123, '기타(Z)'!W:W, B124)
  = 0,
  "",
  COUNTIFS('발전사업(A)'!C:C, $E$1, '발전사업(A)'!G:G, B123, '발전사업(A)'!W:W, B124)
  + COUNTIFS('자가소비(B)'!C:C, $E$1, '자가소비(B)'!G:G, B123, '자가소비(B)'!W:W, B124)
  + COUNTIFS('PPA 사업(C)'!C:C, $E$1, 'PPA 사업(C)'!G:G, B123, 'PPA 사업(C)'!W:W, B124)
  + COUNTIFS('리스사업(D)'!C:C, $E$1, '리스사업(D)'!G:G, B123, '리스사업(D)'!W:W, B124)
  + COUNTIFS('임대사업(E)'!C:C, $E$1, '임대사업(E)'!G:G, B123, '임대사업(E)'!W:W, B124)
  + COUNTIFS('환경부사업(F)'!C:C, $E$1, '환경부사업(F)'!G:G, B123, '환경부사업(F)'!W:W, B124)
  + COUNTIFS('프로젝트(G)'!C:C, $E$1, '프로젝트(G)'!G:G, B123, '프로젝트(G)'!W:W, B124)
  + COUNTIFS('협력사 EPC(H)'!C:C, $E$1, '협력사 EPC(H)'!G:G, B123, '협력사 EPC(H)'!W:W, B124)
  + COUNTIFS('기타(Z)'!C:C, $E$1, '기타(Z)'!G:G, B123, '기타(Z)'!W:W, B124)
)</f>
        <v>11</v>
      </c>
      <c r="E124" s="280">
        <f>IF(
  SUM(
    SUMIFS('발전사업(A)'!I:I, '발전사업(A)'!C:C, $E$1, '발전사업(A)'!G:G, B123, '발전사업(A)'!W:W, B124, '발전사업(A)'!U:U, $C$1),
    SUMIFS('자가소비(B)'!I:I, '자가소비(B)'!C:C, $E$1, '자가소비(B)'!G:G, B123, '자가소비(B)'!W:W, B124, '자가소비(B)'!U:U, $C$1),
    SUMIFS('PPA 사업(C)'!I:I, 'PPA 사업(C)'!C:C, $E$1, 'PPA 사업(C)'!G:G, B123, 'PPA 사업(C)'!W:W, B124, 'PPA 사업(C)'!U:U, $C$1),
    SUMIFS('리스사업(D)'!I:I, '리스사업(D)'!C:C, $E$1, '리스사업(D)'!G:G, B123, '리스사업(D)'!W:W, B124, '리스사업(D)'!U:U, $C$1),
    SUMIFS('임대사업(E)'!I:I, '임대사업(E)'!C:C, $E$1, '임대사업(E)'!G:G, B123, '임대사업(E)'!W:W, B124, '임대사업(E)'!U:U, $C$1),
    SUMIFS('환경부사업(F)'!I:I, '환경부사업(F)'!C:C, $E$1, '환경부사업(F)'!G:G, B123, '환경부사업(F)'!W:W, B124, '환경부사업(F)'!U:U, $C$1),
    SUMIFS('프로젝트(G)'!I:I, '프로젝트(G)'!C:C, $E$1, '프로젝트(G)'!G:G, B123, '프로젝트(G)'!W:W, B124, '프로젝트(G)'!U:U, $C$1),
    SUMIFS('협력사 EPC(H)'!I:I, '협력사 EPC(H)'!C:C, $E$1, '협력사 EPC(H)'!G:G, B123, '협력사 EPC(H)'!W:W, B124, '협력사 EPC(H)'!U:U, $C$1),
    SUMIFS('기타(Z)'!I:I, '기타(Z)'!C:C, $E$1, '기타(Z)'!G:G, B123, '기타(Z)'!W:W, B124, '기타(Z)'!U:U, $C$1)
  ) = 0,
  "",
  SUM(
    SUMIFS('발전사업(A)'!I:I, '발전사업(A)'!C:C, $E$1, '발전사업(A)'!G:G, B123, '발전사업(A)'!W:W, B124, '발전사업(A)'!U:U, $C$1),
    SUMIFS('자가소비(B)'!I:I, '자가소비(B)'!C:C, $E$1, '자가소비(B)'!G:G, B123, '자가소비(B)'!W:W, B124, '자가소비(B)'!U:U, $C$1),
    SUMIFS('PPA 사업(C)'!I:I, 'PPA 사업(C)'!C:C, $E$1, 'PPA 사업(C)'!G:G, B123, 'PPA 사업(C)'!W:W, B124, 'PPA 사업(C)'!U:U, $C$1),
    SUMIFS('리스사업(D)'!I:I, '리스사업(D)'!C:C, $E$1, '리스사업(D)'!G:G, B123, '리스사업(D)'!W:W, B124, '리스사업(D)'!U:U, $C$1),
    SUMIFS('임대사업(E)'!I:I, '임대사업(E)'!C:C, $E$1, '임대사업(E)'!G:G, B123, '임대사업(E)'!W:W, B124, '임대사업(E)'!U:U, $C$1),
    SUMIFS('환경부사업(F)'!I:I, '환경부사업(F)'!C:C, $E$1, '환경부사업(F)'!G:G, B123, '환경부사업(F)'!W:W, B124, '환경부사업(F)'!U:U, $C$1),
    SUMIFS('프로젝트(G)'!I:I, '프로젝트(G)'!C:C, $E$1, '프로젝트(G)'!G:G, B123, '프로젝트(G)'!W:W, B124, '프로젝트(G)'!U:U, $C$1),
    SUMIFS('협력사 EPC(H)'!I:I, '협력사 EPC(H)'!C:C, $E$1, '협력사 EPC(H)'!G:G, B123, '협력사 EPC(H)'!W:W, B124, '협력사 EPC(H)'!U:U, $C$1),
    SUMIFS('기타(Z)'!I:I, '기타(Z)'!C:C, $E$1, '기타(Z)'!G:G, B123, '기타(Z)'!W:W, B124, '기타(Z)'!U:U, $C$1)
  )
)</f>
        <v>867.27499999999998</v>
      </c>
      <c r="F124" s="281">
        <f>IF(
  SUM(
    COUNTIFS('발전사업(A)'!C:C, $E$1, '발전사업(A)'!G:G, B123, '발전사업(A)'!W:W, B124, '발전사업(A)'!U:U, $C$1),
    COUNTIFS('자가소비(B)'!C:C, $E$1, '자가소비(B)'!G:G, B123, '자가소비(B)'!W:W, B124, '자가소비(B)'!U:U, $C$1),
    COUNTIFS('PPA 사업(C)'!C:C, $E$1, 'PPA 사업(C)'!G:G, B123, 'PPA 사업(C)'!W:W, B124, 'PPA 사업(C)'!U:U, $C$1),
    COUNTIFS('리스사업(D)'!C:C, $E$1, '리스사업(D)'!G:G, B123, '리스사업(D)'!W:W, B124, '리스사업(D)'!U:U, $C$1),
    COUNTIFS('임대사업(E)'!C:C, $E$1, '임대사업(E)'!G:G, B123, '임대사업(E)'!W:W, B124, '임대사업(E)'!U:U, $C$1),
    COUNTIFS('환경부사업(F)'!C:C, $E$1, '환경부사업(F)'!G:G, B123, '환경부사업(F)'!W:W, B124, '환경부사업(F)'!U:U, $C$1),
    COUNTIFS('프로젝트(G)'!C:C, $E$1, '프로젝트(G)'!G:G, B123, '프로젝트(G)'!W:W, B124, '프로젝트(G)'!U:U, $C$1),
    COUNTIFS('협력사 EPC(H)'!C:C, $E$1, '협력사 EPC(H)'!G:G, B123, '협력사 EPC(H)'!W:W, B124, '협력사 EPC(H)'!U:U, $C$1),
    COUNTIFS('기타(Z)'!C:C, $E$1, '기타(Z)'!G:G, B123, '기타(Z)'!W:W, B124, '기타(Z)'!U:U, $C$1)
  ) = 0,
  "",
  SUM(
    COUNTIFS('발전사업(A)'!C:C, $E$1, '발전사업(A)'!G:G, B123, '발전사업(A)'!W:W, B124, '발전사업(A)'!U:U, $C$1),
    COUNTIFS('자가소비(B)'!C:C, $E$1, '자가소비(B)'!G:G, B123, '자가소비(B)'!W:W, B124, '자가소비(B)'!U:U, $C$1),
    COUNTIFS('PPA 사업(C)'!C:C, $E$1, 'PPA 사업(C)'!G:G, B123, 'PPA 사업(C)'!W:W, B124, 'PPA 사업(C)'!U:U, $C$1),
    COUNTIFS('리스사업(D)'!C:C, $E$1, '리스사업(D)'!G:G, B123, '리스사업(D)'!W:W, B124, '리스사업(D)'!U:U, $C$1),
    COUNTIFS('임대사업(E)'!C:C, $E$1, '임대사업(E)'!G:G, B123, '임대사업(E)'!W:W, B124, '임대사업(E)'!U:U, $C$1),
    COUNTIFS('환경부사업(F)'!C:C, $E$1, '환경부사업(F)'!G:G, B123, '환경부사업(F)'!W:W, B124, '환경부사업(F)'!U:U, $C$1),
    COUNTIFS('프로젝트(G)'!C:C, $E$1, '프로젝트(G)'!G:G, B123, '프로젝트(G)'!W:W, B124, '프로젝트(G)'!U:U, $C$1),
    COUNTIFS('협력사 EPC(H)'!C:C, $E$1, '협력사 EPC(H)'!G:G, B123, '협력사 EPC(H)'!W:W, B124, '협력사 EPC(H)'!U:U, $C$1),
    COUNTIFS('기타(Z)'!C:C, $E$1, '기타(Z)'!G:G, B123, '기타(Z)'!W:W, B124, '기타(Z)'!U:U, $C$1)
  )
)</f>
        <v>5</v>
      </c>
      <c r="G124" s="280">
        <f>IF(
  SUM(
    SUMIFS('발전사업(A)'!I:I, '발전사업(A)'!C:C, $E$1, '발전사업(A)'!G:G, B123, '발전사업(A)'!W:W, B124, '발전사업(A)'!U:U, $D$1),
    SUMIFS('자가소비(B)'!I:I, '자가소비(B)'!C:C, $E$1, '자가소비(B)'!G:G, B123, '자가소비(B)'!W:W, B124, '자가소비(B)'!U:U, $D$1),
    SUMIFS('PPA 사업(C)'!I:I, 'PPA 사업(C)'!C:C, $E$1, 'PPA 사업(C)'!G:G, B123, 'PPA 사업(C)'!W:W, B124, 'PPA 사업(C)'!U:U, $D$1),
    SUMIFS('리스사업(D)'!I:I, '리스사업(D)'!C:C, $E$1, '리스사업(D)'!G:G, B123, '리스사업(D)'!W:W, B124, '리스사업(D)'!U:U, $D$1),
    SUMIFS('임대사업(E)'!I:I, '임대사업(E)'!C:C, $E$1, '임대사업(E)'!G:G, B123, '임대사업(E)'!W:W, B124, '임대사업(E)'!U:U, $D$1),
    SUMIFS('환경부사업(F)'!I:I, '환경부사업(F)'!C:C, $E$1, '환경부사업(F)'!G:G, B123, '환경부사업(F)'!W:W, B124, '환경부사업(F)'!U:U, $D$1),
    SUMIFS('프로젝트(G)'!I:I, '프로젝트(G)'!C:C, $E$1, '프로젝트(G)'!G:G, B123, '프로젝트(G)'!W:W, B124, '프로젝트(G)'!U:U, $D$1),
    SUMIFS('협력사 EPC(H)'!I:I, '협력사 EPC(H)'!C:C, $E$1, '협력사 EPC(H)'!G:G, B123, '협력사 EPC(H)'!W:W, B124, '협력사 EPC(H)'!U:U, $D$1),
    SUMIFS('기타(Z)'!I:I, '기타(Z)'!C:C, $E$1, '기타(Z)'!G:G, B123, '기타(Z)'!W:W, B124, '기타(Z)'!U:U, $D$1)
  ) = 0,
  "",
  SUM(
    SUMIFS('발전사업(A)'!I:I, '발전사업(A)'!C:C, $E$1, '발전사업(A)'!G:G, B123, '발전사업(A)'!W:W, B124, '발전사업(A)'!U:U, $D$1),
    SUMIFS('자가소비(B)'!I:I, '자가소비(B)'!C:C, $E$1, '자가소비(B)'!G:G, B123, '자가소비(B)'!W:W, B124, '자가소비(B)'!U:U, $D$1),
    SUMIFS('PPA 사업(C)'!I:I, 'PPA 사업(C)'!C:C, $E$1, 'PPA 사업(C)'!G:G, B123, 'PPA 사업(C)'!W:W, B124, 'PPA 사업(C)'!U:U, $D$1),
    SUMIFS('리스사업(D)'!I:I, '리스사업(D)'!C:C, $E$1, '리스사업(D)'!G:G, B123, '리스사업(D)'!W:W, B124, '리스사업(D)'!U:U, $D$1),
    SUMIFS('임대사업(E)'!I:I, '임대사업(E)'!C:C, $E$1, '임대사업(E)'!G:G, B123, '임대사업(E)'!W:W, B124, '임대사업(E)'!U:U, $D$1),
    SUMIFS('환경부사업(F)'!I:I, '환경부사업(F)'!C:C, $E$1, '환경부사업(F)'!G:G, B123, '환경부사업(F)'!W:W, B124, '환경부사업(F)'!U:U, $D$1),
    SUMIFS('프로젝트(G)'!I:I, '프로젝트(G)'!C:C, $E$1, '프로젝트(G)'!G:G, B123, '프로젝트(G)'!W:W, B124, '프로젝트(G)'!U:U, $D$1),
    SUMIFS('협력사 EPC(H)'!I:I, '협력사 EPC(H)'!C:C, $E$1, '협력사 EPC(H)'!G:G, B123, '협력사 EPC(H)'!W:W, B124, '협력사 EPC(H)'!U:U, $D$1),
    SUMIFS('기타(Z)'!I:I, '기타(Z)'!C:C, $E$1, '기타(Z)'!G:G, B123, '기타(Z)'!W:W, B124, '기타(Z)'!U:U, $D$1)
  )
)</f>
        <v>2261.12</v>
      </c>
      <c r="H124" s="281">
        <f>IF(
  (
    COUNTIFS('발전사업(A)'!C:C, $E$1, '발전사업(A)'!G:G, B123, '발전사업(A)'!W:W, B124, '발전사업(A)'!U:U, $D$1)
    + COUNTIFS('자가소비(B)'!C:C, $E$1, '자가소비(B)'!G:G, B123, '자가소비(B)'!W:W, B124, '자가소비(B)'!U:U, $D$1)
    + COUNTIFS('PPA 사업(C)'!C:C, $E$1, 'PPA 사업(C)'!G:G, B123, 'PPA 사업(C)'!W:W, B124, 'PPA 사업(C)'!U:U, $D$1)
    + COUNTIFS('리스사업(D)'!C:C, $E$1, '리스사업(D)'!G:G, B123, '리스사업(D)'!W:W, B124, '리스사업(D)'!U:U, $D$1)
    + COUNTIFS('임대사업(E)'!C:C, $E$1, '임대사업(E)'!G:G, B123, '임대사업(E)'!W:W, B124, '임대사업(E)'!U:U, $D$1)
    + COUNTIFS('환경부사업(F)'!C:C, $E$1, '환경부사업(F)'!G:G, B123, '환경부사업(F)'!W:W, B124, '환경부사업(F)'!U:U, $D$1)
    + COUNTIFS('프로젝트(G)'!C:C, $E$1, '프로젝트(G)'!G:G, B123, '프로젝트(G)'!W:W, B124, '프로젝트(G)'!U:U, $D$1)
    + COUNTIFS('협력사 EPC(H)'!C:C, $E$1, '협력사 EPC(H)'!G:G, B123, '협력사 EPC(H)'!W:W, B124, '협력사 EPC(H)'!U:U, $D$1)
    + COUNTIFS('기타(Z)'!C:C, $E$1, '기타(Z)'!G:G, B123, '기타(Z)'!W:W, B124, '기타(Z)'!U:U, $D$1)
  ) = 0,
  "",
  COUNTIFS('발전사업(A)'!C:C, $E$1, '발전사업(A)'!G:G, B123, '발전사업(A)'!W:W, B124, '발전사업(A)'!U:U, $D$1)
  + COUNTIFS('자가소비(B)'!C:C, $E$1, '자가소비(B)'!G:G, B123, '자가소비(B)'!W:W, B124, '자가소비(B)'!U:U, $D$1)
  + COUNTIFS('PPA 사업(C)'!C:C, $E$1, 'PPA 사업(C)'!G:G, B123, 'PPA 사업(C)'!W:W, B124, 'PPA 사업(C)'!U:U, $D$1)
  + COUNTIFS('리스사업(D)'!C:C, $E$1, '리스사업(D)'!G:G, B123, '리스사업(D)'!W:W, B124, '리스사업(D)'!U:U, $D$1)
  + COUNTIFS('임대사업(E)'!C:C, $E$1, '임대사업(E)'!G:G, B123, '임대사업(E)'!W:W, B124, '임대사업(E)'!U:U, $D$1)
  + COUNTIFS('환경부사업(F)'!C:C, $E$1, '환경부사업(F)'!G:G, B123, '환경부사업(F)'!W:W, B124, '환경부사업(F)'!U:U, $D$1)
  + COUNTIFS('프로젝트(G)'!C:C, $E$1, '프로젝트(G)'!G:G, B123, '프로젝트(G)'!W:W, B124, '프로젝트(G)'!U:U, $D$1)
  + COUNTIFS('협력사 EPC(H)'!C:C, $E$1, '협력사 EPC(H)'!G:G, B123, '협력사 EPC(H)'!W:W, B124, '협력사 EPC(H)'!U:U, $D$1)
  + COUNTIFS('기타(Z)'!C:C, $E$1, '기타(Z)'!G:G, B123, '기타(Z)'!W:W, B124, '기타(Z)'!U:U, $D$1)
)</f>
        <v>6</v>
      </c>
    </row>
    <row r="125" spans="2:8" x14ac:dyDescent="0.25">
      <c r="B125" s="202" t="s">
        <v>259</v>
      </c>
      <c r="C125" s="280">
        <f>IF(
  SUM(
    SUMIFS('발전사업(A)'!I:I, '발전사업(A)'!C:C, $E$1, '발전사업(A)'!G:G, B123, '발전사업(A)'!W:W, B125),
    SUMIFS('자가소비(B)'!I:I, '자가소비(B)'!C:C, $E$1, '자가소비(B)'!G:G, B123, '자가소비(B)'!W:W, B125),
    SUMIFS('PPA 사업(C)'!I:I, 'PPA 사업(C)'!C:C, $E$1, 'PPA 사업(C)'!G:G, B123, 'PPA 사업(C)'!W:W, B125),
    SUMIFS('리스사업(D)'!I:I, '리스사업(D)'!C:C, $E$1, '리스사업(D)'!G:G, B123, '리스사업(D)'!W:W, B125),
    SUMIFS('임대사업(E)'!I:I, '임대사업(E)'!C:C, $E$1, '임대사업(E)'!G:G, B123, '임대사업(E)'!W:W, B125),
    SUMIFS('환경부사업(F)'!I:I, '환경부사업(F)'!C:C, $E$1, '환경부사업(F)'!G:G, B123, '환경부사업(F)'!W:W, B125),
    SUMIFS('프로젝트(G)'!I:I, '프로젝트(G)'!C:C, $E$1, '프로젝트(G)'!G:G, B123, '프로젝트(G)'!W:W, B125),
    SUMIFS('협력사 EPC(H)'!I:I, '협력사 EPC(H)'!C:C, $E$1, '협력사 EPC(H)'!G:G, B123, '협력사 EPC(H)'!W:W, B125),
    SUMIFS('기타(Z)'!I:I, '기타(Z)'!C:C, $E$1, '기타(Z)'!G:G, B123, '기타(Z)'!W:W, B125)
  ) = 0,
  "",
  SUMIFS('발전사업(A)'!I:I, '발전사업(A)'!C:C, $E$1, '발전사업(A)'!G:G, B123, '발전사업(A)'!W:W, B125)
  + SUMIFS('자가소비(B)'!I:I, '자가소비(B)'!C:C, $E$1, '자가소비(B)'!G:G, B123, '자가소비(B)'!W:W, B125)
  + SUMIFS('PPA 사업(C)'!I:I, 'PPA 사업(C)'!C:C, $E$1, 'PPA 사업(C)'!G:G, B123, 'PPA 사업(C)'!W:W, B125)
  + SUMIFS('리스사업(D)'!I:I, '리스사업(D)'!C:C, $E$1, '리스사업(D)'!G:G, B123, '리스사업(D)'!W:W, B125)
  + SUMIFS('임대사업(E)'!I:I, '임대사업(E)'!C:C, $E$1, '임대사업(E)'!G:G, B123, '임대사업(E)'!W:W, B125)
  + SUMIFS('환경부사업(F)'!I:I, '환경부사업(F)'!C:C, $E$1, '환경부사업(F)'!G:G, B123, '환경부사업(F)'!W:W, B125)
  + SUMIFS('프로젝트(G)'!I:I, '프로젝트(G)'!C:C, $E$1, '프로젝트(G)'!G:G, B123, '프로젝트(G)'!W:W, B125)
  + SUMIFS('협력사 EPC(H)'!I:I, '협력사 EPC(H)'!C:C, $E$1, '협력사 EPC(H)'!G:G, B123, '협력사 EPC(H)'!W:W, B125)
  + SUMIFS('기타(Z)'!I:I, '기타(Z)'!C:C, $E$1, '기타(Z)'!G:G, B123, '기타(Z)'!W:W, B125)
)</f>
        <v>2193.9050000000002</v>
      </c>
      <c r="D125" s="281">
        <f>IF(
  COUNTIFS('발전사업(A)'!C:C, $E$1, '발전사업(A)'!G:G, B123, '발전사업(A)'!W:W, B125)
  + COUNTIFS('자가소비(B)'!C:C, $E$1, '자가소비(B)'!G:G, B123, '자가소비(B)'!W:W, B125)
  + COUNTIFS('PPA 사업(C)'!C:C, $E$1, 'PPA 사업(C)'!G:G, B123, 'PPA 사업(C)'!W:W, B125)
  + COUNTIFS('리스사업(D)'!C:C, $E$1, '리스사업(D)'!G:G, B123, '리스사업(D)'!W:W, B125)
  + COUNTIFS('임대사업(E)'!C:C, $E$1, '임대사업(E)'!G:G, B123, '임대사업(E)'!W:W, B125)
  + COUNTIFS('환경부사업(F)'!C:C, $E$1, '환경부사업(F)'!G:G, B123, '환경부사업(F)'!W:W, B125)
  + COUNTIFS('프로젝트(G)'!C:C, $E$1, '프로젝트(G)'!G:G, B123, '프로젝트(G)'!W:W, B125)
  + COUNTIFS('협력사 EPC(H)'!C:C, $E$1, '협력사 EPC(H)'!G:G, B123, '협력사 EPC(H)'!W:W, B125)
  + COUNTIFS('기타(Z)'!C:C, $E$1, '기타(Z)'!G:G, B123, '기타(Z)'!W:W, B125)
  = 0,
  "",
  COUNTIFS('발전사업(A)'!C:C, $E$1, '발전사업(A)'!G:G, B123, '발전사업(A)'!W:W, B125)
  + COUNTIFS('자가소비(B)'!C:C, $E$1, '자가소비(B)'!G:G, B123, '자가소비(B)'!W:W, B125)
  + COUNTIFS('PPA 사업(C)'!C:C, $E$1, 'PPA 사업(C)'!G:G, B123, 'PPA 사업(C)'!W:W, B125)
  + COUNTIFS('리스사업(D)'!C:C, $E$1, '리스사업(D)'!G:G, B123, '리스사업(D)'!W:W, B125)
  + COUNTIFS('임대사업(E)'!C:C, $E$1, '임대사업(E)'!G:G, B123, '임대사업(E)'!W:W, B125)
  + COUNTIFS('환경부사업(F)'!C:C, $E$1, '환경부사업(F)'!G:G, B123, '환경부사업(F)'!W:W, B125)
  + COUNTIFS('프로젝트(G)'!C:C, $E$1, '프로젝트(G)'!G:G, B123, '프로젝트(G)'!W:W, B125)
  + COUNTIFS('협력사 EPC(H)'!C:C, $E$1, '협력사 EPC(H)'!G:G, B123, '협력사 EPC(H)'!W:W, B125)
  + COUNTIFS('기타(Z)'!C:C, $E$1, '기타(Z)'!G:G, B123, '기타(Z)'!W:W, B125)
)</f>
        <v>9</v>
      </c>
      <c r="E125" s="280">
        <f>IF(
  SUM(
    SUMIFS('발전사업(A)'!I:I, '발전사업(A)'!C:C, $E$1, '발전사업(A)'!G:G, B123, '발전사업(A)'!W:W, B125, '발전사업(A)'!U:U, $C$1),
    SUMIFS('자가소비(B)'!I:I, '자가소비(B)'!C:C, $E$1, '자가소비(B)'!G:G, B123, '자가소비(B)'!W:W, B125, '자가소비(B)'!U:U, $C$1),
    SUMIFS('PPA 사업(C)'!I:I, 'PPA 사업(C)'!C:C, $E$1, 'PPA 사업(C)'!G:G, B123, 'PPA 사업(C)'!W:W, B125, 'PPA 사업(C)'!U:U, $C$1),
    SUMIFS('리스사업(D)'!I:I, '리스사업(D)'!C:C, $E$1, '리스사업(D)'!G:G, B123, '리스사업(D)'!W:W, B125, '리스사업(D)'!U:U, $C$1),
    SUMIFS('임대사업(E)'!I:I, '임대사업(E)'!C:C, $E$1, '임대사업(E)'!G:G, B123, '임대사업(E)'!W:W, B125, '임대사업(E)'!U:U, $C$1),
    SUMIFS('환경부사업(F)'!I:I, '환경부사업(F)'!C:C, $E$1, '환경부사업(F)'!G:G, B123, '환경부사업(F)'!W:W, B125, '환경부사업(F)'!U:U, $C$1),
    SUMIFS('프로젝트(G)'!I:I, '프로젝트(G)'!C:C, $E$1, '프로젝트(G)'!G:G, B123, '프로젝트(G)'!W:W, B125, '프로젝트(G)'!U:U, $C$1),
    SUMIFS('협력사 EPC(H)'!I:I, '협력사 EPC(H)'!C:C, $E$1, '협력사 EPC(H)'!G:G, B123, '협력사 EPC(H)'!W:W, B125, '협력사 EPC(H)'!U:U, $C$1),
    SUMIFS('기타(Z)'!I:I, '기타(Z)'!C:C, $E$1, '기타(Z)'!G:G, B123, '기타(Z)'!W:W, B125, '기타(Z)'!U:U, $C$1)
  ) = 0,
  "",
  SUM(
    SUMIFS('발전사업(A)'!I:I, '발전사업(A)'!C:C, $E$1, '발전사업(A)'!G:G, B123, '발전사업(A)'!W:W, B125, '발전사업(A)'!U:U, $C$1),
    SUMIFS('자가소비(B)'!I:I, '자가소비(B)'!C:C, $E$1, '자가소비(B)'!G:G, B123, '자가소비(B)'!W:W, B125, '자가소비(B)'!U:U, $C$1),
    SUMIFS('PPA 사업(C)'!I:I, 'PPA 사업(C)'!C:C, $E$1, 'PPA 사업(C)'!G:G, B123, 'PPA 사업(C)'!W:W, B125, 'PPA 사업(C)'!U:U, $C$1),
    SUMIFS('리스사업(D)'!I:I, '리스사업(D)'!C:C, $E$1, '리스사업(D)'!G:G, B123, '리스사업(D)'!W:W, B125, '리스사업(D)'!U:U, $C$1),
    SUMIFS('임대사업(E)'!I:I, '임대사업(E)'!C:C, $E$1, '임대사업(E)'!G:G, B123, '임대사업(E)'!W:W, B125, '임대사업(E)'!U:U, $C$1),
    SUMIFS('환경부사업(F)'!I:I, '환경부사업(F)'!C:C, $E$1, '환경부사업(F)'!G:G, B123, '환경부사업(F)'!W:W, B125, '환경부사업(F)'!U:U, $C$1),
    SUMIFS('프로젝트(G)'!I:I, '프로젝트(G)'!C:C, $E$1, '프로젝트(G)'!G:G, B123, '프로젝트(G)'!W:W, B125, '프로젝트(G)'!U:U, $C$1),
    SUMIFS('협력사 EPC(H)'!I:I, '협력사 EPC(H)'!C:C, $E$1, '협력사 EPC(H)'!G:G, B123, '협력사 EPC(H)'!W:W, B125, '협력사 EPC(H)'!U:U, $C$1),
    SUMIFS('기타(Z)'!I:I, '기타(Z)'!C:C, $E$1, '기타(Z)'!G:G, B123, '기타(Z)'!W:W, B125, '기타(Z)'!U:U, $C$1)
  )
)</f>
        <v>1685.7600000000002</v>
      </c>
      <c r="F125" s="281">
        <f>IF(
  SUM(
    COUNTIFS('발전사업(A)'!C:C, $E$1, '발전사업(A)'!G:G, B123, '발전사업(A)'!W:W, B125, '발전사업(A)'!U:U, $C$1),
    COUNTIFS('자가소비(B)'!C:C, $E$1, '자가소비(B)'!G:G, B123, '자가소비(B)'!W:W, B125, '자가소비(B)'!U:U, $C$1),
    COUNTIFS('PPA 사업(C)'!C:C, $E$1, 'PPA 사업(C)'!G:G, B123, 'PPA 사업(C)'!W:W, B125, 'PPA 사업(C)'!U:U, $C$1),
    COUNTIFS('리스사업(D)'!C:C, $E$1, '리스사업(D)'!G:G, B123, '리스사업(D)'!W:W, B125, '리스사업(D)'!U:U, $C$1),
    COUNTIFS('임대사업(E)'!C:C, $E$1, '임대사업(E)'!G:G, B123, '임대사업(E)'!W:W, B125, '임대사업(E)'!U:U, $C$1),
    COUNTIFS('환경부사업(F)'!C:C, $E$1, '환경부사업(F)'!G:G, B123, '환경부사업(F)'!W:W, B125, '환경부사업(F)'!U:U, $C$1),
    COUNTIFS('프로젝트(G)'!C:C, $E$1, '프로젝트(G)'!G:G, B123, '프로젝트(G)'!W:W, B125, '프로젝트(G)'!U:U, $C$1),
    COUNTIFS('협력사 EPC(H)'!C:C, $E$1, '협력사 EPC(H)'!G:G, B123, '협력사 EPC(H)'!W:W, B125, '협력사 EPC(H)'!U:U, $C$1),
    COUNTIFS('기타(Z)'!C:C, $E$1, '기타(Z)'!G:G, B123, '기타(Z)'!W:W, B125, '기타(Z)'!U:U, $C$1)
  ) = 0,
  "",
  SUM(
    COUNTIFS('발전사업(A)'!C:C, $E$1, '발전사업(A)'!G:G, B123, '발전사업(A)'!W:W, B125, '발전사업(A)'!U:U, $C$1),
    COUNTIFS('자가소비(B)'!C:C, $E$1, '자가소비(B)'!G:G, B123, '자가소비(B)'!W:W, B125, '자가소비(B)'!U:U, $C$1),
    COUNTIFS('PPA 사업(C)'!C:C, $E$1, 'PPA 사업(C)'!G:G, B123, 'PPA 사업(C)'!W:W, B125, 'PPA 사업(C)'!U:U, $C$1),
    COUNTIFS('리스사업(D)'!C:C, $E$1, '리스사업(D)'!G:G, B123, '리스사업(D)'!W:W, B125, '리스사업(D)'!U:U, $C$1),
    COUNTIFS('임대사업(E)'!C:C, $E$1, '임대사업(E)'!G:G, B123, '임대사업(E)'!W:W, B125, '임대사업(E)'!U:U, $C$1),
    COUNTIFS('환경부사업(F)'!C:C, $E$1, '환경부사업(F)'!G:G, B123, '환경부사업(F)'!W:W, B125, '환경부사업(F)'!U:U, $C$1),
    COUNTIFS('프로젝트(G)'!C:C, $E$1, '프로젝트(G)'!G:G, B123, '프로젝트(G)'!W:W, B125, '프로젝트(G)'!U:U, $C$1),
    COUNTIFS('협력사 EPC(H)'!C:C, $E$1, '협력사 EPC(H)'!G:G, B123, '협력사 EPC(H)'!W:W, B125, '협력사 EPC(H)'!U:U, $C$1),
    COUNTIFS('기타(Z)'!C:C, $E$1, '기타(Z)'!G:G, B123, '기타(Z)'!W:W, B125, '기타(Z)'!U:U, $C$1)
  )
)</f>
        <v>7</v>
      </c>
      <c r="G125" s="280">
        <f>IF(
  SUM(
    SUMIFS('발전사업(A)'!I:I, '발전사업(A)'!C:C, $E$1, '발전사업(A)'!G:G, B123, '발전사업(A)'!W:W, B125, '발전사업(A)'!U:U, $D$1),
    SUMIFS('자가소비(B)'!I:I, '자가소비(B)'!C:C, $E$1, '자가소비(B)'!G:G, B123, '자가소비(B)'!W:W, B125, '자가소비(B)'!U:U, $D$1),
    SUMIFS('PPA 사업(C)'!I:I, 'PPA 사업(C)'!C:C, $E$1, 'PPA 사업(C)'!G:G, B123, 'PPA 사업(C)'!W:W, B125, 'PPA 사업(C)'!U:U, $D$1),
    SUMIFS('리스사업(D)'!I:I, '리스사업(D)'!C:C, $E$1, '리스사업(D)'!G:G, B123, '리스사업(D)'!W:W, B125, '리스사업(D)'!U:U, $D$1),
    SUMIFS('임대사업(E)'!I:I, '임대사업(E)'!C:C, $E$1, '임대사업(E)'!G:G, B123, '임대사업(E)'!W:W, B125, '임대사업(E)'!U:U, $D$1),
    SUMIFS('환경부사업(F)'!I:I, '환경부사업(F)'!C:C, $E$1, '환경부사업(F)'!G:G, B123, '환경부사업(F)'!W:W, B125, '환경부사업(F)'!U:U, $D$1),
    SUMIFS('프로젝트(G)'!I:I, '프로젝트(G)'!C:C, $E$1, '프로젝트(G)'!G:G, B123, '프로젝트(G)'!W:W, B125, '프로젝트(G)'!U:U, $D$1),
    SUMIFS('협력사 EPC(H)'!I:I, '협력사 EPC(H)'!C:C, $E$1, '협력사 EPC(H)'!G:G, B123, '협력사 EPC(H)'!W:W, B125, '협력사 EPC(H)'!U:U, $D$1),
    SUMIFS('기타(Z)'!I:I, '기타(Z)'!C:C, $E$1, '기타(Z)'!G:G, B123, '기타(Z)'!W:W, B125, '기타(Z)'!U:U, $D$1)
  ) = 0,
  "",
  SUM(
    SUMIFS('발전사업(A)'!I:I, '발전사업(A)'!C:C, $E$1, '발전사업(A)'!G:G, B123, '발전사업(A)'!W:W, B125, '발전사업(A)'!U:U, $D$1),
    SUMIFS('자가소비(B)'!I:I, '자가소비(B)'!C:C, $E$1, '자가소비(B)'!G:G, B123, '자가소비(B)'!W:W, B125, '자가소비(B)'!U:U, $D$1),
    SUMIFS('PPA 사업(C)'!I:I, 'PPA 사업(C)'!C:C, $E$1, 'PPA 사업(C)'!G:G, B123, 'PPA 사업(C)'!W:W, B125, 'PPA 사업(C)'!U:U, $D$1),
    SUMIFS('리스사업(D)'!I:I, '리스사업(D)'!C:C, $E$1, '리스사업(D)'!G:G, B123, '리스사업(D)'!W:W, B125, '리스사업(D)'!U:U, $D$1),
    SUMIFS('임대사업(E)'!I:I, '임대사업(E)'!C:C, $E$1, '임대사업(E)'!G:G, B123, '임대사업(E)'!W:W, B125, '임대사업(E)'!U:U, $D$1),
    SUMIFS('환경부사업(F)'!I:I, '환경부사업(F)'!C:C, $E$1, '환경부사업(F)'!G:G, B123, '환경부사업(F)'!W:W, B125, '환경부사업(F)'!U:U, $D$1),
    SUMIFS('프로젝트(G)'!I:I, '프로젝트(G)'!C:C, $E$1, '프로젝트(G)'!G:G, B123, '프로젝트(G)'!W:W, B125, '프로젝트(G)'!U:U, $D$1),
    SUMIFS('협력사 EPC(H)'!I:I, '협력사 EPC(H)'!C:C, $E$1, '협력사 EPC(H)'!G:G, B123, '협력사 EPC(H)'!W:W, B125, '협력사 EPC(H)'!U:U, $D$1),
    SUMIFS('기타(Z)'!I:I, '기타(Z)'!C:C, $E$1, '기타(Z)'!G:G, B123, '기타(Z)'!W:W, B125, '기타(Z)'!U:U, $D$1)
  )
)</f>
        <v>508.14499999999998</v>
      </c>
      <c r="H125" s="281">
        <f>IF(
  (
    COUNTIFS('발전사업(A)'!C:C, $E$1, '발전사업(A)'!G:G, B123, '발전사업(A)'!W:W, B125, '발전사업(A)'!U:U, $D$1)
    + COUNTIFS('자가소비(B)'!C:C, $E$1, '자가소비(B)'!G:G, B123, '자가소비(B)'!W:W, B125, '자가소비(B)'!U:U, $D$1)
    + COUNTIFS('PPA 사업(C)'!C:C, $E$1, 'PPA 사업(C)'!G:G, B123, 'PPA 사업(C)'!W:W, B125, 'PPA 사업(C)'!U:U, $D$1)
    + COUNTIFS('리스사업(D)'!C:C, $E$1, '리스사업(D)'!G:G, B123, '리스사업(D)'!W:W, B125, '리스사업(D)'!U:U, $D$1)
    + COUNTIFS('임대사업(E)'!C:C, $E$1, '임대사업(E)'!G:G, B123, '임대사업(E)'!W:W, B125, '임대사업(E)'!U:U, $D$1)
    + COUNTIFS('환경부사업(F)'!C:C, $E$1, '환경부사업(F)'!G:G, B123, '환경부사업(F)'!W:W, B125, '환경부사업(F)'!U:U, $D$1)
    + COUNTIFS('프로젝트(G)'!C:C, $E$1, '프로젝트(G)'!G:G, B123, '프로젝트(G)'!W:W, B125, '프로젝트(G)'!U:U, $D$1)
    + COUNTIFS('협력사 EPC(H)'!C:C, $E$1, '협력사 EPC(H)'!G:G, B123, '협력사 EPC(H)'!W:W, B125, '협력사 EPC(H)'!U:U, $D$1)
    + COUNTIFS('기타(Z)'!C:C, $E$1, '기타(Z)'!G:G, B123, '기타(Z)'!W:W, B125, '기타(Z)'!U:U, $D$1)
  ) = 0,
  "",
  COUNTIFS('발전사업(A)'!C:C, $E$1, '발전사업(A)'!G:G, B123, '발전사업(A)'!W:W, B125, '발전사업(A)'!U:U, $D$1)
  + COUNTIFS('자가소비(B)'!C:C, $E$1, '자가소비(B)'!G:G, B123, '자가소비(B)'!W:W, B125, '자가소비(B)'!U:U, $D$1)
  + COUNTIFS('PPA 사업(C)'!C:C, $E$1, 'PPA 사업(C)'!G:G, B123, 'PPA 사업(C)'!W:W, B125, 'PPA 사업(C)'!U:U, $D$1)
  + COUNTIFS('리스사업(D)'!C:C, $E$1, '리스사업(D)'!G:G, B123, '리스사업(D)'!W:W, B125, '리스사업(D)'!U:U, $D$1)
  + COUNTIFS('임대사업(E)'!C:C, $E$1, '임대사업(E)'!G:G, B123, '임대사업(E)'!W:W, B125, '임대사업(E)'!U:U, $D$1)
  + COUNTIFS('환경부사업(F)'!C:C, $E$1, '환경부사업(F)'!G:G, B123, '환경부사업(F)'!W:W, B125, '환경부사업(F)'!U:U, $D$1)
  + COUNTIFS('프로젝트(G)'!C:C, $E$1, '프로젝트(G)'!G:G, B123, '프로젝트(G)'!W:W, B125, '프로젝트(G)'!U:U, $D$1)
  + COUNTIFS('협력사 EPC(H)'!C:C, $E$1, '협력사 EPC(H)'!G:G, B123, '협력사 EPC(H)'!W:W, B125, '협력사 EPC(H)'!U:U, $D$1)
  + COUNTIFS('기타(Z)'!C:C, $E$1, '기타(Z)'!G:G, B123, '기타(Z)'!W:W, B125, '기타(Z)'!U:U, $D$1)
)</f>
        <v>2</v>
      </c>
    </row>
    <row r="126" spans="2:8" x14ac:dyDescent="0.25">
      <c r="B126" s="202" t="s">
        <v>260</v>
      </c>
      <c r="C126" s="280">
        <f>IF(
  SUM(
    SUMIFS('발전사업(A)'!I:I, '발전사업(A)'!C:C, $E$1, '발전사업(A)'!G:G, B123, '발전사업(A)'!W:W, B126),
    SUMIFS('자가소비(B)'!I:I, '자가소비(B)'!C:C, $E$1, '자가소비(B)'!G:G, B123, '자가소비(B)'!W:W, B126),
    SUMIFS('PPA 사업(C)'!I:I, 'PPA 사업(C)'!C:C, $E$1, 'PPA 사업(C)'!G:G, B123, 'PPA 사업(C)'!W:W, B126),
    SUMIFS('리스사업(D)'!I:I, '리스사업(D)'!C:C, $E$1, '리스사업(D)'!G:G, B123, '리스사업(D)'!W:W, B126),
    SUMIFS('임대사업(E)'!I:I, '임대사업(E)'!C:C, $E$1, '임대사업(E)'!G:G, B123, '임대사업(E)'!W:W, B126),
    SUMIFS('환경부사업(F)'!I:I, '환경부사업(F)'!C:C, $E$1, '환경부사업(F)'!G:G, B123, '환경부사업(F)'!W:W, B126),
    SUMIFS('프로젝트(G)'!I:I, '프로젝트(G)'!C:C, $E$1, '프로젝트(G)'!G:G, B123, '프로젝트(G)'!W:W, B126),
    SUMIFS('협력사 EPC(H)'!I:I, '협력사 EPC(H)'!C:C, $E$1, '협력사 EPC(H)'!G:G, B123, '협력사 EPC(H)'!W:W, B126),
    SUMIFS('기타(Z)'!I:I, '기타(Z)'!C:C, $E$1, '기타(Z)'!G:G, B123, '기타(Z)'!W:W, B126)
  ) = 0,
  "",
  SUMIFS('발전사업(A)'!I:I, '발전사업(A)'!C:C, $E$1, '발전사업(A)'!G:G, B123, '발전사업(A)'!W:W, B126)
  + SUMIFS('자가소비(B)'!I:I, '자가소비(B)'!C:C, $E$1, '자가소비(B)'!G:G, B123, '자가소비(B)'!W:W, B126)
  + SUMIFS('PPA 사업(C)'!I:I, 'PPA 사업(C)'!C:C, $E$1, 'PPA 사업(C)'!G:G, B123, 'PPA 사업(C)'!W:W, B126)
  + SUMIFS('리스사업(D)'!I:I, '리스사업(D)'!C:C, $E$1, '리스사업(D)'!G:G, B123, '리스사업(D)'!W:W, B126)
  + SUMIFS('임대사업(E)'!I:I, '임대사업(E)'!C:C, $E$1, '임대사업(E)'!G:G, B123, '임대사업(E)'!W:W, B126)
  + SUMIFS('환경부사업(F)'!I:I, '환경부사업(F)'!C:C, $E$1, '환경부사업(F)'!G:G, B123, '환경부사업(F)'!W:W, B126)
  + SUMIFS('프로젝트(G)'!I:I, '프로젝트(G)'!C:C, $E$1, '프로젝트(G)'!G:G, B123, '프로젝트(G)'!W:W, B126)
  + SUMIFS('협력사 EPC(H)'!I:I, '협력사 EPC(H)'!C:C, $E$1, '협력사 EPC(H)'!G:G, B123, '협력사 EPC(H)'!W:W, B126)
  + SUMIFS('기타(Z)'!I:I, '기타(Z)'!C:C, $E$1, '기타(Z)'!G:G, B123, '기타(Z)'!W:W, B126)
)</f>
        <v>961.28</v>
      </c>
      <c r="D126" s="281">
        <f>IF(
  COUNTIFS('발전사업(A)'!C:C, $E$1, '발전사업(A)'!G:G, B123, '발전사업(A)'!W:W, B126)
  + COUNTIFS('자가소비(B)'!C:C, $E$1, '자가소비(B)'!G:G, B123, '자가소비(B)'!W:W, B126)
  + COUNTIFS('PPA 사업(C)'!C:C, $E$1, 'PPA 사업(C)'!G:G, B123, 'PPA 사업(C)'!W:W, B126)
  + COUNTIFS('리스사업(D)'!C:C, $E$1, '리스사업(D)'!G:G, B123, '리스사업(D)'!W:W, B126)
  + COUNTIFS('임대사업(E)'!C:C, $E$1, '임대사업(E)'!G:G, B123, '임대사업(E)'!W:W, B126)
  + COUNTIFS('환경부사업(F)'!C:C, $E$1, '환경부사업(F)'!G:G, B123, '환경부사업(F)'!W:W, B126)
  + COUNTIFS('프로젝트(G)'!C:C, $E$1, '프로젝트(G)'!G:G, B123, '프로젝트(G)'!W:W, B126)
  + COUNTIFS('협력사 EPC(H)'!C:C, $E$1, '협력사 EPC(H)'!G:G, B123, '협력사 EPC(H)'!W:W, B126)
  + COUNTIFS('기타(Z)'!C:C, $E$1, '기타(Z)'!G:G, B123, '기타(Z)'!W:W, B126)
  = 0,
  "",
  COUNTIFS('발전사업(A)'!C:C, $E$1, '발전사업(A)'!G:G, B123, '발전사업(A)'!W:W, B126)
  + COUNTIFS('자가소비(B)'!C:C, $E$1, '자가소비(B)'!G:G, B123, '자가소비(B)'!W:W, B126)
  + COUNTIFS('PPA 사업(C)'!C:C, $E$1, 'PPA 사업(C)'!G:G, B123, 'PPA 사업(C)'!W:W, B126)
  + COUNTIFS('리스사업(D)'!C:C, $E$1, '리스사업(D)'!G:G, B123, '리스사업(D)'!W:W, B126)
  + COUNTIFS('임대사업(E)'!C:C, $E$1, '임대사업(E)'!G:G, B123, '임대사업(E)'!W:W, B126)
  + COUNTIFS('환경부사업(F)'!C:C, $E$1, '환경부사업(F)'!G:G, B123, '환경부사업(F)'!W:W, B126)
  + COUNTIFS('프로젝트(G)'!C:C, $E$1, '프로젝트(G)'!G:G, B123, '프로젝트(G)'!W:W, B126)
  + COUNTIFS('협력사 EPC(H)'!C:C, $E$1, '협력사 EPC(H)'!G:G, B123, '협력사 EPC(H)'!W:W, B126)
  + COUNTIFS('기타(Z)'!C:C, $E$1, '기타(Z)'!G:G, B123, '기타(Z)'!W:W, B126)
)</f>
        <v>3</v>
      </c>
      <c r="E126" s="280">
        <f>IF(
  SUM(
    SUMIFS('발전사업(A)'!I:I, '발전사업(A)'!C:C, $E$1, '발전사업(A)'!G:G, B123, '발전사업(A)'!W:W, B126, '발전사업(A)'!U:U, $C$1),
    SUMIFS('자가소비(B)'!I:I, '자가소비(B)'!C:C, $E$1, '자가소비(B)'!G:G, B123, '자가소비(B)'!W:W, B126, '자가소비(B)'!U:U, $C$1),
    SUMIFS('PPA 사업(C)'!I:I, 'PPA 사업(C)'!C:C, $E$1, 'PPA 사업(C)'!G:G, B123, 'PPA 사업(C)'!W:W, B126, 'PPA 사업(C)'!U:U, $C$1),
    SUMIFS('리스사업(D)'!I:I, '리스사업(D)'!C:C, $E$1, '리스사업(D)'!G:G, B123, '리스사업(D)'!W:W, B126, '리스사업(D)'!U:U, $C$1),
    SUMIFS('임대사업(E)'!I:I, '임대사업(E)'!C:C, $E$1, '임대사업(E)'!G:G, B123, '임대사업(E)'!W:W, B126, '임대사업(E)'!U:U, $C$1),
    SUMIFS('환경부사업(F)'!I:I, '환경부사업(F)'!C:C, $E$1, '환경부사업(F)'!G:G, B123, '환경부사업(F)'!W:W, B126, '환경부사업(F)'!U:U, $C$1),
    SUMIFS('프로젝트(G)'!I:I, '프로젝트(G)'!C:C, $E$1, '프로젝트(G)'!G:G, B123, '프로젝트(G)'!W:W, B126, '프로젝트(G)'!U:U, $C$1),
    SUMIFS('협력사 EPC(H)'!I:I, '협력사 EPC(H)'!C:C, $E$1, '협력사 EPC(H)'!G:G, B123, '협력사 EPC(H)'!W:W, B126, '협력사 EPC(H)'!U:U, $C$1),
    SUMIFS('기타(Z)'!I:I, '기타(Z)'!C:C, $E$1, '기타(Z)'!G:G, B123, '기타(Z)'!W:W, B126, '기타(Z)'!U:U, $C$1)
  ) = 0,
  "",
  SUM(
    SUMIFS('발전사업(A)'!I:I, '발전사업(A)'!C:C, $E$1, '발전사업(A)'!G:G, B123, '발전사업(A)'!W:W, B126, '발전사업(A)'!U:U, $C$1),
    SUMIFS('자가소비(B)'!I:I, '자가소비(B)'!C:C, $E$1, '자가소비(B)'!G:G, B123, '자가소비(B)'!W:W, B126, '자가소비(B)'!U:U, $C$1),
    SUMIFS('PPA 사업(C)'!I:I, 'PPA 사업(C)'!C:C, $E$1, 'PPA 사업(C)'!G:G, B123, 'PPA 사업(C)'!W:W, B126, 'PPA 사업(C)'!U:U, $C$1),
    SUMIFS('리스사업(D)'!I:I, '리스사업(D)'!C:C, $E$1, '리스사업(D)'!G:G, B123, '리스사업(D)'!W:W, B126, '리스사업(D)'!U:U, $C$1),
    SUMIFS('임대사업(E)'!I:I, '임대사업(E)'!C:C, $E$1, '임대사업(E)'!G:G, B123, '임대사업(E)'!W:W, B126, '임대사업(E)'!U:U, $C$1),
    SUMIFS('환경부사업(F)'!I:I, '환경부사업(F)'!C:C, $E$1, '환경부사업(F)'!G:G, B123, '환경부사업(F)'!W:W, B126, '환경부사업(F)'!U:U, $C$1),
    SUMIFS('프로젝트(G)'!I:I, '프로젝트(G)'!C:C, $E$1, '프로젝트(G)'!G:G, B123, '프로젝트(G)'!W:W, B126, '프로젝트(G)'!U:U, $C$1),
    SUMIFS('협력사 EPC(H)'!I:I, '협력사 EPC(H)'!C:C, $E$1, '협력사 EPC(H)'!G:G, B123, '협력사 EPC(H)'!W:W, B126, '협력사 EPC(H)'!U:U, $C$1),
    SUMIFS('기타(Z)'!I:I, '기타(Z)'!C:C, $E$1, '기타(Z)'!G:G, B123, '기타(Z)'!W:W, B126, '기타(Z)'!U:U, $C$1)
  )
)</f>
        <v>961.28</v>
      </c>
      <c r="F126" s="281">
        <f>IF(
  SUM(
    COUNTIFS('발전사업(A)'!C:C, $E$1, '발전사업(A)'!G:G, B123, '발전사업(A)'!W:W, B126, '발전사업(A)'!U:U, $C$1),
    COUNTIFS('자가소비(B)'!C:C, $E$1, '자가소비(B)'!G:G, B123, '자가소비(B)'!W:W, B126, '자가소비(B)'!U:U, $C$1),
    COUNTIFS('PPA 사업(C)'!C:C, $E$1, 'PPA 사업(C)'!G:G, B123, 'PPA 사업(C)'!W:W, B126, 'PPA 사업(C)'!U:U, $C$1),
    COUNTIFS('리스사업(D)'!C:C, $E$1, '리스사업(D)'!G:G, B123, '리스사업(D)'!W:W, B126, '리스사업(D)'!U:U, $C$1),
    COUNTIFS('임대사업(E)'!C:C, $E$1, '임대사업(E)'!G:G, B123, '임대사업(E)'!W:W, B126, '임대사업(E)'!U:U, $C$1),
    COUNTIFS('환경부사업(F)'!C:C, $E$1, '환경부사업(F)'!G:G, B123, '환경부사업(F)'!W:W, B126, '환경부사업(F)'!U:U, $C$1),
    COUNTIFS('프로젝트(G)'!C:C, $E$1, '프로젝트(G)'!G:G, B123, '프로젝트(G)'!W:W, B126, '프로젝트(G)'!U:U, $C$1),
    COUNTIFS('협력사 EPC(H)'!C:C, $E$1, '협력사 EPC(H)'!G:G, B123, '협력사 EPC(H)'!W:W, B126, '협력사 EPC(H)'!U:U, $C$1),
    COUNTIFS('기타(Z)'!C:C, $E$1, '기타(Z)'!G:G, B123, '기타(Z)'!W:W, B126, '기타(Z)'!U:U, $C$1)
  ) = 0,
  "",
  SUM(
    COUNTIFS('발전사업(A)'!C:C, $E$1, '발전사업(A)'!G:G, B123, '발전사업(A)'!W:W, B126, '발전사업(A)'!U:U, $C$1),
    COUNTIFS('자가소비(B)'!C:C, $E$1, '자가소비(B)'!G:G, B123, '자가소비(B)'!W:W, B126, '자가소비(B)'!U:U, $C$1),
    COUNTIFS('PPA 사업(C)'!C:C, $E$1, 'PPA 사업(C)'!G:G, B123, 'PPA 사업(C)'!W:W, B126, 'PPA 사업(C)'!U:U, $C$1),
    COUNTIFS('리스사업(D)'!C:C, $E$1, '리스사업(D)'!G:G, B123, '리스사업(D)'!W:W, B126, '리스사업(D)'!U:U, $C$1),
    COUNTIFS('임대사업(E)'!C:C, $E$1, '임대사업(E)'!G:G, B123, '임대사업(E)'!W:W, B126, '임대사업(E)'!U:U, $C$1),
    COUNTIFS('환경부사업(F)'!C:C, $E$1, '환경부사업(F)'!G:G, B123, '환경부사업(F)'!W:W, B126, '환경부사업(F)'!U:U, $C$1),
    COUNTIFS('프로젝트(G)'!C:C, $E$1, '프로젝트(G)'!G:G, B123, '프로젝트(G)'!W:W, B126, '프로젝트(G)'!U:U, $C$1),
    COUNTIFS('협력사 EPC(H)'!C:C, $E$1, '협력사 EPC(H)'!G:G, B123, '협력사 EPC(H)'!W:W, B126, '협력사 EPC(H)'!U:U, $C$1),
    COUNTIFS('기타(Z)'!C:C, $E$1, '기타(Z)'!G:G, B123, '기타(Z)'!W:W, B126, '기타(Z)'!U:U, $C$1)
  )
)</f>
        <v>3</v>
      </c>
      <c r="G126" s="280" t="str">
        <f>IF(
  SUM(
    SUMIFS('발전사업(A)'!I:I, '발전사업(A)'!C:C, $E$1, '발전사업(A)'!G:G, B123, '발전사업(A)'!W:W, B126, '발전사업(A)'!U:U, $D$1),
    SUMIFS('자가소비(B)'!I:I, '자가소비(B)'!C:C, $E$1, '자가소비(B)'!G:G, B123, '자가소비(B)'!W:W, B126, '자가소비(B)'!U:U, $D$1),
    SUMIFS('PPA 사업(C)'!I:I, 'PPA 사업(C)'!C:C, $E$1, 'PPA 사업(C)'!G:G, B123, 'PPA 사업(C)'!W:W, B126, 'PPA 사업(C)'!U:U, $D$1),
    SUMIFS('리스사업(D)'!I:I, '리스사업(D)'!C:C, $E$1, '리스사업(D)'!G:G, B123, '리스사업(D)'!W:W, B126, '리스사업(D)'!U:U, $D$1),
    SUMIFS('임대사업(E)'!I:I, '임대사업(E)'!C:C, $E$1, '임대사업(E)'!G:G, B123, '임대사업(E)'!W:W, B126, '임대사업(E)'!U:U, $D$1),
    SUMIFS('환경부사업(F)'!I:I, '환경부사업(F)'!C:C, $E$1, '환경부사업(F)'!G:G, B123, '환경부사업(F)'!W:W, B126, '환경부사업(F)'!U:U, $D$1),
    SUMIFS('프로젝트(G)'!I:I, '프로젝트(G)'!C:C, $E$1, '프로젝트(G)'!G:G, B123, '프로젝트(G)'!W:W, B126, '프로젝트(G)'!U:U, $D$1),
    SUMIFS('협력사 EPC(H)'!I:I, '협력사 EPC(H)'!C:C, $E$1, '협력사 EPC(H)'!G:G, B123, '협력사 EPC(H)'!W:W, B126, '협력사 EPC(H)'!U:U, $D$1),
    SUMIFS('기타(Z)'!I:I, '기타(Z)'!C:C, $E$1, '기타(Z)'!G:G, B123, '기타(Z)'!W:W, B126, '기타(Z)'!U:U, $D$1)
  ) = 0,
  "",
  SUM(
    SUMIFS('발전사업(A)'!I:I, '발전사업(A)'!C:C, $E$1, '발전사업(A)'!G:G, B123, '발전사업(A)'!W:W, B126, '발전사업(A)'!U:U, $D$1),
    SUMIFS('자가소비(B)'!I:I, '자가소비(B)'!C:C, $E$1, '자가소비(B)'!G:G, B123, '자가소비(B)'!W:W, B126, '자가소비(B)'!U:U, $D$1),
    SUMIFS('PPA 사업(C)'!I:I, 'PPA 사업(C)'!C:C, $E$1, 'PPA 사업(C)'!G:G, B123, 'PPA 사업(C)'!W:W, B126, 'PPA 사업(C)'!U:U, $D$1),
    SUMIFS('리스사업(D)'!I:I, '리스사업(D)'!C:C, $E$1, '리스사업(D)'!G:G, B123, '리스사업(D)'!W:W, B126, '리스사업(D)'!U:U, $D$1),
    SUMIFS('임대사업(E)'!I:I, '임대사업(E)'!C:C, $E$1, '임대사업(E)'!G:G, B123, '임대사업(E)'!W:W, B126, '임대사업(E)'!U:U, $D$1),
    SUMIFS('환경부사업(F)'!I:I, '환경부사업(F)'!C:C, $E$1, '환경부사업(F)'!G:G, B123, '환경부사업(F)'!W:W, B126, '환경부사업(F)'!U:U, $D$1),
    SUMIFS('프로젝트(G)'!I:I, '프로젝트(G)'!C:C, $E$1, '프로젝트(G)'!G:G, B123, '프로젝트(G)'!W:W, B126, '프로젝트(G)'!U:U, $D$1),
    SUMIFS('협력사 EPC(H)'!I:I, '협력사 EPC(H)'!C:C, $E$1, '협력사 EPC(H)'!G:G, B123, '협력사 EPC(H)'!W:W, B126, '협력사 EPC(H)'!U:U, $D$1),
    SUMIFS('기타(Z)'!I:I, '기타(Z)'!C:C, $E$1, '기타(Z)'!G:G, B123, '기타(Z)'!W:W, B126, '기타(Z)'!U:U, $D$1)
  )
)</f>
        <v/>
      </c>
      <c r="H126" s="281" t="str">
        <f>IF(
  (
    COUNTIFS('발전사업(A)'!C:C, $E$1, '발전사업(A)'!G:G, B123, '발전사업(A)'!W:W, B126, '발전사업(A)'!U:U, $D$1)
    + COUNTIFS('자가소비(B)'!C:C, $E$1, '자가소비(B)'!G:G, B123, '자가소비(B)'!W:W, B126, '자가소비(B)'!U:U, $D$1)
    + COUNTIFS('PPA 사업(C)'!C:C, $E$1, 'PPA 사업(C)'!G:G, B123, 'PPA 사업(C)'!W:W, B126, 'PPA 사업(C)'!U:U, $D$1)
    + COUNTIFS('리스사업(D)'!C:C, $E$1, '리스사업(D)'!G:G, B123, '리스사업(D)'!W:W, B126, '리스사업(D)'!U:U, $D$1)
    + COUNTIFS('임대사업(E)'!C:C, $E$1, '임대사업(E)'!G:G, B123, '임대사업(E)'!W:W, B126, '임대사업(E)'!U:U, $D$1)
    + COUNTIFS('환경부사업(F)'!C:C, $E$1, '환경부사업(F)'!G:G, B123, '환경부사업(F)'!W:W, B126, '환경부사업(F)'!U:U, $D$1)
    + COUNTIFS('프로젝트(G)'!C:C, $E$1, '프로젝트(G)'!G:G, B123, '프로젝트(G)'!W:W, B126, '프로젝트(G)'!U:U, $D$1)
    + COUNTIFS('협력사 EPC(H)'!C:C, $E$1, '협력사 EPC(H)'!G:G, B123, '협력사 EPC(H)'!W:W, B126, '협력사 EPC(H)'!U:U, $D$1)
    + COUNTIFS('기타(Z)'!C:C, $E$1, '기타(Z)'!G:G, B123, '기타(Z)'!W:W, B126, '기타(Z)'!U:U, $D$1)
  ) = 0,
  "",
  COUNTIFS('발전사업(A)'!C:C, $E$1, '발전사업(A)'!G:G, B123, '발전사업(A)'!W:W, B126, '발전사업(A)'!U:U, $D$1)
  + COUNTIFS('자가소비(B)'!C:C, $E$1, '자가소비(B)'!G:G, B123, '자가소비(B)'!W:W, B126, '자가소비(B)'!U:U, $D$1)
  + COUNTIFS('PPA 사업(C)'!C:C, $E$1, 'PPA 사업(C)'!G:G, B123, 'PPA 사업(C)'!W:W, B126, 'PPA 사업(C)'!U:U, $D$1)
  + COUNTIFS('리스사업(D)'!C:C, $E$1, '리스사업(D)'!G:G, B123, '리스사업(D)'!W:W, B126, '리스사업(D)'!U:U, $D$1)
  + COUNTIFS('임대사업(E)'!C:C, $E$1, '임대사업(E)'!G:G, B123, '임대사업(E)'!W:W, B126, '임대사업(E)'!U:U, $D$1)
  + COUNTIFS('환경부사업(F)'!C:C, $E$1, '환경부사업(F)'!G:G, B123, '환경부사업(F)'!W:W, B126, '환경부사업(F)'!U:U, $D$1)
  + COUNTIFS('프로젝트(G)'!C:C, $E$1, '프로젝트(G)'!G:G, B123, '프로젝트(G)'!W:W, B126, '프로젝트(G)'!U:U, $D$1)
  + COUNTIFS('협력사 EPC(H)'!C:C, $E$1, '협력사 EPC(H)'!G:G, B123, '협력사 EPC(H)'!W:W, B126, '협력사 EPC(H)'!U:U, $D$1)
  + COUNTIFS('기타(Z)'!C:C, $E$1, '기타(Z)'!G:G, B123, '기타(Z)'!W:W, B126, '기타(Z)'!U:U, $D$1)
)</f>
        <v/>
      </c>
    </row>
    <row r="127" spans="2:8" x14ac:dyDescent="0.25">
      <c r="B127" s="202" t="s">
        <v>261</v>
      </c>
      <c r="C127" s="280">
        <f>IF(
  SUM(
    SUMIFS('발전사업(A)'!I:I, '발전사업(A)'!C:C, $E$1, '발전사업(A)'!G:G, B123, '발전사업(A)'!W:W, B127),
    SUMIFS('자가소비(B)'!I:I, '자가소비(B)'!C:C, $E$1, '자가소비(B)'!G:G, B123, '자가소비(B)'!W:W, B127),
    SUMIFS('PPA 사업(C)'!I:I, 'PPA 사업(C)'!C:C, $E$1, 'PPA 사업(C)'!G:G, B123, 'PPA 사업(C)'!W:W, B127),
    SUMIFS('리스사업(D)'!I:I, '리스사업(D)'!C:C, $E$1, '리스사업(D)'!G:G, B123, '리스사업(D)'!W:W, B127),
    SUMIFS('임대사업(E)'!I:I, '임대사업(E)'!C:C, $E$1, '임대사업(E)'!G:G, B123, '임대사업(E)'!W:W, B127),
    SUMIFS('환경부사업(F)'!I:I, '환경부사업(F)'!C:C, $E$1, '환경부사업(F)'!G:G, B123, '환경부사업(F)'!W:W, B127),
    SUMIFS('프로젝트(G)'!I:I, '프로젝트(G)'!C:C, $E$1, '프로젝트(G)'!G:G, B123, '프로젝트(G)'!W:W, B127),
    SUMIFS('협력사 EPC(H)'!I:I, '협력사 EPC(H)'!C:C, $E$1, '협력사 EPC(H)'!G:G, B123, '협력사 EPC(H)'!W:W, B127),
    SUMIFS('기타(Z)'!I:I, '기타(Z)'!C:C, $E$1, '기타(Z)'!G:G, B123, '기타(Z)'!W:W, B127)
  ) = 0,
  "",
  SUMIFS('발전사업(A)'!I:I, '발전사업(A)'!C:C, $E$1, '발전사업(A)'!G:G, B123, '발전사업(A)'!W:W, B127)
  + SUMIFS('자가소비(B)'!I:I, '자가소비(B)'!C:C, $E$1, '자가소비(B)'!G:G, B123, '자가소비(B)'!W:W, B127)
  + SUMIFS('PPA 사업(C)'!I:I, 'PPA 사업(C)'!C:C, $E$1, 'PPA 사업(C)'!G:G, B123, 'PPA 사업(C)'!W:W, B127)
  + SUMIFS('리스사업(D)'!I:I, '리스사업(D)'!C:C, $E$1, '리스사업(D)'!G:G, B123, '리스사업(D)'!W:W, B127)
  + SUMIFS('임대사업(E)'!I:I, '임대사업(E)'!C:C, $E$1, '임대사업(E)'!G:G, B123, '임대사업(E)'!W:W, B127)
  + SUMIFS('환경부사업(F)'!I:I, '환경부사업(F)'!C:C, $E$1, '환경부사업(F)'!G:G, B123, '환경부사업(F)'!W:W, B127)
  + SUMIFS('프로젝트(G)'!I:I, '프로젝트(G)'!C:C, $E$1, '프로젝트(G)'!G:G, B123, '프로젝트(G)'!W:W, B127)
  + SUMIFS('협력사 EPC(H)'!I:I, '협력사 EPC(H)'!C:C, $E$1, '협력사 EPC(H)'!G:G, B123, '협력사 EPC(H)'!W:W, B127)
  + SUMIFS('기타(Z)'!I:I, '기타(Z)'!C:C, $E$1, '기타(Z)'!G:G, B123, '기타(Z)'!W:W, B127)
)</f>
        <v>84.48</v>
      </c>
      <c r="D127" s="281">
        <f>IF(
  COUNTIFS('발전사업(A)'!C:C, $E$1, '발전사업(A)'!G:G, B123, '발전사업(A)'!W:W, B127)
  + COUNTIFS('자가소비(B)'!C:C, $E$1, '자가소비(B)'!G:G, B123, '자가소비(B)'!W:W, B127)
  + COUNTIFS('PPA 사업(C)'!C:C, $E$1, 'PPA 사업(C)'!G:G, B123, 'PPA 사업(C)'!W:W, B127)
  + COUNTIFS('리스사업(D)'!C:C, $E$1, '리스사업(D)'!G:G, B123, '리스사업(D)'!W:W, B127)
  + COUNTIFS('임대사업(E)'!C:C, $E$1, '임대사업(E)'!G:G, B123, '임대사업(E)'!W:W, B127)
  + COUNTIFS('환경부사업(F)'!C:C, $E$1, '환경부사업(F)'!G:G, B123, '환경부사업(F)'!W:W, B127)
  + COUNTIFS('프로젝트(G)'!C:C, $E$1, '프로젝트(G)'!G:G, B123, '프로젝트(G)'!W:W, B127)
  + COUNTIFS('협력사 EPC(H)'!C:C, $E$1, '협력사 EPC(H)'!G:G, B123, '협력사 EPC(H)'!W:W, B127)
  + COUNTIFS('기타(Z)'!C:C, $E$1, '기타(Z)'!G:G, B123, '기타(Z)'!W:W, B127)
  = 0,
  "",
  COUNTIFS('발전사업(A)'!C:C, $E$1, '발전사업(A)'!G:G, B123, '발전사업(A)'!W:W, B127)
  + COUNTIFS('자가소비(B)'!C:C, $E$1, '자가소비(B)'!G:G, B123, '자가소비(B)'!W:W, B127)
  + COUNTIFS('PPA 사업(C)'!C:C, $E$1, 'PPA 사업(C)'!G:G, B123, 'PPA 사업(C)'!W:W, B127)
  + COUNTIFS('리스사업(D)'!C:C, $E$1, '리스사업(D)'!G:G, B123, '리스사업(D)'!W:W, B127)
  + COUNTIFS('임대사업(E)'!C:C, $E$1, '임대사업(E)'!G:G, B123, '임대사업(E)'!W:W, B127)
  + COUNTIFS('환경부사업(F)'!C:C, $E$1, '환경부사업(F)'!G:G, B123, '환경부사업(F)'!W:W, B127)
  + COUNTIFS('프로젝트(G)'!C:C, $E$1, '프로젝트(G)'!G:G, B123, '프로젝트(G)'!W:W, B127)
  + COUNTIFS('협력사 EPC(H)'!C:C, $E$1, '협력사 EPC(H)'!G:G, B123, '협력사 EPC(H)'!W:W, B127)
  + COUNTIFS('기타(Z)'!C:C, $E$1, '기타(Z)'!G:G, B123, '기타(Z)'!W:W, B127)
)</f>
        <v>1</v>
      </c>
      <c r="E127" s="280" t="str">
        <f>IF(
  SUM(
    SUMIFS('발전사업(A)'!I:I, '발전사업(A)'!C:C, $E$1, '발전사업(A)'!G:G, B123, '발전사업(A)'!W:W, B127, '발전사업(A)'!U:U, $C$1),
    SUMIFS('자가소비(B)'!I:I, '자가소비(B)'!C:C, $E$1, '자가소비(B)'!G:G, B123, '자가소비(B)'!W:W, B127, '자가소비(B)'!U:U, $C$1),
    SUMIFS('PPA 사업(C)'!I:I, 'PPA 사업(C)'!C:C, $E$1, 'PPA 사업(C)'!G:G, B123, 'PPA 사업(C)'!W:W, B127, 'PPA 사업(C)'!U:U, $C$1),
    SUMIFS('리스사업(D)'!I:I, '리스사업(D)'!C:C, $E$1, '리스사업(D)'!G:G, B123, '리스사업(D)'!W:W, B127, '리스사업(D)'!U:U, $C$1),
    SUMIFS('임대사업(E)'!I:I, '임대사업(E)'!C:C, $E$1, '임대사업(E)'!G:G, B123, '임대사업(E)'!W:W, B127, '임대사업(E)'!U:U, $C$1),
    SUMIFS('환경부사업(F)'!I:I, '환경부사업(F)'!C:C, $E$1, '환경부사업(F)'!G:G, B123, '환경부사업(F)'!W:W, B127, '환경부사업(F)'!U:U, $C$1),
    SUMIFS('프로젝트(G)'!I:I, '프로젝트(G)'!C:C, $E$1, '프로젝트(G)'!G:G, B123, '프로젝트(G)'!W:W, B127, '프로젝트(G)'!U:U, $C$1),
    SUMIFS('협력사 EPC(H)'!I:I, '협력사 EPC(H)'!C:C, $E$1, '협력사 EPC(H)'!G:G, B123, '협력사 EPC(H)'!W:W, B127, '협력사 EPC(H)'!U:U, $C$1),
    SUMIFS('기타(Z)'!I:I, '기타(Z)'!C:C, $E$1, '기타(Z)'!G:G, B123, '기타(Z)'!W:W, B127, '기타(Z)'!U:U, $C$1)
  ) = 0,
  "",
  SUM(
    SUMIFS('발전사업(A)'!I:I, '발전사업(A)'!C:C, $E$1, '발전사업(A)'!G:G, B123, '발전사업(A)'!W:W, B127, '발전사업(A)'!U:U, $C$1),
    SUMIFS('자가소비(B)'!I:I, '자가소비(B)'!C:C, $E$1, '자가소비(B)'!G:G, B123, '자가소비(B)'!W:W, B127, '자가소비(B)'!U:U, $C$1),
    SUMIFS('PPA 사업(C)'!I:I, 'PPA 사업(C)'!C:C, $E$1, 'PPA 사업(C)'!G:G, B123, 'PPA 사업(C)'!W:W, B127, 'PPA 사업(C)'!U:U, $C$1),
    SUMIFS('리스사업(D)'!I:I, '리스사업(D)'!C:C, $E$1, '리스사업(D)'!G:G, B123, '리스사업(D)'!W:W, B127, '리스사업(D)'!U:U, $C$1),
    SUMIFS('임대사업(E)'!I:I, '임대사업(E)'!C:C, $E$1, '임대사업(E)'!G:G, B123, '임대사업(E)'!W:W, B127, '임대사업(E)'!U:U, $C$1),
    SUMIFS('환경부사업(F)'!I:I, '환경부사업(F)'!C:C, $E$1, '환경부사업(F)'!G:G, B123, '환경부사업(F)'!W:W, B127, '환경부사업(F)'!U:U, $C$1),
    SUMIFS('프로젝트(G)'!I:I, '프로젝트(G)'!C:C, $E$1, '프로젝트(G)'!G:G, B123, '프로젝트(G)'!W:W, B127, '프로젝트(G)'!U:U, $C$1),
    SUMIFS('협력사 EPC(H)'!I:I, '협력사 EPC(H)'!C:C, $E$1, '협력사 EPC(H)'!G:G, B123, '협력사 EPC(H)'!W:W, B127, '협력사 EPC(H)'!U:U, $C$1),
    SUMIFS('기타(Z)'!I:I, '기타(Z)'!C:C, $E$1, '기타(Z)'!G:G, B123, '기타(Z)'!W:W, B127, '기타(Z)'!U:U, $C$1)
  )
)</f>
        <v/>
      </c>
      <c r="F127" s="281" t="str">
        <f>IF(
  SUM(
    COUNTIFS('발전사업(A)'!C:C, $E$1, '발전사업(A)'!G:G, B123, '발전사업(A)'!W:W, B127, '발전사업(A)'!U:U, $C$1),
    COUNTIFS('자가소비(B)'!C:C, $E$1, '자가소비(B)'!G:G, B123, '자가소비(B)'!W:W, B127, '자가소비(B)'!U:U, $C$1),
    COUNTIFS('PPA 사업(C)'!C:C, $E$1, 'PPA 사업(C)'!G:G, B123, 'PPA 사업(C)'!W:W, B127, 'PPA 사업(C)'!U:U, $C$1),
    COUNTIFS('리스사업(D)'!C:C, $E$1, '리스사업(D)'!G:G, B123, '리스사업(D)'!W:W, B127, '리스사업(D)'!U:U, $C$1),
    COUNTIFS('임대사업(E)'!C:C, $E$1, '임대사업(E)'!G:G, B123, '임대사업(E)'!W:W, B127, '임대사업(E)'!U:U, $C$1),
    COUNTIFS('환경부사업(F)'!C:C, $E$1, '환경부사업(F)'!G:G, B123, '환경부사업(F)'!W:W, B127, '환경부사업(F)'!U:U, $C$1),
    COUNTIFS('프로젝트(G)'!C:C, $E$1, '프로젝트(G)'!G:G, B123, '프로젝트(G)'!W:W, B127, '프로젝트(G)'!U:U, $C$1),
    COUNTIFS('협력사 EPC(H)'!C:C, $E$1, '협력사 EPC(H)'!G:G, B123, '협력사 EPC(H)'!W:W, B127, '협력사 EPC(H)'!U:U, $C$1),
    COUNTIFS('기타(Z)'!C:C, $E$1, '기타(Z)'!G:G, B123, '기타(Z)'!W:W, B127, '기타(Z)'!U:U, $C$1)
  ) = 0,
  "",
  SUM(
    COUNTIFS('발전사업(A)'!C:C, $E$1, '발전사업(A)'!G:G, B123, '발전사업(A)'!W:W, B127, '발전사업(A)'!U:U, $C$1),
    COUNTIFS('자가소비(B)'!C:C, $E$1, '자가소비(B)'!G:G, B123, '자가소비(B)'!W:W, B127, '자가소비(B)'!U:U, $C$1),
    COUNTIFS('PPA 사업(C)'!C:C, $E$1, 'PPA 사업(C)'!G:G, B123, 'PPA 사업(C)'!W:W, B127, 'PPA 사업(C)'!U:U, $C$1),
    COUNTIFS('리스사업(D)'!C:C, $E$1, '리스사업(D)'!G:G, B123, '리스사업(D)'!W:W, B127, '리스사업(D)'!U:U, $C$1),
    COUNTIFS('임대사업(E)'!C:C, $E$1, '임대사업(E)'!G:G, B123, '임대사업(E)'!W:W, B127, '임대사업(E)'!U:U, $C$1),
    COUNTIFS('환경부사업(F)'!C:C, $E$1, '환경부사업(F)'!G:G, B123, '환경부사업(F)'!W:W, B127, '환경부사업(F)'!U:U, $C$1),
    COUNTIFS('프로젝트(G)'!C:C, $E$1, '프로젝트(G)'!G:G, B123, '프로젝트(G)'!W:W, B127, '프로젝트(G)'!U:U, $C$1),
    COUNTIFS('협력사 EPC(H)'!C:C, $E$1, '협력사 EPC(H)'!G:G, B123, '협력사 EPC(H)'!W:W, B127, '협력사 EPC(H)'!U:U, $C$1),
    COUNTIFS('기타(Z)'!C:C, $E$1, '기타(Z)'!G:G, B123, '기타(Z)'!W:W, B127, '기타(Z)'!U:U, $C$1)
  )
)</f>
        <v/>
      </c>
      <c r="G127" s="280">
        <f>IF(
  SUM(
    SUMIFS('발전사업(A)'!I:I, '발전사업(A)'!C:C, $E$1, '발전사업(A)'!G:G, B123, '발전사업(A)'!W:W, B127, '발전사업(A)'!U:U, $D$1),
    SUMIFS('자가소비(B)'!I:I, '자가소비(B)'!C:C, $E$1, '자가소비(B)'!G:G, B123, '자가소비(B)'!W:W, B127, '자가소비(B)'!U:U, $D$1),
    SUMIFS('PPA 사업(C)'!I:I, 'PPA 사업(C)'!C:C, $E$1, 'PPA 사업(C)'!G:G, B123, 'PPA 사업(C)'!W:W, B127, 'PPA 사업(C)'!U:U, $D$1),
    SUMIFS('리스사업(D)'!I:I, '리스사업(D)'!C:C, $E$1, '리스사업(D)'!G:G, B123, '리스사업(D)'!W:W, B127, '리스사업(D)'!U:U, $D$1),
    SUMIFS('임대사업(E)'!I:I, '임대사업(E)'!C:C, $E$1, '임대사업(E)'!G:G, B123, '임대사업(E)'!W:W, B127, '임대사업(E)'!U:U, $D$1),
    SUMIFS('환경부사업(F)'!I:I, '환경부사업(F)'!C:C, $E$1, '환경부사업(F)'!G:G, B123, '환경부사업(F)'!W:W, B127, '환경부사업(F)'!U:U, $D$1),
    SUMIFS('프로젝트(G)'!I:I, '프로젝트(G)'!C:C, $E$1, '프로젝트(G)'!G:G, B123, '프로젝트(G)'!W:W, B127, '프로젝트(G)'!U:U, $D$1),
    SUMIFS('협력사 EPC(H)'!I:I, '협력사 EPC(H)'!C:C, $E$1, '협력사 EPC(H)'!G:G, B123, '협력사 EPC(H)'!W:W, B127, '협력사 EPC(H)'!U:U, $D$1),
    SUMIFS('기타(Z)'!I:I, '기타(Z)'!C:C, $E$1, '기타(Z)'!G:G, B123, '기타(Z)'!W:W, B127, '기타(Z)'!U:U, $D$1)
  ) = 0,
  "",
  SUM(
    SUMIFS('발전사업(A)'!I:I, '발전사업(A)'!C:C, $E$1, '발전사업(A)'!G:G, B123, '발전사업(A)'!W:W, B127, '발전사업(A)'!U:U, $D$1),
    SUMIFS('자가소비(B)'!I:I, '자가소비(B)'!C:C, $E$1, '자가소비(B)'!G:G, B123, '자가소비(B)'!W:W, B127, '자가소비(B)'!U:U, $D$1),
    SUMIFS('PPA 사업(C)'!I:I, 'PPA 사업(C)'!C:C, $E$1, 'PPA 사업(C)'!G:G, B123, 'PPA 사업(C)'!W:W, B127, 'PPA 사업(C)'!U:U, $D$1),
    SUMIFS('리스사업(D)'!I:I, '리스사업(D)'!C:C, $E$1, '리스사업(D)'!G:G, B123, '리스사업(D)'!W:W, B127, '리스사업(D)'!U:U, $D$1),
    SUMIFS('임대사업(E)'!I:I, '임대사업(E)'!C:C, $E$1, '임대사업(E)'!G:G, B123, '임대사업(E)'!W:W, B127, '임대사업(E)'!U:U, $D$1),
    SUMIFS('환경부사업(F)'!I:I, '환경부사업(F)'!C:C, $E$1, '환경부사업(F)'!G:G, B123, '환경부사업(F)'!W:W, B127, '환경부사업(F)'!U:U, $D$1),
    SUMIFS('프로젝트(G)'!I:I, '프로젝트(G)'!C:C, $E$1, '프로젝트(G)'!G:G, B123, '프로젝트(G)'!W:W, B127, '프로젝트(G)'!U:U, $D$1),
    SUMIFS('협력사 EPC(H)'!I:I, '협력사 EPC(H)'!C:C, $E$1, '협력사 EPC(H)'!G:G, B123, '협력사 EPC(H)'!W:W, B127, '협력사 EPC(H)'!U:U, $D$1),
    SUMIFS('기타(Z)'!I:I, '기타(Z)'!C:C, $E$1, '기타(Z)'!G:G, B123, '기타(Z)'!W:W, B127, '기타(Z)'!U:U, $D$1)
  )
)</f>
        <v>84.48</v>
      </c>
      <c r="H127" s="281">
        <f>IF(
  (
    COUNTIFS('발전사업(A)'!C:C, $E$1, '발전사업(A)'!G:G, B123, '발전사업(A)'!W:W, B127, '발전사업(A)'!U:U, $D$1)
    + COUNTIFS('자가소비(B)'!C:C, $E$1, '자가소비(B)'!G:G, B123, '자가소비(B)'!W:W, B127, '자가소비(B)'!U:U, $D$1)
    + COUNTIFS('PPA 사업(C)'!C:C, $E$1, 'PPA 사업(C)'!G:G, B123, 'PPA 사업(C)'!W:W, B127, 'PPA 사업(C)'!U:U, $D$1)
    + COUNTIFS('리스사업(D)'!C:C, $E$1, '리스사업(D)'!G:G, B123, '리스사업(D)'!W:W, B127, '리스사업(D)'!U:U, $D$1)
    + COUNTIFS('임대사업(E)'!C:C, $E$1, '임대사업(E)'!G:G, B123, '임대사업(E)'!W:W, B127, '임대사업(E)'!U:U, $D$1)
    + COUNTIFS('환경부사업(F)'!C:C, $E$1, '환경부사업(F)'!G:G, B123, '환경부사업(F)'!W:W, B127, '환경부사업(F)'!U:U, $D$1)
    + COUNTIFS('프로젝트(G)'!C:C, $E$1, '프로젝트(G)'!G:G, B123, '프로젝트(G)'!W:W, B127, '프로젝트(G)'!U:U, $D$1)
    + COUNTIFS('협력사 EPC(H)'!C:C, $E$1, '협력사 EPC(H)'!G:G, B123, '협력사 EPC(H)'!W:W, B127, '협력사 EPC(H)'!U:U, $D$1)
    + COUNTIFS('기타(Z)'!C:C, $E$1, '기타(Z)'!G:G, B123, '기타(Z)'!W:W, B127, '기타(Z)'!U:U, $D$1)
  ) = 0,
  "",
  COUNTIFS('발전사업(A)'!C:C, $E$1, '발전사업(A)'!G:G, B123, '발전사업(A)'!W:W, B127, '발전사업(A)'!U:U, $D$1)
  + COUNTIFS('자가소비(B)'!C:C, $E$1, '자가소비(B)'!G:G, B123, '자가소비(B)'!W:W, B127, '자가소비(B)'!U:U, $D$1)
  + COUNTIFS('PPA 사업(C)'!C:C, $E$1, 'PPA 사업(C)'!G:G, B123, 'PPA 사업(C)'!W:W, B127, 'PPA 사업(C)'!U:U, $D$1)
  + COUNTIFS('리스사업(D)'!C:C, $E$1, '리스사업(D)'!G:G, B123, '리스사업(D)'!W:W, B127, '리스사업(D)'!U:U, $D$1)
  + COUNTIFS('임대사업(E)'!C:C, $E$1, '임대사업(E)'!G:G, B123, '임대사업(E)'!W:W, B127, '임대사업(E)'!U:U, $D$1)
  + COUNTIFS('환경부사업(F)'!C:C, $E$1, '환경부사업(F)'!G:G, B123, '환경부사업(F)'!W:W, B127, '환경부사업(F)'!U:U, $D$1)
  + COUNTIFS('프로젝트(G)'!C:C, $E$1, '프로젝트(G)'!G:G, B123, '프로젝트(G)'!W:W, B127, '프로젝트(G)'!U:U, $D$1)
  + COUNTIFS('협력사 EPC(H)'!C:C, $E$1, '협력사 EPC(H)'!G:G, B123, '협력사 EPC(H)'!W:W, B127, '협력사 EPC(H)'!U:U, $D$1)
  + COUNTIFS('기타(Z)'!C:C, $E$1, '기타(Z)'!G:G, B123, '기타(Z)'!W:W, B127, '기타(Z)'!U:U, $D$1)
)</f>
        <v>1</v>
      </c>
    </row>
    <row r="128" spans="2:8" x14ac:dyDescent="0.25">
      <c r="B128" s="202" t="s">
        <v>262</v>
      </c>
      <c r="C128" s="280">
        <f>IF(
  SUM(
    SUMIFS('발전사업(A)'!I:I, '발전사업(A)'!C:C, $E$1, '발전사업(A)'!G:G, B123, '발전사업(A)'!W:W, B128),
    SUMIFS('자가소비(B)'!I:I, '자가소비(B)'!C:C, $E$1, '자가소비(B)'!G:G, B123, '자가소비(B)'!W:W, B128),
    SUMIFS('PPA 사업(C)'!I:I, 'PPA 사업(C)'!C:C, $E$1, 'PPA 사업(C)'!G:G, B123, 'PPA 사업(C)'!W:W, B128),
    SUMIFS('리스사업(D)'!I:I, '리스사업(D)'!C:C, $E$1, '리스사업(D)'!G:G, B123, '리스사업(D)'!W:W, B128),
    SUMIFS('임대사업(E)'!I:I, '임대사업(E)'!C:C, $E$1, '임대사업(E)'!G:G, B123, '임대사업(E)'!W:W, B128),
    SUMIFS('환경부사업(F)'!I:I, '환경부사업(F)'!C:C, $E$1, '환경부사업(F)'!G:G, B123, '환경부사업(F)'!W:W, B128),
    SUMIFS('프로젝트(G)'!I:I, '프로젝트(G)'!C:C, $E$1, '프로젝트(G)'!G:G, B123, '프로젝트(G)'!W:W, B128),
    SUMIFS('협력사 EPC(H)'!I:I, '협력사 EPC(H)'!C:C, $E$1, '협력사 EPC(H)'!G:G, B123, '협력사 EPC(H)'!W:W, B128),
    SUMIFS('기타(Z)'!I:I, '기타(Z)'!C:C, $E$1, '기타(Z)'!G:G, B123, '기타(Z)'!W:W, B128)
  ) = 0,
  "",
  SUMIFS('발전사업(A)'!I:I, '발전사업(A)'!C:C, $E$1, '발전사업(A)'!G:G, B123, '발전사업(A)'!W:W, B128)
  + SUMIFS('자가소비(B)'!I:I, '자가소비(B)'!C:C, $E$1, '자가소비(B)'!G:G, B123, '자가소비(B)'!W:W, B128)
  + SUMIFS('PPA 사업(C)'!I:I, 'PPA 사업(C)'!C:C, $E$1, 'PPA 사업(C)'!G:G, B123, 'PPA 사업(C)'!W:W, B128)
  + SUMIFS('리스사업(D)'!I:I, '리스사업(D)'!C:C, $E$1, '리스사업(D)'!G:G, B123, '리스사업(D)'!W:W, B128)
  + SUMIFS('임대사업(E)'!I:I, '임대사업(E)'!C:C, $E$1, '임대사업(E)'!G:G, B123, '임대사업(E)'!W:W, B128)
  + SUMIFS('환경부사업(F)'!I:I, '환경부사업(F)'!C:C, $E$1, '환경부사업(F)'!G:G, B123, '환경부사업(F)'!W:W, B128)
  + SUMIFS('프로젝트(G)'!I:I, '프로젝트(G)'!C:C, $E$1, '프로젝트(G)'!G:G, B123, '프로젝트(G)'!W:W, B128)
  + SUMIFS('협력사 EPC(H)'!I:I, '협력사 EPC(H)'!C:C, $E$1, '협력사 EPC(H)'!G:G, B123, '협력사 EPC(H)'!W:W, B128)
  + SUMIFS('기타(Z)'!I:I, '기타(Z)'!C:C, $E$1, '기타(Z)'!G:G, B123, '기타(Z)'!W:W, B128)
)</f>
        <v>250.88</v>
      </c>
      <c r="D128" s="281">
        <f>IF(
  COUNTIFS('발전사업(A)'!C:C, $E$1, '발전사업(A)'!G:G, B123, '발전사업(A)'!W:W, B128)
  + COUNTIFS('자가소비(B)'!C:C, $E$1, '자가소비(B)'!G:G, B123, '자가소비(B)'!W:W, B128)
  + COUNTIFS('PPA 사업(C)'!C:C, $E$1, 'PPA 사업(C)'!G:G, B123, 'PPA 사업(C)'!W:W, B128)
  + COUNTIFS('리스사업(D)'!C:C, $E$1, '리스사업(D)'!G:G, B123, '리스사업(D)'!W:W, B128)
  + COUNTIFS('임대사업(E)'!C:C, $E$1, '임대사업(E)'!G:G, B123, '임대사업(E)'!W:W, B128)
  + COUNTIFS('환경부사업(F)'!C:C, $E$1, '환경부사업(F)'!G:G, B123, '환경부사업(F)'!W:W, B128)
  + COUNTIFS('프로젝트(G)'!C:C, $E$1, '프로젝트(G)'!G:G, B123, '프로젝트(G)'!W:W, B128)
  + COUNTIFS('협력사 EPC(H)'!C:C, $E$1, '협력사 EPC(H)'!G:G, B123, '협력사 EPC(H)'!W:W, B128)
  + COUNTIFS('기타(Z)'!C:C, $E$1, '기타(Z)'!G:G, B123, '기타(Z)'!W:W, B128)
  = 0,
  "",
  COUNTIFS('발전사업(A)'!C:C, $E$1, '발전사업(A)'!G:G, B123, '발전사업(A)'!W:W, B128)
  + COUNTIFS('자가소비(B)'!C:C, $E$1, '자가소비(B)'!G:G, B123, '자가소비(B)'!W:W, B128)
  + COUNTIFS('PPA 사업(C)'!C:C, $E$1, 'PPA 사업(C)'!G:G, B123, 'PPA 사업(C)'!W:W, B128)
  + COUNTIFS('리스사업(D)'!C:C, $E$1, '리스사업(D)'!G:G, B123, '리스사업(D)'!W:W, B128)
  + COUNTIFS('임대사업(E)'!C:C, $E$1, '임대사업(E)'!G:G, B123, '임대사업(E)'!W:W, B128)
  + COUNTIFS('환경부사업(F)'!C:C, $E$1, '환경부사업(F)'!G:G, B123, '환경부사업(F)'!W:W, B128)
  + COUNTIFS('프로젝트(G)'!C:C, $E$1, '프로젝트(G)'!G:G, B123, '프로젝트(G)'!W:W, B128)
  + COUNTIFS('협력사 EPC(H)'!C:C, $E$1, '협력사 EPC(H)'!G:G, B123, '협력사 EPC(H)'!W:W, B128)
  + COUNTIFS('기타(Z)'!C:C, $E$1, '기타(Z)'!G:G, B123, '기타(Z)'!W:W, B128)
)</f>
        <v>4</v>
      </c>
      <c r="E128" s="280">
        <f>IF(
  SUM(
    SUMIFS('발전사업(A)'!I:I, '발전사업(A)'!C:C, $E$1, '발전사업(A)'!G:G, B123, '발전사업(A)'!W:W, B128, '발전사업(A)'!U:U, $C$1),
    SUMIFS('자가소비(B)'!I:I, '자가소비(B)'!C:C, $E$1, '자가소비(B)'!G:G, B123, '자가소비(B)'!W:W, B128, '자가소비(B)'!U:U, $C$1),
    SUMIFS('PPA 사업(C)'!I:I, 'PPA 사업(C)'!C:C, $E$1, 'PPA 사업(C)'!G:G, B123, 'PPA 사업(C)'!W:W, B128, 'PPA 사업(C)'!U:U, $C$1),
    SUMIFS('리스사업(D)'!I:I, '리스사업(D)'!C:C, $E$1, '리스사업(D)'!G:G, B123, '리스사업(D)'!W:W, B128, '리스사업(D)'!U:U, $C$1),
    SUMIFS('임대사업(E)'!I:I, '임대사업(E)'!C:C, $E$1, '임대사업(E)'!G:G, B123, '임대사업(E)'!W:W, B128, '임대사업(E)'!U:U, $C$1),
    SUMIFS('환경부사업(F)'!I:I, '환경부사업(F)'!C:C, $E$1, '환경부사업(F)'!G:G, B123, '환경부사업(F)'!W:W, B128, '환경부사업(F)'!U:U, $C$1),
    SUMIFS('프로젝트(G)'!I:I, '프로젝트(G)'!C:C, $E$1, '프로젝트(G)'!G:G, B123, '프로젝트(G)'!W:W, B128, '프로젝트(G)'!U:U, $C$1),
    SUMIFS('협력사 EPC(H)'!I:I, '협력사 EPC(H)'!C:C, $E$1, '협력사 EPC(H)'!G:G, B123, '협력사 EPC(H)'!W:W, B128, '협력사 EPC(H)'!U:U, $C$1),
    SUMIFS('기타(Z)'!I:I, '기타(Z)'!C:C, $E$1, '기타(Z)'!G:G, B123, '기타(Z)'!W:W, B128, '기타(Z)'!U:U, $C$1)
  ) = 0,
  "",
  SUM(
    SUMIFS('발전사업(A)'!I:I, '발전사업(A)'!C:C, $E$1, '발전사업(A)'!G:G, B123, '발전사업(A)'!W:W, B128, '발전사업(A)'!U:U, $C$1),
    SUMIFS('자가소비(B)'!I:I, '자가소비(B)'!C:C, $E$1, '자가소비(B)'!G:G, B123, '자가소비(B)'!W:W, B128, '자가소비(B)'!U:U, $C$1),
    SUMIFS('PPA 사업(C)'!I:I, 'PPA 사업(C)'!C:C, $E$1, 'PPA 사업(C)'!G:G, B123, 'PPA 사업(C)'!W:W, B128, 'PPA 사업(C)'!U:U, $C$1),
    SUMIFS('리스사업(D)'!I:I, '리스사업(D)'!C:C, $E$1, '리스사업(D)'!G:G, B123, '리스사업(D)'!W:W, B128, '리스사업(D)'!U:U, $C$1),
    SUMIFS('임대사업(E)'!I:I, '임대사업(E)'!C:C, $E$1, '임대사업(E)'!G:G, B123, '임대사업(E)'!W:W, B128, '임대사업(E)'!U:U, $C$1),
    SUMIFS('환경부사업(F)'!I:I, '환경부사업(F)'!C:C, $E$1, '환경부사업(F)'!G:G, B123, '환경부사업(F)'!W:W, B128, '환경부사업(F)'!U:U, $C$1),
    SUMIFS('프로젝트(G)'!I:I, '프로젝트(G)'!C:C, $E$1, '프로젝트(G)'!G:G, B123, '프로젝트(G)'!W:W, B128, '프로젝트(G)'!U:U, $C$1),
    SUMIFS('협력사 EPC(H)'!I:I, '협력사 EPC(H)'!C:C, $E$1, '협력사 EPC(H)'!G:G, B123, '협력사 EPC(H)'!W:W, B128, '협력사 EPC(H)'!U:U, $C$1),
    SUMIFS('기타(Z)'!I:I, '기타(Z)'!C:C, $E$1, '기타(Z)'!G:G, B123, '기타(Z)'!W:W, B128, '기타(Z)'!U:U, $C$1)
  )
)</f>
        <v>250.88</v>
      </c>
      <c r="F128" s="281">
        <f>IF(
  SUM(
    COUNTIFS('발전사업(A)'!C:C, $E$1, '발전사업(A)'!G:G, B123, '발전사업(A)'!W:W, B128, '발전사업(A)'!U:U, $C$1),
    COUNTIFS('자가소비(B)'!C:C, $E$1, '자가소비(B)'!G:G, B123, '자가소비(B)'!W:W, B128, '자가소비(B)'!U:U, $C$1),
    COUNTIFS('PPA 사업(C)'!C:C, $E$1, 'PPA 사업(C)'!G:G, B123, 'PPA 사업(C)'!W:W, B128, 'PPA 사업(C)'!U:U, $C$1),
    COUNTIFS('리스사업(D)'!C:C, $E$1, '리스사업(D)'!G:G, B123, '리스사업(D)'!W:W, B128, '리스사업(D)'!U:U, $C$1),
    COUNTIFS('임대사업(E)'!C:C, $E$1, '임대사업(E)'!G:G, B123, '임대사업(E)'!W:W, B128, '임대사업(E)'!U:U, $C$1),
    COUNTIFS('환경부사업(F)'!C:C, $E$1, '환경부사업(F)'!G:G, B123, '환경부사업(F)'!W:W, B128, '환경부사업(F)'!U:U, $C$1),
    COUNTIFS('프로젝트(G)'!C:C, $E$1, '프로젝트(G)'!G:G, B123, '프로젝트(G)'!W:W, B128, '프로젝트(G)'!U:U, $C$1),
    COUNTIFS('협력사 EPC(H)'!C:C, $E$1, '협력사 EPC(H)'!G:G, B123, '협력사 EPC(H)'!W:W, B128, '협력사 EPC(H)'!U:U, $C$1),
    COUNTIFS('기타(Z)'!C:C, $E$1, '기타(Z)'!G:G, B123, '기타(Z)'!W:W, B128, '기타(Z)'!U:U, $C$1)
  ) = 0,
  "",
  SUM(
    COUNTIFS('발전사업(A)'!C:C, $E$1, '발전사업(A)'!G:G, B123, '발전사업(A)'!W:W, B128, '발전사업(A)'!U:U, $C$1),
    COUNTIFS('자가소비(B)'!C:C, $E$1, '자가소비(B)'!G:G, B123, '자가소비(B)'!W:W, B128, '자가소비(B)'!U:U, $C$1),
    COUNTIFS('PPA 사업(C)'!C:C, $E$1, 'PPA 사업(C)'!G:G, B123, 'PPA 사업(C)'!W:W, B128, 'PPA 사업(C)'!U:U, $C$1),
    COUNTIFS('리스사업(D)'!C:C, $E$1, '리스사업(D)'!G:G, B123, '리스사업(D)'!W:W, B128, '리스사업(D)'!U:U, $C$1),
    COUNTIFS('임대사업(E)'!C:C, $E$1, '임대사업(E)'!G:G, B123, '임대사업(E)'!W:W, B128, '임대사업(E)'!U:U, $C$1),
    COUNTIFS('환경부사업(F)'!C:C, $E$1, '환경부사업(F)'!G:G, B123, '환경부사업(F)'!W:W, B128, '환경부사업(F)'!U:U, $C$1),
    COUNTIFS('프로젝트(G)'!C:C, $E$1, '프로젝트(G)'!G:G, B123, '프로젝트(G)'!W:W, B128, '프로젝트(G)'!U:U, $C$1),
    COUNTIFS('협력사 EPC(H)'!C:C, $E$1, '협력사 EPC(H)'!G:G, B123, '협력사 EPC(H)'!W:W, B128, '협력사 EPC(H)'!U:U, $C$1),
    COUNTIFS('기타(Z)'!C:C, $E$1, '기타(Z)'!G:G, B123, '기타(Z)'!W:W, B128, '기타(Z)'!U:U, $C$1)
  )
)</f>
        <v>4</v>
      </c>
      <c r="G128" s="280" t="str">
        <f>IF(
  SUM(
    SUMIFS('발전사업(A)'!I:I, '발전사업(A)'!C:C, $E$1, '발전사업(A)'!G:G, B123, '발전사업(A)'!W:W, B128, '발전사업(A)'!U:U, $D$1),
    SUMIFS('자가소비(B)'!I:I, '자가소비(B)'!C:C, $E$1, '자가소비(B)'!G:G, B123, '자가소비(B)'!W:W, B128, '자가소비(B)'!U:U, $D$1),
    SUMIFS('PPA 사업(C)'!I:I, 'PPA 사업(C)'!C:C, $E$1, 'PPA 사업(C)'!G:G, B123, 'PPA 사업(C)'!W:W, B128, 'PPA 사업(C)'!U:U, $D$1),
    SUMIFS('리스사업(D)'!I:I, '리스사업(D)'!C:C, $E$1, '리스사업(D)'!G:G, B123, '리스사업(D)'!W:W, B128, '리스사업(D)'!U:U, $D$1),
    SUMIFS('임대사업(E)'!I:I, '임대사업(E)'!C:C, $E$1, '임대사업(E)'!G:G, B123, '임대사업(E)'!W:W, B128, '임대사업(E)'!U:U, $D$1),
    SUMIFS('환경부사업(F)'!I:I, '환경부사업(F)'!C:C, $E$1, '환경부사업(F)'!G:G, B123, '환경부사업(F)'!W:W, B128, '환경부사업(F)'!U:U, $D$1),
    SUMIFS('프로젝트(G)'!I:I, '프로젝트(G)'!C:C, $E$1, '프로젝트(G)'!G:G, B123, '프로젝트(G)'!W:W, B128, '프로젝트(G)'!U:U, $D$1),
    SUMIFS('협력사 EPC(H)'!I:I, '협력사 EPC(H)'!C:C, $E$1, '협력사 EPC(H)'!G:G, B123, '협력사 EPC(H)'!W:W, B128, '협력사 EPC(H)'!U:U, $D$1),
    SUMIFS('기타(Z)'!I:I, '기타(Z)'!C:C, $E$1, '기타(Z)'!G:G, B123, '기타(Z)'!W:W, B128, '기타(Z)'!U:U, $D$1)
  ) = 0,
  "",
  SUM(
    SUMIFS('발전사업(A)'!I:I, '발전사업(A)'!C:C, $E$1, '발전사업(A)'!G:G, B123, '발전사업(A)'!W:W, B128, '발전사업(A)'!U:U, $D$1),
    SUMIFS('자가소비(B)'!I:I, '자가소비(B)'!C:C, $E$1, '자가소비(B)'!G:G, B123, '자가소비(B)'!W:W, B128, '자가소비(B)'!U:U, $D$1),
    SUMIFS('PPA 사업(C)'!I:I, 'PPA 사업(C)'!C:C, $E$1, 'PPA 사업(C)'!G:G, B123, 'PPA 사업(C)'!W:W, B128, 'PPA 사업(C)'!U:U, $D$1),
    SUMIFS('리스사업(D)'!I:I, '리스사업(D)'!C:C, $E$1, '리스사업(D)'!G:G, B123, '리스사업(D)'!W:W, B128, '리스사업(D)'!U:U, $D$1),
    SUMIFS('임대사업(E)'!I:I, '임대사업(E)'!C:C, $E$1, '임대사업(E)'!G:G, B123, '임대사업(E)'!W:W, B128, '임대사업(E)'!U:U, $D$1),
    SUMIFS('환경부사업(F)'!I:I, '환경부사업(F)'!C:C, $E$1, '환경부사업(F)'!G:G, B123, '환경부사업(F)'!W:W, B128, '환경부사업(F)'!U:U, $D$1),
    SUMIFS('프로젝트(G)'!I:I, '프로젝트(G)'!C:C, $E$1, '프로젝트(G)'!G:G, B123, '프로젝트(G)'!W:W, B128, '프로젝트(G)'!U:U, $D$1),
    SUMIFS('협력사 EPC(H)'!I:I, '협력사 EPC(H)'!C:C, $E$1, '협력사 EPC(H)'!G:G, B123, '협력사 EPC(H)'!W:W, B128, '협력사 EPC(H)'!U:U, $D$1),
    SUMIFS('기타(Z)'!I:I, '기타(Z)'!C:C, $E$1, '기타(Z)'!G:G, B123, '기타(Z)'!W:W, B128, '기타(Z)'!U:U, $D$1)
  )
)</f>
        <v/>
      </c>
      <c r="H128" s="281" t="str">
        <f>IF(
  (
    COUNTIFS('발전사업(A)'!C:C, $E$1, '발전사업(A)'!G:G, B123, '발전사업(A)'!W:W, B128, '발전사업(A)'!U:U, $D$1)
    + COUNTIFS('자가소비(B)'!C:C, $E$1, '자가소비(B)'!G:G, B123, '자가소비(B)'!W:W, B128, '자가소비(B)'!U:U, $D$1)
    + COUNTIFS('PPA 사업(C)'!C:C, $E$1, 'PPA 사업(C)'!G:G, B123, 'PPA 사업(C)'!W:W, B128, 'PPA 사업(C)'!U:U, $D$1)
    + COUNTIFS('리스사업(D)'!C:C, $E$1, '리스사업(D)'!G:G, B123, '리스사업(D)'!W:W, B128, '리스사업(D)'!U:U, $D$1)
    + COUNTIFS('임대사업(E)'!C:C, $E$1, '임대사업(E)'!G:G, B123, '임대사업(E)'!W:W, B128, '임대사업(E)'!U:U, $D$1)
    + COUNTIFS('환경부사업(F)'!C:C, $E$1, '환경부사업(F)'!G:G, B123, '환경부사업(F)'!W:W, B128, '환경부사업(F)'!U:U, $D$1)
    + COUNTIFS('프로젝트(G)'!C:C, $E$1, '프로젝트(G)'!G:G, B123, '프로젝트(G)'!W:W, B128, '프로젝트(G)'!U:U, $D$1)
    + COUNTIFS('협력사 EPC(H)'!C:C, $E$1, '협력사 EPC(H)'!G:G, B123, '협력사 EPC(H)'!W:W, B128, '협력사 EPC(H)'!U:U, $D$1)
    + COUNTIFS('기타(Z)'!C:C, $E$1, '기타(Z)'!G:G, B123, '기타(Z)'!W:W, B128, '기타(Z)'!U:U, $D$1)
  ) = 0,
  "",
  COUNTIFS('발전사업(A)'!C:C, $E$1, '발전사업(A)'!G:G, B123, '발전사업(A)'!W:W, B128, '발전사업(A)'!U:U, $D$1)
  + COUNTIFS('자가소비(B)'!C:C, $E$1, '자가소비(B)'!G:G, B123, '자가소비(B)'!W:W, B128, '자가소비(B)'!U:U, $D$1)
  + COUNTIFS('PPA 사업(C)'!C:C, $E$1, 'PPA 사업(C)'!G:G, B123, 'PPA 사업(C)'!W:W, B128, 'PPA 사업(C)'!U:U, $D$1)
  + COUNTIFS('리스사업(D)'!C:C, $E$1, '리스사업(D)'!G:G, B123, '리스사업(D)'!W:W, B128, '리스사업(D)'!U:U, $D$1)
  + COUNTIFS('임대사업(E)'!C:C, $E$1, '임대사업(E)'!G:G, B123, '임대사업(E)'!W:W, B128, '임대사업(E)'!U:U, $D$1)
  + COUNTIFS('환경부사업(F)'!C:C, $E$1, '환경부사업(F)'!G:G, B123, '환경부사업(F)'!W:W, B128, '환경부사업(F)'!U:U, $D$1)
  + COUNTIFS('프로젝트(G)'!C:C, $E$1, '프로젝트(G)'!G:G, B123, '프로젝트(G)'!W:W, B128, '프로젝트(G)'!U:U, $D$1)
  + COUNTIFS('협력사 EPC(H)'!C:C, $E$1, '협력사 EPC(H)'!G:G, B123, '협력사 EPC(H)'!W:W, B128, '협력사 EPC(H)'!U:U, $D$1)
  + COUNTIFS('기타(Z)'!C:C, $E$1, '기타(Z)'!G:G, B123, '기타(Z)'!W:W, B128, '기타(Z)'!U:U, $D$1)
)</f>
        <v/>
      </c>
    </row>
    <row r="129" spans="2:8" x14ac:dyDescent="0.25">
      <c r="B129" s="202" t="s">
        <v>263</v>
      </c>
      <c r="C129" s="280" t="str">
        <f>IF(
  SUM(
    SUMIFS('발전사업(A)'!I:I, '발전사업(A)'!C:C, $E$1, '발전사업(A)'!G:G, B123, '발전사업(A)'!W:W, B129),
    SUMIFS('자가소비(B)'!I:I, '자가소비(B)'!C:C, $E$1, '자가소비(B)'!G:G, B123, '자가소비(B)'!W:W, B129),
    SUMIFS('PPA 사업(C)'!I:I, 'PPA 사업(C)'!C:C, $E$1, 'PPA 사업(C)'!G:G, B123, 'PPA 사업(C)'!W:W, B129),
    SUMIFS('리스사업(D)'!I:I, '리스사업(D)'!C:C, $E$1, '리스사업(D)'!G:G, B123, '리스사업(D)'!W:W, B129),
    SUMIFS('임대사업(E)'!I:I, '임대사업(E)'!C:C, $E$1, '임대사업(E)'!G:G, B123, '임대사업(E)'!W:W, B129),
    SUMIFS('환경부사업(F)'!I:I, '환경부사업(F)'!C:C, $E$1, '환경부사업(F)'!G:G, B123, '환경부사업(F)'!W:W, B129),
    SUMIFS('프로젝트(G)'!I:I, '프로젝트(G)'!C:C, $E$1, '프로젝트(G)'!G:G, B123, '프로젝트(G)'!W:W, B129),
    SUMIFS('협력사 EPC(H)'!I:I, '협력사 EPC(H)'!C:C, $E$1, '협력사 EPC(H)'!G:G, B123, '협력사 EPC(H)'!W:W, B129),
    SUMIFS('기타(Z)'!I:I, '기타(Z)'!C:C, $E$1, '기타(Z)'!G:G, B123, '기타(Z)'!W:W, B129)
  ) = 0,
  "",
  SUMIFS('발전사업(A)'!I:I, '발전사업(A)'!C:C, $E$1, '발전사업(A)'!G:G, B123, '발전사업(A)'!W:W, B129)
  + SUMIFS('자가소비(B)'!I:I, '자가소비(B)'!C:C, $E$1, '자가소비(B)'!G:G, B123, '자가소비(B)'!W:W, B129)
  + SUMIFS('PPA 사업(C)'!I:I, 'PPA 사업(C)'!C:C, $E$1, 'PPA 사업(C)'!G:G, B123, 'PPA 사업(C)'!W:W, B129)
  + SUMIFS('리스사업(D)'!I:I, '리스사업(D)'!C:C, $E$1, '리스사업(D)'!G:G, B123, '리스사업(D)'!W:W, B129)
  + SUMIFS('임대사업(E)'!I:I, '임대사업(E)'!C:C, $E$1, '임대사업(E)'!G:G, B123, '임대사업(E)'!W:W, B129)
  + SUMIFS('환경부사업(F)'!I:I, '환경부사업(F)'!C:C, $E$1, '환경부사업(F)'!G:G, B123, '환경부사업(F)'!W:W, B129)
  + SUMIFS('프로젝트(G)'!I:I, '프로젝트(G)'!C:C, $E$1, '프로젝트(G)'!G:G, B123, '프로젝트(G)'!W:W, B129)
  + SUMIFS('협력사 EPC(H)'!I:I, '협력사 EPC(H)'!C:C, $E$1, '협력사 EPC(H)'!G:G, B123, '협력사 EPC(H)'!W:W, B129)
  + SUMIFS('기타(Z)'!I:I, '기타(Z)'!C:C, $E$1, '기타(Z)'!G:G, B123, '기타(Z)'!W:W, B129)
)</f>
        <v/>
      </c>
      <c r="D129" s="281" t="str">
        <f>IF(
  COUNTIFS('발전사업(A)'!C:C, $E$1, '발전사업(A)'!G:G, B123, '발전사업(A)'!W:W, B129)
  + COUNTIFS('자가소비(B)'!C:C, $E$1, '자가소비(B)'!G:G, B123, '자가소비(B)'!W:W, B129)
  + COUNTIFS('PPA 사업(C)'!C:C, $E$1, 'PPA 사업(C)'!G:G, B123, 'PPA 사업(C)'!W:W, B129)
  + COUNTIFS('리스사업(D)'!C:C, $E$1, '리스사업(D)'!G:G, B123, '리스사업(D)'!W:W, B129)
  + COUNTIFS('임대사업(E)'!C:C, $E$1, '임대사업(E)'!G:G, B123, '임대사업(E)'!W:W, B129)
  + COUNTIFS('환경부사업(F)'!C:C, $E$1, '환경부사업(F)'!G:G, B123, '환경부사업(F)'!W:W, B129)
  + COUNTIFS('프로젝트(G)'!C:C, $E$1, '프로젝트(G)'!G:G, B123, '프로젝트(G)'!W:W, B129)
  + COUNTIFS('협력사 EPC(H)'!C:C, $E$1, '협력사 EPC(H)'!G:G, B123, '협력사 EPC(H)'!W:W, B129)
  + COUNTIFS('기타(Z)'!C:C, $E$1, '기타(Z)'!G:G, B123, '기타(Z)'!W:W, B129)
  = 0,
  "",
  COUNTIFS('발전사업(A)'!C:C, $E$1, '발전사업(A)'!G:G, B123, '발전사업(A)'!W:W, B129)
  + COUNTIFS('자가소비(B)'!C:C, $E$1, '자가소비(B)'!G:G, B123, '자가소비(B)'!W:W, B129)
  + COUNTIFS('PPA 사업(C)'!C:C, $E$1, 'PPA 사업(C)'!G:G, B123, 'PPA 사업(C)'!W:W, B129)
  + COUNTIFS('리스사업(D)'!C:C, $E$1, '리스사업(D)'!G:G, B123, '리스사업(D)'!W:W, B129)
  + COUNTIFS('임대사업(E)'!C:C, $E$1, '임대사업(E)'!G:G, B123, '임대사업(E)'!W:W, B129)
  + COUNTIFS('환경부사업(F)'!C:C, $E$1, '환경부사업(F)'!G:G, B123, '환경부사업(F)'!W:W, B129)
  + COUNTIFS('프로젝트(G)'!C:C, $E$1, '프로젝트(G)'!G:G, B123, '프로젝트(G)'!W:W, B129)
  + COUNTIFS('협력사 EPC(H)'!C:C, $E$1, '협력사 EPC(H)'!G:G, B123, '협력사 EPC(H)'!W:W, B129)
  + COUNTIFS('기타(Z)'!C:C, $E$1, '기타(Z)'!G:G, B123, '기타(Z)'!W:W, B129)
)</f>
        <v/>
      </c>
      <c r="E129" s="280" t="str">
        <f>IF(
  SUM(
    SUMIFS('발전사업(A)'!I:I, '발전사업(A)'!C:C, $E$1, '발전사업(A)'!G:G, B123, '발전사업(A)'!W:W, B129, '발전사업(A)'!U:U, $C$1),
    SUMIFS('자가소비(B)'!I:I, '자가소비(B)'!C:C, $E$1, '자가소비(B)'!G:G, B123, '자가소비(B)'!W:W, B129, '자가소비(B)'!U:U, $C$1),
    SUMIFS('PPA 사업(C)'!I:I, 'PPA 사업(C)'!C:C, $E$1, 'PPA 사업(C)'!G:G, B123, 'PPA 사업(C)'!W:W, B129, 'PPA 사업(C)'!U:U, $C$1),
    SUMIFS('리스사업(D)'!I:I, '리스사업(D)'!C:C, $E$1, '리스사업(D)'!G:G, B123, '리스사업(D)'!W:W, B129, '리스사업(D)'!U:U, $C$1),
    SUMIFS('임대사업(E)'!I:I, '임대사업(E)'!C:C, $E$1, '임대사업(E)'!G:G, B123, '임대사업(E)'!W:W, B129, '임대사업(E)'!U:U, $C$1),
    SUMIFS('환경부사업(F)'!I:I, '환경부사업(F)'!C:C, $E$1, '환경부사업(F)'!G:G, B123, '환경부사업(F)'!W:W, B129, '환경부사업(F)'!U:U, $C$1),
    SUMIFS('프로젝트(G)'!I:I, '프로젝트(G)'!C:C, $E$1, '프로젝트(G)'!G:G, B123, '프로젝트(G)'!W:W, B129, '프로젝트(G)'!U:U, $C$1),
    SUMIFS('협력사 EPC(H)'!I:I, '협력사 EPC(H)'!C:C, $E$1, '협력사 EPC(H)'!G:G, B123, '협력사 EPC(H)'!W:W, B129, '협력사 EPC(H)'!U:U, $C$1),
    SUMIFS('기타(Z)'!I:I, '기타(Z)'!C:C, $E$1, '기타(Z)'!G:G, B123, '기타(Z)'!W:W, B129, '기타(Z)'!U:U, $C$1)
  ) = 0,
  "",
  SUM(
    SUMIFS('발전사업(A)'!I:I, '발전사업(A)'!C:C, $E$1, '발전사업(A)'!G:G, B123, '발전사업(A)'!W:W, B129, '발전사업(A)'!U:U, $C$1),
    SUMIFS('자가소비(B)'!I:I, '자가소비(B)'!C:C, $E$1, '자가소비(B)'!G:G, B123, '자가소비(B)'!W:W, B129, '자가소비(B)'!U:U, $C$1),
    SUMIFS('PPA 사업(C)'!I:I, 'PPA 사업(C)'!C:C, $E$1, 'PPA 사업(C)'!G:G, B123, 'PPA 사업(C)'!W:W, B129, 'PPA 사업(C)'!U:U, $C$1),
    SUMIFS('리스사업(D)'!I:I, '리스사업(D)'!C:C, $E$1, '리스사업(D)'!G:G, B123, '리스사업(D)'!W:W, B129, '리스사업(D)'!U:U, $C$1),
    SUMIFS('임대사업(E)'!I:I, '임대사업(E)'!C:C, $E$1, '임대사업(E)'!G:G, B123, '임대사업(E)'!W:W, B129, '임대사업(E)'!U:U, $C$1),
    SUMIFS('환경부사업(F)'!I:I, '환경부사업(F)'!C:C, $E$1, '환경부사업(F)'!G:G, B123, '환경부사업(F)'!W:W, B129, '환경부사업(F)'!U:U, $C$1),
    SUMIFS('프로젝트(G)'!I:I, '프로젝트(G)'!C:C, $E$1, '프로젝트(G)'!G:G, B123, '프로젝트(G)'!W:W, B129, '프로젝트(G)'!U:U, $C$1),
    SUMIFS('협력사 EPC(H)'!I:I, '협력사 EPC(H)'!C:C, $E$1, '협력사 EPC(H)'!G:G, B123, '협력사 EPC(H)'!W:W, B129, '협력사 EPC(H)'!U:U, $C$1),
    SUMIFS('기타(Z)'!I:I, '기타(Z)'!C:C, $E$1, '기타(Z)'!G:G, B123, '기타(Z)'!W:W, B129, '기타(Z)'!U:U, $C$1)
  )
)</f>
        <v/>
      </c>
      <c r="F129" s="281" t="str">
        <f>IF(
  SUM(
    COUNTIFS('발전사업(A)'!C:C, $E$1, '발전사업(A)'!G:G, B123, '발전사업(A)'!W:W, B129, '발전사업(A)'!U:U, $C$1),
    COUNTIFS('자가소비(B)'!C:C, $E$1, '자가소비(B)'!G:G, B123, '자가소비(B)'!W:W, B129, '자가소비(B)'!U:U, $C$1),
    COUNTIFS('PPA 사업(C)'!C:C, $E$1, 'PPA 사업(C)'!G:G, B123, 'PPA 사업(C)'!W:W, B129, 'PPA 사업(C)'!U:U, $C$1),
    COUNTIFS('리스사업(D)'!C:C, $E$1, '리스사업(D)'!G:G, B123, '리스사업(D)'!W:W, B129, '리스사업(D)'!U:U, $C$1),
    COUNTIFS('임대사업(E)'!C:C, $E$1, '임대사업(E)'!G:G, B123, '임대사업(E)'!W:W, B129, '임대사업(E)'!U:U, $C$1),
    COUNTIFS('환경부사업(F)'!C:C, $E$1, '환경부사업(F)'!G:G, B123, '환경부사업(F)'!W:W, B129, '환경부사업(F)'!U:U, $C$1),
    COUNTIFS('프로젝트(G)'!C:C, $E$1, '프로젝트(G)'!G:G, B123, '프로젝트(G)'!W:W, B129, '프로젝트(G)'!U:U, $C$1),
    COUNTIFS('협력사 EPC(H)'!C:C, $E$1, '협력사 EPC(H)'!G:G, B123, '협력사 EPC(H)'!W:W, B129, '협력사 EPC(H)'!U:U, $C$1),
    COUNTIFS('기타(Z)'!C:C, $E$1, '기타(Z)'!G:G, B123, '기타(Z)'!W:W, B129, '기타(Z)'!U:U, $C$1)
  ) = 0,
  "",
  SUM(
    COUNTIFS('발전사업(A)'!C:C, $E$1, '발전사업(A)'!G:G, B123, '발전사업(A)'!W:W, B129, '발전사업(A)'!U:U, $C$1),
    COUNTIFS('자가소비(B)'!C:C, $E$1, '자가소비(B)'!G:G, B123, '자가소비(B)'!W:W, B129, '자가소비(B)'!U:U, $C$1),
    COUNTIFS('PPA 사업(C)'!C:C, $E$1, 'PPA 사업(C)'!G:G, B123, 'PPA 사업(C)'!W:W, B129, 'PPA 사업(C)'!U:U, $C$1),
    COUNTIFS('리스사업(D)'!C:C, $E$1, '리스사업(D)'!G:G, B123, '리스사업(D)'!W:W, B129, '리스사업(D)'!U:U, $C$1),
    COUNTIFS('임대사업(E)'!C:C, $E$1, '임대사업(E)'!G:G, B123, '임대사업(E)'!W:W, B129, '임대사업(E)'!U:U, $C$1),
    COUNTIFS('환경부사업(F)'!C:C, $E$1, '환경부사업(F)'!G:G, B123, '환경부사업(F)'!W:W, B129, '환경부사업(F)'!U:U, $C$1),
    COUNTIFS('프로젝트(G)'!C:C, $E$1, '프로젝트(G)'!G:G, B123, '프로젝트(G)'!W:W, B129, '프로젝트(G)'!U:U, $C$1),
    COUNTIFS('협력사 EPC(H)'!C:C, $E$1, '협력사 EPC(H)'!G:G, B123, '협력사 EPC(H)'!W:W, B129, '협력사 EPC(H)'!U:U, $C$1),
    COUNTIFS('기타(Z)'!C:C, $E$1, '기타(Z)'!G:G, B123, '기타(Z)'!W:W, B129, '기타(Z)'!U:U, $C$1)
  )
)</f>
        <v/>
      </c>
      <c r="G129" s="280" t="str">
        <f>IF(
  SUM(
    SUMIFS('발전사업(A)'!I:I, '발전사업(A)'!C:C, $E$1, '발전사업(A)'!G:G, B123, '발전사업(A)'!W:W, B129, '발전사업(A)'!U:U, $D$1),
    SUMIFS('자가소비(B)'!I:I, '자가소비(B)'!C:C, $E$1, '자가소비(B)'!G:G, B123, '자가소비(B)'!W:W, B129, '자가소비(B)'!U:U, $D$1),
    SUMIFS('PPA 사업(C)'!I:I, 'PPA 사업(C)'!C:C, $E$1, 'PPA 사업(C)'!G:G, B123, 'PPA 사업(C)'!W:W, B129, 'PPA 사업(C)'!U:U, $D$1),
    SUMIFS('리스사업(D)'!I:I, '리스사업(D)'!C:C, $E$1, '리스사업(D)'!G:G, B123, '리스사업(D)'!W:W, B129, '리스사업(D)'!U:U, $D$1),
    SUMIFS('임대사업(E)'!I:I, '임대사업(E)'!C:C, $E$1, '임대사업(E)'!G:G, B123, '임대사업(E)'!W:W, B129, '임대사업(E)'!U:U, $D$1),
    SUMIFS('환경부사업(F)'!I:I, '환경부사업(F)'!C:C, $E$1, '환경부사업(F)'!G:G, B123, '환경부사업(F)'!W:W, B129, '환경부사업(F)'!U:U, $D$1),
    SUMIFS('프로젝트(G)'!I:I, '프로젝트(G)'!C:C, $E$1, '프로젝트(G)'!G:G, B123, '프로젝트(G)'!W:W, B129, '프로젝트(G)'!U:U, $D$1),
    SUMIFS('협력사 EPC(H)'!I:I, '협력사 EPC(H)'!C:C, $E$1, '협력사 EPC(H)'!G:G, B123, '협력사 EPC(H)'!W:W, B129, '협력사 EPC(H)'!U:U, $D$1),
    SUMIFS('기타(Z)'!I:I, '기타(Z)'!C:C, $E$1, '기타(Z)'!G:G, B123, '기타(Z)'!W:W, B129, '기타(Z)'!U:U, $D$1)
  ) = 0,
  "",
  SUM(
    SUMIFS('발전사업(A)'!I:I, '발전사업(A)'!C:C, $E$1, '발전사업(A)'!G:G, B123, '발전사업(A)'!W:W, B129, '발전사업(A)'!U:U, $D$1),
    SUMIFS('자가소비(B)'!I:I, '자가소비(B)'!C:C, $E$1, '자가소비(B)'!G:G, B123, '자가소비(B)'!W:W, B129, '자가소비(B)'!U:U, $D$1),
    SUMIFS('PPA 사업(C)'!I:I, 'PPA 사업(C)'!C:C, $E$1, 'PPA 사업(C)'!G:G, B123, 'PPA 사업(C)'!W:W, B129, 'PPA 사업(C)'!U:U, $D$1),
    SUMIFS('리스사업(D)'!I:I, '리스사업(D)'!C:C, $E$1, '리스사업(D)'!G:G, B123, '리스사업(D)'!W:W, B129, '리스사업(D)'!U:U, $D$1),
    SUMIFS('임대사업(E)'!I:I, '임대사업(E)'!C:C, $E$1, '임대사업(E)'!G:G, B123, '임대사업(E)'!W:W, B129, '임대사업(E)'!U:U, $D$1),
    SUMIFS('환경부사업(F)'!I:I, '환경부사업(F)'!C:C, $E$1, '환경부사업(F)'!G:G, B123, '환경부사업(F)'!W:W, B129, '환경부사업(F)'!U:U, $D$1),
    SUMIFS('프로젝트(G)'!I:I, '프로젝트(G)'!C:C, $E$1, '프로젝트(G)'!G:G, B123, '프로젝트(G)'!W:W, B129, '프로젝트(G)'!U:U, $D$1),
    SUMIFS('협력사 EPC(H)'!I:I, '협력사 EPC(H)'!C:C, $E$1, '협력사 EPC(H)'!G:G, B123, '협력사 EPC(H)'!W:W, B129, '협력사 EPC(H)'!U:U, $D$1),
    SUMIFS('기타(Z)'!I:I, '기타(Z)'!C:C, $E$1, '기타(Z)'!G:G, B123, '기타(Z)'!W:W, B129, '기타(Z)'!U:U, $D$1)
  )
)</f>
        <v/>
      </c>
      <c r="H129" s="281" t="str">
        <f>IF(
  (
    COUNTIFS('발전사업(A)'!C:C, $E$1, '발전사업(A)'!G:G, B123, '발전사업(A)'!W:W, B129, '발전사업(A)'!U:U, $D$1)
    + COUNTIFS('자가소비(B)'!C:C, $E$1, '자가소비(B)'!G:G, B123, '자가소비(B)'!W:W, B129, '자가소비(B)'!U:U, $D$1)
    + COUNTIFS('PPA 사업(C)'!C:C, $E$1, 'PPA 사업(C)'!G:G, B123, 'PPA 사업(C)'!W:W, B129, 'PPA 사업(C)'!U:U, $D$1)
    + COUNTIFS('리스사업(D)'!C:C, $E$1, '리스사업(D)'!G:G, B123, '리스사업(D)'!W:W, B129, '리스사업(D)'!U:U, $D$1)
    + COUNTIFS('임대사업(E)'!C:C, $E$1, '임대사업(E)'!G:G, B123, '임대사업(E)'!W:W, B129, '임대사업(E)'!U:U, $D$1)
    + COUNTIFS('환경부사업(F)'!C:C, $E$1, '환경부사업(F)'!G:G, B123, '환경부사업(F)'!W:W, B129, '환경부사업(F)'!U:U, $D$1)
    + COUNTIFS('프로젝트(G)'!C:C, $E$1, '프로젝트(G)'!G:G, B123, '프로젝트(G)'!W:W, B129, '프로젝트(G)'!U:U, $D$1)
    + COUNTIFS('협력사 EPC(H)'!C:C, $E$1, '협력사 EPC(H)'!G:G, B123, '협력사 EPC(H)'!W:W, B129, '협력사 EPC(H)'!U:U, $D$1)
    + COUNTIFS('기타(Z)'!C:C, $E$1, '기타(Z)'!G:G, B123, '기타(Z)'!W:W, B129, '기타(Z)'!U:U, $D$1)
  ) = 0,
  "",
  COUNTIFS('발전사업(A)'!C:C, $E$1, '발전사업(A)'!G:G, B123, '발전사업(A)'!W:W, B129, '발전사업(A)'!U:U, $D$1)
  + COUNTIFS('자가소비(B)'!C:C, $E$1, '자가소비(B)'!G:G, B123, '자가소비(B)'!W:W, B129, '자가소비(B)'!U:U, $D$1)
  + COUNTIFS('PPA 사업(C)'!C:C, $E$1, 'PPA 사업(C)'!G:G, B123, 'PPA 사업(C)'!W:W, B129, 'PPA 사업(C)'!U:U, $D$1)
  + COUNTIFS('리스사업(D)'!C:C, $E$1, '리스사업(D)'!G:G, B123, '리스사업(D)'!W:W, B129, '리스사업(D)'!U:U, $D$1)
  + COUNTIFS('임대사업(E)'!C:C, $E$1, '임대사업(E)'!G:G, B123, '임대사업(E)'!W:W, B129, '임대사업(E)'!U:U, $D$1)
  + COUNTIFS('환경부사업(F)'!C:C, $E$1, '환경부사업(F)'!G:G, B123, '환경부사업(F)'!W:W, B129, '환경부사업(F)'!U:U, $D$1)
  + COUNTIFS('프로젝트(G)'!C:C, $E$1, '프로젝트(G)'!G:G, B123, '프로젝트(G)'!W:W, B129, '프로젝트(G)'!U:U, $D$1)
  + COUNTIFS('협력사 EPC(H)'!C:C, $E$1, '협력사 EPC(H)'!G:G, B123, '협력사 EPC(H)'!W:W, B129, '협력사 EPC(H)'!U:U, $D$1)
  + COUNTIFS('기타(Z)'!C:C, $E$1, '기타(Z)'!G:G, B123, '기타(Z)'!W:W, B129, '기타(Z)'!U:U, $D$1)
)</f>
        <v/>
      </c>
    </row>
    <row r="130" spans="2:8" x14ac:dyDescent="0.25">
      <c r="B130" s="202" t="s">
        <v>264</v>
      </c>
      <c r="C130" s="280" t="str">
        <f>IF(
  SUM(
    SUMIFS('발전사업(A)'!I:I, '발전사업(A)'!C:C, $E$1, '발전사업(A)'!G:G, B123, '발전사업(A)'!W:W, B130),
    SUMIFS('자가소비(B)'!I:I, '자가소비(B)'!C:C, $E$1, '자가소비(B)'!G:G, B123, '자가소비(B)'!W:W, B130),
    SUMIFS('PPA 사업(C)'!I:I, 'PPA 사업(C)'!C:C, $E$1, 'PPA 사업(C)'!G:G, B123, 'PPA 사업(C)'!W:W, B130),
    SUMIFS('리스사업(D)'!I:I, '리스사업(D)'!C:C, $E$1, '리스사업(D)'!G:G, B123, '리스사업(D)'!W:W, B130),
    SUMIFS('임대사업(E)'!I:I, '임대사업(E)'!C:C, $E$1, '임대사업(E)'!G:G, B123, '임대사업(E)'!W:W, B130),
    SUMIFS('환경부사업(F)'!I:I, '환경부사업(F)'!C:C, $E$1, '환경부사업(F)'!G:G, B123, '환경부사업(F)'!W:W, B130),
    SUMIFS('프로젝트(G)'!I:I, '프로젝트(G)'!C:C, $E$1, '프로젝트(G)'!G:G, B123, '프로젝트(G)'!W:W, B130),
    SUMIFS('협력사 EPC(H)'!I:I, '협력사 EPC(H)'!C:C, $E$1, '협력사 EPC(H)'!G:G, B123, '협력사 EPC(H)'!W:W, B130),
    SUMIFS('기타(Z)'!I:I, '기타(Z)'!C:C, $E$1, '기타(Z)'!G:G, B123, '기타(Z)'!W:W, B130)
  ) = 0,
  "",
  SUMIFS('발전사업(A)'!I:I, '발전사업(A)'!C:C, $E$1, '발전사업(A)'!G:G, B123, '발전사업(A)'!W:W, B130)
  + SUMIFS('자가소비(B)'!I:I, '자가소비(B)'!C:C, $E$1, '자가소비(B)'!G:G, B123, '자가소비(B)'!W:W, B130)
  + SUMIFS('PPA 사업(C)'!I:I, 'PPA 사업(C)'!C:C, $E$1, 'PPA 사업(C)'!G:G, B123, 'PPA 사업(C)'!W:W, B130)
  + SUMIFS('리스사업(D)'!I:I, '리스사업(D)'!C:C, $E$1, '리스사업(D)'!G:G, B123, '리스사업(D)'!W:W, B130)
  + SUMIFS('임대사업(E)'!I:I, '임대사업(E)'!C:C, $E$1, '임대사업(E)'!G:G, B123, '임대사업(E)'!W:W, B130)
  + SUMIFS('환경부사업(F)'!I:I, '환경부사업(F)'!C:C, $E$1, '환경부사업(F)'!G:G, B123, '환경부사업(F)'!W:W, B130)
  + SUMIFS('프로젝트(G)'!I:I, '프로젝트(G)'!C:C, $E$1, '프로젝트(G)'!G:G, B123, '프로젝트(G)'!W:W, B130)
  + SUMIFS('협력사 EPC(H)'!I:I, '협력사 EPC(H)'!C:C, $E$1, '협력사 EPC(H)'!G:G, B123, '협력사 EPC(H)'!W:W, B130)
  + SUMIFS('기타(Z)'!I:I, '기타(Z)'!C:C, $E$1, '기타(Z)'!G:G, B123, '기타(Z)'!W:W, B130)
)</f>
        <v/>
      </c>
      <c r="D130" s="281" t="str">
        <f>IF(
  COUNTIFS('발전사업(A)'!C:C, $E$1, '발전사업(A)'!G:G, B123, '발전사업(A)'!W:W, B130)
  + COUNTIFS('자가소비(B)'!C:C, $E$1, '자가소비(B)'!G:G, B123, '자가소비(B)'!W:W, B130)
  + COUNTIFS('PPA 사업(C)'!C:C, $E$1, 'PPA 사업(C)'!G:G, B123, 'PPA 사업(C)'!W:W, B130)
  + COUNTIFS('리스사업(D)'!C:C, $E$1, '리스사업(D)'!G:G, B123, '리스사업(D)'!W:W, B130)
  + COUNTIFS('임대사업(E)'!C:C, $E$1, '임대사업(E)'!G:G, B123, '임대사업(E)'!W:W, B130)
  + COUNTIFS('환경부사업(F)'!C:C, $E$1, '환경부사업(F)'!G:G, B123, '환경부사업(F)'!W:W, B130)
  + COUNTIFS('프로젝트(G)'!C:C, $E$1, '프로젝트(G)'!G:G, B123, '프로젝트(G)'!W:W, B130)
  + COUNTIFS('협력사 EPC(H)'!C:C, $E$1, '협력사 EPC(H)'!G:G, B123, '협력사 EPC(H)'!W:W, B130)
  + COUNTIFS('기타(Z)'!C:C, $E$1, '기타(Z)'!G:G, B123, '기타(Z)'!W:W, B130)
  = 0,
  "",
  COUNTIFS('발전사업(A)'!C:C, $E$1, '발전사업(A)'!G:G, B123, '발전사업(A)'!W:W, B130)
  + COUNTIFS('자가소비(B)'!C:C, $E$1, '자가소비(B)'!G:G, B123, '자가소비(B)'!W:W, B130)
  + COUNTIFS('PPA 사업(C)'!C:C, $E$1, 'PPA 사업(C)'!G:G, B123, 'PPA 사업(C)'!W:W, B130)
  + COUNTIFS('리스사업(D)'!C:C, $E$1, '리스사업(D)'!G:G, B123, '리스사업(D)'!W:W, B130)
  + COUNTIFS('임대사업(E)'!C:C, $E$1, '임대사업(E)'!G:G, B123, '임대사업(E)'!W:W, B130)
  + COUNTIFS('환경부사업(F)'!C:C, $E$1, '환경부사업(F)'!G:G, B123, '환경부사업(F)'!W:W, B130)
  + COUNTIFS('프로젝트(G)'!C:C, $E$1, '프로젝트(G)'!G:G, B123, '프로젝트(G)'!W:W, B130)
  + COUNTIFS('협력사 EPC(H)'!C:C, $E$1, '협력사 EPC(H)'!G:G, B123, '협력사 EPC(H)'!W:W, B130)
  + COUNTIFS('기타(Z)'!C:C, $E$1, '기타(Z)'!G:G, B123, '기타(Z)'!W:W, B130)
)</f>
        <v/>
      </c>
      <c r="E130" s="280" t="str">
        <f>IF(
  SUM(
    SUMIFS('발전사업(A)'!I:I, '발전사업(A)'!C:C, $E$1, '발전사업(A)'!G:G, B123, '발전사업(A)'!W:W, B130, '발전사업(A)'!U:U, $C$1),
    SUMIFS('자가소비(B)'!I:I, '자가소비(B)'!C:C, $E$1, '자가소비(B)'!G:G, B123, '자가소비(B)'!W:W, B130, '자가소비(B)'!U:U, $C$1),
    SUMIFS('PPA 사업(C)'!I:I, 'PPA 사업(C)'!C:C, $E$1, 'PPA 사업(C)'!G:G, B123, 'PPA 사업(C)'!W:W, B130, 'PPA 사업(C)'!U:U, $C$1),
    SUMIFS('리스사업(D)'!I:I, '리스사업(D)'!C:C, $E$1, '리스사업(D)'!G:G, B123, '리스사업(D)'!W:W, B130, '리스사업(D)'!U:U, $C$1),
    SUMIFS('임대사업(E)'!I:I, '임대사업(E)'!C:C, $E$1, '임대사업(E)'!G:G, B123, '임대사업(E)'!W:W, B130, '임대사업(E)'!U:U, $C$1),
    SUMIFS('환경부사업(F)'!I:I, '환경부사업(F)'!C:C, $E$1, '환경부사업(F)'!G:G, B123, '환경부사업(F)'!W:W, B130, '환경부사업(F)'!U:U, $C$1),
    SUMIFS('프로젝트(G)'!I:I, '프로젝트(G)'!C:C, $E$1, '프로젝트(G)'!G:G, B123, '프로젝트(G)'!W:W, B130, '프로젝트(G)'!U:U, $C$1),
    SUMIFS('협력사 EPC(H)'!I:I, '협력사 EPC(H)'!C:C, $E$1, '협력사 EPC(H)'!G:G, B123, '협력사 EPC(H)'!W:W, B130, '협력사 EPC(H)'!U:U, $C$1),
    SUMIFS('기타(Z)'!I:I, '기타(Z)'!C:C, $E$1, '기타(Z)'!G:G, B123, '기타(Z)'!W:W, B130, '기타(Z)'!U:U, $C$1)
  ) = 0,
  "",
  SUM(
    SUMIFS('발전사업(A)'!I:I, '발전사업(A)'!C:C, $E$1, '발전사업(A)'!G:G, B123, '발전사업(A)'!W:W, B130, '발전사업(A)'!U:U, $C$1),
    SUMIFS('자가소비(B)'!I:I, '자가소비(B)'!C:C, $E$1, '자가소비(B)'!G:G, B123, '자가소비(B)'!W:W, B130, '자가소비(B)'!U:U, $C$1),
    SUMIFS('PPA 사업(C)'!I:I, 'PPA 사업(C)'!C:C, $E$1, 'PPA 사업(C)'!G:G, B123, 'PPA 사업(C)'!W:W, B130, 'PPA 사업(C)'!U:U, $C$1),
    SUMIFS('리스사업(D)'!I:I, '리스사업(D)'!C:C, $E$1, '리스사업(D)'!G:G, B123, '리스사업(D)'!W:W, B130, '리스사업(D)'!U:U, $C$1),
    SUMIFS('임대사업(E)'!I:I, '임대사업(E)'!C:C, $E$1, '임대사업(E)'!G:G, B123, '임대사업(E)'!W:W, B130, '임대사업(E)'!U:U, $C$1),
    SUMIFS('환경부사업(F)'!I:I, '환경부사업(F)'!C:C, $E$1, '환경부사업(F)'!G:G, B123, '환경부사업(F)'!W:W, B130, '환경부사업(F)'!U:U, $C$1),
    SUMIFS('프로젝트(G)'!I:I, '프로젝트(G)'!C:C, $E$1, '프로젝트(G)'!G:G, B123, '프로젝트(G)'!W:W, B130, '프로젝트(G)'!U:U, $C$1),
    SUMIFS('협력사 EPC(H)'!I:I, '협력사 EPC(H)'!C:C, $E$1, '협력사 EPC(H)'!G:G, B123, '협력사 EPC(H)'!W:W, B130, '협력사 EPC(H)'!U:U, $C$1),
    SUMIFS('기타(Z)'!I:I, '기타(Z)'!C:C, $E$1, '기타(Z)'!G:G, B123, '기타(Z)'!W:W, B130, '기타(Z)'!U:U, $C$1)
  )
)</f>
        <v/>
      </c>
      <c r="F130" s="281" t="str">
        <f>IF(
  SUM(
    COUNTIFS('발전사업(A)'!C:C, $E$1, '발전사업(A)'!G:G, B123, '발전사업(A)'!W:W, B130, '발전사업(A)'!U:U, $C$1),
    COUNTIFS('자가소비(B)'!C:C, $E$1, '자가소비(B)'!G:G, B123, '자가소비(B)'!W:W, B130, '자가소비(B)'!U:U, $C$1),
    COUNTIFS('PPA 사업(C)'!C:C, $E$1, 'PPA 사업(C)'!G:G, B123, 'PPA 사업(C)'!W:W, B130, 'PPA 사업(C)'!U:U, $C$1),
    COUNTIFS('리스사업(D)'!C:C, $E$1, '리스사업(D)'!G:G, B123, '리스사업(D)'!W:W, B130, '리스사업(D)'!U:U, $C$1),
    COUNTIFS('임대사업(E)'!C:C, $E$1, '임대사업(E)'!G:G, B123, '임대사업(E)'!W:W, B130, '임대사업(E)'!U:U, $C$1),
    COUNTIFS('환경부사업(F)'!C:C, $E$1, '환경부사업(F)'!G:G, B123, '환경부사업(F)'!W:W, B130, '환경부사업(F)'!U:U, $C$1),
    COUNTIFS('프로젝트(G)'!C:C, $E$1, '프로젝트(G)'!G:G, B123, '프로젝트(G)'!W:W, B130, '프로젝트(G)'!U:U, $C$1),
    COUNTIFS('협력사 EPC(H)'!C:C, $E$1, '협력사 EPC(H)'!G:G, B123, '협력사 EPC(H)'!W:W, B130, '협력사 EPC(H)'!U:U, $C$1),
    COUNTIFS('기타(Z)'!C:C, $E$1, '기타(Z)'!G:G, B123, '기타(Z)'!W:W, B130, '기타(Z)'!U:U, $C$1)
  ) = 0,
  "",
  SUM(
    COUNTIFS('발전사업(A)'!C:C, $E$1, '발전사업(A)'!G:G, B123, '발전사업(A)'!W:W, B130, '발전사업(A)'!U:U, $C$1),
    COUNTIFS('자가소비(B)'!C:C, $E$1, '자가소비(B)'!G:G, B123, '자가소비(B)'!W:W, B130, '자가소비(B)'!U:U, $C$1),
    COUNTIFS('PPA 사업(C)'!C:C, $E$1, 'PPA 사업(C)'!G:G, B123, 'PPA 사업(C)'!W:W, B130, 'PPA 사업(C)'!U:U, $C$1),
    COUNTIFS('리스사업(D)'!C:C, $E$1, '리스사업(D)'!G:G, B123, '리스사업(D)'!W:W, B130, '리스사업(D)'!U:U, $C$1),
    COUNTIFS('임대사업(E)'!C:C, $E$1, '임대사업(E)'!G:G, B123, '임대사업(E)'!W:W, B130, '임대사업(E)'!U:U, $C$1),
    COUNTIFS('환경부사업(F)'!C:C, $E$1, '환경부사업(F)'!G:G, B123, '환경부사업(F)'!W:W, B130, '환경부사업(F)'!U:U, $C$1),
    COUNTIFS('프로젝트(G)'!C:C, $E$1, '프로젝트(G)'!G:G, B123, '프로젝트(G)'!W:W, B130, '프로젝트(G)'!U:U, $C$1),
    COUNTIFS('협력사 EPC(H)'!C:C, $E$1, '협력사 EPC(H)'!G:G, B123, '협력사 EPC(H)'!W:W, B130, '협력사 EPC(H)'!U:U, $C$1),
    COUNTIFS('기타(Z)'!C:C, $E$1, '기타(Z)'!G:G, B123, '기타(Z)'!W:W, B130, '기타(Z)'!U:U, $C$1)
  )
)</f>
        <v/>
      </c>
      <c r="G130" s="280" t="str">
        <f>IF(
  SUM(
    SUMIFS('발전사업(A)'!I:I, '발전사업(A)'!C:C, $E$1, '발전사업(A)'!G:G, B123, '발전사업(A)'!W:W, B130, '발전사업(A)'!U:U, $D$1),
    SUMIFS('자가소비(B)'!I:I, '자가소비(B)'!C:C, $E$1, '자가소비(B)'!G:G, B123, '자가소비(B)'!W:W, B130, '자가소비(B)'!U:U, $D$1),
    SUMIFS('PPA 사업(C)'!I:I, 'PPA 사업(C)'!C:C, $E$1, 'PPA 사업(C)'!G:G, B123, 'PPA 사업(C)'!W:W, B130, 'PPA 사업(C)'!U:U, $D$1),
    SUMIFS('리스사업(D)'!I:I, '리스사업(D)'!C:C, $E$1, '리스사업(D)'!G:G, B123, '리스사업(D)'!W:W, B130, '리스사업(D)'!U:U, $D$1),
    SUMIFS('임대사업(E)'!I:I, '임대사업(E)'!C:C, $E$1, '임대사업(E)'!G:G, B123, '임대사업(E)'!W:W, B130, '임대사업(E)'!U:U, $D$1),
    SUMIFS('환경부사업(F)'!I:I, '환경부사업(F)'!C:C, $E$1, '환경부사업(F)'!G:G, B123, '환경부사업(F)'!W:W, B130, '환경부사업(F)'!U:U, $D$1),
    SUMIFS('프로젝트(G)'!I:I, '프로젝트(G)'!C:C, $E$1, '프로젝트(G)'!G:G, B123, '프로젝트(G)'!W:W, B130, '프로젝트(G)'!U:U, $D$1),
    SUMIFS('협력사 EPC(H)'!I:I, '협력사 EPC(H)'!C:C, $E$1, '협력사 EPC(H)'!G:G, B123, '협력사 EPC(H)'!W:W, B130, '협력사 EPC(H)'!U:U, $D$1),
    SUMIFS('기타(Z)'!I:I, '기타(Z)'!C:C, $E$1, '기타(Z)'!G:G, B123, '기타(Z)'!W:W, B130, '기타(Z)'!U:U, $D$1)
  ) = 0,
  "",
  SUM(
    SUMIFS('발전사업(A)'!I:I, '발전사업(A)'!C:C, $E$1, '발전사업(A)'!G:G, B123, '발전사업(A)'!W:W, B130, '발전사업(A)'!U:U, $D$1),
    SUMIFS('자가소비(B)'!I:I, '자가소비(B)'!C:C, $E$1, '자가소비(B)'!G:G, B123, '자가소비(B)'!W:W, B130, '자가소비(B)'!U:U, $D$1),
    SUMIFS('PPA 사업(C)'!I:I, 'PPA 사업(C)'!C:C, $E$1, 'PPA 사업(C)'!G:G, B123, 'PPA 사업(C)'!W:W, B130, 'PPA 사업(C)'!U:U, $D$1),
    SUMIFS('리스사업(D)'!I:I, '리스사업(D)'!C:C, $E$1, '리스사업(D)'!G:G, B123, '리스사업(D)'!W:W, B130, '리스사업(D)'!U:U, $D$1),
    SUMIFS('임대사업(E)'!I:I, '임대사업(E)'!C:C, $E$1, '임대사업(E)'!G:G, B123, '임대사업(E)'!W:W, B130, '임대사업(E)'!U:U, $D$1),
    SUMIFS('환경부사업(F)'!I:I, '환경부사업(F)'!C:C, $E$1, '환경부사업(F)'!G:G, B123, '환경부사업(F)'!W:W, B130, '환경부사업(F)'!U:U, $D$1),
    SUMIFS('프로젝트(G)'!I:I, '프로젝트(G)'!C:C, $E$1, '프로젝트(G)'!G:G, B123, '프로젝트(G)'!W:W, B130, '프로젝트(G)'!U:U, $D$1),
    SUMIFS('협력사 EPC(H)'!I:I, '협력사 EPC(H)'!C:C, $E$1, '협력사 EPC(H)'!G:G, B123, '협력사 EPC(H)'!W:W, B130, '협력사 EPC(H)'!U:U, $D$1),
    SUMIFS('기타(Z)'!I:I, '기타(Z)'!C:C, $E$1, '기타(Z)'!G:G, B123, '기타(Z)'!W:W, B130, '기타(Z)'!U:U, $D$1)
  )
)</f>
        <v/>
      </c>
      <c r="H130" s="281" t="str">
        <f>IF(
  (
    COUNTIFS('발전사업(A)'!C:C, $E$1, '발전사업(A)'!G:G, B123, '발전사업(A)'!W:W, B130, '발전사업(A)'!U:U, $D$1)
    + COUNTIFS('자가소비(B)'!C:C, $E$1, '자가소비(B)'!G:G, B123, '자가소비(B)'!W:W, B130, '자가소비(B)'!U:U, $D$1)
    + COUNTIFS('PPA 사업(C)'!C:C, $E$1, 'PPA 사업(C)'!G:G, B123, 'PPA 사업(C)'!W:W, B130, 'PPA 사업(C)'!U:U, $D$1)
    + COUNTIFS('리스사업(D)'!C:C, $E$1, '리스사업(D)'!G:G, B123, '리스사업(D)'!W:W, B130, '리스사업(D)'!U:U, $D$1)
    + COUNTIFS('임대사업(E)'!C:C, $E$1, '임대사업(E)'!G:G, B123, '임대사업(E)'!W:W, B130, '임대사업(E)'!U:U, $D$1)
    + COUNTIFS('환경부사업(F)'!C:C, $E$1, '환경부사업(F)'!G:G, B123, '환경부사업(F)'!W:W, B130, '환경부사업(F)'!U:U, $D$1)
    + COUNTIFS('프로젝트(G)'!C:C, $E$1, '프로젝트(G)'!G:G, B123, '프로젝트(G)'!W:W, B130, '프로젝트(G)'!U:U, $D$1)
    + COUNTIFS('협력사 EPC(H)'!C:C, $E$1, '협력사 EPC(H)'!G:G, B123, '협력사 EPC(H)'!W:W, B130, '협력사 EPC(H)'!U:U, $D$1)
    + COUNTIFS('기타(Z)'!C:C, $E$1, '기타(Z)'!G:G, $B123, '기타(Z)'!W:W, B130, '기타(Z)'!U:U, $D$1)
  ) = 0,
  "",
  COUNTIFS('발전사업(A)'!C:C, $E$1, '발전사업(A)'!G:G, B123, '발전사업(A)'!W:W, B130, '발전사업(A)'!U:U, $D$1)
  + COUNTIFS('자가소비(B)'!C:C, $E$1, '자가소비(B)'!G:G, B123, '자가소비(B)'!W:W, B130, '자가소비(B)'!U:U, $D$1)
  + COUNTIFS('PPA 사업(C)'!C:C, $E$1, 'PPA 사업(C)'!G:G, B123, 'PPA 사업(C)'!W:W, B130, 'PPA 사업(C)'!U:U, $D$1)
  + COUNTIFS('리스사업(D)'!C:C, $E$1, '리스사업(D)'!G:G, B123, '리스사업(D)'!W:W, B130, '리스사업(D)'!U:U, $D$1)
  + COUNTIFS('임대사업(E)'!C:C, $E$1, '임대사업(E)'!G:G, B123, '임대사업(E)'!W:W, B130, '임대사업(E)'!U:U, $D$1)
  + COUNTIFS('환경부사업(F)'!C:C, $E$1, '환경부사업(F)'!G:G, B123, '환경부사업(F)'!W:W, B130, '환경부사업(F)'!U:U, $D$1)
  + COUNTIFS('프로젝트(G)'!C:C, $E$1, '프로젝트(G)'!G:G, B123, '프로젝트(G)'!W:W, B130, '프로젝트(G)'!U:U, $D$1)
  + COUNTIFS('협력사 EPC(H)'!C:C, $E$1, '협력사 EPC(H)'!G:G, B123, '협력사 EPC(H)'!W:W, B130, '협력사 EPC(H)'!U:U, $D$1)
  + COUNTIFS('기타(Z)'!C:C, $E$1, '기타(Z)'!G:G, B123, '기타(Z)'!W:W, B130, '기타(Z)'!U:U, $D$1)
)</f>
        <v/>
      </c>
    </row>
    <row r="131" spans="2:8" x14ac:dyDescent="0.25">
      <c r="B131" s="202" t="s">
        <v>265</v>
      </c>
      <c r="C131" s="280">
        <f>IF(
  SUM(
    SUMIFS('발전사업(A)'!I:I, '발전사업(A)'!C:C, $E$1, '발전사업(A)'!G:G, B123, '발전사업(A)'!W:W, B131),
    SUMIFS('자가소비(B)'!I:I, '자가소비(B)'!C:C, $E$1, '자가소비(B)'!G:G, B123, '자가소비(B)'!W:W, B131),
    SUMIFS('PPA 사업(C)'!I:I, 'PPA 사업(C)'!C:C, $E$1, 'PPA 사업(C)'!G:G, B123, 'PPA 사업(C)'!W:W, B131),
    SUMIFS('리스사업(D)'!I:I, '리스사업(D)'!C:C, $E$1, '리스사업(D)'!G:G, B123, '리스사업(D)'!W:W, B131),
    SUMIFS('임대사업(E)'!I:I, '임대사업(E)'!C:C, $E$1, '임대사업(E)'!G:G, B123, '임대사업(E)'!W:W, B131),
    SUMIFS('환경부사업(F)'!I:I, '환경부사업(F)'!C:C, $E$1, '환경부사업(F)'!G:G, B123, '환경부사업(F)'!W:W, B131),
    SUMIFS('프로젝트(G)'!I:I, '프로젝트(G)'!C:C, $E$1, '프로젝트(G)'!G:G, B123, '프로젝트(G)'!W:W, B131),
    SUMIFS('협력사 EPC(H)'!I:I, '협력사 EPC(H)'!C:C, $E$1, '협력사 EPC(H)'!G:G, B123, '협력사 EPC(H)'!W:W, B131),
    SUMIFS('기타(Z)'!I:I, '기타(Z)'!C:C, $E$1, '기타(Z)'!G:G, B123, '기타(Z)'!W:W, B131)
  ) = 0,
  "",
  SUMIFS('발전사업(A)'!I:I, '발전사업(A)'!C:C, $E$1, '발전사업(A)'!G:G, B123, '발전사업(A)'!W:W, B131)
  + SUMIFS('자가소비(B)'!I:I, '자가소비(B)'!C:C, $E$1, '자가소비(B)'!G:G, B123, '자가소비(B)'!W:W, B131)
  + SUMIFS('PPA 사업(C)'!I:I, 'PPA 사업(C)'!C:C, $E$1, 'PPA 사업(C)'!G:G, B123, 'PPA 사업(C)'!W:W, B131)
  + SUMIFS('리스사업(D)'!I:I, '리스사업(D)'!C:C, $E$1, '리스사업(D)'!G:G, B123, '리스사업(D)'!W:W, B131)
  + SUMIFS('임대사업(E)'!I:I, '임대사업(E)'!C:C, $E$1, '임대사업(E)'!G:G, B123, '임대사업(E)'!W:W, B131)
  + SUMIFS('환경부사업(F)'!I:I, '환경부사업(F)'!C:C, $E$1, '환경부사업(F)'!G:G, B123, '환경부사업(F)'!W:W, B131)
  + SUMIFS('프로젝트(G)'!I:I, '프로젝트(G)'!C:C, $E$1, '프로젝트(G)'!G:G, B123, '프로젝트(G)'!W:W, B131)
  + SUMIFS('협력사 EPC(H)'!I:I, '협력사 EPC(H)'!C:C, $E$1, '협력사 EPC(H)'!G:G, B123, '협력사 EPC(H)'!W:W, B131)
  + SUMIFS('기타(Z)'!I:I, '기타(Z)'!C:C, $E$1, '기타(Z)'!G:G, B123, '기타(Z)'!W:W, B131)
)</f>
        <v>16.64</v>
      </c>
      <c r="D131" s="281">
        <f>IF(
  COUNTIFS('발전사업(A)'!C:C, $E$1, '발전사업(A)'!G:G, B123, '발전사업(A)'!W:W, B131)
  + COUNTIFS('자가소비(B)'!C:C, $E$1, '자가소비(B)'!G:G, B123, '자가소비(B)'!W:W, B131)
  + COUNTIFS('PPA 사업(C)'!C:C, $E$1, 'PPA 사업(C)'!G:G, B123, 'PPA 사업(C)'!W:W, B131)
  + COUNTIFS('리스사업(D)'!C:C, $E$1, '리스사업(D)'!G:G, B123, '리스사업(D)'!W:W, B131)
  + COUNTIFS('임대사업(E)'!C:C, $E$1, '임대사업(E)'!G:G, B123, '임대사업(E)'!W:W, B131)
  + COUNTIFS('환경부사업(F)'!C:C, $E$1, '환경부사업(F)'!G:G, B123, '환경부사업(F)'!W:W, B131)
  + COUNTIFS('프로젝트(G)'!C:C, $E$1, '프로젝트(G)'!G:G, B123, '프로젝트(G)'!W:W, B131)
  + COUNTIFS('협력사 EPC(H)'!C:C, $E$1, '협력사 EPC(H)'!G:G, B123, '협력사 EPC(H)'!W:W, B131)
  + COUNTIFS('기타(Z)'!C:C, $E$1, '기타(Z)'!G:G, B123, '기타(Z)'!W:W, B131)
  = 0,
  "",
  COUNTIFS('발전사업(A)'!C:C, $E$1, '발전사업(A)'!G:G, B123, '발전사업(A)'!W:W, B131)
  + COUNTIFS('자가소비(B)'!C:C, $E$1, '자가소비(B)'!G:G, B123, '자가소비(B)'!W:W, B131)
  + COUNTIFS('PPA 사업(C)'!C:C, $E$1, 'PPA 사업(C)'!G:G, B123, 'PPA 사업(C)'!W:W, B131)
  + COUNTIFS('리스사업(D)'!C:C, $E$1, '리스사업(D)'!G:G, B123, '리스사업(D)'!W:W, B131)
  + COUNTIFS('임대사업(E)'!C:C, $E$1, '임대사업(E)'!G:G, B123, '임대사업(E)'!W:W, B131)
  + COUNTIFS('환경부사업(F)'!C:C, $E$1, '환경부사업(F)'!G:G, B123, '환경부사업(F)'!W:W, B131)
  + COUNTIFS('프로젝트(G)'!C:C, $E$1, '프로젝트(G)'!G:G, B123, '프로젝트(G)'!W:W, B131)
  + COUNTIFS('협력사 EPC(H)'!C:C, $E$1, '협력사 EPC(H)'!G:G, B123, '협력사 EPC(H)'!W:W, B131)
  + COUNTIFS('기타(Z)'!C:C, $E$1, '기타(Z)'!G:G, B123, '기타(Z)'!W:W, B131)
)</f>
        <v>1</v>
      </c>
      <c r="E131" s="280">
        <f>IF(
  SUM(
    SUMIFS('발전사업(A)'!I:I, '발전사업(A)'!C:C, $E$1, '발전사업(A)'!G:G, B123, '발전사업(A)'!W:W, B131, '발전사업(A)'!U:U, $C$1),
    SUMIFS('자가소비(B)'!I:I, '자가소비(B)'!C:C, $E$1, '자가소비(B)'!G:G, B123, '자가소비(B)'!W:W, B131, '자가소비(B)'!U:U, $C$1),
    SUMIFS('PPA 사업(C)'!I:I, 'PPA 사업(C)'!C:C, $E$1, 'PPA 사업(C)'!G:G, B123, 'PPA 사업(C)'!W:W, B131, 'PPA 사업(C)'!U:U, $C$1),
    SUMIFS('리스사업(D)'!I:I, '리스사업(D)'!C:C, $E$1, '리스사업(D)'!G:G, B123, '리스사업(D)'!W:W, B131, '리스사업(D)'!U:U, $C$1),
    SUMIFS('임대사업(E)'!I:I, '임대사업(E)'!C:C, $E$1, '임대사업(E)'!G:G, B123, '임대사업(E)'!W:W, B131, '임대사업(E)'!U:U, $C$1),
    SUMIFS('환경부사업(F)'!I:I, '환경부사업(F)'!C:C, $E$1, '환경부사업(F)'!G:G, B123, '환경부사업(F)'!W:W, B131, '환경부사업(F)'!U:U, $C$1),
    SUMIFS('프로젝트(G)'!I:I, '프로젝트(G)'!C:C, $E$1, '프로젝트(G)'!G:G, B123, '프로젝트(G)'!W:W, B131, '프로젝트(G)'!U:U, $C$1),
    SUMIFS('협력사 EPC(H)'!I:I, '협력사 EPC(H)'!C:C, $E$1, '협력사 EPC(H)'!G:G, B123, '협력사 EPC(H)'!W:W, B131, '협력사 EPC(H)'!U:U, $C$1),
    SUMIFS('기타(Z)'!I:I, '기타(Z)'!C:C, $E$1, '기타(Z)'!G:G, B123, '기타(Z)'!W:W, B131, '기타(Z)'!U:U, $C$1)
  ) = 0,
  "",
  SUM(
    SUMIFS('발전사업(A)'!I:I, '발전사업(A)'!C:C, $E$1, '발전사업(A)'!G:G, B123, '발전사업(A)'!W:W, B131, '발전사업(A)'!U:U, $C$1),
    SUMIFS('자가소비(B)'!I:I, '자가소비(B)'!C:C, $E$1, '자가소비(B)'!G:G, B123, '자가소비(B)'!W:W, B131, '자가소비(B)'!U:U, $C$1),
    SUMIFS('PPA 사업(C)'!I:I, 'PPA 사업(C)'!C:C, $E$1, 'PPA 사업(C)'!G:G, B123, 'PPA 사업(C)'!W:W, B131, 'PPA 사업(C)'!U:U, $C$1),
    SUMIFS('리스사업(D)'!I:I, '리스사업(D)'!C:C, $E$1, '리스사업(D)'!G:G, B123, '리스사업(D)'!W:W, B131, '리스사업(D)'!U:U, $C$1),
    SUMIFS('임대사업(E)'!I:I, '임대사업(E)'!C:C, $E$1, '임대사업(E)'!G:G, B123, '임대사업(E)'!W:W, B131, '임대사업(E)'!U:U, $C$1),
    SUMIFS('환경부사업(F)'!I:I, '환경부사업(F)'!C:C, $E$1, '환경부사업(F)'!G:G, B123, '환경부사업(F)'!W:W, B131, '환경부사업(F)'!U:U, $C$1),
    SUMIFS('프로젝트(G)'!I:I, '프로젝트(G)'!C:C, $E$1, '프로젝트(G)'!G:G, B123, '프로젝트(G)'!W:W, B131, '프로젝트(G)'!U:U, $C$1),
    SUMIFS('협력사 EPC(H)'!I:I, '협력사 EPC(H)'!C:C, $E$1, '협력사 EPC(H)'!G:G, B123, '협력사 EPC(H)'!W:W, B131, '협력사 EPC(H)'!U:U, $C$1),
    SUMIFS('기타(Z)'!I:I, '기타(Z)'!C:C, $E$1, '기타(Z)'!G:G, B123, '기타(Z)'!W:W, B131, '기타(Z)'!U:U, $C$1)
  )
)</f>
        <v>16.64</v>
      </c>
      <c r="F131" s="281">
        <f>IF(
  SUM(
    COUNTIFS('발전사업(A)'!C:C, $E$1, '발전사업(A)'!G:G, B123, '발전사업(A)'!W:W, B131, '발전사업(A)'!U:U, $C$1),
    COUNTIFS('자가소비(B)'!C:C, $E$1, '자가소비(B)'!G:G, B123, '자가소비(B)'!W:W, B131, '자가소비(B)'!U:U, $C$1),
    COUNTIFS('PPA 사업(C)'!C:C, $E$1, 'PPA 사업(C)'!G:G, B123, 'PPA 사업(C)'!W:W, B131, 'PPA 사업(C)'!U:U, $C$1),
    COUNTIFS('리스사업(D)'!C:C, $E$1, '리스사업(D)'!G:G, B123, '리스사업(D)'!W:W, B131, '리스사업(D)'!U:U, $C$1),
    COUNTIFS('임대사업(E)'!C:C, $E$1, '임대사업(E)'!G:G, B123, '임대사업(E)'!W:W, B131, '임대사업(E)'!U:U, $C$1),
    COUNTIFS('환경부사업(F)'!C:C, $E$1, '환경부사업(F)'!G:G, B123, '환경부사업(F)'!W:W, B131, '환경부사업(F)'!U:U, $C$1),
    COUNTIFS('프로젝트(G)'!C:C, $E$1, '프로젝트(G)'!G:G, B123, '프로젝트(G)'!W:W, B131, '프로젝트(G)'!U:U, $C$1),
    COUNTIFS('협력사 EPC(H)'!C:C, $E$1, '협력사 EPC(H)'!G:G, B123, '협력사 EPC(H)'!W:W, B131, '협력사 EPC(H)'!U:U, $C$1),
    COUNTIFS('기타(Z)'!C:C, $E$1, '기타(Z)'!G:G, B123, '기타(Z)'!W:W, B131, '기타(Z)'!U:U, $C$1)
  ) = 0,
  "",
  SUM(
    COUNTIFS('발전사업(A)'!C:C, $E$1, '발전사업(A)'!G:G, B123, '발전사업(A)'!W:W, B131, '발전사업(A)'!U:U, $C$1),
    COUNTIFS('자가소비(B)'!C:C, $E$1, '자가소비(B)'!G:G, B123, '자가소비(B)'!W:W, B131, '자가소비(B)'!U:U, $C$1),
    COUNTIFS('PPA 사업(C)'!C:C, $E$1, 'PPA 사업(C)'!G:G, B123, 'PPA 사업(C)'!W:W, B131, 'PPA 사업(C)'!U:U, $C$1),
    COUNTIFS('리스사업(D)'!C:C, $E$1, '리스사업(D)'!G:G, B123, '리스사업(D)'!W:W, B131, '리스사업(D)'!U:U, $C$1),
    COUNTIFS('임대사업(E)'!C:C, $E$1, '임대사업(E)'!G:G, B123, '임대사업(E)'!W:W, B131, '임대사업(E)'!U:U, $C$1),
    COUNTIFS('환경부사업(F)'!C:C, $E$1, '환경부사업(F)'!G:G, B123, '환경부사업(F)'!W:W, B131, '환경부사업(F)'!U:U, $C$1),
    COUNTIFS('프로젝트(G)'!C:C, $E$1, '프로젝트(G)'!G:G, B123, '프로젝트(G)'!W:W, B131, '프로젝트(G)'!U:U, $C$1),
    COUNTIFS('협력사 EPC(H)'!C:C, $E$1, '협력사 EPC(H)'!G:G, B123, '협력사 EPC(H)'!W:W, B131, '협력사 EPC(H)'!U:U, $C$1),
    COUNTIFS('기타(Z)'!C:C, $E$1, '기타(Z)'!G:G, B123, '기타(Z)'!W:W, B131, '기타(Z)'!U:U, $C$1)
  )
)</f>
        <v>1</v>
      </c>
      <c r="G131" s="280" t="str">
        <f>IF(
  SUM(
    SUMIFS('발전사업(A)'!I:I, '발전사업(A)'!C:C, $E$1, '발전사업(A)'!G:G, B123, '발전사업(A)'!W:W, B131, '발전사업(A)'!U:U, $D$1),
    SUMIFS('자가소비(B)'!I:I, '자가소비(B)'!C:C, $E$1, '자가소비(B)'!G:G, B123, '자가소비(B)'!W:W, B131, '자가소비(B)'!U:U, $D$1),
    SUMIFS('PPA 사업(C)'!I:I, 'PPA 사업(C)'!C:C, $E$1, 'PPA 사업(C)'!G:G, B123, 'PPA 사업(C)'!W:W, B131, 'PPA 사업(C)'!U:U, $D$1),
    SUMIFS('리스사업(D)'!I:I, '리스사업(D)'!C:C, $E$1, '리스사업(D)'!G:G, B123, '리스사업(D)'!W:W, B131, '리스사업(D)'!U:U, $D$1),
    SUMIFS('임대사업(E)'!I:I, '임대사업(E)'!C:C, $E$1, '임대사업(E)'!G:G, B123, '임대사업(E)'!W:W, B131, '임대사업(E)'!U:U, $D$1),
    SUMIFS('환경부사업(F)'!I:I, '환경부사업(F)'!C:C, $E$1, '환경부사업(F)'!G:G, B123, '환경부사업(F)'!W:W, B131, '환경부사업(F)'!U:U, $D$1),
    SUMIFS('프로젝트(G)'!I:I, '프로젝트(G)'!C:C, $E$1, '프로젝트(G)'!G:G, B123, '프로젝트(G)'!W:W, B131, '프로젝트(G)'!U:U, $D$1),
    SUMIFS('협력사 EPC(H)'!I:I, '협력사 EPC(H)'!C:C, $E$1, '협력사 EPC(H)'!G:G, B123, '협력사 EPC(H)'!W:W, B131, '협력사 EPC(H)'!U:U, $D$1),
    SUMIFS('기타(Z)'!I:I, '기타(Z)'!C:C, $E$1, '기타(Z)'!G:G, B123, '기타(Z)'!W:W, B131, '기타(Z)'!U:U, $D$1)
  ) = 0,
  "",
  SUM(
    SUMIFS('발전사업(A)'!I:I, '발전사업(A)'!C:C, $E$1, '발전사업(A)'!G:G, B123, '발전사업(A)'!W:W, B131, '발전사업(A)'!U:U, $D$1),
    SUMIFS('자가소비(B)'!I:I, '자가소비(B)'!C:C, $E$1, '자가소비(B)'!G:G, B123, '자가소비(B)'!W:W, B131, '자가소비(B)'!U:U, $D$1),
    SUMIFS('PPA 사업(C)'!I:I, 'PPA 사업(C)'!C:C, $E$1, 'PPA 사업(C)'!G:G, B123, 'PPA 사업(C)'!W:W, B131, 'PPA 사업(C)'!U:U, $D$1),
    SUMIFS('리스사업(D)'!I:I, '리스사업(D)'!C:C, $E$1, '리스사업(D)'!G:G, B123, '리스사업(D)'!W:W, B131, '리스사업(D)'!U:U, $D$1),
    SUMIFS('임대사업(E)'!I:I, '임대사업(E)'!C:C, $E$1, '임대사업(E)'!G:G, B123, '임대사업(E)'!W:W, B131, '임대사업(E)'!U:U, $D$1),
    SUMIFS('환경부사업(F)'!I:I, '환경부사업(F)'!C:C, $E$1, '환경부사업(F)'!G:G, B123, '환경부사업(F)'!W:W, B131, '환경부사업(F)'!U:U, $D$1),
    SUMIFS('프로젝트(G)'!I:I, '프로젝트(G)'!C:C, $E$1, '프로젝트(G)'!G:G, B123, '프로젝트(G)'!W:W, B131, '프로젝트(G)'!U:U, $D$1),
    SUMIFS('협력사 EPC(H)'!I:I, '협력사 EPC(H)'!C:C, $E$1, '협력사 EPC(H)'!G:G, B123, '협력사 EPC(H)'!W:W, B131, '협력사 EPC(H)'!U:U, $D$1),
    SUMIFS('기타(Z)'!I:I, '기타(Z)'!C:C, $E$1, '기타(Z)'!G:G, B123, '기타(Z)'!W:W, B131, '기타(Z)'!U:U, $D$1)
  )
)</f>
        <v/>
      </c>
      <c r="H131" s="281" t="str">
        <f>IF(
  (
    COUNTIFS('발전사업(A)'!C:C, $E$1, '발전사업(A)'!G:G, B123, '발전사업(A)'!W:W, B131, '발전사업(A)'!U:U, $D$1)
    + COUNTIFS('자가소비(B)'!C:C, $E$1, '자가소비(B)'!G:G, B123, '자가소비(B)'!W:W, B131, '자가소비(B)'!U:U, $D$1)
    + COUNTIFS('PPA 사업(C)'!C:C, $E$1, 'PPA 사업(C)'!G:G, B123, 'PPA 사업(C)'!W:W, B131, 'PPA 사업(C)'!U:U, $D$1)
    + COUNTIFS('리스사업(D)'!C:C, $E$1, '리스사업(D)'!G:G, B123, '리스사업(D)'!W:W, B131, '리스사업(D)'!U:U, $D$1)
    + COUNTIFS('임대사업(E)'!C:C, $E$1, '임대사업(E)'!G:G, B123, '임대사업(E)'!W:W, B131, '임대사업(E)'!U:U, $D$1)
    + COUNTIFS('환경부사업(F)'!C:C, $E$1, '환경부사업(F)'!G:G, B123, '환경부사업(F)'!W:W, B131, '환경부사업(F)'!U:U, $D$1)
    + COUNTIFS('프로젝트(G)'!C:C, $E$1, '프로젝트(G)'!G:G, B123, '프로젝트(G)'!W:W, B131, '프로젝트(G)'!U:U, $D$1)
    + COUNTIFS('협력사 EPC(H)'!C:C, $E$1, '협력사 EPC(H)'!G:G, B123, '협력사 EPC(H)'!W:W, B131, '협력사 EPC(H)'!U:U, $D$1)
    + COUNTIFS('기타(Z)'!C:C, $E$1, '기타(Z)'!G:G, B123, '기타(Z)'!W:W, B131, '기타(Z)'!U:U, $D$1)
  ) = 0,
  "",
  COUNTIFS('발전사업(A)'!C:C, $E$1, '발전사업(A)'!G:G, B123, '발전사업(A)'!W:W, B131, '발전사업(A)'!U:U, $D$1)
  + COUNTIFS('자가소비(B)'!C:C, $E$1, '자가소비(B)'!G:G, B123, '자가소비(B)'!W:W, B131, '자가소비(B)'!U:U, $D$1)
  + COUNTIFS('PPA 사업(C)'!C:C, $E$1, 'PPA 사업(C)'!G:G, B123, 'PPA 사업(C)'!W:W, B131, 'PPA 사업(C)'!U:U, $D$1)
  + COUNTIFS('리스사업(D)'!C:C, $E$1, '리스사업(D)'!G:G, B123, '리스사업(D)'!W:W, B131, '리스사업(D)'!U:U, $D$1)
  + COUNTIFS('임대사업(E)'!C:C, $E$1, '임대사업(E)'!G:G, B123, '임대사업(E)'!W:W, B131, '임대사업(E)'!U:U, $D$1)
  + COUNTIFS('환경부사업(F)'!C:C, $E$1, '환경부사업(F)'!G:G, B123, '환경부사업(F)'!W:W, B131, '환경부사업(F)'!U:U, $D$1)
  + COUNTIFS('프로젝트(G)'!C:C, $E$1, '프로젝트(G)'!G:G, B123, '프로젝트(G)'!W:W, B131, '프로젝트(G)'!U:U, $D$1)
  + COUNTIFS('협력사 EPC(H)'!C:C, $E$1, '협력사 EPC(H)'!G:G, B123, '협력사 EPC(H)'!W:W, B131, '협력사 EPC(H)'!U:U, $D$1)
  + COUNTIFS('기타(Z)'!C:C, $E$1, '기타(Z)'!G:G, B123, '기타(Z)'!W:W, B131, '기타(Z)'!U:U, $D$1)
)</f>
        <v/>
      </c>
    </row>
    <row r="132" spans="2:8" ht="16.5" x14ac:dyDescent="0.25">
      <c r="B132" s="292" t="s">
        <v>1062</v>
      </c>
      <c r="C132" s="286">
        <f>SUM(C124:C131)</f>
        <v>6635.5800000000008</v>
      </c>
      <c r="D132" s="287">
        <f t="shared" ref="D132:H132" si="19">SUM(D124:D131)</f>
        <v>29</v>
      </c>
      <c r="E132" s="288">
        <f t="shared" si="19"/>
        <v>3781.8350000000005</v>
      </c>
      <c r="F132" s="289">
        <f t="shared" si="19"/>
        <v>20</v>
      </c>
      <c r="G132" s="290">
        <f t="shared" si="19"/>
        <v>2853.7449999999999</v>
      </c>
      <c r="H132" s="291">
        <f t="shared" si="19"/>
        <v>9</v>
      </c>
    </row>
    <row r="135" spans="2:8" ht="17.25" x14ac:dyDescent="0.25">
      <c r="B135" s="282">
        <v>11</v>
      </c>
      <c r="C135" s="283" t="s">
        <v>1064</v>
      </c>
      <c r="D135" s="283" t="s">
        <v>1063</v>
      </c>
      <c r="E135" s="284" t="s">
        <v>1065</v>
      </c>
      <c r="F135" s="284" t="s">
        <v>1066</v>
      </c>
      <c r="G135" s="285" t="s">
        <v>1067</v>
      </c>
      <c r="H135" s="285" t="s">
        <v>1068</v>
      </c>
    </row>
    <row r="136" spans="2:8" x14ac:dyDescent="0.25">
      <c r="B136" s="202" t="s">
        <v>270</v>
      </c>
      <c r="C136" s="280">
        <f>IF(
  SUM(
    SUMIFS('발전사업(A)'!I:I, '발전사업(A)'!C:C, $E$1, '발전사업(A)'!G:G, B135, '발전사업(A)'!W:W, B136),
    SUMIFS('자가소비(B)'!I:I, '자가소비(B)'!C:C, $E$1, '자가소비(B)'!G:G, B135, '자가소비(B)'!W:W, B136),
    SUMIFS('PPA 사업(C)'!I:I, 'PPA 사업(C)'!C:C, $E$1, 'PPA 사업(C)'!G:G, B135, 'PPA 사업(C)'!W:W, B136),
    SUMIFS('리스사업(D)'!I:I, '리스사업(D)'!C:C, $E$1, '리스사업(D)'!G:G, B135, '리스사업(D)'!W:W, B136),
    SUMIFS('임대사업(E)'!I:I, '임대사업(E)'!C:C, $E$1, '임대사업(E)'!G:G, B135, '임대사업(E)'!W:W, B136),
    SUMIFS('환경부사업(F)'!I:I, '환경부사업(F)'!C:C, $E$1, '환경부사업(F)'!G:G, B135, '환경부사업(F)'!W:W, B136),
    SUMIFS('프로젝트(G)'!I:I, '프로젝트(G)'!C:C, $E$1, '프로젝트(G)'!G:G, B135, '프로젝트(G)'!W:W, B136),
    SUMIFS('협력사 EPC(H)'!I:I, '협력사 EPC(H)'!C:C, $E$1, '협력사 EPC(H)'!G:G, B135, '협력사 EPC(H)'!W:W, B136),
    SUMIFS('기타(Z)'!I:I, '기타(Z)'!C:C, $E$1, '기타(Z)'!G:G, B135, '기타(Z)'!W:W, B136)
  ) = 0,
  "",
  SUMIFS('발전사업(A)'!I:I, '발전사업(A)'!C:C, $E$1, '발전사업(A)'!G:G, B135, '발전사업(A)'!W:W, B136)
  + SUMIFS('자가소비(B)'!I:I, '자가소비(B)'!C:C, $E$1, '자가소비(B)'!G:G, B135, '자가소비(B)'!W:W, B136)
  + SUMIFS('PPA 사업(C)'!I:I, 'PPA 사업(C)'!C:C, $E$1, 'PPA 사업(C)'!G:G, B135, 'PPA 사업(C)'!W:W, B136)
  + SUMIFS('리스사업(D)'!I:I, '리스사업(D)'!C:C, $E$1, '리스사업(D)'!G:G, B135, '리스사업(D)'!W:W, B136)
  + SUMIFS('임대사업(E)'!I:I, '임대사업(E)'!C:C, $E$1, '임대사업(E)'!G:G, B135, '임대사업(E)'!W:W, B136)
  + SUMIFS('환경부사업(F)'!I:I, '환경부사업(F)'!C:C, $E$1, '환경부사업(F)'!G:G, B135, '환경부사업(F)'!W:W, B136)
  + SUMIFS('프로젝트(G)'!I:I, '프로젝트(G)'!C:C, $E$1, '프로젝트(G)'!G:G, B135, '프로젝트(G)'!W:W, B136)
  + SUMIFS('협력사 EPC(H)'!I:I, '협력사 EPC(H)'!C:C, $E$1, '협력사 EPC(H)'!G:G, B135, '협력사 EPC(H)'!W:W, B136)
  + SUMIFS('기타(Z)'!I:I, '기타(Z)'!C:C, $E$1, '기타(Z)'!G:G, B135, '기타(Z)'!W:W, B136)
)</f>
        <v>499.875</v>
      </c>
      <c r="D136" s="281">
        <f>IF(
  COUNTIFS('발전사업(A)'!C:C, $E$1, '발전사업(A)'!G:G, B135, '발전사업(A)'!W:W, B136)
  + COUNTIFS('자가소비(B)'!C:C, $E$1, '자가소비(B)'!G:G, B135, '자가소비(B)'!W:W, B136)
  + COUNTIFS('PPA 사업(C)'!C:C, $E$1, 'PPA 사업(C)'!G:G, B135, 'PPA 사업(C)'!W:W, B136)
  + COUNTIFS('리스사업(D)'!C:C, $E$1, '리스사업(D)'!G:G, B135, '리스사업(D)'!W:W, B136)
  + COUNTIFS('임대사업(E)'!C:C, $E$1, '임대사업(E)'!G:G, B135, '임대사업(E)'!W:W, B136)
  + COUNTIFS('환경부사업(F)'!C:C, $E$1, '환경부사업(F)'!G:G, B135, '환경부사업(F)'!W:W, B136)
  + COUNTIFS('프로젝트(G)'!C:C, $E$1, '프로젝트(G)'!G:G, B135, '프로젝트(G)'!W:W, B136)
  + COUNTIFS('협력사 EPC(H)'!C:C, $E$1, '협력사 EPC(H)'!G:G, B135, '협력사 EPC(H)'!W:W, B136)
  + COUNTIFS('기타(Z)'!C:C, $E$1, '기타(Z)'!G:G, B135, '기타(Z)'!W:W, B136)
  = 0,
  "",
  COUNTIFS('발전사업(A)'!C:C, $E$1, '발전사업(A)'!G:G, B135, '발전사업(A)'!W:W, B136)
  + COUNTIFS('자가소비(B)'!C:C, $E$1, '자가소비(B)'!G:G, B135, '자가소비(B)'!W:W, B136)
  + COUNTIFS('PPA 사업(C)'!C:C, $E$1, 'PPA 사업(C)'!G:G, B135, 'PPA 사업(C)'!W:W, B136)
  + COUNTIFS('리스사업(D)'!C:C, $E$1, '리스사업(D)'!G:G, B135, '리스사업(D)'!W:W, B136)
  + COUNTIFS('임대사업(E)'!C:C, $E$1, '임대사업(E)'!G:G, B135, '임대사업(E)'!W:W, B136)
  + COUNTIFS('환경부사업(F)'!C:C, $E$1, '환경부사업(F)'!G:G, B135, '환경부사업(F)'!W:W, B136)
  + COUNTIFS('프로젝트(G)'!C:C, $E$1, '프로젝트(G)'!G:G, B135, '프로젝트(G)'!W:W, B136)
  + COUNTIFS('협력사 EPC(H)'!C:C, $E$1, '협력사 EPC(H)'!G:G, B135, '협력사 EPC(H)'!W:W, B136)
  + COUNTIFS('기타(Z)'!C:C, $E$1, '기타(Z)'!G:G, B135, '기타(Z)'!W:W, B136)
)</f>
        <v>1</v>
      </c>
      <c r="E136" s="280">
        <f>IF(
  SUM(
    SUMIFS('발전사업(A)'!I:I, '발전사업(A)'!C:C, $E$1, '발전사업(A)'!G:G, B135, '발전사업(A)'!W:W, B136, '발전사업(A)'!U:U, $C$1),
    SUMIFS('자가소비(B)'!I:I, '자가소비(B)'!C:C, $E$1, '자가소비(B)'!G:G, B135, '자가소비(B)'!W:W, B136, '자가소비(B)'!U:U, $C$1),
    SUMIFS('PPA 사업(C)'!I:I, 'PPA 사업(C)'!C:C, $E$1, 'PPA 사업(C)'!G:G, B135, 'PPA 사업(C)'!W:W, B136, 'PPA 사업(C)'!U:U, $C$1),
    SUMIFS('리스사업(D)'!I:I, '리스사업(D)'!C:C, $E$1, '리스사업(D)'!G:G, B135, '리스사업(D)'!W:W, B136, '리스사업(D)'!U:U, $C$1),
    SUMIFS('임대사업(E)'!I:I, '임대사업(E)'!C:C, $E$1, '임대사업(E)'!G:G, B135, '임대사업(E)'!W:W, B136, '임대사업(E)'!U:U, $C$1),
    SUMIFS('환경부사업(F)'!I:I, '환경부사업(F)'!C:C, $E$1, '환경부사업(F)'!G:G, B135, '환경부사업(F)'!W:W, B136, '환경부사업(F)'!U:U, $C$1),
    SUMIFS('프로젝트(G)'!I:I, '프로젝트(G)'!C:C, $E$1, '프로젝트(G)'!G:G, B135, '프로젝트(G)'!W:W, B136, '프로젝트(G)'!U:U, $C$1),
    SUMIFS('협력사 EPC(H)'!I:I, '협력사 EPC(H)'!C:C, $E$1, '협력사 EPC(H)'!G:G, B135, '협력사 EPC(H)'!W:W, B136, '협력사 EPC(H)'!U:U, $C$1),
    SUMIFS('기타(Z)'!I:I, '기타(Z)'!C:C, $E$1, '기타(Z)'!G:G, B135, '기타(Z)'!W:W, B136, '기타(Z)'!U:U, $C$1)
  ) = 0,
  "",
  SUM(
    SUMIFS('발전사업(A)'!I:I, '발전사업(A)'!C:C, $E$1, '발전사업(A)'!G:G, B135, '발전사업(A)'!W:W, B136, '발전사업(A)'!U:U, $C$1),
    SUMIFS('자가소비(B)'!I:I, '자가소비(B)'!C:C, $E$1, '자가소비(B)'!G:G, B135, '자가소비(B)'!W:W, B136, '자가소비(B)'!U:U, $C$1),
    SUMIFS('PPA 사업(C)'!I:I, 'PPA 사업(C)'!C:C, $E$1, 'PPA 사업(C)'!G:G, B135, 'PPA 사업(C)'!W:W, B136, 'PPA 사업(C)'!U:U, $C$1),
    SUMIFS('리스사업(D)'!I:I, '리스사업(D)'!C:C, $E$1, '리스사업(D)'!G:G, B135, '리스사업(D)'!W:W, B136, '리스사업(D)'!U:U, $C$1),
    SUMIFS('임대사업(E)'!I:I, '임대사업(E)'!C:C, $E$1, '임대사업(E)'!G:G, B135, '임대사업(E)'!W:W, B136, '임대사업(E)'!U:U, $C$1),
    SUMIFS('환경부사업(F)'!I:I, '환경부사업(F)'!C:C, $E$1, '환경부사업(F)'!G:G, B135, '환경부사업(F)'!W:W, B136, '환경부사업(F)'!U:U, $C$1),
    SUMIFS('프로젝트(G)'!I:I, '프로젝트(G)'!C:C, $E$1, '프로젝트(G)'!G:G, B135, '프로젝트(G)'!W:W, B136, '프로젝트(G)'!U:U, $C$1),
    SUMIFS('협력사 EPC(H)'!I:I, '협력사 EPC(H)'!C:C, $E$1, '협력사 EPC(H)'!G:G, B135, '협력사 EPC(H)'!W:W, B136, '협력사 EPC(H)'!U:U, $C$1),
    SUMIFS('기타(Z)'!I:I, '기타(Z)'!C:C, $E$1, '기타(Z)'!G:G, B135, '기타(Z)'!W:W, B136, '기타(Z)'!U:U, $C$1)
  )
)</f>
        <v>499.875</v>
      </c>
      <c r="F136" s="281">
        <f>IF(
  SUM(
    COUNTIFS('발전사업(A)'!C:C, $E$1, '발전사업(A)'!G:G, B135, '발전사업(A)'!W:W, B136, '발전사업(A)'!U:U, $C$1),
    COUNTIFS('자가소비(B)'!C:C, $E$1, '자가소비(B)'!G:G, B135, '자가소비(B)'!W:W, B136, '자가소비(B)'!U:U, $C$1),
    COUNTIFS('PPA 사업(C)'!C:C, $E$1, 'PPA 사업(C)'!G:G, B135, 'PPA 사업(C)'!W:W, B136, 'PPA 사업(C)'!U:U, $C$1),
    COUNTIFS('리스사업(D)'!C:C, $E$1, '리스사업(D)'!G:G, B135, '리스사업(D)'!W:W, B136, '리스사업(D)'!U:U, $C$1),
    COUNTIFS('임대사업(E)'!C:C, $E$1, '임대사업(E)'!G:G, B135, '임대사업(E)'!W:W, B136, '임대사업(E)'!U:U, $C$1),
    COUNTIFS('환경부사업(F)'!C:C, $E$1, '환경부사업(F)'!G:G, B135, '환경부사업(F)'!W:W, B136, '환경부사업(F)'!U:U, $C$1),
    COUNTIFS('프로젝트(G)'!C:C, $E$1, '프로젝트(G)'!G:G, B135, '프로젝트(G)'!W:W, B136, '프로젝트(G)'!U:U, $C$1),
    COUNTIFS('협력사 EPC(H)'!C:C, $E$1, '협력사 EPC(H)'!G:G, B135, '협력사 EPC(H)'!W:W, B136, '협력사 EPC(H)'!U:U, $C$1),
    COUNTIFS('기타(Z)'!C:C, $E$1, '기타(Z)'!G:G, B135, '기타(Z)'!W:W, B136, '기타(Z)'!U:U, $C$1)
  ) = 0,
  "",
  SUM(
    COUNTIFS('발전사업(A)'!C:C, $E$1, '발전사업(A)'!G:G, B135, '발전사업(A)'!W:W, B136, '발전사업(A)'!U:U, $C$1),
    COUNTIFS('자가소비(B)'!C:C, $E$1, '자가소비(B)'!G:G, B135, '자가소비(B)'!W:W, B136, '자가소비(B)'!U:U, $C$1),
    COUNTIFS('PPA 사업(C)'!C:C, $E$1, 'PPA 사업(C)'!G:G, B135, 'PPA 사업(C)'!W:W, B136, 'PPA 사업(C)'!U:U, $C$1),
    COUNTIFS('리스사업(D)'!C:C, $E$1, '리스사업(D)'!G:G, B135, '리스사업(D)'!W:W, B136, '리스사업(D)'!U:U, $C$1),
    COUNTIFS('임대사업(E)'!C:C, $E$1, '임대사업(E)'!G:G, B135, '임대사업(E)'!W:W, B136, '임대사업(E)'!U:U, $C$1),
    COUNTIFS('환경부사업(F)'!C:C, $E$1, '환경부사업(F)'!G:G, B135, '환경부사업(F)'!W:W, B136, '환경부사업(F)'!U:U, $C$1),
    COUNTIFS('프로젝트(G)'!C:C, $E$1, '프로젝트(G)'!G:G, B135, '프로젝트(G)'!W:W, B136, '프로젝트(G)'!U:U, $C$1),
    COUNTIFS('협력사 EPC(H)'!C:C, $E$1, '협력사 EPC(H)'!G:G, B135, '협력사 EPC(H)'!W:W, B136, '협력사 EPC(H)'!U:U, $C$1),
    COUNTIFS('기타(Z)'!C:C, $E$1, '기타(Z)'!G:G, B135, '기타(Z)'!W:W, B136, '기타(Z)'!U:U, $C$1)
  )
)</f>
        <v>1</v>
      </c>
      <c r="G136" s="280" t="str">
        <f>IF(
  SUM(
    SUMIFS('발전사업(A)'!I:I, '발전사업(A)'!C:C, $E$1, '발전사업(A)'!G:G, B135, '발전사업(A)'!W:W, B136, '발전사업(A)'!U:U, $D$1),
    SUMIFS('자가소비(B)'!I:I, '자가소비(B)'!C:C, $E$1, '자가소비(B)'!G:G, B135, '자가소비(B)'!W:W, B136, '자가소비(B)'!U:U, $D$1),
    SUMIFS('PPA 사업(C)'!I:I, 'PPA 사업(C)'!C:C, $E$1, 'PPA 사업(C)'!G:G, B135, 'PPA 사업(C)'!W:W, B136, 'PPA 사업(C)'!U:U, $D$1),
    SUMIFS('리스사업(D)'!I:I, '리스사업(D)'!C:C, $E$1, '리스사업(D)'!G:G, B135, '리스사업(D)'!W:W, B136, '리스사업(D)'!U:U, $D$1),
    SUMIFS('임대사업(E)'!I:I, '임대사업(E)'!C:C, $E$1, '임대사업(E)'!G:G, B135, '임대사업(E)'!W:W, B136, '임대사업(E)'!U:U, $D$1),
    SUMIFS('환경부사업(F)'!I:I, '환경부사업(F)'!C:C, $E$1, '환경부사업(F)'!G:G, B135, '환경부사업(F)'!W:W, B136, '환경부사업(F)'!U:U, $D$1),
    SUMIFS('프로젝트(G)'!I:I, '프로젝트(G)'!C:C, $E$1, '프로젝트(G)'!G:G, B135, '프로젝트(G)'!W:W, B136, '프로젝트(G)'!U:U, $D$1),
    SUMIFS('협력사 EPC(H)'!I:I, '협력사 EPC(H)'!C:C, $E$1, '협력사 EPC(H)'!G:G, B135, '협력사 EPC(H)'!W:W, B136, '협력사 EPC(H)'!U:U, $D$1),
    SUMIFS('기타(Z)'!I:I, '기타(Z)'!C:C, $E$1, '기타(Z)'!G:G, B135, '기타(Z)'!W:W, B136, '기타(Z)'!U:U, $D$1)
  ) = 0,
  "",
  SUM(
    SUMIFS('발전사업(A)'!I:I, '발전사업(A)'!C:C, $E$1, '발전사업(A)'!G:G, B135, '발전사업(A)'!W:W, B136, '발전사업(A)'!U:U, $D$1),
    SUMIFS('자가소비(B)'!I:I, '자가소비(B)'!C:C, $E$1, '자가소비(B)'!G:G, B135, '자가소비(B)'!W:W, B136, '자가소비(B)'!U:U, $D$1),
    SUMIFS('PPA 사업(C)'!I:I, 'PPA 사업(C)'!C:C, $E$1, 'PPA 사업(C)'!G:G, B135, 'PPA 사업(C)'!W:W, B136, 'PPA 사업(C)'!U:U, $D$1),
    SUMIFS('리스사업(D)'!I:I, '리스사업(D)'!C:C, $E$1, '리스사업(D)'!G:G, B135, '리스사업(D)'!W:W, B136, '리스사업(D)'!U:U, $D$1),
    SUMIFS('임대사업(E)'!I:I, '임대사업(E)'!C:C, $E$1, '임대사업(E)'!G:G, B135, '임대사업(E)'!W:W, B136, '임대사업(E)'!U:U, $D$1),
    SUMIFS('환경부사업(F)'!I:I, '환경부사업(F)'!C:C, $E$1, '환경부사업(F)'!G:G, B135, '환경부사업(F)'!W:W, B136, '환경부사업(F)'!U:U, $D$1),
    SUMIFS('프로젝트(G)'!I:I, '프로젝트(G)'!C:C, $E$1, '프로젝트(G)'!G:G, B135, '프로젝트(G)'!W:W, B136, '프로젝트(G)'!U:U, $D$1),
    SUMIFS('협력사 EPC(H)'!I:I, '협력사 EPC(H)'!C:C, $E$1, '협력사 EPC(H)'!G:G, B135, '협력사 EPC(H)'!W:W, B136, '협력사 EPC(H)'!U:U, $D$1),
    SUMIFS('기타(Z)'!I:I, '기타(Z)'!C:C, $E$1, '기타(Z)'!G:G, B135, '기타(Z)'!W:W, B136, '기타(Z)'!U:U, $D$1)
  )
)</f>
        <v/>
      </c>
      <c r="H136" s="281" t="str">
        <f>IF(
  (
    COUNTIFS('발전사업(A)'!C:C, $E$1, '발전사업(A)'!G:G, B135, '발전사업(A)'!W:W, B136, '발전사업(A)'!U:U, $D$1)
    + COUNTIFS('자가소비(B)'!C:C, $E$1, '자가소비(B)'!G:G, B135, '자가소비(B)'!W:W, B136, '자가소비(B)'!U:U, $D$1)
    + COUNTIFS('PPA 사업(C)'!C:C, $E$1, 'PPA 사업(C)'!G:G, B135, 'PPA 사업(C)'!W:W, B136, 'PPA 사업(C)'!U:U, $D$1)
    + COUNTIFS('리스사업(D)'!C:C, $E$1, '리스사업(D)'!G:G, B135, '리스사업(D)'!W:W, B136, '리스사업(D)'!U:U, $D$1)
    + COUNTIFS('임대사업(E)'!C:C, $E$1, '임대사업(E)'!G:G, B135, '임대사업(E)'!W:W, B136, '임대사업(E)'!U:U, $D$1)
    + COUNTIFS('환경부사업(F)'!C:C, $E$1, '환경부사업(F)'!G:G, B135, '환경부사업(F)'!W:W, B136, '환경부사업(F)'!U:U, $D$1)
    + COUNTIFS('프로젝트(G)'!C:C, $E$1, '프로젝트(G)'!G:G, B135, '프로젝트(G)'!W:W, B136, '프로젝트(G)'!U:U, $D$1)
    + COUNTIFS('협력사 EPC(H)'!C:C, $E$1, '협력사 EPC(H)'!G:G, B135, '협력사 EPC(H)'!W:W, B136, '협력사 EPC(H)'!U:U, $D$1)
    + COUNTIFS('기타(Z)'!C:C, $E$1, '기타(Z)'!G:G, B135, '기타(Z)'!W:W, B136, '기타(Z)'!U:U, $D$1)
  ) = 0,
  "",
  COUNTIFS('발전사업(A)'!C:C, $E$1, '발전사업(A)'!G:G, B135, '발전사업(A)'!W:W, B136, '발전사업(A)'!U:U, $D$1)
  + COUNTIFS('자가소비(B)'!C:C, $E$1, '자가소비(B)'!G:G, B135, '자가소비(B)'!W:W, B136, '자가소비(B)'!U:U, $D$1)
  + COUNTIFS('PPA 사업(C)'!C:C, $E$1, 'PPA 사업(C)'!G:G, B135, 'PPA 사업(C)'!W:W, B136, 'PPA 사업(C)'!U:U, $D$1)
  + COUNTIFS('리스사업(D)'!C:C, $E$1, '리스사업(D)'!G:G, B135, '리스사업(D)'!W:W, B136, '리스사업(D)'!U:U, $D$1)
  + COUNTIFS('임대사업(E)'!C:C, $E$1, '임대사업(E)'!G:G, B135, '임대사업(E)'!W:W, B136, '임대사업(E)'!U:U, $D$1)
  + COUNTIFS('환경부사업(F)'!C:C, $E$1, '환경부사업(F)'!G:G, B135, '환경부사업(F)'!W:W, B136, '환경부사업(F)'!U:U, $D$1)
  + COUNTIFS('프로젝트(G)'!C:C, $E$1, '프로젝트(G)'!G:G, B135, '프로젝트(G)'!W:W, B136, '프로젝트(G)'!U:U, $D$1)
  + COUNTIFS('협력사 EPC(H)'!C:C, $E$1, '협력사 EPC(H)'!G:G, B135, '협력사 EPC(H)'!W:W, B136, '협력사 EPC(H)'!U:U, $D$1)
  + COUNTIFS('기타(Z)'!C:C, $E$1, '기타(Z)'!G:G, B135, '기타(Z)'!W:W, B136, '기타(Z)'!U:U, $D$1)
)</f>
        <v/>
      </c>
    </row>
    <row r="137" spans="2:8" x14ac:dyDescent="0.25">
      <c r="B137" s="202" t="s">
        <v>259</v>
      </c>
      <c r="C137" s="280">
        <f>IF(
  SUM(
    SUMIFS('발전사업(A)'!I:I, '발전사업(A)'!C:C, $E$1, '발전사업(A)'!G:G, B135, '발전사업(A)'!W:W, B137),
    SUMIFS('자가소비(B)'!I:I, '자가소비(B)'!C:C, $E$1, '자가소비(B)'!G:G, B135, '자가소비(B)'!W:W, B137),
    SUMIFS('PPA 사업(C)'!I:I, 'PPA 사업(C)'!C:C, $E$1, 'PPA 사업(C)'!G:G, B135, 'PPA 사업(C)'!W:W, B137),
    SUMIFS('리스사업(D)'!I:I, '리스사업(D)'!C:C, $E$1, '리스사업(D)'!G:G, B135, '리스사업(D)'!W:W, B137),
    SUMIFS('임대사업(E)'!I:I, '임대사업(E)'!C:C, $E$1, '임대사업(E)'!G:G, B135, '임대사업(E)'!W:W, B137),
    SUMIFS('환경부사업(F)'!I:I, '환경부사업(F)'!C:C, $E$1, '환경부사업(F)'!G:G, B135, '환경부사업(F)'!W:W, B137),
    SUMIFS('프로젝트(G)'!I:I, '프로젝트(G)'!C:C, $E$1, '프로젝트(G)'!G:G, B135, '프로젝트(G)'!W:W, B137),
    SUMIFS('협력사 EPC(H)'!I:I, '협력사 EPC(H)'!C:C, $E$1, '협력사 EPC(H)'!G:G, B135, '협력사 EPC(H)'!W:W, B137),
    SUMIFS('기타(Z)'!I:I, '기타(Z)'!C:C, $E$1, '기타(Z)'!G:G, B135, '기타(Z)'!W:W, B137)
  ) = 0,
  "",
  SUMIFS('발전사업(A)'!I:I, '발전사업(A)'!C:C, $E$1, '발전사업(A)'!G:G, B135, '발전사업(A)'!W:W, B137)
  + SUMIFS('자가소비(B)'!I:I, '자가소비(B)'!C:C, $E$1, '자가소비(B)'!G:G, B135, '자가소비(B)'!W:W, B137)
  + SUMIFS('PPA 사업(C)'!I:I, 'PPA 사업(C)'!C:C, $E$1, 'PPA 사업(C)'!G:G, B135, 'PPA 사업(C)'!W:W, B137)
  + SUMIFS('리스사업(D)'!I:I, '리스사업(D)'!C:C, $E$1, '리스사업(D)'!G:G, B135, '리스사업(D)'!W:W, B137)
  + SUMIFS('임대사업(E)'!I:I, '임대사업(E)'!C:C, $E$1, '임대사업(E)'!G:G, B135, '임대사업(E)'!W:W, B137)
  + SUMIFS('환경부사업(F)'!I:I, '환경부사업(F)'!C:C, $E$1, '환경부사업(F)'!G:G, B135, '환경부사업(F)'!W:W, B137)
  + SUMIFS('프로젝트(G)'!I:I, '프로젝트(G)'!C:C, $E$1, '프로젝트(G)'!G:G, B135, '프로젝트(G)'!W:W, B137)
  + SUMIFS('협력사 EPC(H)'!I:I, '협력사 EPC(H)'!C:C, $E$1, '협력사 EPC(H)'!G:G, B135, '협력사 EPC(H)'!W:W, B137)
  + SUMIFS('기타(Z)'!I:I, '기타(Z)'!C:C, $E$1, '기타(Z)'!G:G, B135, '기타(Z)'!W:W, B137)
)</f>
        <v>4208.5000000000009</v>
      </c>
      <c r="D137" s="281">
        <f>IF(
  COUNTIFS('발전사업(A)'!C:C, $E$1, '발전사업(A)'!G:G, B135, '발전사업(A)'!W:W, B137)
  + COUNTIFS('자가소비(B)'!C:C, $E$1, '자가소비(B)'!G:G, B135, '자가소비(B)'!W:W, B137)
  + COUNTIFS('PPA 사업(C)'!C:C, $E$1, 'PPA 사업(C)'!G:G, B135, 'PPA 사업(C)'!W:W, B137)
  + COUNTIFS('리스사업(D)'!C:C, $E$1, '리스사업(D)'!G:G, B135, '리스사업(D)'!W:W, B137)
  + COUNTIFS('임대사업(E)'!C:C, $E$1, '임대사업(E)'!G:G, B135, '임대사업(E)'!W:W, B137)
  + COUNTIFS('환경부사업(F)'!C:C, $E$1, '환경부사업(F)'!G:G, B135, '환경부사업(F)'!W:W, B137)
  + COUNTIFS('프로젝트(G)'!C:C, $E$1, '프로젝트(G)'!G:G, B135, '프로젝트(G)'!W:W, B137)
  + COUNTIFS('협력사 EPC(H)'!C:C, $E$1, '협력사 EPC(H)'!G:G, B135, '협력사 EPC(H)'!W:W, B137)
  + COUNTIFS('기타(Z)'!C:C, $E$1, '기타(Z)'!G:G, B135, '기타(Z)'!W:W, B137)
  = 0,
  "",
  COUNTIFS('발전사업(A)'!C:C, $E$1, '발전사업(A)'!G:G, B135, '발전사업(A)'!W:W, B137)
  + COUNTIFS('자가소비(B)'!C:C, $E$1, '자가소비(B)'!G:G, B135, '자가소비(B)'!W:W, B137)
  + COUNTIFS('PPA 사업(C)'!C:C, $E$1, 'PPA 사업(C)'!G:G, B135, 'PPA 사업(C)'!W:W, B137)
  + COUNTIFS('리스사업(D)'!C:C, $E$1, '리스사업(D)'!G:G, B135, '리스사업(D)'!W:W, B137)
  + COUNTIFS('임대사업(E)'!C:C, $E$1, '임대사업(E)'!G:G, B135, '임대사업(E)'!W:W, B137)
  + COUNTIFS('환경부사업(F)'!C:C, $E$1, '환경부사업(F)'!G:G, B135, '환경부사업(F)'!W:W, B137)
  + COUNTIFS('프로젝트(G)'!C:C, $E$1, '프로젝트(G)'!G:G, B135, '프로젝트(G)'!W:W, B137)
  + COUNTIFS('협력사 EPC(H)'!C:C, $E$1, '협력사 EPC(H)'!G:G, B135, '협력사 EPC(H)'!W:W, B137)
  + COUNTIFS('기타(Z)'!C:C, $E$1, '기타(Z)'!G:G, B135, '기타(Z)'!W:W, B137)
)</f>
        <v>11</v>
      </c>
      <c r="E137" s="280">
        <f>IF(
  SUM(
    SUMIFS('발전사업(A)'!I:I, '발전사업(A)'!C:C, $E$1, '발전사업(A)'!G:G, B135, '발전사업(A)'!W:W, B137, '발전사업(A)'!U:U, $C$1),
    SUMIFS('자가소비(B)'!I:I, '자가소비(B)'!C:C, $E$1, '자가소비(B)'!G:G, B135, '자가소비(B)'!W:W, B137, '자가소비(B)'!U:U, $C$1),
    SUMIFS('PPA 사업(C)'!I:I, 'PPA 사업(C)'!C:C, $E$1, 'PPA 사업(C)'!G:G, B135, 'PPA 사업(C)'!W:W, B137, 'PPA 사업(C)'!U:U, $C$1),
    SUMIFS('리스사업(D)'!I:I, '리스사업(D)'!C:C, $E$1, '리스사업(D)'!G:G, B135, '리스사업(D)'!W:W, B137, '리스사업(D)'!U:U, $C$1),
    SUMIFS('임대사업(E)'!I:I, '임대사업(E)'!C:C, $E$1, '임대사업(E)'!G:G, B135, '임대사업(E)'!W:W, B137, '임대사업(E)'!U:U, $C$1),
    SUMIFS('환경부사업(F)'!I:I, '환경부사업(F)'!C:C, $E$1, '환경부사업(F)'!G:G, B135, '환경부사업(F)'!W:W, B137, '환경부사업(F)'!U:U, $C$1),
    SUMIFS('프로젝트(G)'!I:I, '프로젝트(G)'!C:C, $E$1, '프로젝트(G)'!G:G, B135, '프로젝트(G)'!W:W, B137, '프로젝트(G)'!U:U, $C$1),
    SUMIFS('협력사 EPC(H)'!I:I, '협력사 EPC(H)'!C:C, $E$1, '협력사 EPC(H)'!G:G, B135, '협력사 EPC(H)'!W:W, B137, '협력사 EPC(H)'!U:U, $C$1),
    SUMIFS('기타(Z)'!I:I, '기타(Z)'!C:C, $E$1, '기타(Z)'!G:G, B135, '기타(Z)'!W:W, B137, '기타(Z)'!U:U, $C$1)
  ) = 0,
  "",
  SUM(
    SUMIFS('발전사업(A)'!I:I, '발전사업(A)'!C:C, $E$1, '발전사업(A)'!G:G, B135, '발전사업(A)'!W:W, B137, '발전사업(A)'!U:U, $C$1),
    SUMIFS('자가소비(B)'!I:I, '자가소비(B)'!C:C, $E$1, '자가소비(B)'!G:G, B135, '자가소비(B)'!W:W, B137, '자가소비(B)'!U:U, $C$1),
    SUMIFS('PPA 사업(C)'!I:I, 'PPA 사업(C)'!C:C, $E$1, 'PPA 사업(C)'!G:G, B135, 'PPA 사업(C)'!W:W, B137, 'PPA 사업(C)'!U:U, $C$1),
    SUMIFS('리스사업(D)'!I:I, '리스사업(D)'!C:C, $E$1, '리스사업(D)'!G:G, B135, '리스사업(D)'!W:W, B137, '리스사업(D)'!U:U, $C$1),
    SUMIFS('임대사업(E)'!I:I, '임대사업(E)'!C:C, $E$1, '임대사업(E)'!G:G, B135, '임대사업(E)'!W:W, B137, '임대사업(E)'!U:U, $C$1),
    SUMIFS('환경부사업(F)'!I:I, '환경부사업(F)'!C:C, $E$1, '환경부사업(F)'!G:G, B135, '환경부사업(F)'!W:W, B137, '환경부사업(F)'!U:U, $C$1),
    SUMIFS('프로젝트(G)'!I:I, '프로젝트(G)'!C:C, $E$1, '프로젝트(G)'!G:G, B135, '프로젝트(G)'!W:W, B137, '프로젝트(G)'!U:U, $C$1),
    SUMIFS('협력사 EPC(H)'!I:I, '협력사 EPC(H)'!C:C, $E$1, '협력사 EPC(H)'!G:G, B135, '협력사 EPC(H)'!W:W, B137, '협력사 EPC(H)'!U:U, $C$1),
    SUMIFS('기타(Z)'!I:I, '기타(Z)'!C:C, $E$1, '기타(Z)'!G:G, B135, '기타(Z)'!W:W, B137, '기타(Z)'!U:U, $C$1)
  )
)</f>
        <v>4208.5000000000009</v>
      </c>
      <c r="F137" s="281">
        <f>IF(
  SUM(
    COUNTIFS('발전사업(A)'!C:C, $E$1, '발전사업(A)'!G:G, B135, '발전사업(A)'!W:W, B137, '발전사업(A)'!U:U, $C$1),
    COUNTIFS('자가소비(B)'!C:C, $E$1, '자가소비(B)'!G:G, B135, '자가소비(B)'!W:W, B137, '자가소비(B)'!U:U, $C$1),
    COUNTIFS('PPA 사업(C)'!C:C, $E$1, 'PPA 사업(C)'!G:G, B135, 'PPA 사업(C)'!W:W, B137, 'PPA 사업(C)'!U:U, $C$1),
    COUNTIFS('리스사업(D)'!C:C, $E$1, '리스사업(D)'!G:G, B135, '리스사업(D)'!W:W, B137, '리스사업(D)'!U:U, $C$1),
    COUNTIFS('임대사업(E)'!C:C, $E$1, '임대사업(E)'!G:G, B135, '임대사업(E)'!W:W, B137, '임대사업(E)'!U:U, $C$1),
    COUNTIFS('환경부사업(F)'!C:C, $E$1, '환경부사업(F)'!G:G, B135, '환경부사업(F)'!W:W, B137, '환경부사업(F)'!U:U, $C$1),
    COUNTIFS('프로젝트(G)'!C:C, $E$1, '프로젝트(G)'!G:G, B135, '프로젝트(G)'!W:W, B137, '프로젝트(G)'!U:U, $C$1),
    COUNTIFS('협력사 EPC(H)'!C:C, $E$1, '협력사 EPC(H)'!G:G, B135, '협력사 EPC(H)'!W:W, B137, '협력사 EPC(H)'!U:U, $C$1),
    COUNTIFS('기타(Z)'!C:C, $E$1, '기타(Z)'!G:G, B135, '기타(Z)'!W:W, B137, '기타(Z)'!U:U, $C$1)
  ) = 0,
  "",
  SUM(
    COUNTIFS('발전사업(A)'!C:C, $E$1, '발전사업(A)'!G:G, B135, '발전사업(A)'!W:W, B137, '발전사업(A)'!U:U, $C$1),
    COUNTIFS('자가소비(B)'!C:C, $E$1, '자가소비(B)'!G:G, B135, '자가소비(B)'!W:W, B137, '자가소비(B)'!U:U, $C$1),
    COUNTIFS('PPA 사업(C)'!C:C, $E$1, 'PPA 사업(C)'!G:G, B135, 'PPA 사업(C)'!W:W, B137, 'PPA 사업(C)'!U:U, $C$1),
    COUNTIFS('리스사업(D)'!C:C, $E$1, '리스사업(D)'!G:G, B135, '리스사업(D)'!W:W, B137, '리스사업(D)'!U:U, $C$1),
    COUNTIFS('임대사업(E)'!C:C, $E$1, '임대사업(E)'!G:G, B135, '임대사업(E)'!W:W, B137, '임대사업(E)'!U:U, $C$1),
    COUNTIFS('환경부사업(F)'!C:C, $E$1, '환경부사업(F)'!G:G, B135, '환경부사업(F)'!W:W, B137, '환경부사업(F)'!U:U, $C$1),
    COUNTIFS('프로젝트(G)'!C:C, $E$1, '프로젝트(G)'!G:G, B135, '프로젝트(G)'!W:W, B137, '프로젝트(G)'!U:U, $C$1),
    COUNTIFS('협력사 EPC(H)'!C:C, $E$1, '협력사 EPC(H)'!G:G, B135, '협력사 EPC(H)'!W:W, B137, '협력사 EPC(H)'!U:U, $C$1),
    COUNTIFS('기타(Z)'!C:C, $E$1, '기타(Z)'!G:G, B135, '기타(Z)'!W:W, B137, '기타(Z)'!U:U, $C$1)
  )
)</f>
        <v>11</v>
      </c>
      <c r="G137" s="280" t="str">
        <f>IF(
  SUM(
    SUMIFS('발전사업(A)'!I:I, '발전사업(A)'!C:C, $E$1, '발전사업(A)'!G:G, B135, '발전사업(A)'!W:W, B137, '발전사업(A)'!U:U, $D$1),
    SUMIFS('자가소비(B)'!I:I, '자가소비(B)'!C:C, $E$1, '자가소비(B)'!G:G, B135, '자가소비(B)'!W:W, B137, '자가소비(B)'!U:U, $D$1),
    SUMIFS('PPA 사업(C)'!I:I, 'PPA 사업(C)'!C:C, $E$1, 'PPA 사업(C)'!G:G, B135, 'PPA 사업(C)'!W:W, B137, 'PPA 사업(C)'!U:U, $D$1),
    SUMIFS('리스사업(D)'!I:I, '리스사업(D)'!C:C, $E$1, '리스사업(D)'!G:G, B135, '리스사업(D)'!W:W, B137, '리스사업(D)'!U:U, $D$1),
    SUMIFS('임대사업(E)'!I:I, '임대사업(E)'!C:C, $E$1, '임대사업(E)'!G:G, B135, '임대사업(E)'!W:W, B137, '임대사업(E)'!U:U, $D$1),
    SUMIFS('환경부사업(F)'!I:I, '환경부사업(F)'!C:C, $E$1, '환경부사업(F)'!G:G, B135, '환경부사업(F)'!W:W, B137, '환경부사업(F)'!U:U, $D$1),
    SUMIFS('프로젝트(G)'!I:I, '프로젝트(G)'!C:C, $E$1, '프로젝트(G)'!G:G, B135, '프로젝트(G)'!W:W, B137, '프로젝트(G)'!U:U, $D$1),
    SUMIFS('협력사 EPC(H)'!I:I, '협력사 EPC(H)'!C:C, $E$1, '협력사 EPC(H)'!G:G, B135, '협력사 EPC(H)'!W:W, B137, '협력사 EPC(H)'!U:U, $D$1),
    SUMIFS('기타(Z)'!I:I, '기타(Z)'!C:C, $E$1, '기타(Z)'!G:G, B135, '기타(Z)'!W:W, B137, '기타(Z)'!U:U, $D$1)
  ) = 0,
  "",
  SUM(
    SUMIFS('발전사업(A)'!I:I, '발전사업(A)'!C:C, $E$1, '발전사업(A)'!G:G, B135, '발전사업(A)'!W:W, B137, '발전사업(A)'!U:U, $D$1),
    SUMIFS('자가소비(B)'!I:I, '자가소비(B)'!C:C, $E$1, '자가소비(B)'!G:G, B135, '자가소비(B)'!W:W, B137, '자가소비(B)'!U:U, $D$1),
    SUMIFS('PPA 사업(C)'!I:I, 'PPA 사업(C)'!C:C, $E$1, 'PPA 사업(C)'!G:G, B135, 'PPA 사업(C)'!W:W, B137, 'PPA 사업(C)'!U:U, $D$1),
    SUMIFS('리스사업(D)'!I:I, '리스사업(D)'!C:C, $E$1, '리스사업(D)'!G:G, B135, '리스사업(D)'!W:W, B137, '리스사업(D)'!U:U, $D$1),
    SUMIFS('임대사업(E)'!I:I, '임대사업(E)'!C:C, $E$1, '임대사업(E)'!G:G, B135, '임대사업(E)'!W:W, B137, '임대사업(E)'!U:U, $D$1),
    SUMIFS('환경부사업(F)'!I:I, '환경부사업(F)'!C:C, $E$1, '환경부사업(F)'!G:G, B135, '환경부사업(F)'!W:W, B137, '환경부사업(F)'!U:U, $D$1),
    SUMIFS('프로젝트(G)'!I:I, '프로젝트(G)'!C:C, $E$1, '프로젝트(G)'!G:G, B135, '프로젝트(G)'!W:W, B137, '프로젝트(G)'!U:U, $D$1),
    SUMIFS('협력사 EPC(H)'!I:I, '협력사 EPC(H)'!C:C, $E$1, '협력사 EPC(H)'!G:G, B135, '협력사 EPC(H)'!W:W, B137, '협력사 EPC(H)'!U:U, $D$1),
    SUMIFS('기타(Z)'!I:I, '기타(Z)'!C:C, $E$1, '기타(Z)'!G:G, B135, '기타(Z)'!W:W, B137, '기타(Z)'!U:U, $D$1)
  )
)</f>
        <v/>
      </c>
      <c r="H137" s="281" t="str">
        <f>IF(
  (
    COUNTIFS('발전사업(A)'!C:C, $E$1, '발전사업(A)'!G:G, B135, '발전사업(A)'!W:W, B137, '발전사업(A)'!U:U, $D$1)
    + COUNTIFS('자가소비(B)'!C:C, $E$1, '자가소비(B)'!G:G, B135, '자가소비(B)'!W:W, B137, '자가소비(B)'!U:U, $D$1)
    + COUNTIFS('PPA 사업(C)'!C:C, $E$1, 'PPA 사업(C)'!G:G, B135, 'PPA 사업(C)'!W:W, B137, 'PPA 사업(C)'!U:U, $D$1)
    + COUNTIFS('리스사업(D)'!C:C, $E$1, '리스사업(D)'!G:G, B135, '리스사업(D)'!W:W, B137, '리스사업(D)'!U:U, $D$1)
    + COUNTIFS('임대사업(E)'!C:C, $E$1, '임대사업(E)'!G:G, B135, '임대사업(E)'!W:W, B137, '임대사업(E)'!U:U, $D$1)
    + COUNTIFS('환경부사업(F)'!C:C, $E$1, '환경부사업(F)'!G:G, B135, '환경부사업(F)'!W:W, B137, '환경부사업(F)'!U:U, $D$1)
    + COUNTIFS('프로젝트(G)'!C:C, $E$1, '프로젝트(G)'!G:G, B135, '프로젝트(G)'!W:W, B137, '프로젝트(G)'!U:U, $D$1)
    + COUNTIFS('협력사 EPC(H)'!C:C, $E$1, '협력사 EPC(H)'!G:G, B135, '협력사 EPC(H)'!W:W, B137, '협력사 EPC(H)'!U:U, $D$1)
    + COUNTIFS('기타(Z)'!C:C, $E$1, '기타(Z)'!G:G, B135, '기타(Z)'!W:W, B137, '기타(Z)'!U:U, $D$1)
  ) = 0,
  "",
  COUNTIFS('발전사업(A)'!C:C, $E$1, '발전사업(A)'!G:G, B135, '발전사업(A)'!W:W, B137, '발전사업(A)'!U:U, $D$1)
  + COUNTIFS('자가소비(B)'!C:C, $E$1, '자가소비(B)'!G:G, B135, '자가소비(B)'!W:W, B137, '자가소비(B)'!U:U, $D$1)
  + COUNTIFS('PPA 사업(C)'!C:C, $E$1, 'PPA 사업(C)'!G:G, B135, 'PPA 사업(C)'!W:W, B137, 'PPA 사업(C)'!U:U, $D$1)
  + COUNTIFS('리스사업(D)'!C:C, $E$1, '리스사업(D)'!G:G, B135, '리스사업(D)'!W:W, B137, '리스사업(D)'!U:U, $D$1)
  + COUNTIFS('임대사업(E)'!C:C, $E$1, '임대사업(E)'!G:G, B135, '임대사업(E)'!W:W, B137, '임대사업(E)'!U:U, $D$1)
  + COUNTIFS('환경부사업(F)'!C:C, $E$1, '환경부사업(F)'!G:G, B135, '환경부사업(F)'!W:W, B137, '환경부사업(F)'!U:U, $D$1)
  + COUNTIFS('프로젝트(G)'!C:C, $E$1, '프로젝트(G)'!G:G, B135, '프로젝트(G)'!W:W, B137, '프로젝트(G)'!U:U, $D$1)
  + COUNTIFS('협력사 EPC(H)'!C:C, $E$1, '협력사 EPC(H)'!G:G, B135, '협력사 EPC(H)'!W:W, B137, '협력사 EPC(H)'!U:U, $D$1)
  + COUNTIFS('기타(Z)'!C:C, $E$1, '기타(Z)'!G:G, B135, '기타(Z)'!W:W, B137, '기타(Z)'!U:U, $D$1)
)</f>
        <v/>
      </c>
    </row>
    <row r="138" spans="2:8" x14ac:dyDescent="0.25">
      <c r="B138" s="202" t="s">
        <v>260</v>
      </c>
      <c r="C138" s="280">
        <f>IF(
  SUM(
    SUMIFS('발전사업(A)'!I:I, '발전사업(A)'!C:C, $E$1, '발전사업(A)'!G:G, B135, '발전사업(A)'!W:W, B138),
    SUMIFS('자가소비(B)'!I:I, '자가소비(B)'!C:C, $E$1, '자가소비(B)'!G:G, B135, '자가소비(B)'!W:W, B138),
    SUMIFS('PPA 사업(C)'!I:I, 'PPA 사업(C)'!C:C, $E$1, 'PPA 사업(C)'!G:G, B135, 'PPA 사업(C)'!W:W, B138),
    SUMIFS('리스사업(D)'!I:I, '리스사업(D)'!C:C, $E$1, '리스사업(D)'!G:G, B135, '리스사업(D)'!W:W, B138),
    SUMIFS('임대사업(E)'!I:I, '임대사업(E)'!C:C, $E$1, '임대사업(E)'!G:G, B135, '임대사업(E)'!W:W, B138),
    SUMIFS('환경부사업(F)'!I:I, '환경부사업(F)'!C:C, $E$1, '환경부사업(F)'!G:G, B135, '환경부사업(F)'!W:W, B138),
    SUMIFS('프로젝트(G)'!I:I, '프로젝트(G)'!C:C, $E$1, '프로젝트(G)'!G:G, B135, '프로젝트(G)'!W:W, B138),
    SUMIFS('협력사 EPC(H)'!I:I, '협력사 EPC(H)'!C:C, $E$1, '협력사 EPC(H)'!G:G, B135, '협력사 EPC(H)'!W:W, B138),
    SUMIFS('기타(Z)'!I:I, '기타(Z)'!C:C, $E$1, '기타(Z)'!G:G, B135, '기타(Z)'!W:W, B138)
  ) = 0,
  "",
  SUMIFS('발전사업(A)'!I:I, '발전사업(A)'!C:C, $E$1, '발전사업(A)'!G:G, B135, '발전사업(A)'!W:W, B138)
  + SUMIFS('자가소비(B)'!I:I, '자가소비(B)'!C:C, $E$1, '자가소비(B)'!G:G, B135, '자가소비(B)'!W:W, B138)
  + SUMIFS('PPA 사업(C)'!I:I, 'PPA 사업(C)'!C:C, $E$1, 'PPA 사업(C)'!G:G, B135, 'PPA 사업(C)'!W:W, B138)
  + SUMIFS('리스사업(D)'!I:I, '리스사업(D)'!C:C, $E$1, '리스사업(D)'!G:G, B135, '리스사업(D)'!W:W, B138)
  + SUMIFS('임대사업(E)'!I:I, '임대사업(E)'!C:C, $E$1, '임대사업(E)'!G:G, B135, '임대사업(E)'!W:W, B138)
  + SUMIFS('환경부사업(F)'!I:I, '환경부사업(F)'!C:C, $E$1, '환경부사업(F)'!G:G, B135, '환경부사업(F)'!W:W, B138)
  + SUMIFS('프로젝트(G)'!I:I, '프로젝트(G)'!C:C, $E$1, '프로젝트(G)'!G:G, B135, '프로젝트(G)'!W:W, B138)
  + SUMIFS('협력사 EPC(H)'!I:I, '협력사 EPC(H)'!C:C, $E$1, '협력사 EPC(H)'!G:G, B135, '협력사 EPC(H)'!W:W, B138)
  + SUMIFS('기타(Z)'!I:I, '기타(Z)'!C:C, $E$1, '기타(Z)'!G:G, B135, '기타(Z)'!W:W, B138)
)</f>
        <v>1605.76</v>
      </c>
      <c r="D138" s="281">
        <f>IF(
  COUNTIFS('발전사업(A)'!C:C, $E$1, '발전사업(A)'!G:G, B135, '발전사업(A)'!W:W, B138)
  + COUNTIFS('자가소비(B)'!C:C, $E$1, '자가소비(B)'!G:G, B135, '자가소비(B)'!W:W, B138)
  + COUNTIFS('PPA 사업(C)'!C:C, $E$1, 'PPA 사업(C)'!G:G, B135, 'PPA 사업(C)'!W:W, B138)
  + COUNTIFS('리스사업(D)'!C:C, $E$1, '리스사업(D)'!G:G, B135, '리스사업(D)'!W:W, B138)
  + COUNTIFS('임대사업(E)'!C:C, $E$1, '임대사업(E)'!G:G, B135, '임대사업(E)'!W:W, B138)
  + COUNTIFS('환경부사업(F)'!C:C, $E$1, '환경부사업(F)'!G:G, B135, '환경부사업(F)'!W:W, B138)
  + COUNTIFS('프로젝트(G)'!C:C, $E$1, '프로젝트(G)'!G:G, B135, '프로젝트(G)'!W:W, B138)
  + COUNTIFS('협력사 EPC(H)'!C:C, $E$1, '협력사 EPC(H)'!G:G, B135, '협력사 EPC(H)'!W:W, B138)
  + COUNTIFS('기타(Z)'!C:C, $E$1, '기타(Z)'!G:G, B135, '기타(Z)'!W:W, B138)
  = 0,
  "",
  COUNTIFS('발전사업(A)'!C:C, $E$1, '발전사업(A)'!G:G, B135, '발전사업(A)'!W:W, B138)
  + COUNTIFS('자가소비(B)'!C:C, $E$1, '자가소비(B)'!G:G, B135, '자가소비(B)'!W:W, B138)
  + COUNTIFS('PPA 사업(C)'!C:C, $E$1, 'PPA 사업(C)'!G:G, B135, 'PPA 사업(C)'!W:W, B138)
  + COUNTIFS('리스사업(D)'!C:C, $E$1, '리스사업(D)'!G:G, B135, '리스사업(D)'!W:W, B138)
  + COUNTIFS('임대사업(E)'!C:C, $E$1, '임대사업(E)'!G:G, B135, '임대사업(E)'!W:W, B138)
  + COUNTIFS('환경부사업(F)'!C:C, $E$1, '환경부사업(F)'!G:G, B135, '환경부사업(F)'!W:W, B138)
  + COUNTIFS('프로젝트(G)'!C:C, $E$1, '프로젝트(G)'!G:G, B135, '프로젝트(G)'!W:W, B138)
  + COUNTIFS('협력사 EPC(H)'!C:C, $E$1, '협력사 EPC(H)'!G:G, B135, '협력사 EPC(H)'!W:W, B138)
  + COUNTIFS('기타(Z)'!C:C, $E$1, '기타(Z)'!G:G, B135, '기타(Z)'!W:W, B138)
)</f>
        <v>3</v>
      </c>
      <c r="E138" s="280">
        <f>IF(
  SUM(
    SUMIFS('발전사업(A)'!I:I, '발전사업(A)'!C:C, $E$1, '발전사업(A)'!G:G, B135, '발전사업(A)'!W:W, B138, '발전사업(A)'!U:U, $C$1),
    SUMIFS('자가소비(B)'!I:I, '자가소비(B)'!C:C, $E$1, '자가소비(B)'!G:G, B135, '자가소비(B)'!W:W, B138, '자가소비(B)'!U:U, $C$1),
    SUMIFS('PPA 사업(C)'!I:I, 'PPA 사업(C)'!C:C, $E$1, 'PPA 사업(C)'!G:G, B135, 'PPA 사업(C)'!W:W, B138, 'PPA 사업(C)'!U:U, $C$1),
    SUMIFS('리스사업(D)'!I:I, '리스사업(D)'!C:C, $E$1, '리스사업(D)'!G:G, B135, '리스사업(D)'!W:W, B138, '리스사업(D)'!U:U, $C$1),
    SUMIFS('임대사업(E)'!I:I, '임대사업(E)'!C:C, $E$1, '임대사업(E)'!G:G, B135, '임대사업(E)'!W:W, B138, '임대사업(E)'!U:U, $C$1),
    SUMIFS('환경부사업(F)'!I:I, '환경부사업(F)'!C:C, $E$1, '환경부사업(F)'!G:G, B135, '환경부사업(F)'!W:W, B138, '환경부사업(F)'!U:U, $C$1),
    SUMIFS('프로젝트(G)'!I:I, '프로젝트(G)'!C:C, $E$1, '프로젝트(G)'!G:G, B135, '프로젝트(G)'!W:W, B138, '프로젝트(G)'!U:U, $C$1),
    SUMIFS('협력사 EPC(H)'!I:I, '협력사 EPC(H)'!C:C, $E$1, '협력사 EPC(H)'!G:G, B135, '협력사 EPC(H)'!W:W, B138, '협력사 EPC(H)'!U:U, $C$1),
    SUMIFS('기타(Z)'!I:I, '기타(Z)'!C:C, $E$1, '기타(Z)'!G:G, B135, '기타(Z)'!W:W, B138, '기타(Z)'!U:U, $C$1)
  ) = 0,
  "",
  SUM(
    SUMIFS('발전사업(A)'!I:I, '발전사업(A)'!C:C, $E$1, '발전사업(A)'!G:G, B135, '발전사업(A)'!W:W, B138, '발전사업(A)'!U:U, $C$1),
    SUMIFS('자가소비(B)'!I:I, '자가소비(B)'!C:C, $E$1, '자가소비(B)'!G:G, B135, '자가소비(B)'!W:W, B138, '자가소비(B)'!U:U, $C$1),
    SUMIFS('PPA 사업(C)'!I:I, 'PPA 사업(C)'!C:C, $E$1, 'PPA 사업(C)'!G:G, B135, 'PPA 사업(C)'!W:W, B138, 'PPA 사업(C)'!U:U, $C$1),
    SUMIFS('리스사업(D)'!I:I, '리스사업(D)'!C:C, $E$1, '리스사업(D)'!G:G, B135, '리스사업(D)'!W:W, B138, '리스사업(D)'!U:U, $C$1),
    SUMIFS('임대사업(E)'!I:I, '임대사업(E)'!C:C, $E$1, '임대사업(E)'!G:G, B135, '임대사업(E)'!W:W, B138, '임대사업(E)'!U:U, $C$1),
    SUMIFS('환경부사업(F)'!I:I, '환경부사업(F)'!C:C, $E$1, '환경부사업(F)'!G:G, B135, '환경부사업(F)'!W:W, B138, '환경부사업(F)'!U:U, $C$1),
    SUMIFS('프로젝트(G)'!I:I, '프로젝트(G)'!C:C, $E$1, '프로젝트(G)'!G:G, B135, '프로젝트(G)'!W:W, B138, '프로젝트(G)'!U:U, $C$1),
    SUMIFS('협력사 EPC(H)'!I:I, '협력사 EPC(H)'!C:C, $E$1, '협력사 EPC(H)'!G:G, B135, '협력사 EPC(H)'!W:W, B138, '협력사 EPC(H)'!U:U, $C$1),
    SUMIFS('기타(Z)'!I:I, '기타(Z)'!C:C, $E$1, '기타(Z)'!G:G, B135, '기타(Z)'!W:W, B138, '기타(Z)'!U:U, $C$1)
  )
)</f>
        <v>625.28</v>
      </c>
      <c r="F138" s="281">
        <f>IF(
  SUM(
    COUNTIFS('발전사업(A)'!C:C, $E$1, '발전사업(A)'!G:G, B135, '발전사업(A)'!W:W, B138, '발전사업(A)'!U:U, $C$1),
    COUNTIFS('자가소비(B)'!C:C, $E$1, '자가소비(B)'!G:G, B135, '자가소비(B)'!W:W, B138, '자가소비(B)'!U:U, $C$1),
    COUNTIFS('PPA 사업(C)'!C:C, $E$1, 'PPA 사업(C)'!G:G, B135, 'PPA 사업(C)'!W:W, B138, 'PPA 사업(C)'!U:U, $C$1),
    COUNTIFS('리스사업(D)'!C:C, $E$1, '리스사업(D)'!G:G, B135, '리스사업(D)'!W:W, B138, '리스사업(D)'!U:U, $C$1),
    COUNTIFS('임대사업(E)'!C:C, $E$1, '임대사업(E)'!G:G, B135, '임대사업(E)'!W:W, B138, '임대사업(E)'!U:U, $C$1),
    COUNTIFS('환경부사업(F)'!C:C, $E$1, '환경부사업(F)'!G:G, B135, '환경부사업(F)'!W:W, B138, '환경부사업(F)'!U:U, $C$1),
    COUNTIFS('프로젝트(G)'!C:C, $E$1, '프로젝트(G)'!G:G, B135, '프로젝트(G)'!W:W, B138, '프로젝트(G)'!U:U, $C$1),
    COUNTIFS('협력사 EPC(H)'!C:C, $E$1, '협력사 EPC(H)'!G:G, B135, '협력사 EPC(H)'!W:W, B138, '협력사 EPC(H)'!U:U, $C$1),
    COUNTIFS('기타(Z)'!C:C, $E$1, '기타(Z)'!G:G, B135, '기타(Z)'!W:W, B138, '기타(Z)'!U:U, $C$1)
  ) = 0,
  "",
  SUM(
    COUNTIFS('발전사업(A)'!C:C, $E$1, '발전사업(A)'!G:G, B135, '발전사업(A)'!W:W, B138, '발전사업(A)'!U:U, $C$1),
    COUNTIFS('자가소비(B)'!C:C, $E$1, '자가소비(B)'!G:G, B135, '자가소비(B)'!W:W, B138, '자가소비(B)'!U:U, $C$1),
    COUNTIFS('PPA 사업(C)'!C:C, $E$1, 'PPA 사업(C)'!G:G, B135, 'PPA 사업(C)'!W:W, B138, 'PPA 사업(C)'!U:U, $C$1),
    COUNTIFS('리스사업(D)'!C:C, $E$1, '리스사업(D)'!G:G, B135, '리스사업(D)'!W:W, B138, '리스사업(D)'!U:U, $C$1),
    COUNTIFS('임대사업(E)'!C:C, $E$1, '임대사업(E)'!G:G, B135, '임대사업(E)'!W:W, B138, '임대사업(E)'!U:U, $C$1),
    COUNTIFS('환경부사업(F)'!C:C, $E$1, '환경부사업(F)'!G:G, B135, '환경부사업(F)'!W:W, B138, '환경부사업(F)'!U:U, $C$1),
    COUNTIFS('프로젝트(G)'!C:C, $E$1, '프로젝트(G)'!G:G, B135, '프로젝트(G)'!W:W, B138, '프로젝트(G)'!U:U, $C$1),
    COUNTIFS('협력사 EPC(H)'!C:C, $E$1, '협력사 EPC(H)'!G:G, B135, '협력사 EPC(H)'!W:W, B138, '협력사 EPC(H)'!U:U, $C$1),
    COUNTIFS('기타(Z)'!C:C, $E$1, '기타(Z)'!G:G, B135, '기타(Z)'!W:W, B138, '기타(Z)'!U:U, $C$1)
  )
)</f>
        <v>2</v>
      </c>
      <c r="G138" s="280">
        <f>IF(
  SUM(
    SUMIFS('발전사업(A)'!I:I, '발전사업(A)'!C:C, $E$1, '발전사업(A)'!G:G, B135, '발전사업(A)'!W:W, B138, '발전사업(A)'!U:U, $D$1),
    SUMIFS('자가소비(B)'!I:I, '자가소비(B)'!C:C, $E$1, '자가소비(B)'!G:G, B135, '자가소비(B)'!W:W, B138, '자가소비(B)'!U:U, $D$1),
    SUMIFS('PPA 사업(C)'!I:I, 'PPA 사업(C)'!C:C, $E$1, 'PPA 사업(C)'!G:G, B135, 'PPA 사업(C)'!W:W, B138, 'PPA 사업(C)'!U:U, $D$1),
    SUMIFS('리스사업(D)'!I:I, '리스사업(D)'!C:C, $E$1, '리스사업(D)'!G:G, B135, '리스사업(D)'!W:W, B138, '리스사업(D)'!U:U, $D$1),
    SUMIFS('임대사업(E)'!I:I, '임대사업(E)'!C:C, $E$1, '임대사업(E)'!G:G, B135, '임대사업(E)'!W:W, B138, '임대사업(E)'!U:U, $D$1),
    SUMIFS('환경부사업(F)'!I:I, '환경부사업(F)'!C:C, $E$1, '환경부사업(F)'!G:G, B135, '환경부사업(F)'!W:W, B138, '환경부사업(F)'!U:U, $D$1),
    SUMIFS('프로젝트(G)'!I:I, '프로젝트(G)'!C:C, $E$1, '프로젝트(G)'!G:G, B135, '프로젝트(G)'!W:W, B138, '프로젝트(G)'!U:U, $D$1),
    SUMIFS('협력사 EPC(H)'!I:I, '협력사 EPC(H)'!C:C, $E$1, '협력사 EPC(H)'!G:G, B135, '협력사 EPC(H)'!W:W, B138, '협력사 EPC(H)'!U:U, $D$1),
    SUMIFS('기타(Z)'!I:I, '기타(Z)'!C:C, $E$1, '기타(Z)'!G:G, B135, '기타(Z)'!W:W, B138, '기타(Z)'!U:U, $D$1)
  ) = 0,
  "",
  SUM(
    SUMIFS('발전사업(A)'!I:I, '발전사업(A)'!C:C, $E$1, '발전사업(A)'!G:G, B135, '발전사업(A)'!W:W, B138, '발전사업(A)'!U:U, $D$1),
    SUMIFS('자가소비(B)'!I:I, '자가소비(B)'!C:C, $E$1, '자가소비(B)'!G:G, B135, '자가소비(B)'!W:W, B138, '자가소비(B)'!U:U, $D$1),
    SUMIFS('PPA 사업(C)'!I:I, 'PPA 사업(C)'!C:C, $E$1, 'PPA 사업(C)'!G:G, B135, 'PPA 사업(C)'!W:W, B138, 'PPA 사업(C)'!U:U, $D$1),
    SUMIFS('리스사업(D)'!I:I, '리스사업(D)'!C:C, $E$1, '리스사업(D)'!G:G, B135, '리스사업(D)'!W:W, B138, '리스사업(D)'!U:U, $D$1),
    SUMIFS('임대사업(E)'!I:I, '임대사업(E)'!C:C, $E$1, '임대사업(E)'!G:G, B135, '임대사업(E)'!W:W, B138, '임대사업(E)'!U:U, $D$1),
    SUMIFS('환경부사업(F)'!I:I, '환경부사업(F)'!C:C, $E$1, '환경부사업(F)'!G:G, B135, '환경부사업(F)'!W:W, B138, '환경부사업(F)'!U:U, $D$1),
    SUMIFS('프로젝트(G)'!I:I, '프로젝트(G)'!C:C, $E$1, '프로젝트(G)'!G:G, B135, '프로젝트(G)'!W:W, B138, '프로젝트(G)'!U:U, $D$1),
    SUMIFS('협력사 EPC(H)'!I:I, '협력사 EPC(H)'!C:C, $E$1, '협력사 EPC(H)'!G:G, B135, '협력사 EPC(H)'!W:W, B138, '협력사 EPC(H)'!U:U, $D$1),
    SUMIFS('기타(Z)'!I:I, '기타(Z)'!C:C, $E$1, '기타(Z)'!G:G, B135, '기타(Z)'!W:W, B138, '기타(Z)'!U:U, $D$1)
  )
)</f>
        <v>980.48</v>
      </c>
      <c r="H138" s="281">
        <f>IF(
  (
    COUNTIFS('발전사업(A)'!C:C, $E$1, '발전사업(A)'!G:G, B135, '발전사업(A)'!W:W, B138, '발전사업(A)'!U:U, $D$1)
    + COUNTIFS('자가소비(B)'!C:C, $E$1, '자가소비(B)'!G:G, B135, '자가소비(B)'!W:W, B138, '자가소비(B)'!U:U, $D$1)
    + COUNTIFS('PPA 사업(C)'!C:C, $E$1, 'PPA 사업(C)'!G:G, B135, 'PPA 사업(C)'!W:W, B138, 'PPA 사업(C)'!U:U, $D$1)
    + COUNTIFS('리스사업(D)'!C:C, $E$1, '리스사업(D)'!G:G, B135, '리스사업(D)'!W:W, B138, '리스사업(D)'!U:U, $D$1)
    + COUNTIFS('임대사업(E)'!C:C, $E$1, '임대사업(E)'!G:G, B135, '임대사업(E)'!W:W, B138, '임대사업(E)'!U:U, $D$1)
    + COUNTIFS('환경부사업(F)'!C:C, $E$1, '환경부사업(F)'!G:G, B135, '환경부사업(F)'!W:W, B138, '환경부사업(F)'!U:U, $D$1)
    + COUNTIFS('프로젝트(G)'!C:C, $E$1, '프로젝트(G)'!G:G, B135, '프로젝트(G)'!W:W, B138, '프로젝트(G)'!U:U, $D$1)
    + COUNTIFS('협력사 EPC(H)'!C:C, $E$1, '협력사 EPC(H)'!G:G, B135, '협력사 EPC(H)'!W:W, B138, '협력사 EPC(H)'!U:U, $D$1)
    + COUNTIFS('기타(Z)'!C:C, $E$1, '기타(Z)'!G:G, B135, '기타(Z)'!W:W, B138, '기타(Z)'!U:U, $D$1)
  ) = 0,
  "",
  COUNTIFS('발전사업(A)'!C:C, $E$1, '발전사업(A)'!G:G, B135, '발전사업(A)'!W:W, B138, '발전사업(A)'!U:U, $D$1)
  + COUNTIFS('자가소비(B)'!C:C, $E$1, '자가소비(B)'!G:G, B135, '자가소비(B)'!W:W, B138, '자가소비(B)'!U:U, $D$1)
  + COUNTIFS('PPA 사업(C)'!C:C, $E$1, 'PPA 사업(C)'!G:G, B135, 'PPA 사업(C)'!W:W, B138, 'PPA 사업(C)'!U:U, $D$1)
  + COUNTIFS('리스사업(D)'!C:C, $E$1, '리스사업(D)'!G:G, B135, '리스사업(D)'!W:W, B138, '리스사업(D)'!U:U, $D$1)
  + COUNTIFS('임대사업(E)'!C:C, $E$1, '임대사업(E)'!G:G, B135, '임대사업(E)'!W:W, B138, '임대사업(E)'!U:U, $D$1)
  + COUNTIFS('환경부사업(F)'!C:C, $E$1, '환경부사업(F)'!G:G, B135, '환경부사업(F)'!W:W, B138, '환경부사업(F)'!U:U, $D$1)
  + COUNTIFS('프로젝트(G)'!C:C, $E$1, '프로젝트(G)'!G:G, B135, '프로젝트(G)'!W:W, B138, '프로젝트(G)'!U:U, $D$1)
  + COUNTIFS('협력사 EPC(H)'!C:C, $E$1, '협력사 EPC(H)'!G:G, B135, '협력사 EPC(H)'!W:W, B138, '협력사 EPC(H)'!U:U, $D$1)
  + COUNTIFS('기타(Z)'!C:C, $E$1, '기타(Z)'!G:G, B135, '기타(Z)'!W:W, B138, '기타(Z)'!U:U, $D$1)
)</f>
        <v>1</v>
      </c>
    </row>
    <row r="139" spans="2:8" x14ac:dyDescent="0.25">
      <c r="B139" s="202" t="s">
        <v>261</v>
      </c>
      <c r="C139" s="280">
        <f>IF(
  SUM(
    SUMIFS('발전사업(A)'!I:I, '발전사업(A)'!C:C, $E$1, '발전사업(A)'!G:G, B135, '발전사업(A)'!W:W, B139),
    SUMIFS('자가소비(B)'!I:I, '자가소비(B)'!C:C, $E$1, '자가소비(B)'!G:G, B135, '자가소비(B)'!W:W, B139),
    SUMIFS('PPA 사업(C)'!I:I, 'PPA 사업(C)'!C:C, $E$1, 'PPA 사업(C)'!G:G, B135, 'PPA 사업(C)'!W:W, B139),
    SUMIFS('리스사업(D)'!I:I, '리스사업(D)'!C:C, $E$1, '리스사업(D)'!G:G, B135, '리스사업(D)'!W:W, B139),
    SUMIFS('임대사업(E)'!I:I, '임대사업(E)'!C:C, $E$1, '임대사업(E)'!G:G, B135, '임대사업(E)'!W:W, B139),
    SUMIFS('환경부사업(F)'!I:I, '환경부사업(F)'!C:C, $E$1, '환경부사업(F)'!G:G, B135, '환경부사업(F)'!W:W, B139),
    SUMIFS('프로젝트(G)'!I:I, '프로젝트(G)'!C:C, $E$1, '프로젝트(G)'!G:G, B135, '프로젝트(G)'!W:W, B139),
    SUMIFS('협력사 EPC(H)'!I:I, '협력사 EPC(H)'!C:C, $E$1, '협력사 EPC(H)'!G:G, B135, '협력사 EPC(H)'!W:W, B139),
    SUMIFS('기타(Z)'!I:I, '기타(Z)'!C:C, $E$1, '기타(Z)'!G:G, B135, '기타(Z)'!W:W, B139)
  ) = 0,
  "",
  SUMIFS('발전사업(A)'!I:I, '발전사업(A)'!C:C, $E$1, '발전사업(A)'!G:G, B135, '발전사업(A)'!W:W, B139)
  + SUMIFS('자가소비(B)'!I:I, '자가소비(B)'!C:C, $E$1, '자가소비(B)'!G:G, B135, '자가소비(B)'!W:W, B139)
  + SUMIFS('PPA 사업(C)'!I:I, 'PPA 사업(C)'!C:C, $E$1, 'PPA 사업(C)'!G:G, B135, 'PPA 사업(C)'!W:W, B139)
  + SUMIFS('리스사업(D)'!I:I, '리스사업(D)'!C:C, $E$1, '리스사업(D)'!G:G, B135, '리스사업(D)'!W:W, B139)
  + SUMIFS('임대사업(E)'!I:I, '임대사업(E)'!C:C, $E$1, '임대사업(E)'!G:G, B135, '임대사업(E)'!W:W, B139)
  + SUMIFS('환경부사업(F)'!I:I, '환경부사업(F)'!C:C, $E$1, '환경부사업(F)'!G:G, B135, '환경부사업(F)'!W:W, B139)
  + SUMIFS('프로젝트(G)'!I:I, '프로젝트(G)'!C:C, $E$1, '프로젝트(G)'!G:G, B135, '프로젝트(G)'!W:W, B139)
  + SUMIFS('협력사 EPC(H)'!I:I, '협력사 EPC(H)'!C:C, $E$1, '협력사 EPC(H)'!G:G, B135, '협력사 EPC(H)'!W:W, B139)
  + SUMIFS('기타(Z)'!I:I, '기타(Z)'!C:C, $E$1, '기타(Z)'!G:G, B135, '기타(Z)'!W:W, B139)
)</f>
        <v>136.095</v>
      </c>
      <c r="D139" s="281">
        <f>IF(
  COUNTIFS('발전사업(A)'!C:C, $E$1, '발전사업(A)'!G:G, B135, '발전사업(A)'!W:W, B139)
  + COUNTIFS('자가소비(B)'!C:C, $E$1, '자가소비(B)'!G:G, B135, '자가소비(B)'!W:W, B139)
  + COUNTIFS('PPA 사업(C)'!C:C, $E$1, 'PPA 사업(C)'!G:G, B135, 'PPA 사업(C)'!W:W, B139)
  + COUNTIFS('리스사업(D)'!C:C, $E$1, '리스사업(D)'!G:G, B135, '리스사업(D)'!W:W, B139)
  + COUNTIFS('임대사업(E)'!C:C, $E$1, '임대사업(E)'!G:G, B135, '임대사업(E)'!W:W, B139)
  + COUNTIFS('환경부사업(F)'!C:C, $E$1, '환경부사업(F)'!G:G, B135, '환경부사업(F)'!W:W, B139)
  + COUNTIFS('프로젝트(G)'!C:C, $E$1, '프로젝트(G)'!G:G, B135, '프로젝트(G)'!W:W, B139)
  + COUNTIFS('협력사 EPC(H)'!C:C, $E$1, '협력사 EPC(H)'!G:G, B135, '협력사 EPC(H)'!W:W, B139)
  + COUNTIFS('기타(Z)'!C:C, $E$1, '기타(Z)'!G:G, B135, '기타(Z)'!W:W, B139)
  = 0,
  "",
  COUNTIFS('발전사업(A)'!C:C, $E$1, '발전사업(A)'!G:G, B135, '발전사업(A)'!W:W, B139)
  + COUNTIFS('자가소비(B)'!C:C, $E$1, '자가소비(B)'!G:G, B135, '자가소비(B)'!W:W, B139)
  + COUNTIFS('PPA 사업(C)'!C:C, $E$1, 'PPA 사업(C)'!G:G, B135, 'PPA 사업(C)'!W:W, B139)
  + COUNTIFS('리스사업(D)'!C:C, $E$1, '리스사업(D)'!G:G, B135, '리스사업(D)'!W:W, B139)
  + COUNTIFS('임대사업(E)'!C:C, $E$1, '임대사업(E)'!G:G, B135, '임대사업(E)'!W:W, B139)
  + COUNTIFS('환경부사업(F)'!C:C, $E$1, '환경부사업(F)'!G:G, B135, '환경부사업(F)'!W:W, B139)
  + COUNTIFS('프로젝트(G)'!C:C, $E$1, '프로젝트(G)'!G:G, B135, '프로젝트(G)'!W:W, B139)
  + COUNTIFS('협력사 EPC(H)'!C:C, $E$1, '협력사 EPC(H)'!G:G, B135, '협력사 EPC(H)'!W:W, B139)
  + COUNTIFS('기타(Z)'!C:C, $E$1, '기타(Z)'!G:G, B135, '기타(Z)'!W:W, B139)
)</f>
        <v>1</v>
      </c>
      <c r="E139" s="280">
        <f>IF(
  SUM(
    SUMIFS('발전사업(A)'!I:I, '발전사업(A)'!C:C, $E$1, '발전사업(A)'!G:G, B135, '발전사업(A)'!W:W, B139, '발전사업(A)'!U:U, $C$1),
    SUMIFS('자가소비(B)'!I:I, '자가소비(B)'!C:C, $E$1, '자가소비(B)'!G:G, B135, '자가소비(B)'!W:W, B139, '자가소비(B)'!U:U, $C$1),
    SUMIFS('PPA 사업(C)'!I:I, 'PPA 사업(C)'!C:C, $E$1, 'PPA 사업(C)'!G:G, B135, 'PPA 사업(C)'!W:W, B139, 'PPA 사업(C)'!U:U, $C$1),
    SUMIFS('리스사업(D)'!I:I, '리스사업(D)'!C:C, $E$1, '리스사업(D)'!G:G, B135, '리스사업(D)'!W:W, B139, '리스사업(D)'!U:U, $C$1),
    SUMIFS('임대사업(E)'!I:I, '임대사업(E)'!C:C, $E$1, '임대사업(E)'!G:G, B135, '임대사업(E)'!W:W, B139, '임대사업(E)'!U:U, $C$1),
    SUMIFS('환경부사업(F)'!I:I, '환경부사업(F)'!C:C, $E$1, '환경부사업(F)'!G:G, B135, '환경부사업(F)'!W:W, B139, '환경부사업(F)'!U:U, $C$1),
    SUMIFS('프로젝트(G)'!I:I, '프로젝트(G)'!C:C, $E$1, '프로젝트(G)'!G:G, B135, '프로젝트(G)'!W:W, B139, '프로젝트(G)'!U:U, $C$1),
    SUMIFS('협력사 EPC(H)'!I:I, '협력사 EPC(H)'!C:C, $E$1, '협력사 EPC(H)'!G:G, B135, '협력사 EPC(H)'!W:W, B139, '협력사 EPC(H)'!U:U, $C$1),
    SUMIFS('기타(Z)'!I:I, '기타(Z)'!C:C, $E$1, '기타(Z)'!G:G, B135, '기타(Z)'!W:W, B139, '기타(Z)'!U:U, $C$1)
  ) = 0,
  "",
  SUM(
    SUMIFS('발전사업(A)'!I:I, '발전사업(A)'!C:C, $E$1, '발전사업(A)'!G:G, B135, '발전사업(A)'!W:W, B139, '발전사업(A)'!U:U, $C$1),
    SUMIFS('자가소비(B)'!I:I, '자가소비(B)'!C:C, $E$1, '자가소비(B)'!G:G, B135, '자가소비(B)'!W:W, B139, '자가소비(B)'!U:U, $C$1),
    SUMIFS('PPA 사업(C)'!I:I, 'PPA 사업(C)'!C:C, $E$1, 'PPA 사업(C)'!G:G, B135, 'PPA 사업(C)'!W:W, B139, 'PPA 사업(C)'!U:U, $C$1),
    SUMIFS('리스사업(D)'!I:I, '리스사업(D)'!C:C, $E$1, '리스사업(D)'!G:G, B135, '리스사업(D)'!W:W, B139, '리스사업(D)'!U:U, $C$1),
    SUMIFS('임대사업(E)'!I:I, '임대사업(E)'!C:C, $E$1, '임대사업(E)'!G:G, B135, '임대사업(E)'!W:W, B139, '임대사업(E)'!U:U, $C$1),
    SUMIFS('환경부사업(F)'!I:I, '환경부사업(F)'!C:C, $E$1, '환경부사업(F)'!G:G, B135, '환경부사업(F)'!W:W, B139, '환경부사업(F)'!U:U, $C$1),
    SUMIFS('프로젝트(G)'!I:I, '프로젝트(G)'!C:C, $E$1, '프로젝트(G)'!G:G, B135, '프로젝트(G)'!W:W, B139, '프로젝트(G)'!U:U, $C$1),
    SUMIFS('협력사 EPC(H)'!I:I, '협력사 EPC(H)'!C:C, $E$1, '협력사 EPC(H)'!G:G, B135, '협력사 EPC(H)'!W:W, B139, '협력사 EPC(H)'!U:U, $C$1),
    SUMIFS('기타(Z)'!I:I, '기타(Z)'!C:C, $E$1, '기타(Z)'!G:G, B135, '기타(Z)'!W:W, B139, '기타(Z)'!U:U, $C$1)
  )
)</f>
        <v>136.095</v>
      </c>
      <c r="F139" s="281">
        <f>IF(
  SUM(
    COUNTIFS('발전사업(A)'!C:C, $E$1, '발전사업(A)'!G:G, B135, '발전사업(A)'!W:W, B139, '발전사업(A)'!U:U, $C$1),
    COUNTIFS('자가소비(B)'!C:C, $E$1, '자가소비(B)'!G:G, B135, '자가소비(B)'!W:W, B139, '자가소비(B)'!U:U, $C$1),
    COUNTIFS('PPA 사업(C)'!C:C, $E$1, 'PPA 사업(C)'!G:G, B135, 'PPA 사업(C)'!W:W, B139, 'PPA 사업(C)'!U:U, $C$1),
    COUNTIFS('리스사업(D)'!C:C, $E$1, '리스사업(D)'!G:G, B135, '리스사업(D)'!W:W, B139, '리스사업(D)'!U:U, $C$1),
    COUNTIFS('임대사업(E)'!C:C, $E$1, '임대사업(E)'!G:G, B135, '임대사업(E)'!W:W, B139, '임대사업(E)'!U:U, $C$1),
    COUNTIFS('환경부사업(F)'!C:C, $E$1, '환경부사업(F)'!G:G, B135, '환경부사업(F)'!W:W, B139, '환경부사업(F)'!U:U, $C$1),
    COUNTIFS('프로젝트(G)'!C:C, $E$1, '프로젝트(G)'!G:G, B135, '프로젝트(G)'!W:W, B139, '프로젝트(G)'!U:U, $C$1),
    COUNTIFS('협력사 EPC(H)'!C:C, $E$1, '협력사 EPC(H)'!G:G, B135, '협력사 EPC(H)'!W:W, B139, '협력사 EPC(H)'!U:U, $C$1),
    COUNTIFS('기타(Z)'!C:C, $E$1, '기타(Z)'!G:G, B135, '기타(Z)'!W:W, B139, '기타(Z)'!U:U, $C$1)
  ) = 0,
  "",
  SUM(
    COUNTIFS('발전사업(A)'!C:C, $E$1, '발전사업(A)'!G:G, B135, '발전사업(A)'!W:W, B139, '발전사업(A)'!U:U, $C$1),
    COUNTIFS('자가소비(B)'!C:C, $E$1, '자가소비(B)'!G:G, B135, '자가소비(B)'!W:W, B139, '자가소비(B)'!U:U, $C$1),
    COUNTIFS('PPA 사업(C)'!C:C, $E$1, 'PPA 사업(C)'!G:G, B135, 'PPA 사업(C)'!W:W, B139, 'PPA 사업(C)'!U:U, $C$1),
    COUNTIFS('리스사업(D)'!C:C, $E$1, '리스사업(D)'!G:G, B135, '리스사업(D)'!W:W, B139, '리스사업(D)'!U:U, $C$1),
    COUNTIFS('임대사업(E)'!C:C, $E$1, '임대사업(E)'!G:G, B135, '임대사업(E)'!W:W, B139, '임대사업(E)'!U:U, $C$1),
    COUNTIFS('환경부사업(F)'!C:C, $E$1, '환경부사업(F)'!G:G, B135, '환경부사업(F)'!W:W, B139, '환경부사업(F)'!U:U, $C$1),
    COUNTIFS('프로젝트(G)'!C:C, $E$1, '프로젝트(G)'!G:G, B135, '프로젝트(G)'!W:W, B139, '프로젝트(G)'!U:U, $C$1),
    COUNTIFS('협력사 EPC(H)'!C:C, $E$1, '협력사 EPC(H)'!G:G, B135, '협력사 EPC(H)'!W:W, B139, '협력사 EPC(H)'!U:U, $C$1),
    COUNTIFS('기타(Z)'!C:C, $E$1, '기타(Z)'!G:G, B135, '기타(Z)'!W:W, B139, '기타(Z)'!U:U, $C$1)
  )
)</f>
        <v>1</v>
      </c>
      <c r="G139" s="280" t="str">
        <f>IF(
  SUM(
    SUMIFS('발전사업(A)'!I:I, '발전사업(A)'!C:C, $E$1, '발전사업(A)'!G:G, B135, '발전사업(A)'!W:W, B139, '발전사업(A)'!U:U, $D$1),
    SUMIFS('자가소비(B)'!I:I, '자가소비(B)'!C:C, $E$1, '자가소비(B)'!G:G, B135, '자가소비(B)'!W:W, B139, '자가소비(B)'!U:U, $D$1),
    SUMIFS('PPA 사업(C)'!I:I, 'PPA 사업(C)'!C:C, $E$1, 'PPA 사업(C)'!G:G, B135, 'PPA 사업(C)'!W:W, B139, 'PPA 사업(C)'!U:U, $D$1),
    SUMIFS('리스사업(D)'!I:I, '리스사업(D)'!C:C, $E$1, '리스사업(D)'!G:G, B135, '리스사업(D)'!W:W, B139, '리스사업(D)'!U:U, $D$1),
    SUMIFS('임대사업(E)'!I:I, '임대사업(E)'!C:C, $E$1, '임대사업(E)'!G:G, B135, '임대사업(E)'!W:W, B139, '임대사업(E)'!U:U, $D$1),
    SUMIFS('환경부사업(F)'!I:I, '환경부사업(F)'!C:C, $E$1, '환경부사업(F)'!G:G, B135, '환경부사업(F)'!W:W, B139, '환경부사업(F)'!U:U, $D$1),
    SUMIFS('프로젝트(G)'!I:I, '프로젝트(G)'!C:C, $E$1, '프로젝트(G)'!G:G, B135, '프로젝트(G)'!W:W, B139, '프로젝트(G)'!U:U, $D$1),
    SUMIFS('협력사 EPC(H)'!I:I, '협력사 EPC(H)'!C:C, $E$1, '협력사 EPC(H)'!G:G, B135, '협력사 EPC(H)'!W:W, B139, '협력사 EPC(H)'!U:U, $D$1),
    SUMIFS('기타(Z)'!I:I, '기타(Z)'!C:C, $E$1, '기타(Z)'!G:G, B135, '기타(Z)'!W:W, B139, '기타(Z)'!U:U, $D$1)
  ) = 0,
  "",
  SUM(
    SUMIFS('발전사업(A)'!I:I, '발전사업(A)'!C:C, $E$1, '발전사업(A)'!G:G, B135, '발전사업(A)'!W:W, B139, '발전사업(A)'!U:U, $D$1),
    SUMIFS('자가소비(B)'!I:I, '자가소비(B)'!C:C, $E$1, '자가소비(B)'!G:G, B135, '자가소비(B)'!W:W, B139, '자가소비(B)'!U:U, $D$1),
    SUMIFS('PPA 사업(C)'!I:I, 'PPA 사업(C)'!C:C, $E$1, 'PPA 사업(C)'!G:G, B135, 'PPA 사업(C)'!W:W, B139, 'PPA 사업(C)'!U:U, $D$1),
    SUMIFS('리스사업(D)'!I:I, '리스사업(D)'!C:C, $E$1, '리스사업(D)'!G:G, B135, '리스사업(D)'!W:W, B139, '리스사업(D)'!U:U, $D$1),
    SUMIFS('임대사업(E)'!I:I, '임대사업(E)'!C:C, $E$1, '임대사업(E)'!G:G, B135, '임대사업(E)'!W:W, B139, '임대사업(E)'!U:U, $D$1),
    SUMIFS('환경부사업(F)'!I:I, '환경부사업(F)'!C:C, $E$1, '환경부사업(F)'!G:G, B135, '환경부사업(F)'!W:W, B139, '환경부사업(F)'!U:U, $D$1),
    SUMIFS('프로젝트(G)'!I:I, '프로젝트(G)'!C:C, $E$1, '프로젝트(G)'!G:G, B135, '프로젝트(G)'!W:W, B139, '프로젝트(G)'!U:U, $D$1),
    SUMIFS('협력사 EPC(H)'!I:I, '협력사 EPC(H)'!C:C, $E$1, '협력사 EPC(H)'!G:G, B135, '협력사 EPC(H)'!W:W, B139, '협력사 EPC(H)'!U:U, $D$1),
    SUMIFS('기타(Z)'!I:I, '기타(Z)'!C:C, $E$1, '기타(Z)'!G:G, B135, '기타(Z)'!W:W, B139, '기타(Z)'!U:U, $D$1)
  )
)</f>
        <v/>
      </c>
      <c r="H139" s="281" t="str">
        <f>IF(
  (
    COUNTIFS('발전사업(A)'!C:C, $E$1, '발전사업(A)'!G:G, B135, '발전사업(A)'!W:W, B139, '발전사업(A)'!U:U, $D$1)
    + COUNTIFS('자가소비(B)'!C:C, $E$1, '자가소비(B)'!G:G, B135, '자가소비(B)'!W:W, B139, '자가소비(B)'!U:U, $D$1)
    + COUNTIFS('PPA 사업(C)'!C:C, $E$1, 'PPA 사업(C)'!G:G, B135, 'PPA 사업(C)'!W:W, B139, 'PPA 사업(C)'!U:U, $D$1)
    + COUNTIFS('리스사업(D)'!C:C, $E$1, '리스사업(D)'!G:G, B135, '리스사업(D)'!W:W, B139, '리스사업(D)'!U:U, $D$1)
    + COUNTIFS('임대사업(E)'!C:C, $E$1, '임대사업(E)'!G:G, B135, '임대사업(E)'!W:W, B139, '임대사업(E)'!U:U, $D$1)
    + COUNTIFS('환경부사업(F)'!C:C, $E$1, '환경부사업(F)'!G:G, B135, '환경부사업(F)'!W:W, B139, '환경부사업(F)'!U:U, $D$1)
    + COUNTIFS('프로젝트(G)'!C:C, $E$1, '프로젝트(G)'!G:G, B135, '프로젝트(G)'!W:W, B139, '프로젝트(G)'!U:U, $D$1)
    + COUNTIFS('협력사 EPC(H)'!C:C, $E$1, '협력사 EPC(H)'!G:G, B135, '협력사 EPC(H)'!W:W, B139, '협력사 EPC(H)'!U:U, $D$1)
    + COUNTIFS('기타(Z)'!C:C, $E$1, '기타(Z)'!G:G, B135, '기타(Z)'!W:W, B139, '기타(Z)'!U:U, $D$1)
  ) = 0,
  "",
  COUNTIFS('발전사업(A)'!C:C, $E$1, '발전사업(A)'!G:G, B135, '발전사업(A)'!W:W, B139, '발전사업(A)'!U:U, $D$1)
  + COUNTIFS('자가소비(B)'!C:C, $E$1, '자가소비(B)'!G:G, B135, '자가소비(B)'!W:W, B139, '자가소비(B)'!U:U, $D$1)
  + COUNTIFS('PPA 사업(C)'!C:C, $E$1, 'PPA 사업(C)'!G:G, B135, 'PPA 사업(C)'!W:W, B139, 'PPA 사업(C)'!U:U, $D$1)
  + COUNTIFS('리스사업(D)'!C:C, $E$1, '리스사업(D)'!G:G, B135, '리스사업(D)'!W:W, B139, '리스사업(D)'!U:U, $D$1)
  + COUNTIFS('임대사업(E)'!C:C, $E$1, '임대사업(E)'!G:G, B135, '임대사업(E)'!W:W, B139, '임대사업(E)'!U:U, $D$1)
  + COUNTIFS('환경부사업(F)'!C:C, $E$1, '환경부사업(F)'!G:G, B135, '환경부사업(F)'!W:W, B139, '환경부사업(F)'!U:U, $D$1)
  + COUNTIFS('프로젝트(G)'!C:C, $E$1, '프로젝트(G)'!G:G, B135, '프로젝트(G)'!W:W, B139, '프로젝트(G)'!U:U, $D$1)
  + COUNTIFS('협력사 EPC(H)'!C:C, $E$1, '협력사 EPC(H)'!G:G, B135, '협력사 EPC(H)'!W:W, B139, '협력사 EPC(H)'!U:U, $D$1)
  + COUNTIFS('기타(Z)'!C:C, $E$1, '기타(Z)'!G:G, B135, '기타(Z)'!W:W, B139, '기타(Z)'!U:U, $D$1)
)</f>
        <v/>
      </c>
    </row>
    <row r="140" spans="2:8" x14ac:dyDescent="0.25">
      <c r="B140" s="202" t="s">
        <v>262</v>
      </c>
      <c r="C140" s="280">
        <f>IF(
  SUM(
    SUMIFS('발전사업(A)'!I:I, '발전사업(A)'!C:C, $E$1, '발전사업(A)'!G:G, B135, '발전사업(A)'!W:W, B140),
    SUMIFS('자가소비(B)'!I:I, '자가소비(B)'!C:C, $E$1, '자가소비(B)'!G:G, B135, '자가소비(B)'!W:W, B140),
    SUMIFS('PPA 사업(C)'!I:I, 'PPA 사업(C)'!C:C, $E$1, 'PPA 사업(C)'!G:G, B135, 'PPA 사업(C)'!W:W, B140),
    SUMIFS('리스사업(D)'!I:I, '리스사업(D)'!C:C, $E$1, '리스사업(D)'!G:G, B135, '리스사업(D)'!W:W, B140),
    SUMIFS('임대사업(E)'!I:I, '임대사업(E)'!C:C, $E$1, '임대사업(E)'!G:G, B135, '임대사업(E)'!W:W, B140),
    SUMIFS('환경부사업(F)'!I:I, '환경부사업(F)'!C:C, $E$1, '환경부사업(F)'!G:G, B135, '환경부사업(F)'!W:W, B140),
    SUMIFS('프로젝트(G)'!I:I, '프로젝트(G)'!C:C, $E$1, '프로젝트(G)'!G:G, B135, '프로젝트(G)'!W:W, B140),
    SUMIFS('협력사 EPC(H)'!I:I, '협력사 EPC(H)'!C:C, $E$1, '협력사 EPC(H)'!G:G, B135, '협력사 EPC(H)'!W:W, B140),
    SUMIFS('기타(Z)'!I:I, '기타(Z)'!C:C, $E$1, '기타(Z)'!G:G, B135, '기타(Z)'!W:W, B140)
  ) = 0,
  "",
  SUMIFS('발전사업(A)'!I:I, '발전사업(A)'!C:C, $E$1, '발전사업(A)'!G:G, B135, '발전사업(A)'!W:W, B140)
  + SUMIFS('자가소비(B)'!I:I, '자가소비(B)'!C:C, $E$1, '자가소비(B)'!G:G, B135, '자가소비(B)'!W:W, B140)
  + SUMIFS('PPA 사업(C)'!I:I, 'PPA 사업(C)'!C:C, $E$1, 'PPA 사업(C)'!G:G, B135, 'PPA 사업(C)'!W:W, B140)
  + SUMIFS('리스사업(D)'!I:I, '리스사업(D)'!C:C, $E$1, '리스사업(D)'!G:G, B135, '리스사업(D)'!W:W, B140)
  + SUMIFS('임대사업(E)'!I:I, '임대사업(E)'!C:C, $E$1, '임대사업(E)'!G:G, B135, '임대사업(E)'!W:W, B140)
  + SUMIFS('환경부사업(F)'!I:I, '환경부사업(F)'!C:C, $E$1, '환경부사업(F)'!G:G, B135, '환경부사업(F)'!W:W, B140)
  + SUMIFS('프로젝트(G)'!I:I, '프로젝트(G)'!C:C, $E$1, '프로젝트(G)'!G:G, B135, '프로젝트(G)'!W:W, B140)
  + SUMIFS('협력사 EPC(H)'!I:I, '협력사 EPC(H)'!C:C, $E$1, '협력사 EPC(H)'!G:G, B135, '협력사 EPC(H)'!W:W, B140)
  + SUMIFS('기타(Z)'!I:I, '기타(Z)'!C:C, $E$1, '기타(Z)'!G:G, B135, '기타(Z)'!W:W, B140)
)</f>
        <v>370.01</v>
      </c>
      <c r="D140" s="281">
        <f>IF(
  COUNTIFS('발전사업(A)'!C:C, $E$1, '발전사업(A)'!G:G, B135, '발전사업(A)'!W:W, B140)
  + COUNTIFS('자가소비(B)'!C:C, $E$1, '자가소비(B)'!G:G, B135, '자가소비(B)'!W:W, B140)
  + COUNTIFS('PPA 사업(C)'!C:C, $E$1, 'PPA 사업(C)'!G:G, B135, 'PPA 사업(C)'!W:W, B140)
  + COUNTIFS('리스사업(D)'!C:C, $E$1, '리스사업(D)'!G:G, B135, '리스사업(D)'!W:W, B140)
  + COUNTIFS('임대사업(E)'!C:C, $E$1, '임대사업(E)'!G:G, B135, '임대사업(E)'!W:W, B140)
  + COUNTIFS('환경부사업(F)'!C:C, $E$1, '환경부사업(F)'!G:G, B135, '환경부사업(F)'!W:W, B140)
  + COUNTIFS('프로젝트(G)'!C:C, $E$1, '프로젝트(G)'!G:G, B135, '프로젝트(G)'!W:W, B140)
  + COUNTIFS('협력사 EPC(H)'!C:C, $E$1, '협력사 EPC(H)'!G:G, B135, '협력사 EPC(H)'!W:W, B140)
  + COUNTIFS('기타(Z)'!C:C, $E$1, '기타(Z)'!G:G, B135, '기타(Z)'!W:W, B140)
  = 0,
  "",
  COUNTIFS('발전사업(A)'!C:C, $E$1, '발전사업(A)'!G:G, B135, '발전사업(A)'!W:W, B140)
  + COUNTIFS('자가소비(B)'!C:C, $E$1, '자가소비(B)'!G:G, B135, '자가소비(B)'!W:W, B140)
  + COUNTIFS('PPA 사업(C)'!C:C, $E$1, 'PPA 사업(C)'!G:G, B135, 'PPA 사업(C)'!W:W, B140)
  + COUNTIFS('리스사업(D)'!C:C, $E$1, '리스사업(D)'!G:G, B135, '리스사업(D)'!W:W, B140)
  + COUNTIFS('임대사업(E)'!C:C, $E$1, '임대사업(E)'!G:G, B135, '임대사업(E)'!W:W, B140)
  + COUNTIFS('환경부사업(F)'!C:C, $E$1, '환경부사업(F)'!G:G, B135, '환경부사업(F)'!W:W, B140)
  + COUNTIFS('프로젝트(G)'!C:C, $E$1, '프로젝트(G)'!G:G, B135, '프로젝트(G)'!W:W, B140)
  + COUNTIFS('협력사 EPC(H)'!C:C, $E$1, '협력사 EPC(H)'!G:G, B135, '협력사 EPC(H)'!W:W, B140)
  + COUNTIFS('기타(Z)'!C:C, $E$1, '기타(Z)'!G:G, B135, '기타(Z)'!W:W, B140)
)</f>
        <v>3</v>
      </c>
      <c r="E140" s="280">
        <f>IF(
  SUM(
    SUMIFS('발전사업(A)'!I:I, '발전사업(A)'!C:C, $E$1, '발전사업(A)'!G:G, B135, '발전사업(A)'!W:W, B140, '발전사업(A)'!U:U, $C$1),
    SUMIFS('자가소비(B)'!I:I, '자가소비(B)'!C:C, $E$1, '자가소비(B)'!G:G, B135, '자가소비(B)'!W:W, B140, '자가소비(B)'!U:U, $C$1),
    SUMIFS('PPA 사업(C)'!I:I, 'PPA 사업(C)'!C:C, $E$1, 'PPA 사업(C)'!G:G, B135, 'PPA 사업(C)'!W:W, B140, 'PPA 사업(C)'!U:U, $C$1),
    SUMIFS('리스사업(D)'!I:I, '리스사업(D)'!C:C, $E$1, '리스사업(D)'!G:G, B135, '리스사업(D)'!W:W, B140, '리스사업(D)'!U:U, $C$1),
    SUMIFS('임대사업(E)'!I:I, '임대사업(E)'!C:C, $E$1, '임대사업(E)'!G:G, B135, '임대사업(E)'!W:W, B140, '임대사업(E)'!U:U, $C$1),
    SUMIFS('환경부사업(F)'!I:I, '환경부사업(F)'!C:C, $E$1, '환경부사업(F)'!G:G, B135, '환경부사업(F)'!W:W, B140, '환경부사업(F)'!U:U, $C$1),
    SUMIFS('프로젝트(G)'!I:I, '프로젝트(G)'!C:C, $E$1, '프로젝트(G)'!G:G, B135, '프로젝트(G)'!W:W, B140, '프로젝트(G)'!U:U, $C$1),
    SUMIFS('협력사 EPC(H)'!I:I, '협력사 EPC(H)'!C:C, $E$1, '협력사 EPC(H)'!G:G, B135, '협력사 EPC(H)'!W:W, B140, '협력사 EPC(H)'!U:U, $C$1),
    SUMIFS('기타(Z)'!I:I, '기타(Z)'!C:C, $E$1, '기타(Z)'!G:G, B135, '기타(Z)'!W:W, B140, '기타(Z)'!U:U, $C$1)
  ) = 0,
  "",
  SUM(
    SUMIFS('발전사업(A)'!I:I, '발전사업(A)'!C:C, $E$1, '발전사업(A)'!G:G, B135, '발전사업(A)'!W:W, B140, '발전사업(A)'!U:U, $C$1),
    SUMIFS('자가소비(B)'!I:I, '자가소비(B)'!C:C, $E$1, '자가소비(B)'!G:G, B135, '자가소비(B)'!W:W, B140, '자가소비(B)'!U:U, $C$1),
    SUMIFS('PPA 사업(C)'!I:I, 'PPA 사업(C)'!C:C, $E$1, 'PPA 사업(C)'!G:G, B135, 'PPA 사업(C)'!W:W, B140, 'PPA 사업(C)'!U:U, $C$1),
    SUMIFS('리스사업(D)'!I:I, '리스사업(D)'!C:C, $E$1, '리스사업(D)'!G:G, B135, '리스사업(D)'!W:W, B140, '리스사업(D)'!U:U, $C$1),
    SUMIFS('임대사업(E)'!I:I, '임대사업(E)'!C:C, $E$1, '임대사업(E)'!G:G, B135, '임대사업(E)'!W:W, B140, '임대사업(E)'!U:U, $C$1),
    SUMIFS('환경부사업(F)'!I:I, '환경부사업(F)'!C:C, $E$1, '환경부사업(F)'!G:G, B135, '환경부사업(F)'!W:W, B140, '환경부사업(F)'!U:U, $C$1),
    SUMIFS('프로젝트(G)'!I:I, '프로젝트(G)'!C:C, $E$1, '프로젝트(G)'!G:G, B135, '프로젝트(G)'!W:W, B140, '프로젝트(G)'!U:U, $C$1),
    SUMIFS('협력사 EPC(H)'!I:I, '협력사 EPC(H)'!C:C, $E$1, '협력사 EPC(H)'!G:G, B135, '협력사 EPC(H)'!W:W, B140, '협력사 EPC(H)'!U:U, $C$1),
    SUMIFS('기타(Z)'!I:I, '기타(Z)'!C:C, $E$1, '기타(Z)'!G:G, B135, '기타(Z)'!W:W, B140, '기타(Z)'!U:U, $C$1)
  )
)</f>
        <v>370.01</v>
      </c>
      <c r="F140" s="281">
        <f>IF(
  SUM(
    COUNTIFS('발전사업(A)'!C:C, $E$1, '발전사업(A)'!G:G, B135, '발전사업(A)'!W:W, B140, '발전사업(A)'!U:U, $C$1),
    COUNTIFS('자가소비(B)'!C:C, $E$1, '자가소비(B)'!G:G, B135, '자가소비(B)'!W:W, B140, '자가소비(B)'!U:U, $C$1),
    COUNTIFS('PPA 사업(C)'!C:C, $E$1, 'PPA 사업(C)'!G:G, B135, 'PPA 사업(C)'!W:W, B140, 'PPA 사업(C)'!U:U, $C$1),
    COUNTIFS('리스사업(D)'!C:C, $E$1, '리스사업(D)'!G:G, B135, '리스사업(D)'!W:W, B140, '리스사업(D)'!U:U, $C$1),
    COUNTIFS('임대사업(E)'!C:C, $E$1, '임대사업(E)'!G:G, B135, '임대사업(E)'!W:W, B140, '임대사업(E)'!U:U, $C$1),
    COUNTIFS('환경부사업(F)'!C:C, $E$1, '환경부사업(F)'!G:G, B135, '환경부사업(F)'!W:W, B140, '환경부사업(F)'!U:U, $C$1),
    COUNTIFS('프로젝트(G)'!C:C, $E$1, '프로젝트(G)'!G:G, B135, '프로젝트(G)'!W:W, B140, '프로젝트(G)'!U:U, $C$1),
    COUNTIFS('협력사 EPC(H)'!C:C, $E$1, '협력사 EPC(H)'!G:G, B135, '협력사 EPC(H)'!W:W, B140, '협력사 EPC(H)'!U:U, $C$1),
    COUNTIFS('기타(Z)'!C:C, $E$1, '기타(Z)'!G:G, B135, '기타(Z)'!W:W, B140, '기타(Z)'!U:U, $C$1)
  ) = 0,
  "",
  SUM(
    COUNTIFS('발전사업(A)'!C:C, $E$1, '발전사업(A)'!G:G, B135, '발전사업(A)'!W:W, B140, '발전사업(A)'!U:U, $C$1),
    COUNTIFS('자가소비(B)'!C:C, $E$1, '자가소비(B)'!G:G, B135, '자가소비(B)'!W:W, B140, '자가소비(B)'!U:U, $C$1),
    COUNTIFS('PPA 사업(C)'!C:C, $E$1, 'PPA 사업(C)'!G:G, B135, 'PPA 사업(C)'!W:W, B140, 'PPA 사업(C)'!U:U, $C$1),
    COUNTIFS('리스사업(D)'!C:C, $E$1, '리스사업(D)'!G:G, B135, '리스사업(D)'!W:W, B140, '리스사업(D)'!U:U, $C$1),
    COUNTIFS('임대사업(E)'!C:C, $E$1, '임대사업(E)'!G:G, B135, '임대사업(E)'!W:W, B140, '임대사업(E)'!U:U, $C$1),
    COUNTIFS('환경부사업(F)'!C:C, $E$1, '환경부사업(F)'!G:G, B135, '환경부사업(F)'!W:W, B140, '환경부사업(F)'!U:U, $C$1),
    COUNTIFS('프로젝트(G)'!C:C, $E$1, '프로젝트(G)'!G:G, B135, '프로젝트(G)'!W:W, B140, '프로젝트(G)'!U:U, $C$1),
    COUNTIFS('협력사 EPC(H)'!C:C, $E$1, '협력사 EPC(H)'!G:G, B135, '협력사 EPC(H)'!W:W, B140, '협력사 EPC(H)'!U:U, $C$1),
    COUNTIFS('기타(Z)'!C:C, $E$1, '기타(Z)'!G:G, B135, '기타(Z)'!W:W, B140, '기타(Z)'!U:U, $C$1)
  )
)</f>
        <v>3</v>
      </c>
      <c r="G140" s="280" t="str">
        <f>IF(
  SUM(
    SUMIFS('발전사업(A)'!I:I, '발전사업(A)'!C:C, $E$1, '발전사업(A)'!G:G, B135, '발전사업(A)'!W:W, B140, '발전사업(A)'!U:U, $D$1),
    SUMIFS('자가소비(B)'!I:I, '자가소비(B)'!C:C, $E$1, '자가소비(B)'!G:G, B135, '자가소비(B)'!W:W, B140, '자가소비(B)'!U:U, $D$1),
    SUMIFS('PPA 사업(C)'!I:I, 'PPA 사업(C)'!C:C, $E$1, 'PPA 사업(C)'!G:G, B135, 'PPA 사업(C)'!W:W, B140, 'PPA 사업(C)'!U:U, $D$1),
    SUMIFS('리스사업(D)'!I:I, '리스사업(D)'!C:C, $E$1, '리스사업(D)'!G:G, B135, '리스사업(D)'!W:W, B140, '리스사업(D)'!U:U, $D$1),
    SUMIFS('임대사업(E)'!I:I, '임대사업(E)'!C:C, $E$1, '임대사업(E)'!G:G, B135, '임대사업(E)'!W:W, B140, '임대사업(E)'!U:U, $D$1),
    SUMIFS('환경부사업(F)'!I:I, '환경부사업(F)'!C:C, $E$1, '환경부사업(F)'!G:G, B135, '환경부사업(F)'!W:W, B140, '환경부사업(F)'!U:U, $D$1),
    SUMIFS('프로젝트(G)'!I:I, '프로젝트(G)'!C:C, $E$1, '프로젝트(G)'!G:G, B135, '프로젝트(G)'!W:W, B140, '프로젝트(G)'!U:U, $D$1),
    SUMIFS('협력사 EPC(H)'!I:I, '협력사 EPC(H)'!C:C, $E$1, '협력사 EPC(H)'!G:G, B135, '협력사 EPC(H)'!W:W, B140, '협력사 EPC(H)'!U:U, $D$1),
    SUMIFS('기타(Z)'!I:I, '기타(Z)'!C:C, $E$1, '기타(Z)'!G:G, B135, '기타(Z)'!W:W, B140, '기타(Z)'!U:U, $D$1)
  ) = 0,
  "",
  SUM(
    SUMIFS('발전사업(A)'!I:I, '발전사업(A)'!C:C, $E$1, '발전사업(A)'!G:G, B135, '발전사업(A)'!W:W, B140, '발전사업(A)'!U:U, $D$1),
    SUMIFS('자가소비(B)'!I:I, '자가소비(B)'!C:C, $E$1, '자가소비(B)'!G:G, B135, '자가소비(B)'!W:W, B140, '자가소비(B)'!U:U, $D$1),
    SUMIFS('PPA 사업(C)'!I:I, 'PPA 사업(C)'!C:C, $E$1, 'PPA 사업(C)'!G:G, B135, 'PPA 사업(C)'!W:W, B140, 'PPA 사업(C)'!U:U, $D$1),
    SUMIFS('리스사업(D)'!I:I, '리스사업(D)'!C:C, $E$1, '리스사업(D)'!G:G, B135, '리스사업(D)'!W:W, B140, '리스사업(D)'!U:U, $D$1),
    SUMIFS('임대사업(E)'!I:I, '임대사업(E)'!C:C, $E$1, '임대사업(E)'!G:G, B135, '임대사업(E)'!W:W, B140, '임대사업(E)'!U:U, $D$1),
    SUMIFS('환경부사업(F)'!I:I, '환경부사업(F)'!C:C, $E$1, '환경부사업(F)'!G:G, B135, '환경부사업(F)'!W:W, B140, '환경부사업(F)'!U:U, $D$1),
    SUMIFS('프로젝트(G)'!I:I, '프로젝트(G)'!C:C, $E$1, '프로젝트(G)'!G:G, B135, '프로젝트(G)'!W:W, B140, '프로젝트(G)'!U:U, $D$1),
    SUMIFS('협력사 EPC(H)'!I:I, '협력사 EPC(H)'!C:C, $E$1, '협력사 EPC(H)'!G:G, B135, '협력사 EPC(H)'!W:W, B140, '협력사 EPC(H)'!U:U, $D$1),
    SUMIFS('기타(Z)'!I:I, '기타(Z)'!C:C, $E$1, '기타(Z)'!G:G, B135, '기타(Z)'!W:W, B140, '기타(Z)'!U:U, $D$1)
  )
)</f>
        <v/>
      </c>
      <c r="H140" s="281" t="str">
        <f>IF(
  (
    COUNTIFS('발전사업(A)'!C:C, $E$1, '발전사업(A)'!G:G, B135, '발전사업(A)'!W:W, B140, '발전사업(A)'!U:U, $D$1)
    + COUNTIFS('자가소비(B)'!C:C, $E$1, '자가소비(B)'!G:G, B135, '자가소비(B)'!W:W, B140, '자가소비(B)'!U:U, $D$1)
    + COUNTIFS('PPA 사업(C)'!C:C, $E$1, 'PPA 사업(C)'!G:G, B135, 'PPA 사업(C)'!W:W, B140, 'PPA 사업(C)'!U:U, $D$1)
    + COUNTIFS('리스사업(D)'!C:C, $E$1, '리스사업(D)'!G:G, B135, '리스사업(D)'!W:W, B140, '리스사업(D)'!U:U, $D$1)
    + COUNTIFS('임대사업(E)'!C:C, $E$1, '임대사업(E)'!G:G, B135, '임대사업(E)'!W:W, B140, '임대사업(E)'!U:U, $D$1)
    + COUNTIFS('환경부사업(F)'!C:C, $E$1, '환경부사업(F)'!G:G, B135, '환경부사업(F)'!W:W, B140, '환경부사업(F)'!U:U, $D$1)
    + COUNTIFS('프로젝트(G)'!C:C, $E$1, '프로젝트(G)'!G:G, B135, '프로젝트(G)'!W:W, B140, '프로젝트(G)'!U:U, $D$1)
    + COUNTIFS('협력사 EPC(H)'!C:C, $E$1, '협력사 EPC(H)'!G:G, B135, '협력사 EPC(H)'!W:W, B140, '협력사 EPC(H)'!U:U, $D$1)
    + COUNTIFS('기타(Z)'!C:C, $E$1, '기타(Z)'!G:G, B135, '기타(Z)'!W:W, B140, '기타(Z)'!U:U, $D$1)
  ) = 0,
  "",
  COUNTIFS('발전사업(A)'!C:C, $E$1, '발전사업(A)'!G:G, B135, '발전사업(A)'!W:W, B140, '발전사업(A)'!U:U, $D$1)
  + COUNTIFS('자가소비(B)'!C:C, $E$1, '자가소비(B)'!G:G, B135, '자가소비(B)'!W:W, B140, '자가소비(B)'!U:U, $D$1)
  + COUNTIFS('PPA 사업(C)'!C:C, $E$1, 'PPA 사업(C)'!G:G, B135, 'PPA 사업(C)'!W:W, B140, 'PPA 사업(C)'!U:U, $D$1)
  + COUNTIFS('리스사업(D)'!C:C, $E$1, '리스사업(D)'!G:G, B135, '리스사업(D)'!W:W, B140, '리스사업(D)'!U:U, $D$1)
  + COUNTIFS('임대사업(E)'!C:C, $E$1, '임대사업(E)'!G:G, B135, '임대사업(E)'!W:W, B140, '임대사업(E)'!U:U, $D$1)
  + COUNTIFS('환경부사업(F)'!C:C, $E$1, '환경부사업(F)'!G:G, B135, '환경부사업(F)'!W:W, B140, '환경부사업(F)'!U:U, $D$1)
  + COUNTIFS('프로젝트(G)'!C:C, $E$1, '프로젝트(G)'!G:G, B135, '프로젝트(G)'!W:W, B140, '프로젝트(G)'!U:U, $D$1)
  + COUNTIFS('협력사 EPC(H)'!C:C, $E$1, '협력사 EPC(H)'!G:G, B135, '협력사 EPC(H)'!W:W, B140, '협력사 EPC(H)'!U:U, $D$1)
  + COUNTIFS('기타(Z)'!C:C, $E$1, '기타(Z)'!G:G, B135, '기타(Z)'!W:W, B140, '기타(Z)'!U:U, $D$1)
)</f>
        <v/>
      </c>
    </row>
    <row r="141" spans="2:8" x14ac:dyDescent="0.25">
      <c r="B141" s="202" t="s">
        <v>263</v>
      </c>
      <c r="C141" s="280" t="str">
        <f>IF(
  SUM(
    SUMIFS('발전사업(A)'!I:I, '발전사업(A)'!C:C, $E$1, '발전사업(A)'!G:G, B135, '발전사업(A)'!W:W, B141),
    SUMIFS('자가소비(B)'!I:I, '자가소비(B)'!C:C, $E$1, '자가소비(B)'!G:G, B135, '자가소비(B)'!W:W, B141),
    SUMIFS('PPA 사업(C)'!I:I, 'PPA 사업(C)'!C:C, $E$1, 'PPA 사업(C)'!G:G, B135, 'PPA 사업(C)'!W:W, B141),
    SUMIFS('리스사업(D)'!I:I, '리스사업(D)'!C:C, $E$1, '리스사업(D)'!G:G, B135, '리스사업(D)'!W:W, B141),
    SUMIFS('임대사업(E)'!I:I, '임대사업(E)'!C:C, $E$1, '임대사업(E)'!G:G, B135, '임대사업(E)'!W:W, B141),
    SUMIFS('환경부사업(F)'!I:I, '환경부사업(F)'!C:C, $E$1, '환경부사업(F)'!G:G, B135, '환경부사업(F)'!W:W, B141),
    SUMIFS('프로젝트(G)'!I:I, '프로젝트(G)'!C:C, $E$1, '프로젝트(G)'!G:G, B135, '프로젝트(G)'!W:W, B141),
    SUMIFS('협력사 EPC(H)'!I:I, '협력사 EPC(H)'!C:C, $E$1, '협력사 EPC(H)'!G:G, B135, '협력사 EPC(H)'!W:W, B141),
    SUMIFS('기타(Z)'!I:I, '기타(Z)'!C:C, $E$1, '기타(Z)'!G:G, B135, '기타(Z)'!W:W, B141)
  ) = 0,
  "",
  SUMIFS('발전사업(A)'!I:I, '발전사업(A)'!C:C, $E$1, '발전사업(A)'!G:G, B135, '발전사업(A)'!W:W, B141)
  + SUMIFS('자가소비(B)'!I:I, '자가소비(B)'!C:C, $E$1, '자가소비(B)'!G:G, B135, '자가소비(B)'!W:W, B141)
  + SUMIFS('PPA 사업(C)'!I:I, 'PPA 사업(C)'!C:C, $E$1, 'PPA 사업(C)'!G:G, B135, 'PPA 사업(C)'!W:W, B141)
  + SUMIFS('리스사업(D)'!I:I, '리스사업(D)'!C:C, $E$1, '리스사업(D)'!G:G, B135, '리스사업(D)'!W:W, B141)
  + SUMIFS('임대사업(E)'!I:I, '임대사업(E)'!C:C, $E$1, '임대사업(E)'!G:G, B135, '임대사업(E)'!W:W, B141)
  + SUMIFS('환경부사업(F)'!I:I, '환경부사업(F)'!C:C, $E$1, '환경부사업(F)'!G:G, B135, '환경부사업(F)'!W:W, B141)
  + SUMIFS('프로젝트(G)'!I:I, '프로젝트(G)'!C:C, $E$1, '프로젝트(G)'!G:G, B135, '프로젝트(G)'!W:W, B141)
  + SUMIFS('협력사 EPC(H)'!I:I, '협력사 EPC(H)'!C:C, $E$1, '협력사 EPC(H)'!G:G, B135, '협력사 EPC(H)'!W:W, B141)
  + SUMIFS('기타(Z)'!I:I, '기타(Z)'!C:C, $E$1, '기타(Z)'!G:G, B135, '기타(Z)'!W:W, B141)
)</f>
        <v/>
      </c>
      <c r="D141" s="281" t="str">
        <f>IF(
  COUNTIFS('발전사업(A)'!C:C, $E$1, '발전사업(A)'!G:G, B135, '발전사업(A)'!W:W, B141)
  + COUNTIFS('자가소비(B)'!C:C, $E$1, '자가소비(B)'!G:G, B135, '자가소비(B)'!W:W, B141)
  + COUNTIFS('PPA 사업(C)'!C:C, $E$1, 'PPA 사업(C)'!G:G, B135, 'PPA 사업(C)'!W:W, B141)
  + COUNTIFS('리스사업(D)'!C:C, $E$1, '리스사업(D)'!G:G, B135, '리스사업(D)'!W:W, B141)
  + COUNTIFS('임대사업(E)'!C:C, $E$1, '임대사업(E)'!G:G, B135, '임대사업(E)'!W:W, B141)
  + COUNTIFS('환경부사업(F)'!C:C, $E$1, '환경부사업(F)'!G:G, B135, '환경부사업(F)'!W:W, B141)
  + COUNTIFS('프로젝트(G)'!C:C, $E$1, '프로젝트(G)'!G:G, B135, '프로젝트(G)'!W:W, B141)
  + COUNTIFS('협력사 EPC(H)'!C:C, $E$1, '협력사 EPC(H)'!G:G, B135, '협력사 EPC(H)'!W:W, B141)
  + COUNTIFS('기타(Z)'!C:C, $E$1, '기타(Z)'!G:G, B135, '기타(Z)'!W:W, B141)
  = 0,
  "",
  COUNTIFS('발전사업(A)'!C:C, $E$1, '발전사업(A)'!G:G, B135, '발전사업(A)'!W:W, B141)
  + COUNTIFS('자가소비(B)'!C:C, $E$1, '자가소비(B)'!G:G, B135, '자가소비(B)'!W:W, B141)
  + COUNTIFS('PPA 사업(C)'!C:C, $E$1, 'PPA 사업(C)'!G:G, B135, 'PPA 사업(C)'!W:W, B141)
  + COUNTIFS('리스사업(D)'!C:C, $E$1, '리스사업(D)'!G:G, B135, '리스사업(D)'!W:W, B141)
  + COUNTIFS('임대사업(E)'!C:C, $E$1, '임대사업(E)'!G:G, B135, '임대사업(E)'!W:W, B141)
  + COUNTIFS('환경부사업(F)'!C:C, $E$1, '환경부사업(F)'!G:G, B135, '환경부사업(F)'!W:W, B141)
  + COUNTIFS('프로젝트(G)'!C:C, $E$1, '프로젝트(G)'!G:G, B135, '프로젝트(G)'!W:W, B141)
  + COUNTIFS('협력사 EPC(H)'!C:C, $E$1, '협력사 EPC(H)'!G:G, B135, '협력사 EPC(H)'!W:W, B141)
  + COUNTIFS('기타(Z)'!C:C, $E$1, '기타(Z)'!G:G, B135, '기타(Z)'!W:W, B141)
)</f>
        <v/>
      </c>
      <c r="E141" s="280" t="str">
        <f>IF(
  SUM(
    SUMIFS('발전사업(A)'!I:I, '발전사업(A)'!C:C, $E$1, '발전사업(A)'!G:G, B135, '발전사업(A)'!W:W, B141, '발전사업(A)'!U:U, $C$1),
    SUMIFS('자가소비(B)'!I:I, '자가소비(B)'!C:C, $E$1, '자가소비(B)'!G:G, B135, '자가소비(B)'!W:W, B141, '자가소비(B)'!U:U, $C$1),
    SUMIFS('PPA 사업(C)'!I:I, 'PPA 사업(C)'!C:C, $E$1, 'PPA 사업(C)'!G:G, B135, 'PPA 사업(C)'!W:W, B141, 'PPA 사업(C)'!U:U, $C$1),
    SUMIFS('리스사업(D)'!I:I, '리스사업(D)'!C:C, $E$1, '리스사업(D)'!G:G, B135, '리스사업(D)'!W:W, B141, '리스사업(D)'!U:U, $C$1),
    SUMIFS('임대사업(E)'!I:I, '임대사업(E)'!C:C, $E$1, '임대사업(E)'!G:G, B135, '임대사업(E)'!W:W, B141, '임대사업(E)'!U:U, $C$1),
    SUMIFS('환경부사업(F)'!I:I, '환경부사업(F)'!C:C, $E$1, '환경부사업(F)'!G:G, B135, '환경부사업(F)'!W:W, B141, '환경부사업(F)'!U:U, $C$1),
    SUMIFS('프로젝트(G)'!I:I, '프로젝트(G)'!C:C, $E$1, '프로젝트(G)'!G:G, B135, '프로젝트(G)'!W:W, B141, '프로젝트(G)'!U:U, $C$1),
    SUMIFS('협력사 EPC(H)'!I:I, '협력사 EPC(H)'!C:C, $E$1, '협력사 EPC(H)'!G:G, B135, '협력사 EPC(H)'!W:W, B141, '협력사 EPC(H)'!U:U, $C$1),
    SUMIFS('기타(Z)'!I:I, '기타(Z)'!C:C, $E$1, '기타(Z)'!G:G, B135, '기타(Z)'!W:W, B141, '기타(Z)'!U:U, $C$1)
  ) = 0,
  "",
  SUM(
    SUMIFS('발전사업(A)'!I:I, '발전사업(A)'!C:C, $E$1, '발전사업(A)'!G:G, B135, '발전사업(A)'!W:W, B141, '발전사업(A)'!U:U, $C$1),
    SUMIFS('자가소비(B)'!I:I, '자가소비(B)'!C:C, $E$1, '자가소비(B)'!G:G, B135, '자가소비(B)'!W:W, B141, '자가소비(B)'!U:U, $C$1),
    SUMIFS('PPA 사업(C)'!I:I, 'PPA 사업(C)'!C:C, $E$1, 'PPA 사업(C)'!G:G, B135, 'PPA 사업(C)'!W:W, B141, 'PPA 사업(C)'!U:U, $C$1),
    SUMIFS('리스사업(D)'!I:I, '리스사업(D)'!C:C, $E$1, '리스사업(D)'!G:G, B135, '리스사업(D)'!W:W, B141, '리스사업(D)'!U:U, $C$1),
    SUMIFS('임대사업(E)'!I:I, '임대사업(E)'!C:C, $E$1, '임대사업(E)'!G:G, B135, '임대사업(E)'!W:W, B141, '임대사업(E)'!U:U, $C$1),
    SUMIFS('환경부사업(F)'!I:I, '환경부사업(F)'!C:C, $E$1, '환경부사업(F)'!G:G, B135, '환경부사업(F)'!W:W, B141, '환경부사업(F)'!U:U, $C$1),
    SUMIFS('프로젝트(G)'!I:I, '프로젝트(G)'!C:C, $E$1, '프로젝트(G)'!G:G, B135, '프로젝트(G)'!W:W, B141, '프로젝트(G)'!U:U, $C$1),
    SUMIFS('협력사 EPC(H)'!I:I, '협력사 EPC(H)'!C:C, $E$1, '협력사 EPC(H)'!G:G, B135, '협력사 EPC(H)'!W:W, B141, '협력사 EPC(H)'!U:U, $C$1),
    SUMIFS('기타(Z)'!I:I, '기타(Z)'!C:C, $E$1, '기타(Z)'!G:G, B135, '기타(Z)'!W:W, B141, '기타(Z)'!U:U, $C$1)
  )
)</f>
        <v/>
      </c>
      <c r="F141" s="281" t="str">
        <f>IF(
  SUM(
    COUNTIFS('발전사업(A)'!C:C, $E$1, '발전사업(A)'!G:G, B135, '발전사업(A)'!W:W, B141, '발전사업(A)'!U:U, $C$1),
    COUNTIFS('자가소비(B)'!C:C, $E$1, '자가소비(B)'!G:G, B135, '자가소비(B)'!W:W, B141, '자가소비(B)'!U:U, $C$1),
    COUNTIFS('PPA 사업(C)'!C:C, $E$1, 'PPA 사업(C)'!G:G, B135, 'PPA 사업(C)'!W:W, B141, 'PPA 사업(C)'!U:U, $C$1),
    COUNTIFS('리스사업(D)'!C:C, $E$1, '리스사업(D)'!G:G, B135, '리스사업(D)'!W:W, B141, '리스사업(D)'!U:U, $C$1),
    COUNTIFS('임대사업(E)'!C:C, $E$1, '임대사업(E)'!G:G, B135, '임대사업(E)'!W:W, B141, '임대사업(E)'!U:U, $C$1),
    COUNTIFS('환경부사업(F)'!C:C, $E$1, '환경부사업(F)'!G:G, B135, '환경부사업(F)'!W:W, B141, '환경부사업(F)'!U:U, $C$1),
    COUNTIFS('프로젝트(G)'!C:C, $E$1, '프로젝트(G)'!G:G, B135, '프로젝트(G)'!W:W, B141, '프로젝트(G)'!U:U, $C$1),
    COUNTIFS('협력사 EPC(H)'!C:C, $E$1, '협력사 EPC(H)'!G:G, B135, '협력사 EPC(H)'!W:W, B141, '협력사 EPC(H)'!U:U, $C$1),
    COUNTIFS('기타(Z)'!C:C, $E$1, '기타(Z)'!G:G, B135, '기타(Z)'!W:W, B141, '기타(Z)'!U:U, $C$1)
  ) = 0,
  "",
  SUM(
    COUNTIFS('발전사업(A)'!C:C, $E$1, '발전사업(A)'!G:G, B135, '발전사업(A)'!W:W, B141, '발전사업(A)'!U:U, $C$1),
    COUNTIFS('자가소비(B)'!C:C, $E$1, '자가소비(B)'!G:G, B135, '자가소비(B)'!W:W, B141, '자가소비(B)'!U:U, $C$1),
    COUNTIFS('PPA 사업(C)'!C:C, $E$1, 'PPA 사업(C)'!G:G, B135, 'PPA 사업(C)'!W:W, B141, 'PPA 사업(C)'!U:U, $C$1),
    COUNTIFS('리스사업(D)'!C:C, $E$1, '리스사업(D)'!G:G, B135, '리스사업(D)'!W:W, B141, '리스사업(D)'!U:U, $C$1),
    COUNTIFS('임대사업(E)'!C:C, $E$1, '임대사업(E)'!G:G, B135, '임대사업(E)'!W:W, B141, '임대사업(E)'!U:U, $C$1),
    COUNTIFS('환경부사업(F)'!C:C, $E$1, '환경부사업(F)'!G:G, B135, '환경부사업(F)'!W:W, B141, '환경부사업(F)'!U:U, $C$1),
    COUNTIFS('프로젝트(G)'!C:C, $E$1, '프로젝트(G)'!G:G, B135, '프로젝트(G)'!W:W, B141, '프로젝트(G)'!U:U, $C$1),
    COUNTIFS('협력사 EPC(H)'!C:C, $E$1, '협력사 EPC(H)'!G:G, B135, '협력사 EPC(H)'!W:W, B141, '협력사 EPC(H)'!U:U, $C$1),
    COUNTIFS('기타(Z)'!C:C, $E$1, '기타(Z)'!G:G, B135, '기타(Z)'!W:W, B141, '기타(Z)'!U:U, $C$1)
  )
)</f>
        <v/>
      </c>
      <c r="G141" s="280" t="str">
        <f>IF(
  SUM(
    SUMIFS('발전사업(A)'!I:I, '발전사업(A)'!C:C, $E$1, '발전사업(A)'!G:G, B135, '발전사업(A)'!W:W, B141, '발전사업(A)'!U:U, $D$1),
    SUMIFS('자가소비(B)'!I:I, '자가소비(B)'!C:C, $E$1, '자가소비(B)'!G:G, B135, '자가소비(B)'!W:W, B141, '자가소비(B)'!U:U, $D$1),
    SUMIFS('PPA 사업(C)'!I:I, 'PPA 사업(C)'!C:C, $E$1, 'PPA 사업(C)'!G:G, B135, 'PPA 사업(C)'!W:W, B141, 'PPA 사업(C)'!U:U, $D$1),
    SUMIFS('리스사업(D)'!I:I, '리스사업(D)'!C:C, $E$1, '리스사업(D)'!G:G, B135, '리스사업(D)'!W:W, B141, '리스사업(D)'!U:U, $D$1),
    SUMIFS('임대사업(E)'!I:I, '임대사업(E)'!C:C, $E$1, '임대사업(E)'!G:G, B135, '임대사업(E)'!W:W, B141, '임대사업(E)'!U:U, $D$1),
    SUMIFS('환경부사업(F)'!I:I, '환경부사업(F)'!C:C, $E$1, '환경부사업(F)'!G:G, B135, '환경부사업(F)'!W:W, B141, '환경부사업(F)'!U:U, $D$1),
    SUMIFS('프로젝트(G)'!I:I, '프로젝트(G)'!C:C, $E$1, '프로젝트(G)'!G:G, B135, '프로젝트(G)'!W:W, B141, '프로젝트(G)'!U:U, $D$1),
    SUMIFS('협력사 EPC(H)'!I:I, '협력사 EPC(H)'!C:C, $E$1, '협력사 EPC(H)'!G:G, B135, '협력사 EPC(H)'!W:W, B141, '협력사 EPC(H)'!U:U, $D$1),
    SUMIFS('기타(Z)'!I:I, '기타(Z)'!C:C, $E$1, '기타(Z)'!G:G, B135, '기타(Z)'!W:W, B141, '기타(Z)'!U:U, $D$1)
  ) = 0,
  "",
  SUM(
    SUMIFS('발전사업(A)'!I:I, '발전사업(A)'!C:C, $E$1, '발전사업(A)'!G:G, B135, '발전사업(A)'!W:W, B141, '발전사업(A)'!U:U, $D$1),
    SUMIFS('자가소비(B)'!I:I, '자가소비(B)'!C:C, $E$1, '자가소비(B)'!G:G, B135, '자가소비(B)'!W:W, B141, '자가소비(B)'!U:U, $D$1),
    SUMIFS('PPA 사업(C)'!I:I, 'PPA 사업(C)'!C:C, $E$1, 'PPA 사업(C)'!G:G, B135, 'PPA 사업(C)'!W:W, B141, 'PPA 사업(C)'!U:U, $D$1),
    SUMIFS('리스사업(D)'!I:I, '리스사업(D)'!C:C, $E$1, '리스사업(D)'!G:G, B135, '리스사업(D)'!W:W, B141, '리스사업(D)'!U:U, $D$1),
    SUMIFS('임대사업(E)'!I:I, '임대사업(E)'!C:C, $E$1, '임대사업(E)'!G:G, B135, '임대사업(E)'!W:W, B141, '임대사업(E)'!U:U, $D$1),
    SUMIFS('환경부사업(F)'!I:I, '환경부사업(F)'!C:C, $E$1, '환경부사업(F)'!G:G, B135, '환경부사업(F)'!W:W, B141, '환경부사업(F)'!U:U, $D$1),
    SUMIFS('프로젝트(G)'!I:I, '프로젝트(G)'!C:C, $E$1, '프로젝트(G)'!G:G, B135, '프로젝트(G)'!W:W, B141, '프로젝트(G)'!U:U, $D$1),
    SUMIFS('협력사 EPC(H)'!I:I, '협력사 EPC(H)'!C:C, $E$1, '협력사 EPC(H)'!G:G, B135, '협력사 EPC(H)'!W:W, B141, '협력사 EPC(H)'!U:U, $D$1),
    SUMIFS('기타(Z)'!I:I, '기타(Z)'!C:C, $E$1, '기타(Z)'!G:G, B135, '기타(Z)'!W:W, B141, '기타(Z)'!U:U, $D$1)
  )
)</f>
        <v/>
      </c>
      <c r="H141" s="281" t="str">
        <f>IF(
  (
    COUNTIFS('발전사업(A)'!C:C, $E$1, '발전사업(A)'!G:G, B135, '발전사업(A)'!W:W, B141, '발전사업(A)'!U:U, $D$1)
    + COUNTIFS('자가소비(B)'!C:C, $E$1, '자가소비(B)'!G:G, B135, '자가소비(B)'!W:W, B141, '자가소비(B)'!U:U, $D$1)
    + COUNTIFS('PPA 사업(C)'!C:C, $E$1, 'PPA 사업(C)'!G:G, B135, 'PPA 사업(C)'!W:W, B141, 'PPA 사업(C)'!U:U, $D$1)
    + COUNTIFS('리스사업(D)'!C:C, $E$1, '리스사업(D)'!G:G, B135, '리스사업(D)'!W:W, B141, '리스사업(D)'!U:U, $D$1)
    + COUNTIFS('임대사업(E)'!C:C, $E$1, '임대사업(E)'!G:G, B135, '임대사업(E)'!W:W, B141, '임대사업(E)'!U:U, $D$1)
    + COUNTIFS('환경부사업(F)'!C:C, $E$1, '환경부사업(F)'!G:G, B135, '환경부사업(F)'!W:W, B141, '환경부사업(F)'!U:U, $D$1)
    + COUNTIFS('프로젝트(G)'!C:C, $E$1, '프로젝트(G)'!G:G, B135, '프로젝트(G)'!W:W, B141, '프로젝트(G)'!U:U, $D$1)
    + COUNTIFS('협력사 EPC(H)'!C:C, $E$1, '협력사 EPC(H)'!G:G, B135, '협력사 EPC(H)'!W:W, B141, '협력사 EPC(H)'!U:U, $D$1)
    + COUNTIFS('기타(Z)'!C:C, $E$1, '기타(Z)'!G:G, B135, '기타(Z)'!W:W, B141, '기타(Z)'!U:U, $D$1)
  ) = 0,
  "",
  COUNTIFS('발전사업(A)'!C:C, $E$1, '발전사업(A)'!G:G, B135, '발전사업(A)'!W:W, B141, '발전사업(A)'!U:U, $D$1)
  + COUNTIFS('자가소비(B)'!C:C, $E$1, '자가소비(B)'!G:G, B135, '자가소비(B)'!W:W, B141, '자가소비(B)'!U:U, $D$1)
  + COUNTIFS('PPA 사업(C)'!C:C, $E$1, 'PPA 사업(C)'!G:G, B135, 'PPA 사업(C)'!W:W, B141, 'PPA 사업(C)'!U:U, $D$1)
  + COUNTIFS('리스사업(D)'!C:C, $E$1, '리스사업(D)'!G:G, B135, '리스사업(D)'!W:W, B141, '리스사업(D)'!U:U, $D$1)
  + COUNTIFS('임대사업(E)'!C:C, $E$1, '임대사업(E)'!G:G, B135, '임대사업(E)'!W:W, B141, '임대사업(E)'!U:U, $D$1)
  + COUNTIFS('환경부사업(F)'!C:C, $E$1, '환경부사업(F)'!G:G, B135, '환경부사업(F)'!W:W, B141, '환경부사업(F)'!U:U, $D$1)
  + COUNTIFS('프로젝트(G)'!C:C, $E$1, '프로젝트(G)'!G:G, B135, '프로젝트(G)'!W:W, B141, '프로젝트(G)'!U:U, $D$1)
  + COUNTIFS('협력사 EPC(H)'!C:C, $E$1, '협력사 EPC(H)'!G:G, B135, '협력사 EPC(H)'!W:W, B141, '협력사 EPC(H)'!U:U, $D$1)
  + COUNTIFS('기타(Z)'!C:C, $E$1, '기타(Z)'!G:G, B135, '기타(Z)'!W:W, B141, '기타(Z)'!U:U, $D$1)
)</f>
        <v/>
      </c>
    </row>
    <row r="142" spans="2:8" x14ac:dyDescent="0.25">
      <c r="B142" s="202" t="s">
        <v>264</v>
      </c>
      <c r="C142" s="280">
        <f>IF(
  SUM(
    SUMIFS('발전사업(A)'!I:I, '발전사업(A)'!C:C, $E$1, '발전사업(A)'!G:G, B135, '발전사업(A)'!W:W, B142),
    SUMIFS('자가소비(B)'!I:I, '자가소비(B)'!C:C, $E$1, '자가소비(B)'!G:G, B135, '자가소비(B)'!W:W, B142),
    SUMIFS('PPA 사업(C)'!I:I, 'PPA 사업(C)'!C:C, $E$1, 'PPA 사업(C)'!G:G, B135, 'PPA 사업(C)'!W:W, B142),
    SUMIFS('리스사업(D)'!I:I, '리스사업(D)'!C:C, $E$1, '리스사업(D)'!G:G, B135, '리스사업(D)'!W:W, B142),
    SUMIFS('임대사업(E)'!I:I, '임대사업(E)'!C:C, $E$1, '임대사업(E)'!G:G, B135, '임대사업(E)'!W:W, B142),
    SUMIFS('환경부사업(F)'!I:I, '환경부사업(F)'!C:C, $E$1, '환경부사업(F)'!G:G, B135, '환경부사업(F)'!W:W, B142),
    SUMIFS('프로젝트(G)'!I:I, '프로젝트(G)'!C:C, $E$1, '프로젝트(G)'!G:G, B135, '프로젝트(G)'!W:W, B142),
    SUMIFS('협력사 EPC(H)'!I:I, '협력사 EPC(H)'!C:C, $E$1, '협력사 EPC(H)'!G:G, B135, '협력사 EPC(H)'!W:W, B142),
    SUMIFS('기타(Z)'!I:I, '기타(Z)'!C:C, $E$1, '기타(Z)'!G:G, B135, '기타(Z)'!W:W, B142)
  ) = 0,
  "",
  SUMIFS('발전사업(A)'!I:I, '발전사업(A)'!C:C, $E$1, '발전사업(A)'!G:G, B135, '발전사업(A)'!W:W, B142)
  + SUMIFS('자가소비(B)'!I:I, '자가소비(B)'!C:C, $E$1, '자가소비(B)'!G:G, B135, '자가소비(B)'!W:W, B142)
  + SUMIFS('PPA 사업(C)'!I:I, 'PPA 사업(C)'!C:C, $E$1, 'PPA 사업(C)'!G:G, B135, 'PPA 사업(C)'!W:W, B142)
  + SUMIFS('리스사업(D)'!I:I, '리스사업(D)'!C:C, $E$1, '리스사업(D)'!G:G, B135, '리스사업(D)'!W:W, B142)
  + SUMIFS('임대사업(E)'!I:I, '임대사업(E)'!C:C, $E$1, '임대사업(E)'!G:G, B135, '임대사업(E)'!W:W, B142)
  + SUMIFS('환경부사업(F)'!I:I, '환경부사업(F)'!C:C, $E$1, '환경부사업(F)'!G:G, B135, '환경부사업(F)'!W:W, B142)
  + SUMIFS('프로젝트(G)'!I:I, '프로젝트(G)'!C:C, $E$1, '프로젝트(G)'!G:G, B135, '프로젝트(G)'!W:W, B142)
  + SUMIFS('협력사 EPC(H)'!I:I, '협력사 EPC(H)'!C:C, $E$1, '협력사 EPC(H)'!G:G, B135, '협력사 EPC(H)'!W:W, B142)
  + SUMIFS('기타(Z)'!I:I, '기타(Z)'!C:C, $E$1, '기타(Z)'!G:G, B135, '기타(Z)'!W:W, B142)
)</f>
        <v>99.33</v>
      </c>
      <c r="D142" s="281">
        <f>IF(
  COUNTIFS('발전사업(A)'!C:C, $E$1, '발전사업(A)'!G:G, B135, '발전사업(A)'!W:W, B142)
  + COUNTIFS('자가소비(B)'!C:C, $E$1, '자가소비(B)'!G:G, B135, '자가소비(B)'!W:W, B142)
  + COUNTIFS('PPA 사업(C)'!C:C, $E$1, 'PPA 사업(C)'!G:G, B135, 'PPA 사업(C)'!W:W, B142)
  + COUNTIFS('리스사업(D)'!C:C, $E$1, '리스사업(D)'!G:G, B135, '리스사업(D)'!W:W, B142)
  + COUNTIFS('임대사업(E)'!C:C, $E$1, '임대사업(E)'!G:G, B135, '임대사업(E)'!W:W, B142)
  + COUNTIFS('환경부사업(F)'!C:C, $E$1, '환경부사업(F)'!G:G, B135, '환경부사업(F)'!W:W, B142)
  + COUNTIFS('프로젝트(G)'!C:C, $E$1, '프로젝트(G)'!G:G, B135, '프로젝트(G)'!W:W, B142)
  + COUNTIFS('협력사 EPC(H)'!C:C, $E$1, '협력사 EPC(H)'!G:G, B135, '협력사 EPC(H)'!W:W, B142)
  + COUNTIFS('기타(Z)'!C:C, $E$1, '기타(Z)'!G:G, B135, '기타(Z)'!W:W, B142)
  = 0,
  "",
  COUNTIFS('발전사업(A)'!C:C, $E$1, '발전사업(A)'!G:G, B135, '발전사업(A)'!W:W, B142)
  + COUNTIFS('자가소비(B)'!C:C, $E$1, '자가소비(B)'!G:G, B135, '자가소비(B)'!W:W, B142)
  + COUNTIFS('PPA 사업(C)'!C:C, $E$1, 'PPA 사업(C)'!G:G, B135, 'PPA 사업(C)'!W:W, B142)
  + COUNTIFS('리스사업(D)'!C:C, $E$1, '리스사업(D)'!G:G, B135, '리스사업(D)'!W:W, B142)
  + COUNTIFS('임대사업(E)'!C:C, $E$1, '임대사업(E)'!G:G, B135, '임대사업(E)'!W:W, B142)
  + COUNTIFS('환경부사업(F)'!C:C, $E$1, '환경부사업(F)'!G:G, B135, '환경부사업(F)'!W:W, B142)
  + COUNTIFS('프로젝트(G)'!C:C, $E$1, '프로젝트(G)'!G:G, B135, '프로젝트(G)'!W:W, B142)
  + COUNTIFS('협력사 EPC(H)'!C:C, $E$1, '협력사 EPC(H)'!G:G, B135, '협력사 EPC(H)'!W:W, B142)
  + COUNTIFS('기타(Z)'!C:C, $E$1, '기타(Z)'!G:G, B135, '기타(Z)'!W:W, B142)
)</f>
        <v>1</v>
      </c>
      <c r="E142" s="280">
        <f>IF(
  SUM(
    SUMIFS('발전사업(A)'!I:I, '발전사업(A)'!C:C, $E$1, '발전사업(A)'!G:G, B135, '발전사업(A)'!W:W, B142, '발전사업(A)'!U:U, $C$1),
    SUMIFS('자가소비(B)'!I:I, '자가소비(B)'!C:C, $E$1, '자가소비(B)'!G:G, B135, '자가소비(B)'!W:W, B142, '자가소비(B)'!U:U, $C$1),
    SUMIFS('PPA 사업(C)'!I:I, 'PPA 사업(C)'!C:C, $E$1, 'PPA 사업(C)'!G:G, B135, 'PPA 사업(C)'!W:W, B142, 'PPA 사업(C)'!U:U, $C$1),
    SUMIFS('리스사업(D)'!I:I, '리스사업(D)'!C:C, $E$1, '리스사업(D)'!G:G, B135, '리스사업(D)'!W:W, B142, '리스사업(D)'!U:U, $C$1),
    SUMIFS('임대사업(E)'!I:I, '임대사업(E)'!C:C, $E$1, '임대사업(E)'!G:G, B135, '임대사업(E)'!W:W, B142, '임대사업(E)'!U:U, $C$1),
    SUMIFS('환경부사업(F)'!I:I, '환경부사업(F)'!C:C, $E$1, '환경부사업(F)'!G:G, B135, '환경부사업(F)'!W:W, B142, '환경부사업(F)'!U:U, $C$1),
    SUMIFS('프로젝트(G)'!I:I, '프로젝트(G)'!C:C, $E$1, '프로젝트(G)'!G:G, B135, '프로젝트(G)'!W:W, B142, '프로젝트(G)'!U:U, $C$1),
    SUMIFS('협력사 EPC(H)'!I:I, '협력사 EPC(H)'!C:C, $E$1, '협력사 EPC(H)'!G:G, B135, '협력사 EPC(H)'!W:W, B142, '협력사 EPC(H)'!U:U, $C$1),
    SUMIFS('기타(Z)'!I:I, '기타(Z)'!C:C, $E$1, '기타(Z)'!G:G, B135, '기타(Z)'!W:W, B142, '기타(Z)'!U:U, $C$1)
  ) = 0,
  "",
  SUM(
    SUMIFS('발전사업(A)'!I:I, '발전사업(A)'!C:C, $E$1, '발전사업(A)'!G:G, B135, '발전사업(A)'!W:W, B142, '발전사업(A)'!U:U, $C$1),
    SUMIFS('자가소비(B)'!I:I, '자가소비(B)'!C:C, $E$1, '자가소비(B)'!G:G, B135, '자가소비(B)'!W:W, B142, '자가소비(B)'!U:U, $C$1),
    SUMIFS('PPA 사업(C)'!I:I, 'PPA 사업(C)'!C:C, $E$1, 'PPA 사업(C)'!G:G, B135, 'PPA 사업(C)'!W:W, B142, 'PPA 사업(C)'!U:U, $C$1),
    SUMIFS('리스사업(D)'!I:I, '리스사업(D)'!C:C, $E$1, '리스사업(D)'!G:G, B135, '리스사업(D)'!W:W, B142, '리스사업(D)'!U:U, $C$1),
    SUMIFS('임대사업(E)'!I:I, '임대사업(E)'!C:C, $E$1, '임대사업(E)'!G:G, B135, '임대사업(E)'!W:W, B142, '임대사업(E)'!U:U, $C$1),
    SUMIFS('환경부사업(F)'!I:I, '환경부사업(F)'!C:C, $E$1, '환경부사업(F)'!G:G, B135, '환경부사업(F)'!W:W, B142, '환경부사업(F)'!U:U, $C$1),
    SUMIFS('프로젝트(G)'!I:I, '프로젝트(G)'!C:C, $E$1, '프로젝트(G)'!G:G, B135, '프로젝트(G)'!W:W, B142, '프로젝트(G)'!U:U, $C$1),
    SUMIFS('협력사 EPC(H)'!I:I, '협력사 EPC(H)'!C:C, $E$1, '협력사 EPC(H)'!G:G, B135, '협력사 EPC(H)'!W:W, B142, '협력사 EPC(H)'!U:U, $C$1),
    SUMIFS('기타(Z)'!I:I, '기타(Z)'!C:C, $E$1, '기타(Z)'!G:G, B135, '기타(Z)'!W:W, B142, '기타(Z)'!U:U, $C$1)
  )
)</f>
        <v>99.33</v>
      </c>
      <c r="F142" s="281">
        <f>IF(
  SUM(
    COUNTIFS('발전사업(A)'!C:C, $E$1, '발전사업(A)'!G:G, B135, '발전사업(A)'!W:W, B142, '발전사업(A)'!U:U, $C$1),
    COUNTIFS('자가소비(B)'!C:C, $E$1, '자가소비(B)'!G:G, B135, '자가소비(B)'!W:W, B142, '자가소비(B)'!U:U, $C$1),
    COUNTIFS('PPA 사업(C)'!C:C, $E$1, 'PPA 사업(C)'!G:G, B135, 'PPA 사업(C)'!W:W, B142, 'PPA 사업(C)'!U:U, $C$1),
    COUNTIFS('리스사업(D)'!C:C, $E$1, '리스사업(D)'!G:G, B135, '리스사업(D)'!W:W, B142, '리스사업(D)'!U:U, $C$1),
    COUNTIFS('임대사업(E)'!C:C, $E$1, '임대사업(E)'!G:G, B135, '임대사업(E)'!W:W, B142, '임대사업(E)'!U:U, $C$1),
    COUNTIFS('환경부사업(F)'!C:C, $E$1, '환경부사업(F)'!G:G, B135, '환경부사업(F)'!W:W, B142, '환경부사업(F)'!U:U, $C$1),
    COUNTIFS('프로젝트(G)'!C:C, $E$1, '프로젝트(G)'!G:G, B135, '프로젝트(G)'!W:W, B142, '프로젝트(G)'!U:U, $C$1),
    COUNTIFS('협력사 EPC(H)'!C:C, $E$1, '협력사 EPC(H)'!G:G, B135, '협력사 EPC(H)'!W:W, B142, '협력사 EPC(H)'!U:U, $C$1),
    COUNTIFS('기타(Z)'!C:C, $E$1, '기타(Z)'!G:G, B135, '기타(Z)'!W:W, B142, '기타(Z)'!U:U, $C$1)
  ) = 0,
  "",
  SUM(
    COUNTIFS('발전사업(A)'!C:C, $E$1, '발전사업(A)'!G:G, B135, '발전사업(A)'!W:W, B142, '발전사업(A)'!U:U, $C$1),
    COUNTIFS('자가소비(B)'!C:C, $E$1, '자가소비(B)'!G:G, B135, '자가소비(B)'!W:W, B142, '자가소비(B)'!U:U, $C$1),
    COUNTIFS('PPA 사업(C)'!C:C, $E$1, 'PPA 사업(C)'!G:G, B135, 'PPA 사업(C)'!W:W, B142, 'PPA 사업(C)'!U:U, $C$1),
    COUNTIFS('리스사업(D)'!C:C, $E$1, '리스사업(D)'!G:G, B135, '리스사업(D)'!W:W, B142, '리스사업(D)'!U:U, $C$1),
    COUNTIFS('임대사업(E)'!C:C, $E$1, '임대사업(E)'!G:G, B135, '임대사업(E)'!W:W, B142, '임대사업(E)'!U:U, $C$1),
    COUNTIFS('환경부사업(F)'!C:C, $E$1, '환경부사업(F)'!G:G, B135, '환경부사업(F)'!W:W, B142, '환경부사업(F)'!U:U, $C$1),
    COUNTIFS('프로젝트(G)'!C:C, $E$1, '프로젝트(G)'!G:G, B135, '프로젝트(G)'!W:W, B142, '프로젝트(G)'!U:U, $C$1),
    COUNTIFS('협력사 EPC(H)'!C:C, $E$1, '협력사 EPC(H)'!G:G, B135, '협력사 EPC(H)'!W:W, B142, '협력사 EPC(H)'!U:U, $C$1),
    COUNTIFS('기타(Z)'!C:C, $E$1, '기타(Z)'!G:G, B135, '기타(Z)'!W:W, B142, '기타(Z)'!U:U, $C$1)
  )
)</f>
        <v>1</v>
      </c>
      <c r="G142" s="280" t="str">
        <f>IF(
  SUM(
    SUMIFS('발전사업(A)'!I:I, '발전사업(A)'!C:C, $E$1, '발전사업(A)'!G:G, B135, '발전사업(A)'!W:W, B142, '발전사업(A)'!U:U, $D$1),
    SUMIFS('자가소비(B)'!I:I, '자가소비(B)'!C:C, $E$1, '자가소비(B)'!G:G, B135, '자가소비(B)'!W:W, B142, '자가소비(B)'!U:U, $D$1),
    SUMIFS('PPA 사업(C)'!I:I, 'PPA 사업(C)'!C:C, $E$1, 'PPA 사업(C)'!G:G, B135, 'PPA 사업(C)'!W:W, B142, 'PPA 사업(C)'!U:U, $D$1),
    SUMIFS('리스사업(D)'!I:I, '리스사업(D)'!C:C, $E$1, '리스사업(D)'!G:G, B135, '리스사업(D)'!W:W, B142, '리스사업(D)'!U:U, $D$1),
    SUMIFS('임대사업(E)'!I:I, '임대사업(E)'!C:C, $E$1, '임대사업(E)'!G:G, B135, '임대사업(E)'!W:W, B142, '임대사업(E)'!U:U, $D$1),
    SUMIFS('환경부사업(F)'!I:I, '환경부사업(F)'!C:C, $E$1, '환경부사업(F)'!G:G, B135, '환경부사업(F)'!W:W, B142, '환경부사업(F)'!U:U, $D$1),
    SUMIFS('프로젝트(G)'!I:I, '프로젝트(G)'!C:C, $E$1, '프로젝트(G)'!G:G, B135, '프로젝트(G)'!W:W, B142, '프로젝트(G)'!U:U, $D$1),
    SUMIFS('협력사 EPC(H)'!I:I, '협력사 EPC(H)'!C:C, $E$1, '협력사 EPC(H)'!G:G, B135, '협력사 EPC(H)'!W:W, B142, '협력사 EPC(H)'!U:U, $D$1),
    SUMIFS('기타(Z)'!I:I, '기타(Z)'!C:C, $E$1, '기타(Z)'!G:G, B135, '기타(Z)'!W:W, B142, '기타(Z)'!U:U, $D$1)
  ) = 0,
  "",
  SUM(
    SUMIFS('발전사업(A)'!I:I, '발전사업(A)'!C:C, $E$1, '발전사업(A)'!G:G, B135, '발전사업(A)'!W:W, B142, '발전사업(A)'!U:U, $D$1),
    SUMIFS('자가소비(B)'!I:I, '자가소비(B)'!C:C, $E$1, '자가소비(B)'!G:G, B135, '자가소비(B)'!W:W, B142, '자가소비(B)'!U:U, $D$1),
    SUMIFS('PPA 사업(C)'!I:I, 'PPA 사업(C)'!C:C, $E$1, 'PPA 사업(C)'!G:G, B135, 'PPA 사업(C)'!W:W, B142, 'PPA 사업(C)'!U:U, $D$1),
    SUMIFS('리스사업(D)'!I:I, '리스사업(D)'!C:C, $E$1, '리스사업(D)'!G:G, B135, '리스사업(D)'!W:W, B142, '리스사업(D)'!U:U, $D$1),
    SUMIFS('임대사업(E)'!I:I, '임대사업(E)'!C:C, $E$1, '임대사업(E)'!G:G, B135, '임대사업(E)'!W:W, B142, '임대사업(E)'!U:U, $D$1),
    SUMIFS('환경부사업(F)'!I:I, '환경부사업(F)'!C:C, $E$1, '환경부사업(F)'!G:G, B135, '환경부사업(F)'!W:W, B142, '환경부사업(F)'!U:U, $D$1),
    SUMIFS('프로젝트(G)'!I:I, '프로젝트(G)'!C:C, $E$1, '프로젝트(G)'!G:G, B135, '프로젝트(G)'!W:W, B142, '프로젝트(G)'!U:U, $D$1),
    SUMIFS('협력사 EPC(H)'!I:I, '협력사 EPC(H)'!C:C, $E$1, '협력사 EPC(H)'!G:G, B135, '협력사 EPC(H)'!W:W, B142, '협력사 EPC(H)'!U:U, $D$1),
    SUMIFS('기타(Z)'!I:I, '기타(Z)'!C:C, $E$1, '기타(Z)'!G:G, B135, '기타(Z)'!W:W, B142, '기타(Z)'!U:U, $D$1)
  )
)</f>
        <v/>
      </c>
      <c r="H142" s="281" t="str">
        <f>IF(
  (
    COUNTIFS('발전사업(A)'!C:C, $E$1, '발전사업(A)'!G:G, B135, '발전사업(A)'!W:W, B142, '발전사업(A)'!U:U, $D$1)
    + COUNTIFS('자가소비(B)'!C:C, $E$1, '자가소비(B)'!G:G, B135, '자가소비(B)'!W:W, B142, '자가소비(B)'!U:U, $D$1)
    + COUNTIFS('PPA 사업(C)'!C:C, $E$1, 'PPA 사업(C)'!G:G, B135, 'PPA 사업(C)'!W:W, B142, 'PPA 사업(C)'!U:U, $D$1)
    + COUNTIFS('리스사업(D)'!C:C, $E$1, '리스사업(D)'!G:G, B135, '리스사업(D)'!W:W, B142, '리스사업(D)'!U:U, $D$1)
    + COUNTIFS('임대사업(E)'!C:C, $E$1, '임대사업(E)'!G:G, B135, '임대사업(E)'!W:W, B142, '임대사업(E)'!U:U, $D$1)
    + COUNTIFS('환경부사업(F)'!C:C, $E$1, '환경부사업(F)'!G:G, B135, '환경부사업(F)'!W:W, B142, '환경부사업(F)'!U:U, $D$1)
    + COUNTIFS('프로젝트(G)'!C:C, $E$1, '프로젝트(G)'!G:G, B135, '프로젝트(G)'!W:W, B142, '프로젝트(G)'!U:U, $D$1)
    + COUNTIFS('협력사 EPC(H)'!C:C, $E$1, '협력사 EPC(H)'!G:G, B135, '협력사 EPC(H)'!W:W, B142, '협력사 EPC(H)'!U:U, $D$1)
    + COUNTIFS('기타(Z)'!C:C, $E$1, '기타(Z)'!G:G, $B135, '기타(Z)'!W:W, B142, '기타(Z)'!U:U, $D$1)
  ) = 0,
  "",
  COUNTIFS('발전사업(A)'!C:C, $E$1, '발전사업(A)'!G:G, B135, '발전사업(A)'!W:W, B142, '발전사업(A)'!U:U, $D$1)
  + COUNTIFS('자가소비(B)'!C:C, $E$1, '자가소비(B)'!G:G, B135, '자가소비(B)'!W:W, B142, '자가소비(B)'!U:U, $D$1)
  + COUNTIFS('PPA 사업(C)'!C:C, $E$1, 'PPA 사업(C)'!G:G, B135, 'PPA 사업(C)'!W:W, B142, 'PPA 사업(C)'!U:U, $D$1)
  + COUNTIFS('리스사업(D)'!C:C, $E$1, '리스사업(D)'!G:G, B135, '리스사업(D)'!W:W, B142, '리스사업(D)'!U:U, $D$1)
  + COUNTIFS('임대사업(E)'!C:C, $E$1, '임대사업(E)'!G:G, B135, '임대사업(E)'!W:W, B142, '임대사업(E)'!U:U, $D$1)
  + COUNTIFS('환경부사업(F)'!C:C, $E$1, '환경부사업(F)'!G:G, B135, '환경부사업(F)'!W:W, B142, '환경부사업(F)'!U:U, $D$1)
  + COUNTIFS('프로젝트(G)'!C:C, $E$1, '프로젝트(G)'!G:G, B135, '프로젝트(G)'!W:W, B142, '프로젝트(G)'!U:U, $D$1)
  + COUNTIFS('협력사 EPC(H)'!C:C, $E$1, '협력사 EPC(H)'!G:G, B135, '협력사 EPC(H)'!W:W, B142, '협력사 EPC(H)'!U:U, $D$1)
  + COUNTIFS('기타(Z)'!C:C, $E$1, '기타(Z)'!G:G, B135, '기타(Z)'!W:W, B142, '기타(Z)'!U:U, $D$1)
)</f>
        <v/>
      </c>
    </row>
    <row r="143" spans="2:8" x14ac:dyDescent="0.25">
      <c r="B143" s="202" t="s">
        <v>265</v>
      </c>
      <c r="C143" s="280" t="str">
        <f>IF(
  SUM(
    SUMIFS('발전사업(A)'!I:I, '발전사업(A)'!C:C, $E$1, '발전사업(A)'!G:G, B135, '발전사업(A)'!W:W, B143),
    SUMIFS('자가소비(B)'!I:I, '자가소비(B)'!C:C, $E$1, '자가소비(B)'!G:G, B135, '자가소비(B)'!W:W, B143),
    SUMIFS('PPA 사업(C)'!I:I, 'PPA 사업(C)'!C:C, $E$1, 'PPA 사업(C)'!G:G, B135, 'PPA 사업(C)'!W:W, B143),
    SUMIFS('리스사업(D)'!I:I, '리스사업(D)'!C:C, $E$1, '리스사업(D)'!G:G, B135, '리스사업(D)'!W:W, B143),
    SUMIFS('임대사업(E)'!I:I, '임대사업(E)'!C:C, $E$1, '임대사업(E)'!G:G, B135, '임대사업(E)'!W:W, B143),
    SUMIFS('환경부사업(F)'!I:I, '환경부사업(F)'!C:C, $E$1, '환경부사업(F)'!G:G, B135, '환경부사업(F)'!W:W, B143),
    SUMIFS('프로젝트(G)'!I:I, '프로젝트(G)'!C:C, $E$1, '프로젝트(G)'!G:G, B135, '프로젝트(G)'!W:W, B143),
    SUMIFS('협력사 EPC(H)'!I:I, '협력사 EPC(H)'!C:C, $E$1, '협력사 EPC(H)'!G:G, B135, '협력사 EPC(H)'!W:W, B143),
    SUMIFS('기타(Z)'!I:I, '기타(Z)'!C:C, $E$1, '기타(Z)'!G:G, B135, '기타(Z)'!W:W, B143)
  ) = 0,
  "",
  SUMIFS('발전사업(A)'!I:I, '발전사업(A)'!C:C, $E$1, '발전사업(A)'!G:G, B135, '발전사업(A)'!W:W, B143)
  + SUMIFS('자가소비(B)'!I:I, '자가소비(B)'!C:C, $E$1, '자가소비(B)'!G:G, B135, '자가소비(B)'!W:W, B143)
  + SUMIFS('PPA 사업(C)'!I:I, 'PPA 사업(C)'!C:C, $E$1, 'PPA 사업(C)'!G:G, B135, 'PPA 사업(C)'!W:W, B143)
  + SUMIFS('리스사업(D)'!I:I, '리스사업(D)'!C:C, $E$1, '리스사업(D)'!G:G, B135, '리스사업(D)'!W:W, B143)
  + SUMIFS('임대사업(E)'!I:I, '임대사업(E)'!C:C, $E$1, '임대사업(E)'!G:G, B135, '임대사업(E)'!W:W, B143)
  + SUMIFS('환경부사업(F)'!I:I, '환경부사업(F)'!C:C, $E$1, '환경부사업(F)'!G:G, B135, '환경부사업(F)'!W:W, B143)
  + SUMIFS('프로젝트(G)'!I:I, '프로젝트(G)'!C:C, $E$1, '프로젝트(G)'!G:G, B135, '프로젝트(G)'!W:W, B143)
  + SUMIFS('협력사 EPC(H)'!I:I, '협력사 EPC(H)'!C:C, $E$1, '협력사 EPC(H)'!G:G, B135, '협력사 EPC(H)'!W:W, B143)
  + SUMIFS('기타(Z)'!I:I, '기타(Z)'!C:C, $E$1, '기타(Z)'!G:G, B135, '기타(Z)'!W:W, B143)
)</f>
        <v/>
      </c>
      <c r="D143" s="281" t="str">
        <f>IF(
  COUNTIFS('발전사업(A)'!C:C, $E$1, '발전사업(A)'!G:G, B135, '발전사업(A)'!W:W, B143)
  + COUNTIFS('자가소비(B)'!C:C, $E$1, '자가소비(B)'!G:G, B135, '자가소비(B)'!W:W, B143)
  + COUNTIFS('PPA 사업(C)'!C:C, $E$1, 'PPA 사업(C)'!G:G, B135, 'PPA 사업(C)'!W:W, B143)
  + COUNTIFS('리스사업(D)'!C:C, $E$1, '리스사업(D)'!G:G, B135, '리스사업(D)'!W:W, B143)
  + COUNTIFS('임대사업(E)'!C:C, $E$1, '임대사업(E)'!G:G, B135, '임대사업(E)'!W:W, B143)
  + COUNTIFS('환경부사업(F)'!C:C, $E$1, '환경부사업(F)'!G:G, B135, '환경부사업(F)'!W:W, B143)
  + COUNTIFS('프로젝트(G)'!C:C, $E$1, '프로젝트(G)'!G:G, B135, '프로젝트(G)'!W:W, B143)
  + COUNTIFS('협력사 EPC(H)'!C:C, $E$1, '협력사 EPC(H)'!G:G, B135, '협력사 EPC(H)'!W:W, B143)
  + COUNTIFS('기타(Z)'!C:C, $E$1, '기타(Z)'!G:G, B135, '기타(Z)'!W:W, B143)
  = 0,
  "",
  COUNTIFS('발전사업(A)'!C:C, $E$1, '발전사업(A)'!G:G, B135, '발전사업(A)'!W:W, B143)
  + COUNTIFS('자가소비(B)'!C:C, $E$1, '자가소비(B)'!G:G, B135, '자가소비(B)'!W:W, B143)
  + COUNTIFS('PPA 사업(C)'!C:C, $E$1, 'PPA 사업(C)'!G:G, B135, 'PPA 사업(C)'!W:W, B143)
  + COUNTIFS('리스사업(D)'!C:C, $E$1, '리스사업(D)'!G:G, B135, '리스사업(D)'!W:W, B143)
  + COUNTIFS('임대사업(E)'!C:C, $E$1, '임대사업(E)'!G:G, B135, '임대사업(E)'!W:W, B143)
  + COUNTIFS('환경부사업(F)'!C:C, $E$1, '환경부사업(F)'!G:G, B135, '환경부사업(F)'!W:W, B143)
  + COUNTIFS('프로젝트(G)'!C:C, $E$1, '프로젝트(G)'!G:G, B135, '프로젝트(G)'!W:W, B143)
  + COUNTIFS('협력사 EPC(H)'!C:C, $E$1, '협력사 EPC(H)'!G:G, B135, '협력사 EPC(H)'!W:W, B143)
  + COUNTIFS('기타(Z)'!C:C, $E$1, '기타(Z)'!G:G, B135, '기타(Z)'!W:W, B143)
)</f>
        <v/>
      </c>
      <c r="E143" s="280" t="str">
        <f>IF(
  SUM(
    SUMIFS('발전사업(A)'!I:I, '발전사업(A)'!C:C, $E$1, '발전사업(A)'!G:G, B135, '발전사업(A)'!W:W, B143, '발전사업(A)'!U:U, $C$1),
    SUMIFS('자가소비(B)'!I:I, '자가소비(B)'!C:C, $E$1, '자가소비(B)'!G:G, B135, '자가소비(B)'!W:W, B143, '자가소비(B)'!U:U, $C$1),
    SUMIFS('PPA 사업(C)'!I:I, 'PPA 사업(C)'!C:C, $E$1, 'PPA 사업(C)'!G:G, B135, 'PPA 사업(C)'!W:W, B143, 'PPA 사업(C)'!U:U, $C$1),
    SUMIFS('리스사업(D)'!I:I, '리스사업(D)'!C:C, $E$1, '리스사업(D)'!G:G, B135, '리스사업(D)'!W:W, B143, '리스사업(D)'!U:U, $C$1),
    SUMIFS('임대사업(E)'!I:I, '임대사업(E)'!C:C, $E$1, '임대사업(E)'!G:G, B135, '임대사업(E)'!W:W, B143, '임대사업(E)'!U:U, $C$1),
    SUMIFS('환경부사업(F)'!I:I, '환경부사업(F)'!C:C, $E$1, '환경부사업(F)'!G:G, B135, '환경부사업(F)'!W:W, B143, '환경부사업(F)'!U:U, $C$1),
    SUMIFS('프로젝트(G)'!I:I, '프로젝트(G)'!C:C, $E$1, '프로젝트(G)'!G:G, B135, '프로젝트(G)'!W:W, B143, '프로젝트(G)'!U:U, $C$1),
    SUMIFS('협력사 EPC(H)'!I:I, '협력사 EPC(H)'!C:C, $E$1, '협력사 EPC(H)'!G:G, B135, '협력사 EPC(H)'!W:W, B143, '협력사 EPC(H)'!U:U, $C$1),
    SUMIFS('기타(Z)'!I:I, '기타(Z)'!C:C, $E$1, '기타(Z)'!G:G, B135, '기타(Z)'!W:W, B143, '기타(Z)'!U:U, $C$1)
  ) = 0,
  "",
  SUM(
    SUMIFS('발전사업(A)'!I:I, '발전사업(A)'!C:C, $E$1, '발전사업(A)'!G:G, B135, '발전사업(A)'!W:W, B143, '발전사업(A)'!U:U, $C$1),
    SUMIFS('자가소비(B)'!I:I, '자가소비(B)'!C:C, $E$1, '자가소비(B)'!G:G, B135, '자가소비(B)'!W:W, B143, '자가소비(B)'!U:U, $C$1),
    SUMIFS('PPA 사업(C)'!I:I, 'PPA 사업(C)'!C:C, $E$1, 'PPA 사업(C)'!G:G, B135, 'PPA 사업(C)'!W:W, B143, 'PPA 사업(C)'!U:U, $C$1),
    SUMIFS('리스사업(D)'!I:I, '리스사업(D)'!C:C, $E$1, '리스사업(D)'!G:G, B135, '리스사업(D)'!W:W, B143, '리스사업(D)'!U:U, $C$1),
    SUMIFS('임대사업(E)'!I:I, '임대사업(E)'!C:C, $E$1, '임대사업(E)'!G:G, B135, '임대사업(E)'!W:W, B143, '임대사업(E)'!U:U, $C$1),
    SUMIFS('환경부사업(F)'!I:I, '환경부사업(F)'!C:C, $E$1, '환경부사업(F)'!G:G, B135, '환경부사업(F)'!W:W, B143, '환경부사업(F)'!U:U, $C$1),
    SUMIFS('프로젝트(G)'!I:I, '프로젝트(G)'!C:C, $E$1, '프로젝트(G)'!G:G, B135, '프로젝트(G)'!W:W, B143, '프로젝트(G)'!U:U, $C$1),
    SUMIFS('협력사 EPC(H)'!I:I, '협력사 EPC(H)'!C:C, $E$1, '협력사 EPC(H)'!G:G, B135, '협력사 EPC(H)'!W:W, B143, '협력사 EPC(H)'!U:U, $C$1),
    SUMIFS('기타(Z)'!I:I, '기타(Z)'!C:C, $E$1, '기타(Z)'!G:G, B135, '기타(Z)'!W:W, B143, '기타(Z)'!U:U, $C$1)
  )
)</f>
        <v/>
      </c>
      <c r="F143" s="281" t="str">
        <f>IF(
  SUM(
    COUNTIFS('발전사업(A)'!C:C, $E$1, '발전사업(A)'!G:G, B135, '발전사업(A)'!W:W, B143, '발전사업(A)'!U:U, $C$1),
    COUNTIFS('자가소비(B)'!C:C, $E$1, '자가소비(B)'!G:G, B135, '자가소비(B)'!W:W, B143, '자가소비(B)'!U:U, $C$1),
    COUNTIFS('PPA 사업(C)'!C:C, $E$1, 'PPA 사업(C)'!G:G, B135, 'PPA 사업(C)'!W:W, B143, 'PPA 사업(C)'!U:U, $C$1),
    COUNTIFS('리스사업(D)'!C:C, $E$1, '리스사업(D)'!G:G, B135, '리스사업(D)'!W:W, B143, '리스사업(D)'!U:U, $C$1),
    COUNTIFS('임대사업(E)'!C:C, $E$1, '임대사업(E)'!G:G, B135, '임대사업(E)'!W:W, B143, '임대사업(E)'!U:U, $C$1),
    COUNTIFS('환경부사업(F)'!C:C, $E$1, '환경부사업(F)'!G:G, B135, '환경부사업(F)'!W:W, B143, '환경부사업(F)'!U:U, $C$1),
    COUNTIFS('프로젝트(G)'!C:C, $E$1, '프로젝트(G)'!G:G, B135, '프로젝트(G)'!W:W, B143, '프로젝트(G)'!U:U, $C$1),
    COUNTIFS('협력사 EPC(H)'!C:C, $E$1, '협력사 EPC(H)'!G:G, B135, '협력사 EPC(H)'!W:W, B143, '협력사 EPC(H)'!U:U, $C$1),
    COUNTIFS('기타(Z)'!C:C, $E$1, '기타(Z)'!G:G, B135, '기타(Z)'!W:W, B143, '기타(Z)'!U:U, $C$1)
  ) = 0,
  "",
  SUM(
    COUNTIFS('발전사업(A)'!C:C, $E$1, '발전사업(A)'!G:G, B135, '발전사업(A)'!W:W, B143, '발전사업(A)'!U:U, $C$1),
    COUNTIFS('자가소비(B)'!C:C, $E$1, '자가소비(B)'!G:G, B135, '자가소비(B)'!W:W, B143, '자가소비(B)'!U:U, $C$1),
    COUNTIFS('PPA 사업(C)'!C:C, $E$1, 'PPA 사업(C)'!G:G, B135, 'PPA 사업(C)'!W:W, B143, 'PPA 사업(C)'!U:U, $C$1),
    COUNTIFS('리스사업(D)'!C:C, $E$1, '리스사업(D)'!G:G, B135, '리스사업(D)'!W:W, B143, '리스사업(D)'!U:U, $C$1),
    COUNTIFS('임대사업(E)'!C:C, $E$1, '임대사업(E)'!G:G, B135, '임대사업(E)'!W:W, B143, '임대사업(E)'!U:U, $C$1),
    COUNTIFS('환경부사업(F)'!C:C, $E$1, '환경부사업(F)'!G:G, B135, '환경부사업(F)'!W:W, B143, '환경부사업(F)'!U:U, $C$1),
    COUNTIFS('프로젝트(G)'!C:C, $E$1, '프로젝트(G)'!G:G, B135, '프로젝트(G)'!W:W, B143, '프로젝트(G)'!U:U, $C$1),
    COUNTIFS('협력사 EPC(H)'!C:C, $E$1, '협력사 EPC(H)'!G:G, B135, '협력사 EPC(H)'!W:W, B143, '협력사 EPC(H)'!U:U, $C$1),
    COUNTIFS('기타(Z)'!C:C, $E$1, '기타(Z)'!G:G, B135, '기타(Z)'!W:W, B143, '기타(Z)'!U:U, $C$1)
  )
)</f>
        <v/>
      </c>
      <c r="G143" s="280" t="str">
        <f>IF(
  SUM(
    SUMIFS('발전사업(A)'!I:I, '발전사업(A)'!C:C, $E$1, '발전사업(A)'!G:G, B135, '발전사업(A)'!W:W, B143, '발전사업(A)'!U:U, $D$1),
    SUMIFS('자가소비(B)'!I:I, '자가소비(B)'!C:C, $E$1, '자가소비(B)'!G:G, B135, '자가소비(B)'!W:W, B143, '자가소비(B)'!U:U, $D$1),
    SUMIFS('PPA 사업(C)'!I:I, 'PPA 사업(C)'!C:C, $E$1, 'PPA 사업(C)'!G:G, B135, 'PPA 사업(C)'!W:W, B143, 'PPA 사업(C)'!U:U, $D$1),
    SUMIFS('리스사업(D)'!I:I, '리스사업(D)'!C:C, $E$1, '리스사업(D)'!G:G, B135, '리스사업(D)'!W:W, B143, '리스사업(D)'!U:U, $D$1),
    SUMIFS('임대사업(E)'!I:I, '임대사업(E)'!C:C, $E$1, '임대사업(E)'!G:G, B135, '임대사업(E)'!W:W, B143, '임대사업(E)'!U:U, $D$1),
    SUMIFS('환경부사업(F)'!I:I, '환경부사업(F)'!C:C, $E$1, '환경부사업(F)'!G:G, B135, '환경부사업(F)'!W:W, B143, '환경부사업(F)'!U:U, $D$1),
    SUMIFS('프로젝트(G)'!I:I, '프로젝트(G)'!C:C, $E$1, '프로젝트(G)'!G:G, B135, '프로젝트(G)'!W:W, B143, '프로젝트(G)'!U:U, $D$1),
    SUMIFS('협력사 EPC(H)'!I:I, '협력사 EPC(H)'!C:C, $E$1, '협력사 EPC(H)'!G:G, B135, '협력사 EPC(H)'!W:W, B143, '협력사 EPC(H)'!U:U, $D$1),
    SUMIFS('기타(Z)'!I:I, '기타(Z)'!C:C, $E$1, '기타(Z)'!G:G, B135, '기타(Z)'!W:W, B143, '기타(Z)'!U:U, $D$1)
  ) = 0,
  "",
  SUM(
    SUMIFS('발전사업(A)'!I:I, '발전사업(A)'!C:C, $E$1, '발전사업(A)'!G:G, B135, '발전사업(A)'!W:W, B143, '발전사업(A)'!U:U, $D$1),
    SUMIFS('자가소비(B)'!I:I, '자가소비(B)'!C:C, $E$1, '자가소비(B)'!G:G, B135, '자가소비(B)'!W:W, B143, '자가소비(B)'!U:U, $D$1),
    SUMIFS('PPA 사업(C)'!I:I, 'PPA 사업(C)'!C:C, $E$1, 'PPA 사업(C)'!G:G, B135, 'PPA 사업(C)'!W:W, B143, 'PPA 사업(C)'!U:U, $D$1),
    SUMIFS('리스사업(D)'!I:I, '리스사업(D)'!C:C, $E$1, '리스사업(D)'!G:G, B135, '리스사업(D)'!W:W, B143, '리스사업(D)'!U:U, $D$1),
    SUMIFS('임대사업(E)'!I:I, '임대사업(E)'!C:C, $E$1, '임대사업(E)'!G:G, B135, '임대사업(E)'!W:W, B143, '임대사업(E)'!U:U, $D$1),
    SUMIFS('환경부사업(F)'!I:I, '환경부사업(F)'!C:C, $E$1, '환경부사업(F)'!G:G, B135, '환경부사업(F)'!W:W, B143, '환경부사업(F)'!U:U, $D$1),
    SUMIFS('프로젝트(G)'!I:I, '프로젝트(G)'!C:C, $E$1, '프로젝트(G)'!G:G, B135, '프로젝트(G)'!W:W, B143, '프로젝트(G)'!U:U, $D$1),
    SUMIFS('협력사 EPC(H)'!I:I, '협력사 EPC(H)'!C:C, $E$1, '협력사 EPC(H)'!G:G, B135, '협력사 EPC(H)'!W:W, B143, '협력사 EPC(H)'!U:U, $D$1),
    SUMIFS('기타(Z)'!I:I, '기타(Z)'!C:C, $E$1, '기타(Z)'!G:G, B135, '기타(Z)'!W:W, B143, '기타(Z)'!U:U, $D$1)
  )
)</f>
        <v/>
      </c>
      <c r="H143" s="281" t="str">
        <f>IF(
  (
    COUNTIFS('발전사업(A)'!C:C, $E$1, '발전사업(A)'!G:G, B135, '발전사업(A)'!W:W, B143, '발전사업(A)'!U:U, $D$1)
    + COUNTIFS('자가소비(B)'!C:C, $E$1, '자가소비(B)'!G:G, B135, '자가소비(B)'!W:W, B143, '자가소비(B)'!U:U, $D$1)
    + COUNTIFS('PPA 사업(C)'!C:C, $E$1, 'PPA 사업(C)'!G:G, B135, 'PPA 사업(C)'!W:W, B143, 'PPA 사업(C)'!U:U, $D$1)
    + COUNTIFS('리스사업(D)'!C:C, $E$1, '리스사업(D)'!G:G, B135, '리스사업(D)'!W:W, B143, '리스사업(D)'!U:U, $D$1)
    + COUNTIFS('임대사업(E)'!C:C, $E$1, '임대사업(E)'!G:G, B135, '임대사업(E)'!W:W, B143, '임대사업(E)'!U:U, $D$1)
    + COUNTIFS('환경부사업(F)'!C:C, $E$1, '환경부사업(F)'!G:G, B135, '환경부사업(F)'!W:W, B143, '환경부사업(F)'!U:U, $D$1)
    + COUNTIFS('프로젝트(G)'!C:C, $E$1, '프로젝트(G)'!G:G, B135, '프로젝트(G)'!W:W, B143, '프로젝트(G)'!U:U, $D$1)
    + COUNTIFS('협력사 EPC(H)'!C:C, $E$1, '협력사 EPC(H)'!G:G, B135, '협력사 EPC(H)'!W:W, B143, '협력사 EPC(H)'!U:U, $D$1)
    + COUNTIFS('기타(Z)'!C:C, $E$1, '기타(Z)'!G:G, B135, '기타(Z)'!W:W, B143, '기타(Z)'!U:U, $D$1)
  ) = 0,
  "",
  COUNTIFS('발전사업(A)'!C:C, $E$1, '발전사업(A)'!G:G, B135, '발전사업(A)'!W:W, B143, '발전사업(A)'!U:U, $D$1)
  + COUNTIFS('자가소비(B)'!C:C, $E$1, '자가소비(B)'!G:G, B135, '자가소비(B)'!W:W, B143, '자가소비(B)'!U:U, $D$1)
  + COUNTIFS('PPA 사업(C)'!C:C, $E$1, 'PPA 사업(C)'!G:G, B135, 'PPA 사업(C)'!W:W, B143, 'PPA 사업(C)'!U:U, $D$1)
  + COUNTIFS('리스사업(D)'!C:C, $E$1, '리스사업(D)'!G:G, B135, '리스사업(D)'!W:W, B143, '리스사업(D)'!U:U, $D$1)
  + COUNTIFS('임대사업(E)'!C:C, $E$1, '임대사업(E)'!G:G, B135, '임대사업(E)'!W:W, B143, '임대사업(E)'!U:U, $D$1)
  + COUNTIFS('환경부사업(F)'!C:C, $E$1, '환경부사업(F)'!G:G, B135, '환경부사업(F)'!W:W, B143, '환경부사업(F)'!U:U, $D$1)
  + COUNTIFS('프로젝트(G)'!C:C, $E$1, '프로젝트(G)'!G:G, B135, '프로젝트(G)'!W:W, B143, '프로젝트(G)'!U:U, $D$1)
  + COUNTIFS('협력사 EPC(H)'!C:C, $E$1, '협력사 EPC(H)'!G:G, B135, '협력사 EPC(H)'!W:W, B143, '협력사 EPC(H)'!U:U, $D$1)
  + COUNTIFS('기타(Z)'!C:C, $E$1, '기타(Z)'!G:G, B135, '기타(Z)'!W:W, B143, '기타(Z)'!U:U, $D$1)
)</f>
        <v/>
      </c>
    </row>
    <row r="144" spans="2:8" ht="16.5" x14ac:dyDescent="0.25">
      <c r="B144" s="292" t="s">
        <v>1062</v>
      </c>
      <c r="C144" s="286">
        <f>SUM(C136:C143)</f>
        <v>6919.5700000000015</v>
      </c>
      <c r="D144" s="287">
        <f t="shared" ref="D144:H144" si="20">SUM(D136:D143)</f>
        <v>20</v>
      </c>
      <c r="E144" s="288">
        <f t="shared" si="20"/>
        <v>5939.0900000000011</v>
      </c>
      <c r="F144" s="289">
        <f t="shared" si="20"/>
        <v>19</v>
      </c>
      <c r="G144" s="290">
        <f t="shared" si="20"/>
        <v>980.48</v>
      </c>
      <c r="H144" s="291">
        <f t="shared" si="20"/>
        <v>1</v>
      </c>
    </row>
    <row r="147" spans="2:8" ht="17.25" x14ac:dyDescent="0.25">
      <c r="B147" s="282">
        <v>12</v>
      </c>
      <c r="C147" s="283" t="s">
        <v>1064</v>
      </c>
      <c r="D147" s="283" t="s">
        <v>1063</v>
      </c>
      <c r="E147" s="284" t="s">
        <v>1065</v>
      </c>
      <c r="F147" s="284" t="s">
        <v>1066</v>
      </c>
      <c r="G147" s="285" t="s">
        <v>1067</v>
      </c>
      <c r="H147" s="285" t="s">
        <v>1068</v>
      </c>
    </row>
    <row r="148" spans="2:8" x14ac:dyDescent="0.25">
      <c r="B148" s="202" t="s">
        <v>270</v>
      </c>
      <c r="C148" s="280">
        <f>IF(
  SUM(
    SUMIFS('발전사업(A)'!I:I, '발전사업(A)'!C:C, $E$1, '발전사업(A)'!G:G, B147, '발전사업(A)'!W:W, B148),
    SUMIFS('자가소비(B)'!I:I, '자가소비(B)'!C:C, $E$1, '자가소비(B)'!G:G, B147, '자가소비(B)'!W:W, B148),
    SUMIFS('PPA 사업(C)'!I:I, 'PPA 사업(C)'!C:C, $E$1, 'PPA 사업(C)'!G:G, B147, 'PPA 사업(C)'!W:W, B148),
    SUMIFS('리스사업(D)'!I:I, '리스사업(D)'!C:C, $E$1, '리스사업(D)'!G:G, B147, '리스사업(D)'!W:W, B148),
    SUMIFS('임대사업(E)'!I:I, '임대사업(E)'!C:C, $E$1, '임대사업(E)'!G:G, B147, '임대사업(E)'!W:W, B148),
    SUMIFS('환경부사업(F)'!I:I, '환경부사업(F)'!C:C, $E$1, '환경부사업(F)'!G:G, B147, '환경부사업(F)'!W:W, B148),
    SUMIFS('프로젝트(G)'!I:I, '프로젝트(G)'!C:C, $E$1, '프로젝트(G)'!G:G, B147, '프로젝트(G)'!W:W, B148),
    SUMIFS('협력사 EPC(H)'!I:I, '협력사 EPC(H)'!C:C, $E$1, '협력사 EPC(H)'!G:G, B147, '협력사 EPC(H)'!W:W, B148),
    SUMIFS('기타(Z)'!I:I, '기타(Z)'!C:C, $E$1, '기타(Z)'!G:G, B147, '기타(Z)'!W:W, B148)
  ) = 0,
  "",
  SUMIFS('발전사업(A)'!I:I, '발전사업(A)'!C:C, $E$1, '발전사업(A)'!G:G, B147, '발전사업(A)'!W:W, B148)
  + SUMIFS('자가소비(B)'!I:I, '자가소비(B)'!C:C, $E$1, '자가소비(B)'!G:G, B147, '자가소비(B)'!W:W, B148)
  + SUMIFS('PPA 사업(C)'!I:I, 'PPA 사업(C)'!C:C, $E$1, 'PPA 사업(C)'!G:G, B147, 'PPA 사업(C)'!W:W, B148)
  + SUMIFS('리스사업(D)'!I:I, '리스사업(D)'!C:C, $E$1, '리스사업(D)'!G:G, B147, '리스사업(D)'!W:W, B148)
  + SUMIFS('임대사업(E)'!I:I, '임대사업(E)'!C:C, $E$1, '임대사업(E)'!G:G, B147, '임대사업(E)'!W:W, B148)
  + SUMIFS('환경부사업(F)'!I:I, '환경부사업(F)'!C:C, $E$1, '환경부사업(F)'!G:G, B147, '환경부사업(F)'!W:W, B148)
  + SUMIFS('프로젝트(G)'!I:I, '프로젝트(G)'!C:C, $E$1, '프로젝트(G)'!G:G, B147, '프로젝트(G)'!W:W, B148)
  + SUMIFS('협력사 EPC(H)'!I:I, '협력사 EPC(H)'!C:C, $E$1, '협력사 EPC(H)'!G:G, B147, '협력사 EPC(H)'!W:W, B148)
  + SUMIFS('기타(Z)'!I:I, '기타(Z)'!C:C, $E$1, '기타(Z)'!G:G, B147, '기타(Z)'!W:W, B148)
)</f>
        <v>426.34500000000003</v>
      </c>
      <c r="D148" s="281">
        <f>IF(
  COUNTIFS('발전사업(A)'!C:C, $E$1, '발전사업(A)'!G:G, B147, '발전사업(A)'!W:W, B148)
  + COUNTIFS('자가소비(B)'!C:C, $E$1, '자가소비(B)'!G:G, B147, '자가소비(B)'!W:W, B148)
  + COUNTIFS('PPA 사업(C)'!C:C, $E$1, 'PPA 사업(C)'!G:G, B147, 'PPA 사업(C)'!W:W, B148)
  + COUNTIFS('리스사업(D)'!C:C, $E$1, '리스사업(D)'!G:G, B147, '리스사업(D)'!W:W, B148)
  + COUNTIFS('임대사업(E)'!C:C, $E$1, '임대사업(E)'!G:G, B147, '임대사업(E)'!W:W, B148)
  + COUNTIFS('환경부사업(F)'!C:C, $E$1, '환경부사업(F)'!G:G, B147, '환경부사업(F)'!W:W, B148)
  + COUNTIFS('프로젝트(G)'!C:C, $E$1, '프로젝트(G)'!G:G, B147, '프로젝트(G)'!W:W, B148)
  + COUNTIFS('협력사 EPC(H)'!C:C, $E$1, '협력사 EPC(H)'!G:G, B147, '협력사 EPC(H)'!W:W, B148)
  + COUNTIFS('기타(Z)'!C:C, $E$1, '기타(Z)'!G:G, B147, '기타(Z)'!W:W, B148)
  = 0,
  "",
  COUNTIFS('발전사업(A)'!C:C, $E$1, '발전사업(A)'!G:G, B147, '발전사업(A)'!W:W, B148)
  + COUNTIFS('자가소비(B)'!C:C, $E$1, '자가소비(B)'!G:G, B147, '자가소비(B)'!W:W, B148)
  + COUNTIFS('PPA 사업(C)'!C:C, $E$1, 'PPA 사업(C)'!G:G, B147, 'PPA 사업(C)'!W:W, B148)
  + COUNTIFS('리스사업(D)'!C:C, $E$1, '리스사업(D)'!G:G, B147, '리스사업(D)'!W:W, B148)
  + COUNTIFS('임대사업(E)'!C:C, $E$1, '임대사업(E)'!G:G, B147, '임대사업(E)'!W:W, B148)
  + COUNTIFS('환경부사업(F)'!C:C, $E$1, '환경부사업(F)'!G:G, B147, '환경부사업(F)'!W:W, B148)
  + COUNTIFS('프로젝트(G)'!C:C, $E$1, '프로젝트(G)'!G:G, B147, '프로젝트(G)'!W:W, B148)
  + COUNTIFS('협력사 EPC(H)'!C:C, $E$1, '협력사 EPC(H)'!G:G, B147, '협력사 EPC(H)'!W:W, B148)
  + COUNTIFS('기타(Z)'!C:C, $E$1, '기타(Z)'!G:G, B147, '기타(Z)'!W:W, B148)
)</f>
        <v>1</v>
      </c>
      <c r="E148" s="280">
        <f>IF(
  SUM(
    SUMIFS('발전사업(A)'!I:I, '발전사업(A)'!C:C, $E$1, '발전사업(A)'!G:G, B147, '발전사업(A)'!W:W, B148, '발전사업(A)'!U:U, $C$1),
    SUMIFS('자가소비(B)'!I:I, '자가소비(B)'!C:C, $E$1, '자가소비(B)'!G:G, B147, '자가소비(B)'!W:W, B148, '자가소비(B)'!U:U, $C$1),
    SUMIFS('PPA 사업(C)'!I:I, 'PPA 사업(C)'!C:C, $E$1, 'PPA 사업(C)'!G:G, B147, 'PPA 사업(C)'!W:W, B148, 'PPA 사업(C)'!U:U, $C$1),
    SUMIFS('리스사업(D)'!I:I, '리스사업(D)'!C:C, $E$1, '리스사업(D)'!G:G, B147, '리스사업(D)'!W:W, B148, '리스사업(D)'!U:U, $C$1),
    SUMIFS('임대사업(E)'!I:I, '임대사업(E)'!C:C, $E$1, '임대사업(E)'!G:G, B147, '임대사업(E)'!W:W, B148, '임대사업(E)'!U:U, $C$1),
    SUMIFS('환경부사업(F)'!I:I, '환경부사업(F)'!C:C, $E$1, '환경부사업(F)'!G:G, B147, '환경부사업(F)'!W:W, B148, '환경부사업(F)'!U:U, $C$1),
    SUMIFS('프로젝트(G)'!I:I, '프로젝트(G)'!C:C, $E$1, '프로젝트(G)'!G:G, B147, '프로젝트(G)'!W:W, B148, '프로젝트(G)'!U:U, $C$1),
    SUMIFS('협력사 EPC(H)'!I:I, '협력사 EPC(H)'!C:C, $E$1, '협력사 EPC(H)'!G:G, B147, '협력사 EPC(H)'!W:W, B148, '협력사 EPC(H)'!U:U, $C$1),
    SUMIFS('기타(Z)'!I:I, '기타(Z)'!C:C, $E$1, '기타(Z)'!G:G, B147, '기타(Z)'!W:W, B148, '기타(Z)'!U:U, $C$1)
  ) = 0,
  "",
  SUM(
    SUMIFS('발전사업(A)'!I:I, '발전사업(A)'!C:C, $E$1, '발전사업(A)'!G:G, B147, '발전사업(A)'!W:W, B148, '발전사업(A)'!U:U, $C$1),
    SUMIFS('자가소비(B)'!I:I, '자가소비(B)'!C:C, $E$1, '자가소비(B)'!G:G, B147, '자가소비(B)'!W:W, B148, '자가소비(B)'!U:U, $C$1),
    SUMIFS('PPA 사업(C)'!I:I, 'PPA 사업(C)'!C:C, $E$1, 'PPA 사업(C)'!G:G, B147, 'PPA 사업(C)'!W:W, B148, 'PPA 사업(C)'!U:U, $C$1),
    SUMIFS('리스사업(D)'!I:I, '리스사업(D)'!C:C, $E$1, '리스사업(D)'!G:G, B147, '리스사업(D)'!W:W, B148, '리스사업(D)'!U:U, $C$1),
    SUMIFS('임대사업(E)'!I:I, '임대사업(E)'!C:C, $E$1, '임대사업(E)'!G:G, B147, '임대사업(E)'!W:W, B148, '임대사업(E)'!U:U, $C$1),
    SUMIFS('환경부사업(F)'!I:I, '환경부사업(F)'!C:C, $E$1, '환경부사업(F)'!G:G, B147, '환경부사업(F)'!W:W, B148, '환경부사업(F)'!U:U, $C$1),
    SUMIFS('프로젝트(G)'!I:I, '프로젝트(G)'!C:C, $E$1, '프로젝트(G)'!G:G, B147, '프로젝트(G)'!W:W, B148, '프로젝트(G)'!U:U, $C$1),
    SUMIFS('협력사 EPC(H)'!I:I, '협력사 EPC(H)'!C:C, $E$1, '협력사 EPC(H)'!G:G, B147, '협력사 EPC(H)'!W:W, B148, '협력사 EPC(H)'!U:U, $C$1),
    SUMIFS('기타(Z)'!I:I, '기타(Z)'!C:C, $E$1, '기타(Z)'!G:G, B147, '기타(Z)'!W:W, B148, '기타(Z)'!U:U, $C$1)
  )
)</f>
        <v>426.34500000000003</v>
      </c>
      <c r="F148" s="281">
        <f>IF(
  SUM(
    COUNTIFS('발전사업(A)'!C:C, $E$1, '발전사업(A)'!G:G, B147, '발전사업(A)'!W:W, B148, '발전사업(A)'!U:U, $C$1),
    COUNTIFS('자가소비(B)'!C:C, $E$1, '자가소비(B)'!G:G, B147, '자가소비(B)'!W:W, B148, '자가소비(B)'!U:U, $C$1),
    COUNTIFS('PPA 사업(C)'!C:C, $E$1, 'PPA 사업(C)'!G:G, B147, 'PPA 사업(C)'!W:W, B148, 'PPA 사업(C)'!U:U, $C$1),
    COUNTIFS('리스사업(D)'!C:C, $E$1, '리스사업(D)'!G:G, B147, '리스사업(D)'!W:W, B148, '리스사업(D)'!U:U, $C$1),
    COUNTIFS('임대사업(E)'!C:C, $E$1, '임대사업(E)'!G:G, B147, '임대사업(E)'!W:W, B148, '임대사업(E)'!U:U, $C$1),
    COUNTIFS('환경부사업(F)'!C:C, $E$1, '환경부사업(F)'!G:G, B147, '환경부사업(F)'!W:W, B148, '환경부사업(F)'!U:U, $C$1),
    COUNTIFS('프로젝트(G)'!C:C, $E$1, '프로젝트(G)'!G:G, B147, '프로젝트(G)'!W:W, B148, '프로젝트(G)'!U:U, $C$1),
    COUNTIFS('협력사 EPC(H)'!C:C, $E$1, '협력사 EPC(H)'!G:G, B147, '협력사 EPC(H)'!W:W, B148, '협력사 EPC(H)'!U:U, $C$1),
    COUNTIFS('기타(Z)'!C:C, $E$1, '기타(Z)'!G:G, B147, '기타(Z)'!W:W, B148, '기타(Z)'!U:U, $C$1)
  ) = 0,
  "",
  SUM(
    COUNTIFS('발전사업(A)'!C:C, $E$1, '발전사업(A)'!G:G, B147, '발전사업(A)'!W:W, B148, '발전사업(A)'!U:U, $C$1),
    COUNTIFS('자가소비(B)'!C:C, $E$1, '자가소비(B)'!G:G, B147, '자가소비(B)'!W:W, B148, '자가소비(B)'!U:U, $C$1),
    COUNTIFS('PPA 사업(C)'!C:C, $E$1, 'PPA 사업(C)'!G:G, B147, 'PPA 사업(C)'!W:W, B148, 'PPA 사업(C)'!U:U, $C$1),
    COUNTIFS('리스사업(D)'!C:C, $E$1, '리스사업(D)'!G:G, B147, '리스사업(D)'!W:W, B148, '리스사업(D)'!U:U, $C$1),
    COUNTIFS('임대사업(E)'!C:C, $E$1, '임대사업(E)'!G:G, B147, '임대사업(E)'!W:W, B148, '임대사업(E)'!U:U, $C$1),
    COUNTIFS('환경부사업(F)'!C:C, $E$1, '환경부사업(F)'!G:G, B147, '환경부사업(F)'!W:W, B148, '환경부사업(F)'!U:U, $C$1),
    COUNTIFS('프로젝트(G)'!C:C, $E$1, '프로젝트(G)'!G:G, B147, '프로젝트(G)'!W:W, B148, '프로젝트(G)'!U:U, $C$1),
    COUNTIFS('협력사 EPC(H)'!C:C, $E$1, '협력사 EPC(H)'!G:G, B147, '협력사 EPC(H)'!W:W, B148, '협력사 EPC(H)'!U:U, $C$1),
    COUNTIFS('기타(Z)'!C:C, $E$1, '기타(Z)'!G:G, B147, '기타(Z)'!W:W, B148, '기타(Z)'!U:U, $C$1)
  )
)</f>
        <v>1</v>
      </c>
      <c r="G148" s="280" t="str">
        <f>IF(
  SUM(
    SUMIFS('발전사업(A)'!I:I, '발전사업(A)'!C:C, $E$1, '발전사업(A)'!G:G, B147, '발전사업(A)'!W:W, B148, '발전사업(A)'!U:U, $D$1),
    SUMIFS('자가소비(B)'!I:I, '자가소비(B)'!C:C, $E$1, '자가소비(B)'!G:G, B147, '자가소비(B)'!W:W, B148, '자가소비(B)'!U:U, $D$1),
    SUMIFS('PPA 사업(C)'!I:I, 'PPA 사업(C)'!C:C, $E$1, 'PPA 사업(C)'!G:G, B147, 'PPA 사업(C)'!W:W, B148, 'PPA 사업(C)'!U:U, $D$1),
    SUMIFS('리스사업(D)'!I:I, '리스사업(D)'!C:C, $E$1, '리스사업(D)'!G:G, B147, '리스사업(D)'!W:W, B148, '리스사업(D)'!U:U, $D$1),
    SUMIFS('임대사업(E)'!I:I, '임대사업(E)'!C:C, $E$1, '임대사업(E)'!G:G, B147, '임대사업(E)'!W:W, B148, '임대사업(E)'!U:U, $D$1),
    SUMIFS('환경부사업(F)'!I:I, '환경부사업(F)'!C:C, $E$1, '환경부사업(F)'!G:G, B147, '환경부사업(F)'!W:W, B148, '환경부사업(F)'!U:U, $D$1),
    SUMIFS('프로젝트(G)'!I:I, '프로젝트(G)'!C:C, $E$1, '프로젝트(G)'!G:G, B147, '프로젝트(G)'!W:W, B148, '프로젝트(G)'!U:U, $D$1),
    SUMIFS('협력사 EPC(H)'!I:I, '협력사 EPC(H)'!C:C, $E$1, '협력사 EPC(H)'!G:G, B147, '협력사 EPC(H)'!W:W, B148, '협력사 EPC(H)'!U:U, $D$1),
    SUMIFS('기타(Z)'!I:I, '기타(Z)'!C:C, $E$1, '기타(Z)'!G:G, B147, '기타(Z)'!W:W, B148, '기타(Z)'!U:U, $D$1)
  ) = 0,
  "",
  SUM(
    SUMIFS('발전사업(A)'!I:I, '발전사업(A)'!C:C, $E$1, '발전사업(A)'!G:G, B147, '발전사업(A)'!W:W, B148, '발전사업(A)'!U:U, $D$1),
    SUMIFS('자가소비(B)'!I:I, '자가소비(B)'!C:C, $E$1, '자가소비(B)'!G:G, B147, '자가소비(B)'!W:W, B148, '자가소비(B)'!U:U, $D$1),
    SUMIFS('PPA 사업(C)'!I:I, 'PPA 사업(C)'!C:C, $E$1, 'PPA 사업(C)'!G:G, B147, 'PPA 사업(C)'!W:W, B148, 'PPA 사업(C)'!U:U, $D$1),
    SUMIFS('리스사업(D)'!I:I, '리스사업(D)'!C:C, $E$1, '리스사업(D)'!G:G, B147, '리스사업(D)'!W:W, B148, '리스사업(D)'!U:U, $D$1),
    SUMIFS('임대사업(E)'!I:I, '임대사업(E)'!C:C, $E$1, '임대사업(E)'!G:G, B147, '임대사업(E)'!W:W, B148, '임대사업(E)'!U:U, $D$1),
    SUMIFS('환경부사업(F)'!I:I, '환경부사업(F)'!C:C, $E$1, '환경부사업(F)'!G:G, B147, '환경부사업(F)'!W:W, B148, '환경부사업(F)'!U:U, $D$1),
    SUMIFS('프로젝트(G)'!I:I, '프로젝트(G)'!C:C, $E$1, '프로젝트(G)'!G:G, B147, '프로젝트(G)'!W:W, B148, '프로젝트(G)'!U:U, $D$1),
    SUMIFS('협력사 EPC(H)'!I:I, '협력사 EPC(H)'!C:C, $E$1, '협력사 EPC(H)'!G:G, B147, '협력사 EPC(H)'!W:W, B148, '협력사 EPC(H)'!U:U, $D$1),
    SUMIFS('기타(Z)'!I:I, '기타(Z)'!C:C, $E$1, '기타(Z)'!G:G, B147, '기타(Z)'!W:W, B148, '기타(Z)'!U:U, $D$1)
  )
)</f>
        <v/>
      </c>
      <c r="H148" s="281" t="str">
        <f>IF(
  (
    COUNTIFS('발전사업(A)'!C:C, $E$1, '발전사업(A)'!G:G, B147, '발전사업(A)'!W:W, B148, '발전사업(A)'!U:U, $D$1)
    + COUNTIFS('자가소비(B)'!C:C, $E$1, '자가소비(B)'!G:G, B147, '자가소비(B)'!W:W, B148, '자가소비(B)'!U:U, $D$1)
    + COUNTIFS('PPA 사업(C)'!C:C, $E$1, 'PPA 사업(C)'!G:G, B147, 'PPA 사업(C)'!W:W, B148, 'PPA 사업(C)'!U:U, $D$1)
    + COUNTIFS('리스사업(D)'!C:C, $E$1, '리스사업(D)'!G:G, B147, '리스사업(D)'!W:W, B148, '리스사업(D)'!U:U, $D$1)
    + COUNTIFS('임대사업(E)'!C:C, $E$1, '임대사업(E)'!G:G, B147, '임대사업(E)'!W:W, B148, '임대사업(E)'!U:U, $D$1)
    + COUNTIFS('환경부사업(F)'!C:C, $E$1, '환경부사업(F)'!G:G, B147, '환경부사업(F)'!W:W, B148, '환경부사업(F)'!U:U, $D$1)
    + COUNTIFS('프로젝트(G)'!C:C, $E$1, '프로젝트(G)'!G:G, B147, '프로젝트(G)'!W:W, B148, '프로젝트(G)'!U:U, $D$1)
    + COUNTIFS('협력사 EPC(H)'!C:C, $E$1, '협력사 EPC(H)'!G:G, B147, '협력사 EPC(H)'!W:W, B148, '협력사 EPC(H)'!U:U, $D$1)
    + COUNTIFS('기타(Z)'!C:C, $E$1, '기타(Z)'!G:G, B147, '기타(Z)'!W:W, B148, '기타(Z)'!U:U, $D$1)
  ) = 0,
  "",
  COUNTIFS('발전사업(A)'!C:C, $E$1, '발전사업(A)'!G:G, B147, '발전사업(A)'!W:W, B148, '발전사업(A)'!U:U, $D$1)
  + COUNTIFS('자가소비(B)'!C:C, $E$1, '자가소비(B)'!G:G, B147, '자가소비(B)'!W:W, B148, '자가소비(B)'!U:U, $D$1)
  + COUNTIFS('PPA 사업(C)'!C:C, $E$1, 'PPA 사업(C)'!G:G, B147, 'PPA 사업(C)'!W:W, B148, 'PPA 사업(C)'!U:U, $D$1)
  + COUNTIFS('리스사업(D)'!C:C, $E$1, '리스사업(D)'!G:G, B147, '리스사업(D)'!W:W, B148, '리스사업(D)'!U:U, $D$1)
  + COUNTIFS('임대사업(E)'!C:C, $E$1, '임대사업(E)'!G:G, B147, '임대사업(E)'!W:W, B148, '임대사업(E)'!U:U, $D$1)
  + COUNTIFS('환경부사업(F)'!C:C, $E$1, '환경부사업(F)'!G:G, B147, '환경부사업(F)'!W:W, B148, '환경부사업(F)'!U:U, $D$1)
  + COUNTIFS('프로젝트(G)'!C:C, $E$1, '프로젝트(G)'!G:G, B147, '프로젝트(G)'!W:W, B148, '프로젝트(G)'!U:U, $D$1)
  + COUNTIFS('협력사 EPC(H)'!C:C, $E$1, '협력사 EPC(H)'!G:G, B147, '협력사 EPC(H)'!W:W, B148, '협력사 EPC(H)'!U:U, $D$1)
  + COUNTIFS('기타(Z)'!C:C, $E$1, '기타(Z)'!G:G, B147, '기타(Z)'!W:W, B148, '기타(Z)'!U:U, $D$1)
)</f>
        <v/>
      </c>
    </row>
    <row r="149" spans="2:8" x14ac:dyDescent="0.25">
      <c r="B149" s="202" t="s">
        <v>259</v>
      </c>
      <c r="C149" s="280">
        <f>IF(
  SUM(
    SUMIFS('발전사업(A)'!I:I, '발전사업(A)'!C:C, $E$1, '발전사업(A)'!G:G, B147, '발전사업(A)'!W:W, B149),
    SUMIFS('자가소비(B)'!I:I, '자가소비(B)'!C:C, $E$1, '자가소비(B)'!G:G, B147, '자가소비(B)'!W:W, B149),
    SUMIFS('PPA 사업(C)'!I:I, 'PPA 사업(C)'!C:C, $E$1, 'PPA 사업(C)'!G:G, B147, 'PPA 사업(C)'!W:W, B149),
    SUMIFS('리스사업(D)'!I:I, '리스사업(D)'!C:C, $E$1, '리스사업(D)'!G:G, B147, '리스사업(D)'!W:W, B149),
    SUMIFS('임대사업(E)'!I:I, '임대사업(E)'!C:C, $E$1, '임대사업(E)'!G:G, B147, '임대사업(E)'!W:W, B149),
    SUMIFS('환경부사업(F)'!I:I, '환경부사업(F)'!C:C, $E$1, '환경부사업(F)'!G:G, B147, '환경부사업(F)'!W:W, B149),
    SUMIFS('프로젝트(G)'!I:I, '프로젝트(G)'!C:C, $E$1, '프로젝트(G)'!G:G, B147, '프로젝트(G)'!W:W, B149),
    SUMIFS('협력사 EPC(H)'!I:I, '협력사 EPC(H)'!C:C, $E$1, '협력사 EPC(H)'!G:G, B147, '협력사 EPC(H)'!W:W, B149),
    SUMIFS('기타(Z)'!I:I, '기타(Z)'!C:C, $E$1, '기타(Z)'!G:G, B147, '기타(Z)'!W:W, B149)
  ) = 0,
  "",
  SUMIFS('발전사업(A)'!I:I, '발전사업(A)'!C:C, $E$1, '발전사업(A)'!G:G, B147, '발전사업(A)'!W:W, B149)
  + SUMIFS('자가소비(B)'!I:I, '자가소비(B)'!C:C, $E$1, '자가소비(B)'!G:G, B147, '자가소비(B)'!W:W, B149)
  + SUMIFS('PPA 사업(C)'!I:I, 'PPA 사업(C)'!C:C, $E$1, 'PPA 사업(C)'!G:G, B147, 'PPA 사업(C)'!W:W, B149)
  + SUMIFS('리스사업(D)'!I:I, '리스사업(D)'!C:C, $E$1, '리스사업(D)'!G:G, B147, '리스사업(D)'!W:W, B149)
  + SUMIFS('임대사업(E)'!I:I, '임대사업(E)'!C:C, $E$1, '임대사업(E)'!G:G, B147, '임대사업(E)'!W:W, B149)
  + SUMIFS('환경부사업(F)'!I:I, '환경부사업(F)'!C:C, $E$1, '환경부사업(F)'!G:G, B147, '환경부사업(F)'!W:W, B149)
  + SUMIFS('프로젝트(G)'!I:I, '프로젝트(G)'!C:C, $E$1, '프로젝트(G)'!G:G, B147, '프로젝트(G)'!W:W, B149)
  + SUMIFS('협력사 EPC(H)'!I:I, '협력사 EPC(H)'!C:C, $E$1, '협력사 EPC(H)'!G:G, B147, '협력사 EPC(H)'!W:W, B149)
  + SUMIFS('기타(Z)'!I:I, '기타(Z)'!C:C, $E$1, '기타(Z)'!G:G, B147, '기타(Z)'!W:W, B149)
)</f>
        <v>1084.1199999999999</v>
      </c>
      <c r="D149" s="281">
        <f>IF(
  COUNTIFS('발전사업(A)'!C:C, $E$1, '발전사업(A)'!G:G, B147, '발전사업(A)'!W:W, B149)
  + COUNTIFS('자가소비(B)'!C:C, $E$1, '자가소비(B)'!G:G, B147, '자가소비(B)'!W:W, B149)
  + COUNTIFS('PPA 사업(C)'!C:C, $E$1, 'PPA 사업(C)'!G:G, B147, 'PPA 사업(C)'!W:W, B149)
  + COUNTIFS('리스사업(D)'!C:C, $E$1, '리스사업(D)'!G:G, B147, '리스사업(D)'!W:W, B149)
  + COUNTIFS('임대사업(E)'!C:C, $E$1, '임대사업(E)'!G:G, B147, '임대사업(E)'!W:W, B149)
  + COUNTIFS('환경부사업(F)'!C:C, $E$1, '환경부사업(F)'!G:G, B147, '환경부사업(F)'!W:W, B149)
  + COUNTIFS('프로젝트(G)'!C:C, $E$1, '프로젝트(G)'!G:G, B147, '프로젝트(G)'!W:W, B149)
  + COUNTIFS('협력사 EPC(H)'!C:C, $E$1, '협력사 EPC(H)'!G:G, B147, '협력사 EPC(H)'!W:W, B149)
  + COUNTIFS('기타(Z)'!C:C, $E$1, '기타(Z)'!G:G, B147, '기타(Z)'!W:W, B149)
  = 0,
  "",
  COUNTIFS('발전사업(A)'!C:C, $E$1, '발전사업(A)'!G:G, B147, '발전사업(A)'!W:W, B149)
  + COUNTIFS('자가소비(B)'!C:C, $E$1, '자가소비(B)'!G:G, B147, '자가소비(B)'!W:W, B149)
  + COUNTIFS('PPA 사업(C)'!C:C, $E$1, 'PPA 사업(C)'!G:G, B147, 'PPA 사업(C)'!W:W, B149)
  + COUNTIFS('리스사업(D)'!C:C, $E$1, '리스사업(D)'!G:G, B147, '리스사업(D)'!W:W, B149)
  + COUNTIFS('임대사업(E)'!C:C, $E$1, '임대사업(E)'!G:G, B147, '임대사업(E)'!W:W, B149)
  + COUNTIFS('환경부사업(F)'!C:C, $E$1, '환경부사업(F)'!G:G, B147, '환경부사업(F)'!W:W, B149)
  + COUNTIFS('프로젝트(G)'!C:C, $E$1, '프로젝트(G)'!G:G, B147, '프로젝트(G)'!W:W, B149)
  + COUNTIFS('협력사 EPC(H)'!C:C, $E$1, '협력사 EPC(H)'!G:G, B147, '협력사 EPC(H)'!W:W, B149)
  + COUNTIFS('기타(Z)'!C:C, $E$1, '기타(Z)'!G:G, B147, '기타(Z)'!W:W, B149)
)</f>
        <v>5</v>
      </c>
      <c r="E149" s="280">
        <f>IF(
  SUM(
    SUMIFS('발전사업(A)'!I:I, '발전사업(A)'!C:C, $E$1, '발전사업(A)'!G:G, B147, '발전사업(A)'!W:W, B149, '발전사업(A)'!U:U, $C$1),
    SUMIFS('자가소비(B)'!I:I, '자가소비(B)'!C:C, $E$1, '자가소비(B)'!G:G, B147, '자가소비(B)'!W:W, B149, '자가소비(B)'!U:U, $C$1),
    SUMIFS('PPA 사업(C)'!I:I, 'PPA 사업(C)'!C:C, $E$1, 'PPA 사업(C)'!G:G, B147, 'PPA 사업(C)'!W:W, B149, 'PPA 사업(C)'!U:U, $C$1),
    SUMIFS('리스사업(D)'!I:I, '리스사업(D)'!C:C, $E$1, '리스사업(D)'!G:G, B147, '리스사업(D)'!W:W, B149, '리스사업(D)'!U:U, $C$1),
    SUMIFS('임대사업(E)'!I:I, '임대사업(E)'!C:C, $E$1, '임대사업(E)'!G:G, B147, '임대사업(E)'!W:W, B149, '임대사업(E)'!U:U, $C$1),
    SUMIFS('환경부사업(F)'!I:I, '환경부사업(F)'!C:C, $E$1, '환경부사업(F)'!G:G, B147, '환경부사업(F)'!W:W, B149, '환경부사업(F)'!U:U, $C$1),
    SUMIFS('프로젝트(G)'!I:I, '프로젝트(G)'!C:C, $E$1, '프로젝트(G)'!G:G, B147, '프로젝트(G)'!W:W, B149, '프로젝트(G)'!U:U, $C$1),
    SUMIFS('협력사 EPC(H)'!I:I, '협력사 EPC(H)'!C:C, $E$1, '협력사 EPC(H)'!G:G, B147, '협력사 EPC(H)'!W:W, B149, '협력사 EPC(H)'!U:U, $C$1),
    SUMIFS('기타(Z)'!I:I, '기타(Z)'!C:C, $E$1, '기타(Z)'!G:G, B147, '기타(Z)'!W:W, B149, '기타(Z)'!U:U, $C$1)
  ) = 0,
  "",
  SUM(
    SUMIFS('발전사업(A)'!I:I, '발전사업(A)'!C:C, $E$1, '발전사업(A)'!G:G, B147, '발전사업(A)'!W:W, B149, '발전사업(A)'!U:U, $C$1),
    SUMIFS('자가소비(B)'!I:I, '자가소비(B)'!C:C, $E$1, '자가소비(B)'!G:G, B147, '자가소비(B)'!W:W, B149, '자가소비(B)'!U:U, $C$1),
    SUMIFS('PPA 사업(C)'!I:I, 'PPA 사업(C)'!C:C, $E$1, 'PPA 사업(C)'!G:G, B147, 'PPA 사업(C)'!W:W, B149, 'PPA 사업(C)'!U:U, $C$1),
    SUMIFS('리스사업(D)'!I:I, '리스사업(D)'!C:C, $E$1, '리스사업(D)'!G:G, B147, '리스사업(D)'!W:W, B149, '리스사업(D)'!U:U, $C$1),
    SUMIFS('임대사업(E)'!I:I, '임대사업(E)'!C:C, $E$1, '임대사업(E)'!G:G, B147, '임대사업(E)'!W:W, B149, '임대사업(E)'!U:U, $C$1),
    SUMIFS('환경부사업(F)'!I:I, '환경부사업(F)'!C:C, $E$1, '환경부사업(F)'!G:G, B147, '환경부사업(F)'!W:W, B149, '환경부사업(F)'!U:U, $C$1),
    SUMIFS('프로젝트(G)'!I:I, '프로젝트(G)'!C:C, $E$1, '프로젝트(G)'!G:G, B147, '프로젝트(G)'!W:W, B149, '프로젝트(G)'!U:U, $C$1),
    SUMIFS('협력사 EPC(H)'!I:I, '협력사 EPC(H)'!C:C, $E$1, '협력사 EPC(H)'!G:G, B147, '협력사 EPC(H)'!W:W, B149, '협력사 EPC(H)'!U:U, $C$1),
    SUMIFS('기타(Z)'!I:I, '기타(Z)'!C:C, $E$1, '기타(Z)'!G:G, B147, '기타(Z)'!W:W, B149, '기타(Z)'!U:U, $C$1)
  )
)</f>
        <v>957.7</v>
      </c>
      <c r="F149" s="281">
        <f>IF(
  SUM(
    COUNTIFS('발전사업(A)'!C:C, $E$1, '발전사업(A)'!G:G, B147, '발전사업(A)'!W:W, B149, '발전사업(A)'!U:U, $C$1),
    COUNTIFS('자가소비(B)'!C:C, $E$1, '자가소비(B)'!G:G, B147, '자가소비(B)'!W:W, B149, '자가소비(B)'!U:U, $C$1),
    COUNTIFS('PPA 사업(C)'!C:C, $E$1, 'PPA 사업(C)'!G:G, B147, 'PPA 사업(C)'!W:W, B149, 'PPA 사업(C)'!U:U, $C$1),
    COUNTIFS('리스사업(D)'!C:C, $E$1, '리스사업(D)'!G:G, B147, '리스사업(D)'!W:W, B149, '리스사업(D)'!U:U, $C$1),
    COUNTIFS('임대사업(E)'!C:C, $E$1, '임대사업(E)'!G:G, B147, '임대사업(E)'!W:W, B149, '임대사업(E)'!U:U, $C$1),
    COUNTIFS('환경부사업(F)'!C:C, $E$1, '환경부사업(F)'!G:G, B147, '환경부사업(F)'!W:W, B149, '환경부사업(F)'!U:U, $C$1),
    COUNTIFS('프로젝트(G)'!C:C, $E$1, '프로젝트(G)'!G:G, B147, '프로젝트(G)'!W:W, B149, '프로젝트(G)'!U:U, $C$1),
    COUNTIFS('협력사 EPC(H)'!C:C, $E$1, '협력사 EPC(H)'!G:G, B147, '협력사 EPC(H)'!W:W, B149, '협력사 EPC(H)'!U:U, $C$1),
    COUNTIFS('기타(Z)'!C:C, $E$1, '기타(Z)'!G:G, B147, '기타(Z)'!W:W, B149, '기타(Z)'!U:U, $C$1)
  ) = 0,
  "",
  SUM(
    COUNTIFS('발전사업(A)'!C:C, $E$1, '발전사업(A)'!G:G, B147, '발전사업(A)'!W:W, B149, '발전사업(A)'!U:U, $C$1),
    COUNTIFS('자가소비(B)'!C:C, $E$1, '자가소비(B)'!G:G, B147, '자가소비(B)'!W:W, B149, '자가소비(B)'!U:U, $C$1),
    COUNTIFS('PPA 사업(C)'!C:C, $E$1, 'PPA 사업(C)'!G:G, B147, 'PPA 사업(C)'!W:W, B149, 'PPA 사업(C)'!U:U, $C$1),
    COUNTIFS('리스사업(D)'!C:C, $E$1, '리스사업(D)'!G:G, B147, '리스사업(D)'!W:W, B149, '리스사업(D)'!U:U, $C$1),
    COUNTIFS('임대사업(E)'!C:C, $E$1, '임대사업(E)'!G:G, B147, '임대사업(E)'!W:W, B149, '임대사업(E)'!U:U, $C$1),
    COUNTIFS('환경부사업(F)'!C:C, $E$1, '환경부사업(F)'!G:G, B147, '환경부사업(F)'!W:W, B149, '환경부사업(F)'!U:U, $C$1),
    COUNTIFS('프로젝트(G)'!C:C, $E$1, '프로젝트(G)'!G:G, B147, '프로젝트(G)'!W:W, B149, '프로젝트(G)'!U:U, $C$1),
    COUNTIFS('협력사 EPC(H)'!C:C, $E$1, '협력사 EPC(H)'!G:G, B147, '협력사 EPC(H)'!W:W, B149, '협력사 EPC(H)'!U:U, $C$1),
    COUNTIFS('기타(Z)'!C:C, $E$1, '기타(Z)'!G:G, B147, '기타(Z)'!W:W, B149, '기타(Z)'!U:U, $C$1)
  )
)</f>
        <v>4</v>
      </c>
      <c r="G149" s="280">
        <f>IF(
  SUM(
    SUMIFS('발전사업(A)'!I:I, '발전사업(A)'!C:C, $E$1, '발전사업(A)'!G:G, B147, '발전사업(A)'!W:W, B149, '발전사업(A)'!U:U, $D$1),
    SUMIFS('자가소비(B)'!I:I, '자가소비(B)'!C:C, $E$1, '자가소비(B)'!G:G, B147, '자가소비(B)'!W:W, B149, '자가소비(B)'!U:U, $D$1),
    SUMIFS('PPA 사업(C)'!I:I, 'PPA 사업(C)'!C:C, $E$1, 'PPA 사업(C)'!G:G, B147, 'PPA 사업(C)'!W:W, B149, 'PPA 사업(C)'!U:U, $D$1),
    SUMIFS('리스사업(D)'!I:I, '리스사업(D)'!C:C, $E$1, '리스사업(D)'!G:G, B147, '리스사업(D)'!W:W, B149, '리스사업(D)'!U:U, $D$1),
    SUMIFS('임대사업(E)'!I:I, '임대사업(E)'!C:C, $E$1, '임대사업(E)'!G:G, B147, '임대사업(E)'!W:W, B149, '임대사업(E)'!U:U, $D$1),
    SUMIFS('환경부사업(F)'!I:I, '환경부사업(F)'!C:C, $E$1, '환경부사업(F)'!G:G, B147, '환경부사업(F)'!W:W, B149, '환경부사업(F)'!U:U, $D$1),
    SUMIFS('프로젝트(G)'!I:I, '프로젝트(G)'!C:C, $E$1, '프로젝트(G)'!G:G, B147, '프로젝트(G)'!W:W, B149, '프로젝트(G)'!U:U, $D$1),
    SUMIFS('협력사 EPC(H)'!I:I, '협력사 EPC(H)'!C:C, $E$1, '협력사 EPC(H)'!G:G, B147, '협력사 EPC(H)'!W:W, B149, '협력사 EPC(H)'!U:U, $D$1),
    SUMIFS('기타(Z)'!I:I, '기타(Z)'!C:C, $E$1, '기타(Z)'!G:G, B147, '기타(Z)'!W:W, B149, '기타(Z)'!U:U, $D$1)
  ) = 0,
  "",
  SUM(
    SUMIFS('발전사업(A)'!I:I, '발전사업(A)'!C:C, $E$1, '발전사업(A)'!G:G, B147, '발전사업(A)'!W:W, B149, '발전사업(A)'!U:U, $D$1),
    SUMIFS('자가소비(B)'!I:I, '자가소비(B)'!C:C, $E$1, '자가소비(B)'!G:G, B147, '자가소비(B)'!W:W, B149, '자가소비(B)'!U:U, $D$1),
    SUMIFS('PPA 사업(C)'!I:I, 'PPA 사업(C)'!C:C, $E$1, 'PPA 사업(C)'!G:G, B147, 'PPA 사업(C)'!W:W, B149, 'PPA 사업(C)'!U:U, $D$1),
    SUMIFS('리스사업(D)'!I:I, '리스사업(D)'!C:C, $E$1, '리스사업(D)'!G:G, B147, '리스사업(D)'!W:W, B149, '리스사업(D)'!U:U, $D$1),
    SUMIFS('임대사업(E)'!I:I, '임대사업(E)'!C:C, $E$1, '임대사업(E)'!G:G, B147, '임대사업(E)'!W:W, B149, '임대사업(E)'!U:U, $D$1),
    SUMIFS('환경부사업(F)'!I:I, '환경부사업(F)'!C:C, $E$1, '환경부사업(F)'!G:G, B147, '환경부사업(F)'!W:W, B149, '환경부사업(F)'!U:U, $D$1),
    SUMIFS('프로젝트(G)'!I:I, '프로젝트(G)'!C:C, $E$1, '프로젝트(G)'!G:G, B147, '프로젝트(G)'!W:W, B149, '프로젝트(G)'!U:U, $D$1),
    SUMIFS('협력사 EPC(H)'!I:I, '협력사 EPC(H)'!C:C, $E$1, '협력사 EPC(H)'!G:G, B147, '협력사 EPC(H)'!W:W, B149, '협력사 EPC(H)'!U:U, $D$1),
    SUMIFS('기타(Z)'!I:I, '기타(Z)'!C:C, $E$1, '기타(Z)'!G:G, B147, '기타(Z)'!W:W, B149, '기타(Z)'!U:U, $D$1)
  )
)</f>
        <v>126.42</v>
      </c>
      <c r="H149" s="281">
        <f>IF(
  (
    COUNTIFS('발전사업(A)'!C:C, $E$1, '발전사업(A)'!G:G, B147, '발전사업(A)'!W:W, B149, '발전사업(A)'!U:U, $D$1)
    + COUNTIFS('자가소비(B)'!C:C, $E$1, '자가소비(B)'!G:G, B147, '자가소비(B)'!W:W, B149, '자가소비(B)'!U:U, $D$1)
    + COUNTIFS('PPA 사업(C)'!C:C, $E$1, 'PPA 사업(C)'!G:G, B147, 'PPA 사업(C)'!W:W, B149, 'PPA 사업(C)'!U:U, $D$1)
    + COUNTIFS('리스사업(D)'!C:C, $E$1, '리스사업(D)'!G:G, B147, '리스사업(D)'!W:W, B149, '리스사업(D)'!U:U, $D$1)
    + COUNTIFS('임대사업(E)'!C:C, $E$1, '임대사업(E)'!G:G, B147, '임대사업(E)'!W:W, B149, '임대사업(E)'!U:U, $D$1)
    + COUNTIFS('환경부사업(F)'!C:C, $E$1, '환경부사업(F)'!G:G, B147, '환경부사업(F)'!W:W, B149, '환경부사업(F)'!U:U, $D$1)
    + COUNTIFS('프로젝트(G)'!C:C, $E$1, '프로젝트(G)'!G:G, B147, '프로젝트(G)'!W:W, B149, '프로젝트(G)'!U:U, $D$1)
    + COUNTIFS('협력사 EPC(H)'!C:C, $E$1, '협력사 EPC(H)'!G:G, B147, '협력사 EPC(H)'!W:W, B149, '협력사 EPC(H)'!U:U, $D$1)
    + COUNTIFS('기타(Z)'!C:C, $E$1, '기타(Z)'!G:G, B147, '기타(Z)'!W:W, B149, '기타(Z)'!U:U, $D$1)
  ) = 0,
  "",
  COUNTIFS('발전사업(A)'!C:C, $E$1, '발전사업(A)'!G:G, B147, '발전사업(A)'!W:W, B149, '발전사업(A)'!U:U, $D$1)
  + COUNTIFS('자가소비(B)'!C:C, $E$1, '자가소비(B)'!G:G, B147, '자가소비(B)'!W:W, B149, '자가소비(B)'!U:U, $D$1)
  + COUNTIFS('PPA 사업(C)'!C:C, $E$1, 'PPA 사업(C)'!G:G, B147, 'PPA 사업(C)'!W:W, B149, 'PPA 사업(C)'!U:U, $D$1)
  + COUNTIFS('리스사업(D)'!C:C, $E$1, '리스사업(D)'!G:G, B147, '리스사업(D)'!W:W, B149, '리스사업(D)'!U:U, $D$1)
  + COUNTIFS('임대사업(E)'!C:C, $E$1, '임대사업(E)'!G:G, B147, '임대사업(E)'!W:W, B149, '임대사업(E)'!U:U, $D$1)
  + COUNTIFS('환경부사업(F)'!C:C, $E$1, '환경부사업(F)'!G:G, B147, '환경부사업(F)'!W:W, B149, '환경부사업(F)'!U:U, $D$1)
  + COUNTIFS('프로젝트(G)'!C:C, $E$1, '프로젝트(G)'!G:G, B147, '프로젝트(G)'!W:W, B149, '프로젝트(G)'!U:U, $D$1)
  + COUNTIFS('협력사 EPC(H)'!C:C, $E$1, '협력사 EPC(H)'!G:G, B147, '협력사 EPC(H)'!W:W, B149, '협력사 EPC(H)'!U:U, $D$1)
  + COUNTIFS('기타(Z)'!C:C, $E$1, '기타(Z)'!G:G, B147, '기타(Z)'!W:W, B149, '기타(Z)'!U:U, $D$1)
)</f>
        <v>1</v>
      </c>
    </row>
    <row r="150" spans="2:8" x14ac:dyDescent="0.25">
      <c r="B150" s="202" t="s">
        <v>260</v>
      </c>
      <c r="C150" s="280" t="str">
        <f>IF(
  SUM(
    SUMIFS('발전사업(A)'!I:I, '발전사업(A)'!C:C, $E$1, '발전사업(A)'!G:G, B147, '발전사업(A)'!W:W, B150),
    SUMIFS('자가소비(B)'!I:I, '자가소비(B)'!C:C, $E$1, '자가소비(B)'!G:G, B147, '자가소비(B)'!W:W, B150),
    SUMIFS('PPA 사업(C)'!I:I, 'PPA 사업(C)'!C:C, $E$1, 'PPA 사업(C)'!G:G, B147, 'PPA 사업(C)'!W:W, B150),
    SUMIFS('리스사업(D)'!I:I, '리스사업(D)'!C:C, $E$1, '리스사업(D)'!G:G, B147, '리스사업(D)'!W:W, B150),
    SUMIFS('임대사업(E)'!I:I, '임대사업(E)'!C:C, $E$1, '임대사업(E)'!G:G, B147, '임대사업(E)'!W:W, B150),
    SUMIFS('환경부사업(F)'!I:I, '환경부사업(F)'!C:C, $E$1, '환경부사업(F)'!G:G, B147, '환경부사업(F)'!W:W, B150),
    SUMIFS('프로젝트(G)'!I:I, '프로젝트(G)'!C:C, $E$1, '프로젝트(G)'!G:G, B147, '프로젝트(G)'!W:W, B150),
    SUMIFS('협력사 EPC(H)'!I:I, '협력사 EPC(H)'!C:C, $E$1, '협력사 EPC(H)'!G:G, B147, '협력사 EPC(H)'!W:W, B150),
    SUMIFS('기타(Z)'!I:I, '기타(Z)'!C:C, $E$1, '기타(Z)'!G:G, B147, '기타(Z)'!W:W, B150)
  ) = 0,
  "",
  SUMIFS('발전사업(A)'!I:I, '발전사업(A)'!C:C, $E$1, '발전사업(A)'!G:G, B147, '발전사업(A)'!W:W, B150)
  + SUMIFS('자가소비(B)'!I:I, '자가소비(B)'!C:C, $E$1, '자가소비(B)'!G:G, B147, '자가소비(B)'!W:W, B150)
  + SUMIFS('PPA 사업(C)'!I:I, 'PPA 사업(C)'!C:C, $E$1, 'PPA 사업(C)'!G:G, B147, 'PPA 사업(C)'!W:W, B150)
  + SUMIFS('리스사업(D)'!I:I, '리스사업(D)'!C:C, $E$1, '리스사업(D)'!G:G, B147, '리스사업(D)'!W:W, B150)
  + SUMIFS('임대사업(E)'!I:I, '임대사업(E)'!C:C, $E$1, '임대사업(E)'!G:G, B147, '임대사업(E)'!W:W, B150)
  + SUMIFS('환경부사업(F)'!I:I, '환경부사업(F)'!C:C, $E$1, '환경부사업(F)'!G:G, B147, '환경부사업(F)'!W:W, B150)
  + SUMIFS('프로젝트(G)'!I:I, '프로젝트(G)'!C:C, $E$1, '프로젝트(G)'!G:G, B147, '프로젝트(G)'!W:W, B150)
  + SUMIFS('협력사 EPC(H)'!I:I, '협력사 EPC(H)'!C:C, $E$1, '협력사 EPC(H)'!G:G, B147, '협력사 EPC(H)'!W:W, B150)
  + SUMIFS('기타(Z)'!I:I, '기타(Z)'!C:C, $E$1, '기타(Z)'!G:G, B147, '기타(Z)'!W:W, B150)
)</f>
        <v/>
      </c>
      <c r="D150" s="281" t="str">
        <f>IF(
  COUNTIFS('발전사업(A)'!C:C, $E$1, '발전사업(A)'!G:G, B147, '발전사업(A)'!W:W, B150)
  + COUNTIFS('자가소비(B)'!C:C, $E$1, '자가소비(B)'!G:G, B147, '자가소비(B)'!W:W, B150)
  + COUNTIFS('PPA 사업(C)'!C:C, $E$1, 'PPA 사업(C)'!G:G, B147, 'PPA 사업(C)'!W:W, B150)
  + COUNTIFS('리스사업(D)'!C:C, $E$1, '리스사업(D)'!G:G, B147, '리스사업(D)'!W:W, B150)
  + COUNTIFS('임대사업(E)'!C:C, $E$1, '임대사업(E)'!G:G, B147, '임대사업(E)'!W:W, B150)
  + COUNTIFS('환경부사업(F)'!C:C, $E$1, '환경부사업(F)'!G:G, B147, '환경부사업(F)'!W:W, B150)
  + COUNTIFS('프로젝트(G)'!C:C, $E$1, '프로젝트(G)'!G:G, B147, '프로젝트(G)'!W:W, B150)
  + COUNTIFS('협력사 EPC(H)'!C:C, $E$1, '협력사 EPC(H)'!G:G, B147, '협력사 EPC(H)'!W:W, B150)
  + COUNTIFS('기타(Z)'!C:C, $E$1, '기타(Z)'!G:G, B147, '기타(Z)'!W:W, B150)
  = 0,
  "",
  COUNTIFS('발전사업(A)'!C:C, $E$1, '발전사업(A)'!G:G, B147, '발전사업(A)'!W:W, B150)
  + COUNTIFS('자가소비(B)'!C:C, $E$1, '자가소비(B)'!G:G, B147, '자가소비(B)'!W:W, B150)
  + COUNTIFS('PPA 사업(C)'!C:C, $E$1, 'PPA 사업(C)'!G:G, B147, 'PPA 사업(C)'!W:W, B150)
  + COUNTIFS('리스사업(D)'!C:C, $E$1, '리스사업(D)'!G:G, B147, '리스사업(D)'!W:W, B150)
  + COUNTIFS('임대사업(E)'!C:C, $E$1, '임대사업(E)'!G:G, B147, '임대사업(E)'!W:W, B150)
  + COUNTIFS('환경부사업(F)'!C:C, $E$1, '환경부사업(F)'!G:G, B147, '환경부사업(F)'!W:W, B150)
  + COUNTIFS('프로젝트(G)'!C:C, $E$1, '프로젝트(G)'!G:G, B147, '프로젝트(G)'!W:W, B150)
  + COUNTIFS('협력사 EPC(H)'!C:C, $E$1, '협력사 EPC(H)'!G:G, B147, '협력사 EPC(H)'!W:W, B150)
  + COUNTIFS('기타(Z)'!C:C, $E$1, '기타(Z)'!G:G, B147, '기타(Z)'!W:W, B150)
)</f>
        <v/>
      </c>
      <c r="E150" s="280" t="str">
        <f>IF(
  SUM(
    SUMIFS('발전사업(A)'!I:I, '발전사업(A)'!C:C, $E$1, '발전사업(A)'!G:G, B147, '발전사업(A)'!W:W, B150, '발전사업(A)'!U:U, $C$1),
    SUMIFS('자가소비(B)'!I:I, '자가소비(B)'!C:C, $E$1, '자가소비(B)'!G:G, B147, '자가소비(B)'!W:W, B150, '자가소비(B)'!U:U, $C$1),
    SUMIFS('PPA 사업(C)'!I:I, 'PPA 사업(C)'!C:C, $E$1, 'PPA 사업(C)'!G:G, B147, 'PPA 사업(C)'!W:W, B150, 'PPA 사업(C)'!U:U, $C$1),
    SUMIFS('리스사업(D)'!I:I, '리스사업(D)'!C:C, $E$1, '리스사업(D)'!G:G, B147, '리스사업(D)'!W:W, B150, '리스사업(D)'!U:U, $C$1),
    SUMIFS('임대사업(E)'!I:I, '임대사업(E)'!C:C, $E$1, '임대사업(E)'!G:G, B147, '임대사업(E)'!W:W, B150, '임대사업(E)'!U:U, $C$1),
    SUMIFS('환경부사업(F)'!I:I, '환경부사업(F)'!C:C, $E$1, '환경부사업(F)'!G:G, B147, '환경부사업(F)'!W:W, B150, '환경부사업(F)'!U:U, $C$1),
    SUMIFS('프로젝트(G)'!I:I, '프로젝트(G)'!C:C, $E$1, '프로젝트(G)'!G:G, B147, '프로젝트(G)'!W:W, B150, '프로젝트(G)'!U:U, $C$1),
    SUMIFS('협력사 EPC(H)'!I:I, '협력사 EPC(H)'!C:C, $E$1, '협력사 EPC(H)'!G:G, B147, '협력사 EPC(H)'!W:W, B150, '협력사 EPC(H)'!U:U, $C$1),
    SUMIFS('기타(Z)'!I:I, '기타(Z)'!C:C, $E$1, '기타(Z)'!G:G, B147, '기타(Z)'!W:W, B150, '기타(Z)'!U:U, $C$1)
  ) = 0,
  "",
  SUM(
    SUMIFS('발전사업(A)'!I:I, '발전사업(A)'!C:C, $E$1, '발전사업(A)'!G:G, B147, '발전사업(A)'!W:W, B150, '발전사업(A)'!U:U, $C$1),
    SUMIFS('자가소비(B)'!I:I, '자가소비(B)'!C:C, $E$1, '자가소비(B)'!G:G, B147, '자가소비(B)'!W:W, B150, '자가소비(B)'!U:U, $C$1),
    SUMIFS('PPA 사업(C)'!I:I, 'PPA 사업(C)'!C:C, $E$1, 'PPA 사업(C)'!G:G, B147, 'PPA 사업(C)'!W:W, B150, 'PPA 사업(C)'!U:U, $C$1),
    SUMIFS('리스사업(D)'!I:I, '리스사업(D)'!C:C, $E$1, '리스사업(D)'!G:G, B147, '리스사업(D)'!W:W, B150, '리스사업(D)'!U:U, $C$1),
    SUMIFS('임대사업(E)'!I:I, '임대사업(E)'!C:C, $E$1, '임대사업(E)'!G:G, B147, '임대사업(E)'!W:W, B150, '임대사업(E)'!U:U, $C$1),
    SUMIFS('환경부사업(F)'!I:I, '환경부사업(F)'!C:C, $E$1, '환경부사업(F)'!G:G, B147, '환경부사업(F)'!W:W, B150, '환경부사업(F)'!U:U, $C$1),
    SUMIFS('프로젝트(G)'!I:I, '프로젝트(G)'!C:C, $E$1, '프로젝트(G)'!G:G, B147, '프로젝트(G)'!W:W, B150, '프로젝트(G)'!U:U, $C$1),
    SUMIFS('협력사 EPC(H)'!I:I, '협력사 EPC(H)'!C:C, $E$1, '협력사 EPC(H)'!G:G, B147, '협력사 EPC(H)'!W:W, B150, '협력사 EPC(H)'!U:U, $C$1),
    SUMIFS('기타(Z)'!I:I, '기타(Z)'!C:C, $E$1, '기타(Z)'!G:G, B147, '기타(Z)'!W:W, B150, '기타(Z)'!U:U, $C$1)
  )
)</f>
        <v/>
      </c>
      <c r="F150" s="281" t="str">
        <f>IF(
  SUM(
    COUNTIFS('발전사업(A)'!C:C, $E$1, '발전사업(A)'!G:G, B147, '발전사업(A)'!W:W, B150, '발전사업(A)'!U:U, $C$1),
    COUNTIFS('자가소비(B)'!C:C, $E$1, '자가소비(B)'!G:G, B147, '자가소비(B)'!W:W, B150, '자가소비(B)'!U:U, $C$1),
    COUNTIFS('PPA 사업(C)'!C:C, $E$1, 'PPA 사업(C)'!G:G, B147, 'PPA 사업(C)'!W:W, B150, 'PPA 사업(C)'!U:U, $C$1),
    COUNTIFS('리스사업(D)'!C:C, $E$1, '리스사업(D)'!G:G, B147, '리스사업(D)'!W:W, B150, '리스사업(D)'!U:U, $C$1),
    COUNTIFS('임대사업(E)'!C:C, $E$1, '임대사업(E)'!G:G, B147, '임대사업(E)'!W:W, B150, '임대사업(E)'!U:U, $C$1),
    COUNTIFS('환경부사업(F)'!C:C, $E$1, '환경부사업(F)'!G:G, B147, '환경부사업(F)'!W:W, B150, '환경부사업(F)'!U:U, $C$1),
    COUNTIFS('프로젝트(G)'!C:C, $E$1, '프로젝트(G)'!G:G, B147, '프로젝트(G)'!W:W, B150, '프로젝트(G)'!U:U, $C$1),
    COUNTIFS('협력사 EPC(H)'!C:C, $E$1, '협력사 EPC(H)'!G:G, B147, '협력사 EPC(H)'!W:W, B150, '협력사 EPC(H)'!U:U, $C$1),
    COUNTIFS('기타(Z)'!C:C, $E$1, '기타(Z)'!G:G, B147, '기타(Z)'!W:W, B150, '기타(Z)'!U:U, $C$1)
  ) = 0,
  "",
  SUM(
    COUNTIFS('발전사업(A)'!C:C, $E$1, '발전사업(A)'!G:G, B147, '발전사업(A)'!W:W, B150, '발전사업(A)'!U:U, $C$1),
    COUNTIFS('자가소비(B)'!C:C, $E$1, '자가소비(B)'!G:G, B147, '자가소비(B)'!W:W, B150, '자가소비(B)'!U:U, $C$1),
    COUNTIFS('PPA 사업(C)'!C:C, $E$1, 'PPA 사업(C)'!G:G, B147, 'PPA 사업(C)'!W:W, B150, 'PPA 사업(C)'!U:U, $C$1),
    COUNTIFS('리스사업(D)'!C:C, $E$1, '리스사업(D)'!G:G, B147, '리스사업(D)'!W:W, B150, '리스사업(D)'!U:U, $C$1),
    COUNTIFS('임대사업(E)'!C:C, $E$1, '임대사업(E)'!G:G, B147, '임대사업(E)'!W:W, B150, '임대사업(E)'!U:U, $C$1),
    COUNTIFS('환경부사업(F)'!C:C, $E$1, '환경부사업(F)'!G:G, B147, '환경부사업(F)'!W:W, B150, '환경부사업(F)'!U:U, $C$1),
    COUNTIFS('프로젝트(G)'!C:C, $E$1, '프로젝트(G)'!G:G, B147, '프로젝트(G)'!W:W, B150, '프로젝트(G)'!U:U, $C$1),
    COUNTIFS('협력사 EPC(H)'!C:C, $E$1, '협력사 EPC(H)'!G:G, B147, '협력사 EPC(H)'!W:W, B150, '협력사 EPC(H)'!U:U, $C$1),
    COUNTIFS('기타(Z)'!C:C, $E$1, '기타(Z)'!G:G, B147, '기타(Z)'!W:W, B150, '기타(Z)'!U:U, $C$1)
  )
)</f>
        <v/>
      </c>
      <c r="G150" s="280" t="str">
        <f>IF(
  SUM(
    SUMIFS('발전사업(A)'!I:I, '발전사업(A)'!C:C, $E$1, '발전사업(A)'!G:G, B147, '발전사업(A)'!W:W, B150, '발전사업(A)'!U:U, $D$1),
    SUMIFS('자가소비(B)'!I:I, '자가소비(B)'!C:C, $E$1, '자가소비(B)'!G:G, B147, '자가소비(B)'!W:W, B150, '자가소비(B)'!U:U, $D$1),
    SUMIFS('PPA 사업(C)'!I:I, 'PPA 사업(C)'!C:C, $E$1, 'PPA 사업(C)'!G:G, B147, 'PPA 사업(C)'!W:W, B150, 'PPA 사업(C)'!U:U, $D$1),
    SUMIFS('리스사업(D)'!I:I, '리스사업(D)'!C:C, $E$1, '리스사업(D)'!G:G, B147, '리스사업(D)'!W:W, B150, '리스사업(D)'!U:U, $D$1),
    SUMIFS('임대사업(E)'!I:I, '임대사업(E)'!C:C, $E$1, '임대사업(E)'!G:G, B147, '임대사업(E)'!W:W, B150, '임대사업(E)'!U:U, $D$1),
    SUMIFS('환경부사업(F)'!I:I, '환경부사업(F)'!C:C, $E$1, '환경부사업(F)'!G:G, B147, '환경부사업(F)'!W:W, B150, '환경부사업(F)'!U:U, $D$1),
    SUMIFS('프로젝트(G)'!I:I, '프로젝트(G)'!C:C, $E$1, '프로젝트(G)'!G:G, B147, '프로젝트(G)'!W:W, B150, '프로젝트(G)'!U:U, $D$1),
    SUMIFS('협력사 EPC(H)'!I:I, '협력사 EPC(H)'!C:C, $E$1, '협력사 EPC(H)'!G:G, B147, '협력사 EPC(H)'!W:W, B150, '협력사 EPC(H)'!U:U, $D$1),
    SUMIFS('기타(Z)'!I:I, '기타(Z)'!C:C, $E$1, '기타(Z)'!G:G, B147, '기타(Z)'!W:W, B150, '기타(Z)'!U:U, $D$1)
  ) = 0,
  "",
  SUM(
    SUMIFS('발전사업(A)'!I:I, '발전사업(A)'!C:C, $E$1, '발전사업(A)'!G:G, B147, '발전사업(A)'!W:W, B150, '발전사업(A)'!U:U, $D$1),
    SUMIFS('자가소비(B)'!I:I, '자가소비(B)'!C:C, $E$1, '자가소비(B)'!G:G, B147, '자가소비(B)'!W:W, B150, '자가소비(B)'!U:U, $D$1),
    SUMIFS('PPA 사업(C)'!I:I, 'PPA 사업(C)'!C:C, $E$1, 'PPA 사업(C)'!G:G, B147, 'PPA 사업(C)'!W:W, B150, 'PPA 사업(C)'!U:U, $D$1),
    SUMIFS('리스사업(D)'!I:I, '리스사업(D)'!C:C, $E$1, '리스사업(D)'!G:G, B147, '리스사업(D)'!W:W, B150, '리스사업(D)'!U:U, $D$1),
    SUMIFS('임대사업(E)'!I:I, '임대사업(E)'!C:C, $E$1, '임대사업(E)'!G:G, B147, '임대사업(E)'!W:W, B150, '임대사업(E)'!U:U, $D$1),
    SUMIFS('환경부사업(F)'!I:I, '환경부사업(F)'!C:C, $E$1, '환경부사업(F)'!G:G, B147, '환경부사업(F)'!W:W, B150, '환경부사업(F)'!U:U, $D$1),
    SUMIFS('프로젝트(G)'!I:I, '프로젝트(G)'!C:C, $E$1, '프로젝트(G)'!G:G, B147, '프로젝트(G)'!W:W, B150, '프로젝트(G)'!U:U, $D$1),
    SUMIFS('협력사 EPC(H)'!I:I, '협력사 EPC(H)'!C:C, $E$1, '협력사 EPC(H)'!G:G, B147, '협력사 EPC(H)'!W:W, B150, '협력사 EPC(H)'!U:U, $D$1),
    SUMIFS('기타(Z)'!I:I, '기타(Z)'!C:C, $E$1, '기타(Z)'!G:G, B147, '기타(Z)'!W:W, B150, '기타(Z)'!U:U, $D$1)
  )
)</f>
        <v/>
      </c>
      <c r="H150" s="281" t="str">
        <f>IF(
  (
    COUNTIFS('발전사업(A)'!C:C, $E$1, '발전사업(A)'!G:G, B147, '발전사업(A)'!W:W, B150, '발전사업(A)'!U:U, $D$1)
    + COUNTIFS('자가소비(B)'!C:C, $E$1, '자가소비(B)'!G:G, B147, '자가소비(B)'!W:W, B150, '자가소비(B)'!U:U, $D$1)
    + COUNTIFS('PPA 사업(C)'!C:C, $E$1, 'PPA 사업(C)'!G:G, B147, 'PPA 사업(C)'!W:W, B150, 'PPA 사업(C)'!U:U, $D$1)
    + COUNTIFS('리스사업(D)'!C:C, $E$1, '리스사업(D)'!G:G, B147, '리스사업(D)'!W:W, B150, '리스사업(D)'!U:U, $D$1)
    + COUNTIFS('임대사업(E)'!C:C, $E$1, '임대사업(E)'!G:G, B147, '임대사업(E)'!W:W, B150, '임대사업(E)'!U:U, $D$1)
    + COUNTIFS('환경부사업(F)'!C:C, $E$1, '환경부사업(F)'!G:G, B147, '환경부사업(F)'!W:W, B150, '환경부사업(F)'!U:U, $D$1)
    + COUNTIFS('프로젝트(G)'!C:C, $E$1, '프로젝트(G)'!G:G, B147, '프로젝트(G)'!W:W, B150, '프로젝트(G)'!U:U, $D$1)
    + COUNTIFS('협력사 EPC(H)'!C:C, $E$1, '협력사 EPC(H)'!G:G, B147, '협력사 EPC(H)'!W:W, B150, '협력사 EPC(H)'!U:U, $D$1)
    + COUNTIFS('기타(Z)'!C:C, $E$1, '기타(Z)'!G:G, B147, '기타(Z)'!W:W, B150, '기타(Z)'!U:U, $D$1)
  ) = 0,
  "",
  COUNTIFS('발전사업(A)'!C:C, $E$1, '발전사업(A)'!G:G, B147, '발전사업(A)'!W:W, B150, '발전사업(A)'!U:U, $D$1)
  + COUNTIFS('자가소비(B)'!C:C, $E$1, '자가소비(B)'!G:G, B147, '자가소비(B)'!W:W, B150, '자가소비(B)'!U:U, $D$1)
  + COUNTIFS('PPA 사업(C)'!C:C, $E$1, 'PPA 사업(C)'!G:G, B147, 'PPA 사업(C)'!W:W, B150, 'PPA 사업(C)'!U:U, $D$1)
  + COUNTIFS('리스사업(D)'!C:C, $E$1, '리스사업(D)'!G:G, B147, '리스사업(D)'!W:W, B150, '리스사업(D)'!U:U, $D$1)
  + COUNTIFS('임대사업(E)'!C:C, $E$1, '임대사업(E)'!G:G, B147, '임대사업(E)'!W:W, B150, '임대사업(E)'!U:U, $D$1)
  + COUNTIFS('환경부사업(F)'!C:C, $E$1, '환경부사업(F)'!G:G, B147, '환경부사업(F)'!W:W, B150, '환경부사업(F)'!U:U, $D$1)
  + COUNTIFS('프로젝트(G)'!C:C, $E$1, '프로젝트(G)'!G:G, B147, '프로젝트(G)'!W:W, B150, '프로젝트(G)'!U:U, $D$1)
  + COUNTIFS('협력사 EPC(H)'!C:C, $E$1, '협력사 EPC(H)'!G:G, B147, '협력사 EPC(H)'!W:W, B150, '협력사 EPC(H)'!U:U, $D$1)
  + COUNTIFS('기타(Z)'!C:C, $E$1, '기타(Z)'!G:G, B147, '기타(Z)'!W:W, B150, '기타(Z)'!U:U, $D$1)
)</f>
        <v/>
      </c>
    </row>
    <row r="151" spans="2:8" x14ac:dyDescent="0.25">
      <c r="B151" s="202" t="s">
        <v>261</v>
      </c>
      <c r="C151" s="280" t="str">
        <f>IF(
  SUM(
    SUMIFS('발전사업(A)'!I:I, '발전사업(A)'!C:C, $E$1, '발전사업(A)'!G:G, B147, '발전사업(A)'!W:W, B151),
    SUMIFS('자가소비(B)'!I:I, '자가소비(B)'!C:C, $E$1, '자가소비(B)'!G:G, B147, '자가소비(B)'!W:W, B151),
    SUMIFS('PPA 사업(C)'!I:I, 'PPA 사업(C)'!C:C, $E$1, 'PPA 사업(C)'!G:G, B147, 'PPA 사업(C)'!W:W, B151),
    SUMIFS('리스사업(D)'!I:I, '리스사업(D)'!C:C, $E$1, '리스사업(D)'!G:G, B147, '리스사업(D)'!W:W, B151),
    SUMIFS('임대사업(E)'!I:I, '임대사업(E)'!C:C, $E$1, '임대사업(E)'!G:G, B147, '임대사업(E)'!W:W, B151),
    SUMIFS('환경부사업(F)'!I:I, '환경부사업(F)'!C:C, $E$1, '환경부사업(F)'!G:G, B147, '환경부사업(F)'!W:W, B151),
    SUMIFS('프로젝트(G)'!I:I, '프로젝트(G)'!C:C, $E$1, '프로젝트(G)'!G:G, B147, '프로젝트(G)'!W:W, B151),
    SUMIFS('협력사 EPC(H)'!I:I, '협력사 EPC(H)'!C:C, $E$1, '협력사 EPC(H)'!G:G, B147, '협력사 EPC(H)'!W:W, B151),
    SUMIFS('기타(Z)'!I:I, '기타(Z)'!C:C, $E$1, '기타(Z)'!G:G, B147, '기타(Z)'!W:W, B151)
  ) = 0,
  "",
  SUMIFS('발전사업(A)'!I:I, '발전사업(A)'!C:C, $E$1, '발전사업(A)'!G:G, B147, '발전사업(A)'!W:W, B151)
  + SUMIFS('자가소비(B)'!I:I, '자가소비(B)'!C:C, $E$1, '자가소비(B)'!G:G, B147, '자가소비(B)'!W:W, B151)
  + SUMIFS('PPA 사업(C)'!I:I, 'PPA 사업(C)'!C:C, $E$1, 'PPA 사업(C)'!G:G, B147, 'PPA 사업(C)'!W:W, B151)
  + SUMIFS('리스사업(D)'!I:I, '리스사업(D)'!C:C, $E$1, '리스사업(D)'!G:G, B147, '리스사업(D)'!W:W, B151)
  + SUMIFS('임대사업(E)'!I:I, '임대사업(E)'!C:C, $E$1, '임대사업(E)'!G:G, B147, '임대사업(E)'!W:W, B151)
  + SUMIFS('환경부사업(F)'!I:I, '환경부사업(F)'!C:C, $E$1, '환경부사업(F)'!G:G, B147, '환경부사업(F)'!W:W, B151)
  + SUMIFS('프로젝트(G)'!I:I, '프로젝트(G)'!C:C, $E$1, '프로젝트(G)'!G:G, B147, '프로젝트(G)'!W:W, B151)
  + SUMIFS('협력사 EPC(H)'!I:I, '협력사 EPC(H)'!C:C, $E$1, '협력사 EPC(H)'!G:G, B147, '협력사 EPC(H)'!W:W, B151)
  + SUMIFS('기타(Z)'!I:I, '기타(Z)'!C:C, $E$1, '기타(Z)'!G:G, B147, '기타(Z)'!W:W, B151)
)</f>
        <v/>
      </c>
      <c r="D151" s="281" t="str">
        <f>IF(
  COUNTIFS('발전사업(A)'!C:C, $E$1, '발전사업(A)'!G:G, B147, '발전사업(A)'!W:W, B151)
  + COUNTIFS('자가소비(B)'!C:C, $E$1, '자가소비(B)'!G:G, B147, '자가소비(B)'!W:W, B151)
  + COUNTIFS('PPA 사업(C)'!C:C, $E$1, 'PPA 사업(C)'!G:G, B147, 'PPA 사업(C)'!W:W, B151)
  + COUNTIFS('리스사업(D)'!C:C, $E$1, '리스사업(D)'!G:G, B147, '리스사업(D)'!W:W, B151)
  + COUNTIFS('임대사업(E)'!C:C, $E$1, '임대사업(E)'!G:G, B147, '임대사업(E)'!W:W, B151)
  + COUNTIFS('환경부사업(F)'!C:C, $E$1, '환경부사업(F)'!G:G, B147, '환경부사업(F)'!W:W, B151)
  + COUNTIFS('프로젝트(G)'!C:C, $E$1, '프로젝트(G)'!G:G, B147, '프로젝트(G)'!W:W, B151)
  + COUNTIFS('협력사 EPC(H)'!C:C, $E$1, '협력사 EPC(H)'!G:G, B147, '협력사 EPC(H)'!W:W, B151)
  + COUNTIFS('기타(Z)'!C:C, $E$1, '기타(Z)'!G:G, B147, '기타(Z)'!W:W, B151)
  = 0,
  "",
  COUNTIFS('발전사업(A)'!C:C, $E$1, '발전사업(A)'!G:G, B147, '발전사업(A)'!W:W, B151)
  + COUNTIFS('자가소비(B)'!C:C, $E$1, '자가소비(B)'!G:G, B147, '자가소비(B)'!W:W, B151)
  + COUNTIFS('PPA 사업(C)'!C:C, $E$1, 'PPA 사업(C)'!G:G, B147, 'PPA 사업(C)'!W:W, B151)
  + COUNTIFS('리스사업(D)'!C:C, $E$1, '리스사업(D)'!G:G, B147, '리스사업(D)'!W:W, B151)
  + COUNTIFS('임대사업(E)'!C:C, $E$1, '임대사업(E)'!G:G, B147, '임대사업(E)'!W:W, B151)
  + COUNTIFS('환경부사업(F)'!C:C, $E$1, '환경부사업(F)'!G:G, B147, '환경부사업(F)'!W:W, B151)
  + COUNTIFS('프로젝트(G)'!C:C, $E$1, '프로젝트(G)'!G:G, B147, '프로젝트(G)'!W:W, B151)
  + COUNTIFS('협력사 EPC(H)'!C:C, $E$1, '협력사 EPC(H)'!G:G, B147, '협력사 EPC(H)'!W:W, B151)
  + COUNTIFS('기타(Z)'!C:C, $E$1, '기타(Z)'!G:G, B147, '기타(Z)'!W:W, B151)
)</f>
        <v/>
      </c>
      <c r="E151" s="280" t="str">
        <f>IF(
  SUM(
    SUMIFS('발전사업(A)'!I:I, '발전사업(A)'!C:C, $E$1, '발전사업(A)'!G:G, B147, '발전사업(A)'!W:W, B151, '발전사업(A)'!U:U, $C$1),
    SUMIFS('자가소비(B)'!I:I, '자가소비(B)'!C:C, $E$1, '자가소비(B)'!G:G, B147, '자가소비(B)'!W:W, B151, '자가소비(B)'!U:U, $C$1),
    SUMIFS('PPA 사업(C)'!I:I, 'PPA 사업(C)'!C:C, $E$1, 'PPA 사업(C)'!G:G, B147, 'PPA 사업(C)'!W:W, B151, 'PPA 사업(C)'!U:U, $C$1),
    SUMIFS('리스사업(D)'!I:I, '리스사업(D)'!C:C, $E$1, '리스사업(D)'!G:G, B147, '리스사업(D)'!W:W, B151, '리스사업(D)'!U:U, $C$1),
    SUMIFS('임대사업(E)'!I:I, '임대사업(E)'!C:C, $E$1, '임대사업(E)'!G:G, B147, '임대사업(E)'!W:W, B151, '임대사업(E)'!U:U, $C$1),
    SUMIFS('환경부사업(F)'!I:I, '환경부사업(F)'!C:C, $E$1, '환경부사업(F)'!G:G, B147, '환경부사업(F)'!W:W, B151, '환경부사업(F)'!U:U, $C$1),
    SUMIFS('프로젝트(G)'!I:I, '프로젝트(G)'!C:C, $E$1, '프로젝트(G)'!G:G, B147, '프로젝트(G)'!W:W, B151, '프로젝트(G)'!U:U, $C$1),
    SUMIFS('협력사 EPC(H)'!I:I, '협력사 EPC(H)'!C:C, $E$1, '협력사 EPC(H)'!G:G, B147, '협력사 EPC(H)'!W:W, B151, '협력사 EPC(H)'!U:U, $C$1),
    SUMIFS('기타(Z)'!I:I, '기타(Z)'!C:C, $E$1, '기타(Z)'!G:G, B147, '기타(Z)'!W:W, B151, '기타(Z)'!U:U, $C$1)
  ) = 0,
  "",
  SUM(
    SUMIFS('발전사업(A)'!I:I, '발전사업(A)'!C:C, $E$1, '발전사업(A)'!G:G, B147, '발전사업(A)'!W:W, B151, '발전사업(A)'!U:U, $C$1),
    SUMIFS('자가소비(B)'!I:I, '자가소비(B)'!C:C, $E$1, '자가소비(B)'!G:G, B147, '자가소비(B)'!W:W, B151, '자가소비(B)'!U:U, $C$1),
    SUMIFS('PPA 사업(C)'!I:I, 'PPA 사업(C)'!C:C, $E$1, 'PPA 사업(C)'!G:G, B147, 'PPA 사업(C)'!W:W, B151, 'PPA 사업(C)'!U:U, $C$1),
    SUMIFS('리스사업(D)'!I:I, '리스사업(D)'!C:C, $E$1, '리스사업(D)'!G:G, B147, '리스사업(D)'!W:W, B151, '리스사업(D)'!U:U, $C$1),
    SUMIFS('임대사업(E)'!I:I, '임대사업(E)'!C:C, $E$1, '임대사업(E)'!G:G, B147, '임대사업(E)'!W:W, B151, '임대사업(E)'!U:U, $C$1),
    SUMIFS('환경부사업(F)'!I:I, '환경부사업(F)'!C:C, $E$1, '환경부사업(F)'!G:G, B147, '환경부사업(F)'!W:W, B151, '환경부사업(F)'!U:U, $C$1),
    SUMIFS('프로젝트(G)'!I:I, '프로젝트(G)'!C:C, $E$1, '프로젝트(G)'!G:G, B147, '프로젝트(G)'!W:W, B151, '프로젝트(G)'!U:U, $C$1),
    SUMIFS('협력사 EPC(H)'!I:I, '협력사 EPC(H)'!C:C, $E$1, '협력사 EPC(H)'!G:G, B147, '협력사 EPC(H)'!W:W, B151, '협력사 EPC(H)'!U:U, $C$1),
    SUMIFS('기타(Z)'!I:I, '기타(Z)'!C:C, $E$1, '기타(Z)'!G:G, B147, '기타(Z)'!W:W, B151, '기타(Z)'!U:U, $C$1)
  )
)</f>
        <v/>
      </c>
      <c r="F151" s="281" t="str">
        <f>IF(
  SUM(
    COUNTIFS('발전사업(A)'!C:C, $E$1, '발전사업(A)'!G:G, B147, '발전사업(A)'!W:W, B151, '발전사업(A)'!U:U, $C$1),
    COUNTIFS('자가소비(B)'!C:C, $E$1, '자가소비(B)'!G:G, B147, '자가소비(B)'!W:W, B151, '자가소비(B)'!U:U, $C$1),
    COUNTIFS('PPA 사업(C)'!C:C, $E$1, 'PPA 사업(C)'!G:G, B147, 'PPA 사업(C)'!W:W, B151, 'PPA 사업(C)'!U:U, $C$1),
    COUNTIFS('리스사업(D)'!C:C, $E$1, '리스사업(D)'!G:G, B147, '리스사업(D)'!W:W, B151, '리스사업(D)'!U:U, $C$1),
    COUNTIFS('임대사업(E)'!C:C, $E$1, '임대사업(E)'!G:G, B147, '임대사업(E)'!W:W, B151, '임대사업(E)'!U:U, $C$1),
    COUNTIFS('환경부사업(F)'!C:C, $E$1, '환경부사업(F)'!G:G, B147, '환경부사업(F)'!W:W, B151, '환경부사업(F)'!U:U, $C$1),
    COUNTIFS('프로젝트(G)'!C:C, $E$1, '프로젝트(G)'!G:G, B147, '프로젝트(G)'!W:W, B151, '프로젝트(G)'!U:U, $C$1),
    COUNTIFS('협력사 EPC(H)'!C:C, $E$1, '협력사 EPC(H)'!G:G, B147, '협력사 EPC(H)'!W:W, B151, '협력사 EPC(H)'!U:U, $C$1),
    COUNTIFS('기타(Z)'!C:C, $E$1, '기타(Z)'!G:G, B147, '기타(Z)'!W:W, B151, '기타(Z)'!U:U, $C$1)
  ) = 0,
  "",
  SUM(
    COUNTIFS('발전사업(A)'!C:C, $E$1, '발전사업(A)'!G:G, B147, '발전사업(A)'!W:W, B151, '발전사업(A)'!U:U, $C$1),
    COUNTIFS('자가소비(B)'!C:C, $E$1, '자가소비(B)'!G:G, B147, '자가소비(B)'!W:W, B151, '자가소비(B)'!U:U, $C$1),
    COUNTIFS('PPA 사업(C)'!C:C, $E$1, 'PPA 사업(C)'!G:G, B147, 'PPA 사업(C)'!W:W, B151, 'PPA 사업(C)'!U:U, $C$1),
    COUNTIFS('리스사업(D)'!C:C, $E$1, '리스사업(D)'!G:G, B147, '리스사업(D)'!W:W, B151, '리스사업(D)'!U:U, $C$1),
    COUNTIFS('임대사업(E)'!C:C, $E$1, '임대사업(E)'!G:G, B147, '임대사업(E)'!W:W, B151, '임대사업(E)'!U:U, $C$1),
    COUNTIFS('환경부사업(F)'!C:C, $E$1, '환경부사업(F)'!G:G, B147, '환경부사업(F)'!W:W, B151, '환경부사업(F)'!U:U, $C$1),
    COUNTIFS('프로젝트(G)'!C:C, $E$1, '프로젝트(G)'!G:G, B147, '프로젝트(G)'!W:W, B151, '프로젝트(G)'!U:U, $C$1),
    COUNTIFS('협력사 EPC(H)'!C:C, $E$1, '협력사 EPC(H)'!G:G, B147, '협력사 EPC(H)'!W:W, B151, '협력사 EPC(H)'!U:U, $C$1),
    COUNTIFS('기타(Z)'!C:C, $E$1, '기타(Z)'!G:G, B147, '기타(Z)'!W:W, B151, '기타(Z)'!U:U, $C$1)
  )
)</f>
        <v/>
      </c>
      <c r="G151" s="280" t="str">
        <f>IF(
  SUM(
    SUMIFS('발전사업(A)'!I:I, '발전사업(A)'!C:C, $E$1, '발전사업(A)'!G:G, B147, '발전사업(A)'!W:W, B151, '발전사업(A)'!U:U, $D$1),
    SUMIFS('자가소비(B)'!I:I, '자가소비(B)'!C:C, $E$1, '자가소비(B)'!G:G, B147, '자가소비(B)'!W:W, B151, '자가소비(B)'!U:U, $D$1),
    SUMIFS('PPA 사업(C)'!I:I, 'PPA 사업(C)'!C:C, $E$1, 'PPA 사업(C)'!G:G, B147, 'PPA 사업(C)'!W:W, B151, 'PPA 사업(C)'!U:U, $D$1),
    SUMIFS('리스사업(D)'!I:I, '리스사업(D)'!C:C, $E$1, '리스사업(D)'!G:G, B147, '리스사업(D)'!W:W, B151, '리스사업(D)'!U:U, $D$1),
    SUMIFS('임대사업(E)'!I:I, '임대사업(E)'!C:C, $E$1, '임대사업(E)'!G:G, B147, '임대사업(E)'!W:W, B151, '임대사업(E)'!U:U, $D$1),
    SUMIFS('환경부사업(F)'!I:I, '환경부사업(F)'!C:C, $E$1, '환경부사업(F)'!G:G, B147, '환경부사업(F)'!W:W, B151, '환경부사업(F)'!U:U, $D$1),
    SUMIFS('프로젝트(G)'!I:I, '프로젝트(G)'!C:C, $E$1, '프로젝트(G)'!G:G, B147, '프로젝트(G)'!W:W, B151, '프로젝트(G)'!U:U, $D$1),
    SUMIFS('협력사 EPC(H)'!I:I, '협력사 EPC(H)'!C:C, $E$1, '협력사 EPC(H)'!G:G, B147, '협력사 EPC(H)'!W:W, B151, '협력사 EPC(H)'!U:U, $D$1),
    SUMIFS('기타(Z)'!I:I, '기타(Z)'!C:C, $E$1, '기타(Z)'!G:G, B147, '기타(Z)'!W:W, B151, '기타(Z)'!U:U, $D$1)
  ) = 0,
  "",
  SUM(
    SUMIFS('발전사업(A)'!I:I, '발전사업(A)'!C:C, $E$1, '발전사업(A)'!G:G, B147, '발전사업(A)'!W:W, B151, '발전사업(A)'!U:U, $D$1),
    SUMIFS('자가소비(B)'!I:I, '자가소비(B)'!C:C, $E$1, '자가소비(B)'!G:G, B147, '자가소비(B)'!W:W, B151, '자가소비(B)'!U:U, $D$1),
    SUMIFS('PPA 사업(C)'!I:I, 'PPA 사업(C)'!C:C, $E$1, 'PPA 사업(C)'!G:G, B147, 'PPA 사업(C)'!W:W, B151, 'PPA 사업(C)'!U:U, $D$1),
    SUMIFS('리스사업(D)'!I:I, '리스사업(D)'!C:C, $E$1, '리스사업(D)'!G:G, B147, '리스사업(D)'!W:W, B151, '리스사업(D)'!U:U, $D$1),
    SUMIFS('임대사업(E)'!I:I, '임대사업(E)'!C:C, $E$1, '임대사업(E)'!G:G, B147, '임대사업(E)'!W:W, B151, '임대사업(E)'!U:U, $D$1),
    SUMIFS('환경부사업(F)'!I:I, '환경부사업(F)'!C:C, $E$1, '환경부사업(F)'!G:G, B147, '환경부사업(F)'!W:W, B151, '환경부사업(F)'!U:U, $D$1),
    SUMIFS('프로젝트(G)'!I:I, '프로젝트(G)'!C:C, $E$1, '프로젝트(G)'!G:G, B147, '프로젝트(G)'!W:W, B151, '프로젝트(G)'!U:U, $D$1),
    SUMIFS('협력사 EPC(H)'!I:I, '협력사 EPC(H)'!C:C, $E$1, '협력사 EPC(H)'!G:G, B147, '협력사 EPC(H)'!W:W, B151, '협력사 EPC(H)'!U:U, $D$1),
    SUMIFS('기타(Z)'!I:I, '기타(Z)'!C:C, $E$1, '기타(Z)'!G:G, B147, '기타(Z)'!W:W, B151, '기타(Z)'!U:U, $D$1)
  )
)</f>
        <v/>
      </c>
      <c r="H151" s="281" t="str">
        <f>IF(
  (
    COUNTIFS('발전사업(A)'!C:C, $E$1, '발전사업(A)'!G:G, B147, '발전사업(A)'!W:W, B151, '발전사업(A)'!U:U, $D$1)
    + COUNTIFS('자가소비(B)'!C:C, $E$1, '자가소비(B)'!G:G, B147, '자가소비(B)'!W:W, B151, '자가소비(B)'!U:U, $D$1)
    + COUNTIFS('PPA 사업(C)'!C:C, $E$1, 'PPA 사업(C)'!G:G, B147, 'PPA 사업(C)'!W:W, B151, 'PPA 사업(C)'!U:U, $D$1)
    + COUNTIFS('리스사업(D)'!C:C, $E$1, '리스사업(D)'!G:G, B147, '리스사업(D)'!W:W, B151, '리스사업(D)'!U:U, $D$1)
    + COUNTIFS('임대사업(E)'!C:C, $E$1, '임대사업(E)'!G:G, B147, '임대사업(E)'!W:W, B151, '임대사업(E)'!U:U, $D$1)
    + COUNTIFS('환경부사업(F)'!C:C, $E$1, '환경부사업(F)'!G:G, B147, '환경부사업(F)'!W:W, B151, '환경부사업(F)'!U:U, $D$1)
    + COUNTIFS('프로젝트(G)'!C:C, $E$1, '프로젝트(G)'!G:G, B147, '프로젝트(G)'!W:W, B151, '프로젝트(G)'!U:U, $D$1)
    + COUNTIFS('협력사 EPC(H)'!C:C, $E$1, '협력사 EPC(H)'!G:G, B147, '협력사 EPC(H)'!W:W, B151, '협력사 EPC(H)'!U:U, $D$1)
    + COUNTIFS('기타(Z)'!C:C, $E$1, '기타(Z)'!G:G, B147, '기타(Z)'!W:W, B151, '기타(Z)'!U:U, $D$1)
  ) = 0,
  "",
  COUNTIFS('발전사업(A)'!C:C, $E$1, '발전사업(A)'!G:G, B147, '발전사업(A)'!W:W, B151, '발전사업(A)'!U:U, $D$1)
  + COUNTIFS('자가소비(B)'!C:C, $E$1, '자가소비(B)'!G:G, B147, '자가소비(B)'!W:W, B151, '자가소비(B)'!U:U, $D$1)
  + COUNTIFS('PPA 사업(C)'!C:C, $E$1, 'PPA 사업(C)'!G:G, B147, 'PPA 사업(C)'!W:W, B151, 'PPA 사업(C)'!U:U, $D$1)
  + COUNTIFS('리스사업(D)'!C:C, $E$1, '리스사업(D)'!G:G, B147, '리스사업(D)'!W:W, B151, '리스사업(D)'!U:U, $D$1)
  + COUNTIFS('임대사업(E)'!C:C, $E$1, '임대사업(E)'!G:G, B147, '임대사업(E)'!W:W, B151, '임대사업(E)'!U:U, $D$1)
  + COUNTIFS('환경부사업(F)'!C:C, $E$1, '환경부사업(F)'!G:G, B147, '환경부사업(F)'!W:W, B151, '환경부사업(F)'!U:U, $D$1)
  + COUNTIFS('프로젝트(G)'!C:C, $E$1, '프로젝트(G)'!G:G, B147, '프로젝트(G)'!W:W, B151, '프로젝트(G)'!U:U, $D$1)
  + COUNTIFS('협력사 EPC(H)'!C:C, $E$1, '협력사 EPC(H)'!G:G, B147, '협력사 EPC(H)'!W:W, B151, '협력사 EPC(H)'!U:U, $D$1)
  + COUNTIFS('기타(Z)'!C:C, $E$1, '기타(Z)'!G:G, B147, '기타(Z)'!W:W, B151, '기타(Z)'!U:U, $D$1)
)</f>
        <v/>
      </c>
    </row>
    <row r="152" spans="2:8" x14ac:dyDescent="0.25">
      <c r="B152" s="202" t="s">
        <v>262</v>
      </c>
      <c r="C152" s="280">
        <f>IF(
  SUM(
    SUMIFS('발전사업(A)'!I:I, '발전사업(A)'!C:C, $E$1, '발전사업(A)'!G:G, B147, '발전사업(A)'!W:W, B152),
    SUMIFS('자가소비(B)'!I:I, '자가소비(B)'!C:C, $E$1, '자가소비(B)'!G:G, B147, '자가소비(B)'!W:W, B152),
    SUMIFS('PPA 사업(C)'!I:I, 'PPA 사업(C)'!C:C, $E$1, 'PPA 사업(C)'!G:G, B147, 'PPA 사업(C)'!W:W, B152),
    SUMIFS('리스사업(D)'!I:I, '리스사업(D)'!C:C, $E$1, '리스사업(D)'!G:G, B147, '리스사업(D)'!W:W, B152),
    SUMIFS('임대사업(E)'!I:I, '임대사업(E)'!C:C, $E$1, '임대사업(E)'!G:G, B147, '임대사업(E)'!W:W, B152),
    SUMIFS('환경부사업(F)'!I:I, '환경부사업(F)'!C:C, $E$1, '환경부사업(F)'!G:G, B147, '환경부사업(F)'!W:W, B152),
    SUMIFS('프로젝트(G)'!I:I, '프로젝트(G)'!C:C, $E$1, '프로젝트(G)'!G:G, B147, '프로젝트(G)'!W:W, B152),
    SUMIFS('협력사 EPC(H)'!I:I, '협력사 EPC(H)'!C:C, $E$1, '협력사 EPC(H)'!G:G, B147, '협력사 EPC(H)'!W:W, B152),
    SUMIFS('기타(Z)'!I:I, '기타(Z)'!C:C, $E$1, '기타(Z)'!G:G, B147, '기타(Z)'!W:W, B152)
  ) = 0,
  "",
  SUMIFS('발전사업(A)'!I:I, '발전사업(A)'!C:C, $E$1, '발전사업(A)'!G:G, B147, '발전사업(A)'!W:W, B152)
  + SUMIFS('자가소비(B)'!I:I, '자가소비(B)'!C:C, $E$1, '자가소비(B)'!G:G, B147, '자가소비(B)'!W:W, B152)
  + SUMIFS('PPA 사업(C)'!I:I, 'PPA 사업(C)'!C:C, $E$1, 'PPA 사업(C)'!G:G, B147, 'PPA 사업(C)'!W:W, B152)
  + SUMIFS('리스사업(D)'!I:I, '리스사업(D)'!C:C, $E$1, '리스사업(D)'!G:G, B147, '리스사업(D)'!W:W, B152)
  + SUMIFS('임대사업(E)'!I:I, '임대사업(E)'!C:C, $E$1, '임대사업(E)'!G:G, B147, '임대사업(E)'!W:W, B152)
  + SUMIFS('환경부사업(F)'!I:I, '환경부사업(F)'!C:C, $E$1, '환경부사업(F)'!G:G, B147, '환경부사업(F)'!W:W, B152)
  + SUMIFS('프로젝트(G)'!I:I, '프로젝트(G)'!C:C, $E$1, '프로젝트(G)'!G:G, B147, '프로젝트(G)'!W:W, B152)
  + SUMIFS('협력사 EPC(H)'!I:I, '협력사 EPC(H)'!C:C, $E$1, '협력사 EPC(H)'!G:G, B147, '협력사 EPC(H)'!W:W, B152)
  + SUMIFS('기타(Z)'!I:I, '기타(Z)'!C:C, $E$1, '기타(Z)'!G:G, B147, '기타(Z)'!W:W, B152)
)</f>
        <v>288.95999999999998</v>
      </c>
      <c r="D152" s="281">
        <f>IF(
  COUNTIFS('발전사업(A)'!C:C, $E$1, '발전사업(A)'!G:G, B147, '발전사업(A)'!W:W, B152)
  + COUNTIFS('자가소비(B)'!C:C, $E$1, '자가소비(B)'!G:G, B147, '자가소비(B)'!W:W, B152)
  + COUNTIFS('PPA 사업(C)'!C:C, $E$1, 'PPA 사업(C)'!G:G, B147, 'PPA 사업(C)'!W:W, B152)
  + COUNTIFS('리스사업(D)'!C:C, $E$1, '리스사업(D)'!G:G, B147, '리스사업(D)'!W:W, B152)
  + COUNTIFS('임대사업(E)'!C:C, $E$1, '임대사업(E)'!G:G, B147, '임대사업(E)'!W:W, B152)
  + COUNTIFS('환경부사업(F)'!C:C, $E$1, '환경부사업(F)'!G:G, B147, '환경부사업(F)'!W:W, B152)
  + COUNTIFS('프로젝트(G)'!C:C, $E$1, '프로젝트(G)'!G:G, B147, '프로젝트(G)'!W:W, B152)
  + COUNTIFS('협력사 EPC(H)'!C:C, $E$1, '협력사 EPC(H)'!G:G, B147, '협력사 EPC(H)'!W:W, B152)
  + COUNTIFS('기타(Z)'!C:C, $E$1, '기타(Z)'!G:G, B147, '기타(Z)'!W:W, B152)
  = 0,
  "",
  COUNTIFS('발전사업(A)'!C:C, $E$1, '발전사업(A)'!G:G, B147, '발전사업(A)'!W:W, B152)
  + COUNTIFS('자가소비(B)'!C:C, $E$1, '자가소비(B)'!G:G, B147, '자가소비(B)'!W:W, B152)
  + COUNTIFS('PPA 사업(C)'!C:C, $E$1, 'PPA 사업(C)'!G:G, B147, 'PPA 사업(C)'!W:W, B152)
  + COUNTIFS('리스사업(D)'!C:C, $E$1, '리스사업(D)'!G:G, B147, '리스사업(D)'!W:W, B152)
  + COUNTIFS('임대사업(E)'!C:C, $E$1, '임대사업(E)'!G:G, B147, '임대사업(E)'!W:W, B152)
  + COUNTIFS('환경부사업(F)'!C:C, $E$1, '환경부사업(F)'!G:G, B147, '환경부사업(F)'!W:W, B152)
  + COUNTIFS('프로젝트(G)'!C:C, $E$1, '프로젝트(G)'!G:G, B147, '프로젝트(G)'!W:W, B152)
  + COUNTIFS('협력사 EPC(H)'!C:C, $E$1, '협력사 EPC(H)'!G:G, B147, '협력사 EPC(H)'!W:W, B152)
  + COUNTIFS('기타(Z)'!C:C, $E$1, '기타(Z)'!G:G, B147, '기타(Z)'!W:W, B152)
)</f>
        <v>3</v>
      </c>
      <c r="E152" s="280">
        <f>IF(
  SUM(
    SUMIFS('발전사업(A)'!I:I, '발전사업(A)'!C:C, $E$1, '발전사업(A)'!G:G, B147, '발전사업(A)'!W:W, B152, '발전사업(A)'!U:U, $C$1),
    SUMIFS('자가소비(B)'!I:I, '자가소비(B)'!C:C, $E$1, '자가소비(B)'!G:G, B147, '자가소비(B)'!W:W, B152, '자가소비(B)'!U:U, $C$1),
    SUMIFS('PPA 사업(C)'!I:I, 'PPA 사업(C)'!C:C, $E$1, 'PPA 사업(C)'!G:G, B147, 'PPA 사업(C)'!W:W, B152, 'PPA 사업(C)'!U:U, $C$1),
    SUMIFS('리스사업(D)'!I:I, '리스사업(D)'!C:C, $E$1, '리스사업(D)'!G:G, B147, '리스사업(D)'!W:W, B152, '리스사업(D)'!U:U, $C$1),
    SUMIFS('임대사업(E)'!I:I, '임대사업(E)'!C:C, $E$1, '임대사업(E)'!G:G, B147, '임대사업(E)'!W:W, B152, '임대사업(E)'!U:U, $C$1),
    SUMIFS('환경부사업(F)'!I:I, '환경부사업(F)'!C:C, $E$1, '환경부사업(F)'!G:G, B147, '환경부사업(F)'!W:W, B152, '환경부사업(F)'!U:U, $C$1),
    SUMIFS('프로젝트(G)'!I:I, '프로젝트(G)'!C:C, $E$1, '프로젝트(G)'!G:G, B147, '프로젝트(G)'!W:W, B152, '프로젝트(G)'!U:U, $C$1),
    SUMIFS('협력사 EPC(H)'!I:I, '협력사 EPC(H)'!C:C, $E$1, '협력사 EPC(H)'!G:G, B147, '협력사 EPC(H)'!W:W, B152, '협력사 EPC(H)'!U:U, $C$1),
    SUMIFS('기타(Z)'!I:I, '기타(Z)'!C:C, $E$1, '기타(Z)'!G:G, B147, '기타(Z)'!W:W, B152, '기타(Z)'!U:U, $C$1)
  ) = 0,
  "",
  SUM(
    SUMIFS('발전사업(A)'!I:I, '발전사업(A)'!C:C, $E$1, '발전사업(A)'!G:G, B147, '발전사업(A)'!W:W, B152, '발전사업(A)'!U:U, $C$1),
    SUMIFS('자가소비(B)'!I:I, '자가소비(B)'!C:C, $E$1, '자가소비(B)'!G:G, B147, '자가소비(B)'!W:W, B152, '자가소비(B)'!U:U, $C$1),
    SUMIFS('PPA 사업(C)'!I:I, 'PPA 사업(C)'!C:C, $E$1, 'PPA 사업(C)'!G:G, B147, 'PPA 사업(C)'!W:W, B152, 'PPA 사업(C)'!U:U, $C$1),
    SUMIFS('리스사업(D)'!I:I, '리스사업(D)'!C:C, $E$1, '리스사업(D)'!G:G, B147, '리스사업(D)'!W:W, B152, '리스사업(D)'!U:U, $C$1),
    SUMIFS('임대사업(E)'!I:I, '임대사업(E)'!C:C, $E$1, '임대사업(E)'!G:G, B147, '임대사업(E)'!W:W, B152, '임대사업(E)'!U:U, $C$1),
    SUMIFS('환경부사업(F)'!I:I, '환경부사업(F)'!C:C, $E$1, '환경부사업(F)'!G:G, B147, '환경부사업(F)'!W:W, B152, '환경부사업(F)'!U:U, $C$1),
    SUMIFS('프로젝트(G)'!I:I, '프로젝트(G)'!C:C, $E$1, '프로젝트(G)'!G:G, B147, '프로젝트(G)'!W:W, B152, '프로젝트(G)'!U:U, $C$1),
    SUMIFS('협력사 EPC(H)'!I:I, '협력사 EPC(H)'!C:C, $E$1, '협력사 EPC(H)'!G:G, B147, '협력사 EPC(H)'!W:W, B152, '협력사 EPC(H)'!U:U, $C$1),
    SUMIFS('기타(Z)'!I:I, '기타(Z)'!C:C, $E$1, '기타(Z)'!G:G, B147, '기타(Z)'!W:W, B152, '기타(Z)'!U:U, $C$1)
  )
)</f>
        <v>288.95999999999998</v>
      </c>
      <c r="F152" s="281">
        <f>IF(
  SUM(
    COUNTIFS('발전사업(A)'!C:C, $E$1, '발전사업(A)'!G:G, B147, '발전사업(A)'!W:W, B152, '발전사업(A)'!U:U, $C$1),
    COUNTIFS('자가소비(B)'!C:C, $E$1, '자가소비(B)'!G:G, B147, '자가소비(B)'!W:W, B152, '자가소비(B)'!U:U, $C$1),
    COUNTIFS('PPA 사업(C)'!C:C, $E$1, 'PPA 사업(C)'!G:G, B147, 'PPA 사업(C)'!W:W, B152, 'PPA 사업(C)'!U:U, $C$1),
    COUNTIFS('리스사업(D)'!C:C, $E$1, '리스사업(D)'!G:G, B147, '리스사업(D)'!W:W, B152, '리스사업(D)'!U:U, $C$1),
    COUNTIFS('임대사업(E)'!C:C, $E$1, '임대사업(E)'!G:G, B147, '임대사업(E)'!W:W, B152, '임대사업(E)'!U:U, $C$1),
    COUNTIFS('환경부사업(F)'!C:C, $E$1, '환경부사업(F)'!G:G, B147, '환경부사업(F)'!W:W, B152, '환경부사업(F)'!U:U, $C$1),
    COUNTIFS('프로젝트(G)'!C:C, $E$1, '프로젝트(G)'!G:G, B147, '프로젝트(G)'!W:W, B152, '프로젝트(G)'!U:U, $C$1),
    COUNTIFS('협력사 EPC(H)'!C:C, $E$1, '협력사 EPC(H)'!G:G, B147, '협력사 EPC(H)'!W:W, B152, '협력사 EPC(H)'!U:U, $C$1),
    COUNTIFS('기타(Z)'!C:C, $E$1, '기타(Z)'!G:G, B147, '기타(Z)'!W:W, B152, '기타(Z)'!U:U, $C$1)
  ) = 0,
  "",
  SUM(
    COUNTIFS('발전사업(A)'!C:C, $E$1, '발전사업(A)'!G:G, B147, '발전사업(A)'!W:W, B152, '발전사업(A)'!U:U, $C$1),
    COUNTIFS('자가소비(B)'!C:C, $E$1, '자가소비(B)'!G:G, B147, '자가소비(B)'!W:W, B152, '자가소비(B)'!U:U, $C$1),
    COUNTIFS('PPA 사업(C)'!C:C, $E$1, 'PPA 사업(C)'!G:G, B147, 'PPA 사업(C)'!W:W, B152, 'PPA 사업(C)'!U:U, $C$1),
    COUNTIFS('리스사업(D)'!C:C, $E$1, '리스사업(D)'!G:G, B147, '리스사업(D)'!W:W, B152, '리스사업(D)'!U:U, $C$1),
    COUNTIFS('임대사업(E)'!C:C, $E$1, '임대사업(E)'!G:G, B147, '임대사업(E)'!W:W, B152, '임대사업(E)'!U:U, $C$1),
    COUNTIFS('환경부사업(F)'!C:C, $E$1, '환경부사업(F)'!G:G, B147, '환경부사업(F)'!W:W, B152, '환경부사업(F)'!U:U, $C$1),
    COUNTIFS('프로젝트(G)'!C:C, $E$1, '프로젝트(G)'!G:G, B147, '프로젝트(G)'!W:W, B152, '프로젝트(G)'!U:U, $C$1),
    COUNTIFS('협력사 EPC(H)'!C:C, $E$1, '협력사 EPC(H)'!G:G, B147, '협력사 EPC(H)'!W:W, B152, '협력사 EPC(H)'!U:U, $C$1),
    COUNTIFS('기타(Z)'!C:C, $E$1, '기타(Z)'!G:G, B147, '기타(Z)'!W:W, B152, '기타(Z)'!U:U, $C$1)
  )
)</f>
        <v>3</v>
      </c>
      <c r="G152" s="280" t="str">
        <f>IF(
  SUM(
    SUMIFS('발전사업(A)'!I:I, '발전사업(A)'!C:C, $E$1, '발전사업(A)'!G:G, B147, '발전사업(A)'!W:W, B152, '발전사업(A)'!U:U, $D$1),
    SUMIFS('자가소비(B)'!I:I, '자가소비(B)'!C:C, $E$1, '자가소비(B)'!G:G, B147, '자가소비(B)'!W:W, B152, '자가소비(B)'!U:U, $D$1),
    SUMIFS('PPA 사업(C)'!I:I, 'PPA 사업(C)'!C:C, $E$1, 'PPA 사업(C)'!G:G, B147, 'PPA 사업(C)'!W:W, B152, 'PPA 사업(C)'!U:U, $D$1),
    SUMIFS('리스사업(D)'!I:I, '리스사업(D)'!C:C, $E$1, '리스사업(D)'!G:G, B147, '리스사업(D)'!W:W, B152, '리스사업(D)'!U:U, $D$1),
    SUMIFS('임대사업(E)'!I:I, '임대사업(E)'!C:C, $E$1, '임대사업(E)'!G:G, B147, '임대사업(E)'!W:W, B152, '임대사업(E)'!U:U, $D$1),
    SUMIFS('환경부사업(F)'!I:I, '환경부사업(F)'!C:C, $E$1, '환경부사업(F)'!G:G, B147, '환경부사업(F)'!W:W, B152, '환경부사업(F)'!U:U, $D$1),
    SUMIFS('프로젝트(G)'!I:I, '프로젝트(G)'!C:C, $E$1, '프로젝트(G)'!G:G, B147, '프로젝트(G)'!W:W, B152, '프로젝트(G)'!U:U, $D$1),
    SUMIFS('협력사 EPC(H)'!I:I, '협력사 EPC(H)'!C:C, $E$1, '협력사 EPC(H)'!G:G, B147, '협력사 EPC(H)'!W:W, B152, '협력사 EPC(H)'!U:U, $D$1),
    SUMIFS('기타(Z)'!I:I, '기타(Z)'!C:C, $E$1, '기타(Z)'!G:G, B147, '기타(Z)'!W:W, B152, '기타(Z)'!U:U, $D$1)
  ) = 0,
  "",
  SUM(
    SUMIFS('발전사업(A)'!I:I, '발전사업(A)'!C:C, $E$1, '발전사업(A)'!G:G, B147, '발전사업(A)'!W:W, B152, '발전사업(A)'!U:U, $D$1),
    SUMIFS('자가소비(B)'!I:I, '자가소비(B)'!C:C, $E$1, '자가소비(B)'!G:G, B147, '자가소비(B)'!W:W, B152, '자가소비(B)'!U:U, $D$1),
    SUMIFS('PPA 사업(C)'!I:I, 'PPA 사업(C)'!C:C, $E$1, 'PPA 사업(C)'!G:G, B147, 'PPA 사업(C)'!W:W, B152, 'PPA 사업(C)'!U:U, $D$1),
    SUMIFS('리스사업(D)'!I:I, '리스사업(D)'!C:C, $E$1, '리스사업(D)'!G:G, B147, '리스사업(D)'!W:W, B152, '리스사업(D)'!U:U, $D$1),
    SUMIFS('임대사업(E)'!I:I, '임대사업(E)'!C:C, $E$1, '임대사업(E)'!G:G, B147, '임대사업(E)'!W:W, B152, '임대사업(E)'!U:U, $D$1),
    SUMIFS('환경부사업(F)'!I:I, '환경부사업(F)'!C:C, $E$1, '환경부사업(F)'!G:G, B147, '환경부사업(F)'!W:W, B152, '환경부사업(F)'!U:U, $D$1),
    SUMIFS('프로젝트(G)'!I:I, '프로젝트(G)'!C:C, $E$1, '프로젝트(G)'!G:G, B147, '프로젝트(G)'!W:W, B152, '프로젝트(G)'!U:U, $D$1),
    SUMIFS('협력사 EPC(H)'!I:I, '협력사 EPC(H)'!C:C, $E$1, '협력사 EPC(H)'!G:G, B147, '협력사 EPC(H)'!W:W, B152, '협력사 EPC(H)'!U:U, $D$1),
    SUMIFS('기타(Z)'!I:I, '기타(Z)'!C:C, $E$1, '기타(Z)'!G:G, B147, '기타(Z)'!W:W, B152, '기타(Z)'!U:U, $D$1)
  )
)</f>
        <v/>
      </c>
      <c r="H152" s="281" t="str">
        <f>IF(
  (
    COUNTIFS('발전사업(A)'!C:C, $E$1, '발전사업(A)'!G:G, B147, '발전사업(A)'!W:W, B152, '발전사업(A)'!U:U, $D$1)
    + COUNTIFS('자가소비(B)'!C:C, $E$1, '자가소비(B)'!G:G, B147, '자가소비(B)'!W:W, B152, '자가소비(B)'!U:U, $D$1)
    + COUNTIFS('PPA 사업(C)'!C:C, $E$1, 'PPA 사업(C)'!G:G, B147, 'PPA 사업(C)'!W:W, B152, 'PPA 사업(C)'!U:U, $D$1)
    + COUNTIFS('리스사업(D)'!C:C, $E$1, '리스사업(D)'!G:G, B147, '리스사업(D)'!W:W, B152, '리스사업(D)'!U:U, $D$1)
    + COUNTIFS('임대사업(E)'!C:C, $E$1, '임대사업(E)'!G:G, B147, '임대사업(E)'!W:W, B152, '임대사업(E)'!U:U, $D$1)
    + COUNTIFS('환경부사업(F)'!C:C, $E$1, '환경부사업(F)'!G:G, B147, '환경부사업(F)'!W:W, B152, '환경부사업(F)'!U:U, $D$1)
    + COUNTIFS('프로젝트(G)'!C:C, $E$1, '프로젝트(G)'!G:G, B147, '프로젝트(G)'!W:W, B152, '프로젝트(G)'!U:U, $D$1)
    + COUNTIFS('협력사 EPC(H)'!C:C, $E$1, '협력사 EPC(H)'!G:G, B147, '협력사 EPC(H)'!W:W, B152, '협력사 EPC(H)'!U:U, $D$1)
    + COUNTIFS('기타(Z)'!C:C, $E$1, '기타(Z)'!G:G, B147, '기타(Z)'!W:W, B152, '기타(Z)'!U:U, $D$1)
  ) = 0,
  "",
  COUNTIFS('발전사업(A)'!C:C, $E$1, '발전사업(A)'!G:G, B147, '발전사업(A)'!W:W, B152, '발전사업(A)'!U:U, $D$1)
  + COUNTIFS('자가소비(B)'!C:C, $E$1, '자가소비(B)'!G:G, B147, '자가소비(B)'!W:W, B152, '자가소비(B)'!U:U, $D$1)
  + COUNTIFS('PPA 사업(C)'!C:C, $E$1, 'PPA 사업(C)'!G:G, B147, 'PPA 사업(C)'!W:W, B152, 'PPA 사업(C)'!U:U, $D$1)
  + COUNTIFS('리스사업(D)'!C:C, $E$1, '리스사업(D)'!G:G, B147, '리스사업(D)'!W:W, B152, '리스사업(D)'!U:U, $D$1)
  + COUNTIFS('임대사업(E)'!C:C, $E$1, '임대사업(E)'!G:G, B147, '임대사업(E)'!W:W, B152, '임대사업(E)'!U:U, $D$1)
  + COUNTIFS('환경부사업(F)'!C:C, $E$1, '환경부사업(F)'!G:G, B147, '환경부사업(F)'!W:W, B152, '환경부사업(F)'!U:U, $D$1)
  + COUNTIFS('프로젝트(G)'!C:C, $E$1, '프로젝트(G)'!G:G, B147, '프로젝트(G)'!W:W, B152, '프로젝트(G)'!U:U, $D$1)
  + COUNTIFS('협력사 EPC(H)'!C:C, $E$1, '협력사 EPC(H)'!G:G, B147, '협력사 EPC(H)'!W:W, B152, '협력사 EPC(H)'!U:U, $D$1)
  + COUNTIFS('기타(Z)'!C:C, $E$1, '기타(Z)'!G:G, B147, '기타(Z)'!W:W, B152, '기타(Z)'!U:U, $D$1)
)</f>
        <v/>
      </c>
    </row>
    <row r="153" spans="2:8" x14ac:dyDescent="0.25">
      <c r="B153" s="202" t="s">
        <v>263</v>
      </c>
      <c r="C153" s="280">
        <f>IF(
  SUM(
    SUMIFS('발전사업(A)'!I:I, '발전사업(A)'!C:C, $E$1, '발전사업(A)'!G:G, B147, '발전사업(A)'!W:W, B153),
    SUMIFS('자가소비(B)'!I:I, '자가소비(B)'!C:C, $E$1, '자가소비(B)'!G:G, B147, '자가소비(B)'!W:W, B153),
    SUMIFS('PPA 사업(C)'!I:I, 'PPA 사업(C)'!C:C, $E$1, 'PPA 사업(C)'!G:G, B147, 'PPA 사업(C)'!W:W, B153),
    SUMIFS('리스사업(D)'!I:I, '리스사업(D)'!C:C, $E$1, '리스사업(D)'!G:G, B147, '리스사업(D)'!W:W, B153),
    SUMIFS('임대사업(E)'!I:I, '임대사업(E)'!C:C, $E$1, '임대사업(E)'!G:G, B147, '임대사업(E)'!W:W, B153),
    SUMIFS('환경부사업(F)'!I:I, '환경부사업(F)'!C:C, $E$1, '환경부사업(F)'!G:G, B147, '환경부사업(F)'!W:W, B153),
    SUMIFS('프로젝트(G)'!I:I, '프로젝트(G)'!C:C, $E$1, '프로젝트(G)'!G:G, B147, '프로젝트(G)'!W:W, B153),
    SUMIFS('협력사 EPC(H)'!I:I, '협력사 EPC(H)'!C:C, $E$1, '협력사 EPC(H)'!G:G, B147, '협력사 EPC(H)'!W:W, B153),
    SUMIFS('기타(Z)'!I:I, '기타(Z)'!C:C, $E$1, '기타(Z)'!G:G, B147, '기타(Z)'!W:W, B153)
  ) = 0,
  "",
  SUMIFS('발전사업(A)'!I:I, '발전사업(A)'!C:C, $E$1, '발전사업(A)'!G:G, B147, '발전사업(A)'!W:W, B153)
  + SUMIFS('자가소비(B)'!I:I, '자가소비(B)'!C:C, $E$1, '자가소비(B)'!G:G, B147, '자가소비(B)'!W:W, B153)
  + SUMIFS('PPA 사업(C)'!I:I, 'PPA 사업(C)'!C:C, $E$1, 'PPA 사업(C)'!G:G, B147, 'PPA 사업(C)'!W:W, B153)
  + SUMIFS('리스사업(D)'!I:I, '리스사업(D)'!C:C, $E$1, '리스사업(D)'!G:G, B147, '리스사업(D)'!W:W, B153)
  + SUMIFS('임대사업(E)'!I:I, '임대사업(E)'!C:C, $E$1, '임대사업(E)'!G:G, B147, '임대사업(E)'!W:W, B153)
  + SUMIFS('환경부사업(F)'!I:I, '환경부사업(F)'!C:C, $E$1, '환경부사업(F)'!G:G, B147, '환경부사업(F)'!W:W, B153)
  + SUMIFS('프로젝트(G)'!I:I, '프로젝트(G)'!C:C, $E$1, '프로젝트(G)'!G:G, B147, '프로젝트(G)'!W:W, B153)
  + SUMIFS('협력사 EPC(H)'!I:I, '협력사 EPC(H)'!C:C, $E$1, '협력사 EPC(H)'!G:G, B147, '협력사 EPC(H)'!W:W, B153)
  + SUMIFS('기타(Z)'!I:I, '기타(Z)'!C:C, $E$1, '기타(Z)'!G:G, B147, '기타(Z)'!W:W, B153)
)</f>
        <v>72.239999999999995</v>
      </c>
      <c r="D153" s="281">
        <f>IF(
  COUNTIFS('발전사업(A)'!C:C, $E$1, '발전사업(A)'!G:G, B147, '발전사업(A)'!W:W, B153)
  + COUNTIFS('자가소비(B)'!C:C, $E$1, '자가소비(B)'!G:G, B147, '자가소비(B)'!W:W, B153)
  + COUNTIFS('PPA 사업(C)'!C:C, $E$1, 'PPA 사업(C)'!G:G, B147, 'PPA 사업(C)'!W:W, B153)
  + COUNTIFS('리스사업(D)'!C:C, $E$1, '리스사업(D)'!G:G, B147, '리스사업(D)'!W:W, B153)
  + COUNTIFS('임대사업(E)'!C:C, $E$1, '임대사업(E)'!G:G, B147, '임대사업(E)'!W:W, B153)
  + COUNTIFS('환경부사업(F)'!C:C, $E$1, '환경부사업(F)'!G:G, B147, '환경부사업(F)'!W:W, B153)
  + COUNTIFS('프로젝트(G)'!C:C, $E$1, '프로젝트(G)'!G:G, B147, '프로젝트(G)'!W:W, B153)
  + COUNTIFS('협력사 EPC(H)'!C:C, $E$1, '협력사 EPC(H)'!G:G, B147, '협력사 EPC(H)'!W:W, B153)
  + COUNTIFS('기타(Z)'!C:C, $E$1, '기타(Z)'!G:G, B147, '기타(Z)'!W:W, B153)
  = 0,
  "",
  COUNTIFS('발전사업(A)'!C:C, $E$1, '발전사업(A)'!G:G, B147, '발전사업(A)'!W:W, B153)
  + COUNTIFS('자가소비(B)'!C:C, $E$1, '자가소비(B)'!G:G, B147, '자가소비(B)'!W:W, B153)
  + COUNTIFS('PPA 사업(C)'!C:C, $E$1, 'PPA 사업(C)'!G:G, B147, 'PPA 사업(C)'!W:W, B153)
  + COUNTIFS('리스사업(D)'!C:C, $E$1, '리스사업(D)'!G:G, B147, '리스사업(D)'!W:W, B153)
  + COUNTIFS('임대사업(E)'!C:C, $E$1, '임대사업(E)'!G:G, B147, '임대사업(E)'!W:W, B153)
  + COUNTIFS('환경부사업(F)'!C:C, $E$1, '환경부사업(F)'!G:G, B147, '환경부사업(F)'!W:W, B153)
  + COUNTIFS('프로젝트(G)'!C:C, $E$1, '프로젝트(G)'!G:G, B147, '프로젝트(G)'!W:W, B153)
  + COUNTIFS('협력사 EPC(H)'!C:C, $E$1, '협력사 EPC(H)'!G:G, B147, '협력사 EPC(H)'!W:W, B153)
  + COUNTIFS('기타(Z)'!C:C, $E$1, '기타(Z)'!G:G, B147, '기타(Z)'!W:W, B153)
)</f>
        <v>1</v>
      </c>
      <c r="E153" s="280">
        <f>IF(
  SUM(
    SUMIFS('발전사업(A)'!I:I, '발전사업(A)'!C:C, $E$1, '발전사업(A)'!G:G, B147, '발전사업(A)'!W:W, B153, '발전사업(A)'!U:U, $C$1),
    SUMIFS('자가소비(B)'!I:I, '자가소비(B)'!C:C, $E$1, '자가소비(B)'!G:G, B147, '자가소비(B)'!W:W, B153, '자가소비(B)'!U:U, $C$1),
    SUMIFS('PPA 사업(C)'!I:I, 'PPA 사업(C)'!C:C, $E$1, 'PPA 사업(C)'!G:G, B147, 'PPA 사업(C)'!W:W, B153, 'PPA 사업(C)'!U:U, $C$1),
    SUMIFS('리스사업(D)'!I:I, '리스사업(D)'!C:C, $E$1, '리스사업(D)'!G:G, B147, '리스사업(D)'!W:W, B153, '리스사업(D)'!U:U, $C$1),
    SUMIFS('임대사업(E)'!I:I, '임대사업(E)'!C:C, $E$1, '임대사업(E)'!G:G, B147, '임대사업(E)'!W:W, B153, '임대사업(E)'!U:U, $C$1),
    SUMIFS('환경부사업(F)'!I:I, '환경부사업(F)'!C:C, $E$1, '환경부사업(F)'!G:G, B147, '환경부사업(F)'!W:W, B153, '환경부사업(F)'!U:U, $C$1),
    SUMIFS('프로젝트(G)'!I:I, '프로젝트(G)'!C:C, $E$1, '프로젝트(G)'!G:G, B147, '프로젝트(G)'!W:W, B153, '프로젝트(G)'!U:U, $C$1),
    SUMIFS('협력사 EPC(H)'!I:I, '협력사 EPC(H)'!C:C, $E$1, '협력사 EPC(H)'!G:G, B147, '협력사 EPC(H)'!W:W, B153, '협력사 EPC(H)'!U:U, $C$1),
    SUMIFS('기타(Z)'!I:I, '기타(Z)'!C:C, $E$1, '기타(Z)'!G:G, B147, '기타(Z)'!W:W, B153, '기타(Z)'!U:U, $C$1)
  ) = 0,
  "",
  SUM(
    SUMIFS('발전사업(A)'!I:I, '발전사업(A)'!C:C, $E$1, '발전사업(A)'!G:G, B147, '발전사업(A)'!W:W, B153, '발전사업(A)'!U:U, $C$1),
    SUMIFS('자가소비(B)'!I:I, '자가소비(B)'!C:C, $E$1, '자가소비(B)'!G:G, B147, '자가소비(B)'!W:W, B153, '자가소비(B)'!U:U, $C$1),
    SUMIFS('PPA 사업(C)'!I:I, 'PPA 사업(C)'!C:C, $E$1, 'PPA 사업(C)'!G:G, B147, 'PPA 사업(C)'!W:W, B153, 'PPA 사업(C)'!U:U, $C$1),
    SUMIFS('리스사업(D)'!I:I, '리스사업(D)'!C:C, $E$1, '리스사업(D)'!G:G, B147, '리스사업(D)'!W:W, B153, '리스사업(D)'!U:U, $C$1),
    SUMIFS('임대사업(E)'!I:I, '임대사업(E)'!C:C, $E$1, '임대사업(E)'!G:G, B147, '임대사업(E)'!W:W, B153, '임대사업(E)'!U:U, $C$1),
    SUMIFS('환경부사업(F)'!I:I, '환경부사업(F)'!C:C, $E$1, '환경부사업(F)'!G:G, B147, '환경부사업(F)'!W:W, B153, '환경부사업(F)'!U:U, $C$1),
    SUMIFS('프로젝트(G)'!I:I, '프로젝트(G)'!C:C, $E$1, '프로젝트(G)'!G:G, B147, '프로젝트(G)'!W:W, B153, '프로젝트(G)'!U:U, $C$1),
    SUMIFS('협력사 EPC(H)'!I:I, '협력사 EPC(H)'!C:C, $E$1, '협력사 EPC(H)'!G:G, B147, '협력사 EPC(H)'!W:W, B153, '협력사 EPC(H)'!U:U, $C$1),
    SUMIFS('기타(Z)'!I:I, '기타(Z)'!C:C, $E$1, '기타(Z)'!G:G, B147, '기타(Z)'!W:W, B153, '기타(Z)'!U:U, $C$1)
  )
)</f>
        <v>72.239999999999995</v>
      </c>
      <c r="F153" s="281">
        <f>IF(
  SUM(
    COUNTIFS('발전사업(A)'!C:C, $E$1, '발전사업(A)'!G:G, B147, '발전사업(A)'!W:W, B153, '발전사업(A)'!U:U, $C$1),
    COUNTIFS('자가소비(B)'!C:C, $E$1, '자가소비(B)'!G:G, B147, '자가소비(B)'!W:W, B153, '자가소비(B)'!U:U, $C$1),
    COUNTIFS('PPA 사업(C)'!C:C, $E$1, 'PPA 사업(C)'!G:G, B147, 'PPA 사업(C)'!W:W, B153, 'PPA 사업(C)'!U:U, $C$1),
    COUNTIFS('리스사업(D)'!C:C, $E$1, '리스사업(D)'!G:G, B147, '리스사업(D)'!W:W, B153, '리스사업(D)'!U:U, $C$1),
    COUNTIFS('임대사업(E)'!C:C, $E$1, '임대사업(E)'!G:G, B147, '임대사업(E)'!W:W, B153, '임대사업(E)'!U:U, $C$1),
    COUNTIFS('환경부사업(F)'!C:C, $E$1, '환경부사업(F)'!G:G, B147, '환경부사업(F)'!W:W, B153, '환경부사업(F)'!U:U, $C$1),
    COUNTIFS('프로젝트(G)'!C:C, $E$1, '프로젝트(G)'!G:G, B147, '프로젝트(G)'!W:W, B153, '프로젝트(G)'!U:U, $C$1),
    COUNTIFS('협력사 EPC(H)'!C:C, $E$1, '협력사 EPC(H)'!G:G, B147, '협력사 EPC(H)'!W:W, B153, '협력사 EPC(H)'!U:U, $C$1),
    COUNTIFS('기타(Z)'!C:C, $E$1, '기타(Z)'!G:G, B147, '기타(Z)'!W:W, B153, '기타(Z)'!U:U, $C$1)
  ) = 0,
  "",
  SUM(
    COUNTIFS('발전사업(A)'!C:C, $E$1, '발전사업(A)'!G:G, B147, '발전사업(A)'!W:W, B153, '발전사업(A)'!U:U, $C$1),
    COUNTIFS('자가소비(B)'!C:C, $E$1, '자가소비(B)'!G:G, B147, '자가소비(B)'!W:W, B153, '자가소비(B)'!U:U, $C$1),
    COUNTIFS('PPA 사업(C)'!C:C, $E$1, 'PPA 사업(C)'!G:G, B147, 'PPA 사업(C)'!W:W, B153, 'PPA 사업(C)'!U:U, $C$1),
    COUNTIFS('리스사업(D)'!C:C, $E$1, '리스사업(D)'!G:G, B147, '리스사업(D)'!W:W, B153, '리스사업(D)'!U:U, $C$1),
    COUNTIFS('임대사업(E)'!C:C, $E$1, '임대사업(E)'!G:G, B147, '임대사업(E)'!W:W, B153, '임대사업(E)'!U:U, $C$1),
    COUNTIFS('환경부사업(F)'!C:C, $E$1, '환경부사업(F)'!G:G, B147, '환경부사업(F)'!W:W, B153, '환경부사업(F)'!U:U, $C$1),
    COUNTIFS('프로젝트(G)'!C:C, $E$1, '프로젝트(G)'!G:G, B147, '프로젝트(G)'!W:W, B153, '프로젝트(G)'!U:U, $C$1),
    COUNTIFS('협력사 EPC(H)'!C:C, $E$1, '협력사 EPC(H)'!G:G, B147, '협력사 EPC(H)'!W:W, B153, '협력사 EPC(H)'!U:U, $C$1),
    COUNTIFS('기타(Z)'!C:C, $E$1, '기타(Z)'!G:G, B147, '기타(Z)'!W:W, B153, '기타(Z)'!U:U, $C$1)
  )
)</f>
        <v>1</v>
      </c>
      <c r="G153" s="280" t="str">
        <f>IF(
  SUM(
    SUMIFS('발전사업(A)'!I:I, '발전사업(A)'!C:C, $E$1, '발전사업(A)'!G:G, B147, '발전사업(A)'!W:W, B153, '발전사업(A)'!U:U, $D$1),
    SUMIFS('자가소비(B)'!I:I, '자가소비(B)'!C:C, $E$1, '자가소비(B)'!G:G, B147, '자가소비(B)'!W:W, B153, '자가소비(B)'!U:U, $D$1),
    SUMIFS('PPA 사업(C)'!I:I, 'PPA 사업(C)'!C:C, $E$1, 'PPA 사업(C)'!G:G, B147, 'PPA 사업(C)'!W:W, B153, 'PPA 사업(C)'!U:U, $D$1),
    SUMIFS('리스사업(D)'!I:I, '리스사업(D)'!C:C, $E$1, '리스사업(D)'!G:G, B147, '리스사업(D)'!W:W, B153, '리스사업(D)'!U:U, $D$1),
    SUMIFS('임대사업(E)'!I:I, '임대사업(E)'!C:C, $E$1, '임대사업(E)'!G:G, B147, '임대사업(E)'!W:W, B153, '임대사업(E)'!U:U, $D$1),
    SUMIFS('환경부사업(F)'!I:I, '환경부사업(F)'!C:C, $E$1, '환경부사업(F)'!G:G, B147, '환경부사업(F)'!W:W, B153, '환경부사업(F)'!U:U, $D$1),
    SUMIFS('프로젝트(G)'!I:I, '프로젝트(G)'!C:C, $E$1, '프로젝트(G)'!G:G, B147, '프로젝트(G)'!W:W, B153, '프로젝트(G)'!U:U, $D$1),
    SUMIFS('협력사 EPC(H)'!I:I, '협력사 EPC(H)'!C:C, $E$1, '협력사 EPC(H)'!G:G, B147, '협력사 EPC(H)'!W:W, B153, '협력사 EPC(H)'!U:U, $D$1),
    SUMIFS('기타(Z)'!I:I, '기타(Z)'!C:C, $E$1, '기타(Z)'!G:G, B147, '기타(Z)'!W:W, B153, '기타(Z)'!U:U, $D$1)
  ) = 0,
  "",
  SUM(
    SUMIFS('발전사업(A)'!I:I, '발전사업(A)'!C:C, $E$1, '발전사업(A)'!G:G, B147, '발전사업(A)'!W:W, B153, '발전사업(A)'!U:U, $D$1),
    SUMIFS('자가소비(B)'!I:I, '자가소비(B)'!C:C, $E$1, '자가소비(B)'!G:G, B147, '자가소비(B)'!W:W, B153, '자가소비(B)'!U:U, $D$1),
    SUMIFS('PPA 사업(C)'!I:I, 'PPA 사업(C)'!C:C, $E$1, 'PPA 사업(C)'!G:G, B147, 'PPA 사업(C)'!W:W, B153, 'PPA 사업(C)'!U:U, $D$1),
    SUMIFS('리스사업(D)'!I:I, '리스사업(D)'!C:C, $E$1, '리스사업(D)'!G:G, B147, '리스사업(D)'!W:W, B153, '리스사업(D)'!U:U, $D$1),
    SUMIFS('임대사업(E)'!I:I, '임대사업(E)'!C:C, $E$1, '임대사업(E)'!G:G, B147, '임대사업(E)'!W:W, B153, '임대사업(E)'!U:U, $D$1),
    SUMIFS('환경부사업(F)'!I:I, '환경부사업(F)'!C:C, $E$1, '환경부사업(F)'!G:G, B147, '환경부사업(F)'!W:W, B153, '환경부사업(F)'!U:U, $D$1),
    SUMIFS('프로젝트(G)'!I:I, '프로젝트(G)'!C:C, $E$1, '프로젝트(G)'!G:G, B147, '프로젝트(G)'!W:W, B153, '프로젝트(G)'!U:U, $D$1),
    SUMIFS('협력사 EPC(H)'!I:I, '협력사 EPC(H)'!C:C, $E$1, '협력사 EPC(H)'!G:G, B147, '협력사 EPC(H)'!W:W, B153, '협력사 EPC(H)'!U:U, $D$1),
    SUMIFS('기타(Z)'!I:I, '기타(Z)'!C:C, $E$1, '기타(Z)'!G:G, B147, '기타(Z)'!W:W, B153, '기타(Z)'!U:U, $D$1)
  )
)</f>
        <v/>
      </c>
      <c r="H153" s="281" t="str">
        <f>IF(
  (
    COUNTIFS('발전사업(A)'!C:C, $E$1, '발전사업(A)'!G:G, B147, '발전사업(A)'!W:W, B153, '발전사업(A)'!U:U, $D$1)
    + COUNTIFS('자가소비(B)'!C:C, $E$1, '자가소비(B)'!G:G, B147, '자가소비(B)'!W:W, B153, '자가소비(B)'!U:U, $D$1)
    + COUNTIFS('PPA 사업(C)'!C:C, $E$1, 'PPA 사업(C)'!G:G, B147, 'PPA 사업(C)'!W:W, B153, 'PPA 사업(C)'!U:U, $D$1)
    + COUNTIFS('리스사업(D)'!C:C, $E$1, '리스사업(D)'!G:G, B147, '리스사업(D)'!W:W, B153, '리스사업(D)'!U:U, $D$1)
    + COUNTIFS('임대사업(E)'!C:C, $E$1, '임대사업(E)'!G:G, B147, '임대사업(E)'!W:W, B153, '임대사업(E)'!U:U, $D$1)
    + COUNTIFS('환경부사업(F)'!C:C, $E$1, '환경부사업(F)'!G:G, B147, '환경부사업(F)'!W:W, B153, '환경부사업(F)'!U:U, $D$1)
    + COUNTIFS('프로젝트(G)'!C:C, $E$1, '프로젝트(G)'!G:G, B147, '프로젝트(G)'!W:W, B153, '프로젝트(G)'!U:U, $D$1)
    + COUNTIFS('협력사 EPC(H)'!C:C, $E$1, '협력사 EPC(H)'!G:G, B147, '협력사 EPC(H)'!W:W, B153, '협력사 EPC(H)'!U:U, $D$1)
    + COUNTIFS('기타(Z)'!C:C, $E$1, '기타(Z)'!G:G, B147, '기타(Z)'!W:W, B153, '기타(Z)'!U:U, $D$1)
  ) = 0,
  "",
  COUNTIFS('발전사업(A)'!C:C, $E$1, '발전사업(A)'!G:G, B147, '발전사업(A)'!W:W, B153, '발전사업(A)'!U:U, $D$1)
  + COUNTIFS('자가소비(B)'!C:C, $E$1, '자가소비(B)'!G:G, B147, '자가소비(B)'!W:W, B153, '자가소비(B)'!U:U, $D$1)
  + COUNTIFS('PPA 사업(C)'!C:C, $E$1, 'PPA 사업(C)'!G:G, B147, 'PPA 사업(C)'!W:W, B153, 'PPA 사업(C)'!U:U, $D$1)
  + COUNTIFS('리스사업(D)'!C:C, $E$1, '리스사업(D)'!G:G, B147, '리스사업(D)'!W:W, B153, '리스사업(D)'!U:U, $D$1)
  + COUNTIFS('임대사업(E)'!C:C, $E$1, '임대사업(E)'!G:G, B147, '임대사업(E)'!W:W, B153, '임대사업(E)'!U:U, $D$1)
  + COUNTIFS('환경부사업(F)'!C:C, $E$1, '환경부사업(F)'!G:G, B147, '환경부사업(F)'!W:W, B153, '환경부사업(F)'!U:U, $D$1)
  + COUNTIFS('프로젝트(G)'!C:C, $E$1, '프로젝트(G)'!G:G, B147, '프로젝트(G)'!W:W, B153, '프로젝트(G)'!U:U, $D$1)
  + COUNTIFS('협력사 EPC(H)'!C:C, $E$1, '협력사 EPC(H)'!G:G, B147, '협력사 EPC(H)'!W:W, B153, '협력사 EPC(H)'!U:U, $D$1)
  + COUNTIFS('기타(Z)'!C:C, $E$1, '기타(Z)'!G:G, B147, '기타(Z)'!W:W, B153, '기타(Z)'!U:U, $D$1)
)</f>
        <v/>
      </c>
    </row>
    <row r="154" spans="2:8" x14ac:dyDescent="0.25">
      <c r="B154" s="202" t="s">
        <v>264</v>
      </c>
      <c r="C154" s="280" t="str">
        <f>IF(
  SUM(
    SUMIFS('발전사업(A)'!I:I, '발전사업(A)'!C:C, $E$1, '발전사업(A)'!G:G, B147, '발전사업(A)'!W:W, B154),
    SUMIFS('자가소비(B)'!I:I, '자가소비(B)'!C:C, $E$1, '자가소비(B)'!G:G, B147, '자가소비(B)'!W:W, B154),
    SUMIFS('PPA 사업(C)'!I:I, 'PPA 사업(C)'!C:C, $E$1, 'PPA 사업(C)'!G:G, B147, 'PPA 사업(C)'!W:W, B154),
    SUMIFS('리스사업(D)'!I:I, '리스사업(D)'!C:C, $E$1, '리스사업(D)'!G:G, B147, '리스사업(D)'!W:W, B154),
    SUMIFS('임대사업(E)'!I:I, '임대사업(E)'!C:C, $E$1, '임대사업(E)'!G:G, B147, '임대사업(E)'!W:W, B154),
    SUMIFS('환경부사업(F)'!I:I, '환경부사업(F)'!C:C, $E$1, '환경부사업(F)'!G:G, B147, '환경부사업(F)'!W:W, B154),
    SUMIFS('프로젝트(G)'!I:I, '프로젝트(G)'!C:C, $E$1, '프로젝트(G)'!G:G, B147, '프로젝트(G)'!W:W, B154),
    SUMIFS('협력사 EPC(H)'!I:I, '협력사 EPC(H)'!C:C, $E$1, '협력사 EPC(H)'!G:G, B147, '협력사 EPC(H)'!W:W, B154),
    SUMIFS('기타(Z)'!I:I, '기타(Z)'!C:C, $E$1, '기타(Z)'!G:G, B147, '기타(Z)'!W:W, B154)
  ) = 0,
  "",
  SUMIFS('발전사업(A)'!I:I, '발전사업(A)'!C:C, $E$1, '발전사업(A)'!G:G, B147, '발전사업(A)'!W:W, B154)
  + SUMIFS('자가소비(B)'!I:I, '자가소비(B)'!C:C, $E$1, '자가소비(B)'!G:G, B147, '자가소비(B)'!W:W, B154)
  + SUMIFS('PPA 사업(C)'!I:I, 'PPA 사업(C)'!C:C, $E$1, 'PPA 사업(C)'!G:G, B147, 'PPA 사업(C)'!W:W, B154)
  + SUMIFS('리스사업(D)'!I:I, '리스사업(D)'!C:C, $E$1, '리스사업(D)'!G:G, B147, '리스사업(D)'!W:W, B154)
  + SUMIFS('임대사업(E)'!I:I, '임대사업(E)'!C:C, $E$1, '임대사업(E)'!G:G, B147, '임대사업(E)'!W:W, B154)
  + SUMIFS('환경부사업(F)'!I:I, '환경부사업(F)'!C:C, $E$1, '환경부사업(F)'!G:G, B147, '환경부사업(F)'!W:W, B154)
  + SUMIFS('프로젝트(G)'!I:I, '프로젝트(G)'!C:C, $E$1, '프로젝트(G)'!G:G, B147, '프로젝트(G)'!W:W, B154)
  + SUMIFS('협력사 EPC(H)'!I:I, '협력사 EPC(H)'!C:C, $E$1, '협력사 EPC(H)'!G:G, B147, '협력사 EPC(H)'!W:W, B154)
  + SUMIFS('기타(Z)'!I:I, '기타(Z)'!C:C, $E$1, '기타(Z)'!G:G, B147, '기타(Z)'!W:W, B154)
)</f>
        <v/>
      </c>
      <c r="D154" s="281" t="str">
        <f>IF(
  COUNTIFS('발전사업(A)'!C:C, $E$1, '발전사업(A)'!G:G, B147, '발전사업(A)'!W:W, B154)
  + COUNTIFS('자가소비(B)'!C:C, $E$1, '자가소비(B)'!G:G, B147, '자가소비(B)'!W:W, B154)
  + COUNTIFS('PPA 사업(C)'!C:C, $E$1, 'PPA 사업(C)'!G:G, B147, 'PPA 사업(C)'!W:W, B154)
  + COUNTIFS('리스사업(D)'!C:C, $E$1, '리스사업(D)'!G:G, B147, '리스사업(D)'!W:W, B154)
  + COUNTIFS('임대사업(E)'!C:C, $E$1, '임대사업(E)'!G:G, B147, '임대사업(E)'!W:W, B154)
  + COUNTIFS('환경부사업(F)'!C:C, $E$1, '환경부사업(F)'!G:G, B147, '환경부사업(F)'!W:W, B154)
  + COUNTIFS('프로젝트(G)'!C:C, $E$1, '프로젝트(G)'!G:G, B147, '프로젝트(G)'!W:W, B154)
  + COUNTIFS('협력사 EPC(H)'!C:C, $E$1, '협력사 EPC(H)'!G:G, B147, '협력사 EPC(H)'!W:W, B154)
  + COUNTIFS('기타(Z)'!C:C, $E$1, '기타(Z)'!G:G, B147, '기타(Z)'!W:W, B154)
  = 0,
  "",
  COUNTIFS('발전사업(A)'!C:C, $E$1, '발전사업(A)'!G:G, B147, '발전사업(A)'!W:W, B154)
  + COUNTIFS('자가소비(B)'!C:C, $E$1, '자가소비(B)'!G:G, B147, '자가소비(B)'!W:W, B154)
  + COUNTIFS('PPA 사업(C)'!C:C, $E$1, 'PPA 사업(C)'!G:G, B147, 'PPA 사업(C)'!W:W, B154)
  + COUNTIFS('리스사업(D)'!C:C, $E$1, '리스사업(D)'!G:G, B147, '리스사업(D)'!W:W, B154)
  + COUNTIFS('임대사업(E)'!C:C, $E$1, '임대사업(E)'!G:G, B147, '임대사업(E)'!W:W, B154)
  + COUNTIFS('환경부사업(F)'!C:C, $E$1, '환경부사업(F)'!G:G, B147, '환경부사업(F)'!W:W, B154)
  + COUNTIFS('프로젝트(G)'!C:C, $E$1, '프로젝트(G)'!G:G, B147, '프로젝트(G)'!W:W, B154)
  + COUNTIFS('협력사 EPC(H)'!C:C, $E$1, '협력사 EPC(H)'!G:G, B147, '협력사 EPC(H)'!W:W, B154)
  + COUNTIFS('기타(Z)'!C:C, $E$1, '기타(Z)'!G:G, B147, '기타(Z)'!W:W, B154)
)</f>
        <v/>
      </c>
      <c r="E154" s="280" t="str">
        <f>IF(
  SUM(
    SUMIFS('발전사업(A)'!I:I, '발전사업(A)'!C:C, $E$1, '발전사업(A)'!G:G, B147, '발전사업(A)'!W:W, B154, '발전사업(A)'!U:U, $C$1),
    SUMIFS('자가소비(B)'!I:I, '자가소비(B)'!C:C, $E$1, '자가소비(B)'!G:G, B147, '자가소비(B)'!W:W, B154, '자가소비(B)'!U:U, $C$1),
    SUMIFS('PPA 사업(C)'!I:I, 'PPA 사업(C)'!C:C, $E$1, 'PPA 사업(C)'!G:G, B147, 'PPA 사업(C)'!W:W, B154, 'PPA 사업(C)'!U:U, $C$1),
    SUMIFS('리스사업(D)'!I:I, '리스사업(D)'!C:C, $E$1, '리스사업(D)'!G:G, B147, '리스사업(D)'!W:W, B154, '리스사업(D)'!U:U, $C$1),
    SUMIFS('임대사업(E)'!I:I, '임대사업(E)'!C:C, $E$1, '임대사업(E)'!G:G, B147, '임대사업(E)'!W:W, B154, '임대사업(E)'!U:U, $C$1),
    SUMIFS('환경부사업(F)'!I:I, '환경부사업(F)'!C:C, $E$1, '환경부사업(F)'!G:G, B147, '환경부사업(F)'!W:W, B154, '환경부사업(F)'!U:U, $C$1),
    SUMIFS('프로젝트(G)'!I:I, '프로젝트(G)'!C:C, $E$1, '프로젝트(G)'!G:G, B147, '프로젝트(G)'!W:W, B154, '프로젝트(G)'!U:U, $C$1),
    SUMIFS('협력사 EPC(H)'!I:I, '협력사 EPC(H)'!C:C, $E$1, '협력사 EPC(H)'!G:G, B147, '협력사 EPC(H)'!W:W, B154, '협력사 EPC(H)'!U:U, $C$1),
    SUMIFS('기타(Z)'!I:I, '기타(Z)'!C:C, $E$1, '기타(Z)'!G:G, B147, '기타(Z)'!W:W, B154, '기타(Z)'!U:U, $C$1)
  ) = 0,
  "",
  SUM(
    SUMIFS('발전사업(A)'!I:I, '발전사업(A)'!C:C, $E$1, '발전사업(A)'!G:G, B147, '발전사업(A)'!W:W, B154, '발전사업(A)'!U:U, $C$1),
    SUMIFS('자가소비(B)'!I:I, '자가소비(B)'!C:C, $E$1, '자가소비(B)'!G:G, B147, '자가소비(B)'!W:W, B154, '자가소비(B)'!U:U, $C$1),
    SUMIFS('PPA 사업(C)'!I:I, 'PPA 사업(C)'!C:C, $E$1, 'PPA 사업(C)'!G:G, B147, 'PPA 사업(C)'!W:W, B154, 'PPA 사업(C)'!U:U, $C$1),
    SUMIFS('리스사업(D)'!I:I, '리스사업(D)'!C:C, $E$1, '리스사업(D)'!G:G, B147, '리스사업(D)'!W:W, B154, '리스사업(D)'!U:U, $C$1),
    SUMIFS('임대사업(E)'!I:I, '임대사업(E)'!C:C, $E$1, '임대사업(E)'!G:G, B147, '임대사업(E)'!W:W, B154, '임대사업(E)'!U:U, $C$1),
    SUMIFS('환경부사업(F)'!I:I, '환경부사업(F)'!C:C, $E$1, '환경부사업(F)'!G:G, B147, '환경부사업(F)'!W:W, B154, '환경부사업(F)'!U:U, $C$1),
    SUMIFS('프로젝트(G)'!I:I, '프로젝트(G)'!C:C, $E$1, '프로젝트(G)'!G:G, B147, '프로젝트(G)'!W:W, B154, '프로젝트(G)'!U:U, $C$1),
    SUMIFS('협력사 EPC(H)'!I:I, '협력사 EPC(H)'!C:C, $E$1, '협력사 EPC(H)'!G:G, B147, '협력사 EPC(H)'!W:W, B154, '협력사 EPC(H)'!U:U, $C$1),
    SUMIFS('기타(Z)'!I:I, '기타(Z)'!C:C, $E$1, '기타(Z)'!G:G, B147, '기타(Z)'!W:W, B154, '기타(Z)'!U:U, $C$1)
  )
)</f>
        <v/>
      </c>
      <c r="F154" s="281" t="str">
        <f>IF(
  SUM(
    COUNTIFS('발전사업(A)'!C:C, $E$1, '발전사업(A)'!G:G, B147, '발전사업(A)'!W:W, B154, '발전사업(A)'!U:U, $C$1),
    COUNTIFS('자가소비(B)'!C:C, $E$1, '자가소비(B)'!G:G, B147, '자가소비(B)'!W:W, B154, '자가소비(B)'!U:U, $C$1),
    COUNTIFS('PPA 사업(C)'!C:C, $E$1, 'PPA 사업(C)'!G:G, B147, 'PPA 사업(C)'!W:W, B154, 'PPA 사업(C)'!U:U, $C$1),
    COUNTIFS('리스사업(D)'!C:C, $E$1, '리스사업(D)'!G:G, B147, '리스사업(D)'!W:W, B154, '리스사업(D)'!U:U, $C$1),
    COUNTIFS('임대사업(E)'!C:C, $E$1, '임대사업(E)'!G:G, B147, '임대사업(E)'!W:W, B154, '임대사업(E)'!U:U, $C$1),
    COUNTIFS('환경부사업(F)'!C:C, $E$1, '환경부사업(F)'!G:G, B147, '환경부사업(F)'!W:W, B154, '환경부사업(F)'!U:U, $C$1),
    COUNTIFS('프로젝트(G)'!C:C, $E$1, '프로젝트(G)'!G:G, B147, '프로젝트(G)'!W:W, B154, '프로젝트(G)'!U:U, $C$1),
    COUNTIFS('협력사 EPC(H)'!C:C, $E$1, '협력사 EPC(H)'!G:G, B147, '협력사 EPC(H)'!W:W, B154, '협력사 EPC(H)'!U:U, $C$1),
    COUNTIFS('기타(Z)'!C:C, $E$1, '기타(Z)'!G:G, B147, '기타(Z)'!W:W, B154, '기타(Z)'!U:U, $C$1)
  ) = 0,
  "",
  SUM(
    COUNTIFS('발전사업(A)'!C:C, $E$1, '발전사업(A)'!G:G, B147, '발전사업(A)'!W:W, B154, '발전사업(A)'!U:U, $C$1),
    COUNTIFS('자가소비(B)'!C:C, $E$1, '자가소비(B)'!G:G, B147, '자가소비(B)'!W:W, B154, '자가소비(B)'!U:U, $C$1),
    COUNTIFS('PPA 사업(C)'!C:C, $E$1, 'PPA 사업(C)'!G:G, B147, 'PPA 사업(C)'!W:W, B154, 'PPA 사업(C)'!U:U, $C$1),
    COUNTIFS('리스사업(D)'!C:C, $E$1, '리스사업(D)'!G:G, B147, '리스사업(D)'!W:W, B154, '리스사업(D)'!U:U, $C$1),
    COUNTIFS('임대사업(E)'!C:C, $E$1, '임대사업(E)'!G:G, B147, '임대사업(E)'!W:W, B154, '임대사업(E)'!U:U, $C$1),
    COUNTIFS('환경부사업(F)'!C:C, $E$1, '환경부사업(F)'!G:G, B147, '환경부사업(F)'!W:W, B154, '환경부사업(F)'!U:U, $C$1),
    COUNTIFS('프로젝트(G)'!C:C, $E$1, '프로젝트(G)'!G:G, B147, '프로젝트(G)'!W:W, B154, '프로젝트(G)'!U:U, $C$1),
    COUNTIFS('협력사 EPC(H)'!C:C, $E$1, '협력사 EPC(H)'!G:G, B147, '협력사 EPC(H)'!W:W, B154, '협력사 EPC(H)'!U:U, $C$1),
    COUNTIFS('기타(Z)'!C:C, $E$1, '기타(Z)'!G:G, B147, '기타(Z)'!W:W, B154, '기타(Z)'!U:U, $C$1)
  )
)</f>
        <v/>
      </c>
      <c r="G154" s="280" t="str">
        <f>IF(
  SUM(
    SUMIFS('발전사업(A)'!I:I, '발전사업(A)'!C:C, $E$1, '발전사업(A)'!G:G, B147, '발전사업(A)'!W:W, B154, '발전사업(A)'!U:U, $D$1),
    SUMIFS('자가소비(B)'!I:I, '자가소비(B)'!C:C, $E$1, '자가소비(B)'!G:G, B147, '자가소비(B)'!W:W, B154, '자가소비(B)'!U:U, $D$1),
    SUMIFS('PPA 사업(C)'!I:I, 'PPA 사업(C)'!C:C, $E$1, 'PPA 사업(C)'!G:G, B147, 'PPA 사업(C)'!W:W, B154, 'PPA 사업(C)'!U:U, $D$1),
    SUMIFS('리스사업(D)'!I:I, '리스사업(D)'!C:C, $E$1, '리스사업(D)'!G:G, B147, '리스사업(D)'!W:W, B154, '리스사업(D)'!U:U, $D$1),
    SUMIFS('임대사업(E)'!I:I, '임대사업(E)'!C:C, $E$1, '임대사업(E)'!G:G, B147, '임대사업(E)'!W:W, B154, '임대사업(E)'!U:U, $D$1),
    SUMIFS('환경부사업(F)'!I:I, '환경부사업(F)'!C:C, $E$1, '환경부사업(F)'!G:G, B147, '환경부사업(F)'!W:W, B154, '환경부사업(F)'!U:U, $D$1),
    SUMIFS('프로젝트(G)'!I:I, '프로젝트(G)'!C:C, $E$1, '프로젝트(G)'!G:G, B147, '프로젝트(G)'!W:W, B154, '프로젝트(G)'!U:U, $D$1),
    SUMIFS('협력사 EPC(H)'!I:I, '협력사 EPC(H)'!C:C, $E$1, '협력사 EPC(H)'!G:G, B147, '협력사 EPC(H)'!W:W, B154, '협력사 EPC(H)'!U:U, $D$1),
    SUMIFS('기타(Z)'!I:I, '기타(Z)'!C:C, $E$1, '기타(Z)'!G:G, B147, '기타(Z)'!W:W, B154, '기타(Z)'!U:U, $D$1)
  ) = 0,
  "",
  SUM(
    SUMIFS('발전사업(A)'!I:I, '발전사업(A)'!C:C, $E$1, '발전사업(A)'!G:G, B147, '발전사업(A)'!W:W, B154, '발전사업(A)'!U:U, $D$1),
    SUMIFS('자가소비(B)'!I:I, '자가소비(B)'!C:C, $E$1, '자가소비(B)'!G:G, B147, '자가소비(B)'!W:W, B154, '자가소비(B)'!U:U, $D$1),
    SUMIFS('PPA 사업(C)'!I:I, 'PPA 사업(C)'!C:C, $E$1, 'PPA 사업(C)'!G:G, B147, 'PPA 사업(C)'!W:W, B154, 'PPA 사업(C)'!U:U, $D$1),
    SUMIFS('리스사업(D)'!I:I, '리스사업(D)'!C:C, $E$1, '리스사업(D)'!G:G, B147, '리스사업(D)'!W:W, B154, '리스사업(D)'!U:U, $D$1),
    SUMIFS('임대사업(E)'!I:I, '임대사업(E)'!C:C, $E$1, '임대사업(E)'!G:G, B147, '임대사업(E)'!W:W, B154, '임대사업(E)'!U:U, $D$1),
    SUMIFS('환경부사업(F)'!I:I, '환경부사업(F)'!C:C, $E$1, '환경부사업(F)'!G:G, B147, '환경부사업(F)'!W:W, B154, '환경부사업(F)'!U:U, $D$1),
    SUMIFS('프로젝트(G)'!I:I, '프로젝트(G)'!C:C, $E$1, '프로젝트(G)'!G:G, B147, '프로젝트(G)'!W:W, B154, '프로젝트(G)'!U:U, $D$1),
    SUMIFS('협력사 EPC(H)'!I:I, '협력사 EPC(H)'!C:C, $E$1, '협력사 EPC(H)'!G:G, B147, '협력사 EPC(H)'!W:W, B154, '협력사 EPC(H)'!U:U, $D$1),
    SUMIFS('기타(Z)'!I:I, '기타(Z)'!C:C, $E$1, '기타(Z)'!G:G, B147, '기타(Z)'!W:W, B154, '기타(Z)'!U:U, $D$1)
  )
)</f>
        <v/>
      </c>
      <c r="H154" s="281" t="str">
        <f>IF(
  (
    COUNTIFS('발전사업(A)'!C:C, $E$1, '발전사업(A)'!G:G, B147, '발전사업(A)'!W:W, B154, '발전사업(A)'!U:U, $D$1)
    + COUNTIFS('자가소비(B)'!C:C, $E$1, '자가소비(B)'!G:G, B147, '자가소비(B)'!W:W, B154, '자가소비(B)'!U:U, $D$1)
    + COUNTIFS('PPA 사업(C)'!C:C, $E$1, 'PPA 사업(C)'!G:G, B147, 'PPA 사업(C)'!W:W, B154, 'PPA 사업(C)'!U:U, $D$1)
    + COUNTIFS('리스사업(D)'!C:C, $E$1, '리스사업(D)'!G:G, B147, '리스사업(D)'!W:W, B154, '리스사업(D)'!U:U, $D$1)
    + COUNTIFS('임대사업(E)'!C:C, $E$1, '임대사업(E)'!G:G, B147, '임대사업(E)'!W:W, B154, '임대사업(E)'!U:U, $D$1)
    + COUNTIFS('환경부사업(F)'!C:C, $E$1, '환경부사업(F)'!G:G, B147, '환경부사업(F)'!W:W, B154, '환경부사업(F)'!U:U, $D$1)
    + COUNTIFS('프로젝트(G)'!C:C, $E$1, '프로젝트(G)'!G:G, B147, '프로젝트(G)'!W:W, B154, '프로젝트(G)'!U:U, $D$1)
    + COUNTIFS('협력사 EPC(H)'!C:C, $E$1, '협력사 EPC(H)'!G:G, B147, '협력사 EPC(H)'!W:W, B154, '협력사 EPC(H)'!U:U, $D$1)
    + COUNTIFS('기타(Z)'!C:C, $E$1, '기타(Z)'!G:G, $B147, '기타(Z)'!W:W, B154, '기타(Z)'!U:U, $D$1)
  ) = 0,
  "",
  COUNTIFS('발전사업(A)'!C:C, $E$1, '발전사업(A)'!G:G, B147, '발전사업(A)'!W:W, B154, '발전사업(A)'!U:U, $D$1)
  + COUNTIFS('자가소비(B)'!C:C, $E$1, '자가소비(B)'!G:G, B147, '자가소비(B)'!W:W, B154, '자가소비(B)'!U:U, $D$1)
  + COUNTIFS('PPA 사업(C)'!C:C, $E$1, 'PPA 사업(C)'!G:G, B147, 'PPA 사업(C)'!W:W, B154, 'PPA 사업(C)'!U:U, $D$1)
  + COUNTIFS('리스사업(D)'!C:C, $E$1, '리스사업(D)'!G:G, B147, '리스사업(D)'!W:W, B154, '리스사업(D)'!U:U, $D$1)
  + COUNTIFS('임대사업(E)'!C:C, $E$1, '임대사업(E)'!G:G, B147, '임대사업(E)'!W:W, B154, '임대사업(E)'!U:U, $D$1)
  + COUNTIFS('환경부사업(F)'!C:C, $E$1, '환경부사업(F)'!G:G, B147, '환경부사업(F)'!W:W, B154, '환경부사업(F)'!U:U, $D$1)
  + COUNTIFS('프로젝트(G)'!C:C, $E$1, '프로젝트(G)'!G:G, B147, '프로젝트(G)'!W:W, B154, '프로젝트(G)'!U:U, $D$1)
  + COUNTIFS('협력사 EPC(H)'!C:C, $E$1, '협력사 EPC(H)'!G:G, B147, '협력사 EPC(H)'!W:W, B154, '협력사 EPC(H)'!U:U, $D$1)
  + COUNTIFS('기타(Z)'!C:C, $E$1, '기타(Z)'!G:G, B147, '기타(Z)'!W:W, B154, '기타(Z)'!U:U, $D$1)
)</f>
        <v/>
      </c>
    </row>
    <row r="155" spans="2:8" x14ac:dyDescent="0.25">
      <c r="B155" s="202" t="s">
        <v>265</v>
      </c>
      <c r="C155" s="280" t="str">
        <f>IF(
  SUM(
    SUMIFS('발전사업(A)'!I:I, '발전사업(A)'!C:C, $E$1, '발전사업(A)'!G:G, B147, '발전사업(A)'!W:W, B155),
    SUMIFS('자가소비(B)'!I:I, '자가소비(B)'!C:C, $E$1, '자가소비(B)'!G:G, B147, '자가소비(B)'!W:W, B155),
    SUMIFS('PPA 사업(C)'!I:I, 'PPA 사업(C)'!C:C, $E$1, 'PPA 사업(C)'!G:G, B147, 'PPA 사업(C)'!W:W, B155),
    SUMIFS('리스사업(D)'!I:I, '리스사업(D)'!C:C, $E$1, '리스사업(D)'!G:G, B147, '리스사업(D)'!W:W, B155),
    SUMIFS('임대사업(E)'!I:I, '임대사업(E)'!C:C, $E$1, '임대사업(E)'!G:G, B147, '임대사업(E)'!W:W, B155),
    SUMIFS('환경부사업(F)'!I:I, '환경부사업(F)'!C:C, $E$1, '환경부사업(F)'!G:G, B147, '환경부사업(F)'!W:W, B155),
    SUMIFS('프로젝트(G)'!I:I, '프로젝트(G)'!C:C, $E$1, '프로젝트(G)'!G:G, B147, '프로젝트(G)'!W:W, B155),
    SUMIFS('협력사 EPC(H)'!I:I, '협력사 EPC(H)'!C:C, $E$1, '협력사 EPC(H)'!G:G, B147, '협력사 EPC(H)'!W:W, B155),
    SUMIFS('기타(Z)'!I:I, '기타(Z)'!C:C, $E$1, '기타(Z)'!G:G, B147, '기타(Z)'!W:W, B155)
  ) = 0,
  "",
  SUMIFS('발전사업(A)'!I:I, '발전사업(A)'!C:C, $E$1, '발전사업(A)'!G:G, B147, '발전사업(A)'!W:W, B155)
  + SUMIFS('자가소비(B)'!I:I, '자가소비(B)'!C:C, $E$1, '자가소비(B)'!G:G, B147, '자가소비(B)'!W:W, B155)
  + SUMIFS('PPA 사업(C)'!I:I, 'PPA 사업(C)'!C:C, $E$1, 'PPA 사업(C)'!G:G, B147, 'PPA 사업(C)'!W:W, B155)
  + SUMIFS('리스사업(D)'!I:I, '리스사업(D)'!C:C, $E$1, '리스사업(D)'!G:G, B147, '리스사업(D)'!W:W, B155)
  + SUMIFS('임대사업(E)'!I:I, '임대사업(E)'!C:C, $E$1, '임대사업(E)'!G:G, B147, '임대사업(E)'!W:W, B155)
  + SUMIFS('환경부사업(F)'!I:I, '환경부사업(F)'!C:C, $E$1, '환경부사업(F)'!G:G, B147, '환경부사업(F)'!W:W, B155)
  + SUMIFS('프로젝트(G)'!I:I, '프로젝트(G)'!C:C, $E$1, '프로젝트(G)'!G:G, B147, '프로젝트(G)'!W:W, B155)
  + SUMIFS('협력사 EPC(H)'!I:I, '협력사 EPC(H)'!C:C, $E$1, '협력사 EPC(H)'!G:G, B147, '협력사 EPC(H)'!W:W, B155)
  + SUMIFS('기타(Z)'!I:I, '기타(Z)'!C:C, $E$1, '기타(Z)'!G:G, B147, '기타(Z)'!W:W, B155)
)</f>
        <v/>
      </c>
      <c r="D155" s="281" t="str">
        <f>IF(
  COUNTIFS('발전사업(A)'!C:C, $E$1, '발전사업(A)'!G:G, B147, '발전사업(A)'!W:W, B155)
  + COUNTIFS('자가소비(B)'!C:C, $E$1, '자가소비(B)'!G:G, B147, '자가소비(B)'!W:W, B155)
  + COUNTIFS('PPA 사업(C)'!C:C, $E$1, 'PPA 사업(C)'!G:G, B147, 'PPA 사업(C)'!W:W, B155)
  + COUNTIFS('리스사업(D)'!C:C, $E$1, '리스사업(D)'!G:G, B147, '리스사업(D)'!W:W, B155)
  + COUNTIFS('임대사업(E)'!C:C, $E$1, '임대사업(E)'!G:G, B147, '임대사업(E)'!W:W, B155)
  + COUNTIFS('환경부사업(F)'!C:C, $E$1, '환경부사업(F)'!G:G, B147, '환경부사업(F)'!W:W, B155)
  + COUNTIFS('프로젝트(G)'!C:C, $E$1, '프로젝트(G)'!G:G, B147, '프로젝트(G)'!W:W, B155)
  + COUNTIFS('협력사 EPC(H)'!C:C, $E$1, '협력사 EPC(H)'!G:G, B147, '협력사 EPC(H)'!W:W, B155)
  + COUNTIFS('기타(Z)'!C:C, $E$1, '기타(Z)'!G:G, B147, '기타(Z)'!W:W, B155)
  = 0,
  "",
  COUNTIFS('발전사업(A)'!C:C, $E$1, '발전사업(A)'!G:G, B147, '발전사업(A)'!W:W, B155)
  + COUNTIFS('자가소비(B)'!C:C, $E$1, '자가소비(B)'!G:G, B147, '자가소비(B)'!W:W, B155)
  + COUNTIFS('PPA 사업(C)'!C:C, $E$1, 'PPA 사업(C)'!G:G, B147, 'PPA 사업(C)'!W:W, B155)
  + COUNTIFS('리스사업(D)'!C:C, $E$1, '리스사업(D)'!G:G, B147, '리스사업(D)'!W:W, B155)
  + COUNTIFS('임대사업(E)'!C:C, $E$1, '임대사업(E)'!G:G, B147, '임대사업(E)'!W:W, B155)
  + COUNTIFS('환경부사업(F)'!C:C, $E$1, '환경부사업(F)'!G:G, B147, '환경부사업(F)'!W:W, B155)
  + COUNTIFS('프로젝트(G)'!C:C, $E$1, '프로젝트(G)'!G:G, B147, '프로젝트(G)'!W:W, B155)
  + COUNTIFS('협력사 EPC(H)'!C:C, $E$1, '협력사 EPC(H)'!G:G, B147, '협력사 EPC(H)'!W:W, B155)
  + COUNTIFS('기타(Z)'!C:C, $E$1, '기타(Z)'!G:G, B147, '기타(Z)'!W:W, B155)
)</f>
        <v/>
      </c>
      <c r="E155" s="280" t="str">
        <f>IF(
  SUM(
    SUMIFS('발전사업(A)'!I:I, '발전사업(A)'!C:C, $E$1, '발전사업(A)'!G:G, B147, '발전사업(A)'!W:W, B155, '발전사업(A)'!U:U, $C$1),
    SUMIFS('자가소비(B)'!I:I, '자가소비(B)'!C:C, $E$1, '자가소비(B)'!G:G, B147, '자가소비(B)'!W:W, B155, '자가소비(B)'!U:U, $C$1),
    SUMIFS('PPA 사업(C)'!I:I, 'PPA 사업(C)'!C:C, $E$1, 'PPA 사업(C)'!G:G, B147, 'PPA 사업(C)'!W:W, B155, 'PPA 사업(C)'!U:U, $C$1),
    SUMIFS('리스사업(D)'!I:I, '리스사업(D)'!C:C, $E$1, '리스사업(D)'!G:G, B147, '리스사업(D)'!W:W, B155, '리스사업(D)'!U:U, $C$1),
    SUMIFS('임대사업(E)'!I:I, '임대사업(E)'!C:C, $E$1, '임대사업(E)'!G:G, B147, '임대사업(E)'!W:W, B155, '임대사업(E)'!U:U, $C$1),
    SUMIFS('환경부사업(F)'!I:I, '환경부사업(F)'!C:C, $E$1, '환경부사업(F)'!G:G, B147, '환경부사업(F)'!W:W, B155, '환경부사업(F)'!U:U, $C$1),
    SUMIFS('프로젝트(G)'!I:I, '프로젝트(G)'!C:C, $E$1, '프로젝트(G)'!G:G, B147, '프로젝트(G)'!W:W, B155, '프로젝트(G)'!U:U, $C$1),
    SUMIFS('협력사 EPC(H)'!I:I, '협력사 EPC(H)'!C:C, $E$1, '협력사 EPC(H)'!G:G, B147, '협력사 EPC(H)'!W:W, B155, '협력사 EPC(H)'!U:U, $C$1),
    SUMIFS('기타(Z)'!I:I, '기타(Z)'!C:C, $E$1, '기타(Z)'!G:G, B147, '기타(Z)'!W:W, B155, '기타(Z)'!U:U, $C$1)
  ) = 0,
  "",
  SUM(
    SUMIFS('발전사업(A)'!I:I, '발전사업(A)'!C:C, $E$1, '발전사업(A)'!G:G, B147, '발전사업(A)'!W:W, B155, '발전사업(A)'!U:U, $C$1),
    SUMIFS('자가소비(B)'!I:I, '자가소비(B)'!C:C, $E$1, '자가소비(B)'!G:G, B147, '자가소비(B)'!W:W, B155, '자가소비(B)'!U:U, $C$1),
    SUMIFS('PPA 사업(C)'!I:I, 'PPA 사업(C)'!C:C, $E$1, 'PPA 사업(C)'!G:G, B147, 'PPA 사업(C)'!W:W, B155, 'PPA 사업(C)'!U:U, $C$1),
    SUMIFS('리스사업(D)'!I:I, '리스사업(D)'!C:C, $E$1, '리스사업(D)'!G:G, B147, '리스사업(D)'!W:W, B155, '리스사업(D)'!U:U, $C$1),
    SUMIFS('임대사업(E)'!I:I, '임대사업(E)'!C:C, $E$1, '임대사업(E)'!G:G, B147, '임대사업(E)'!W:W, B155, '임대사업(E)'!U:U, $C$1),
    SUMIFS('환경부사업(F)'!I:I, '환경부사업(F)'!C:C, $E$1, '환경부사업(F)'!G:G, B147, '환경부사업(F)'!W:W, B155, '환경부사업(F)'!U:U, $C$1),
    SUMIFS('프로젝트(G)'!I:I, '프로젝트(G)'!C:C, $E$1, '프로젝트(G)'!G:G, B147, '프로젝트(G)'!W:W, B155, '프로젝트(G)'!U:U, $C$1),
    SUMIFS('협력사 EPC(H)'!I:I, '협력사 EPC(H)'!C:C, $E$1, '협력사 EPC(H)'!G:G, B147, '협력사 EPC(H)'!W:W, B155, '협력사 EPC(H)'!U:U, $C$1),
    SUMIFS('기타(Z)'!I:I, '기타(Z)'!C:C, $E$1, '기타(Z)'!G:G, B147, '기타(Z)'!W:W, B155, '기타(Z)'!U:U, $C$1)
  )
)</f>
        <v/>
      </c>
      <c r="F155" s="281" t="str">
        <f>IF(
  SUM(
    COUNTIFS('발전사업(A)'!C:C, $E$1, '발전사업(A)'!G:G, B147, '발전사업(A)'!W:W, B155, '발전사업(A)'!U:U, $C$1),
    COUNTIFS('자가소비(B)'!C:C, $E$1, '자가소비(B)'!G:G, B147, '자가소비(B)'!W:W, B155, '자가소비(B)'!U:U, $C$1),
    COUNTIFS('PPA 사업(C)'!C:C, $E$1, 'PPA 사업(C)'!G:G, B147, 'PPA 사업(C)'!W:W, B155, 'PPA 사업(C)'!U:U, $C$1),
    COUNTIFS('리스사업(D)'!C:C, $E$1, '리스사업(D)'!G:G, B147, '리스사업(D)'!W:W, B155, '리스사업(D)'!U:U, $C$1),
    COUNTIFS('임대사업(E)'!C:C, $E$1, '임대사업(E)'!G:G, B147, '임대사업(E)'!W:W, B155, '임대사업(E)'!U:U, $C$1),
    COUNTIFS('환경부사업(F)'!C:C, $E$1, '환경부사업(F)'!G:G, B147, '환경부사업(F)'!W:W, B155, '환경부사업(F)'!U:U, $C$1),
    COUNTIFS('프로젝트(G)'!C:C, $E$1, '프로젝트(G)'!G:G, B147, '프로젝트(G)'!W:W, B155, '프로젝트(G)'!U:U, $C$1),
    COUNTIFS('협력사 EPC(H)'!C:C, $E$1, '협력사 EPC(H)'!G:G, B147, '협력사 EPC(H)'!W:W, B155, '협력사 EPC(H)'!U:U, $C$1),
    COUNTIFS('기타(Z)'!C:C, $E$1, '기타(Z)'!G:G, B147, '기타(Z)'!W:W, B155, '기타(Z)'!U:U, $C$1)
  ) = 0,
  "",
  SUM(
    COUNTIFS('발전사업(A)'!C:C, $E$1, '발전사업(A)'!G:G, B147, '발전사업(A)'!W:W, B155, '발전사업(A)'!U:U, $C$1),
    COUNTIFS('자가소비(B)'!C:C, $E$1, '자가소비(B)'!G:G, B147, '자가소비(B)'!W:W, B155, '자가소비(B)'!U:U, $C$1),
    COUNTIFS('PPA 사업(C)'!C:C, $E$1, 'PPA 사업(C)'!G:G, B147, 'PPA 사업(C)'!W:W, B155, 'PPA 사업(C)'!U:U, $C$1),
    COUNTIFS('리스사업(D)'!C:C, $E$1, '리스사업(D)'!G:G, B147, '리스사업(D)'!W:W, B155, '리스사업(D)'!U:U, $C$1),
    COUNTIFS('임대사업(E)'!C:C, $E$1, '임대사업(E)'!G:G, B147, '임대사업(E)'!W:W, B155, '임대사업(E)'!U:U, $C$1),
    COUNTIFS('환경부사업(F)'!C:C, $E$1, '환경부사업(F)'!G:G, B147, '환경부사업(F)'!W:W, B155, '환경부사업(F)'!U:U, $C$1),
    COUNTIFS('프로젝트(G)'!C:C, $E$1, '프로젝트(G)'!G:G, B147, '프로젝트(G)'!W:W, B155, '프로젝트(G)'!U:U, $C$1),
    COUNTIFS('협력사 EPC(H)'!C:C, $E$1, '협력사 EPC(H)'!G:G, B147, '협력사 EPC(H)'!W:W, B155, '협력사 EPC(H)'!U:U, $C$1),
    COUNTIFS('기타(Z)'!C:C, $E$1, '기타(Z)'!G:G, B147, '기타(Z)'!W:W, B155, '기타(Z)'!U:U, $C$1)
  )
)</f>
        <v/>
      </c>
      <c r="G155" s="280" t="str">
        <f>IF(
  SUM(
    SUMIFS('발전사업(A)'!I:I, '발전사업(A)'!C:C, $E$1, '발전사업(A)'!G:G, B147, '발전사업(A)'!W:W, B155, '발전사업(A)'!U:U, $D$1),
    SUMIFS('자가소비(B)'!I:I, '자가소비(B)'!C:C, $E$1, '자가소비(B)'!G:G, B147, '자가소비(B)'!W:W, B155, '자가소비(B)'!U:U, $D$1),
    SUMIFS('PPA 사업(C)'!I:I, 'PPA 사업(C)'!C:C, $E$1, 'PPA 사업(C)'!G:G, B147, 'PPA 사업(C)'!W:W, B155, 'PPA 사업(C)'!U:U, $D$1),
    SUMIFS('리스사업(D)'!I:I, '리스사업(D)'!C:C, $E$1, '리스사업(D)'!G:G, B147, '리스사업(D)'!W:W, B155, '리스사업(D)'!U:U, $D$1),
    SUMIFS('임대사업(E)'!I:I, '임대사업(E)'!C:C, $E$1, '임대사업(E)'!G:G, B147, '임대사업(E)'!W:W, B155, '임대사업(E)'!U:U, $D$1),
    SUMIFS('환경부사업(F)'!I:I, '환경부사업(F)'!C:C, $E$1, '환경부사업(F)'!G:G, B147, '환경부사업(F)'!W:W, B155, '환경부사업(F)'!U:U, $D$1),
    SUMIFS('프로젝트(G)'!I:I, '프로젝트(G)'!C:C, $E$1, '프로젝트(G)'!G:G, B147, '프로젝트(G)'!W:W, B155, '프로젝트(G)'!U:U, $D$1),
    SUMIFS('협력사 EPC(H)'!I:I, '협력사 EPC(H)'!C:C, $E$1, '협력사 EPC(H)'!G:G, B147, '협력사 EPC(H)'!W:W, B155, '협력사 EPC(H)'!U:U, $D$1),
    SUMIFS('기타(Z)'!I:I, '기타(Z)'!C:C, $E$1, '기타(Z)'!G:G, B147, '기타(Z)'!W:W, B155, '기타(Z)'!U:U, $D$1)
  ) = 0,
  "",
  SUM(
    SUMIFS('발전사업(A)'!I:I, '발전사업(A)'!C:C, $E$1, '발전사업(A)'!G:G, B147, '발전사업(A)'!W:W, B155, '발전사업(A)'!U:U, $D$1),
    SUMIFS('자가소비(B)'!I:I, '자가소비(B)'!C:C, $E$1, '자가소비(B)'!G:G, B147, '자가소비(B)'!W:W, B155, '자가소비(B)'!U:U, $D$1),
    SUMIFS('PPA 사업(C)'!I:I, 'PPA 사업(C)'!C:C, $E$1, 'PPA 사업(C)'!G:G, B147, 'PPA 사업(C)'!W:W, B155, 'PPA 사업(C)'!U:U, $D$1),
    SUMIFS('리스사업(D)'!I:I, '리스사업(D)'!C:C, $E$1, '리스사업(D)'!G:G, B147, '리스사업(D)'!W:W, B155, '리스사업(D)'!U:U, $D$1),
    SUMIFS('임대사업(E)'!I:I, '임대사업(E)'!C:C, $E$1, '임대사업(E)'!G:G, B147, '임대사업(E)'!W:W, B155, '임대사업(E)'!U:U, $D$1),
    SUMIFS('환경부사업(F)'!I:I, '환경부사업(F)'!C:C, $E$1, '환경부사업(F)'!G:G, B147, '환경부사업(F)'!W:W, B155, '환경부사업(F)'!U:U, $D$1),
    SUMIFS('프로젝트(G)'!I:I, '프로젝트(G)'!C:C, $E$1, '프로젝트(G)'!G:G, B147, '프로젝트(G)'!W:W, B155, '프로젝트(G)'!U:U, $D$1),
    SUMIFS('협력사 EPC(H)'!I:I, '협력사 EPC(H)'!C:C, $E$1, '협력사 EPC(H)'!G:G, B147, '협력사 EPC(H)'!W:W, B155, '협력사 EPC(H)'!U:U, $D$1),
    SUMIFS('기타(Z)'!I:I, '기타(Z)'!C:C, $E$1, '기타(Z)'!G:G, B147, '기타(Z)'!W:W, B155, '기타(Z)'!U:U, $D$1)
  )
)</f>
        <v/>
      </c>
      <c r="H155" s="281" t="str">
        <f>IF(
  (
    COUNTIFS('발전사업(A)'!C:C, $E$1, '발전사업(A)'!G:G, B147, '발전사업(A)'!W:W, B155, '발전사업(A)'!U:U, $D$1)
    + COUNTIFS('자가소비(B)'!C:C, $E$1, '자가소비(B)'!G:G, B147, '자가소비(B)'!W:W, B155, '자가소비(B)'!U:U, $D$1)
    + COUNTIFS('PPA 사업(C)'!C:C, $E$1, 'PPA 사업(C)'!G:G, B147, 'PPA 사업(C)'!W:W, B155, 'PPA 사업(C)'!U:U, $D$1)
    + COUNTIFS('리스사업(D)'!C:C, $E$1, '리스사업(D)'!G:G, B147, '리스사업(D)'!W:W, B155, '리스사업(D)'!U:U, $D$1)
    + COUNTIFS('임대사업(E)'!C:C, $E$1, '임대사업(E)'!G:G, B147, '임대사업(E)'!W:W, B155, '임대사업(E)'!U:U, $D$1)
    + COUNTIFS('환경부사업(F)'!C:C, $E$1, '환경부사업(F)'!G:G, B147, '환경부사업(F)'!W:W, B155, '환경부사업(F)'!U:U, $D$1)
    + COUNTIFS('프로젝트(G)'!C:C, $E$1, '프로젝트(G)'!G:G, B147, '프로젝트(G)'!W:W, B155, '프로젝트(G)'!U:U, $D$1)
    + COUNTIFS('협력사 EPC(H)'!C:C, $E$1, '협력사 EPC(H)'!G:G, B147, '협력사 EPC(H)'!W:W, B155, '협력사 EPC(H)'!U:U, $D$1)
    + COUNTIFS('기타(Z)'!C:C, $E$1, '기타(Z)'!G:G, B147, '기타(Z)'!W:W, B155, '기타(Z)'!U:U, $D$1)
  ) = 0,
  "",
  COUNTIFS('발전사업(A)'!C:C, $E$1, '발전사업(A)'!G:G, B147, '발전사업(A)'!W:W, B155, '발전사업(A)'!U:U, $D$1)
  + COUNTIFS('자가소비(B)'!C:C, $E$1, '자가소비(B)'!G:G, B147, '자가소비(B)'!W:W, B155, '자가소비(B)'!U:U, $D$1)
  + COUNTIFS('PPA 사업(C)'!C:C, $E$1, 'PPA 사업(C)'!G:G, B147, 'PPA 사업(C)'!W:W, B155, 'PPA 사업(C)'!U:U, $D$1)
  + COUNTIFS('리스사업(D)'!C:C, $E$1, '리스사업(D)'!G:G, B147, '리스사업(D)'!W:W, B155, '리스사업(D)'!U:U, $D$1)
  + COUNTIFS('임대사업(E)'!C:C, $E$1, '임대사업(E)'!G:G, B147, '임대사업(E)'!W:W, B155, '임대사업(E)'!U:U, $D$1)
  + COUNTIFS('환경부사업(F)'!C:C, $E$1, '환경부사업(F)'!G:G, B147, '환경부사업(F)'!W:W, B155, '환경부사업(F)'!U:U, $D$1)
  + COUNTIFS('프로젝트(G)'!C:C, $E$1, '프로젝트(G)'!G:G, B147, '프로젝트(G)'!W:W, B155, '프로젝트(G)'!U:U, $D$1)
  + COUNTIFS('협력사 EPC(H)'!C:C, $E$1, '협력사 EPC(H)'!G:G, B147, '협력사 EPC(H)'!W:W, B155, '협력사 EPC(H)'!U:U, $D$1)
  + COUNTIFS('기타(Z)'!C:C, $E$1, '기타(Z)'!G:G, B147, '기타(Z)'!W:W, B155, '기타(Z)'!U:U, $D$1)
)</f>
        <v/>
      </c>
    </row>
    <row r="156" spans="2:8" ht="16.5" x14ac:dyDescent="0.25">
      <c r="B156" s="292" t="s">
        <v>1062</v>
      </c>
      <c r="C156" s="286">
        <f>SUM(C148:C155)</f>
        <v>1871.665</v>
      </c>
      <c r="D156" s="287">
        <f t="shared" ref="D156:H156" si="21">SUM(D148:D155)</f>
        <v>10</v>
      </c>
      <c r="E156" s="288">
        <f t="shared" si="21"/>
        <v>1745.2450000000001</v>
      </c>
      <c r="F156" s="289">
        <f t="shared" si="21"/>
        <v>9</v>
      </c>
      <c r="G156" s="290">
        <f t="shared" si="21"/>
        <v>126.42</v>
      </c>
      <c r="H156" s="291">
        <f t="shared" si="21"/>
        <v>1</v>
      </c>
    </row>
  </sheetData>
  <mergeCells count="13">
    <mergeCell ref="U2:V2"/>
    <mergeCell ref="K2:L2"/>
    <mergeCell ref="M2:N2"/>
    <mergeCell ref="O2:P2"/>
    <mergeCell ref="Q2:R2"/>
    <mergeCell ref="S2:T2"/>
    <mergeCell ref="AI2:AJ2"/>
    <mergeCell ref="Y2:Z2"/>
    <mergeCell ref="W2:X2"/>
    <mergeCell ref="AA2:AB2"/>
    <mergeCell ref="AC2:AD2"/>
    <mergeCell ref="AE2:AF2"/>
    <mergeCell ref="AG2:AH2"/>
  </mergeCells>
  <phoneticPr fontId="5" type="noConversion"/>
  <dataValidations disablePrompts="1" count="1">
    <dataValidation type="list" allowBlank="1" showInputMessage="1" showErrorMessage="1" sqref="E1 O1:P1" xr:uid="{00000000-0002-0000-0000-000000000000}">
      <formula1>"직영(가),외주(나),입찰(다),검토(라)"</formula1>
    </dataValidation>
  </dataValidations>
  <pageMargins left="0.7" right="0.7" top="0.75" bottom="0.75" header="0.3" footer="0.3"/>
  <ignoredErrors>
    <ignoredError sqref="L25:Y31 Q23:Y23 Z23:AJ28 M24:Y24 X3 X4:X10 N3:W3 N11:AJ22 N4:W10 Y4:AJ10 Y3:AJ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I70"/>
  <sheetViews>
    <sheetView zoomScale="80" zoomScaleNormal="80" workbookViewId="0">
      <selection activeCell="H5" sqref="H5"/>
    </sheetView>
  </sheetViews>
  <sheetFormatPr defaultRowHeight="13.5" x14ac:dyDescent="0.25"/>
  <cols>
    <col min="1" max="1" width="3.7109375" customWidth="1"/>
    <col min="3" max="3" width="5.7109375" customWidth="1"/>
    <col min="4" max="4" width="11.7109375" customWidth="1"/>
    <col min="5" max="5" width="15.140625" customWidth="1"/>
    <col min="6" max="6" width="5.7109375" customWidth="1"/>
    <col min="7" max="7" width="11.7109375" customWidth="1"/>
    <col min="8" max="8" width="15.140625" customWidth="1"/>
    <col min="9" max="9" width="5.7109375" customWidth="1"/>
    <col min="10" max="10" width="11.7109375" customWidth="1"/>
    <col min="11" max="11" width="14.7109375" customWidth="1"/>
    <col min="12" max="12" width="5.7109375" customWidth="1"/>
    <col min="13" max="13" width="11.7109375" customWidth="1"/>
    <col min="14" max="14" width="14.7109375" customWidth="1"/>
    <col min="15" max="15" width="5.7109375" customWidth="1"/>
    <col min="16" max="16" width="11.7109375" customWidth="1"/>
    <col min="17" max="17" width="14.7109375" customWidth="1"/>
    <col min="18" max="18" width="5.7109375" customWidth="1"/>
    <col min="19" max="19" width="11.7109375" customWidth="1"/>
    <col min="20" max="20" width="14.7109375" customWidth="1"/>
    <col min="21" max="21" width="5.7109375" customWidth="1"/>
    <col min="22" max="22" width="11.7109375" customWidth="1"/>
    <col min="23" max="23" width="14.7109375" customWidth="1"/>
    <col min="24" max="24" width="5.7109375" customWidth="1"/>
    <col min="25" max="25" width="11.7109375" customWidth="1"/>
    <col min="26" max="26" width="14.7109375" customWidth="1"/>
    <col min="27" max="27" width="5.7109375" customWidth="1"/>
    <col min="28" max="28" width="11.7109375" customWidth="1"/>
    <col min="29" max="29" width="14.7109375" customWidth="1"/>
    <col min="30" max="30" width="5.7109375" customWidth="1"/>
    <col min="31" max="31" width="11.7109375" customWidth="1"/>
    <col min="32" max="32" width="14.7109375" customWidth="1"/>
    <col min="33" max="33" width="5.7109375" customWidth="1"/>
    <col min="34" max="34" width="11.7109375" customWidth="1"/>
    <col min="35" max="35" width="14.7109375" customWidth="1"/>
  </cols>
  <sheetData>
    <row r="2" spans="2:35" ht="21" thickBot="1" x14ac:dyDescent="0.3">
      <c r="B2" s="210" t="s">
        <v>273</v>
      </c>
      <c r="C2" s="211"/>
      <c r="D2" s="211"/>
      <c r="E2" s="211"/>
    </row>
    <row r="3" spans="2:35" x14ac:dyDescent="0.25">
      <c r="B3" s="401" t="s">
        <v>22</v>
      </c>
      <c r="C3" s="403" t="s">
        <v>1061</v>
      </c>
      <c r="D3" s="403"/>
      <c r="E3" s="403"/>
      <c r="F3" s="400" t="s">
        <v>179</v>
      </c>
      <c r="G3" s="400"/>
      <c r="H3" s="400"/>
      <c r="I3" s="398" t="s">
        <v>180</v>
      </c>
      <c r="J3" s="398"/>
      <c r="K3" s="398"/>
      <c r="L3" s="400" t="s">
        <v>181</v>
      </c>
      <c r="M3" s="400"/>
      <c r="N3" s="400"/>
      <c r="O3" s="398" t="s">
        <v>182</v>
      </c>
      <c r="P3" s="398"/>
      <c r="Q3" s="398"/>
      <c r="R3" s="400" t="s">
        <v>183</v>
      </c>
      <c r="S3" s="400"/>
      <c r="T3" s="400"/>
      <c r="U3" s="398" t="s">
        <v>184</v>
      </c>
      <c r="V3" s="398"/>
      <c r="W3" s="398"/>
      <c r="X3" s="400" t="s">
        <v>185</v>
      </c>
      <c r="Y3" s="400"/>
      <c r="Z3" s="400"/>
      <c r="AA3" s="398" t="s">
        <v>186</v>
      </c>
      <c r="AB3" s="398"/>
      <c r="AC3" s="398"/>
      <c r="AD3" s="400" t="s">
        <v>187</v>
      </c>
      <c r="AE3" s="400"/>
      <c r="AF3" s="400"/>
      <c r="AG3" s="398" t="s">
        <v>188</v>
      </c>
      <c r="AH3" s="398"/>
      <c r="AI3" s="399"/>
    </row>
    <row r="4" spans="2:35" x14ac:dyDescent="0.25">
      <c r="B4" s="402"/>
      <c r="C4" s="277" t="s">
        <v>58</v>
      </c>
      <c r="D4" s="277" t="s">
        <v>274</v>
      </c>
      <c r="E4" s="277" t="s">
        <v>275</v>
      </c>
      <c r="F4" s="218" t="s">
        <v>58</v>
      </c>
      <c r="G4" s="218" t="s">
        <v>274</v>
      </c>
      <c r="H4" s="218" t="s">
        <v>275</v>
      </c>
      <c r="I4" s="220" t="s">
        <v>58</v>
      </c>
      <c r="J4" s="220" t="s">
        <v>274</v>
      </c>
      <c r="K4" s="220" t="s">
        <v>275</v>
      </c>
      <c r="L4" s="218" t="s">
        <v>58</v>
      </c>
      <c r="M4" s="218" t="s">
        <v>274</v>
      </c>
      <c r="N4" s="218" t="s">
        <v>275</v>
      </c>
      <c r="O4" s="220" t="s">
        <v>58</v>
      </c>
      <c r="P4" s="220" t="s">
        <v>274</v>
      </c>
      <c r="Q4" s="220" t="s">
        <v>275</v>
      </c>
      <c r="R4" s="218" t="s">
        <v>58</v>
      </c>
      <c r="S4" s="218" t="s">
        <v>274</v>
      </c>
      <c r="T4" s="218" t="s">
        <v>275</v>
      </c>
      <c r="U4" s="220" t="s">
        <v>58</v>
      </c>
      <c r="V4" s="220" t="s">
        <v>274</v>
      </c>
      <c r="W4" s="220" t="s">
        <v>275</v>
      </c>
      <c r="X4" s="218" t="s">
        <v>58</v>
      </c>
      <c r="Y4" s="218" t="s">
        <v>274</v>
      </c>
      <c r="Z4" s="218" t="s">
        <v>275</v>
      </c>
      <c r="AA4" s="220" t="s">
        <v>58</v>
      </c>
      <c r="AB4" s="220" t="s">
        <v>274</v>
      </c>
      <c r="AC4" s="220" t="s">
        <v>275</v>
      </c>
      <c r="AD4" s="218" t="s">
        <v>58</v>
      </c>
      <c r="AE4" s="218" t="s">
        <v>274</v>
      </c>
      <c r="AF4" s="218" t="s">
        <v>275</v>
      </c>
      <c r="AG4" s="220" t="s">
        <v>58</v>
      </c>
      <c r="AH4" s="220" t="s">
        <v>274</v>
      </c>
      <c r="AI4" s="223" t="s">
        <v>275</v>
      </c>
    </row>
    <row r="5" spans="2:35" x14ac:dyDescent="0.25">
      <c r="B5" s="222">
        <v>1</v>
      </c>
      <c r="C5" s="278">
        <f ca="1">IF(
  SUM(
    IFERROR(VALUE(F5), 0),
    IFERROR(VALUE(I5), 0),
    IFERROR(VALUE(L5), 0),
    IFERROR(VALUE(O5), 0),
    IFERROR(VALUE(R5), 0),
    IFERROR(VALUE(U5), 0),
    IFERROR(VALUE(X5), 0),
    IFERROR(VALUE(AA5), 0),
    IFERROR(VALUE(AD5), 0),
    IFERROR(VALUE(AG5), 0)
  ) = 0,
  "",
  SUM(
    IFERROR(VALUE(F5), 0),
    IFERROR(VALUE(I5), 0),
    IFERROR(VALUE(L5), 0),
    IFERROR(VALUE(O5), 0),
    IFERROR(VALUE(R5), 0),
    IFERROR(VALUE(U5), 0),
    IFERROR(VALUE(X5), 0),
    IFERROR(VALUE(AA5), 0),
    IFERROR(VALUE(AD5), 0),
    IFERROR(VALUE(AG5), 0)
  )
)</f>
        <v>11</v>
      </c>
      <c r="D5" s="278">
        <f t="shared" ref="D5:E16" ca="1" si="0">IF(
  SUM(
    IFERROR(VALUE(G5), 0),
    IFERROR(VALUE(J5), 0),
    IFERROR(VALUE(M5), 0),
    IFERROR(VALUE(P5), 0),
    IFERROR(VALUE(S5), 0),
    IFERROR(VALUE(V5), 0),
    IFERROR(VALUE(Y5), 0),
    IFERROR(VALUE(AB5), 0),
    IFERROR(VALUE(AE5), 0),
    IFERROR(VALUE(AH5), 0)
  ) = 0,
  "",
  SUM(
    IFERROR(VALUE(G5), 0),
    IFERROR(VALUE(J5), 0),
    IFERROR(VALUE(M5), 0),
    IFERROR(VALUE(P5), 0),
    IFERROR(VALUE(S5), 0),
    IFERROR(VALUE(V5), 0),
    IFERROR(VALUE(Y5), 0),
    IFERROR(VALUE(AB5), 0),
    IFERROR(VALUE(AE5), 0),
    IFERROR(VALUE(AH5), 0)
  )
)</f>
        <v>3702.8250000000003</v>
      </c>
      <c r="E5" s="278">
        <f t="shared" ca="1" si="0"/>
        <v>3393300000</v>
      </c>
      <c r="F5" s="218">
        <f ca="1">IF(COUNTIF(INDIRECT("'"&amp;F$3&amp;"'!G:G"), $B5)=0, "", COUNTIF(INDIRECT("'"&amp;F$3&amp;"'!G:G"), $B5))</f>
        <v>10</v>
      </c>
      <c r="G5" s="218">
        <f ca="1">IF(SUMIF(INDIRECT("'"&amp;F$3&amp;"'!G:G"), $B5, INDIRECT("'"&amp;F$3&amp;"'!I:I"))=0, "", SUMIF(INDIRECT("'"&amp;F$3&amp;"'!G:G"), $B5, INDIRECT("'"&amp;F$3&amp;"'!I:I")))</f>
        <v>3554.3450000000003</v>
      </c>
      <c r="H5" s="219">
        <f ca="1">IF(SUMIF(INDIRECT("'"&amp;F$3&amp;"'!G:G"), $B5, INDIRECT("'"&amp;F$3&amp;"'!J:J"))=0, "", SUMIF(INDIRECT("'"&amp;F$3&amp;"'!G:G"), $B5, INDIRECT("'"&amp;F$3&amp;"'!J:J")))</f>
        <v>3393300000</v>
      </c>
      <c r="I5" s="220" t="str">
        <f ca="1">IF(COUNTIF(INDIRECT("'"&amp;I$3&amp;"'!G:G"), $B5)=0, "", COUNTIF(INDIRECT("'"&amp;I$3&amp;"'!G:G"), $B5))</f>
        <v/>
      </c>
      <c r="J5" s="220" t="str">
        <f ca="1">IF(SUMIF(INDIRECT("'"&amp;I$3&amp;"'!G:G"), $B5, INDIRECT("'"&amp;I$3&amp;"'!I:I"))=0, "", SUMIF(INDIRECT("'"&amp;I$3&amp;"'!G:G"), $B5, INDIRECT("'"&amp;I$3&amp;"'!I:I")))</f>
        <v/>
      </c>
      <c r="K5" s="221" t="str">
        <f ca="1">IF(SUMIF(INDIRECT("'"&amp;I$3&amp;"'!G:G"), $B5, INDIRECT("'"&amp;I$3&amp;"'!J:J"))=0, "", SUMIF(INDIRECT("'"&amp;I$3&amp;"'!G:G"), $B5, INDIRECT("'"&amp;I$3&amp;"'!J:J")))</f>
        <v/>
      </c>
      <c r="L5" s="218" t="str">
        <f ca="1">IF(COUNTIF(INDIRECT("'"&amp;L$3&amp;"'!G:G"), $B5)=0, "", COUNTIF(INDIRECT("'"&amp;L$3&amp;"'!G:G"), $B5))</f>
        <v/>
      </c>
      <c r="M5" s="218" t="str">
        <f ca="1">IF(SUMIF(INDIRECT("'"&amp;L$3&amp;"'!G:G"), $B5, INDIRECT("'"&amp;L$3&amp;"'!I:I"))=0, "", SUMIF(INDIRECT("'"&amp;L$3&amp;"'!G:G"), $B5, INDIRECT("'"&amp;L$3&amp;"'!I:I")))</f>
        <v/>
      </c>
      <c r="N5" s="219" t="str">
        <f ca="1">IF(SUMIF(INDIRECT("'"&amp;L$3&amp;"'!G:G"), $B5, INDIRECT("'"&amp;L$3&amp;"'!J:J"))=0, "", SUMIF(INDIRECT("'"&amp;L$3&amp;"'!G:G"), $B5, INDIRECT("'"&amp;L$3&amp;"'!J:J")))</f>
        <v/>
      </c>
      <c r="O5" s="220" t="str">
        <f ca="1">IF(COUNTIF(INDIRECT("'"&amp;O$3&amp;"'!G:G"), $B5)=0, "", COUNTIF(INDIRECT("'"&amp;O$3&amp;"'!G:G"), $B5))</f>
        <v/>
      </c>
      <c r="P5" s="220" t="str">
        <f ca="1">IF(SUMIF(INDIRECT("'"&amp;O$3&amp;"'!G:G"), $B5, INDIRECT("'"&amp;O$3&amp;"'!I:I"))=0, "", SUMIF(INDIRECT("'"&amp;O$3&amp;"'!G:G"), $B5, INDIRECT("'"&amp;O$3&amp;"'!I:I")))</f>
        <v/>
      </c>
      <c r="Q5" s="221" t="str">
        <f ca="1">IF(SUMIF(INDIRECT("'"&amp;O$3&amp;"'!G:G"), $B5, INDIRECT("'"&amp;O$3&amp;"'!J:J"))=0, "", SUMIF(INDIRECT("'"&amp;O$3&amp;"'!G:G"), $B5, INDIRECT("'"&amp;O$3&amp;"'!J:J")))</f>
        <v/>
      </c>
      <c r="R5" s="218">
        <f ca="1">IF(COUNTIF(INDIRECT("'"&amp;R$3&amp;"'!G:G"), $B5)=0, "", COUNTIF(INDIRECT("'"&amp;R$3&amp;"'!G:G"), $B5))</f>
        <v>1</v>
      </c>
      <c r="S5" s="218">
        <f ca="1">IF(SUMIF(INDIRECT("'"&amp;R$3&amp;"'!G:G"), $B5, INDIRECT("'"&amp;R$3&amp;"'!I:I"))=0, "", SUMIF(INDIRECT("'"&amp;R$3&amp;"'!G:G"), $B5, INDIRECT("'"&amp;R$3&amp;"'!I:I")))</f>
        <v>148.47999999999999</v>
      </c>
      <c r="T5" s="219" t="str">
        <f ca="1">IF(SUMIF(INDIRECT("'"&amp;R$3&amp;"'!G:G"), $B5, INDIRECT("'"&amp;R$3&amp;"'!J:J"))=0, "", SUMIF(INDIRECT("'"&amp;R$3&amp;"'!G:G"), $B5, INDIRECT("'"&amp;R$3&amp;"'!J:J")))</f>
        <v/>
      </c>
      <c r="U5" s="220" t="str">
        <f ca="1">IF(COUNTIF(INDIRECT("'"&amp;U$3&amp;"'!G:G"), $B5)=0, "", COUNTIF(INDIRECT("'"&amp;U$3&amp;"'!G:G"), $B5))</f>
        <v/>
      </c>
      <c r="V5" s="220" t="str">
        <f ca="1">IF(SUMIF(INDIRECT("'"&amp;U$3&amp;"'!G:G"), $B5, INDIRECT("'"&amp;U$3&amp;"'!I:I"))=0, "", SUMIF(INDIRECT("'"&amp;U$3&amp;"'!G:G"), $B5, INDIRECT("'"&amp;U$3&amp;"'!I:I")))</f>
        <v/>
      </c>
      <c r="W5" s="221" t="str">
        <f ca="1">IF(SUMIF(INDIRECT("'"&amp;U$3&amp;"'!G:G"), $B5, INDIRECT("'"&amp;U$3&amp;"'!J:J"))=0, "", SUMIF(INDIRECT("'"&amp;U$3&amp;"'!G:G"), $B5, INDIRECT("'"&amp;U$3&amp;"'!J:J")))</f>
        <v/>
      </c>
      <c r="X5" s="218" t="str">
        <f ca="1">IF(COUNTIF(INDIRECT("'"&amp;X$3&amp;"'!G:G"), $B5)=0, "", COUNTIF(INDIRECT("'"&amp;X$3&amp;"'!G:G"), $B5))</f>
        <v/>
      </c>
      <c r="Y5" s="218" t="str">
        <f ca="1">IF(SUMIF(INDIRECT("'"&amp;X$3&amp;"'!G:G"), $B5, INDIRECT("'"&amp;X$3&amp;"'!I:I"))=0, "", SUMIF(INDIRECT("'"&amp;X$3&amp;"'!G:G"), $B5, INDIRECT("'"&amp;X$3&amp;"'!I:I")))</f>
        <v/>
      </c>
      <c r="Z5" s="219" t="str">
        <f ca="1">IF(SUMIF(INDIRECT("'"&amp;X$3&amp;"'!G:G"), $B5, INDIRECT("'"&amp;X$3&amp;"'!J:J"))=0, "", SUMIF(INDIRECT("'"&amp;X$3&amp;"'!G:G"), $B5, INDIRECT("'"&amp;X$3&amp;"'!J:J")))</f>
        <v/>
      </c>
      <c r="AA5" s="220" t="str">
        <f ca="1">IF(COUNTIF(INDIRECT("'"&amp;AA$3&amp;"'!G:G"), $B5)=0, "", COUNTIF(INDIRECT("'"&amp;AA$3&amp;"'!G:G"), $B5))</f>
        <v/>
      </c>
      <c r="AB5" s="220" t="str">
        <f ca="1">IF(SUMIF(INDIRECT("'"&amp;AA$3&amp;"'!G:G"), $B5, INDIRECT("'"&amp;AA$3&amp;"'!I:I"))=0, "", SUMIF(INDIRECT("'"&amp;AA$3&amp;"'!G:G"), $B5, INDIRECT("'"&amp;AA$3&amp;"'!I:I")))</f>
        <v/>
      </c>
      <c r="AC5" s="221" t="str">
        <f ca="1">IF(SUMIF(INDIRECT("'"&amp;AA$3&amp;"'!G:G"), $B5, INDIRECT("'"&amp;AA$3&amp;"'!J:J"))=0, "", SUMIF(INDIRECT("'"&amp;AA$3&amp;"'!G:G"), $B5, INDIRECT("'"&amp;AA$3&amp;"'!J:J")))</f>
        <v/>
      </c>
      <c r="AD5" s="218" t="str">
        <f ca="1">IF(COUNTIF(INDIRECT("'"&amp;AD$3&amp;"'!G:G"), $B5)=0, "", COUNTIF(INDIRECT("'"&amp;AD$3&amp;"'!G:G"), $B5))</f>
        <v/>
      </c>
      <c r="AE5" s="218" t="str">
        <f ca="1">IF(SUMIF(INDIRECT("'"&amp;AD$3&amp;"'!G:G"), $B5, INDIRECT("'"&amp;AD$3&amp;"'!I:I"))=0, "", SUMIF(INDIRECT("'"&amp;AD$3&amp;"'!G:G"), $B5, INDIRECT("'"&amp;AD$3&amp;"'!I:I")))</f>
        <v/>
      </c>
      <c r="AF5" s="219" t="str">
        <f ca="1">IF(SUMIF(INDIRECT("'"&amp;AD$3&amp;"'!G:G"), $B5, INDIRECT("'"&amp;AD$3&amp;"'!J:J"))=0, "", SUMIF(INDIRECT("'"&amp;AD$3&amp;"'!G:G"), $B5, INDIRECT("'"&amp;AD$3&amp;"'!J:J")))</f>
        <v/>
      </c>
      <c r="AG5" s="220" t="str">
        <f ca="1">IF(COUNTIF(INDIRECT("'"&amp;AG$3&amp;"'!G:G"), $B5)=0, "", COUNTIF(INDIRECT("'"&amp;AG$3&amp;"'!G:G"), $B5))</f>
        <v/>
      </c>
      <c r="AH5" s="220" t="str">
        <f ca="1">IF(SUMIF(INDIRECT("'"&amp;AG$3&amp;"'!G:G"), $B5, INDIRECT("'"&amp;AG$3&amp;"'!I:I"))=0, "", SUMIF(INDIRECT("'"&amp;AG$3&amp;"'!G:G"), $B5, INDIRECT("'"&amp;AG$3&amp;"'!I:I")))</f>
        <v/>
      </c>
      <c r="AI5" s="224" t="str">
        <f ca="1">IF(SUMIF(INDIRECT("'"&amp;AG$3&amp;"'!G:G"), $B5, INDIRECT("'"&amp;AG$3&amp;"'!J:J"))=0, "", SUMIF(INDIRECT("'"&amp;AG$3&amp;"'!G:G"), $B5, INDIRECT("'"&amp;AG$3&amp;"'!J:J")))</f>
        <v/>
      </c>
    </row>
    <row r="6" spans="2:35" x14ac:dyDescent="0.25">
      <c r="B6" s="222">
        <v>2</v>
      </c>
      <c r="C6" s="278">
        <f t="shared" ref="C6:C16" ca="1" si="1">IF(
  SUM(
    IFERROR(VALUE(F6), 0),
    IFERROR(VALUE(I6), 0),
    IFERROR(VALUE(L6), 0),
    IFERROR(VALUE(O6), 0),
    IFERROR(VALUE(R6), 0),
    IFERROR(VALUE(U6), 0),
    IFERROR(VALUE(X6), 0),
    IFERROR(VALUE(AA6), 0),
    IFERROR(VALUE(AD6), 0),
    IFERROR(VALUE(AG6), 0)
  ) = 0,
  "",
  SUM(
    IFERROR(VALUE(F6), 0),
    IFERROR(VALUE(I6), 0),
    IFERROR(VALUE(L6), 0),
    IFERROR(VALUE(O6), 0),
    IFERROR(VALUE(R6), 0),
    IFERROR(VALUE(U6), 0),
    IFERROR(VALUE(X6), 0),
    IFERROR(VALUE(AA6), 0),
    IFERROR(VALUE(AD6), 0),
    IFERROR(VALUE(AG6), 0)
  )
)</f>
        <v>20</v>
      </c>
      <c r="D6" s="278">
        <f t="shared" ca="1" si="0"/>
        <v>11143.11</v>
      </c>
      <c r="E6" s="278">
        <f t="shared" ca="1" si="0"/>
        <v>9495400000</v>
      </c>
      <c r="F6" s="218">
        <f t="shared" ref="F6:F16" ca="1" si="2">IF(COUNTIF(INDIRECT("'"&amp;F$3&amp;"'!G:G"), $B6)=0, "", COUNTIF(INDIRECT("'"&amp;F$3&amp;"'!G:G"), $B6))</f>
        <v>17</v>
      </c>
      <c r="G6" s="218">
        <f t="shared" ref="G6:G16" ca="1" si="3">IF(SUMIF(INDIRECT("'"&amp;F$3&amp;"'!G:G"), $B6, INDIRECT("'"&amp;F$3&amp;"'!I:I"))=0, "", SUMIF(INDIRECT("'"&amp;F$3&amp;"'!G:G"), $B6, INDIRECT("'"&amp;F$3&amp;"'!I:I")))</f>
        <v>4719.6049999999996</v>
      </c>
      <c r="H6" s="219">
        <f t="shared" ref="H6:H16" ca="1" si="4">IF(SUMIF(INDIRECT("'"&amp;F$3&amp;"'!G:G"), $B6, INDIRECT("'"&amp;F$3&amp;"'!J:J"))=0, "", SUMIF(INDIRECT("'"&amp;F$3&amp;"'!G:G"), $B6, INDIRECT("'"&amp;F$3&amp;"'!J:J")))</f>
        <v>5480400000</v>
      </c>
      <c r="I6" s="220">
        <f t="shared" ref="I6:I16" ca="1" si="5">IF(COUNTIF(INDIRECT("'"&amp;I$3&amp;"'!G:G"), $B6)=0, "", COUNTIF(INDIRECT("'"&amp;I$3&amp;"'!G:G"), $B6))</f>
        <v>1</v>
      </c>
      <c r="J6" s="220">
        <f t="shared" ref="J6:J16" ca="1" si="6">IF(SUMIF(INDIRECT("'"&amp;I$3&amp;"'!G:G"), $B6, INDIRECT("'"&amp;I$3&amp;"'!I:I"))=0, "", SUMIF(INDIRECT("'"&amp;I$3&amp;"'!G:G"), $B6, INDIRECT("'"&amp;I$3&amp;"'!I:I")))</f>
        <v>499.59</v>
      </c>
      <c r="K6" s="221">
        <f t="shared" ref="K6:K16" ca="1" si="7">IF(SUMIF(INDIRECT("'"&amp;I$3&amp;"'!G:G"), $B6, INDIRECT("'"&amp;I$3&amp;"'!J:J"))=0, "", SUMIF(INDIRECT("'"&amp;I$3&amp;"'!G:G"), $B6, INDIRECT("'"&amp;I$3&amp;"'!J:J")))</f>
        <v>430000000</v>
      </c>
      <c r="L6" s="218">
        <f t="shared" ref="L6:L16" ca="1" si="8">IF(COUNTIF(INDIRECT("'"&amp;L$3&amp;"'!G:G"), $B6)=0, "", COUNTIF(INDIRECT("'"&amp;L$3&amp;"'!G:G"), $B6))</f>
        <v>2</v>
      </c>
      <c r="M6" s="218">
        <f t="shared" ref="M6:M16" ca="1" si="9">IF(SUMIF(INDIRECT("'"&amp;L$3&amp;"'!G:G"), $B6, INDIRECT("'"&amp;L$3&amp;"'!I:I"))=0, "", SUMIF(INDIRECT("'"&amp;L$3&amp;"'!G:G"), $B6, INDIRECT("'"&amp;L$3&amp;"'!I:I")))</f>
        <v>5923.915</v>
      </c>
      <c r="N6" s="219">
        <f t="shared" ref="N6:N16" ca="1" si="10">IF(SUMIF(INDIRECT("'"&amp;L$3&amp;"'!G:G"), $B6, INDIRECT("'"&amp;L$3&amp;"'!J:J"))=0, "", SUMIF(INDIRECT("'"&amp;L$3&amp;"'!G:G"), $B6, INDIRECT("'"&amp;L$3&amp;"'!J:J")))</f>
        <v>3585000000</v>
      </c>
      <c r="O6" s="220" t="str">
        <f t="shared" ref="O6:O16" ca="1" si="11">IF(COUNTIF(INDIRECT("'"&amp;O$3&amp;"'!G:G"), $B6)=0, "", COUNTIF(INDIRECT("'"&amp;O$3&amp;"'!G:G"), $B6))</f>
        <v/>
      </c>
      <c r="P6" s="220" t="str">
        <f t="shared" ref="P6:P16" ca="1" si="12">IF(SUMIF(INDIRECT("'"&amp;O$3&amp;"'!G:G"), $B6, INDIRECT("'"&amp;O$3&amp;"'!I:I"))=0, "", SUMIF(INDIRECT("'"&amp;O$3&amp;"'!G:G"), $B6, INDIRECT("'"&amp;O$3&amp;"'!I:I")))</f>
        <v/>
      </c>
      <c r="Q6" s="221" t="str">
        <f t="shared" ref="Q6:Q16" ca="1" si="13">IF(SUMIF(INDIRECT("'"&amp;O$3&amp;"'!G:G"), $B6, INDIRECT("'"&amp;O$3&amp;"'!J:J"))=0, "", SUMIF(INDIRECT("'"&amp;O$3&amp;"'!G:G"), $B6, INDIRECT("'"&amp;O$3&amp;"'!J:J")))</f>
        <v/>
      </c>
      <c r="R6" s="218" t="str">
        <f t="shared" ref="R6:R16" ca="1" si="14">IF(COUNTIF(INDIRECT("'"&amp;R$3&amp;"'!G:G"), $B6)=0, "", COUNTIF(INDIRECT("'"&amp;R$3&amp;"'!G:G"), $B6))</f>
        <v/>
      </c>
      <c r="S6" s="218" t="str">
        <f t="shared" ref="S6:S16" ca="1" si="15">IF(SUMIF(INDIRECT("'"&amp;R$3&amp;"'!G:G"), $B6, INDIRECT("'"&amp;R$3&amp;"'!I:I"))=0, "", SUMIF(INDIRECT("'"&amp;R$3&amp;"'!G:G"), $B6, INDIRECT("'"&amp;R$3&amp;"'!I:I")))</f>
        <v/>
      </c>
      <c r="T6" s="219" t="str">
        <f t="shared" ref="T6:T16" ca="1" si="16">IF(SUMIF(INDIRECT("'"&amp;R$3&amp;"'!G:G"), $B6, INDIRECT("'"&amp;R$3&amp;"'!J:J"))=0, "", SUMIF(INDIRECT("'"&amp;R$3&amp;"'!G:G"), $B6, INDIRECT("'"&amp;R$3&amp;"'!J:J")))</f>
        <v/>
      </c>
      <c r="U6" s="220" t="str">
        <f t="shared" ref="U6:U16" ca="1" si="17">IF(COUNTIF(INDIRECT("'"&amp;U$3&amp;"'!G:G"), $B6)=0, "", COUNTIF(INDIRECT("'"&amp;U$3&amp;"'!G:G"), $B6))</f>
        <v/>
      </c>
      <c r="V6" s="220" t="str">
        <f t="shared" ref="V6:V16" ca="1" si="18">IF(SUMIF(INDIRECT("'"&amp;U$3&amp;"'!G:G"), $B6, INDIRECT("'"&amp;U$3&amp;"'!I:I"))=0, "", SUMIF(INDIRECT("'"&amp;U$3&amp;"'!G:G"), $B6, INDIRECT("'"&amp;U$3&amp;"'!I:I")))</f>
        <v/>
      </c>
      <c r="W6" s="221" t="str">
        <f t="shared" ref="W6:W16" ca="1" si="19">IF(SUMIF(INDIRECT("'"&amp;U$3&amp;"'!G:G"), $B6, INDIRECT("'"&amp;U$3&amp;"'!J:J"))=0, "", SUMIF(INDIRECT("'"&amp;U$3&amp;"'!G:G"), $B6, INDIRECT("'"&amp;U$3&amp;"'!J:J")))</f>
        <v/>
      </c>
      <c r="X6" s="218" t="str">
        <f t="shared" ref="X6:X16" ca="1" si="20">IF(COUNTIF(INDIRECT("'"&amp;X$3&amp;"'!G:G"), $B6)=0, "", COUNTIF(INDIRECT("'"&amp;X$3&amp;"'!G:G"), $B6))</f>
        <v/>
      </c>
      <c r="Y6" s="218" t="str">
        <f t="shared" ref="Y6:Y16" ca="1" si="21">IF(SUMIF(INDIRECT("'"&amp;X$3&amp;"'!G:G"), $B6, INDIRECT("'"&amp;X$3&amp;"'!I:I"))=0, "", SUMIF(INDIRECT("'"&amp;X$3&amp;"'!G:G"), $B6, INDIRECT("'"&amp;X$3&amp;"'!I:I")))</f>
        <v/>
      </c>
      <c r="Z6" s="219" t="str">
        <f t="shared" ref="Z6:Z16" ca="1" si="22">IF(SUMIF(INDIRECT("'"&amp;X$3&amp;"'!G:G"), $B6, INDIRECT("'"&amp;X$3&amp;"'!J:J"))=0, "", SUMIF(INDIRECT("'"&amp;X$3&amp;"'!G:G"), $B6, INDIRECT("'"&amp;X$3&amp;"'!J:J")))</f>
        <v/>
      </c>
      <c r="AA6" s="220" t="str">
        <f t="shared" ref="AA6:AA16" ca="1" si="23">IF(COUNTIF(INDIRECT("'"&amp;AA$3&amp;"'!G:G"), $B6)=0, "", COUNTIF(INDIRECT("'"&amp;AA$3&amp;"'!G:G"), $B6))</f>
        <v/>
      </c>
      <c r="AB6" s="220" t="str">
        <f t="shared" ref="AB6:AB16" ca="1" si="24">IF(SUMIF(INDIRECT("'"&amp;AA$3&amp;"'!G:G"), $B6, INDIRECT("'"&amp;AA$3&amp;"'!I:I"))=0, "", SUMIF(INDIRECT("'"&amp;AA$3&amp;"'!G:G"), $B6, INDIRECT("'"&amp;AA$3&amp;"'!I:I")))</f>
        <v/>
      </c>
      <c r="AC6" s="221" t="str">
        <f t="shared" ref="AC6:AC16" ca="1" si="25">IF(SUMIF(INDIRECT("'"&amp;AA$3&amp;"'!G:G"), $B6, INDIRECT("'"&amp;AA$3&amp;"'!J:J"))=0, "", SUMIF(INDIRECT("'"&amp;AA$3&amp;"'!G:G"), $B6, INDIRECT("'"&amp;AA$3&amp;"'!J:J")))</f>
        <v/>
      </c>
      <c r="AD6" s="218" t="str">
        <f t="shared" ref="AD6:AD16" ca="1" si="26">IF(COUNTIF(INDIRECT("'"&amp;AD$3&amp;"'!G:G"), $B6)=0, "", COUNTIF(INDIRECT("'"&amp;AD$3&amp;"'!G:G"), $B6))</f>
        <v/>
      </c>
      <c r="AE6" s="218" t="str">
        <f t="shared" ref="AE6:AE16" ca="1" si="27">IF(SUMIF(INDIRECT("'"&amp;AD$3&amp;"'!G:G"), $B6, INDIRECT("'"&amp;AD$3&amp;"'!I:I"))=0, "", SUMIF(INDIRECT("'"&amp;AD$3&amp;"'!G:G"), $B6, INDIRECT("'"&amp;AD$3&amp;"'!I:I")))</f>
        <v/>
      </c>
      <c r="AF6" s="219" t="str">
        <f t="shared" ref="AF6:AF16" ca="1" si="28">IF(SUMIF(INDIRECT("'"&amp;AD$3&amp;"'!G:G"), $B6, INDIRECT("'"&amp;AD$3&amp;"'!J:J"))=0, "", SUMIF(INDIRECT("'"&amp;AD$3&amp;"'!G:G"), $B6, INDIRECT("'"&amp;AD$3&amp;"'!J:J")))</f>
        <v/>
      </c>
      <c r="AG6" s="220" t="str">
        <f t="shared" ref="AG6:AG16" ca="1" si="29">IF(COUNTIF(INDIRECT("'"&amp;AG$3&amp;"'!G:G"), $B6)=0, "", COUNTIF(INDIRECT("'"&amp;AG$3&amp;"'!G:G"), $B6))</f>
        <v/>
      </c>
      <c r="AH6" s="220" t="str">
        <f t="shared" ref="AH6:AH16" ca="1" si="30">IF(SUMIF(INDIRECT("'"&amp;AG$3&amp;"'!G:G"), $B6, INDIRECT("'"&amp;AG$3&amp;"'!I:I"))=0, "", SUMIF(INDIRECT("'"&amp;AG$3&amp;"'!G:G"), $B6, INDIRECT("'"&amp;AG$3&amp;"'!I:I")))</f>
        <v/>
      </c>
      <c r="AI6" s="224" t="str">
        <f t="shared" ref="AI6:AI16" ca="1" si="31">IF(SUMIF(INDIRECT("'"&amp;AG$3&amp;"'!G:G"), $B6, INDIRECT("'"&amp;AG$3&amp;"'!J:J"))=0, "", SUMIF(INDIRECT("'"&amp;AG$3&amp;"'!G:G"), $B6, INDIRECT("'"&amp;AG$3&amp;"'!J:J")))</f>
        <v/>
      </c>
    </row>
    <row r="7" spans="2:35" x14ac:dyDescent="0.25">
      <c r="B7" s="222">
        <v>3</v>
      </c>
      <c r="C7" s="278">
        <f t="shared" ca="1" si="1"/>
        <v>14</v>
      </c>
      <c r="D7" s="278">
        <f t="shared" ca="1" si="0"/>
        <v>3419.3749999999995</v>
      </c>
      <c r="E7" s="278">
        <f t="shared" ca="1" si="0"/>
        <v>2876720000</v>
      </c>
      <c r="F7" s="218">
        <f t="shared" ca="1" si="2"/>
        <v>12</v>
      </c>
      <c r="G7" s="218">
        <f t="shared" ca="1" si="3"/>
        <v>3158.8949999999995</v>
      </c>
      <c r="H7" s="219">
        <f t="shared" ca="1" si="4"/>
        <v>2876720000</v>
      </c>
      <c r="I7" s="220" t="str">
        <f t="shared" ca="1" si="5"/>
        <v/>
      </c>
      <c r="J7" s="220" t="str">
        <f t="shared" ca="1" si="6"/>
        <v/>
      </c>
      <c r="K7" s="221" t="str">
        <f t="shared" ca="1" si="7"/>
        <v/>
      </c>
      <c r="L7" s="218" t="str">
        <f t="shared" ca="1" si="8"/>
        <v/>
      </c>
      <c r="M7" s="218" t="str">
        <f t="shared" ca="1" si="9"/>
        <v/>
      </c>
      <c r="N7" s="219" t="str">
        <f t="shared" ca="1" si="10"/>
        <v/>
      </c>
      <c r="O7" s="220" t="str">
        <f t="shared" ca="1" si="11"/>
        <v/>
      </c>
      <c r="P7" s="220" t="str">
        <f t="shared" ca="1" si="12"/>
        <v/>
      </c>
      <c r="Q7" s="221" t="str">
        <f t="shared" ca="1" si="13"/>
        <v/>
      </c>
      <c r="R7" s="218">
        <f t="shared" ca="1" si="14"/>
        <v>2</v>
      </c>
      <c r="S7" s="218">
        <f t="shared" ca="1" si="15"/>
        <v>260.48</v>
      </c>
      <c r="T7" s="219" t="str">
        <f t="shared" ca="1" si="16"/>
        <v/>
      </c>
      <c r="U7" s="220" t="str">
        <f t="shared" ca="1" si="17"/>
        <v/>
      </c>
      <c r="V7" s="220" t="str">
        <f t="shared" ca="1" si="18"/>
        <v/>
      </c>
      <c r="W7" s="221" t="str">
        <f t="shared" ca="1" si="19"/>
        <v/>
      </c>
      <c r="X7" s="218" t="str">
        <f t="shared" ca="1" si="20"/>
        <v/>
      </c>
      <c r="Y7" s="218" t="str">
        <f t="shared" ca="1" si="21"/>
        <v/>
      </c>
      <c r="Z7" s="219" t="str">
        <f t="shared" ca="1" si="22"/>
        <v/>
      </c>
      <c r="AA7" s="220" t="str">
        <f t="shared" ca="1" si="23"/>
        <v/>
      </c>
      <c r="AB7" s="220" t="str">
        <f t="shared" ca="1" si="24"/>
        <v/>
      </c>
      <c r="AC7" s="221" t="str">
        <f t="shared" ca="1" si="25"/>
        <v/>
      </c>
      <c r="AD7" s="218" t="str">
        <f t="shared" ca="1" si="26"/>
        <v/>
      </c>
      <c r="AE7" s="218" t="str">
        <f t="shared" ca="1" si="27"/>
        <v/>
      </c>
      <c r="AF7" s="219" t="str">
        <f t="shared" ca="1" si="28"/>
        <v/>
      </c>
      <c r="AG7" s="220" t="str">
        <f t="shared" ca="1" si="29"/>
        <v/>
      </c>
      <c r="AH7" s="220" t="str">
        <f t="shared" ca="1" si="30"/>
        <v/>
      </c>
      <c r="AI7" s="224" t="str">
        <f t="shared" ca="1" si="31"/>
        <v/>
      </c>
    </row>
    <row r="8" spans="2:35" x14ac:dyDescent="0.25">
      <c r="B8" s="222">
        <v>4</v>
      </c>
      <c r="C8" s="278">
        <f t="shared" ca="1" si="1"/>
        <v>21</v>
      </c>
      <c r="D8" s="278">
        <f t="shared" ca="1" si="0"/>
        <v>5203.2549999999992</v>
      </c>
      <c r="E8" s="278">
        <f t="shared" ca="1" si="0"/>
        <v>4858400000</v>
      </c>
      <c r="F8" s="218">
        <f t="shared" ca="1" si="2"/>
        <v>19</v>
      </c>
      <c r="G8" s="218">
        <f t="shared" ca="1" si="3"/>
        <v>4804.5599999999995</v>
      </c>
      <c r="H8" s="219">
        <f t="shared" ca="1" si="4"/>
        <v>4858400000</v>
      </c>
      <c r="I8" s="220" t="str">
        <f t="shared" ca="1" si="5"/>
        <v/>
      </c>
      <c r="J8" s="220" t="str">
        <f t="shared" ca="1" si="6"/>
        <v/>
      </c>
      <c r="K8" s="221" t="str">
        <f t="shared" ca="1" si="7"/>
        <v/>
      </c>
      <c r="L8" s="218" t="str">
        <f t="shared" ca="1" si="8"/>
        <v/>
      </c>
      <c r="M8" s="218" t="str">
        <f t="shared" ca="1" si="9"/>
        <v/>
      </c>
      <c r="N8" s="219" t="str">
        <f t="shared" ca="1" si="10"/>
        <v/>
      </c>
      <c r="O8" s="220" t="str">
        <f t="shared" ca="1" si="11"/>
        <v/>
      </c>
      <c r="P8" s="220" t="str">
        <f t="shared" ca="1" si="12"/>
        <v/>
      </c>
      <c r="Q8" s="221" t="str">
        <f t="shared" ca="1" si="13"/>
        <v/>
      </c>
      <c r="R8" s="218">
        <f t="shared" ca="1" si="14"/>
        <v>2</v>
      </c>
      <c r="S8" s="218">
        <f t="shared" ca="1" si="15"/>
        <v>398.69500000000005</v>
      </c>
      <c r="T8" s="219" t="str">
        <f t="shared" ca="1" si="16"/>
        <v/>
      </c>
      <c r="U8" s="220" t="str">
        <f t="shared" ca="1" si="17"/>
        <v/>
      </c>
      <c r="V8" s="220" t="str">
        <f t="shared" ca="1" si="18"/>
        <v/>
      </c>
      <c r="W8" s="221" t="str">
        <f t="shared" ca="1" si="19"/>
        <v/>
      </c>
      <c r="X8" s="218" t="str">
        <f t="shared" ca="1" si="20"/>
        <v/>
      </c>
      <c r="Y8" s="218" t="str">
        <f t="shared" ca="1" si="21"/>
        <v/>
      </c>
      <c r="Z8" s="219" t="str">
        <f t="shared" ca="1" si="22"/>
        <v/>
      </c>
      <c r="AA8" s="220" t="str">
        <f t="shared" ca="1" si="23"/>
        <v/>
      </c>
      <c r="AB8" s="220" t="str">
        <f t="shared" ca="1" si="24"/>
        <v/>
      </c>
      <c r="AC8" s="221" t="str">
        <f t="shared" ca="1" si="25"/>
        <v/>
      </c>
      <c r="AD8" s="218" t="str">
        <f t="shared" ca="1" si="26"/>
        <v/>
      </c>
      <c r="AE8" s="218" t="str">
        <f t="shared" ca="1" si="27"/>
        <v/>
      </c>
      <c r="AF8" s="219" t="str">
        <f t="shared" ca="1" si="28"/>
        <v/>
      </c>
      <c r="AG8" s="220" t="str">
        <f t="shared" ca="1" si="29"/>
        <v/>
      </c>
      <c r="AH8" s="220" t="str">
        <f t="shared" ca="1" si="30"/>
        <v/>
      </c>
      <c r="AI8" s="224" t="str">
        <f t="shared" ca="1" si="31"/>
        <v/>
      </c>
    </row>
    <row r="9" spans="2:35" x14ac:dyDescent="0.25">
      <c r="B9" s="222">
        <v>5</v>
      </c>
      <c r="C9" s="278">
        <f t="shared" ca="1" si="1"/>
        <v>26</v>
      </c>
      <c r="D9" s="278">
        <f t="shared" ca="1" si="0"/>
        <v>9065.9399999999987</v>
      </c>
      <c r="E9" s="278">
        <f t="shared" ca="1" si="0"/>
        <v>8863900000</v>
      </c>
      <c r="F9" s="218">
        <f t="shared" ca="1" si="2"/>
        <v>20</v>
      </c>
      <c r="G9" s="218">
        <f t="shared" ca="1" si="3"/>
        <v>6113.92</v>
      </c>
      <c r="H9" s="219">
        <f t="shared" ca="1" si="4"/>
        <v>5971300000</v>
      </c>
      <c r="I9" s="220">
        <f t="shared" ca="1" si="5"/>
        <v>2</v>
      </c>
      <c r="J9" s="220">
        <f t="shared" ca="1" si="6"/>
        <v>2258.9</v>
      </c>
      <c r="K9" s="221">
        <f t="shared" ca="1" si="7"/>
        <v>2892600000</v>
      </c>
      <c r="L9" s="218" t="str">
        <f t="shared" ca="1" si="8"/>
        <v/>
      </c>
      <c r="M9" s="218" t="str">
        <f t="shared" ca="1" si="9"/>
        <v/>
      </c>
      <c r="N9" s="219" t="str">
        <f t="shared" ca="1" si="10"/>
        <v/>
      </c>
      <c r="O9" s="220" t="str">
        <f t="shared" ca="1" si="11"/>
        <v/>
      </c>
      <c r="P9" s="220" t="str">
        <f t="shared" ca="1" si="12"/>
        <v/>
      </c>
      <c r="Q9" s="221" t="str">
        <f t="shared" ca="1" si="13"/>
        <v/>
      </c>
      <c r="R9" s="218">
        <f t="shared" ca="1" si="14"/>
        <v>4</v>
      </c>
      <c r="S9" s="218">
        <f t="shared" ca="1" si="15"/>
        <v>693.11999999999989</v>
      </c>
      <c r="T9" s="219" t="str">
        <f t="shared" ca="1" si="16"/>
        <v/>
      </c>
      <c r="U9" s="220" t="str">
        <f t="shared" ca="1" si="17"/>
        <v/>
      </c>
      <c r="V9" s="220" t="str">
        <f t="shared" ca="1" si="18"/>
        <v/>
      </c>
      <c r="W9" s="221" t="str">
        <f t="shared" ca="1" si="19"/>
        <v/>
      </c>
      <c r="X9" s="218" t="str">
        <f t="shared" ca="1" si="20"/>
        <v/>
      </c>
      <c r="Y9" s="218" t="str">
        <f t="shared" ca="1" si="21"/>
        <v/>
      </c>
      <c r="Z9" s="219" t="str">
        <f t="shared" ca="1" si="22"/>
        <v/>
      </c>
      <c r="AA9" s="220" t="str">
        <f t="shared" ca="1" si="23"/>
        <v/>
      </c>
      <c r="AB9" s="220" t="str">
        <f t="shared" ca="1" si="24"/>
        <v/>
      </c>
      <c r="AC9" s="221" t="str">
        <f t="shared" ca="1" si="25"/>
        <v/>
      </c>
      <c r="AD9" s="218" t="str">
        <f t="shared" ca="1" si="26"/>
        <v/>
      </c>
      <c r="AE9" s="218" t="str">
        <f t="shared" ca="1" si="27"/>
        <v/>
      </c>
      <c r="AF9" s="219" t="str">
        <f t="shared" ca="1" si="28"/>
        <v/>
      </c>
      <c r="AG9" s="220" t="str">
        <f t="shared" ca="1" si="29"/>
        <v/>
      </c>
      <c r="AH9" s="220" t="str">
        <f t="shared" ca="1" si="30"/>
        <v/>
      </c>
      <c r="AI9" s="224" t="str">
        <f t="shared" ca="1" si="31"/>
        <v/>
      </c>
    </row>
    <row r="10" spans="2:35" x14ac:dyDescent="0.25">
      <c r="B10" s="222">
        <v>6</v>
      </c>
      <c r="C10" s="278">
        <f t="shared" ca="1" si="1"/>
        <v>27</v>
      </c>
      <c r="D10" s="278">
        <f t="shared" ca="1" si="0"/>
        <v>10065.52</v>
      </c>
      <c r="E10" s="278">
        <f t="shared" ca="1" si="0"/>
        <v>5609209090.909091</v>
      </c>
      <c r="F10" s="218">
        <f t="shared" ca="1" si="2"/>
        <v>14</v>
      </c>
      <c r="G10" s="218">
        <f t="shared" ca="1" si="3"/>
        <v>3891.8399999999997</v>
      </c>
      <c r="H10" s="219">
        <f t="shared" ca="1" si="4"/>
        <v>3284000000</v>
      </c>
      <c r="I10" s="220">
        <f t="shared" ca="1" si="5"/>
        <v>2</v>
      </c>
      <c r="J10" s="220">
        <f t="shared" ca="1" si="6"/>
        <v>2529.64</v>
      </c>
      <c r="K10" s="221">
        <f t="shared" ca="1" si="7"/>
        <v>2219000000</v>
      </c>
      <c r="L10" s="218" t="str">
        <f t="shared" ca="1" si="8"/>
        <v/>
      </c>
      <c r="M10" s="218" t="str">
        <f t="shared" ca="1" si="9"/>
        <v/>
      </c>
      <c r="N10" s="219" t="str">
        <f t="shared" ca="1" si="10"/>
        <v/>
      </c>
      <c r="O10" s="220" t="str">
        <f t="shared" ca="1" si="11"/>
        <v/>
      </c>
      <c r="P10" s="220" t="str">
        <f t="shared" ca="1" si="12"/>
        <v/>
      </c>
      <c r="Q10" s="221" t="str">
        <f t="shared" ca="1" si="13"/>
        <v/>
      </c>
      <c r="R10" s="218">
        <f t="shared" ca="1" si="14"/>
        <v>10</v>
      </c>
      <c r="S10" s="218">
        <f t="shared" ca="1" si="15"/>
        <v>3575.04</v>
      </c>
      <c r="T10" s="219" t="str">
        <f t="shared" ca="1" si="16"/>
        <v/>
      </c>
      <c r="U10" s="220" t="str">
        <f t="shared" ca="1" si="17"/>
        <v/>
      </c>
      <c r="V10" s="220" t="str">
        <f t="shared" ca="1" si="18"/>
        <v/>
      </c>
      <c r="W10" s="221" t="str">
        <f t="shared" ca="1" si="19"/>
        <v/>
      </c>
      <c r="X10" s="218" t="str">
        <f t="shared" ca="1" si="20"/>
        <v/>
      </c>
      <c r="Y10" s="218" t="str">
        <f t="shared" ca="1" si="21"/>
        <v/>
      </c>
      <c r="Z10" s="219" t="str">
        <f t="shared" ca="1" si="22"/>
        <v/>
      </c>
      <c r="AA10" s="220">
        <f t="shared" ca="1" si="23"/>
        <v>1</v>
      </c>
      <c r="AB10" s="220">
        <f t="shared" ca="1" si="24"/>
        <v>69</v>
      </c>
      <c r="AC10" s="221">
        <f t="shared" ca="1" si="25"/>
        <v>106209090.90909091</v>
      </c>
      <c r="AD10" s="218" t="str">
        <f t="shared" ca="1" si="26"/>
        <v/>
      </c>
      <c r="AE10" s="218" t="str">
        <f t="shared" ca="1" si="27"/>
        <v/>
      </c>
      <c r="AF10" s="219" t="str">
        <f t="shared" ca="1" si="28"/>
        <v/>
      </c>
      <c r="AG10" s="220" t="str">
        <f t="shared" ca="1" si="29"/>
        <v/>
      </c>
      <c r="AH10" s="220" t="str">
        <f t="shared" ca="1" si="30"/>
        <v/>
      </c>
      <c r="AI10" s="224" t="str">
        <f t="shared" ca="1" si="31"/>
        <v/>
      </c>
    </row>
    <row r="11" spans="2:35" x14ac:dyDescent="0.25">
      <c r="B11" s="222">
        <v>7</v>
      </c>
      <c r="C11" s="278">
        <f t="shared" ca="1" si="1"/>
        <v>26</v>
      </c>
      <c r="D11" s="278">
        <f t="shared" ca="1" si="0"/>
        <v>6499.84</v>
      </c>
      <c r="E11" s="278">
        <f t="shared" ca="1" si="0"/>
        <v>4112000000</v>
      </c>
      <c r="F11" s="218">
        <f t="shared" ca="1" si="2"/>
        <v>17</v>
      </c>
      <c r="G11" s="218">
        <f ca="1">IF(SUMIF(INDIRECT("'"&amp;F$3&amp;"'!G:G"), $B11, INDIRECT("'"&amp;F$3&amp;"'!I:I"))=0, "", SUMIF(INDIRECT("'"&amp;F$3&amp;"'!G:G"), $B11, INDIRECT("'"&amp;F$3&amp;"'!I:I")))</f>
        <v>4789.12</v>
      </c>
      <c r="H11" s="219">
        <f t="shared" ca="1" si="4"/>
        <v>4112000000</v>
      </c>
      <c r="I11" s="220" t="str">
        <f t="shared" ca="1" si="5"/>
        <v/>
      </c>
      <c r="J11" s="220" t="str">
        <f ca="1">IF(SUMIF(INDIRECT("'"&amp;I$3&amp;"'!G:G"), $B11, INDIRECT("'"&amp;I$3&amp;"'!I:I"))=0, "", SUMIF(INDIRECT("'"&amp;I$3&amp;"'!G:G"), $B11, INDIRECT("'"&amp;I$3&amp;"'!I:I")))</f>
        <v/>
      </c>
      <c r="K11" s="221" t="str">
        <f t="shared" ca="1" si="7"/>
        <v/>
      </c>
      <c r="L11" s="218" t="str">
        <f t="shared" ca="1" si="8"/>
        <v/>
      </c>
      <c r="M11" s="218" t="str">
        <f t="shared" ca="1" si="9"/>
        <v/>
      </c>
      <c r="N11" s="219" t="str">
        <f t="shared" ca="1" si="10"/>
        <v/>
      </c>
      <c r="O11" s="220" t="str">
        <f t="shared" ca="1" si="11"/>
        <v/>
      </c>
      <c r="P11" s="220" t="str">
        <f t="shared" ca="1" si="12"/>
        <v/>
      </c>
      <c r="Q11" s="221" t="str">
        <f t="shared" ca="1" si="13"/>
        <v/>
      </c>
      <c r="R11" s="218">
        <f t="shared" ca="1" si="14"/>
        <v>9</v>
      </c>
      <c r="S11" s="218">
        <f t="shared" ca="1" si="15"/>
        <v>1710.7199999999998</v>
      </c>
      <c r="T11" s="219" t="str">
        <f t="shared" ca="1" si="16"/>
        <v/>
      </c>
      <c r="U11" s="220" t="str">
        <f t="shared" ca="1" si="17"/>
        <v/>
      </c>
      <c r="V11" s="220" t="str">
        <f t="shared" ca="1" si="18"/>
        <v/>
      </c>
      <c r="W11" s="221" t="str">
        <f t="shared" ca="1" si="19"/>
        <v/>
      </c>
      <c r="X11" s="218" t="str">
        <f t="shared" ca="1" si="20"/>
        <v/>
      </c>
      <c r="Y11" s="218" t="str">
        <f t="shared" ca="1" si="21"/>
        <v/>
      </c>
      <c r="Z11" s="219" t="str">
        <f t="shared" ca="1" si="22"/>
        <v/>
      </c>
      <c r="AA11" s="220" t="str">
        <f t="shared" ca="1" si="23"/>
        <v/>
      </c>
      <c r="AB11" s="220" t="str">
        <f t="shared" ca="1" si="24"/>
        <v/>
      </c>
      <c r="AC11" s="221" t="str">
        <f t="shared" ca="1" si="25"/>
        <v/>
      </c>
      <c r="AD11" s="218" t="str">
        <f t="shared" ca="1" si="26"/>
        <v/>
      </c>
      <c r="AE11" s="218" t="str">
        <f ca="1">IF(SUMIF(INDIRECT("'"&amp;AD$3&amp;"'!G:G"), $B11, INDIRECT("'"&amp;AD$3&amp;"'!I:I"))=0, "", SUMIF(INDIRECT("'"&amp;AD$3&amp;"'!G:G"), $B11, INDIRECT("'"&amp;AD$3&amp;"'!I:I")))</f>
        <v/>
      </c>
      <c r="AF11" s="219" t="str">
        <f t="shared" ca="1" si="28"/>
        <v/>
      </c>
      <c r="AG11" s="220" t="str">
        <f t="shared" ca="1" si="29"/>
        <v/>
      </c>
      <c r="AH11" s="220" t="str">
        <f t="shared" ca="1" si="30"/>
        <v/>
      </c>
      <c r="AI11" s="224" t="str">
        <f t="shared" ca="1" si="31"/>
        <v/>
      </c>
    </row>
    <row r="12" spans="2:35" x14ac:dyDescent="0.25">
      <c r="B12" s="222">
        <v>8</v>
      </c>
      <c r="C12" s="278">
        <f t="shared" ca="1" si="1"/>
        <v>27</v>
      </c>
      <c r="D12" s="278">
        <f t="shared" ca="1" si="0"/>
        <v>8754.5149999999994</v>
      </c>
      <c r="E12" s="278">
        <f t="shared" ca="1" si="0"/>
        <v>8461900000</v>
      </c>
      <c r="F12" s="218">
        <f t="shared" ca="1" si="2"/>
        <v>23</v>
      </c>
      <c r="G12" s="218">
        <f t="shared" ca="1" si="3"/>
        <v>7047.415</v>
      </c>
      <c r="H12" s="219">
        <f t="shared" ca="1" si="4"/>
        <v>6581400000</v>
      </c>
      <c r="I12" s="220" t="str">
        <f t="shared" ca="1" si="5"/>
        <v/>
      </c>
      <c r="J12" s="220" t="str">
        <f t="shared" ca="1" si="6"/>
        <v/>
      </c>
      <c r="K12" s="221" t="str">
        <f t="shared" ca="1" si="7"/>
        <v/>
      </c>
      <c r="L12" s="218" t="str">
        <f t="shared" ca="1" si="8"/>
        <v/>
      </c>
      <c r="M12" s="218" t="str">
        <f t="shared" ca="1" si="9"/>
        <v/>
      </c>
      <c r="N12" s="219" t="str">
        <f t="shared" ca="1" si="10"/>
        <v/>
      </c>
      <c r="O12" s="220" t="str">
        <f t="shared" ca="1" si="11"/>
        <v/>
      </c>
      <c r="P12" s="220" t="str">
        <f t="shared" ca="1" si="12"/>
        <v/>
      </c>
      <c r="Q12" s="221" t="str">
        <f t="shared" ca="1" si="13"/>
        <v/>
      </c>
      <c r="R12" s="218">
        <f t="shared" ca="1" si="14"/>
        <v>1</v>
      </c>
      <c r="S12" s="218">
        <f t="shared" ca="1" si="15"/>
        <v>111.36</v>
      </c>
      <c r="T12" s="219" t="str">
        <f t="shared" ca="1" si="16"/>
        <v/>
      </c>
      <c r="U12" s="220">
        <f t="shared" ca="1" si="17"/>
        <v>3</v>
      </c>
      <c r="V12" s="220">
        <f t="shared" ca="1" si="18"/>
        <v>1595.74</v>
      </c>
      <c r="W12" s="221">
        <f t="shared" ca="1" si="19"/>
        <v>1880500000</v>
      </c>
      <c r="X12" s="218" t="str">
        <f t="shared" ca="1" si="20"/>
        <v/>
      </c>
      <c r="Y12" s="218" t="str">
        <f t="shared" ca="1" si="21"/>
        <v/>
      </c>
      <c r="Z12" s="219" t="str">
        <f t="shared" ca="1" si="22"/>
        <v/>
      </c>
      <c r="AA12" s="220" t="str">
        <f t="shared" ca="1" si="23"/>
        <v/>
      </c>
      <c r="AB12" s="220" t="str">
        <f t="shared" ca="1" si="24"/>
        <v/>
      </c>
      <c r="AC12" s="221" t="str">
        <f t="shared" ca="1" si="25"/>
        <v/>
      </c>
      <c r="AD12" s="218" t="str">
        <f t="shared" ca="1" si="26"/>
        <v/>
      </c>
      <c r="AE12" s="218" t="str">
        <f t="shared" ca="1" si="27"/>
        <v/>
      </c>
      <c r="AF12" s="219" t="str">
        <f t="shared" ca="1" si="28"/>
        <v/>
      </c>
      <c r="AG12" s="220" t="str">
        <f t="shared" ca="1" si="29"/>
        <v/>
      </c>
      <c r="AH12" s="220" t="str">
        <f t="shared" ca="1" si="30"/>
        <v/>
      </c>
      <c r="AI12" s="224" t="str">
        <f t="shared" ca="1" si="31"/>
        <v/>
      </c>
    </row>
    <row r="13" spans="2:35" x14ac:dyDescent="0.25">
      <c r="B13" s="222">
        <v>9</v>
      </c>
      <c r="C13" s="278">
        <f t="shared" ca="1" si="1"/>
        <v>39</v>
      </c>
      <c r="D13" s="278">
        <f t="shared" ca="1" si="0"/>
        <v>10228.740000000002</v>
      </c>
      <c r="E13" s="278">
        <f t="shared" ca="1" si="0"/>
        <v>9269500000</v>
      </c>
      <c r="F13" s="218">
        <f t="shared" ca="1" si="2"/>
        <v>36</v>
      </c>
      <c r="G13" s="218">
        <f t="shared" ca="1" si="3"/>
        <v>9844.1000000000022</v>
      </c>
      <c r="H13" s="219">
        <f t="shared" ca="1" si="4"/>
        <v>9060000000</v>
      </c>
      <c r="I13" s="220">
        <f t="shared" ca="1" si="5"/>
        <v>2</v>
      </c>
      <c r="J13" s="220">
        <f t="shared" ca="1" si="6"/>
        <v>198.39999999999998</v>
      </c>
      <c r="K13" s="221">
        <f t="shared" ca="1" si="7"/>
        <v>209500000</v>
      </c>
      <c r="L13" s="218" t="str">
        <f t="shared" ca="1" si="8"/>
        <v/>
      </c>
      <c r="M13" s="218" t="str">
        <f t="shared" ca="1" si="9"/>
        <v/>
      </c>
      <c r="N13" s="219" t="str">
        <f t="shared" ca="1" si="10"/>
        <v/>
      </c>
      <c r="O13" s="220" t="str">
        <f t="shared" ca="1" si="11"/>
        <v/>
      </c>
      <c r="P13" s="220" t="str">
        <f t="shared" ca="1" si="12"/>
        <v/>
      </c>
      <c r="Q13" s="221" t="str">
        <f t="shared" ca="1" si="13"/>
        <v/>
      </c>
      <c r="R13" s="218">
        <f t="shared" ca="1" si="14"/>
        <v>1</v>
      </c>
      <c r="S13" s="218">
        <f t="shared" ca="1" si="15"/>
        <v>186.24</v>
      </c>
      <c r="T13" s="219" t="str">
        <f t="shared" ca="1" si="16"/>
        <v/>
      </c>
      <c r="U13" s="220" t="str">
        <f t="shared" ca="1" si="17"/>
        <v/>
      </c>
      <c r="V13" s="220" t="str">
        <f t="shared" ca="1" si="18"/>
        <v/>
      </c>
      <c r="W13" s="221" t="str">
        <f t="shared" ca="1" si="19"/>
        <v/>
      </c>
      <c r="X13" s="218" t="str">
        <f t="shared" ca="1" si="20"/>
        <v/>
      </c>
      <c r="Y13" s="218" t="str">
        <f t="shared" ca="1" si="21"/>
        <v/>
      </c>
      <c r="Z13" s="219" t="str">
        <f t="shared" ca="1" si="22"/>
        <v/>
      </c>
      <c r="AA13" s="220" t="str">
        <f t="shared" ca="1" si="23"/>
        <v/>
      </c>
      <c r="AB13" s="220" t="str">
        <f t="shared" ca="1" si="24"/>
        <v/>
      </c>
      <c r="AC13" s="221" t="str">
        <f t="shared" ca="1" si="25"/>
        <v/>
      </c>
      <c r="AD13" s="218" t="str">
        <f t="shared" ca="1" si="26"/>
        <v/>
      </c>
      <c r="AE13" s="218" t="str">
        <f t="shared" ca="1" si="27"/>
        <v/>
      </c>
      <c r="AF13" s="219" t="str">
        <f t="shared" ca="1" si="28"/>
        <v/>
      </c>
      <c r="AG13" s="220" t="str">
        <f t="shared" ca="1" si="29"/>
        <v/>
      </c>
      <c r="AH13" s="220" t="str">
        <f t="shared" ca="1" si="30"/>
        <v/>
      </c>
      <c r="AI13" s="224" t="str">
        <f t="shared" ca="1" si="31"/>
        <v/>
      </c>
    </row>
    <row r="14" spans="2:35" x14ac:dyDescent="0.25">
      <c r="B14" s="222">
        <v>10</v>
      </c>
      <c r="C14" s="278">
        <f t="shared" ca="1" si="1"/>
        <v>47</v>
      </c>
      <c r="D14" s="278">
        <f t="shared" ca="1" si="0"/>
        <v>13977.66</v>
      </c>
      <c r="E14" s="278">
        <f t="shared" ca="1" si="0"/>
        <v>13508089027</v>
      </c>
      <c r="F14" s="218">
        <f t="shared" ca="1" si="2"/>
        <v>42</v>
      </c>
      <c r="G14" s="218">
        <f t="shared" ca="1" si="3"/>
        <v>9598.14</v>
      </c>
      <c r="H14" s="219">
        <f t="shared" ca="1" si="4"/>
        <v>8376600000</v>
      </c>
      <c r="I14" s="220" t="str">
        <f t="shared" ca="1" si="5"/>
        <v/>
      </c>
      <c r="J14" s="220" t="str">
        <f t="shared" ca="1" si="6"/>
        <v/>
      </c>
      <c r="K14" s="221" t="str">
        <f t="shared" ca="1" si="7"/>
        <v/>
      </c>
      <c r="L14" s="218" t="str">
        <f t="shared" ca="1" si="8"/>
        <v/>
      </c>
      <c r="M14" s="218" t="str">
        <f t="shared" ca="1" si="9"/>
        <v/>
      </c>
      <c r="N14" s="219" t="str">
        <f t="shared" ca="1" si="10"/>
        <v/>
      </c>
      <c r="O14" s="220" t="str">
        <f t="shared" ca="1" si="11"/>
        <v/>
      </c>
      <c r="P14" s="220" t="str">
        <f t="shared" ca="1" si="12"/>
        <v/>
      </c>
      <c r="Q14" s="221" t="str">
        <f t="shared" ca="1" si="13"/>
        <v/>
      </c>
      <c r="R14" s="218">
        <f t="shared" ca="1" si="14"/>
        <v>2</v>
      </c>
      <c r="S14" s="218">
        <f t="shared" ca="1" si="15"/>
        <v>193.28</v>
      </c>
      <c r="T14" s="219" t="str">
        <f t="shared" ca="1" si="16"/>
        <v/>
      </c>
      <c r="U14" s="220">
        <f t="shared" ca="1" si="17"/>
        <v>3</v>
      </c>
      <c r="V14" s="220">
        <f t="shared" ca="1" si="18"/>
        <v>4186.24</v>
      </c>
      <c r="W14" s="221">
        <f t="shared" ca="1" si="19"/>
        <v>5131489027</v>
      </c>
      <c r="X14" s="218" t="str">
        <f t="shared" ca="1" si="20"/>
        <v/>
      </c>
      <c r="Y14" s="218" t="str">
        <f t="shared" ca="1" si="21"/>
        <v/>
      </c>
      <c r="Z14" s="219" t="str">
        <f t="shared" ca="1" si="22"/>
        <v/>
      </c>
      <c r="AA14" s="220" t="str">
        <f t="shared" ca="1" si="23"/>
        <v/>
      </c>
      <c r="AB14" s="220" t="str">
        <f t="shared" ca="1" si="24"/>
        <v/>
      </c>
      <c r="AC14" s="221" t="str">
        <f t="shared" ca="1" si="25"/>
        <v/>
      </c>
      <c r="AD14" s="218" t="str">
        <f t="shared" ca="1" si="26"/>
        <v/>
      </c>
      <c r="AE14" s="218" t="str">
        <f t="shared" ca="1" si="27"/>
        <v/>
      </c>
      <c r="AF14" s="219" t="str">
        <f t="shared" ca="1" si="28"/>
        <v/>
      </c>
      <c r="AG14" s="220" t="str">
        <f t="shared" ca="1" si="29"/>
        <v/>
      </c>
      <c r="AH14" s="220" t="str">
        <f t="shared" ca="1" si="30"/>
        <v/>
      </c>
      <c r="AI14" s="224" t="str">
        <f t="shared" ca="1" si="31"/>
        <v/>
      </c>
    </row>
    <row r="15" spans="2:35" x14ac:dyDescent="0.25">
      <c r="B15" s="222">
        <v>11</v>
      </c>
      <c r="C15" s="278">
        <f t="shared" ca="1" si="1"/>
        <v>37</v>
      </c>
      <c r="D15" s="278">
        <f t="shared" ca="1" si="0"/>
        <v>13159.165000000001</v>
      </c>
      <c r="E15" s="278">
        <f t="shared" ca="1" si="0"/>
        <v>13511480000</v>
      </c>
      <c r="F15" s="218">
        <f t="shared" ca="1" si="2"/>
        <v>31</v>
      </c>
      <c r="G15" s="218">
        <f t="shared" ca="1" si="3"/>
        <v>8997.8850000000002</v>
      </c>
      <c r="H15" s="219">
        <f t="shared" ca="1" si="4"/>
        <v>8181480000</v>
      </c>
      <c r="I15" s="220">
        <f t="shared" ca="1" si="5"/>
        <v>2</v>
      </c>
      <c r="J15" s="220">
        <f t="shared" ca="1" si="6"/>
        <v>625.28</v>
      </c>
      <c r="K15" s="221">
        <f t="shared" ca="1" si="7"/>
        <v>590000000</v>
      </c>
      <c r="L15" s="218" t="str">
        <f t="shared" ca="1" si="8"/>
        <v/>
      </c>
      <c r="M15" s="218" t="str">
        <f t="shared" ca="1" si="9"/>
        <v/>
      </c>
      <c r="N15" s="219" t="str">
        <f t="shared" ca="1" si="10"/>
        <v/>
      </c>
      <c r="O15" s="220" t="str">
        <f t="shared" ca="1" si="11"/>
        <v/>
      </c>
      <c r="P15" s="220" t="str">
        <f t="shared" ca="1" si="12"/>
        <v/>
      </c>
      <c r="Q15" s="221" t="str">
        <f t="shared" ca="1" si="13"/>
        <v/>
      </c>
      <c r="R15" s="218">
        <f t="shared" ca="1" si="14"/>
        <v>2</v>
      </c>
      <c r="S15" s="218">
        <f t="shared" ca="1" si="15"/>
        <v>403.20000000000005</v>
      </c>
      <c r="T15" s="219" t="str">
        <f t="shared" ca="1" si="16"/>
        <v/>
      </c>
      <c r="U15" s="220">
        <f t="shared" ca="1" si="17"/>
        <v>2</v>
      </c>
      <c r="V15" s="220">
        <f t="shared" ca="1" si="18"/>
        <v>3132.8</v>
      </c>
      <c r="W15" s="221">
        <f t="shared" ca="1" si="19"/>
        <v>4740000000</v>
      </c>
      <c r="X15" s="218" t="str">
        <f t="shared" ca="1" si="20"/>
        <v/>
      </c>
      <c r="Y15" s="218" t="str">
        <f t="shared" ca="1" si="21"/>
        <v/>
      </c>
      <c r="Z15" s="219" t="str">
        <f t="shared" ca="1" si="22"/>
        <v/>
      </c>
      <c r="AA15" s="220" t="str">
        <f t="shared" ca="1" si="23"/>
        <v/>
      </c>
      <c r="AB15" s="220" t="str">
        <f t="shared" ca="1" si="24"/>
        <v/>
      </c>
      <c r="AC15" s="221" t="str">
        <f t="shared" ca="1" si="25"/>
        <v/>
      </c>
      <c r="AD15" s="218" t="str">
        <f t="shared" ca="1" si="26"/>
        <v/>
      </c>
      <c r="AE15" s="218" t="str">
        <f t="shared" ca="1" si="27"/>
        <v/>
      </c>
      <c r="AF15" s="219" t="str">
        <f t="shared" ca="1" si="28"/>
        <v/>
      </c>
      <c r="AG15" s="220" t="str">
        <f t="shared" ca="1" si="29"/>
        <v/>
      </c>
      <c r="AH15" s="220" t="str">
        <f t="shared" ca="1" si="30"/>
        <v/>
      </c>
      <c r="AI15" s="224" t="str">
        <f t="shared" ca="1" si="31"/>
        <v/>
      </c>
    </row>
    <row r="16" spans="2:35" x14ac:dyDescent="0.25">
      <c r="B16" s="222">
        <v>12</v>
      </c>
      <c r="C16" s="278">
        <f t="shared" ca="1" si="1"/>
        <v>22</v>
      </c>
      <c r="D16" s="278">
        <f t="shared" ca="1" si="0"/>
        <v>6439.96</v>
      </c>
      <c r="E16" s="278">
        <f t="shared" ca="1" si="0"/>
        <v>6154000000</v>
      </c>
      <c r="F16" s="218">
        <f t="shared" ca="1" si="2"/>
        <v>17</v>
      </c>
      <c r="G16" s="218">
        <f t="shared" ca="1" si="3"/>
        <v>4211.3850000000002</v>
      </c>
      <c r="H16" s="219">
        <f t="shared" ca="1" si="4"/>
        <v>3969000000</v>
      </c>
      <c r="I16" s="220">
        <f t="shared" ca="1" si="5"/>
        <v>1</v>
      </c>
      <c r="J16" s="220">
        <f t="shared" ca="1" si="6"/>
        <v>428.8</v>
      </c>
      <c r="K16" s="221">
        <f t="shared" ca="1" si="7"/>
        <v>407000000</v>
      </c>
      <c r="L16" s="218">
        <f t="shared" ca="1" si="8"/>
        <v>2</v>
      </c>
      <c r="M16" s="218">
        <f t="shared" ca="1" si="9"/>
        <v>1123.1999999999998</v>
      </c>
      <c r="N16" s="219">
        <f t="shared" ca="1" si="10"/>
        <v>1000000000</v>
      </c>
      <c r="O16" s="220" t="str">
        <f t="shared" ca="1" si="11"/>
        <v/>
      </c>
      <c r="P16" s="220" t="str">
        <f t="shared" ca="1" si="12"/>
        <v/>
      </c>
      <c r="Q16" s="221" t="str">
        <f t="shared" ca="1" si="13"/>
        <v/>
      </c>
      <c r="R16" s="218">
        <f t="shared" ca="1" si="14"/>
        <v>1</v>
      </c>
      <c r="S16" s="218">
        <f t="shared" ca="1" si="15"/>
        <v>177.375</v>
      </c>
      <c r="T16" s="219" t="str">
        <f t="shared" ca="1" si="16"/>
        <v/>
      </c>
      <c r="U16" s="220">
        <f t="shared" ca="1" si="17"/>
        <v>1</v>
      </c>
      <c r="V16" s="220">
        <f t="shared" ca="1" si="18"/>
        <v>499.2</v>
      </c>
      <c r="W16" s="221">
        <f t="shared" ca="1" si="19"/>
        <v>778000000</v>
      </c>
      <c r="X16" s="218" t="str">
        <f t="shared" ca="1" si="20"/>
        <v/>
      </c>
      <c r="Y16" s="218" t="str">
        <f t="shared" ca="1" si="21"/>
        <v/>
      </c>
      <c r="Z16" s="219" t="str">
        <f t="shared" ca="1" si="22"/>
        <v/>
      </c>
      <c r="AA16" s="220" t="str">
        <f t="shared" ca="1" si="23"/>
        <v/>
      </c>
      <c r="AB16" s="220" t="str">
        <f t="shared" ca="1" si="24"/>
        <v/>
      </c>
      <c r="AC16" s="221" t="str">
        <f t="shared" ca="1" si="25"/>
        <v/>
      </c>
      <c r="AD16" s="218" t="str">
        <f t="shared" ca="1" si="26"/>
        <v/>
      </c>
      <c r="AE16" s="218" t="str">
        <f t="shared" ca="1" si="27"/>
        <v/>
      </c>
      <c r="AF16" s="219" t="str">
        <f t="shared" ca="1" si="28"/>
        <v/>
      </c>
      <c r="AG16" s="220" t="str">
        <f t="shared" ca="1" si="29"/>
        <v/>
      </c>
      <c r="AH16" s="220" t="str">
        <f t="shared" ca="1" si="30"/>
        <v/>
      </c>
      <c r="AI16" s="224" t="str">
        <f t="shared" ca="1" si="31"/>
        <v/>
      </c>
    </row>
    <row r="17" spans="2:35" ht="14.25" thickBot="1" x14ac:dyDescent="0.3">
      <c r="B17" s="225" t="s">
        <v>3</v>
      </c>
      <c r="C17" s="279">
        <f ca="1">SUM(C5:C11)</f>
        <v>145</v>
      </c>
      <c r="D17" s="279">
        <f t="shared" ref="D17:E17" ca="1" si="32">SUM(D5:D16)</f>
        <v>101659.90500000001</v>
      </c>
      <c r="E17" s="279">
        <f t="shared" ca="1" si="32"/>
        <v>90113898117.909088</v>
      </c>
      <c r="F17" s="231">
        <f ca="1">SUM(F5:F16)</f>
        <v>258</v>
      </c>
      <c r="G17" s="231">
        <f t="shared" ref="G17:H17" ca="1" si="33">SUM(G5:G16)</f>
        <v>70731.209999999992</v>
      </c>
      <c r="H17" s="232">
        <f t="shared" ca="1" si="33"/>
        <v>66144600000</v>
      </c>
      <c r="I17" s="233">
        <f ca="1">SUM(I5:I16)</f>
        <v>10</v>
      </c>
      <c r="J17" s="233">
        <f t="shared" ref="J17" ca="1" si="34">SUM(J5:J16)</f>
        <v>6540.61</v>
      </c>
      <c r="K17" s="234">
        <f t="shared" ref="K17" ca="1" si="35">SUM(K5:K16)</f>
        <v>6748100000</v>
      </c>
      <c r="L17" s="231">
        <f ca="1">SUM(L5:L16)</f>
        <v>4</v>
      </c>
      <c r="M17" s="231">
        <f t="shared" ref="M17" ca="1" si="36">SUM(M5:M16)</f>
        <v>7047.1149999999998</v>
      </c>
      <c r="N17" s="232">
        <f t="shared" ref="N17" ca="1" si="37">SUM(N5:N16)</f>
        <v>4585000000</v>
      </c>
      <c r="O17" s="233">
        <f ca="1">SUM(O5:O16)</f>
        <v>0</v>
      </c>
      <c r="P17" s="233">
        <f t="shared" ref="P17" ca="1" si="38">SUM(P5:P16)</f>
        <v>0</v>
      </c>
      <c r="Q17" s="234">
        <f t="shared" ref="Q17" ca="1" si="39">SUM(Q5:Q16)</f>
        <v>0</v>
      </c>
      <c r="R17" s="231">
        <f ca="1">SUM(R5:R16)</f>
        <v>35</v>
      </c>
      <c r="S17" s="231">
        <f t="shared" ref="S17" ca="1" si="40">SUM(S5:S16)</f>
        <v>7857.9899999999989</v>
      </c>
      <c r="T17" s="232">
        <f t="shared" ref="T17" ca="1" si="41">SUM(T5:T16)</f>
        <v>0</v>
      </c>
      <c r="U17" s="233">
        <f ca="1">SUM(U5:U16)</f>
        <v>9</v>
      </c>
      <c r="V17" s="233">
        <f t="shared" ref="V17" ca="1" si="42">SUM(V5:V16)</f>
        <v>9413.98</v>
      </c>
      <c r="W17" s="234">
        <f t="shared" ref="W17" ca="1" si="43">SUM(W5:W16)</f>
        <v>12529989027</v>
      </c>
      <c r="X17" s="231">
        <f ca="1">SUM(X5:X16)</f>
        <v>0</v>
      </c>
      <c r="Y17" s="231">
        <f t="shared" ref="Y17" ca="1" si="44">SUM(Y5:Y16)</f>
        <v>0</v>
      </c>
      <c r="Z17" s="232">
        <f t="shared" ref="Z17" ca="1" si="45">SUM(Z5:Z16)</f>
        <v>0</v>
      </c>
      <c r="AA17" s="233">
        <f ca="1">SUM(AA5:AA16)</f>
        <v>1</v>
      </c>
      <c r="AB17" s="233">
        <f t="shared" ref="AB17" ca="1" si="46">SUM(AB5:AB16)</f>
        <v>69</v>
      </c>
      <c r="AC17" s="234">
        <f t="shared" ref="AC17" ca="1" si="47">SUM(AC5:AC16)</f>
        <v>106209090.90909091</v>
      </c>
      <c r="AD17" s="231">
        <f ca="1">SUM(AD5:AD16)</f>
        <v>0</v>
      </c>
      <c r="AE17" s="231">
        <f t="shared" ref="AE17" ca="1" si="48">SUM(AE5:AE16)</f>
        <v>0</v>
      </c>
      <c r="AF17" s="232">
        <f t="shared" ref="AF17" ca="1" si="49">SUM(AF5:AF16)</f>
        <v>0</v>
      </c>
      <c r="AG17" s="233">
        <f ca="1">SUM(AG5:AG16)</f>
        <v>0</v>
      </c>
      <c r="AH17" s="233">
        <f t="shared" ref="AH17" ca="1" si="50">SUM(AH5:AH16)</f>
        <v>0</v>
      </c>
      <c r="AI17" s="235">
        <f t="shared" ref="AI17" ca="1" si="51">SUM(AI5:AI16)</f>
        <v>0</v>
      </c>
    </row>
    <row r="18" spans="2:35" x14ac:dyDescent="0.25">
      <c r="E18" s="209"/>
      <c r="H18" s="209"/>
      <c r="K18" s="209"/>
      <c r="N18" s="209"/>
      <c r="Q18" s="209"/>
      <c r="T18" s="209"/>
      <c r="W18" s="209"/>
      <c r="Z18" s="209"/>
      <c r="AC18" s="209"/>
      <c r="AF18" s="209"/>
      <c r="AI18" s="209"/>
    </row>
    <row r="19" spans="2:35" ht="21" thickBot="1" x14ac:dyDescent="0.3">
      <c r="B19" s="212" t="s">
        <v>276</v>
      </c>
      <c r="C19" s="213"/>
      <c r="D19" s="213"/>
      <c r="E19" s="274" t="s">
        <v>279</v>
      </c>
    </row>
    <row r="20" spans="2:35" x14ac:dyDescent="0.25">
      <c r="B20" s="401" t="s">
        <v>22</v>
      </c>
      <c r="C20" s="403" t="s">
        <v>1061</v>
      </c>
      <c r="D20" s="403"/>
      <c r="E20" s="403"/>
      <c r="F20" s="400" t="str">
        <f>$F$3</f>
        <v>발전사업(A)</v>
      </c>
      <c r="G20" s="400"/>
      <c r="H20" s="400"/>
      <c r="I20" s="398" t="s">
        <v>180</v>
      </c>
      <c r="J20" s="398"/>
      <c r="K20" s="398"/>
      <c r="L20" s="400" t="s">
        <v>181</v>
      </c>
      <c r="M20" s="400"/>
      <c r="N20" s="400"/>
      <c r="O20" s="398" t="s">
        <v>182</v>
      </c>
      <c r="P20" s="398"/>
      <c r="Q20" s="398"/>
      <c r="R20" s="400" t="s">
        <v>183</v>
      </c>
      <c r="S20" s="400"/>
      <c r="T20" s="400"/>
      <c r="U20" s="398" t="s">
        <v>184</v>
      </c>
      <c r="V20" s="398"/>
      <c r="W20" s="398"/>
      <c r="X20" s="400" t="s">
        <v>185</v>
      </c>
      <c r="Y20" s="400"/>
      <c r="Z20" s="400"/>
      <c r="AA20" s="398" t="s">
        <v>186</v>
      </c>
      <c r="AB20" s="398"/>
      <c r="AC20" s="398"/>
      <c r="AD20" s="400" t="s">
        <v>187</v>
      </c>
      <c r="AE20" s="400"/>
      <c r="AF20" s="400"/>
      <c r="AG20" s="398" t="s">
        <v>188</v>
      </c>
      <c r="AH20" s="398"/>
      <c r="AI20" s="399"/>
    </row>
    <row r="21" spans="2:35" x14ac:dyDescent="0.25">
      <c r="B21" s="402"/>
      <c r="C21" s="277" t="s">
        <v>58</v>
      </c>
      <c r="D21" s="277" t="s">
        <v>274</v>
      </c>
      <c r="E21" s="277" t="s">
        <v>275</v>
      </c>
      <c r="F21" s="218" t="s">
        <v>58</v>
      </c>
      <c r="G21" s="218" t="s">
        <v>274</v>
      </c>
      <c r="H21" s="218" t="s">
        <v>275</v>
      </c>
      <c r="I21" s="220" t="s">
        <v>58</v>
      </c>
      <c r="J21" s="220" t="s">
        <v>274</v>
      </c>
      <c r="K21" s="220" t="s">
        <v>275</v>
      </c>
      <c r="L21" s="218" t="s">
        <v>58</v>
      </c>
      <c r="M21" s="218" t="s">
        <v>274</v>
      </c>
      <c r="N21" s="218" t="s">
        <v>275</v>
      </c>
      <c r="O21" s="220" t="s">
        <v>58</v>
      </c>
      <c r="P21" s="220" t="s">
        <v>274</v>
      </c>
      <c r="Q21" s="220" t="s">
        <v>275</v>
      </c>
      <c r="R21" s="218" t="s">
        <v>58</v>
      </c>
      <c r="S21" s="218" t="s">
        <v>274</v>
      </c>
      <c r="T21" s="218" t="s">
        <v>275</v>
      </c>
      <c r="U21" s="220" t="s">
        <v>58</v>
      </c>
      <c r="V21" s="220" t="s">
        <v>274</v>
      </c>
      <c r="W21" s="220" t="s">
        <v>275</v>
      </c>
      <c r="X21" s="218" t="s">
        <v>58</v>
      </c>
      <c r="Y21" s="218" t="s">
        <v>274</v>
      </c>
      <c r="Z21" s="218" t="s">
        <v>275</v>
      </c>
      <c r="AA21" s="220" t="s">
        <v>58</v>
      </c>
      <c r="AB21" s="220" t="s">
        <v>274</v>
      </c>
      <c r="AC21" s="220" t="s">
        <v>275</v>
      </c>
      <c r="AD21" s="218" t="s">
        <v>58</v>
      </c>
      <c r="AE21" s="218" t="s">
        <v>274</v>
      </c>
      <c r="AF21" s="218" t="s">
        <v>275</v>
      </c>
      <c r="AG21" s="220" t="s">
        <v>58</v>
      </c>
      <c r="AH21" s="220" t="s">
        <v>274</v>
      </c>
      <c r="AI21" s="223" t="s">
        <v>275</v>
      </c>
    </row>
    <row r="22" spans="2:35" x14ac:dyDescent="0.25">
      <c r="B22" s="222">
        <v>1</v>
      </c>
      <c r="C22" s="278" t="str">
        <f ca="1">IF(
  SUM(
    IFERROR(VALUE(F22), 0),
    IFERROR(VALUE(I22), 0),
    IFERROR(VALUE(L22), 0),
    IFERROR(VALUE(O22), 0),
    IFERROR(VALUE(R22), 0),
    IFERROR(VALUE(U22), 0),
    IFERROR(VALUE(X22), 0),
    IFERROR(VALUE(AA22), 0),
    IFERROR(VALUE(AD22), 0),
    IFERROR(VALUE(AG22), 0)
  ) = 0,
  "",
  SUM(
    IFERROR(VALUE(F22), 0),
    IFERROR(VALUE(I22), 0),
    IFERROR(VALUE(L22), 0),
    IFERROR(VALUE(O22), 0),
    IFERROR(VALUE(R22), 0),
    IFERROR(VALUE(U22), 0),
    IFERROR(VALUE(X22), 0),
    IFERROR(VALUE(AA22), 0),
    IFERROR(VALUE(AD22), 0),
    IFERROR(VALUE(AG22), 0)
  )
)</f>
        <v/>
      </c>
      <c r="D22" s="278" t="str">
        <f t="shared" ref="D22:D33" ca="1" si="52">IF(
  SUM(
    IFERROR(VALUE(G22), 0),
    IFERROR(VALUE(J22), 0),
    IFERROR(VALUE(M22), 0),
    IFERROR(VALUE(P22), 0),
    IFERROR(VALUE(S22), 0),
    IFERROR(VALUE(V22), 0),
    IFERROR(VALUE(Y22), 0),
    IFERROR(VALUE(AB22), 0),
    IFERROR(VALUE(AE22), 0),
    IFERROR(VALUE(AH22), 0)
  ) = 0,
  "",
  SUM(
    IFERROR(VALUE(G22), 0),
    IFERROR(VALUE(J22), 0),
    IFERROR(VALUE(M22), 0),
    IFERROR(VALUE(P22), 0),
    IFERROR(VALUE(S22), 0),
    IFERROR(VALUE(V22), 0),
    IFERROR(VALUE(Y22), 0),
    IFERROR(VALUE(AB22), 0),
    IFERROR(VALUE(AE22), 0),
    IFERROR(VALUE(AH22), 0)
  )
)</f>
        <v/>
      </c>
      <c r="E22" s="278" t="str">
        <f t="shared" ref="E22:E33" ca="1" si="53">IF(
  SUM(
    IFERROR(VALUE(H22), 0),
    IFERROR(VALUE(K22), 0),
    IFERROR(VALUE(N22), 0),
    IFERROR(VALUE(Q22), 0),
    IFERROR(VALUE(T22), 0),
    IFERROR(VALUE(W22), 0),
    IFERROR(VALUE(Z22), 0),
    IFERROR(VALUE(AC22), 0),
    IFERROR(VALUE(AF22), 0),
    IFERROR(VALUE(AI22), 0)
  ) = 0,
  "",
  SUM(
    IFERROR(VALUE(H22), 0),
    IFERROR(VALUE(K22), 0),
    IFERROR(VALUE(N22), 0),
    IFERROR(VALUE(Q22), 0),
    IFERROR(VALUE(T22), 0),
    IFERROR(VALUE(W22), 0),
    IFERROR(VALUE(Z22), 0),
    IFERROR(VALUE(AC22), 0),
    IFERROR(VALUE(AF22), 0),
    IFERROR(VALUE(AI22), 0)
  )
)</f>
        <v/>
      </c>
      <c r="F22" s="218" t="str">
        <f ca="1">IF(COUNTIFS(INDIRECT("'"&amp;F$3&amp;"'!G:G"), $B22, INDIRECT("'"&amp;F$3&amp;"'!W:W"), $H$19)=0, "", COUNTIFS(INDIRECT("'"&amp;F$3&amp;"'!G:G"), $B22, INDIRECT("'"&amp;F$3&amp;"'!W:W"), $H$19))</f>
        <v/>
      </c>
      <c r="G22" s="218" t="str">
        <f ca="1">IF(SUMIFS(INDIRECT("'"&amp;F$3&amp;"'!I:I"), INDIRECT("'"&amp;F$3&amp;"'!G:G"), $B22, INDIRECT("'"&amp;F$3&amp;"'!W:W"), $H$19)=0, "", SUMIFS(INDIRECT("'"&amp;F$3&amp;"'!I:I"), INDIRECT("'"&amp;F$3&amp;"'!G:G"), $B22, INDIRECT("'"&amp;F$3&amp;"'!W:W"), $H$19))</f>
        <v/>
      </c>
      <c r="H22" s="219" t="str">
        <f ca="1">IF(SUMIFS(INDIRECT("'"&amp;F$3&amp;"'!J:J"), INDIRECT("'"&amp;F$3&amp;"'!G:G"), $B22, INDIRECT("'"&amp;F$3&amp;"'!W:W"), $H$19)=0, "", SUMIFS(INDIRECT("'"&amp;F$3&amp;"'!J:J"), INDIRECT("'"&amp;F$3&amp;"'!G:G"), $B22, INDIRECT("'"&amp;F$3&amp;"'!W:W"), $H$19))</f>
        <v/>
      </c>
      <c r="I22" s="220" t="str">
        <f ca="1">IF(COUNTIFS(INDIRECT("'"&amp;I$3&amp;"'!G:G"), $B22, INDIRECT("'"&amp;I$3&amp;"'!W:W"), $H$19)=0, "", COUNTIFS(INDIRECT("'"&amp;I$3&amp;"'!G:G"), $B22, INDIRECT("'"&amp;I$3&amp;"'!W:W"), $H$19))</f>
        <v/>
      </c>
      <c r="J22" s="220" t="str">
        <f ca="1">IF(SUMIFS(INDIRECT("'"&amp;I$3&amp;"'!I:I"), INDIRECT("'"&amp;I$3&amp;"'!G:G"), $B22, INDIRECT("'"&amp;I$3&amp;"'!W:W"), $H$19)=0, "", SUMIFS(INDIRECT("'"&amp;I$3&amp;"'!I:I"), INDIRECT("'"&amp;I$3&amp;"'!G:G"), $B22, INDIRECT("'"&amp;I$3&amp;"'!W:W"), $H$19))</f>
        <v/>
      </c>
      <c r="K22" s="221" t="str">
        <f ca="1">IF(SUMIFS(INDIRECT("'"&amp;I$3&amp;"'!J:J"), INDIRECT("'"&amp;I$3&amp;"'!G:G"), $B22, INDIRECT("'"&amp;I$3&amp;"'!W:W"), $H$19)=0, "", SUMIFS(INDIRECT("'"&amp;I$3&amp;"'!J:J"), INDIRECT("'"&amp;I$3&amp;"'!G:G"), $B22, INDIRECT("'"&amp;I$3&amp;"'!W:W"), $H$19))</f>
        <v/>
      </c>
      <c r="L22" s="218" t="str">
        <f ca="1">IF(COUNTIFS(INDIRECT("'"&amp;L$3&amp;"'!G:G"), $B22, INDIRECT("'"&amp;L$3&amp;"'!W:W"), $H$19)=0, "", COUNTIFS(INDIRECT("'"&amp;L$3&amp;"'!G:G"), $B22, INDIRECT("'"&amp;L$3&amp;"'!W:W"), $H$19))</f>
        <v/>
      </c>
      <c r="M22" s="218" t="str">
        <f ca="1">IF(SUMIFS(INDIRECT("'"&amp;L$3&amp;"'!I:I"), INDIRECT("'"&amp;L$3&amp;"'!G:G"), $B22, INDIRECT("'"&amp;L$3&amp;"'!W:W"), $H$19)=0, "", SUMIFS(INDIRECT("'"&amp;L$3&amp;"'!I:I"), INDIRECT("'"&amp;L$3&amp;"'!G:G"), $B22, INDIRECT("'"&amp;L$3&amp;"'!W:W"), $H$19))</f>
        <v/>
      </c>
      <c r="N22" s="219" t="str">
        <f ca="1">IF(SUMIFS(INDIRECT("'"&amp;L$3&amp;"'!J:J"), INDIRECT("'"&amp;L$3&amp;"'!G:G"), $B22, INDIRECT("'"&amp;L$3&amp;"'!W:W"), $H$19)=0, "", SUMIFS(INDIRECT("'"&amp;L$3&amp;"'!J:J"), INDIRECT("'"&amp;L$3&amp;"'!G:G"), $B22, INDIRECT("'"&amp;L$3&amp;"'!W:W"), $H$19))</f>
        <v/>
      </c>
      <c r="O22" s="220" t="str">
        <f ca="1">IF(COUNTIFS(INDIRECT("'"&amp;O$3&amp;"'!G:G"), $B22, INDIRECT("'"&amp;O$3&amp;"'!W:W"), $H$19)=0, "", COUNTIFS(INDIRECT("'"&amp;O$3&amp;"'!G:G"), $B22, INDIRECT("'"&amp;O$3&amp;"'!W:W"), $H$19))</f>
        <v/>
      </c>
      <c r="P22" s="220" t="str">
        <f ca="1">IF(SUMIFS(INDIRECT("'"&amp;O$3&amp;"'!I:I"), INDIRECT("'"&amp;O$3&amp;"'!G:G"), $B22, INDIRECT("'"&amp;O$3&amp;"'!W:W"), $H$19)=0, "", SUMIFS(INDIRECT("'"&amp;O$3&amp;"'!I:I"), INDIRECT("'"&amp;O$3&amp;"'!G:G"), $B22, INDIRECT("'"&amp;O$3&amp;"'!W:W"), $H$19))</f>
        <v/>
      </c>
      <c r="Q22" s="221" t="str">
        <f ca="1">IF(SUMIFS(INDIRECT("'"&amp;O$3&amp;"'!J:J"), INDIRECT("'"&amp;O$3&amp;"'!G:G"), $B22, INDIRECT("'"&amp;O$3&amp;"'!W:W"), $H$19)=0, "", SUMIFS(INDIRECT("'"&amp;O$3&amp;"'!J:J"), INDIRECT("'"&amp;O$3&amp;"'!G:G"), $B22, INDIRECT("'"&amp;O$3&amp;"'!W:W"), $H$19))</f>
        <v/>
      </c>
      <c r="R22" s="218" t="str">
        <f ca="1">IF(COUNTIFS(INDIRECT("'"&amp;R$3&amp;"'!G:G"), $B22, INDIRECT("'"&amp;R$3&amp;"'!W:W"), $H$19)=0, "", COUNTIFS(INDIRECT("'"&amp;R$3&amp;"'!G:G"), $B22, INDIRECT("'"&amp;R$3&amp;"'!W:W"), $H$19))</f>
        <v/>
      </c>
      <c r="S22" s="218" t="str">
        <f ca="1">IF(SUMIFS(INDIRECT("'"&amp;R$3&amp;"'!I:I"), INDIRECT("'"&amp;R$3&amp;"'!G:G"), $B22, INDIRECT("'"&amp;R$3&amp;"'!W:W"), $H$19)=0, "", SUMIFS(INDIRECT("'"&amp;R$3&amp;"'!I:I"), INDIRECT("'"&amp;R$3&amp;"'!G:G"), $B22, INDIRECT("'"&amp;R$3&amp;"'!W:W"), $H$19))</f>
        <v/>
      </c>
      <c r="T22" s="219" t="str">
        <f ca="1">IF(SUMIFS(INDIRECT("'"&amp;R$3&amp;"'!J:J"), INDIRECT("'"&amp;R$3&amp;"'!G:G"), $B22, INDIRECT("'"&amp;R$3&amp;"'!W:W"), $H$19)=0, "", SUMIFS(INDIRECT("'"&amp;R$3&amp;"'!J:J"), INDIRECT("'"&amp;R$3&amp;"'!G:G"), $B22, INDIRECT("'"&amp;R$3&amp;"'!W:W"), $H$19))</f>
        <v/>
      </c>
      <c r="U22" s="220" t="str">
        <f ca="1">IF(COUNTIFS(INDIRECT("'"&amp;U$3&amp;"'!G:G"), $B22, INDIRECT("'"&amp;U$3&amp;"'!W:W"), $H$19)=0, "", COUNTIFS(INDIRECT("'"&amp;U$3&amp;"'!G:G"), $B22, INDIRECT("'"&amp;U$3&amp;"'!W:W"), $H$19))</f>
        <v/>
      </c>
      <c r="V22" s="220" t="str">
        <f ca="1">IF(SUMIFS(INDIRECT("'"&amp;U$3&amp;"'!I:I"), INDIRECT("'"&amp;U$3&amp;"'!G:G"), $B22, INDIRECT("'"&amp;U$3&amp;"'!W:W"), $H$19)=0, "", SUMIFS(INDIRECT("'"&amp;U$3&amp;"'!I:I"), INDIRECT("'"&amp;U$3&amp;"'!G:G"), $B22, INDIRECT("'"&amp;U$3&amp;"'!W:W"), $H$19))</f>
        <v/>
      </c>
      <c r="W22" s="221" t="str">
        <f ca="1">IF(SUMIFS(INDIRECT("'"&amp;U$3&amp;"'!J:J"), INDIRECT("'"&amp;U$3&amp;"'!G:G"), $B22, INDIRECT("'"&amp;U$3&amp;"'!W:W"), $H$19)=0, "", SUMIFS(INDIRECT("'"&amp;U$3&amp;"'!J:J"), INDIRECT("'"&amp;U$3&amp;"'!G:G"), $B22, INDIRECT("'"&amp;U$3&amp;"'!W:W"), $H$19))</f>
        <v/>
      </c>
      <c r="X22" s="218" t="str">
        <f ca="1">IF(COUNTIFS(INDIRECT("'"&amp;X$3&amp;"'!G:G"), $B22, INDIRECT("'"&amp;X$3&amp;"'!W:W"), $H$19)=0, "", COUNTIFS(INDIRECT("'"&amp;X$3&amp;"'!G:G"), $B22, INDIRECT("'"&amp;X$3&amp;"'!W:W"), $H$19))</f>
        <v/>
      </c>
      <c r="Y22" s="218" t="str">
        <f ca="1">IF(SUMIFS(INDIRECT("'"&amp;X$3&amp;"'!I:I"), INDIRECT("'"&amp;X$3&amp;"'!G:G"), $B22, INDIRECT("'"&amp;X$3&amp;"'!W:W"), $H$19)=0, "", SUMIFS(INDIRECT("'"&amp;X$3&amp;"'!I:I"), INDIRECT("'"&amp;X$3&amp;"'!G:G"), $B22, INDIRECT("'"&amp;X$3&amp;"'!W:W"), $H$19))</f>
        <v/>
      </c>
      <c r="Z22" s="219" t="str">
        <f ca="1">IF(SUMIFS(INDIRECT("'"&amp;X$3&amp;"'!J:J"), INDIRECT("'"&amp;X$3&amp;"'!G:G"), $B22, INDIRECT("'"&amp;X$3&amp;"'!W:W"), $H$19)=0, "", SUMIFS(INDIRECT("'"&amp;X$3&amp;"'!J:J"), INDIRECT("'"&amp;X$3&amp;"'!G:G"), $B22, INDIRECT("'"&amp;X$3&amp;"'!W:W"), $H$19))</f>
        <v/>
      </c>
      <c r="AA22" s="220" t="str">
        <f ca="1">IF(COUNTIFS(INDIRECT("'"&amp;AA$3&amp;"'!G:G"), $B22, INDIRECT("'"&amp;AA$3&amp;"'!W:W"), $H$19)=0, "", COUNTIFS(INDIRECT("'"&amp;AA$3&amp;"'!G:G"), $B22, INDIRECT("'"&amp;AA$3&amp;"'!W:W"), $H$19))</f>
        <v/>
      </c>
      <c r="AB22" s="220" t="str">
        <f ca="1">IF(SUMIFS(INDIRECT("'"&amp;AA$3&amp;"'!I:I"), INDIRECT("'"&amp;AA$3&amp;"'!G:G"), $B22, INDIRECT("'"&amp;AA$3&amp;"'!W:W"), $H$19)=0, "", SUMIFS(INDIRECT("'"&amp;AA$3&amp;"'!I:I"), INDIRECT("'"&amp;AA$3&amp;"'!G:G"), $B22, INDIRECT("'"&amp;AA$3&amp;"'!W:W"), $H$19))</f>
        <v/>
      </c>
      <c r="AC22" s="221" t="str">
        <f ca="1">IF(SUMIFS(INDIRECT("'"&amp;AA$3&amp;"'!J:J"), INDIRECT("'"&amp;AA$3&amp;"'!G:G"), $B22, INDIRECT("'"&amp;AA$3&amp;"'!W:W"), $H$19)=0, "", SUMIFS(INDIRECT("'"&amp;AA$3&amp;"'!J:J"), INDIRECT("'"&amp;AA$3&amp;"'!G:G"), $B22, INDIRECT("'"&amp;AA$3&amp;"'!W:W"), $H$19))</f>
        <v/>
      </c>
      <c r="AD22" s="218" t="str">
        <f ca="1">IF(COUNTIFS(INDIRECT("'"&amp;AD$3&amp;"'!G:G"), $B22, INDIRECT("'"&amp;AD$3&amp;"'!W:W"), $H$19)=0, "", COUNTIFS(INDIRECT("'"&amp;AD$3&amp;"'!G:G"), $B22, INDIRECT("'"&amp;AD$3&amp;"'!W:W"), $H$19))</f>
        <v/>
      </c>
      <c r="AE22" s="218" t="str">
        <f ca="1">IF(SUMIFS(INDIRECT("'"&amp;AD$3&amp;"'!I:I"), INDIRECT("'"&amp;AD$3&amp;"'!G:G"), $B22, INDIRECT("'"&amp;AD$3&amp;"'!W:W"), $H$19)=0, "", SUMIFS(INDIRECT("'"&amp;AD$3&amp;"'!I:I"), INDIRECT("'"&amp;AD$3&amp;"'!G:G"), $B22, INDIRECT("'"&amp;AD$3&amp;"'!W:W"), $H$19))</f>
        <v/>
      </c>
      <c r="AF22" s="219" t="str">
        <f ca="1">IF(SUMIFS(INDIRECT("'"&amp;AD$3&amp;"'!J:J"), INDIRECT("'"&amp;AD$3&amp;"'!G:G"), $B22, INDIRECT("'"&amp;AD$3&amp;"'!W:W"), $H$19)=0, "", SUMIFS(INDIRECT("'"&amp;AD$3&amp;"'!J:J"), INDIRECT("'"&amp;AD$3&amp;"'!G:G"), $B22, INDIRECT("'"&amp;AD$3&amp;"'!W:W"), $H$19))</f>
        <v/>
      </c>
      <c r="AG22" s="220" t="str">
        <f ca="1">IF(COUNTIFS(INDIRECT("'"&amp;AG$3&amp;"'!G:G"), $B22, INDIRECT("'"&amp;AG$3&amp;"'!W:W"), $H$19)=0, "", COUNTIFS(INDIRECT("'"&amp;AG$3&amp;"'!G:G"), $B22, INDIRECT("'"&amp;AG$3&amp;"'!W:W"), $H$19))</f>
        <v/>
      </c>
      <c r="AH22" s="220" t="str">
        <f ca="1">IF(SUMIFS(INDIRECT("'"&amp;AG$3&amp;"'!I:I"), INDIRECT("'"&amp;AG$3&amp;"'!G:G"), $B22, INDIRECT("'"&amp;AG$3&amp;"'!W:W"), $H$19)=0, "", SUMIFS(INDIRECT("'"&amp;AG$3&amp;"'!I:I"), INDIRECT("'"&amp;AG$3&amp;"'!G:G"), $B22, INDIRECT("'"&amp;AG$3&amp;"'!W:W"), $H$19))</f>
        <v/>
      </c>
      <c r="AI22" s="224" t="str">
        <f ca="1">IF(SUMIFS(INDIRECT("'"&amp;AG$3&amp;"'!J:J"), INDIRECT("'"&amp;AG$3&amp;"'!G:G"), $B22, INDIRECT("'"&amp;AG$3&amp;"'!W:W"), $H$19)=0, "", SUMIFS(INDIRECT("'"&amp;AG$3&amp;"'!J:J"), INDIRECT("'"&amp;AG$3&amp;"'!G:G"), $B22, INDIRECT("'"&amp;AG$3&amp;"'!W:W"), $H$19))</f>
        <v/>
      </c>
    </row>
    <row r="23" spans="2:35" x14ac:dyDescent="0.25">
      <c r="B23" s="222">
        <v>2</v>
      </c>
      <c r="C23" s="278" t="str">
        <f t="shared" ref="C23:C33" ca="1" si="54">IF(
  SUM(
    IFERROR(VALUE(F23), 0),
    IFERROR(VALUE(I23), 0),
    IFERROR(VALUE(L23), 0),
    IFERROR(VALUE(O23), 0),
    IFERROR(VALUE(R23), 0),
    IFERROR(VALUE(U23), 0),
    IFERROR(VALUE(X23), 0),
    IFERROR(VALUE(AA23), 0),
    IFERROR(VALUE(AD23), 0),
    IFERROR(VALUE(AG23), 0)
  ) = 0,
  "",
  SUM(
    IFERROR(VALUE(F23), 0),
    IFERROR(VALUE(I23), 0),
    IFERROR(VALUE(L23), 0),
    IFERROR(VALUE(O23), 0),
    IFERROR(VALUE(R23), 0),
    IFERROR(VALUE(U23), 0),
    IFERROR(VALUE(X23), 0),
    IFERROR(VALUE(AA23), 0),
    IFERROR(VALUE(AD23), 0),
    IFERROR(VALUE(AG23), 0)
  )
)</f>
        <v/>
      </c>
      <c r="D23" s="278" t="str">
        <f t="shared" ca="1" si="52"/>
        <v/>
      </c>
      <c r="E23" s="278" t="str">
        <f t="shared" ca="1" si="53"/>
        <v/>
      </c>
      <c r="F23" s="218" t="str">
        <f t="shared" ref="F23:F33" ca="1" si="55">IF(COUNTIFS(INDIRECT("'"&amp;F$3&amp;"'!G:G"), $B23, INDIRECT("'"&amp;F$3&amp;"'!W:W"), $H$19)=0, "", COUNTIFS(INDIRECT("'"&amp;F$3&amp;"'!G:G"), $B23, INDIRECT("'"&amp;F$3&amp;"'!W:W"), $H$19))</f>
        <v/>
      </c>
      <c r="G23" s="218" t="str">
        <f t="shared" ref="G23:G33" ca="1" si="56">IF(SUMIFS(INDIRECT("'"&amp;F$3&amp;"'!I:I"), INDIRECT("'"&amp;F$3&amp;"'!G:G"), $B23, INDIRECT("'"&amp;F$3&amp;"'!W:W"), $H$19)=0, "", SUMIFS(INDIRECT("'"&amp;F$3&amp;"'!I:I"), INDIRECT("'"&amp;F$3&amp;"'!G:G"), $B23, INDIRECT("'"&amp;F$3&amp;"'!W:W"), $H$19))</f>
        <v/>
      </c>
      <c r="H23" s="219" t="str">
        <f t="shared" ref="H23:H33" ca="1" si="57">IF(SUMIFS(INDIRECT("'"&amp;F$3&amp;"'!J:J"), INDIRECT("'"&amp;F$3&amp;"'!G:G"), $B23, INDIRECT("'"&amp;F$3&amp;"'!W:W"), $H$19)=0, "", SUMIFS(INDIRECT("'"&amp;F$3&amp;"'!J:J"), INDIRECT("'"&amp;F$3&amp;"'!G:G"), $B23, INDIRECT("'"&amp;F$3&amp;"'!W:W"), $H$19))</f>
        <v/>
      </c>
      <c r="I23" s="220" t="str">
        <f t="shared" ref="I23:I33" ca="1" si="58">IF(COUNTIFS(INDIRECT("'"&amp;I$3&amp;"'!G:G"), $B23, INDIRECT("'"&amp;I$3&amp;"'!W:W"), $H$19)=0, "", COUNTIFS(INDIRECT("'"&amp;I$3&amp;"'!G:G"), $B23, INDIRECT("'"&amp;I$3&amp;"'!W:W"), $H$19))</f>
        <v/>
      </c>
      <c r="J23" s="220" t="str">
        <f t="shared" ref="J23:J33" ca="1" si="59">IF(SUMIFS(INDIRECT("'"&amp;I$3&amp;"'!I:I"), INDIRECT("'"&amp;I$3&amp;"'!G:G"), $B23, INDIRECT("'"&amp;I$3&amp;"'!W:W"), $H$19)=0, "", SUMIFS(INDIRECT("'"&amp;I$3&amp;"'!I:I"), INDIRECT("'"&amp;I$3&amp;"'!G:G"), $B23, INDIRECT("'"&amp;I$3&amp;"'!W:W"), $H$19))</f>
        <v/>
      </c>
      <c r="K23" s="221" t="str">
        <f t="shared" ref="K23:K33" ca="1" si="60">IF(SUMIFS(INDIRECT("'"&amp;I$3&amp;"'!J:J"), INDIRECT("'"&amp;I$3&amp;"'!G:G"), $B23, INDIRECT("'"&amp;I$3&amp;"'!W:W"), $H$19)=0, "", SUMIFS(INDIRECT("'"&amp;I$3&amp;"'!J:J"), INDIRECT("'"&amp;I$3&amp;"'!G:G"), $B23, INDIRECT("'"&amp;I$3&amp;"'!W:W"), $H$19))</f>
        <v/>
      </c>
      <c r="L23" s="218" t="str">
        <f t="shared" ref="L23:L33" ca="1" si="61">IF(COUNTIFS(INDIRECT("'"&amp;L$3&amp;"'!G:G"), $B23, INDIRECT("'"&amp;L$3&amp;"'!W:W"), $H$19)=0, "", COUNTIFS(INDIRECT("'"&amp;L$3&amp;"'!G:G"), $B23, INDIRECT("'"&amp;L$3&amp;"'!W:W"), $H$19))</f>
        <v/>
      </c>
      <c r="M23" s="218" t="str">
        <f t="shared" ref="M23:M33" ca="1" si="62">IF(SUMIFS(INDIRECT("'"&amp;L$3&amp;"'!I:I"), INDIRECT("'"&amp;L$3&amp;"'!G:G"), $B23, INDIRECT("'"&amp;L$3&amp;"'!W:W"), $H$19)=0, "", SUMIFS(INDIRECT("'"&amp;L$3&amp;"'!I:I"), INDIRECT("'"&amp;L$3&amp;"'!G:G"), $B23, INDIRECT("'"&amp;L$3&amp;"'!W:W"), $H$19))</f>
        <v/>
      </c>
      <c r="N23" s="219" t="str">
        <f t="shared" ref="N23:N33" ca="1" si="63">IF(SUMIFS(INDIRECT("'"&amp;L$3&amp;"'!J:J"), INDIRECT("'"&amp;L$3&amp;"'!G:G"), $B23, INDIRECT("'"&amp;L$3&amp;"'!W:W"), $H$19)=0, "", SUMIFS(INDIRECT("'"&amp;L$3&amp;"'!J:J"), INDIRECT("'"&amp;L$3&amp;"'!G:G"), $B23, INDIRECT("'"&amp;L$3&amp;"'!W:W"), $H$19))</f>
        <v/>
      </c>
      <c r="O23" s="220" t="str">
        <f t="shared" ref="O23:O33" ca="1" si="64">IF(COUNTIFS(INDIRECT("'"&amp;O$3&amp;"'!G:G"), $B23, INDIRECT("'"&amp;O$3&amp;"'!W:W"), $H$19)=0, "", COUNTIFS(INDIRECT("'"&amp;O$3&amp;"'!G:G"), $B23, INDIRECT("'"&amp;O$3&amp;"'!W:W"), $H$19))</f>
        <v/>
      </c>
      <c r="P23" s="220" t="str">
        <f t="shared" ref="P23:P33" ca="1" si="65">IF(SUMIFS(INDIRECT("'"&amp;O$3&amp;"'!I:I"), INDIRECT("'"&amp;O$3&amp;"'!G:G"), $B23, INDIRECT("'"&amp;O$3&amp;"'!W:W"), $H$19)=0, "", SUMIFS(INDIRECT("'"&amp;O$3&amp;"'!I:I"), INDIRECT("'"&amp;O$3&amp;"'!G:G"), $B23, INDIRECT("'"&amp;O$3&amp;"'!W:W"), $H$19))</f>
        <v/>
      </c>
      <c r="Q23" s="221" t="str">
        <f t="shared" ref="Q23:Q33" ca="1" si="66">IF(SUMIFS(INDIRECT("'"&amp;O$3&amp;"'!J:J"), INDIRECT("'"&amp;O$3&amp;"'!G:G"), $B23, INDIRECT("'"&amp;O$3&amp;"'!W:W"), $H$19)=0, "", SUMIFS(INDIRECT("'"&amp;O$3&amp;"'!J:J"), INDIRECT("'"&amp;O$3&amp;"'!G:G"), $B23, INDIRECT("'"&amp;O$3&amp;"'!W:W"), $H$19))</f>
        <v/>
      </c>
      <c r="R23" s="218" t="str">
        <f t="shared" ref="R23:R33" ca="1" si="67">IF(COUNTIFS(INDIRECT("'"&amp;R$3&amp;"'!G:G"), $B23, INDIRECT("'"&amp;R$3&amp;"'!W:W"), $H$19)=0, "", COUNTIFS(INDIRECT("'"&amp;R$3&amp;"'!G:G"), $B23, INDIRECT("'"&amp;R$3&amp;"'!W:W"), $H$19))</f>
        <v/>
      </c>
      <c r="S23" s="218" t="str">
        <f t="shared" ref="S23:S33" ca="1" si="68">IF(SUMIFS(INDIRECT("'"&amp;R$3&amp;"'!I:I"), INDIRECT("'"&amp;R$3&amp;"'!G:G"), $B23, INDIRECT("'"&amp;R$3&amp;"'!W:W"), $H$19)=0, "", SUMIFS(INDIRECT("'"&amp;R$3&amp;"'!I:I"), INDIRECT("'"&amp;R$3&amp;"'!G:G"), $B23, INDIRECT("'"&amp;R$3&amp;"'!W:W"), $H$19))</f>
        <v/>
      </c>
      <c r="T23" s="219" t="str">
        <f t="shared" ref="T23:T33" ca="1" si="69">IF(SUMIFS(INDIRECT("'"&amp;R$3&amp;"'!J:J"), INDIRECT("'"&amp;R$3&amp;"'!G:G"), $B23, INDIRECT("'"&amp;R$3&amp;"'!W:W"), $H$19)=0, "", SUMIFS(INDIRECT("'"&amp;R$3&amp;"'!J:J"), INDIRECT("'"&amp;R$3&amp;"'!G:G"), $B23, INDIRECT("'"&amp;R$3&amp;"'!W:W"), $H$19))</f>
        <v/>
      </c>
      <c r="U23" s="220" t="str">
        <f t="shared" ref="U23:U33" ca="1" si="70">IF(COUNTIFS(INDIRECT("'"&amp;U$3&amp;"'!G:G"), $B23, INDIRECT("'"&amp;U$3&amp;"'!W:W"), $H$19)=0, "", COUNTIFS(INDIRECT("'"&amp;U$3&amp;"'!G:G"), $B23, INDIRECT("'"&amp;U$3&amp;"'!W:W"), $H$19))</f>
        <v/>
      </c>
      <c r="V23" s="220" t="str">
        <f t="shared" ref="V23:V33" ca="1" si="71">IF(SUMIFS(INDIRECT("'"&amp;U$3&amp;"'!I:I"), INDIRECT("'"&amp;U$3&amp;"'!G:G"), $B23, INDIRECT("'"&amp;U$3&amp;"'!W:W"), $H$19)=0, "", SUMIFS(INDIRECT("'"&amp;U$3&amp;"'!I:I"), INDIRECT("'"&amp;U$3&amp;"'!G:G"), $B23, INDIRECT("'"&amp;U$3&amp;"'!W:W"), $H$19))</f>
        <v/>
      </c>
      <c r="W23" s="221" t="str">
        <f t="shared" ref="W23:W33" ca="1" si="72">IF(SUMIFS(INDIRECT("'"&amp;U$3&amp;"'!J:J"), INDIRECT("'"&amp;U$3&amp;"'!G:G"), $B23, INDIRECT("'"&amp;U$3&amp;"'!W:W"), $H$19)=0, "", SUMIFS(INDIRECT("'"&amp;U$3&amp;"'!J:J"), INDIRECT("'"&amp;U$3&amp;"'!G:G"), $B23, INDIRECT("'"&amp;U$3&amp;"'!W:W"), $H$19))</f>
        <v/>
      </c>
      <c r="X23" s="218" t="str">
        <f t="shared" ref="X23:X33" ca="1" si="73">IF(COUNTIFS(INDIRECT("'"&amp;X$3&amp;"'!G:G"), $B23, INDIRECT("'"&amp;X$3&amp;"'!W:W"), $H$19)=0, "", COUNTIFS(INDIRECT("'"&amp;X$3&amp;"'!G:G"), $B23, INDIRECT("'"&amp;X$3&amp;"'!W:W"), $H$19))</f>
        <v/>
      </c>
      <c r="Y23" s="218" t="str">
        <f t="shared" ref="Y23:Y33" ca="1" si="74">IF(SUMIFS(INDIRECT("'"&amp;X$3&amp;"'!I:I"), INDIRECT("'"&amp;X$3&amp;"'!G:G"), $B23, INDIRECT("'"&amp;X$3&amp;"'!W:W"), $H$19)=0, "", SUMIFS(INDIRECT("'"&amp;X$3&amp;"'!I:I"), INDIRECT("'"&amp;X$3&amp;"'!G:G"), $B23, INDIRECT("'"&amp;X$3&amp;"'!W:W"), $H$19))</f>
        <v/>
      </c>
      <c r="Z23" s="219" t="str">
        <f t="shared" ref="Z23:Z33" ca="1" si="75">IF(SUMIFS(INDIRECT("'"&amp;X$3&amp;"'!J:J"), INDIRECT("'"&amp;X$3&amp;"'!G:G"), $B23, INDIRECT("'"&amp;X$3&amp;"'!W:W"), $H$19)=0, "", SUMIFS(INDIRECT("'"&amp;X$3&amp;"'!J:J"), INDIRECT("'"&amp;X$3&amp;"'!G:G"), $B23, INDIRECT("'"&amp;X$3&amp;"'!W:W"), $H$19))</f>
        <v/>
      </c>
      <c r="AA23" s="220" t="str">
        <f t="shared" ref="AA23:AA33" ca="1" si="76">IF(COUNTIFS(INDIRECT("'"&amp;AA$3&amp;"'!G:G"), $B23, INDIRECT("'"&amp;AA$3&amp;"'!W:W"), $H$19)=0, "", COUNTIFS(INDIRECT("'"&amp;AA$3&amp;"'!G:G"), $B23, INDIRECT("'"&amp;AA$3&amp;"'!W:W"), $H$19))</f>
        <v/>
      </c>
      <c r="AB23" s="220" t="str">
        <f t="shared" ref="AB23:AB33" ca="1" si="77">IF(SUMIFS(INDIRECT("'"&amp;AA$3&amp;"'!I:I"), INDIRECT("'"&amp;AA$3&amp;"'!G:G"), $B23, INDIRECT("'"&amp;AA$3&amp;"'!W:W"), $H$19)=0, "", SUMIFS(INDIRECT("'"&amp;AA$3&amp;"'!I:I"), INDIRECT("'"&amp;AA$3&amp;"'!G:G"), $B23, INDIRECT("'"&amp;AA$3&amp;"'!W:W"), $H$19))</f>
        <v/>
      </c>
      <c r="AC23" s="221" t="str">
        <f t="shared" ref="AC23:AC33" ca="1" si="78">IF(SUMIFS(INDIRECT("'"&amp;AA$3&amp;"'!J:J"), INDIRECT("'"&amp;AA$3&amp;"'!G:G"), $B23, INDIRECT("'"&amp;AA$3&amp;"'!W:W"), $H$19)=0, "", SUMIFS(INDIRECT("'"&amp;AA$3&amp;"'!J:J"), INDIRECT("'"&amp;AA$3&amp;"'!G:G"), $B23, INDIRECT("'"&amp;AA$3&amp;"'!W:W"), $H$19))</f>
        <v/>
      </c>
      <c r="AD23" s="218" t="str">
        <f t="shared" ref="AD23:AD33" ca="1" si="79">IF(COUNTIFS(INDIRECT("'"&amp;AD$3&amp;"'!G:G"), $B23, INDIRECT("'"&amp;AD$3&amp;"'!W:W"), $H$19)=0, "", COUNTIFS(INDIRECT("'"&amp;AD$3&amp;"'!G:G"), $B23, INDIRECT("'"&amp;AD$3&amp;"'!W:W"), $H$19))</f>
        <v/>
      </c>
      <c r="AE23" s="218" t="str">
        <f t="shared" ref="AE23:AE33" ca="1" si="80">IF(SUMIFS(INDIRECT("'"&amp;AD$3&amp;"'!I:I"), INDIRECT("'"&amp;AD$3&amp;"'!G:G"), $B23, INDIRECT("'"&amp;AD$3&amp;"'!W:W"), $H$19)=0, "", SUMIFS(INDIRECT("'"&amp;AD$3&amp;"'!I:I"), INDIRECT("'"&amp;AD$3&amp;"'!G:G"), $B23, INDIRECT("'"&amp;AD$3&amp;"'!W:W"), $H$19))</f>
        <v/>
      </c>
      <c r="AF23" s="219" t="str">
        <f t="shared" ref="AF23:AF33" ca="1" si="81">IF(SUMIFS(INDIRECT("'"&amp;AD$3&amp;"'!J:J"), INDIRECT("'"&amp;AD$3&amp;"'!G:G"), $B23, INDIRECT("'"&amp;AD$3&amp;"'!W:W"), $H$19)=0, "", SUMIFS(INDIRECT("'"&amp;AD$3&amp;"'!J:J"), INDIRECT("'"&amp;AD$3&amp;"'!G:G"), $B23, INDIRECT("'"&amp;AD$3&amp;"'!W:W"), $H$19))</f>
        <v/>
      </c>
      <c r="AG23" s="220" t="str">
        <f t="shared" ref="AG23:AG33" ca="1" si="82">IF(COUNTIFS(INDIRECT("'"&amp;AG$3&amp;"'!G:G"), $B23, INDIRECT("'"&amp;AG$3&amp;"'!W:W"), $H$19)=0, "", COUNTIFS(INDIRECT("'"&amp;AG$3&amp;"'!G:G"), $B23, INDIRECT("'"&amp;AG$3&amp;"'!W:W"), $H$19))</f>
        <v/>
      </c>
      <c r="AH23" s="220" t="str">
        <f t="shared" ref="AH23:AH33" ca="1" si="83">IF(SUMIFS(INDIRECT("'"&amp;AG$3&amp;"'!I:I"), INDIRECT("'"&amp;AG$3&amp;"'!G:G"), $B23, INDIRECT("'"&amp;AG$3&amp;"'!W:W"), $H$19)=0, "", SUMIFS(INDIRECT("'"&amp;AG$3&amp;"'!I:I"), INDIRECT("'"&amp;AG$3&amp;"'!G:G"), $B23, INDIRECT("'"&amp;AG$3&amp;"'!W:W"), $H$19))</f>
        <v/>
      </c>
      <c r="AI23" s="224" t="str">
        <f t="shared" ref="AI23:AI33" ca="1" si="84">IF(SUMIFS(INDIRECT("'"&amp;AG$3&amp;"'!J:J"), INDIRECT("'"&amp;AG$3&amp;"'!G:G"), $B23, INDIRECT("'"&amp;AG$3&amp;"'!W:W"), $H$19)=0, "", SUMIFS(INDIRECT("'"&amp;AG$3&amp;"'!J:J"), INDIRECT("'"&amp;AG$3&amp;"'!G:G"), $B23, INDIRECT("'"&amp;AG$3&amp;"'!W:W"), $H$19))</f>
        <v/>
      </c>
    </row>
    <row r="24" spans="2:35" x14ac:dyDescent="0.25">
      <c r="B24" s="222">
        <v>3</v>
      </c>
      <c r="C24" s="278" t="str">
        <f t="shared" ca="1" si="54"/>
        <v/>
      </c>
      <c r="D24" s="278" t="str">
        <f t="shared" ca="1" si="52"/>
        <v/>
      </c>
      <c r="E24" s="278" t="str">
        <f t="shared" ca="1" si="53"/>
        <v/>
      </c>
      <c r="F24" s="218" t="str">
        <f t="shared" ca="1" si="55"/>
        <v/>
      </c>
      <c r="G24" s="218" t="str">
        <f t="shared" ca="1" si="56"/>
        <v/>
      </c>
      <c r="H24" s="219" t="str">
        <f t="shared" ca="1" si="57"/>
        <v/>
      </c>
      <c r="I24" s="220" t="str">
        <f t="shared" ca="1" si="58"/>
        <v/>
      </c>
      <c r="J24" s="220" t="str">
        <f t="shared" ca="1" si="59"/>
        <v/>
      </c>
      <c r="K24" s="221" t="str">
        <f t="shared" ca="1" si="60"/>
        <v/>
      </c>
      <c r="L24" s="218" t="str">
        <f t="shared" ca="1" si="61"/>
        <v/>
      </c>
      <c r="M24" s="218" t="str">
        <f t="shared" ca="1" si="62"/>
        <v/>
      </c>
      <c r="N24" s="219" t="str">
        <f t="shared" ca="1" si="63"/>
        <v/>
      </c>
      <c r="O24" s="220" t="str">
        <f t="shared" ca="1" si="64"/>
        <v/>
      </c>
      <c r="P24" s="220" t="str">
        <f t="shared" ca="1" si="65"/>
        <v/>
      </c>
      <c r="Q24" s="221" t="str">
        <f t="shared" ca="1" si="66"/>
        <v/>
      </c>
      <c r="R24" s="218" t="str">
        <f t="shared" ca="1" si="67"/>
        <v/>
      </c>
      <c r="S24" s="218" t="str">
        <f t="shared" ca="1" si="68"/>
        <v/>
      </c>
      <c r="T24" s="219" t="str">
        <f t="shared" ca="1" si="69"/>
        <v/>
      </c>
      <c r="U24" s="220" t="str">
        <f t="shared" ca="1" si="70"/>
        <v/>
      </c>
      <c r="V24" s="220" t="str">
        <f t="shared" ca="1" si="71"/>
        <v/>
      </c>
      <c r="W24" s="221" t="str">
        <f t="shared" ca="1" si="72"/>
        <v/>
      </c>
      <c r="X24" s="218" t="str">
        <f t="shared" ca="1" si="73"/>
        <v/>
      </c>
      <c r="Y24" s="218" t="str">
        <f t="shared" ca="1" si="74"/>
        <v/>
      </c>
      <c r="Z24" s="219" t="str">
        <f t="shared" ca="1" si="75"/>
        <v/>
      </c>
      <c r="AA24" s="220" t="str">
        <f t="shared" ca="1" si="76"/>
        <v/>
      </c>
      <c r="AB24" s="220" t="str">
        <f t="shared" ca="1" si="77"/>
        <v/>
      </c>
      <c r="AC24" s="221" t="str">
        <f t="shared" ca="1" si="78"/>
        <v/>
      </c>
      <c r="AD24" s="218" t="str">
        <f t="shared" ca="1" si="79"/>
        <v/>
      </c>
      <c r="AE24" s="218" t="str">
        <f t="shared" ca="1" si="80"/>
        <v/>
      </c>
      <c r="AF24" s="219" t="str">
        <f t="shared" ca="1" si="81"/>
        <v/>
      </c>
      <c r="AG24" s="220" t="str">
        <f t="shared" ca="1" si="82"/>
        <v/>
      </c>
      <c r="AH24" s="220" t="str">
        <f t="shared" ca="1" si="83"/>
        <v/>
      </c>
      <c r="AI24" s="224" t="str">
        <f t="shared" ca="1" si="84"/>
        <v/>
      </c>
    </row>
    <row r="25" spans="2:35" x14ac:dyDescent="0.25">
      <c r="B25" s="222">
        <v>4</v>
      </c>
      <c r="C25" s="278" t="str">
        <f t="shared" ca="1" si="54"/>
        <v/>
      </c>
      <c r="D25" s="278" t="str">
        <f t="shared" ca="1" si="52"/>
        <v/>
      </c>
      <c r="E25" s="278" t="str">
        <f t="shared" ca="1" si="53"/>
        <v/>
      </c>
      <c r="F25" s="218" t="str">
        <f t="shared" ca="1" si="55"/>
        <v/>
      </c>
      <c r="G25" s="218" t="str">
        <f t="shared" ca="1" si="56"/>
        <v/>
      </c>
      <c r="H25" s="219" t="str">
        <f t="shared" ca="1" si="57"/>
        <v/>
      </c>
      <c r="I25" s="220" t="str">
        <f t="shared" ca="1" si="58"/>
        <v/>
      </c>
      <c r="J25" s="220" t="str">
        <f t="shared" ca="1" si="59"/>
        <v/>
      </c>
      <c r="K25" s="221" t="str">
        <f t="shared" ca="1" si="60"/>
        <v/>
      </c>
      <c r="L25" s="218" t="str">
        <f t="shared" ca="1" si="61"/>
        <v/>
      </c>
      <c r="M25" s="218" t="str">
        <f t="shared" ca="1" si="62"/>
        <v/>
      </c>
      <c r="N25" s="219" t="str">
        <f t="shared" ca="1" si="63"/>
        <v/>
      </c>
      <c r="O25" s="220" t="str">
        <f t="shared" ca="1" si="64"/>
        <v/>
      </c>
      <c r="P25" s="220" t="str">
        <f t="shared" ca="1" si="65"/>
        <v/>
      </c>
      <c r="Q25" s="221" t="str">
        <f t="shared" ca="1" si="66"/>
        <v/>
      </c>
      <c r="R25" s="218" t="str">
        <f t="shared" ca="1" si="67"/>
        <v/>
      </c>
      <c r="S25" s="218" t="str">
        <f t="shared" ca="1" si="68"/>
        <v/>
      </c>
      <c r="T25" s="219" t="str">
        <f t="shared" ca="1" si="69"/>
        <v/>
      </c>
      <c r="U25" s="220" t="str">
        <f t="shared" ca="1" si="70"/>
        <v/>
      </c>
      <c r="V25" s="220" t="str">
        <f t="shared" ca="1" si="71"/>
        <v/>
      </c>
      <c r="W25" s="221" t="str">
        <f t="shared" ca="1" si="72"/>
        <v/>
      </c>
      <c r="X25" s="218" t="str">
        <f t="shared" ca="1" si="73"/>
        <v/>
      </c>
      <c r="Y25" s="218" t="str">
        <f t="shared" ca="1" si="74"/>
        <v/>
      </c>
      <c r="Z25" s="219" t="str">
        <f t="shared" ca="1" si="75"/>
        <v/>
      </c>
      <c r="AA25" s="220" t="str">
        <f t="shared" ca="1" si="76"/>
        <v/>
      </c>
      <c r="AB25" s="220" t="str">
        <f t="shared" ca="1" si="77"/>
        <v/>
      </c>
      <c r="AC25" s="221" t="str">
        <f t="shared" ca="1" si="78"/>
        <v/>
      </c>
      <c r="AD25" s="218" t="str">
        <f t="shared" ca="1" si="79"/>
        <v/>
      </c>
      <c r="AE25" s="218" t="str">
        <f t="shared" ca="1" si="80"/>
        <v/>
      </c>
      <c r="AF25" s="219" t="str">
        <f t="shared" ca="1" si="81"/>
        <v/>
      </c>
      <c r="AG25" s="220" t="str">
        <f t="shared" ca="1" si="82"/>
        <v/>
      </c>
      <c r="AH25" s="220" t="str">
        <f t="shared" ca="1" si="83"/>
        <v/>
      </c>
      <c r="AI25" s="224" t="str">
        <f t="shared" ca="1" si="84"/>
        <v/>
      </c>
    </row>
    <row r="26" spans="2:35" x14ac:dyDescent="0.25">
      <c r="B26" s="222">
        <v>5</v>
      </c>
      <c r="C26" s="278" t="str">
        <f t="shared" ca="1" si="54"/>
        <v/>
      </c>
      <c r="D26" s="278" t="str">
        <f t="shared" ca="1" si="52"/>
        <v/>
      </c>
      <c r="E26" s="278" t="str">
        <f t="shared" ca="1" si="53"/>
        <v/>
      </c>
      <c r="F26" s="218" t="str">
        <f t="shared" ca="1" si="55"/>
        <v/>
      </c>
      <c r="G26" s="218" t="str">
        <f t="shared" ca="1" si="56"/>
        <v/>
      </c>
      <c r="H26" s="219" t="str">
        <f t="shared" ca="1" si="57"/>
        <v/>
      </c>
      <c r="I26" s="220" t="str">
        <f t="shared" ca="1" si="58"/>
        <v/>
      </c>
      <c r="J26" s="220" t="str">
        <f t="shared" ca="1" si="59"/>
        <v/>
      </c>
      <c r="K26" s="221" t="str">
        <f t="shared" ca="1" si="60"/>
        <v/>
      </c>
      <c r="L26" s="218" t="str">
        <f t="shared" ca="1" si="61"/>
        <v/>
      </c>
      <c r="M26" s="218" t="str">
        <f t="shared" ca="1" si="62"/>
        <v/>
      </c>
      <c r="N26" s="219" t="str">
        <f t="shared" ca="1" si="63"/>
        <v/>
      </c>
      <c r="O26" s="220" t="str">
        <f t="shared" ca="1" si="64"/>
        <v/>
      </c>
      <c r="P26" s="220" t="str">
        <f t="shared" ca="1" si="65"/>
        <v/>
      </c>
      <c r="Q26" s="221" t="str">
        <f t="shared" ca="1" si="66"/>
        <v/>
      </c>
      <c r="R26" s="218" t="str">
        <f t="shared" ca="1" si="67"/>
        <v/>
      </c>
      <c r="S26" s="218" t="str">
        <f t="shared" ca="1" si="68"/>
        <v/>
      </c>
      <c r="T26" s="219" t="str">
        <f t="shared" ca="1" si="69"/>
        <v/>
      </c>
      <c r="U26" s="220" t="str">
        <f t="shared" ca="1" si="70"/>
        <v/>
      </c>
      <c r="V26" s="220" t="str">
        <f t="shared" ca="1" si="71"/>
        <v/>
      </c>
      <c r="W26" s="221" t="str">
        <f t="shared" ca="1" si="72"/>
        <v/>
      </c>
      <c r="X26" s="218" t="str">
        <f t="shared" ca="1" si="73"/>
        <v/>
      </c>
      <c r="Y26" s="218" t="str">
        <f t="shared" ca="1" si="74"/>
        <v/>
      </c>
      <c r="Z26" s="219" t="str">
        <f t="shared" ca="1" si="75"/>
        <v/>
      </c>
      <c r="AA26" s="220" t="str">
        <f t="shared" ca="1" si="76"/>
        <v/>
      </c>
      <c r="AB26" s="220" t="str">
        <f t="shared" ca="1" si="77"/>
        <v/>
      </c>
      <c r="AC26" s="221" t="str">
        <f t="shared" ca="1" si="78"/>
        <v/>
      </c>
      <c r="AD26" s="218" t="str">
        <f t="shared" ca="1" si="79"/>
        <v/>
      </c>
      <c r="AE26" s="218" t="str">
        <f t="shared" ca="1" si="80"/>
        <v/>
      </c>
      <c r="AF26" s="219" t="str">
        <f t="shared" ca="1" si="81"/>
        <v/>
      </c>
      <c r="AG26" s="220" t="str">
        <f t="shared" ca="1" si="82"/>
        <v/>
      </c>
      <c r="AH26" s="220" t="str">
        <f t="shared" ca="1" si="83"/>
        <v/>
      </c>
      <c r="AI26" s="224" t="str">
        <f t="shared" ca="1" si="84"/>
        <v/>
      </c>
    </row>
    <row r="27" spans="2:35" x14ac:dyDescent="0.25">
      <c r="B27" s="222">
        <v>6</v>
      </c>
      <c r="C27" s="278" t="str">
        <f t="shared" ca="1" si="54"/>
        <v/>
      </c>
      <c r="D27" s="278" t="str">
        <f t="shared" ca="1" si="52"/>
        <v/>
      </c>
      <c r="E27" s="278" t="str">
        <f t="shared" ca="1" si="53"/>
        <v/>
      </c>
      <c r="F27" s="218" t="str">
        <f t="shared" ca="1" si="55"/>
        <v/>
      </c>
      <c r="G27" s="218" t="str">
        <f t="shared" ca="1" si="56"/>
        <v/>
      </c>
      <c r="H27" s="219" t="str">
        <f t="shared" ca="1" si="57"/>
        <v/>
      </c>
      <c r="I27" s="220" t="str">
        <f t="shared" ca="1" si="58"/>
        <v/>
      </c>
      <c r="J27" s="220" t="str">
        <f t="shared" ca="1" si="59"/>
        <v/>
      </c>
      <c r="K27" s="221" t="str">
        <f t="shared" ca="1" si="60"/>
        <v/>
      </c>
      <c r="L27" s="218" t="str">
        <f t="shared" ca="1" si="61"/>
        <v/>
      </c>
      <c r="M27" s="218" t="str">
        <f t="shared" ca="1" si="62"/>
        <v/>
      </c>
      <c r="N27" s="219" t="str">
        <f t="shared" ca="1" si="63"/>
        <v/>
      </c>
      <c r="O27" s="220" t="str">
        <f t="shared" ca="1" si="64"/>
        <v/>
      </c>
      <c r="P27" s="220" t="str">
        <f t="shared" ca="1" si="65"/>
        <v/>
      </c>
      <c r="Q27" s="221" t="str">
        <f t="shared" ca="1" si="66"/>
        <v/>
      </c>
      <c r="R27" s="218" t="str">
        <f t="shared" ca="1" si="67"/>
        <v/>
      </c>
      <c r="S27" s="218" t="str">
        <f t="shared" ca="1" si="68"/>
        <v/>
      </c>
      <c r="T27" s="219" t="str">
        <f t="shared" ca="1" si="69"/>
        <v/>
      </c>
      <c r="U27" s="220" t="str">
        <f t="shared" ca="1" si="70"/>
        <v/>
      </c>
      <c r="V27" s="220" t="str">
        <f t="shared" ca="1" si="71"/>
        <v/>
      </c>
      <c r="W27" s="221" t="str">
        <f t="shared" ca="1" si="72"/>
        <v/>
      </c>
      <c r="X27" s="218" t="str">
        <f t="shared" ca="1" si="73"/>
        <v/>
      </c>
      <c r="Y27" s="218" t="str">
        <f t="shared" ca="1" si="74"/>
        <v/>
      </c>
      <c r="Z27" s="219" t="str">
        <f t="shared" ca="1" si="75"/>
        <v/>
      </c>
      <c r="AA27" s="220" t="str">
        <f t="shared" ca="1" si="76"/>
        <v/>
      </c>
      <c r="AB27" s="220" t="str">
        <f t="shared" ca="1" si="77"/>
        <v/>
      </c>
      <c r="AC27" s="221" t="str">
        <f t="shared" ca="1" si="78"/>
        <v/>
      </c>
      <c r="AD27" s="218" t="str">
        <f t="shared" ca="1" si="79"/>
        <v/>
      </c>
      <c r="AE27" s="218" t="str">
        <f t="shared" ca="1" si="80"/>
        <v/>
      </c>
      <c r="AF27" s="219" t="str">
        <f t="shared" ca="1" si="81"/>
        <v/>
      </c>
      <c r="AG27" s="220" t="str">
        <f t="shared" ca="1" si="82"/>
        <v/>
      </c>
      <c r="AH27" s="220" t="str">
        <f t="shared" ca="1" si="83"/>
        <v/>
      </c>
      <c r="AI27" s="224" t="str">
        <f t="shared" ca="1" si="84"/>
        <v/>
      </c>
    </row>
    <row r="28" spans="2:35" x14ac:dyDescent="0.25">
      <c r="B28" s="222">
        <v>7</v>
      </c>
      <c r="C28" s="278" t="str">
        <f t="shared" ca="1" si="54"/>
        <v/>
      </c>
      <c r="D28" s="278" t="str">
        <f t="shared" ca="1" si="52"/>
        <v/>
      </c>
      <c r="E28" s="278" t="str">
        <f t="shared" ca="1" si="53"/>
        <v/>
      </c>
      <c r="F28" s="218" t="str">
        <f t="shared" ca="1" si="55"/>
        <v/>
      </c>
      <c r="G28" s="218" t="str">
        <f t="shared" ca="1" si="56"/>
        <v/>
      </c>
      <c r="H28" s="219" t="str">
        <f t="shared" ca="1" si="57"/>
        <v/>
      </c>
      <c r="I28" s="220" t="str">
        <f t="shared" ca="1" si="58"/>
        <v/>
      </c>
      <c r="J28" s="220" t="str">
        <f t="shared" ca="1" si="59"/>
        <v/>
      </c>
      <c r="K28" s="221" t="str">
        <f t="shared" ca="1" si="60"/>
        <v/>
      </c>
      <c r="L28" s="218" t="str">
        <f t="shared" ca="1" si="61"/>
        <v/>
      </c>
      <c r="M28" s="218" t="str">
        <f t="shared" ca="1" si="62"/>
        <v/>
      </c>
      <c r="N28" s="219" t="str">
        <f t="shared" ca="1" si="63"/>
        <v/>
      </c>
      <c r="O28" s="220" t="str">
        <f t="shared" ca="1" si="64"/>
        <v/>
      </c>
      <c r="P28" s="220" t="str">
        <f t="shared" ca="1" si="65"/>
        <v/>
      </c>
      <c r="Q28" s="221" t="str">
        <f t="shared" ca="1" si="66"/>
        <v/>
      </c>
      <c r="R28" s="218" t="str">
        <f t="shared" ca="1" si="67"/>
        <v/>
      </c>
      <c r="S28" s="218" t="str">
        <f t="shared" ca="1" si="68"/>
        <v/>
      </c>
      <c r="T28" s="219" t="str">
        <f t="shared" ca="1" si="69"/>
        <v/>
      </c>
      <c r="U28" s="220" t="str">
        <f t="shared" ca="1" si="70"/>
        <v/>
      </c>
      <c r="V28" s="220" t="str">
        <f t="shared" ca="1" si="71"/>
        <v/>
      </c>
      <c r="W28" s="221" t="str">
        <f t="shared" ca="1" si="72"/>
        <v/>
      </c>
      <c r="X28" s="218" t="str">
        <f t="shared" ca="1" si="73"/>
        <v/>
      </c>
      <c r="Y28" s="218" t="str">
        <f t="shared" ca="1" si="74"/>
        <v/>
      </c>
      <c r="Z28" s="219" t="str">
        <f t="shared" ca="1" si="75"/>
        <v/>
      </c>
      <c r="AA28" s="220" t="str">
        <f t="shared" ca="1" si="76"/>
        <v/>
      </c>
      <c r="AB28" s="220" t="str">
        <f t="shared" ca="1" si="77"/>
        <v/>
      </c>
      <c r="AC28" s="221" t="str">
        <f t="shared" ca="1" si="78"/>
        <v/>
      </c>
      <c r="AD28" s="218" t="str">
        <f t="shared" ca="1" si="79"/>
        <v/>
      </c>
      <c r="AE28" s="218" t="str">
        <f t="shared" ca="1" si="80"/>
        <v/>
      </c>
      <c r="AF28" s="219" t="str">
        <f t="shared" ca="1" si="81"/>
        <v/>
      </c>
      <c r="AG28" s="220" t="str">
        <f t="shared" ca="1" si="82"/>
        <v/>
      </c>
      <c r="AH28" s="220" t="str">
        <f t="shared" ca="1" si="83"/>
        <v/>
      </c>
      <c r="AI28" s="224" t="str">
        <f t="shared" ca="1" si="84"/>
        <v/>
      </c>
    </row>
    <row r="29" spans="2:35" x14ac:dyDescent="0.25">
      <c r="B29" s="222">
        <v>8</v>
      </c>
      <c r="C29" s="278" t="str">
        <f t="shared" ca="1" si="54"/>
        <v/>
      </c>
      <c r="D29" s="278" t="str">
        <f t="shared" ca="1" si="52"/>
        <v/>
      </c>
      <c r="E29" s="278" t="str">
        <f t="shared" ca="1" si="53"/>
        <v/>
      </c>
      <c r="F29" s="218" t="str">
        <f t="shared" ca="1" si="55"/>
        <v/>
      </c>
      <c r="G29" s="218" t="str">
        <f t="shared" ca="1" si="56"/>
        <v/>
      </c>
      <c r="H29" s="219" t="str">
        <f t="shared" ca="1" si="57"/>
        <v/>
      </c>
      <c r="I29" s="220" t="str">
        <f t="shared" ca="1" si="58"/>
        <v/>
      </c>
      <c r="J29" s="220" t="str">
        <f t="shared" ca="1" si="59"/>
        <v/>
      </c>
      <c r="K29" s="221" t="str">
        <f t="shared" ca="1" si="60"/>
        <v/>
      </c>
      <c r="L29" s="218" t="str">
        <f t="shared" ca="1" si="61"/>
        <v/>
      </c>
      <c r="M29" s="218" t="str">
        <f t="shared" ca="1" si="62"/>
        <v/>
      </c>
      <c r="N29" s="219" t="str">
        <f t="shared" ca="1" si="63"/>
        <v/>
      </c>
      <c r="O29" s="220" t="str">
        <f t="shared" ca="1" si="64"/>
        <v/>
      </c>
      <c r="P29" s="220" t="str">
        <f t="shared" ca="1" si="65"/>
        <v/>
      </c>
      <c r="Q29" s="221" t="str">
        <f t="shared" ca="1" si="66"/>
        <v/>
      </c>
      <c r="R29" s="218" t="str">
        <f t="shared" ca="1" si="67"/>
        <v/>
      </c>
      <c r="S29" s="218" t="str">
        <f t="shared" ca="1" si="68"/>
        <v/>
      </c>
      <c r="T29" s="219" t="str">
        <f t="shared" ca="1" si="69"/>
        <v/>
      </c>
      <c r="U29" s="220" t="str">
        <f t="shared" ca="1" si="70"/>
        <v/>
      </c>
      <c r="V29" s="220" t="str">
        <f t="shared" ca="1" si="71"/>
        <v/>
      </c>
      <c r="W29" s="221" t="str">
        <f t="shared" ca="1" si="72"/>
        <v/>
      </c>
      <c r="X29" s="218" t="str">
        <f t="shared" ca="1" si="73"/>
        <v/>
      </c>
      <c r="Y29" s="218" t="str">
        <f t="shared" ca="1" si="74"/>
        <v/>
      </c>
      <c r="Z29" s="219" t="str">
        <f t="shared" ca="1" si="75"/>
        <v/>
      </c>
      <c r="AA29" s="220" t="str">
        <f t="shared" ca="1" si="76"/>
        <v/>
      </c>
      <c r="AB29" s="220" t="str">
        <f t="shared" ca="1" si="77"/>
        <v/>
      </c>
      <c r="AC29" s="221" t="str">
        <f t="shared" ca="1" si="78"/>
        <v/>
      </c>
      <c r="AD29" s="218" t="str">
        <f t="shared" ca="1" si="79"/>
        <v/>
      </c>
      <c r="AE29" s="218" t="str">
        <f t="shared" ca="1" si="80"/>
        <v/>
      </c>
      <c r="AF29" s="219" t="str">
        <f t="shared" ca="1" si="81"/>
        <v/>
      </c>
      <c r="AG29" s="220" t="str">
        <f t="shared" ca="1" si="82"/>
        <v/>
      </c>
      <c r="AH29" s="220" t="str">
        <f t="shared" ca="1" si="83"/>
        <v/>
      </c>
      <c r="AI29" s="224" t="str">
        <f t="shared" ca="1" si="84"/>
        <v/>
      </c>
    </row>
    <row r="30" spans="2:35" x14ac:dyDescent="0.25">
      <c r="B30" s="222">
        <v>9</v>
      </c>
      <c r="C30" s="278" t="str">
        <f t="shared" ca="1" si="54"/>
        <v/>
      </c>
      <c r="D30" s="278" t="str">
        <f t="shared" ca="1" si="52"/>
        <v/>
      </c>
      <c r="E30" s="278" t="str">
        <f t="shared" ca="1" si="53"/>
        <v/>
      </c>
      <c r="F30" s="218" t="str">
        <f t="shared" ca="1" si="55"/>
        <v/>
      </c>
      <c r="G30" s="218" t="str">
        <f t="shared" ca="1" si="56"/>
        <v/>
      </c>
      <c r="H30" s="219" t="str">
        <f t="shared" ca="1" si="57"/>
        <v/>
      </c>
      <c r="I30" s="220" t="str">
        <f t="shared" ca="1" si="58"/>
        <v/>
      </c>
      <c r="J30" s="220" t="str">
        <f t="shared" ca="1" si="59"/>
        <v/>
      </c>
      <c r="K30" s="221" t="str">
        <f t="shared" ca="1" si="60"/>
        <v/>
      </c>
      <c r="L30" s="218" t="str">
        <f t="shared" ca="1" si="61"/>
        <v/>
      </c>
      <c r="M30" s="218" t="str">
        <f t="shared" ca="1" si="62"/>
        <v/>
      </c>
      <c r="N30" s="219" t="str">
        <f t="shared" ca="1" si="63"/>
        <v/>
      </c>
      <c r="O30" s="220" t="str">
        <f t="shared" ca="1" si="64"/>
        <v/>
      </c>
      <c r="P30" s="220" t="str">
        <f t="shared" ca="1" si="65"/>
        <v/>
      </c>
      <c r="Q30" s="221" t="str">
        <f t="shared" ca="1" si="66"/>
        <v/>
      </c>
      <c r="R30" s="218" t="str">
        <f t="shared" ca="1" si="67"/>
        <v/>
      </c>
      <c r="S30" s="218" t="str">
        <f t="shared" ca="1" si="68"/>
        <v/>
      </c>
      <c r="T30" s="219" t="str">
        <f t="shared" ca="1" si="69"/>
        <v/>
      </c>
      <c r="U30" s="220" t="str">
        <f t="shared" ca="1" si="70"/>
        <v/>
      </c>
      <c r="V30" s="220" t="str">
        <f t="shared" ca="1" si="71"/>
        <v/>
      </c>
      <c r="W30" s="221" t="str">
        <f t="shared" ca="1" si="72"/>
        <v/>
      </c>
      <c r="X30" s="218" t="str">
        <f t="shared" ca="1" si="73"/>
        <v/>
      </c>
      <c r="Y30" s="218" t="str">
        <f t="shared" ca="1" si="74"/>
        <v/>
      </c>
      <c r="Z30" s="219" t="str">
        <f t="shared" ca="1" si="75"/>
        <v/>
      </c>
      <c r="AA30" s="220" t="str">
        <f t="shared" ca="1" si="76"/>
        <v/>
      </c>
      <c r="AB30" s="220" t="str">
        <f t="shared" ca="1" si="77"/>
        <v/>
      </c>
      <c r="AC30" s="221" t="str">
        <f t="shared" ca="1" si="78"/>
        <v/>
      </c>
      <c r="AD30" s="218" t="str">
        <f t="shared" ca="1" si="79"/>
        <v/>
      </c>
      <c r="AE30" s="218" t="str">
        <f t="shared" ca="1" si="80"/>
        <v/>
      </c>
      <c r="AF30" s="219" t="str">
        <f t="shared" ca="1" si="81"/>
        <v/>
      </c>
      <c r="AG30" s="220" t="str">
        <f t="shared" ca="1" si="82"/>
        <v/>
      </c>
      <c r="AH30" s="220" t="str">
        <f t="shared" ca="1" si="83"/>
        <v/>
      </c>
      <c r="AI30" s="224" t="str">
        <f t="shared" ca="1" si="84"/>
        <v/>
      </c>
    </row>
    <row r="31" spans="2:35" x14ac:dyDescent="0.25">
      <c r="B31" s="222">
        <v>10</v>
      </c>
      <c r="C31" s="278" t="str">
        <f t="shared" ca="1" si="54"/>
        <v/>
      </c>
      <c r="D31" s="278" t="str">
        <f t="shared" ca="1" si="52"/>
        <v/>
      </c>
      <c r="E31" s="278" t="str">
        <f t="shared" ca="1" si="53"/>
        <v/>
      </c>
      <c r="F31" s="218" t="str">
        <f t="shared" ca="1" si="55"/>
        <v/>
      </c>
      <c r="G31" s="218" t="str">
        <f t="shared" ca="1" si="56"/>
        <v/>
      </c>
      <c r="H31" s="219" t="str">
        <f t="shared" ca="1" si="57"/>
        <v/>
      </c>
      <c r="I31" s="220" t="str">
        <f t="shared" ca="1" si="58"/>
        <v/>
      </c>
      <c r="J31" s="220" t="str">
        <f t="shared" ca="1" si="59"/>
        <v/>
      </c>
      <c r="K31" s="221" t="str">
        <f t="shared" ca="1" si="60"/>
        <v/>
      </c>
      <c r="L31" s="218" t="str">
        <f t="shared" ca="1" si="61"/>
        <v/>
      </c>
      <c r="M31" s="218" t="str">
        <f t="shared" ca="1" si="62"/>
        <v/>
      </c>
      <c r="N31" s="219" t="str">
        <f t="shared" ca="1" si="63"/>
        <v/>
      </c>
      <c r="O31" s="220" t="str">
        <f t="shared" ca="1" si="64"/>
        <v/>
      </c>
      <c r="P31" s="220" t="str">
        <f t="shared" ca="1" si="65"/>
        <v/>
      </c>
      <c r="Q31" s="221" t="str">
        <f t="shared" ca="1" si="66"/>
        <v/>
      </c>
      <c r="R31" s="218" t="str">
        <f t="shared" ca="1" si="67"/>
        <v/>
      </c>
      <c r="S31" s="218" t="str">
        <f t="shared" ca="1" si="68"/>
        <v/>
      </c>
      <c r="T31" s="219" t="str">
        <f t="shared" ca="1" si="69"/>
        <v/>
      </c>
      <c r="U31" s="220" t="str">
        <f t="shared" ca="1" si="70"/>
        <v/>
      </c>
      <c r="V31" s="220" t="str">
        <f t="shared" ca="1" si="71"/>
        <v/>
      </c>
      <c r="W31" s="221" t="str">
        <f t="shared" ca="1" si="72"/>
        <v/>
      </c>
      <c r="X31" s="218" t="str">
        <f t="shared" ca="1" si="73"/>
        <v/>
      </c>
      <c r="Y31" s="218" t="str">
        <f t="shared" ca="1" si="74"/>
        <v/>
      </c>
      <c r="Z31" s="219" t="str">
        <f t="shared" ca="1" si="75"/>
        <v/>
      </c>
      <c r="AA31" s="220" t="str">
        <f t="shared" ca="1" si="76"/>
        <v/>
      </c>
      <c r="AB31" s="220" t="str">
        <f t="shared" ca="1" si="77"/>
        <v/>
      </c>
      <c r="AC31" s="221" t="str">
        <f t="shared" ca="1" si="78"/>
        <v/>
      </c>
      <c r="AD31" s="218" t="str">
        <f t="shared" ca="1" si="79"/>
        <v/>
      </c>
      <c r="AE31" s="218" t="str">
        <f t="shared" ca="1" si="80"/>
        <v/>
      </c>
      <c r="AF31" s="219" t="str">
        <f t="shared" ca="1" si="81"/>
        <v/>
      </c>
      <c r="AG31" s="220" t="str">
        <f t="shared" ca="1" si="82"/>
        <v/>
      </c>
      <c r="AH31" s="220" t="str">
        <f t="shared" ca="1" si="83"/>
        <v/>
      </c>
      <c r="AI31" s="224" t="str">
        <f t="shared" ca="1" si="84"/>
        <v/>
      </c>
    </row>
    <row r="32" spans="2:35" x14ac:dyDescent="0.25">
      <c r="B32" s="222">
        <v>11</v>
      </c>
      <c r="C32" s="278" t="str">
        <f t="shared" ca="1" si="54"/>
        <v/>
      </c>
      <c r="D32" s="278" t="str">
        <f t="shared" ca="1" si="52"/>
        <v/>
      </c>
      <c r="E32" s="278" t="str">
        <f t="shared" ca="1" si="53"/>
        <v/>
      </c>
      <c r="F32" s="218" t="str">
        <f t="shared" ca="1" si="55"/>
        <v/>
      </c>
      <c r="G32" s="218" t="str">
        <f t="shared" ca="1" si="56"/>
        <v/>
      </c>
      <c r="H32" s="219" t="str">
        <f t="shared" ca="1" si="57"/>
        <v/>
      </c>
      <c r="I32" s="220" t="str">
        <f t="shared" ca="1" si="58"/>
        <v/>
      </c>
      <c r="J32" s="220" t="str">
        <f t="shared" ca="1" si="59"/>
        <v/>
      </c>
      <c r="K32" s="221" t="str">
        <f t="shared" ca="1" si="60"/>
        <v/>
      </c>
      <c r="L32" s="218" t="str">
        <f t="shared" ca="1" si="61"/>
        <v/>
      </c>
      <c r="M32" s="218" t="str">
        <f t="shared" ca="1" si="62"/>
        <v/>
      </c>
      <c r="N32" s="219" t="str">
        <f t="shared" ca="1" si="63"/>
        <v/>
      </c>
      <c r="O32" s="220" t="str">
        <f t="shared" ca="1" si="64"/>
        <v/>
      </c>
      <c r="P32" s="220" t="str">
        <f t="shared" ca="1" si="65"/>
        <v/>
      </c>
      <c r="Q32" s="221" t="str">
        <f t="shared" ca="1" si="66"/>
        <v/>
      </c>
      <c r="R32" s="218" t="str">
        <f t="shared" ca="1" si="67"/>
        <v/>
      </c>
      <c r="S32" s="218" t="str">
        <f t="shared" ca="1" si="68"/>
        <v/>
      </c>
      <c r="T32" s="219" t="str">
        <f t="shared" ca="1" si="69"/>
        <v/>
      </c>
      <c r="U32" s="220" t="str">
        <f t="shared" ca="1" si="70"/>
        <v/>
      </c>
      <c r="V32" s="220" t="str">
        <f t="shared" ca="1" si="71"/>
        <v/>
      </c>
      <c r="W32" s="221" t="str">
        <f t="shared" ca="1" si="72"/>
        <v/>
      </c>
      <c r="X32" s="218" t="str">
        <f t="shared" ca="1" si="73"/>
        <v/>
      </c>
      <c r="Y32" s="218" t="str">
        <f t="shared" ca="1" si="74"/>
        <v/>
      </c>
      <c r="Z32" s="219" t="str">
        <f t="shared" ca="1" si="75"/>
        <v/>
      </c>
      <c r="AA32" s="220" t="str">
        <f t="shared" ca="1" si="76"/>
        <v/>
      </c>
      <c r="AB32" s="220" t="str">
        <f t="shared" ca="1" si="77"/>
        <v/>
      </c>
      <c r="AC32" s="221" t="str">
        <f t="shared" ca="1" si="78"/>
        <v/>
      </c>
      <c r="AD32" s="218" t="str">
        <f t="shared" ca="1" si="79"/>
        <v/>
      </c>
      <c r="AE32" s="218" t="str">
        <f t="shared" ca="1" si="80"/>
        <v/>
      </c>
      <c r="AF32" s="219" t="str">
        <f t="shared" ca="1" si="81"/>
        <v/>
      </c>
      <c r="AG32" s="220" t="str">
        <f t="shared" ca="1" si="82"/>
        <v/>
      </c>
      <c r="AH32" s="220" t="str">
        <f t="shared" ca="1" si="83"/>
        <v/>
      </c>
      <c r="AI32" s="224" t="str">
        <f t="shared" ca="1" si="84"/>
        <v/>
      </c>
    </row>
    <row r="33" spans="2:35" x14ac:dyDescent="0.25">
      <c r="B33" s="222">
        <v>12</v>
      </c>
      <c r="C33" s="278" t="str">
        <f t="shared" ca="1" si="54"/>
        <v/>
      </c>
      <c r="D33" s="278" t="str">
        <f t="shared" ca="1" si="52"/>
        <v/>
      </c>
      <c r="E33" s="278" t="str">
        <f t="shared" ca="1" si="53"/>
        <v/>
      </c>
      <c r="F33" s="218" t="str">
        <f t="shared" ca="1" si="55"/>
        <v/>
      </c>
      <c r="G33" s="218" t="str">
        <f t="shared" ca="1" si="56"/>
        <v/>
      </c>
      <c r="H33" s="219" t="str">
        <f t="shared" ca="1" si="57"/>
        <v/>
      </c>
      <c r="I33" s="220" t="str">
        <f t="shared" ca="1" si="58"/>
        <v/>
      </c>
      <c r="J33" s="220" t="str">
        <f t="shared" ca="1" si="59"/>
        <v/>
      </c>
      <c r="K33" s="221" t="str">
        <f t="shared" ca="1" si="60"/>
        <v/>
      </c>
      <c r="L33" s="218" t="str">
        <f t="shared" ca="1" si="61"/>
        <v/>
      </c>
      <c r="M33" s="218" t="str">
        <f t="shared" ca="1" si="62"/>
        <v/>
      </c>
      <c r="N33" s="219" t="str">
        <f t="shared" ca="1" si="63"/>
        <v/>
      </c>
      <c r="O33" s="220" t="str">
        <f t="shared" ca="1" si="64"/>
        <v/>
      </c>
      <c r="P33" s="220" t="str">
        <f t="shared" ca="1" si="65"/>
        <v/>
      </c>
      <c r="Q33" s="221" t="str">
        <f t="shared" ca="1" si="66"/>
        <v/>
      </c>
      <c r="R33" s="218" t="str">
        <f t="shared" ca="1" si="67"/>
        <v/>
      </c>
      <c r="S33" s="218" t="str">
        <f t="shared" ca="1" si="68"/>
        <v/>
      </c>
      <c r="T33" s="219" t="str">
        <f t="shared" ca="1" si="69"/>
        <v/>
      </c>
      <c r="U33" s="220" t="str">
        <f t="shared" ca="1" si="70"/>
        <v/>
      </c>
      <c r="V33" s="220" t="str">
        <f t="shared" ca="1" si="71"/>
        <v/>
      </c>
      <c r="W33" s="221" t="str">
        <f t="shared" ca="1" si="72"/>
        <v/>
      </c>
      <c r="X33" s="218" t="str">
        <f t="shared" ca="1" si="73"/>
        <v/>
      </c>
      <c r="Y33" s="218" t="str">
        <f t="shared" ca="1" si="74"/>
        <v/>
      </c>
      <c r="Z33" s="219" t="str">
        <f t="shared" ca="1" si="75"/>
        <v/>
      </c>
      <c r="AA33" s="220" t="str">
        <f t="shared" ca="1" si="76"/>
        <v/>
      </c>
      <c r="AB33" s="220" t="str">
        <f t="shared" ca="1" si="77"/>
        <v/>
      </c>
      <c r="AC33" s="221" t="str">
        <f t="shared" ca="1" si="78"/>
        <v/>
      </c>
      <c r="AD33" s="218" t="str">
        <f t="shared" ca="1" si="79"/>
        <v/>
      </c>
      <c r="AE33" s="218" t="str">
        <f t="shared" ca="1" si="80"/>
        <v/>
      </c>
      <c r="AF33" s="219" t="str">
        <f t="shared" ca="1" si="81"/>
        <v/>
      </c>
      <c r="AG33" s="220" t="str">
        <f t="shared" ca="1" si="82"/>
        <v/>
      </c>
      <c r="AH33" s="220" t="str">
        <f t="shared" ca="1" si="83"/>
        <v/>
      </c>
      <c r="AI33" s="224" t="str">
        <f t="shared" ca="1" si="84"/>
        <v/>
      </c>
    </row>
    <row r="34" spans="2:35" ht="14.25" thickBot="1" x14ac:dyDescent="0.3">
      <c r="B34" s="225" t="s">
        <v>3</v>
      </c>
      <c r="C34" s="279">
        <f ca="1">SUM(C22:C28)</f>
        <v>0</v>
      </c>
      <c r="D34" s="279">
        <f t="shared" ref="D34:E34" ca="1" si="85">SUM(D22:D33)</f>
        <v>0</v>
      </c>
      <c r="E34" s="279">
        <f t="shared" ca="1" si="85"/>
        <v>0</v>
      </c>
      <c r="F34" s="226">
        <f ca="1">SUM(F22:F33)</f>
        <v>0</v>
      </c>
      <c r="G34" s="226">
        <f t="shared" ref="G34" ca="1" si="86">SUM(G22:G33)</f>
        <v>0</v>
      </c>
      <c r="H34" s="227">
        <f t="shared" ref="H34" ca="1" si="87">SUM(H22:H33)</f>
        <v>0</v>
      </c>
      <c r="I34" s="228">
        <f ca="1">SUM(I22:I33)</f>
        <v>0</v>
      </c>
      <c r="J34" s="228">
        <f t="shared" ref="J34" ca="1" si="88">SUM(J22:J33)</f>
        <v>0</v>
      </c>
      <c r="K34" s="229">
        <f t="shared" ref="K34" ca="1" si="89">SUM(K22:K33)</f>
        <v>0</v>
      </c>
      <c r="L34" s="226">
        <f ca="1">SUM(L22:L33)</f>
        <v>0</v>
      </c>
      <c r="M34" s="226">
        <f t="shared" ref="M34" ca="1" si="90">SUM(M22:M33)</f>
        <v>0</v>
      </c>
      <c r="N34" s="227">
        <f t="shared" ref="N34" ca="1" si="91">SUM(N22:N33)</f>
        <v>0</v>
      </c>
      <c r="O34" s="228">
        <f ca="1">SUM(O22:O33)</f>
        <v>0</v>
      </c>
      <c r="P34" s="228">
        <f t="shared" ref="P34" ca="1" si="92">SUM(P22:P33)</f>
        <v>0</v>
      </c>
      <c r="Q34" s="229">
        <f t="shared" ref="Q34" ca="1" si="93">SUM(Q22:Q33)</f>
        <v>0</v>
      </c>
      <c r="R34" s="226">
        <f ca="1">SUM(R22:R33)</f>
        <v>0</v>
      </c>
      <c r="S34" s="226">
        <f t="shared" ref="S34" ca="1" si="94">SUM(S22:S33)</f>
        <v>0</v>
      </c>
      <c r="T34" s="227">
        <f t="shared" ref="T34" ca="1" si="95">SUM(T22:T33)</f>
        <v>0</v>
      </c>
      <c r="U34" s="228">
        <f ca="1">SUM(U22:U33)</f>
        <v>0</v>
      </c>
      <c r="V34" s="228">
        <f t="shared" ref="V34" ca="1" si="96">SUM(V22:V33)</f>
        <v>0</v>
      </c>
      <c r="W34" s="229">
        <f t="shared" ref="W34" ca="1" si="97">SUM(W22:W33)</f>
        <v>0</v>
      </c>
      <c r="X34" s="226">
        <f ca="1">SUM(X22:X33)</f>
        <v>0</v>
      </c>
      <c r="Y34" s="226">
        <f t="shared" ref="Y34" ca="1" si="98">SUM(Y22:Y33)</f>
        <v>0</v>
      </c>
      <c r="Z34" s="227">
        <f t="shared" ref="Z34" ca="1" si="99">SUM(Z22:Z33)</f>
        <v>0</v>
      </c>
      <c r="AA34" s="228">
        <f ca="1">SUM(AA22:AA33)</f>
        <v>0</v>
      </c>
      <c r="AB34" s="228">
        <f t="shared" ref="AB34" ca="1" si="100">SUM(AB22:AB33)</f>
        <v>0</v>
      </c>
      <c r="AC34" s="229">
        <f t="shared" ref="AC34" ca="1" si="101">SUM(AC22:AC33)</f>
        <v>0</v>
      </c>
      <c r="AD34" s="226">
        <f ca="1">SUM(AD22:AD33)</f>
        <v>0</v>
      </c>
      <c r="AE34" s="226">
        <f t="shared" ref="AE34" ca="1" si="102">SUM(AE22:AE33)</f>
        <v>0</v>
      </c>
      <c r="AF34" s="227">
        <f t="shared" ref="AF34" ca="1" si="103">SUM(AF22:AF33)</f>
        <v>0</v>
      </c>
      <c r="AG34" s="228">
        <f ca="1">SUM(AG22:AG33)</f>
        <v>0</v>
      </c>
      <c r="AH34" s="228">
        <f t="shared" ref="AH34" ca="1" si="104">SUM(AH22:AH33)</f>
        <v>0</v>
      </c>
      <c r="AI34" s="230">
        <f t="shared" ref="AI34" ca="1" si="105">SUM(AI22:AI33)</f>
        <v>0</v>
      </c>
    </row>
    <row r="37" spans="2:35" ht="21" thickBot="1" x14ac:dyDescent="0.3">
      <c r="B37" s="214" t="s">
        <v>277</v>
      </c>
      <c r="C37" s="215"/>
      <c r="D37" s="215"/>
      <c r="E37" s="275" t="s">
        <v>280</v>
      </c>
    </row>
    <row r="38" spans="2:35" x14ac:dyDescent="0.25">
      <c r="B38" s="401" t="s">
        <v>22</v>
      </c>
      <c r="C38" s="403" t="s">
        <v>1061</v>
      </c>
      <c r="D38" s="403"/>
      <c r="E38" s="403"/>
      <c r="F38" s="400" t="str">
        <f>$F$3</f>
        <v>발전사업(A)</v>
      </c>
      <c r="G38" s="400"/>
      <c r="H38" s="400"/>
      <c r="I38" s="398" t="s">
        <v>180</v>
      </c>
      <c r="J38" s="398"/>
      <c r="K38" s="398"/>
      <c r="L38" s="400" t="s">
        <v>181</v>
      </c>
      <c r="M38" s="400"/>
      <c r="N38" s="400"/>
      <c r="O38" s="398" t="s">
        <v>182</v>
      </c>
      <c r="P38" s="398"/>
      <c r="Q38" s="398"/>
      <c r="R38" s="400" t="s">
        <v>183</v>
      </c>
      <c r="S38" s="400"/>
      <c r="T38" s="400"/>
      <c r="U38" s="398" t="s">
        <v>184</v>
      </c>
      <c r="V38" s="398"/>
      <c r="W38" s="398"/>
      <c r="X38" s="400" t="s">
        <v>185</v>
      </c>
      <c r="Y38" s="400"/>
      <c r="Z38" s="400"/>
      <c r="AA38" s="398" t="s">
        <v>186</v>
      </c>
      <c r="AB38" s="398"/>
      <c r="AC38" s="398"/>
      <c r="AD38" s="400" t="s">
        <v>187</v>
      </c>
      <c r="AE38" s="400"/>
      <c r="AF38" s="400"/>
      <c r="AG38" s="398" t="s">
        <v>188</v>
      </c>
      <c r="AH38" s="398"/>
      <c r="AI38" s="399"/>
    </row>
    <row r="39" spans="2:35" x14ac:dyDescent="0.25">
      <c r="B39" s="402"/>
      <c r="C39" s="277" t="s">
        <v>58</v>
      </c>
      <c r="D39" s="277" t="s">
        <v>274</v>
      </c>
      <c r="E39" s="277" t="s">
        <v>275</v>
      </c>
      <c r="F39" s="218" t="s">
        <v>58</v>
      </c>
      <c r="G39" s="218" t="s">
        <v>274</v>
      </c>
      <c r="H39" s="218" t="s">
        <v>275</v>
      </c>
      <c r="I39" s="220" t="s">
        <v>58</v>
      </c>
      <c r="J39" s="220" t="s">
        <v>274</v>
      </c>
      <c r="K39" s="220" t="s">
        <v>275</v>
      </c>
      <c r="L39" s="218" t="s">
        <v>58</v>
      </c>
      <c r="M39" s="218" t="s">
        <v>274</v>
      </c>
      <c r="N39" s="218" t="s">
        <v>275</v>
      </c>
      <c r="O39" s="220" t="s">
        <v>58</v>
      </c>
      <c r="P39" s="220" t="s">
        <v>274</v>
      </c>
      <c r="Q39" s="220" t="s">
        <v>275</v>
      </c>
      <c r="R39" s="218" t="s">
        <v>58</v>
      </c>
      <c r="S39" s="218" t="s">
        <v>274</v>
      </c>
      <c r="T39" s="218" t="s">
        <v>275</v>
      </c>
      <c r="U39" s="220" t="s">
        <v>58</v>
      </c>
      <c r="V39" s="220" t="s">
        <v>274</v>
      </c>
      <c r="W39" s="220" t="s">
        <v>275</v>
      </c>
      <c r="X39" s="218" t="s">
        <v>58</v>
      </c>
      <c r="Y39" s="218" t="s">
        <v>274</v>
      </c>
      <c r="Z39" s="218" t="s">
        <v>275</v>
      </c>
      <c r="AA39" s="220" t="s">
        <v>58</v>
      </c>
      <c r="AB39" s="220" t="s">
        <v>274</v>
      </c>
      <c r="AC39" s="220" t="s">
        <v>275</v>
      </c>
      <c r="AD39" s="218" t="s">
        <v>58</v>
      </c>
      <c r="AE39" s="218" t="s">
        <v>274</v>
      </c>
      <c r="AF39" s="218" t="s">
        <v>275</v>
      </c>
      <c r="AG39" s="220" t="s">
        <v>58</v>
      </c>
      <c r="AH39" s="220" t="s">
        <v>274</v>
      </c>
      <c r="AI39" s="223" t="s">
        <v>275</v>
      </c>
    </row>
    <row r="40" spans="2:35" x14ac:dyDescent="0.25">
      <c r="B40" s="222">
        <v>1</v>
      </c>
      <c r="C40" s="278" t="str">
        <f ca="1">IF(
  SUM(
    IFERROR(VALUE(F40), 0),
    IFERROR(VALUE(I40), 0),
    IFERROR(VALUE(L40), 0),
    IFERROR(VALUE(O40), 0),
    IFERROR(VALUE(R40), 0),
    IFERROR(VALUE(U40), 0),
    IFERROR(VALUE(X40), 0),
    IFERROR(VALUE(AA40), 0),
    IFERROR(VALUE(AD40), 0),
    IFERROR(VALUE(AG40), 0)
  ) = 0,
  "",
  SUM(
    IFERROR(VALUE(F40), 0),
    IFERROR(VALUE(I40), 0),
    IFERROR(VALUE(L40), 0),
    IFERROR(VALUE(O40), 0),
    IFERROR(VALUE(R40), 0),
    IFERROR(VALUE(U40), 0),
    IFERROR(VALUE(X40), 0),
    IFERROR(VALUE(AA40), 0),
    IFERROR(VALUE(AD40), 0),
    IFERROR(VALUE(AG40), 0)
  )
)</f>
        <v/>
      </c>
      <c r="D40" s="278" t="str">
        <f t="shared" ref="D40:D51" ca="1" si="106">IF(
  SUM(
    IFERROR(VALUE(G40), 0),
    IFERROR(VALUE(J40), 0),
    IFERROR(VALUE(M40), 0),
    IFERROR(VALUE(P40), 0),
    IFERROR(VALUE(S40), 0),
    IFERROR(VALUE(V40), 0),
    IFERROR(VALUE(Y40), 0),
    IFERROR(VALUE(AB40), 0),
    IFERROR(VALUE(AE40), 0),
    IFERROR(VALUE(AH40), 0)
  ) = 0,
  "",
  SUM(
    IFERROR(VALUE(G40), 0),
    IFERROR(VALUE(J40), 0),
    IFERROR(VALUE(M40), 0),
    IFERROR(VALUE(P40), 0),
    IFERROR(VALUE(S40), 0),
    IFERROR(VALUE(V40), 0),
    IFERROR(VALUE(Y40), 0),
    IFERROR(VALUE(AB40), 0),
    IFERROR(VALUE(AE40), 0),
    IFERROR(VALUE(AH40), 0)
  )
)</f>
        <v/>
      </c>
      <c r="E40" s="278" t="str">
        <f t="shared" ref="E40:E51" ca="1" si="107">IF(
  SUM(
    IFERROR(VALUE(H40), 0),
    IFERROR(VALUE(K40), 0),
    IFERROR(VALUE(N40), 0),
    IFERROR(VALUE(Q40), 0),
    IFERROR(VALUE(T40), 0),
    IFERROR(VALUE(W40), 0),
    IFERROR(VALUE(Z40), 0),
    IFERROR(VALUE(AC40), 0),
    IFERROR(VALUE(AF40), 0),
    IFERROR(VALUE(AI40), 0)
  ) = 0,
  "",
  SUM(
    IFERROR(VALUE(H40), 0),
    IFERROR(VALUE(K40), 0),
    IFERROR(VALUE(N40), 0),
    IFERROR(VALUE(Q40), 0),
    IFERROR(VALUE(T40), 0),
    IFERROR(VALUE(W40), 0),
    IFERROR(VALUE(Z40), 0),
    IFERROR(VALUE(AC40), 0),
    IFERROR(VALUE(AF40), 0),
    IFERROR(VALUE(AI40), 0)
  )
)</f>
        <v/>
      </c>
      <c r="F40" s="218" t="str">
        <f ca="1">IF(COUNTIFS(INDIRECT("'"&amp;F$3&amp;"'!G:G"), $B40, INDIRECT("'"&amp;F$3&amp;"'!W:W"), $H$37)=0, "", COUNTIFS(INDIRECT("'"&amp;F$3&amp;"'!G:G"), $B40, INDIRECT("'"&amp;F$3&amp;"'!W:W"), $H$19))</f>
        <v/>
      </c>
      <c r="G40" s="218" t="str">
        <f ca="1">IF(SUMIFS(INDIRECT("'"&amp;F$3&amp;"'!I:I"), INDIRECT("'"&amp;F$3&amp;"'!G:G"), $B40, INDIRECT("'"&amp;F$3&amp;"'!W:W"), $H$37)=0, "", SUMIFS(INDIRECT("'"&amp;F$3&amp;"'!I:I"), INDIRECT("'"&amp;F$3&amp;"'!G:G"), $B40, INDIRECT("'"&amp;F$3&amp;"'!W:W"), $H$37))</f>
        <v/>
      </c>
      <c r="H40" s="219" t="str">
        <f ca="1">IF(SUMIFS(INDIRECT("'"&amp;F$3&amp;"'!J:J"), INDIRECT("'"&amp;F$3&amp;"'!G:G"), $B40, INDIRECT("'"&amp;F$3&amp;"'!W:W"), $H$37)=0, "", SUMIFS(INDIRECT("'"&amp;F$3&amp;"'!J:J"), INDIRECT("'"&amp;F$3&amp;"'!G:G"), $B40, INDIRECT("'"&amp;F$3&amp;"'!W:W"), $H$37))</f>
        <v/>
      </c>
      <c r="I40" s="220" t="str">
        <f ca="1">IF(COUNTIFS(INDIRECT("'"&amp;I$3&amp;"'!G:G"), $B40, INDIRECT("'"&amp;I$3&amp;"'!W:W"), $H$37)=0, "", COUNTIFS(INDIRECT("'"&amp;I$3&amp;"'!G:G"), $B40, INDIRECT("'"&amp;I$3&amp;"'!W:W"), $H$19))</f>
        <v/>
      </c>
      <c r="J40" s="220" t="str">
        <f ca="1">IF(SUMIFS(INDIRECT("'"&amp;I$3&amp;"'!I:I"), INDIRECT("'"&amp;I$3&amp;"'!G:G"), $B40, INDIRECT("'"&amp;I$3&amp;"'!W:W"), $H$37)=0, "", SUMIFS(INDIRECT("'"&amp;I$3&amp;"'!I:I"), INDIRECT("'"&amp;I$3&amp;"'!G:G"), $B40, INDIRECT("'"&amp;I$3&amp;"'!W:W"), $H$37))</f>
        <v/>
      </c>
      <c r="K40" s="221" t="str">
        <f ca="1">IF(SUMIFS(INDIRECT("'"&amp;I$3&amp;"'!J:J"), INDIRECT("'"&amp;I$3&amp;"'!G:G"), $B40, INDIRECT("'"&amp;I$3&amp;"'!W:W"), $H$37)=0, "", SUMIFS(INDIRECT("'"&amp;I$3&amp;"'!J:J"), INDIRECT("'"&amp;I$3&amp;"'!G:G"), $B40, INDIRECT("'"&amp;I$3&amp;"'!W:W"), $H$37))</f>
        <v/>
      </c>
      <c r="L40" s="218" t="str">
        <f ca="1">IF(COUNTIFS(INDIRECT("'"&amp;L$3&amp;"'!G:G"), $B40, INDIRECT("'"&amp;L$3&amp;"'!W:W"), $H$37)=0, "", COUNTIFS(INDIRECT("'"&amp;L$3&amp;"'!G:G"), $B40, INDIRECT("'"&amp;L$3&amp;"'!W:W"), $H$19))</f>
        <v/>
      </c>
      <c r="M40" s="218" t="str">
        <f ca="1">IF(SUMIFS(INDIRECT("'"&amp;L$3&amp;"'!I:I"), INDIRECT("'"&amp;L$3&amp;"'!G:G"), $B40, INDIRECT("'"&amp;L$3&amp;"'!W:W"), $H$37)=0, "", SUMIFS(INDIRECT("'"&amp;L$3&amp;"'!I:I"), INDIRECT("'"&amp;L$3&amp;"'!G:G"), $B40, INDIRECT("'"&amp;L$3&amp;"'!W:W"), $H$37))</f>
        <v/>
      </c>
      <c r="N40" s="219" t="str">
        <f ca="1">IF(SUMIFS(INDIRECT("'"&amp;L$3&amp;"'!J:J"), INDIRECT("'"&amp;L$3&amp;"'!G:G"), $B40, INDIRECT("'"&amp;L$3&amp;"'!W:W"), $H$37)=0, "", SUMIFS(INDIRECT("'"&amp;L$3&amp;"'!J:J"), INDIRECT("'"&amp;L$3&amp;"'!G:G"), $B40, INDIRECT("'"&amp;L$3&amp;"'!W:W"), $H$37))</f>
        <v/>
      </c>
      <c r="O40" s="220" t="str">
        <f ca="1">IF(COUNTIFS(INDIRECT("'"&amp;O$3&amp;"'!G:G"), $B40, INDIRECT("'"&amp;O$3&amp;"'!W:W"), $H$37)=0, "", COUNTIFS(INDIRECT("'"&amp;O$3&amp;"'!G:G"), $B40, INDIRECT("'"&amp;O$3&amp;"'!W:W"), $H$19))</f>
        <v/>
      </c>
      <c r="P40" s="220" t="str">
        <f ca="1">IF(SUMIFS(INDIRECT("'"&amp;O$3&amp;"'!I:I"), INDIRECT("'"&amp;O$3&amp;"'!G:G"), $B40, INDIRECT("'"&amp;O$3&amp;"'!W:W"), $H$37)=0, "", SUMIFS(INDIRECT("'"&amp;O$3&amp;"'!I:I"), INDIRECT("'"&amp;O$3&amp;"'!G:G"), $B40, INDIRECT("'"&amp;O$3&amp;"'!W:W"), $H$37))</f>
        <v/>
      </c>
      <c r="Q40" s="221" t="str">
        <f ca="1">IF(SUMIFS(INDIRECT("'"&amp;O$3&amp;"'!J:J"), INDIRECT("'"&amp;O$3&amp;"'!G:G"), $B40, INDIRECT("'"&amp;O$3&amp;"'!W:W"), $H$37)=0, "", SUMIFS(INDIRECT("'"&amp;O$3&amp;"'!J:J"), INDIRECT("'"&amp;O$3&amp;"'!G:G"), $B40, INDIRECT("'"&amp;O$3&amp;"'!W:W"), $H$37))</f>
        <v/>
      </c>
      <c r="R40" s="218" t="str">
        <f ca="1">IF(COUNTIFS(INDIRECT("'"&amp;R$3&amp;"'!G:G"), $B40, INDIRECT("'"&amp;R$3&amp;"'!W:W"), $H$37)=0, "", COUNTIFS(INDIRECT("'"&amp;R$3&amp;"'!G:G"), $B40, INDIRECT("'"&amp;R$3&amp;"'!W:W"), $H$19))</f>
        <v/>
      </c>
      <c r="S40" s="218" t="str">
        <f ca="1">IF(SUMIFS(INDIRECT("'"&amp;R$3&amp;"'!I:I"), INDIRECT("'"&amp;R$3&amp;"'!G:G"), $B40, INDIRECT("'"&amp;R$3&amp;"'!W:W"), $H$37)=0, "", SUMIFS(INDIRECT("'"&amp;R$3&amp;"'!I:I"), INDIRECT("'"&amp;R$3&amp;"'!G:G"), $B40, INDIRECT("'"&amp;R$3&amp;"'!W:W"), $H$37))</f>
        <v/>
      </c>
      <c r="T40" s="219" t="str">
        <f ca="1">IF(SUMIFS(INDIRECT("'"&amp;R$3&amp;"'!J:J"), INDIRECT("'"&amp;R$3&amp;"'!G:G"), $B40, INDIRECT("'"&amp;R$3&amp;"'!W:W"), $H$37)=0, "", SUMIFS(INDIRECT("'"&amp;R$3&amp;"'!J:J"), INDIRECT("'"&amp;R$3&amp;"'!G:G"), $B40, INDIRECT("'"&amp;R$3&amp;"'!W:W"), $H$37))</f>
        <v/>
      </c>
      <c r="U40" s="220" t="str">
        <f ca="1">IF(COUNTIFS(INDIRECT("'"&amp;U$3&amp;"'!G:G"), $B40, INDIRECT("'"&amp;U$3&amp;"'!W:W"), $H$37)=0, "", COUNTIFS(INDIRECT("'"&amp;U$3&amp;"'!G:G"), $B40, INDIRECT("'"&amp;U$3&amp;"'!W:W"), $H$19))</f>
        <v/>
      </c>
      <c r="V40" s="220" t="str">
        <f ca="1">IF(SUMIFS(INDIRECT("'"&amp;U$3&amp;"'!I:I"), INDIRECT("'"&amp;U$3&amp;"'!G:G"), $B40, INDIRECT("'"&amp;U$3&amp;"'!W:W"), $H$37)=0, "", SUMIFS(INDIRECT("'"&amp;U$3&amp;"'!I:I"), INDIRECT("'"&amp;U$3&amp;"'!G:G"), $B40, INDIRECT("'"&amp;U$3&amp;"'!W:W"), $H$37))</f>
        <v/>
      </c>
      <c r="W40" s="221" t="str">
        <f ca="1">IF(SUMIFS(INDIRECT("'"&amp;U$3&amp;"'!J:J"), INDIRECT("'"&amp;U$3&amp;"'!G:G"), $B40, INDIRECT("'"&amp;U$3&amp;"'!W:W"), $H$37)=0, "", SUMIFS(INDIRECT("'"&amp;U$3&amp;"'!J:J"), INDIRECT("'"&amp;U$3&amp;"'!G:G"), $B40, INDIRECT("'"&amp;U$3&amp;"'!W:W"), $H$37))</f>
        <v/>
      </c>
      <c r="X40" s="218" t="str">
        <f ca="1">IF(COUNTIFS(INDIRECT("'"&amp;X$3&amp;"'!G:G"), $B40, INDIRECT("'"&amp;X$3&amp;"'!W:W"), $H$37)=0, "", COUNTIFS(INDIRECT("'"&amp;X$3&amp;"'!G:G"), $B40, INDIRECT("'"&amp;X$3&amp;"'!W:W"), $H$19))</f>
        <v/>
      </c>
      <c r="Y40" s="218" t="str">
        <f ca="1">IF(SUMIFS(INDIRECT("'"&amp;X$3&amp;"'!I:I"), INDIRECT("'"&amp;X$3&amp;"'!G:G"), $B40, INDIRECT("'"&amp;X$3&amp;"'!W:W"), $H$37)=0, "", SUMIFS(INDIRECT("'"&amp;X$3&amp;"'!I:I"), INDIRECT("'"&amp;X$3&amp;"'!G:G"), $B40, INDIRECT("'"&amp;X$3&amp;"'!W:W"), $H$37))</f>
        <v/>
      </c>
      <c r="Z40" s="219" t="str">
        <f ca="1">IF(SUMIFS(INDIRECT("'"&amp;X$3&amp;"'!J:J"), INDIRECT("'"&amp;X$3&amp;"'!G:G"), $B40, INDIRECT("'"&amp;X$3&amp;"'!W:W"), $H$37)=0, "", SUMIFS(INDIRECT("'"&amp;X$3&amp;"'!J:J"), INDIRECT("'"&amp;X$3&amp;"'!G:G"), $B40, INDIRECT("'"&amp;X$3&amp;"'!W:W"), $H$37))</f>
        <v/>
      </c>
      <c r="AA40" s="220" t="str">
        <f ca="1">IF(COUNTIFS(INDIRECT("'"&amp;AA$3&amp;"'!G:G"), $B40, INDIRECT("'"&amp;AA$3&amp;"'!W:W"), $H$37)=0, "", COUNTIFS(INDIRECT("'"&amp;AA$3&amp;"'!G:G"), $B40, INDIRECT("'"&amp;AA$3&amp;"'!W:W"), $H$19))</f>
        <v/>
      </c>
      <c r="AB40" s="220" t="str">
        <f ca="1">IF(SUMIFS(INDIRECT("'"&amp;AA$3&amp;"'!I:I"), INDIRECT("'"&amp;AA$3&amp;"'!G:G"), $B40, INDIRECT("'"&amp;AA$3&amp;"'!W:W"), $H$37)=0, "", SUMIFS(INDIRECT("'"&amp;AA$3&amp;"'!I:I"), INDIRECT("'"&amp;AA$3&amp;"'!G:G"), $B40, INDIRECT("'"&amp;AA$3&amp;"'!W:W"), $H$37))</f>
        <v/>
      </c>
      <c r="AC40" s="221" t="str">
        <f ca="1">IF(SUMIFS(INDIRECT("'"&amp;AA$3&amp;"'!J:J"), INDIRECT("'"&amp;AA$3&amp;"'!G:G"), $B40, INDIRECT("'"&amp;AA$3&amp;"'!W:W"), $H$37)=0, "", SUMIFS(INDIRECT("'"&amp;AA$3&amp;"'!J:J"), INDIRECT("'"&amp;AA$3&amp;"'!G:G"), $B40, INDIRECT("'"&amp;AA$3&amp;"'!W:W"), $H$37))</f>
        <v/>
      </c>
      <c r="AD40" s="218" t="str">
        <f ca="1">IF(COUNTIFS(INDIRECT("'"&amp;AD$3&amp;"'!G:G"), $B40, INDIRECT("'"&amp;AD$3&amp;"'!W:W"), $H$37)=0, "", COUNTIFS(INDIRECT("'"&amp;AD$3&amp;"'!G:G"), $B40, INDIRECT("'"&amp;AD$3&amp;"'!W:W"), $H$19))</f>
        <v/>
      </c>
      <c r="AE40" s="218" t="str">
        <f ca="1">IF(SUMIFS(INDIRECT("'"&amp;AD$3&amp;"'!I:I"), INDIRECT("'"&amp;AD$3&amp;"'!G:G"), $B40, INDIRECT("'"&amp;AD$3&amp;"'!W:W"), $H$37)=0, "", SUMIFS(INDIRECT("'"&amp;AD$3&amp;"'!I:I"), INDIRECT("'"&amp;AD$3&amp;"'!G:G"), $B40, INDIRECT("'"&amp;AD$3&amp;"'!W:W"), $H$37))</f>
        <v/>
      </c>
      <c r="AF40" s="219" t="str">
        <f ca="1">IF(SUMIFS(INDIRECT("'"&amp;AD$3&amp;"'!J:J"), INDIRECT("'"&amp;AD$3&amp;"'!G:G"), $B40, INDIRECT("'"&amp;AD$3&amp;"'!W:W"), $H$37)=0, "", SUMIFS(INDIRECT("'"&amp;AD$3&amp;"'!J:J"), INDIRECT("'"&amp;AD$3&amp;"'!G:G"), $B40, INDIRECT("'"&amp;AD$3&amp;"'!W:W"), $H$37))</f>
        <v/>
      </c>
      <c r="AG40" s="220" t="str">
        <f ca="1">IF(COUNTIFS(INDIRECT("'"&amp;AG$3&amp;"'!G:G"), $B40, INDIRECT("'"&amp;AG$3&amp;"'!W:W"), $H$37)=0, "", COUNTIFS(INDIRECT("'"&amp;AG$3&amp;"'!G:G"), $B40, INDIRECT("'"&amp;AG$3&amp;"'!W:W"), $H$19))</f>
        <v/>
      </c>
      <c r="AH40" s="220" t="str">
        <f ca="1">IF(SUMIFS(INDIRECT("'"&amp;AG$3&amp;"'!I:I"), INDIRECT("'"&amp;AG$3&amp;"'!G:G"), $B40, INDIRECT("'"&amp;AG$3&amp;"'!W:W"), $H$37)=0, "", SUMIFS(INDIRECT("'"&amp;AG$3&amp;"'!I:I"), INDIRECT("'"&amp;AG$3&amp;"'!G:G"), $B40, INDIRECT("'"&amp;AG$3&amp;"'!W:W"), $H$37))</f>
        <v/>
      </c>
      <c r="AI40" s="224" t="str">
        <f ca="1">IF(SUMIFS(INDIRECT("'"&amp;AG$3&amp;"'!J:J"), INDIRECT("'"&amp;AG$3&amp;"'!G:G"), $B40, INDIRECT("'"&amp;AG$3&amp;"'!W:W"), $H$37)=0, "", SUMIFS(INDIRECT("'"&amp;AG$3&amp;"'!J:J"), INDIRECT("'"&amp;AG$3&amp;"'!G:G"), $B40, INDIRECT("'"&amp;AG$3&amp;"'!W:W"), $H$37))</f>
        <v/>
      </c>
    </row>
    <row r="41" spans="2:35" x14ac:dyDescent="0.25">
      <c r="B41" s="222">
        <v>2</v>
      </c>
      <c r="C41" s="278" t="str">
        <f t="shared" ref="C41:C51" ca="1" si="108">IF(
  SUM(
    IFERROR(VALUE(F41), 0),
    IFERROR(VALUE(I41), 0),
    IFERROR(VALUE(L41), 0),
    IFERROR(VALUE(O41), 0),
    IFERROR(VALUE(R41), 0),
    IFERROR(VALUE(U41), 0),
    IFERROR(VALUE(X41), 0),
    IFERROR(VALUE(AA41), 0),
    IFERROR(VALUE(AD41), 0),
    IFERROR(VALUE(AG41), 0)
  ) = 0,
  "",
  SUM(
    IFERROR(VALUE(F41), 0),
    IFERROR(VALUE(I41), 0),
    IFERROR(VALUE(L41), 0),
    IFERROR(VALUE(O41), 0),
    IFERROR(VALUE(R41), 0),
    IFERROR(VALUE(U41), 0),
    IFERROR(VALUE(X41), 0),
    IFERROR(VALUE(AA41), 0),
    IFERROR(VALUE(AD41), 0),
    IFERROR(VALUE(AG41), 0)
  )
)</f>
        <v/>
      </c>
      <c r="D41" s="278" t="str">
        <f t="shared" ca="1" si="106"/>
        <v/>
      </c>
      <c r="E41" s="278" t="str">
        <f t="shared" ca="1" si="107"/>
        <v/>
      </c>
      <c r="F41" s="218" t="str">
        <f t="shared" ref="F41:F51" ca="1" si="109">IF(COUNTIFS(INDIRECT("'"&amp;F$3&amp;"'!G:G"), $B41, INDIRECT("'"&amp;F$3&amp;"'!W:W"), $H$37)=0, "", COUNTIFS(INDIRECT("'"&amp;F$3&amp;"'!G:G"), $B41, INDIRECT("'"&amp;F$3&amp;"'!W:W"), $H$19))</f>
        <v/>
      </c>
      <c r="G41" s="218" t="str">
        <f t="shared" ref="G41:G51" ca="1" si="110">IF(SUMIFS(INDIRECT("'"&amp;F$3&amp;"'!I:I"), INDIRECT("'"&amp;F$3&amp;"'!G:G"), $B41, INDIRECT("'"&amp;F$3&amp;"'!W:W"), $H$37)=0, "", SUMIFS(INDIRECT("'"&amp;F$3&amp;"'!I:I"), INDIRECT("'"&amp;F$3&amp;"'!G:G"), $B41, INDIRECT("'"&amp;F$3&amp;"'!W:W"), $H$37))</f>
        <v/>
      </c>
      <c r="H41" s="219" t="str">
        <f t="shared" ref="H41:H51" ca="1" si="111">IF(SUMIFS(INDIRECT("'"&amp;F$3&amp;"'!J:J"), INDIRECT("'"&amp;F$3&amp;"'!G:G"), $B41, INDIRECT("'"&amp;F$3&amp;"'!W:W"), $H$37)=0, "", SUMIFS(INDIRECT("'"&amp;F$3&amp;"'!J:J"), INDIRECT("'"&amp;F$3&amp;"'!G:G"), $B41, INDIRECT("'"&amp;F$3&amp;"'!W:W"), $H$37))</f>
        <v/>
      </c>
      <c r="I41" s="220" t="str">
        <f t="shared" ref="I41:I51" ca="1" si="112">IF(COUNTIFS(INDIRECT("'"&amp;I$3&amp;"'!G:G"), $B41, INDIRECT("'"&amp;I$3&amp;"'!W:W"), $H$37)=0, "", COUNTIFS(INDIRECT("'"&amp;I$3&amp;"'!G:G"), $B41, INDIRECT("'"&amp;I$3&amp;"'!W:W"), $H$19))</f>
        <v/>
      </c>
      <c r="J41" s="220" t="str">
        <f t="shared" ref="J41:J51" ca="1" si="113">IF(SUMIFS(INDIRECT("'"&amp;I$3&amp;"'!I:I"), INDIRECT("'"&amp;I$3&amp;"'!G:G"), $B41, INDIRECT("'"&amp;I$3&amp;"'!W:W"), $H$37)=0, "", SUMIFS(INDIRECT("'"&amp;I$3&amp;"'!I:I"), INDIRECT("'"&amp;I$3&amp;"'!G:G"), $B41, INDIRECT("'"&amp;I$3&amp;"'!W:W"), $H$37))</f>
        <v/>
      </c>
      <c r="K41" s="221" t="str">
        <f t="shared" ref="K41:K51" ca="1" si="114">IF(SUMIFS(INDIRECT("'"&amp;I$3&amp;"'!J:J"), INDIRECT("'"&amp;I$3&amp;"'!G:G"), $B41, INDIRECT("'"&amp;I$3&amp;"'!W:W"), $H$37)=0, "", SUMIFS(INDIRECT("'"&amp;I$3&amp;"'!J:J"), INDIRECT("'"&amp;I$3&amp;"'!G:G"), $B41, INDIRECT("'"&amp;I$3&amp;"'!W:W"), $H$37))</f>
        <v/>
      </c>
      <c r="L41" s="218" t="str">
        <f t="shared" ref="L41:L51" ca="1" si="115">IF(COUNTIFS(INDIRECT("'"&amp;L$3&amp;"'!G:G"), $B41, INDIRECT("'"&amp;L$3&amp;"'!W:W"), $H$37)=0, "", COUNTIFS(INDIRECT("'"&amp;L$3&amp;"'!G:G"), $B41, INDIRECT("'"&amp;L$3&amp;"'!W:W"), $H$19))</f>
        <v/>
      </c>
      <c r="M41" s="218" t="str">
        <f t="shared" ref="M41:M51" ca="1" si="116">IF(SUMIFS(INDIRECT("'"&amp;L$3&amp;"'!I:I"), INDIRECT("'"&amp;L$3&amp;"'!G:G"), $B41, INDIRECT("'"&amp;L$3&amp;"'!W:W"), $H$37)=0, "", SUMIFS(INDIRECT("'"&amp;L$3&amp;"'!I:I"), INDIRECT("'"&amp;L$3&amp;"'!G:G"), $B41, INDIRECT("'"&amp;L$3&amp;"'!W:W"), $H$37))</f>
        <v/>
      </c>
      <c r="N41" s="219" t="str">
        <f t="shared" ref="N41:N51" ca="1" si="117">IF(SUMIFS(INDIRECT("'"&amp;L$3&amp;"'!J:J"), INDIRECT("'"&amp;L$3&amp;"'!G:G"), $B41, INDIRECT("'"&amp;L$3&amp;"'!W:W"), $H$37)=0, "", SUMIFS(INDIRECT("'"&amp;L$3&amp;"'!J:J"), INDIRECT("'"&amp;L$3&amp;"'!G:G"), $B41, INDIRECT("'"&amp;L$3&amp;"'!W:W"), $H$37))</f>
        <v/>
      </c>
      <c r="O41" s="220" t="str">
        <f t="shared" ref="O41:O51" ca="1" si="118">IF(COUNTIFS(INDIRECT("'"&amp;O$3&amp;"'!G:G"), $B41, INDIRECT("'"&amp;O$3&amp;"'!W:W"), $H$37)=0, "", COUNTIFS(INDIRECT("'"&amp;O$3&amp;"'!G:G"), $B41, INDIRECT("'"&amp;O$3&amp;"'!W:W"), $H$19))</f>
        <v/>
      </c>
      <c r="P41" s="220" t="str">
        <f t="shared" ref="P41:P51" ca="1" si="119">IF(SUMIFS(INDIRECT("'"&amp;O$3&amp;"'!I:I"), INDIRECT("'"&amp;O$3&amp;"'!G:G"), $B41, INDIRECT("'"&amp;O$3&amp;"'!W:W"), $H$37)=0, "", SUMIFS(INDIRECT("'"&amp;O$3&amp;"'!I:I"), INDIRECT("'"&amp;O$3&amp;"'!G:G"), $B41, INDIRECT("'"&amp;O$3&amp;"'!W:W"), $H$37))</f>
        <v/>
      </c>
      <c r="Q41" s="221" t="str">
        <f t="shared" ref="Q41:Q51" ca="1" si="120">IF(SUMIFS(INDIRECT("'"&amp;O$3&amp;"'!J:J"), INDIRECT("'"&amp;O$3&amp;"'!G:G"), $B41, INDIRECT("'"&amp;O$3&amp;"'!W:W"), $H$37)=0, "", SUMIFS(INDIRECT("'"&amp;O$3&amp;"'!J:J"), INDIRECT("'"&amp;O$3&amp;"'!G:G"), $B41, INDIRECT("'"&amp;O$3&amp;"'!W:W"), $H$37))</f>
        <v/>
      </c>
      <c r="R41" s="218" t="str">
        <f t="shared" ref="R41:R51" ca="1" si="121">IF(COUNTIFS(INDIRECT("'"&amp;R$3&amp;"'!G:G"), $B41, INDIRECT("'"&amp;R$3&amp;"'!W:W"), $H$37)=0, "", COUNTIFS(INDIRECT("'"&amp;R$3&amp;"'!G:G"), $B41, INDIRECT("'"&amp;R$3&amp;"'!W:W"), $H$19))</f>
        <v/>
      </c>
      <c r="S41" s="218" t="str">
        <f t="shared" ref="S41:S51" ca="1" si="122">IF(SUMIFS(INDIRECT("'"&amp;R$3&amp;"'!I:I"), INDIRECT("'"&amp;R$3&amp;"'!G:G"), $B41, INDIRECT("'"&amp;R$3&amp;"'!W:W"), $H$37)=0, "", SUMIFS(INDIRECT("'"&amp;R$3&amp;"'!I:I"), INDIRECT("'"&amp;R$3&amp;"'!G:G"), $B41, INDIRECT("'"&amp;R$3&amp;"'!W:W"), $H$37))</f>
        <v/>
      </c>
      <c r="T41" s="219" t="str">
        <f t="shared" ref="T41:T51" ca="1" si="123">IF(SUMIFS(INDIRECT("'"&amp;R$3&amp;"'!J:J"), INDIRECT("'"&amp;R$3&amp;"'!G:G"), $B41, INDIRECT("'"&amp;R$3&amp;"'!W:W"), $H$37)=0, "", SUMIFS(INDIRECT("'"&amp;R$3&amp;"'!J:J"), INDIRECT("'"&amp;R$3&amp;"'!G:G"), $B41, INDIRECT("'"&amp;R$3&amp;"'!W:W"), $H$37))</f>
        <v/>
      </c>
      <c r="U41" s="220" t="str">
        <f t="shared" ref="U41:U51" ca="1" si="124">IF(COUNTIFS(INDIRECT("'"&amp;U$3&amp;"'!G:G"), $B41, INDIRECT("'"&amp;U$3&amp;"'!W:W"), $H$37)=0, "", COUNTIFS(INDIRECT("'"&amp;U$3&amp;"'!G:G"), $B41, INDIRECT("'"&amp;U$3&amp;"'!W:W"), $H$19))</f>
        <v/>
      </c>
      <c r="V41" s="220" t="str">
        <f t="shared" ref="V41:V51" ca="1" si="125">IF(SUMIFS(INDIRECT("'"&amp;U$3&amp;"'!I:I"), INDIRECT("'"&amp;U$3&amp;"'!G:G"), $B41, INDIRECT("'"&amp;U$3&amp;"'!W:W"), $H$37)=0, "", SUMIFS(INDIRECT("'"&amp;U$3&amp;"'!I:I"), INDIRECT("'"&amp;U$3&amp;"'!G:G"), $B41, INDIRECT("'"&amp;U$3&amp;"'!W:W"), $H$37))</f>
        <v/>
      </c>
      <c r="W41" s="221" t="str">
        <f t="shared" ref="W41:W51" ca="1" si="126">IF(SUMIFS(INDIRECT("'"&amp;U$3&amp;"'!J:J"), INDIRECT("'"&amp;U$3&amp;"'!G:G"), $B41, INDIRECT("'"&amp;U$3&amp;"'!W:W"), $H$37)=0, "", SUMIFS(INDIRECT("'"&amp;U$3&amp;"'!J:J"), INDIRECT("'"&amp;U$3&amp;"'!G:G"), $B41, INDIRECT("'"&amp;U$3&amp;"'!W:W"), $H$37))</f>
        <v/>
      </c>
      <c r="X41" s="218" t="str">
        <f t="shared" ref="X41:X51" ca="1" si="127">IF(COUNTIFS(INDIRECT("'"&amp;X$3&amp;"'!G:G"), $B41, INDIRECT("'"&amp;X$3&amp;"'!W:W"), $H$37)=0, "", COUNTIFS(INDIRECT("'"&amp;X$3&amp;"'!G:G"), $B41, INDIRECT("'"&amp;X$3&amp;"'!W:W"), $H$19))</f>
        <v/>
      </c>
      <c r="Y41" s="218" t="str">
        <f t="shared" ref="Y41:Y51" ca="1" si="128">IF(SUMIFS(INDIRECT("'"&amp;X$3&amp;"'!I:I"), INDIRECT("'"&amp;X$3&amp;"'!G:G"), $B41, INDIRECT("'"&amp;X$3&amp;"'!W:W"), $H$37)=0, "", SUMIFS(INDIRECT("'"&amp;X$3&amp;"'!I:I"), INDIRECT("'"&amp;X$3&amp;"'!G:G"), $B41, INDIRECT("'"&amp;X$3&amp;"'!W:W"), $H$37))</f>
        <v/>
      </c>
      <c r="Z41" s="219" t="str">
        <f t="shared" ref="Z41:Z51" ca="1" si="129">IF(SUMIFS(INDIRECT("'"&amp;X$3&amp;"'!J:J"), INDIRECT("'"&amp;X$3&amp;"'!G:G"), $B41, INDIRECT("'"&amp;X$3&amp;"'!W:W"), $H$37)=0, "", SUMIFS(INDIRECT("'"&amp;X$3&amp;"'!J:J"), INDIRECT("'"&amp;X$3&amp;"'!G:G"), $B41, INDIRECT("'"&amp;X$3&amp;"'!W:W"), $H$37))</f>
        <v/>
      </c>
      <c r="AA41" s="220" t="str">
        <f t="shared" ref="AA41:AA51" ca="1" si="130">IF(COUNTIFS(INDIRECT("'"&amp;AA$3&amp;"'!G:G"), $B41, INDIRECT("'"&amp;AA$3&amp;"'!W:W"), $H$37)=0, "", COUNTIFS(INDIRECT("'"&amp;AA$3&amp;"'!G:G"), $B41, INDIRECT("'"&amp;AA$3&amp;"'!W:W"), $H$19))</f>
        <v/>
      </c>
      <c r="AB41" s="220" t="str">
        <f t="shared" ref="AB41:AB51" ca="1" si="131">IF(SUMIFS(INDIRECT("'"&amp;AA$3&amp;"'!I:I"), INDIRECT("'"&amp;AA$3&amp;"'!G:G"), $B41, INDIRECT("'"&amp;AA$3&amp;"'!W:W"), $H$37)=0, "", SUMIFS(INDIRECT("'"&amp;AA$3&amp;"'!I:I"), INDIRECT("'"&amp;AA$3&amp;"'!G:G"), $B41, INDIRECT("'"&amp;AA$3&amp;"'!W:W"), $H$37))</f>
        <v/>
      </c>
      <c r="AC41" s="221" t="str">
        <f t="shared" ref="AC41:AC51" ca="1" si="132">IF(SUMIFS(INDIRECT("'"&amp;AA$3&amp;"'!J:J"), INDIRECT("'"&amp;AA$3&amp;"'!G:G"), $B41, INDIRECT("'"&amp;AA$3&amp;"'!W:W"), $H$37)=0, "", SUMIFS(INDIRECT("'"&amp;AA$3&amp;"'!J:J"), INDIRECT("'"&amp;AA$3&amp;"'!G:G"), $B41, INDIRECT("'"&amp;AA$3&amp;"'!W:W"), $H$37))</f>
        <v/>
      </c>
      <c r="AD41" s="218" t="str">
        <f t="shared" ref="AD41:AD51" ca="1" si="133">IF(COUNTIFS(INDIRECT("'"&amp;AD$3&amp;"'!G:G"), $B41, INDIRECT("'"&amp;AD$3&amp;"'!W:W"), $H$37)=0, "", COUNTIFS(INDIRECT("'"&amp;AD$3&amp;"'!G:G"), $B41, INDIRECT("'"&amp;AD$3&amp;"'!W:W"), $H$19))</f>
        <v/>
      </c>
      <c r="AE41" s="218" t="str">
        <f t="shared" ref="AE41:AE51" ca="1" si="134">IF(SUMIFS(INDIRECT("'"&amp;AD$3&amp;"'!I:I"), INDIRECT("'"&amp;AD$3&amp;"'!G:G"), $B41, INDIRECT("'"&amp;AD$3&amp;"'!W:W"), $H$37)=0, "", SUMIFS(INDIRECT("'"&amp;AD$3&amp;"'!I:I"), INDIRECT("'"&amp;AD$3&amp;"'!G:G"), $B41, INDIRECT("'"&amp;AD$3&amp;"'!W:W"), $H$37))</f>
        <v/>
      </c>
      <c r="AF41" s="219" t="str">
        <f t="shared" ref="AF41:AF51" ca="1" si="135">IF(SUMIFS(INDIRECT("'"&amp;AD$3&amp;"'!J:J"), INDIRECT("'"&amp;AD$3&amp;"'!G:G"), $B41, INDIRECT("'"&amp;AD$3&amp;"'!W:W"), $H$37)=0, "", SUMIFS(INDIRECT("'"&amp;AD$3&amp;"'!J:J"), INDIRECT("'"&amp;AD$3&amp;"'!G:G"), $B41, INDIRECT("'"&amp;AD$3&amp;"'!W:W"), $H$37))</f>
        <v/>
      </c>
      <c r="AG41" s="220" t="str">
        <f t="shared" ref="AG41:AG51" ca="1" si="136">IF(COUNTIFS(INDIRECT("'"&amp;AG$3&amp;"'!G:G"), $B41, INDIRECT("'"&amp;AG$3&amp;"'!W:W"), $H$37)=0, "", COUNTIFS(INDIRECT("'"&amp;AG$3&amp;"'!G:G"), $B41, INDIRECT("'"&amp;AG$3&amp;"'!W:W"), $H$19))</f>
        <v/>
      </c>
      <c r="AH41" s="220" t="str">
        <f t="shared" ref="AH41:AH51" ca="1" si="137">IF(SUMIFS(INDIRECT("'"&amp;AG$3&amp;"'!I:I"), INDIRECT("'"&amp;AG$3&amp;"'!G:G"), $B41, INDIRECT("'"&amp;AG$3&amp;"'!W:W"), $H$37)=0, "", SUMIFS(INDIRECT("'"&amp;AG$3&amp;"'!I:I"), INDIRECT("'"&amp;AG$3&amp;"'!G:G"), $B41, INDIRECT("'"&amp;AG$3&amp;"'!W:W"), $H$37))</f>
        <v/>
      </c>
      <c r="AI41" s="224" t="str">
        <f t="shared" ref="AI41:AI51" ca="1" si="138">IF(SUMIFS(INDIRECT("'"&amp;AG$3&amp;"'!J:J"), INDIRECT("'"&amp;AG$3&amp;"'!G:G"), $B41, INDIRECT("'"&amp;AG$3&amp;"'!W:W"), $H$37)=0, "", SUMIFS(INDIRECT("'"&amp;AG$3&amp;"'!J:J"), INDIRECT("'"&amp;AG$3&amp;"'!G:G"), $B41, INDIRECT("'"&amp;AG$3&amp;"'!W:W"), $H$37))</f>
        <v/>
      </c>
    </row>
    <row r="42" spans="2:35" x14ac:dyDescent="0.25">
      <c r="B42" s="222">
        <v>3</v>
      </c>
      <c r="C42" s="278" t="str">
        <f t="shared" ca="1" si="108"/>
        <v/>
      </c>
      <c r="D42" s="278" t="str">
        <f t="shared" ca="1" si="106"/>
        <v/>
      </c>
      <c r="E42" s="278" t="str">
        <f t="shared" ca="1" si="107"/>
        <v/>
      </c>
      <c r="F42" s="218" t="str">
        <f t="shared" ca="1" si="109"/>
        <v/>
      </c>
      <c r="G42" s="218" t="str">
        <f t="shared" ca="1" si="110"/>
        <v/>
      </c>
      <c r="H42" s="219" t="str">
        <f t="shared" ca="1" si="111"/>
        <v/>
      </c>
      <c r="I42" s="220" t="str">
        <f t="shared" ca="1" si="112"/>
        <v/>
      </c>
      <c r="J42" s="220" t="str">
        <f t="shared" ca="1" si="113"/>
        <v/>
      </c>
      <c r="K42" s="221" t="str">
        <f t="shared" ca="1" si="114"/>
        <v/>
      </c>
      <c r="L42" s="218" t="str">
        <f t="shared" ca="1" si="115"/>
        <v/>
      </c>
      <c r="M42" s="218" t="str">
        <f t="shared" ca="1" si="116"/>
        <v/>
      </c>
      <c r="N42" s="219" t="str">
        <f t="shared" ca="1" si="117"/>
        <v/>
      </c>
      <c r="O42" s="220" t="str">
        <f t="shared" ca="1" si="118"/>
        <v/>
      </c>
      <c r="P42" s="220" t="str">
        <f t="shared" ca="1" si="119"/>
        <v/>
      </c>
      <c r="Q42" s="221" t="str">
        <f t="shared" ca="1" si="120"/>
        <v/>
      </c>
      <c r="R42" s="218" t="str">
        <f t="shared" ca="1" si="121"/>
        <v/>
      </c>
      <c r="S42" s="218" t="str">
        <f t="shared" ca="1" si="122"/>
        <v/>
      </c>
      <c r="T42" s="219" t="str">
        <f t="shared" ca="1" si="123"/>
        <v/>
      </c>
      <c r="U42" s="220" t="str">
        <f t="shared" ca="1" si="124"/>
        <v/>
      </c>
      <c r="V42" s="220" t="str">
        <f t="shared" ca="1" si="125"/>
        <v/>
      </c>
      <c r="W42" s="221" t="str">
        <f t="shared" ca="1" si="126"/>
        <v/>
      </c>
      <c r="X42" s="218" t="str">
        <f t="shared" ca="1" si="127"/>
        <v/>
      </c>
      <c r="Y42" s="218" t="str">
        <f t="shared" ca="1" si="128"/>
        <v/>
      </c>
      <c r="Z42" s="219" t="str">
        <f t="shared" ca="1" si="129"/>
        <v/>
      </c>
      <c r="AA42" s="220" t="str">
        <f t="shared" ca="1" si="130"/>
        <v/>
      </c>
      <c r="AB42" s="220" t="str">
        <f t="shared" ca="1" si="131"/>
        <v/>
      </c>
      <c r="AC42" s="221" t="str">
        <f t="shared" ca="1" si="132"/>
        <v/>
      </c>
      <c r="AD42" s="218" t="str">
        <f t="shared" ca="1" si="133"/>
        <v/>
      </c>
      <c r="AE42" s="218" t="str">
        <f t="shared" ca="1" si="134"/>
        <v/>
      </c>
      <c r="AF42" s="219" t="str">
        <f t="shared" ca="1" si="135"/>
        <v/>
      </c>
      <c r="AG42" s="220" t="str">
        <f t="shared" ca="1" si="136"/>
        <v/>
      </c>
      <c r="AH42" s="220" t="str">
        <f t="shared" ca="1" si="137"/>
        <v/>
      </c>
      <c r="AI42" s="224" t="str">
        <f t="shared" ca="1" si="138"/>
        <v/>
      </c>
    </row>
    <row r="43" spans="2:35" x14ac:dyDescent="0.25">
      <c r="B43" s="222">
        <v>4</v>
      </c>
      <c r="C43" s="278" t="str">
        <f t="shared" ca="1" si="108"/>
        <v/>
      </c>
      <c r="D43" s="278" t="str">
        <f t="shared" ca="1" si="106"/>
        <v/>
      </c>
      <c r="E43" s="278" t="str">
        <f t="shared" ca="1" si="107"/>
        <v/>
      </c>
      <c r="F43" s="218" t="str">
        <f t="shared" ca="1" si="109"/>
        <v/>
      </c>
      <c r="G43" s="218" t="str">
        <f t="shared" ca="1" si="110"/>
        <v/>
      </c>
      <c r="H43" s="219" t="str">
        <f t="shared" ca="1" si="111"/>
        <v/>
      </c>
      <c r="I43" s="220" t="str">
        <f t="shared" ca="1" si="112"/>
        <v/>
      </c>
      <c r="J43" s="220" t="str">
        <f t="shared" ca="1" si="113"/>
        <v/>
      </c>
      <c r="K43" s="221" t="str">
        <f t="shared" ca="1" si="114"/>
        <v/>
      </c>
      <c r="L43" s="218" t="str">
        <f t="shared" ca="1" si="115"/>
        <v/>
      </c>
      <c r="M43" s="218" t="str">
        <f t="shared" ca="1" si="116"/>
        <v/>
      </c>
      <c r="N43" s="219" t="str">
        <f t="shared" ca="1" si="117"/>
        <v/>
      </c>
      <c r="O43" s="220" t="str">
        <f t="shared" ca="1" si="118"/>
        <v/>
      </c>
      <c r="P43" s="220" t="str">
        <f t="shared" ca="1" si="119"/>
        <v/>
      </c>
      <c r="Q43" s="221" t="str">
        <f t="shared" ca="1" si="120"/>
        <v/>
      </c>
      <c r="R43" s="218" t="str">
        <f t="shared" ca="1" si="121"/>
        <v/>
      </c>
      <c r="S43" s="218" t="str">
        <f t="shared" ca="1" si="122"/>
        <v/>
      </c>
      <c r="T43" s="219" t="str">
        <f t="shared" ca="1" si="123"/>
        <v/>
      </c>
      <c r="U43" s="220" t="str">
        <f t="shared" ca="1" si="124"/>
        <v/>
      </c>
      <c r="V43" s="220" t="str">
        <f t="shared" ca="1" si="125"/>
        <v/>
      </c>
      <c r="W43" s="221" t="str">
        <f t="shared" ca="1" si="126"/>
        <v/>
      </c>
      <c r="X43" s="218" t="str">
        <f t="shared" ca="1" si="127"/>
        <v/>
      </c>
      <c r="Y43" s="218" t="str">
        <f t="shared" ca="1" si="128"/>
        <v/>
      </c>
      <c r="Z43" s="219" t="str">
        <f t="shared" ca="1" si="129"/>
        <v/>
      </c>
      <c r="AA43" s="220" t="str">
        <f t="shared" ca="1" si="130"/>
        <v/>
      </c>
      <c r="AB43" s="220" t="str">
        <f t="shared" ca="1" si="131"/>
        <v/>
      </c>
      <c r="AC43" s="221" t="str">
        <f t="shared" ca="1" si="132"/>
        <v/>
      </c>
      <c r="AD43" s="218" t="str">
        <f t="shared" ca="1" si="133"/>
        <v/>
      </c>
      <c r="AE43" s="218" t="str">
        <f t="shared" ca="1" si="134"/>
        <v/>
      </c>
      <c r="AF43" s="219" t="str">
        <f t="shared" ca="1" si="135"/>
        <v/>
      </c>
      <c r="AG43" s="220" t="str">
        <f t="shared" ca="1" si="136"/>
        <v/>
      </c>
      <c r="AH43" s="220" t="str">
        <f t="shared" ca="1" si="137"/>
        <v/>
      </c>
      <c r="AI43" s="224" t="str">
        <f t="shared" ca="1" si="138"/>
        <v/>
      </c>
    </row>
    <row r="44" spans="2:35" x14ac:dyDescent="0.25">
      <c r="B44" s="222">
        <v>5</v>
      </c>
      <c r="C44" s="278" t="str">
        <f t="shared" ca="1" si="108"/>
        <v/>
      </c>
      <c r="D44" s="278" t="str">
        <f t="shared" ca="1" si="106"/>
        <v/>
      </c>
      <c r="E44" s="278" t="str">
        <f t="shared" ca="1" si="107"/>
        <v/>
      </c>
      <c r="F44" s="218" t="str">
        <f t="shared" ca="1" si="109"/>
        <v/>
      </c>
      <c r="G44" s="218" t="str">
        <f t="shared" ca="1" si="110"/>
        <v/>
      </c>
      <c r="H44" s="219" t="str">
        <f t="shared" ca="1" si="111"/>
        <v/>
      </c>
      <c r="I44" s="220" t="str">
        <f t="shared" ca="1" si="112"/>
        <v/>
      </c>
      <c r="J44" s="220" t="str">
        <f t="shared" ca="1" si="113"/>
        <v/>
      </c>
      <c r="K44" s="221" t="str">
        <f t="shared" ca="1" si="114"/>
        <v/>
      </c>
      <c r="L44" s="218" t="str">
        <f t="shared" ca="1" si="115"/>
        <v/>
      </c>
      <c r="M44" s="218" t="str">
        <f t="shared" ca="1" si="116"/>
        <v/>
      </c>
      <c r="N44" s="219" t="str">
        <f t="shared" ca="1" si="117"/>
        <v/>
      </c>
      <c r="O44" s="220" t="str">
        <f t="shared" ca="1" si="118"/>
        <v/>
      </c>
      <c r="P44" s="220" t="str">
        <f t="shared" ca="1" si="119"/>
        <v/>
      </c>
      <c r="Q44" s="221" t="str">
        <f t="shared" ca="1" si="120"/>
        <v/>
      </c>
      <c r="R44" s="218" t="str">
        <f t="shared" ca="1" si="121"/>
        <v/>
      </c>
      <c r="S44" s="218" t="str">
        <f t="shared" ca="1" si="122"/>
        <v/>
      </c>
      <c r="T44" s="219" t="str">
        <f t="shared" ca="1" si="123"/>
        <v/>
      </c>
      <c r="U44" s="220" t="str">
        <f t="shared" ca="1" si="124"/>
        <v/>
      </c>
      <c r="V44" s="220" t="str">
        <f t="shared" ca="1" si="125"/>
        <v/>
      </c>
      <c r="W44" s="221" t="str">
        <f t="shared" ca="1" si="126"/>
        <v/>
      </c>
      <c r="X44" s="218" t="str">
        <f t="shared" ca="1" si="127"/>
        <v/>
      </c>
      <c r="Y44" s="218" t="str">
        <f t="shared" ca="1" si="128"/>
        <v/>
      </c>
      <c r="Z44" s="219" t="str">
        <f t="shared" ca="1" si="129"/>
        <v/>
      </c>
      <c r="AA44" s="220" t="str">
        <f t="shared" ca="1" si="130"/>
        <v/>
      </c>
      <c r="AB44" s="220" t="str">
        <f t="shared" ca="1" si="131"/>
        <v/>
      </c>
      <c r="AC44" s="221" t="str">
        <f t="shared" ca="1" si="132"/>
        <v/>
      </c>
      <c r="AD44" s="218" t="str">
        <f t="shared" ca="1" si="133"/>
        <v/>
      </c>
      <c r="AE44" s="218" t="str">
        <f t="shared" ca="1" si="134"/>
        <v/>
      </c>
      <c r="AF44" s="219" t="str">
        <f t="shared" ca="1" si="135"/>
        <v/>
      </c>
      <c r="AG44" s="220" t="str">
        <f t="shared" ca="1" si="136"/>
        <v/>
      </c>
      <c r="AH44" s="220" t="str">
        <f t="shared" ca="1" si="137"/>
        <v/>
      </c>
      <c r="AI44" s="224" t="str">
        <f t="shared" ca="1" si="138"/>
        <v/>
      </c>
    </row>
    <row r="45" spans="2:35" x14ac:dyDescent="0.25">
      <c r="B45" s="222">
        <v>6</v>
      </c>
      <c r="C45" s="278" t="str">
        <f t="shared" ca="1" si="108"/>
        <v/>
      </c>
      <c r="D45" s="278" t="str">
        <f t="shared" ca="1" si="106"/>
        <v/>
      </c>
      <c r="E45" s="278" t="str">
        <f t="shared" ca="1" si="107"/>
        <v/>
      </c>
      <c r="F45" s="218" t="str">
        <f t="shared" ca="1" si="109"/>
        <v/>
      </c>
      <c r="G45" s="218" t="str">
        <f t="shared" ca="1" si="110"/>
        <v/>
      </c>
      <c r="H45" s="219" t="str">
        <f t="shared" ca="1" si="111"/>
        <v/>
      </c>
      <c r="I45" s="220" t="str">
        <f t="shared" ca="1" si="112"/>
        <v/>
      </c>
      <c r="J45" s="220" t="str">
        <f t="shared" ca="1" si="113"/>
        <v/>
      </c>
      <c r="K45" s="221" t="str">
        <f t="shared" ca="1" si="114"/>
        <v/>
      </c>
      <c r="L45" s="218" t="str">
        <f t="shared" ca="1" si="115"/>
        <v/>
      </c>
      <c r="M45" s="218" t="str">
        <f t="shared" ca="1" si="116"/>
        <v/>
      </c>
      <c r="N45" s="219" t="str">
        <f t="shared" ca="1" si="117"/>
        <v/>
      </c>
      <c r="O45" s="220" t="str">
        <f t="shared" ca="1" si="118"/>
        <v/>
      </c>
      <c r="P45" s="220" t="str">
        <f t="shared" ca="1" si="119"/>
        <v/>
      </c>
      <c r="Q45" s="221" t="str">
        <f t="shared" ca="1" si="120"/>
        <v/>
      </c>
      <c r="R45" s="218" t="str">
        <f t="shared" ca="1" si="121"/>
        <v/>
      </c>
      <c r="S45" s="218" t="str">
        <f t="shared" ca="1" si="122"/>
        <v/>
      </c>
      <c r="T45" s="219" t="str">
        <f t="shared" ca="1" si="123"/>
        <v/>
      </c>
      <c r="U45" s="220" t="str">
        <f t="shared" ca="1" si="124"/>
        <v/>
      </c>
      <c r="V45" s="220" t="str">
        <f t="shared" ca="1" si="125"/>
        <v/>
      </c>
      <c r="W45" s="221" t="str">
        <f t="shared" ca="1" si="126"/>
        <v/>
      </c>
      <c r="X45" s="218" t="str">
        <f t="shared" ca="1" si="127"/>
        <v/>
      </c>
      <c r="Y45" s="218" t="str">
        <f t="shared" ca="1" si="128"/>
        <v/>
      </c>
      <c r="Z45" s="219" t="str">
        <f t="shared" ca="1" si="129"/>
        <v/>
      </c>
      <c r="AA45" s="220" t="str">
        <f t="shared" ca="1" si="130"/>
        <v/>
      </c>
      <c r="AB45" s="220" t="str">
        <f t="shared" ca="1" si="131"/>
        <v/>
      </c>
      <c r="AC45" s="221" t="str">
        <f t="shared" ca="1" si="132"/>
        <v/>
      </c>
      <c r="AD45" s="218" t="str">
        <f t="shared" ca="1" si="133"/>
        <v/>
      </c>
      <c r="AE45" s="218" t="str">
        <f t="shared" ca="1" si="134"/>
        <v/>
      </c>
      <c r="AF45" s="219" t="str">
        <f t="shared" ca="1" si="135"/>
        <v/>
      </c>
      <c r="AG45" s="220" t="str">
        <f t="shared" ca="1" si="136"/>
        <v/>
      </c>
      <c r="AH45" s="220" t="str">
        <f t="shared" ca="1" si="137"/>
        <v/>
      </c>
      <c r="AI45" s="224" t="str">
        <f t="shared" ca="1" si="138"/>
        <v/>
      </c>
    </row>
    <row r="46" spans="2:35" x14ac:dyDescent="0.25">
      <c r="B46" s="222">
        <v>7</v>
      </c>
      <c r="C46" s="278" t="str">
        <f t="shared" ca="1" si="108"/>
        <v/>
      </c>
      <c r="D46" s="278" t="str">
        <f t="shared" ca="1" si="106"/>
        <v/>
      </c>
      <c r="E46" s="278" t="str">
        <f t="shared" ca="1" si="107"/>
        <v/>
      </c>
      <c r="F46" s="218" t="str">
        <f t="shared" ca="1" si="109"/>
        <v/>
      </c>
      <c r="G46" s="218" t="str">
        <f t="shared" ca="1" si="110"/>
        <v/>
      </c>
      <c r="H46" s="219" t="str">
        <f t="shared" ca="1" si="111"/>
        <v/>
      </c>
      <c r="I46" s="220" t="str">
        <f t="shared" ca="1" si="112"/>
        <v/>
      </c>
      <c r="J46" s="220" t="str">
        <f t="shared" ca="1" si="113"/>
        <v/>
      </c>
      <c r="K46" s="221" t="str">
        <f t="shared" ca="1" si="114"/>
        <v/>
      </c>
      <c r="L46" s="218" t="str">
        <f t="shared" ca="1" si="115"/>
        <v/>
      </c>
      <c r="M46" s="218" t="str">
        <f t="shared" ca="1" si="116"/>
        <v/>
      </c>
      <c r="N46" s="219" t="str">
        <f t="shared" ca="1" si="117"/>
        <v/>
      </c>
      <c r="O46" s="220" t="str">
        <f t="shared" ca="1" si="118"/>
        <v/>
      </c>
      <c r="P46" s="220" t="str">
        <f t="shared" ca="1" si="119"/>
        <v/>
      </c>
      <c r="Q46" s="221" t="str">
        <f t="shared" ca="1" si="120"/>
        <v/>
      </c>
      <c r="R46" s="218" t="str">
        <f t="shared" ca="1" si="121"/>
        <v/>
      </c>
      <c r="S46" s="218" t="str">
        <f t="shared" ca="1" si="122"/>
        <v/>
      </c>
      <c r="T46" s="219" t="str">
        <f t="shared" ca="1" si="123"/>
        <v/>
      </c>
      <c r="U46" s="220" t="str">
        <f t="shared" ca="1" si="124"/>
        <v/>
      </c>
      <c r="V46" s="220" t="str">
        <f t="shared" ca="1" si="125"/>
        <v/>
      </c>
      <c r="W46" s="221" t="str">
        <f t="shared" ca="1" si="126"/>
        <v/>
      </c>
      <c r="X46" s="218" t="str">
        <f t="shared" ca="1" si="127"/>
        <v/>
      </c>
      <c r="Y46" s="218" t="str">
        <f t="shared" ca="1" si="128"/>
        <v/>
      </c>
      <c r="Z46" s="219" t="str">
        <f t="shared" ca="1" si="129"/>
        <v/>
      </c>
      <c r="AA46" s="220" t="str">
        <f t="shared" ca="1" si="130"/>
        <v/>
      </c>
      <c r="AB46" s="220" t="str">
        <f t="shared" ca="1" si="131"/>
        <v/>
      </c>
      <c r="AC46" s="221" t="str">
        <f t="shared" ca="1" si="132"/>
        <v/>
      </c>
      <c r="AD46" s="218" t="str">
        <f t="shared" ca="1" si="133"/>
        <v/>
      </c>
      <c r="AE46" s="218" t="str">
        <f t="shared" ca="1" si="134"/>
        <v/>
      </c>
      <c r="AF46" s="219" t="str">
        <f t="shared" ca="1" si="135"/>
        <v/>
      </c>
      <c r="AG46" s="220" t="str">
        <f t="shared" ca="1" si="136"/>
        <v/>
      </c>
      <c r="AH46" s="220" t="str">
        <f t="shared" ca="1" si="137"/>
        <v/>
      </c>
      <c r="AI46" s="224" t="str">
        <f t="shared" ca="1" si="138"/>
        <v/>
      </c>
    </row>
    <row r="47" spans="2:35" x14ac:dyDescent="0.25">
      <c r="B47" s="222">
        <v>8</v>
      </c>
      <c r="C47" s="278" t="str">
        <f t="shared" ca="1" si="108"/>
        <v/>
      </c>
      <c r="D47" s="278" t="str">
        <f t="shared" ca="1" si="106"/>
        <v/>
      </c>
      <c r="E47" s="278" t="str">
        <f t="shared" ca="1" si="107"/>
        <v/>
      </c>
      <c r="F47" s="218" t="str">
        <f t="shared" ca="1" si="109"/>
        <v/>
      </c>
      <c r="G47" s="218" t="str">
        <f t="shared" ca="1" si="110"/>
        <v/>
      </c>
      <c r="H47" s="219" t="str">
        <f t="shared" ca="1" si="111"/>
        <v/>
      </c>
      <c r="I47" s="220" t="str">
        <f t="shared" ca="1" si="112"/>
        <v/>
      </c>
      <c r="J47" s="220" t="str">
        <f t="shared" ca="1" si="113"/>
        <v/>
      </c>
      <c r="K47" s="221" t="str">
        <f t="shared" ca="1" si="114"/>
        <v/>
      </c>
      <c r="L47" s="218" t="str">
        <f t="shared" ca="1" si="115"/>
        <v/>
      </c>
      <c r="M47" s="218" t="str">
        <f t="shared" ca="1" si="116"/>
        <v/>
      </c>
      <c r="N47" s="219" t="str">
        <f t="shared" ca="1" si="117"/>
        <v/>
      </c>
      <c r="O47" s="220" t="str">
        <f t="shared" ca="1" si="118"/>
        <v/>
      </c>
      <c r="P47" s="220" t="str">
        <f t="shared" ca="1" si="119"/>
        <v/>
      </c>
      <c r="Q47" s="221" t="str">
        <f t="shared" ca="1" si="120"/>
        <v/>
      </c>
      <c r="R47" s="218" t="str">
        <f t="shared" ca="1" si="121"/>
        <v/>
      </c>
      <c r="S47" s="218" t="str">
        <f t="shared" ca="1" si="122"/>
        <v/>
      </c>
      <c r="T47" s="219" t="str">
        <f t="shared" ca="1" si="123"/>
        <v/>
      </c>
      <c r="U47" s="220" t="str">
        <f t="shared" ca="1" si="124"/>
        <v/>
      </c>
      <c r="V47" s="220" t="str">
        <f t="shared" ca="1" si="125"/>
        <v/>
      </c>
      <c r="W47" s="221" t="str">
        <f t="shared" ca="1" si="126"/>
        <v/>
      </c>
      <c r="X47" s="218" t="str">
        <f t="shared" ca="1" si="127"/>
        <v/>
      </c>
      <c r="Y47" s="218" t="str">
        <f t="shared" ca="1" si="128"/>
        <v/>
      </c>
      <c r="Z47" s="219" t="str">
        <f t="shared" ca="1" si="129"/>
        <v/>
      </c>
      <c r="AA47" s="220" t="str">
        <f t="shared" ca="1" si="130"/>
        <v/>
      </c>
      <c r="AB47" s="220" t="str">
        <f t="shared" ca="1" si="131"/>
        <v/>
      </c>
      <c r="AC47" s="221" t="str">
        <f t="shared" ca="1" si="132"/>
        <v/>
      </c>
      <c r="AD47" s="218" t="str">
        <f t="shared" ca="1" si="133"/>
        <v/>
      </c>
      <c r="AE47" s="218" t="str">
        <f t="shared" ca="1" si="134"/>
        <v/>
      </c>
      <c r="AF47" s="219" t="str">
        <f t="shared" ca="1" si="135"/>
        <v/>
      </c>
      <c r="AG47" s="220" t="str">
        <f t="shared" ca="1" si="136"/>
        <v/>
      </c>
      <c r="AH47" s="220" t="str">
        <f t="shared" ca="1" si="137"/>
        <v/>
      </c>
      <c r="AI47" s="224" t="str">
        <f t="shared" ca="1" si="138"/>
        <v/>
      </c>
    </row>
    <row r="48" spans="2:35" x14ac:dyDescent="0.25">
      <c r="B48" s="222">
        <v>9</v>
      </c>
      <c r="C48" s="278" t="str">
        <f t="shared" ca="1" si="108"/>
        <v/>
      </c>
      <c r="D48" s="278" t="str">
        <f t="shared" ca="1" si="106"/>
        <v/>
      </c>
      <c r="E48" s="278" t="str">
        <f t="shared" ca="1" si="107"/>
        <v/>
      </c>
      <c r="F48" s="218" t="str">
        <f t="shared" ca="1" si="109"/>
        <v/>
      </c>
      <c r="G48" s="218" t="str">
        <f t="shared" ca="1" si="110"/>
        <v/>
      </c>
      <c r="H48" s="219" t="str">
        <f t="shared" ca="1" si="111"/>
        <v/>
      </c>
      <c r="I48" s="220" t="str">
        <f t="shared" ca="1" si="112"/>
        <v/>
      </c>
      <c r="J48" s="220" t="str">
        <f t="shared" ca="1" si="113"/>
        <v/>
      </c>
      <c r="K48" s="221" t="str">
        <f t="shared" ca="1" si="114"/>
        <v/>
      </c>
      <c r="L48" s="218" t="str">
        <f t="shared" ca="1" si="115"/>
        <v/>
      </c>
      <c r="M48" s="218" t="str">
        <f t="shared" ca="1" si="116"/>
        <v/>
      </c>
      <c r="N48" s="219" t="str">
        <f t="shared" ca="1" si="117"/>
        <v/>
      </c>
      <c r="O48" s="220" t="str">
        <f t="shared" ca="1" si="118"/>
        <v/>
      </c>
      <c r="P48" s="220" t="str">
        <f t="shared" ca="1" si="119"/>
        <v/>
      </c>
      <c r="Q48" s="221" t="str">
        <f t="shared" ca="1" si="120"/>
        <v/>
      </c>
      <c r="R48" s="218" t="str">
        <f t="shared" ca="1" si="121"/>
        <v/>
      </c>
      <c r="S48" s="218" t="str">
        <f t="shared" ca="1" si="122"/>
        <v/>
      </c>
      <c r="T48" s="219" t="str">
        <f t="shared" ca="1" si="123"/>
        <v/>
      </c>
      <c r="U48" s="220" t="str">
        <f t="shared" ca="1" si="124"/>
        <v/>
      </c>
      <c r="V48" s="220" t="str">
        <f t="shared" ca="1" si="125"/>
        <v/>
      </c>
      <c r="W48" s="221" t="str">
        <f t="shared" ca="1" si="126"/>
        <v/>
      </c>
      <c r="X48" s="218" t="str">
        <f t="shared" ca="1" si="127"/>
        <v/>
      </c>
      <c r="Y48" s="218" t="str">
        <f t="shared" ca="1" si="128"/>
        <v/>
      </c>
      <c r="Z48" s="219" t="str">
        <f t="shared" ca="1" si="129"/>
        <v/>
      </c>
      <c r="AA48" s="220" t="str">
        <f t="shared" ca="1" si="130"/>
        <v/>
      </c>
      <c r="AB48" s="220" t="str">
        <f t="shared" ca="1" si="131"/>
        <v/>
      </c>
      <c r="AC48" s="221" t="str">
        <f t="shared" ca="1" si="132"/>
        <v/>
      </c>
      <c r="AD48" s="218" t="str">
        <f t="shared" ca="1" si="133"/>
        <v/>
      </c>
      <c r="AE48" s="218" t="str">
        <f t="shared" ca="1" si="134"/>
        <v/>
      </c>
      <c r="AF48" s="219" t="str">
        <f t="shared" ca="1" si="135"/>
        <v/>
      </c>
      <c r="AG48" s="220" t="str">
        <f t="shared" ca="1" si="136"/>
        <v/>
      </c>
      <c r="AH48" s="220" t="str">
        <f t="shared" ca="1" si="137"/>
        <v/>
      </c>
      <c r="AI48" s="224" t="str">
        <f t="shared" ca="1" si="138"/>
        <v/>
      </c>
    </row>
    <row r="49" spans="2:35" x14ac:dyDescent="0.25">
      <c r="B49" s="222">
        <v>10</v>
      </c>
      <c r="C49" s="278" t="str">
        <f t="shared" ca="1" si="108"/>
        <v/>
      </c>
      <c r="D49" s="278" t="str">
        <f t="shared" ca="1" si="106"/>
        <v/>
      </c>
      <c r="E49" s="278" t="str">
        <f t="shared" ca="1" si="107"/>
        <v/>
      </c>
      <c r="F49" s="218" t="str">
        <f t="shared" ca="1" si="109"/>
        <v/>
      </c>
      <c r="G49" s="218" t="str">
        <f t="shared" ca="1" si="110"/>
        <v/>
      </c>
      <c r="H49" s="219" t="str">
        <f t="shared" ca="1" si="111"/>
        <v/>
      </c>
      <c r="I49" s="220" t="str">
        <f t="shared" ca="1" si="112"/>
        <v/>
      </c>
      <c r="J49" s="220" t="str">
        <f t="shared" ca="1" si="113"/>
        <v/>
      </c>
      <c r="K49" s="221" t="str">
        <f t="shared" ca="1" si="114"/>
        <v/>
      </c>
      <c r="L49" s="218" t="str">
        <f t="shared" ca="1" si="115"/>
        <v/>
      </c>
      <c r="M49" s="218" t="str">
        <f t="shared" ca="1" si="116"/>
        <v/>
      </c>
      <c r="N49" s="219" t="str">
        <f t="shared" ca="1" si="117"/>
        <v/>
      </c>
      <c r="O49" s="220" t="str">
        <f t="shared" ca="1" si="118"/>
        <v/>
      </c>
      <c r="P49" s="220" t="str">
        <f t="shared" ca="1" si="119"/>
        <v/>
      </c>
      <c r="Q49" s="221" t="str">
        <f t="shared" ca="1" si="120"/>
        <v/>
      </c>
      <c r="R49" s="218" t="str">
        <f t="shared" ca="1" si="121"/>
        <v/>
      </c>
      <c r="S49" s="218" t="str">
        <f t="shared" ca="1" si="122"/>
        <v/>
      </c>
      <c r="T49" s="219" t="str">
        <f t="shared" ca="1" si="123"/>
        <v/>
      </c>
      <c r="U49" s="220" t="str">
        <f t="shared" ca="1" si="124"/>
        <v/>
      </c>
      <c r="V49" s="220" t="str">
        <f t="shared" ca="1" si="125"/>
        <v/>
      </c>
      <c r="W49" s="221" t="str">
        <f t="shared" ca="1" si="126"/>
        <v/>
      </c>
      <c r="X49" s="218" t="str">
        <f t="shared" ca="1" si="127"/>
        <v/>
      </c>
      <c r="Y49" s="218" t="str">
        <f t="shared" ca="1" si="128"/>
        <v/>
      </c>
      <c r="Z49" s="219" t="str">
        <f t="shared" ca="1" si="129"/>
        <v/>
      </c>
      <c r="AA49" s="220" t="str">
        <f t="shared" ca="1" si="130"/>
        <v/>
      </c>
      <c r="AB49" s="220" t="str">
        <f t="shared" ca="1" si="131"/>
        <v/>
      </c>
      <c r="AC49" s="221" t="str">
        <f t="shared" ca="1" si="132"/>
        <v/>
      </c>
      <c r="AD49" s="218" t="str">
        <f t="shared" ca="1" si="133"/>
        <v/>
      </c>
      <c r="AE49" s="218" t="str">
        <f t="shared" ca="1" si="134"/>
        <v/>
      </c>
      <c r="AF49" s="219" t="str">
        <f t="shared" ca="1" si="135"/>
        <v/>
      </c>
      <c r="AG49" s="220" t="str">
        <f t="shared" ca="1" si="136"/>
        <v/>
      </c>
      <c r="AH49" s="220" t="str">
        <f t="shared" ca="1" si="137"/>
        <v/>
      </c>
      <c r="AI49" s="224" t="str">
        <f t="shared" ca="1" si="138"/>
        <v/>
      </c>
    </row>
    <row r="50" spans="2:35" x14ac:dyDescent="0.25">
      <c r="B50" s="222">
        <v>11</v>
      </c>
      <c r="C50" s="278" t="str">
        <f t="shared" ca="1" si="108"/>
        <v/>
      </c>
      <c r="D50" s="278" t="str">
        <f t="shared" ca="1" si="106"/>
        <v/>
      </c>
      <c r="E50" s="278" t="str">
        <f t="shared" ca="1" si="107"/>
        <v/>
      </c>
      <c r="F50" s="218" t="str">
        <f t="shared" ca="1" si="109"/>
        <v/>
      </c>
      <c r="G50" s="218" t="str">
        <f t="shared" ca="1" si="110"/>
        <v/>
      </c>
      <c r="H50" s="219" t="str">
        <f t="shared" ca="1" si="111"/>
        <v/>
      </c>
      <c r="I50" s="220" t="str">
        <f t="shared" ca="1" si="112"/>
        <v/>
      </c>
      <c r="J50" s="220" t="str">
        <f t="shared" ca="1" si="113"/>
        <v/>
      </c>
      <c r="K50" s="221" t="str">
        <f t="shared" ca="1" si="114"/>
        <v/>
      </c>
      <c r="L50" s="218" t="str">
        <f t="shared" ca="1" si="115"/>
        <v/>
      </c>
      <c r="M50" s="218" t="str">
        <f t="shared" ca="1" si="116"/>
        <v/>
      </c>
      <c r="N50" s="219" t="str">
        <f t="shared" ca="1" si="117"/>
        <v/>
      </c>
      <c r="O50" s="220" t="str">
        <f t="shared" ca="1" si="118"/>
        <v/>
      </c>
      <c r="P50" s="220" t="str">
        <f t="shared" ca="1" si="119"/>
        <v/>
      </c>
      <c r="Q50" s="221" t="str">
        <f t="shared" ca="1" si="120"/>
        <v/>
      </c>
      <c r="R50" s="218" t="str">
        <f t="shared" ca="1" si="121"/>
        <v/>
      </c>
      <c r="S50" s="218" t="str">
        <f t="shared" ca="1" si="122"/>
        <v/>
      </c>
      <c r="T50" s="219" t="str">
        <f t="shared" ca="1" si="123"/>
        <v/>
      </c>
      <c r="U50" s="220" t="str">
        <f t="shared" ca="1" si="124"/>
        <v/>
      </c>
      <c r="V50" s="220" t="str">
        <f t="shared" ca="1" si="125"/>
        <v/>
      </c>
      <c r="W50" s="221" t="str">
        <f t="shared" ca="1" si="126"/>
        <v/>
      </c>
      <c r="X50" s="218" t="str">
        <f t="shared" ca="1" si="127"/>
        <v/>
      </c>
      <c r="Y50" s="218" t="str">
        <f t="shared" ca="1" si="128"/>
        <v/>
      </c>
      <c r="Z50" s="219" t="str">
        <f t="shared" ca="1" si="129"/>
        <v/>
      </c>
      <c r="AA50" s="220" t="str">
        <f t="shared" ca="1" si="130"/>
        <v/>
      </c>
      <c r="AB50" s="220" t="str">
        <f t="shared" ca="1" si="131"/>
        <v/>
      </c>
      <c r="AC50" s="221" t="str">
        <f t="shared" ca="1" si="132"/>
        <v/>
      </c>
      <c r="AD50" s="218" t="str">
        <f t="shared" ca="1" si="133"/>
        <v/>
      </c>
      <c r="AE50" s="218" t="str">
        <f t="shared" ca="1" si="134"/>
        <v/>
      </c>
      <c r="AF50" s="219" t="str">
        <f t="shared" ca="1" si="135"/>
        <v/>
      </c>
      <c r="AG50" s="220" t="str">
        <f t="shared" ca="1" si="136"/>
        <v/>
      </c>
      <c r="AH50" s="220" t="str">
        <f t="shared" ca="1" si="137"/>
        <v/>
      </c>
      <c r="AI50" s="224" t="str">
        <f t="shared" ca="1" si="138"/>
        <v/>
      </c>
    </row>
    <row r="51" spans="2:35" x14ac:dyDescent="0.25">
      <c r="B51" s="222">
        <v>12</v>
      </c>
      <c r="C51" s="278" t="str">
        <f t="shared" ca="1" si="108"/>
        <v/>
      </c>
      <c r="D51" s="278" t="str">
        <f t="shared" ca="1" si="106"/>
        <v/>
      </c>
      <c r="E51" s="278" t="str">
        <f t="shared" ca="1" si="107"/>
        <v/>
      </c>
      <c r="F51" s="218" t="str">
        <f t="shared" ca="1" si="109"/>
        <v/>
      </c>
      <c r="G51" s="218" t="str">
        <f t="shared" ca="1" si="110"/>
        <v/>
      </c>
      <c r="H51" s="219" t="str">
        <f t="shared" ca="1" si="111"/>
        <v/>
      </c>
      <c r="I51" s="220" t="str">
        <f t="shared" ca="1" si="112"/>
        <v/>
      </c>
      <c r="J51" s="220" t="str">
        <f t="shared" ca="1" si="113"/>
        <v/>
      </c>
      <c r="K51" s="221" t="str">
        <f t="shared" ca="1" si="114"/>
        <v/>
      </c>
      <c r="L51" s="218" t="str">
        <f t="shared" ca="1" si="115"/>
        <v/>
      </c>
      <c r="M51" s="218" t="str">
        <f t="shared" ca="1" si="116"/>
        <v/>
      </c>
      <c r="N51" s="219" t="str">
        <f t="shared" ca="1" si="117"/>
        <v/>
      </c>
      <c r="O51" s="220" t="str">
        <f t="shared" ca="1" si="118"/>
        <v/>
      </c>
      <c r="P51" s="220" t="str">
        <f t="shared" ca="1" si="119"/>
        <v/>
      </c>
      <c r="Q51" s="221" t="str">
        <f t="shared" ca="1" si="120"/>
        <v/>
      </c>
      <c r="R51" s="218" t="str">
        <f t="shared" ca="1" si="121"/>
        <v/>
      </c>
      <c r="S51" s="218" t="str">
        <f t="shared" ca="1" si="122"/>
        <v/>
      </c>
      <c r="T51" s="219" t="str">
        <f t="shared" ca="1" si="123"/>
        <v/>
      </c>
      <c r="U51" s="220" t="str">
        <f t="shared" ca="1" si="124"/>
        <v/>
      </c>
      <c r="V51" s="220" t="str">
        <f t="shared" ca="1" si="125"/>
        <v/>
      </c>
      <c r="W51" s="221" t="str">
        <f t="shared" ca="1" si="126"/>
        <v/>
      </c>
      <c r="X51" s="218" t="str">
        <f t="shared" ca="1" si="127"/>
        <v/>
      </c>
      <c r="Y51" s="218" t="str">
        <f t="shared" ca="1" si="128"/>
        <v/>
      </c>
      <c r="Z51" s="219" t="str">
        <f t="shared" ca="1" si="129"/>
        <v/>
      </c>
      <c r="AA51" s="220" t="str">
        <f t="shared" ca="1" si="130"/>
        <v/>
      </c>
      <c r="AB51" s="220" t="str">
        <f t="shared" ca="1" si="131"/>
        <v/>
      </c>
      <c r="AC51" s="221" t="str">
        <f t="shared" ca="1" si="132"/>
        <v/>
      </c>
      <c r="AD51" s="218" t="str">
        <f t="shared" ca="1" si="133"/>
        <v/>
      </c>
      <c r="AE51" s="218" t="str">
        <f t="shared" ca="1" si="134"/>
        <v/>
      </c>
      <c r="AF51" s="219" t="str">
        <f t="shared" ca="1" si="135"/>
        <v/>
      </c>
      <c r="AG51" s="220" t="str">
        <f t="shared" ca="1" si="136"/>
        <v/>
      </c>
      <c r="AH51" s="220" t="str">
        <f t="shared" ca="1" si="137"/>
        <v/>
      </c>
      <c r="AI51" s="224" t="str">
        <f t="shared" ca="1" si="138"/>
        <v/>
      </c>
    </row>
    <row r="52" spans="2:35" ht="14.25" thickBot="1" x14ac:dyDescent="0.3">
      <c r="B52" s="225" t="s">
        <v>3</v>
      </c>
      <c r="C52" s="279">
        <f ca="1">SUM(C40:C46)</f>
        <v>0</v>
      </c>
      <c r="D52" s="279">
        <f t="shared" ref="D52:E52" ca="1" si="139">SUM(D40:D51)</f>
        <v>0</v>
      </c>
      <c r="E52" s="279">
        <f t="shared" ca="1" si="139"/>
        <v>0</v>
      </c>
      <c r="F52" s="226">
        <f ca="1">SUM(F40:F51)</f>
        <v>0</v>
      </c>
      <c r="G52" s="226">
        <f t="shared" ref="G52" ca="1" si="140">SUM(G40:G51)</f>
        <v>0</v>
      </c>
      <c r="H52" s="227">
        <f ca="1">SUM(H40:H51)</f>
        <v>0</v>
      </c>
      <c r="I52" s="228">
        <f ca="1">SUM(I40:I51)</f>
        <v>0</v>
      </c>
      <c r="J52" s="228">
        <f t="shared" ref="J52" ca="1" si="141">SUM(J40:J51)</f>
        <v>0</v>
      </c>
      <c r="K52" s="229">
        <f t="shared" ref="K52" ca="1" si="142">SUM(K40:K51)</f>
        <v>0</v>
      </c>
      <c r="L52" s="226">
        <f ca="1">SUM(L40:L51)</f>
        <v>0</v>
      </c>
      <c r="M52" s="226">
        <f t="shared" ref="M52" ca="1" si="143">SUM(M40:M51)</f>
        <v>0</v>
      </c>
      <c r="N52" s="227">
        <f t="shared" ref="N52" ca="1" si="144">SUM(N40:N51)</f>
        <v>0</v>
      </c>
      <c r="O52" s="228">
        <f ca="1">SUM(O40:O51)</f>
        <v>0</v>
      </c>
      <c r="P52" s="228">
        <f t="shared" ref="P52" ca="1" si="145">SUM(P40:P51)</f>
        <v>0</v>
      </c>
      <c r="Q52" s="229">
        <f t="shared" ref="Q52" ca="1" si="146">SUM(Q40:Q51)</f>
        <v>0</v>
      </c>
      <c r="R52" s="226">
        <f ca="1">SUM(R40:R51)</f>
        <v>0</v>
      </c>
      <c r="S52" s="226">
        <f t="shared" ref="S52" ca="1" si="147">SUM(S40:S51)</f>
        <v>0</v>
      </c>
      <c r="T52" s="227">
        <f t="shared" ref="T52" ca="1" si="148">SUM(T40:T51)</f>
        <v>0</v>
      </c>
      <c r="U52" s="228">
        <f ca="1">SUM(U40:U51)</f>
        <v>0</v>
      </c>
      <c r="V52" s="228">
        <f t="shared" ref="V52" ca="1" si="149">SUM(V40:V51)</f>
        <v>0</v>
      </c>
      <c r="W52" s="229">
        <f t="shared" ref="W52" ca="1" si="150">SUM(W40:W51)</f>
        <v>0</v>
      </c>
      <c r="X52" s="226">
        <f ca="1">SUM(X40:X51)</f>
        <v>0</v>
      </c>
      <c r="Y52" s="226">
        <f t="shared" ref="Y52" ca="1" si="151">SUM(Y40:Y51)</f>
        <v>0</v>
      </c>
      <c r="Z52" s="227">
        <f t="shared" ref="Z52" ca="1" si="152">SUM(Z40:Z51)</f>
        <v>0</v>
      </c>
      <c r="AA52" s="228">
        <f ca="1">SUM(AA40:AA51)</f>
        <v>0</v>
      </c>
      <c r="AB52" s="228">
        <f t="shared" ref="AB52" ca="1" si="153">SUM(AB40:AB51)</f>
        <v>0</v>
      </c>
      <c r="AC52" s="229">
        <f t="shared" ref="AC52" ca="1" si="154">SUM(AC40:AC51)</f>
        <v>0</v>
      </c>
      <c r="AD52" s="226">
        <f ca="1">SUM(AD40:AD51)</f>
        <v>0</v>
      </c>
      <c r="AE52" s="226">
        <f t="shared" ref="AE52" ca="1" si="155">SUM(AE40:AE51)</f>
        <v>0</v>
      </c>
      <c r="AF52" s="227">
        <f t="shared" ref="AF52" ca="1" si="156">SUM(AF40:AF51)</f>
        <v>0</v>
      </c>
      <c r="AG52" s="228">
        <f ca="1">SUM(AG40:AG51)</f>
        <v>0</v>
      </c>
      <c r="AH52" s="228">
        <f t="shared" ref="AH52" ca="1" si="157">SUM(AH40:AH51)</f>
        <v>0</v>
      </c>
      <c r="AI52" s="230">
        <f t="shared" ref="AI52" ca="1" si="158">SUM(AI40:AI51)</f>
        <v>0</v>
      </c>
    </row>
    <row r="55" spans="2:35" ht="21" thickBot="1" x14ac:dyDescent="0.3">
      <c r="B55" s="216" t="s">
        <v>278</v>
      </c>
      <c r="C55" s="217"/>
      <c r="D55" s="217"/>
      <c r="E55" s="276" t="s">
        <v>281</v>
      </c>
    </row>
    <row r="56" spans="2:35" x14ac:dyDescent="0.25">
      <c r="B56" s="401" t="s">
        <v>22</v>
      </c>
      <c r="C56" s="403" t="s">
        <v>1061</v>
      </c>
      <c r="D56" s="403"/>
      <c r="E56" s="403"/>
      <c r="F56" s="400" t="s">
        <v>179</v>
      </c>
      <c r="G56" s="400"/>
      <c r="H56" s="400"/>
      <c r="I56" s="398" t="s">
        <v>180</v>
      </c>
      <c r="J56" s="398"/>
      <c r="K56" s="398"/>
      <c r="L56" s="400" t="s">
        <v>181</v>
      </c>
      <c r="M56" s="400"/>
      <c r="N56" s="400"/>
      <c r="O56" s="398" t="s">
        <v>182</v>
      </c>
      <c r="P56" s="398"/>
      <c r="Q56" s="398"/>
      <c r="R56" s="400" t="s">
        <v>183</v>
      </c>
      <c r="S56" s="400"/>
      <c r="T56" s="400"/>
      <c r="U56" s="398" t="s">
        <v>184</v>
      </c>
      <c r="V56" s="398"/>
      <c r="W56" s="398"/>
      <c r="X56" s="400" t="s">
        <v>185</v>
      </c>
      <c r="Y56" s="400"/>
      <c r="Z56" s="400"/>
      <c r="AA56" s="398" t="s">
        <v>186</v>
      </c>
      <c r="AB56" s="398"/>
      <c r="AC56" s="398"/>
      <c r="AD56" s="400" t="s">
        <v>187</v>
      </c>
      <c r="AE56" s="400"/>
      <c r="AF56" s="400"/>
      <c r="AG56" s="398" t="s">
        <v>188</v>
      </c>
      <c r="AH56" s="398"/>
      <c r="AI56" s="399"/>
    </row>
    <row r="57" spans="2:35" x14ac:dyDescent="0.25">
      <c r="B57" s="402"/>
      <c r="C57" s="277" t="s">
        <v>58</v>
      </c>
      <c r="D57" s="277" t="s">
        <v>274</v>
      </c>
      <c r="E57" s="277" t="s">
        <v>275</v>
      </c>
      <c r="F57" s="218" t="s">
        <v>58</v>
      </c>
      <c r="G57" s="218" t="s">
        <v>274</v>
      </c>
      <c r="H57" s="218" t="s">
        <v>275</v>
      </c>
      <c r="I57" s="220" t="s">
        <v>58</v>
      </c>
      <c r="J57" s="220" t="s">
        <v>274</v>
      </c>
      <c r="K57" s="220" t="s">
        <v>275</v>
      </c>
      <c r="L57" s="218" t="s">
        <v>58</v>
      </c>
      <c r="M57" s="218" t="s">
        <v>274</v>
      </c>
      <c r="N57" s="218" t="s">
        <v>275</v>
      </c>
      <c r="O57" s="220" t="s">
        <v>58</v>
      </c>
      <c r="P57" s="220" t="s">
        <v>274</v>
      </c>
      <c r="Q57" s="220" t="s">
        <v>275</v>
      </c>
      <c r="R57" s="218" t="s">
        <v>58</v>
      </c>
      <c r="S57" s="218" t="s">
        <v>274</v>
      </c>
      <c r="T57" s="218" t="s">
        <v>275</v>
      </c>
      <c r="U57" s="220" t="s">
        <v>58</v>
      </c>
      <c r="V57" s="220" t="s">
        <v>274</v>
      </c>
      <c r="W57" s="220" t="s">
        <v>275</v>
      </c>
      <c r="X57" s="218" t="s">
        <v>58</v>
      </c>
      <c r="Y57" s="218" t="s">
        <v>274</v>
      </c>
      <c r="Z57" s="218" t="s">
        <v>275</v>
      </c>
      <c r="AA57" s="220" t="s">
        <v>58</v>
      </c>
      <c r="AB57" s="220" t="s">
        <v>274</v>
      </c>
      <c r="AC57" s="220" t="s">
        <v>275</v>
      </c>
      <c r="AD57" s="218" t="s">
        <v>58</v>
      </c>
      <c r="AE57" s="218" t="s">
        <v>274</v>
      </c>
      <c r="AF57" s="218" t="s">
        <v>275</v>
      </c>
      <c r="AG57" s="220" t="s">
        <v>58</v>
      </c>
      <c r="AH57" s="220" t="s">
        <v>274</v>
      </c>
      <c r="AI57" s="223" t="s">
        <v>275</v>
      </c>
    </row>
    <row r="58" spans="2:35" x14ac:dyDescent="0.25">
      <c r="B58" s="222">
        <v>1</v>
      </c>
      <c r="C58" s="278" t="str">
        <f ca="1">IF(
  SUM(
    IFERROR(VALUE(F58), 0),
    IFERROR(VALUE(I58), 0),
    IFERROR(VALUE(L58), 0),
    IFERROR(VALUE(O58), 0),
    IFERROR(VALUE(R58), 0),
    IFERROR(VALUE(U58), 0),
    IFERROR(VALUE(X58), 0),
    IFERROR(VALUE(AA58), 0),
    IFERROR(VALUE(AD58), 0),
    IFERROR(VALUE(AG58), 0)
  ) = 0,
  "",
  SUM(
    IFERROR(VALUE(F58), 0),
    IFERROR(VALUE(I58), 0),
    IFERROR(VALUE(L58), 0),
    IFERROR(VALUE(O58), 0),
    IFERROR(VALUE(R58), 0),
    IFERROR(VALUE(U58), 0),
    IFERROR(VALUE(X58), 0),
    IFERROR(VALUE(AA58), 0),
    IFERROR(VALUE(AD58), 0),
    IFERROR(VALUE(AG58), 0)
  )
)</f>
        <v/>
      </c>
      <c r="D58" s="278" t="str">
        <f t="shared" ref="D58:D69" ca="1" si="159">IF(
  SUM(
    IFERROR(VALUE(G58), 0),
    IFERROR(VALUE(J58), 0),
    IFERROR(VALUE(M58), 0),
    IFERROR(VALUE(P58), 0),
    IFERROR(VALUE(S58), 0),
    IFERROR(VALUE(V58), 0),
    IFERROR(VALUE(Y58), 0),
    IFERROR(VALUE(AB58), 0),
    IFERROR(VALUE(AE58), 0),
    IFERROR(VALUE(AH58), 0)
  ) = 0,
  "",
  SUM(
    IFERROR(VALUE(G58), 0),
    IFERROR(VALUE(J58), 0),
    IFERROR(VALUE(M58), 0),
    IFERROR(VALUE(P58), 0),
    IFERROR(VALUE(S58), 0),
    IFERROR(VALUE(V58), 0),
    IFERROR(VALUE(Y58), 0),
    IFERROR(VALUE(AB58), 0),
    IFERROR(VALUE(AE58), 0),
    IFERROR(VALUE(AH58), 0)
  )
)</f>
        <v/>
      </c>
      <c r="E58" s="278" t="str">
        <f t="shared" ref="E58:E69" ca="1" si="160">IF(
  SUM(
    IFERROR(VALUE(H58), 0),
    IFERROR(VALUE(K58), 0),
    IFERROR(VALUE(N58), 0),
    IFERROR(VALUE(Q58), 0),
    IFERROR(VALUE(T58), 0),
    IFERROR(VALUE(W58), 0),
    IFERROR(VALUE(Z58), 0),
    IFERROR(VALUE(AC58), 0),
    IFERROR(VALUE(AF58), 0),
    IFERROR(VALUE(AI58), 0)
  ) = 0,
  "",
  SUM(
    IFERROR(VALUE(H58), 0),
    IFERROR(VALUE(K58), 0),
    IFERROR(VALUE(N58), 0),
    IFERROR(VALUE(Q58), 0),
    IFERROR(VALUE(T58), 0),
    IFERROR(VALUE(W58), 0),
    IFERROR(VALUE(Z58), 0),
    IFERROR(VALUE(AC58), 0),
    IFERROR(VALUE(AF58), 0),
    IFERROR(VALUE(AI58), 0)
  )
)</f>
        <v/>
      </c>
      <c r="F58" s="218" t="str">
        <f ca="1">IF(COUNTIFS(INDIRECT("'"&amp;F$3&amp;"'!G:G"), $B58, INDIRECT("'"&amp;F$3&amp;"'!W:W"), $H$55)=0, "", COUNTIFS(INDIRECT("'"&amp;F$3&amp;"'!G:G"), $B58, INDIRECT("'"&amp;F$3&amp;"'!W:W"), $H$55))</f>
        <v/>
      </c>
      <c r="G58" s="218" t="str">
        <f ca="1">IF(SUMIFS(INDIRECT("'"&amp;F$3&amp;"'!I:I"), INDIRECT("'"&amp;F$3&amp;"'!G:G"), $B58, INDIRECT("'"&amp;F$3&amp;"'!W:W"), $H$55)=0, "", SUMIFS(INDIRECT("'"&amp;F$3&amp;"'!I:I"), INDIRECT("'"&amp;F$3&amp;"'!G:G"), $B58, INDIRECT("'"&amp;F$3&amp;"'!W:W"), $H$55))</f>
        <v/>
      </c>
      <c r="H58" s="219" t="str">
        <f ca="1">IF(SUMIFS(INDIRECT("'"&amp;F$3&amp;"'!J:J"), INDIRECT("'"&amp;F$3&amp;"'!G:G"), $B58, INDIRECT("'"&amp;F$3&amp;"'!W:W"), $H$55)=0, "", SUMIFS(INDIRECT("'"&amp;F$3&amp;"'!J:J"), INDIRECT("'"&amp;F$3&amp;"'!G:G"), $B58, INDIRECT("'"&amp;F$3&amp;"'!W:W"), $H$55))</f>
        <v/>
      </c>
      <c r="I58" s="220" t="str">
        <f ca="1">IF(COUNTIFS(INDIRECT("'"&amp;I$3&amp;"'!G:G"), $B58, INDIRECT("'"&amp;I$3&amp;"'!W:W"), $H$55)=0, "", COUNTIFS(INDIRECT("'"&amp;I$3&amp;"'!G:G"), $B58, INDIRECT("'"&amp;I$3&amp;"'!W:W"), $H$55))</f>
        <v/>
      </c>
      <c r="J58" s="220" t="str">
        <f ca="1">IF(SUMIFS(INDIRECT("'"&amp;I$3&amp;"'!I:I"), INDIRECT("'"&amp;I$3&amp;"'!G:G"), $B58, INDIRECT("'"&amp;I$3&amp;"'!W:W"), $H$55)=0, "", SUMIFS(INDIRECT("'"&amp;I$3&amp;"'!I:I"), INDIRECT("'"&amp;I$3&amp;"'!G:G"), $B58, INDIRECT("'"&amp;I$3&amp;"'!W:W"), $H$55))</f>
        <v/>
      </c>
      <c r="K58" s="221" t="str">
        <f ca="1">IF(SUMIFS(INDIRECT("'"&amp;I$3&amp;"'!J:J"), INDIRECT("'"&amp;I$3&amp;"'!G:G"), $B58, INDIRECT("'"&amp;I$3&amp;"'!W:W"), $H$55)=0, "", SUMIFS(INDIRECT("'"&amp;I$3&amp;"'!J:J"), INDIRECT("'"&amp;I$3&amp;"'!G:G"), $B58, INDIRECT("'"&amp;I$3&amp;"'!W:W"), $H$55))</f>
        <v/>
      </c>
      <c r="L58" s="218" t="str">
        <f ca="1">IF(COUNTIFS(INDIRECT("'"&amp;L$3&amp;"'!G:G"), $B58, INDIRECT("'"&amp;L$3&amp;"'!W:W"), $H$55)=0, "", COUNTIFS(INDIRECT("'"&amp;L$3&amp;"'!G:G"), $B58, INDIRECT("'"&amp;L$3&amp;"'!W:W"), $H$55))</f>
        <v/>
      </c>
      <c r="M58" s="218" t="str">
        <f ca="1">IF(SUMIFS(INDIRECT("'"&amp;L$3&amp;"'!I:I"), INDIRECT("'"&amp;L$3&amp;"'!G:G"), $B58, INDIRECT("'"&amp;L$3&amp;"'!W:W"), $H$55)=0, "", SUMIFS(INDIRECT("'"&amp;L$3&amp;"'!I:I"), INDIRECT("'"&amp;L$3&amp;"'!G:G"), $B58, INDIRECT("'"&amp;L$3&amp;"'!W:W"), $H$55))</f>
        <v/>
      </c>
      <c r="N58" s="219" t="str">
        <f ca="1">IF(SUMIFS(INDIRECT("'"&amp;L$3&amp;"'!J:J"), INDIRECT("'"&amp;L$3&amp;"'!G:G"), $B58, INDIRECT("'"&amp;L$3&amp;"'!W:W"), $H$55)=0, "", SUMIFS(INDIRECT("'"&amp;L$3&amp;"'!J:J"), INDIRECT("'"&amp;L$3&amp;"'!G:G"), $B58, INDIRECT("'"&amp;L$3&amp;"'!W:W"), $H$55))</f>
        <v/>
      </c>
      <c r="O58" s="220" t="str">
        <f ca="1">IF(COUNTIFS(INDIRECT("'"&amp;O$3&amp;"'!G:G"), $B58, INDIRECT("'"&amp;O$3&amp;"'!W:W"), $H$55)=0, "", COUNTIFS(INDIRECT("'"&amp;O$3&amp;"'!G:G"), $B58, INDIRECT("'"&amp;O$3&amp;"'!W:W"), $H$55))</f>
        <v/>
      </c>
      <c r="P58" s="220" t="str">
        <f ca="1">IF(SUMIFS(INDIRECT("'"&amp;O$3&amp;"'!I:I"), INDIRECT("'"&amp;O$3&amp;"'!G:G"), $B58, INDIRECT("'"&amp;O$3&amp;"'!W:W"), $H$55)=0, "", SUMIFS(INDIRECT("'"&amp;O$3&amp;"'!I:I"), INDIRECT("'"&amp;O$3&amp;"'!G:G"), $B58, INDIRECT("'"&amp;O$3&amp;"'!W:W"), $H$55))</f>
        <v/>
      </c>
      <c r="Q58" s="221" t="str">
        <f ca="1">IF(SUMIFS(INDIRECT("'"&amp;O$3&amp;"'!J:J"), INDIRECT("'"&amp;O$3&amp;"'!G:G"), $B58, INDIRECT("'"&amp;O$3&amp;"'!W:W"), $H$55)=0, "", SUMIFS(INDIRECT("'"&amp;O$3&amp;"'!J:J"), INDIRECT("'"&amp;O$3&amp;"'!G:G"), $B58, INDIRECT("'"&amp;O$3&amp;"'!W:W"), $H$55))</f>
        <v/>
      </c>
      <c r="R58" s="218" t="str">
        <f ca="1">IF(COUNTIFS(INDIRECT("'"&amp;R$3&amp;"'!G:G"), $B58, INDIRECT("'"&amp;R$3&amp;"'!W:W"), $H$55)=0, "", COUNTIFS(INDIRECT("'"&amp;R$3&amp;"'!G:G"), $B58, INDIRECT("'"&amp;R$3&amp;"'!W:W"), $H$55))</f>
        <v/>
      </c>
      <c r="S58" s="218" t="str">
        <f ca="1">IF(SUMIFS(INDIRECT("'"&amp;R$3&amp;"'!I:I"), INDIRECT("'"&amp;R$3&amp;"'!G:G"), $B58, INDIRECT("'"&amp;R$3&amp;"'!W:W"), $H$55)=0, "", SUMIFS(INDIRECT("'"&amp;R$3&amp;"'!I:I"), INDIRECT("'"&amp;R$3&amp;"'!G:G"), $B58, INDIRECT("'"&amp;R$3&amp;"'!W:W"), $H$55))</f>
        <v/>
      </c>
      <c r="T58" s="219" t="str">
        <f ca="1">IF(SUMIFS(INDIRECT("'"&amp;R$3&amp;"'!J:J"), INDIRECT("'"&amp;R$3&amp;"'!G:G"), $B58, INDIRECT("'"&amp;R$3&amp;"'!W:W"), $H$55)=0, "", SUMIFS(INDIRECT("'"&amp;R$3&amp;"'!J:J"), INDIRECT("'"&amp;R$3&amp;"'!G:G"), $B58, INDIRECT("'"&amp;R$3&amp;"'!W:W"), $H$55))</f>
        <v/>
      </c>
      <c r="U58" s="220" t="str">
        <f ca="1">IF(COUNTIFS(INDIRECT("'"&amp;U$3&amp;"'!G:G"), $B58, INDIRECT("'"&amp;U$3&amp;"'!W:W"), $H$55)=0, "", COUNTIFS(INDIRECT("'"&amp;U$3&amp;"'!G:G"), $B58, INDIRECT("'"&amp;U$3&amp;"'!W:W"), $H$55))</f>
        <v/>
      </c>
      <c r="V58" s="220" t="str">
        <f ca="1">IF(SUMIFS(INDIRECT("'"&amp;U$3&amp;"'!I:I"), INDIRECT("'"&amp;U$3&amp;"'!G:G"), $B58, INDIRECT("'"&amp;U$3&amp;"'!W:W"), $H$55)=0, "", SUMIFS(INDIRECT("'"&amp;U$3&amp;"'!I:I"), INDIRECT("'"&amp;U$3&amp;"'!G:G"), $B58, INDIRECT("'"&amp;U$3&amp;"'!W:W"), $H$55))</f>
        <v/>
      </c>
      <c r="W58" s="221" t="str">
        <f ca="1">IF(SUMIFS(INDIRECT("'"&amp;U$3&amp;"'!J:J"), INDIRECT("'"&amp;U$3&amp;"'!G:G"), $B58, INDIRECT("'"&amp;U$3&amp;"'!W:W"), $H$55)=0, "", SUMIFS(INDIRECT("'"&amp;U$3&amp;"'!J:J"), INDIRECT("'"&amp;U$3&amp;"'!G:G"), $B58, INDIRECT("'"&amp;U$3&amp;"'!W:W"), $H$55))</f>
        <v/>
      </c>
      <c r="X58" s="218" t="str">
        <f ca="1">IF(COUNTIFS(INDIRECT("'"&amp;X$3&amp;"'!G:G"), $B58, INDIRECT("'"&amp;X$3&amp;"'!W:W"), $H$55)=0, "", COUNTIFS(INDIRECT("'"&amp;X$3&amp;"'!G:G"), $B58, INDIRECT("'"&amp;X$3&amp;"'!W:W"), $H$55))</f>
        <v/>
      </c>
      <c r="Y58" s="218" t="str">
        <f ca="1">IF(SUMIFS(INDIRECT("'"&amp;X$3&amp;"'!I:I"), INDIRECT("'"&amp;X$3&amp;"'!G:G"), $B58, INDIRECT("'"&amp;X$3&amp;"'!W:W"), $H$55)=0, "", SUMIFS(INDIRECT("'"&amp;X$3&amp;"'!I:I"), INDIRECT("'"&amp;X$3&amp;"'!G:G"), $B58, INDIRECT("'"&amp;X$3&amp;"'!W:W"), $H$55))</f>
        <v/>
      </c>
      <c r="Z58" s="219" t="str">
        <f ca="1">IF(SUMIFS(INDIRECT("'"&amp;X$3&amp;"'!J:J"), INDIRECT("'"&amp;X$3&amp;"'!G:G"), $B58, INDIRECT("'"&amp;X$3&amp;"'!W:W"), $H$55)=0, "", SUMIFS(INDIRECT("'"&amp;X$3&amp;"'!J:J"), INDIRECT("'"&amp;X$3&amp;"'!G:G"), $B58, INDIRECT("'"&amp;X$3&amp;"'!W:W"), $H$55))</f>
        <v/>
      </c>
      <c r="AA58" s="220" t="str">
        <f ca="1">IF(COUNTIFS(INDIRECT("'"&amp;AA$3&amp;"'!G:G"), $B58, INDIRECT("'"&amp;AA$3&amp;"'!W:W"), $H$55)=0, "", COUNTIFS(INDIRECT("'"&amp;AA$3&amp;"'!G:G"), $B58, INDIRECT("'"&amp;AA$3&amp;"'!W:W"), $H$55))</f>
        <v/>
      </c>
      <c r="AB58" s="220" t="str">
        <f ca="1">IF(SUMIFS(INDIRECT("'"&amp;AA$3&amp;"'!I:I"), INDIRECT("'"&amp;AA$3&amp;"'!G:G"), $B58, INDIRECT("'"&amp;AA$3&amp;"'!W:W"), $H$55)=0, "", SUMIFS(INDIRECT("'"&amp;AA$3&amp;"'!I:I"), INDIRECT("'"&amp;AA$3&amp;"'!G:G"), $B58, INDIRECT("'"&amp;AA$3&amp;"'!W:W"), $H$55))</f>
        <v/>
      </c>
      <c r="AC58" s="221" t="str">
        <f ca="1">IF(SUMIFS(INDIRECT("'"&amp;AA$3&amp;"'!J:J"), INDIRECT("'"&amp;AA$3&amp;"'!G:G"), $B58, INDIRECT("'"&amp;AA$3&amp;"'!W:W"), $H$55)=0, "", SUMIFS(INDIRECT("'"&amp;AA$3&amp;"'!J:J"), INDIRECT("'"&amp;AA$3&amp;"'!G:G"), $B58, INDIRECT("'"&amp;AA$3&amp;"'!W:W"), $H$55))</f>
        <v/>
      </c>
      <c r="AD58" s="218" t="str">
        <f ca="1">IF(COUNTIFS(INDIRECT("'"&amp;AD$3&amp;"'!G:G"), $B58, INDIRECT("'"&amp;AD$3&amp;"'!W:W"), $H$55)=0, "", COUNTIFS(INDIRECT("'"&amp;AD$3&amp;"'!G:G"), $B58, INDIRECT("'"&amp;AD$3&amp;"'!W:W"), $H$55))</f>
        <v/>
      </c>
      <c r="AE58" s="218" t="str">
        <f ca="1">IF(SUMIFS(INDIRECT("'"&amp;AD$3&amp;"'!I:I"), INDIRECT("'"&amp;AD$3&amp;"'!G:G"), $B58, INDIRECT("'"&amp;AD$3&amp;"'!W:W"), $H$55)=0, "", SUMIFS(INDIRECT("'"&amp;AD$3&amp;"'!I:I"), INDIRECT("'"&amp;AD$3&amp;"'!G:G"), $B58, INDIRECT("'"&amp;AD$3&amp;"'!W:W"), $H$55))</f>
        <v/>
      </c>
      <c r="AF58" s="219" t="str">
        <f ca="1">IF(SUMIFS(INDIRECT("'"&amp;AD$3&amp;"'!J:J"), INDIRECT("'"&amp;AD$3&amp;"'!G:G"), $B58, INDIRECT("'"&amp;AD$3&amp;"'!W:W"), $H$55)=0, "", SUMIFS(INDIRECT("'"&amp;AD$3&amp;"'!J:J"), INDIRECT("'"&amp;AD$3&amp;"'!G:G"), $B58, INDIRECT("'"&amp;AD$3&amp;"'!W:W"), $H$55))</f>
        <v/>
      </c>
      <c r="AG58" s="220" t="str">
        <f ca="1">IF(COUNTIFS(INDIRECT("'"&amp;AG$3&amp;"'!G:G"), $B58, INDIRECT("'"&amp;AG$3&amp;"'!W:W"), $H$55)=0, "", COUNTIFS(INDIRECT("'"&amp;AG$3&amp;"'!G:G"), $B58, INDIRECT("'"&amp;AG$3&amp;"'!W:W"), $H$55))</f>
        <v/>
      </c>
      <c r="AH58" s="220" t="str">
        <f ca="1">IF(SUMIFS(INDIRECT("'"&amp;AG$3&amp;"'!I:I"), INDIRECT("'"&amp;AG$3&amp;"'!G:G"), $B58, INDIRECT("'"&amp;AG$3&amp;"'!W:W"), $H$55)=0, "", SUMIFS(INDIRECT("'"&amp;AG$3&amp;"'!I:I"), INDIRECT("'"&amp;AG$3&amp;"'!G:G"), $B58, INDIRECT("'"&amp;AG$3&amp;"'!W:W"), $H$55))</f>
        <v/>
      </c>
      <c r="AI58" s="224" t="str">
        <f ca="1">IF(SUMIFS(INDIRECT("'"&amp;AG$3&amp;"'!J:J"), INDIRECT("'"&amp;AG$3&amp;"'!G:G"), $B58, INDIRECT("'"&amp;AG$3&amp;"'!W:W"), $H$55)=0, "", SUMIFS(INDIRECT("'"&amp;AG$3&amp;"'!J:J"), INDIRECT("'"&amp;AG$3&amp;"'!G:G"), $B58, INDIRECT("'"&amp;AG$3&amp;"'!W:W"), $H$55))</f>
        <v/>
      </c>
    </row>
    <row r="59" spans="2:35" x14ac:dyDescent="0.25">
      <c r="B59" s="222">
        <v>2</v>
      </c>
      <c r="C59" s="278" t="str">
        <f t="shared" ref="C59:C69" ca="1" si="161">IF(
  SUM(
    IFERROR(VALUE(F59), 0),
    IFERROR(VALUE(I59), 0),
    IFERROR(VALUE(L59), 0),
    IFERROR(VALUE(O59), 0),
    IFERROR(VALUE(R59), 0),
    IFERROR(VALUE(U59), 0),
    IFERROR(VALUE(X59), 0),
    IFERROR(VALUE(AA59), 0),
    IFERROR(VALUE(AD59), 0),
    IFERROR(VALUE(AG59), 0)
  ) = 0,
  "",
  SUM(
    IFERROR(VALUE(F59), 0),
    IFERROR(VALUE(I59), 0),
    IFERROR(VALUE(L59), 0),
    IFERROR(VALUE(O59), 0),
    IFERROR(VALUE(R59), 0),
    IFERROR(VALUE(U59), 0),
    IFERROR(VALUE(X59), 0),
    IFERROR(VALUE(AA59), 0),
    IFERROR(VALUE(AD59), 0),
    IFERROR(VALUE(AG59), 0)
  )
)</f>
        <v/>
      </c>
      <c r="D59" s="278" t="str">
        <f t="shared" ca="1" si="159"/>
        <v/>
      </c>
      <c r="E59" s="278" t="str">
        <f t="shared" ca="1" si="160"/>
        <v/>
      </c>
      <c r="F59" s="218" t="str">
        <f t="shared" ref="F59:F69" ca="1" si="162">IF(COUNTIFS(INDIRECT("'"&amp;F$3&amp;"'!G:G"), $B59, INDIRECT("'"&amp;F$3&amp;"'!W:W"), $H$55)=0, "", COUNTIFS(INDIRECT("'"&amp;F$3&amp;"'!G:G"), $B59, INDIRECT("'"&amp;F$3&amp;"'!W:W"), $H$55))</f>
        <v/>
      </c>
      <c r="G59" s="218" t="str">
        <f t="shared" ref="G59:G69" ca="1" si="163">IF(SUMIFS(INDIRECT("'"&amp;F$3&amp;"'!I:I"), INDIRECT("'"&amp;F$3&amp;"'!G:G"), $B59, INDIRECT("'"&amp;F$3&amp;"'!W:W"), $H$55)=0, "", SUMIFS(INDIRECT("'"&amp;F$3&amp;"'!I:I"), INDIRECT("'"&amp;F$3&amp;"'!G:G"), $B59, INDIRECT("'"&amp;F$3&amp;"'!W:W"), $H$55))</f>
        <v/>
      </c>
      <c r="H59" s="219" t="str">
        <f t="shared" ref="H59:H69" ca="1" si="164">IF(SUMIFS(INDIRECT("'"&amp;F$3&amp;"'!J:J"), INDIRECT("'"&amp;F$3&amp;"'!G:G"), $B59, INDIRECT("'"&amp;F$3&amp;"'!W:W"), $H$55)=0, "", SUMIFS(INDIRECT("'"&amp;F$3&amp;"'!J:J"), INDIRECT("'"&amp;F$3&amp;"'!G:G"), $B59, INDIRECT("'"&amp;F$3&amp;"'!W:W"), $H$55))</f>
        <v/>
      </c>
      <c r="I59" s="220" t="str">
        <f t="shared" ref="I59:I69" ca="1" si="165">IF(COUNTIFS(INDIRECT("'"&amp;I$3&amp;"'!G:G"), $B59, INDIRECT("'"&amp;I$3&amp;"'!W:W"), $H$55)=0, "", COUNTIFS(INDIRECT("'"&amp;I$3&amp;"'!G:G"), $B59, INDIRECT("'"&amp;I$3&amp;"'!W:W"), $H$55))</f>
        <v/>
      </c>
      <c r="J59" s="220" t="str">
        <f t="shared" ref="J59:J69" ca="1" si="166">IF(SUMIFS(INDIRECT("'"&amp;I$3&amp;"'!I:I"), INDIRECT("'"&amp;I$3&amp;"'!G:G"), $B59, INDIRECT("'"&amp;I$3&amp;"'!W:W"), $H$55)=0, "", SUMIFS(INDIRECT("'"&amp;I$3&amp;"'!I:I"), INDIRECT("'"&amp;I$3&amp;"'!G:G"), $B59, INDIRECT("'"&amp;I$3&amp;"'!W:W"), $H$55))</f>
        <v/>
      </c>
      <c r="K59" s="221" t="str">
        <f t="shared" ref="K59:K69" ca="1" si="167">IF(SUMIFS(INDIRECT("'"&amp;I$3&amp;"'!J:J"), INDIRECT("'"&amp;I$3&amp;"'!G:G"), $B59, INDIRECT("'"&amp;I$3&amp;"'!W:W"), $H$55)=0, "", SUMIFS(INDIRECT("'"&amp;I$3&amp;"'!J:J"), INDIRECT("'"&amp;I$3&amp;"'!G:G"), $B59, INDIRECT("'"&amp;I$3&amp;"'!W:W"), $H$55))</f>
        <v/>
      </c>
      <c r="L59" s="218" t="str">
        <f t="shared" ref="L59:L69" ca="1" si="168">IF(COUNTIFS(INDIRECT("'"&amp;L$3&amp;"'!G:G"), $B59, INDIRECT("'"&amp;L$3&amp;"'!W:W"), $H$55)=0, "", COUNTIFS(INDIRECT("'"&amp;L$3&amp;"'!G:G"), $B59, INDIRECT("'"&amp;L$3&amp;"'!W:W"), $H$55))</f>
        <v/>
      </c>
      <c r="M59" s="218" t="str">
        <f t="shared" ref="M59:M69" ca="1" si="169">IF(SUMIFS(INDIRECT("'"&amp;L$3&amp;"'!I:I"), INDIRECT("'"&amp;L$3&amp;"'!G:G"), $B59, INDIRECT("'"&amp;L$3&amp;"'!W:W"), $H$55)=0, "", SUMIFS(INDIRECT("'"&amp;L$3&amp;"'!I:I"), INDIRECT("'"&amp;L$3&amp;"'!G:G"), $B59, INDIRECT("'"&amp;L$3&amp;"'!W:W"), $H$55))</f>
        <v/>
      </c>
      <c r="N59" s="219" t="str">
        <f t="shared" ref="N59:N69" ca="1" si="170">IF(SUMIFS(INDIRECT("'"&amp;L$3&amp;"'!J:J"), INDIRECT("'"&amp;L$3&amp;"'!G:G"), $B59, INDIRECT("'"&amp;L$3&amp;"'!W:W"), $H$55)=0, "", SUMIFS(INDIRECT("'"&amp;L$3&amp;"'!J:J"), INDIRECT("'"&amp;L$3&amp;"'!G:G"), $B59, INDIRECT("'"&amp;L$3&amp;"'!W:W"), $H$55))</f>
        <v/>
      </c>
      <c r="O59" s="220" t="str">
        <f t="shared" ref="O59:O69" ca="1" si="171">IF(COUNTIFS(INDIRECT("'"&amp;O$3&amp;"'!G:G"), $B59, INDIRECT("'"&amp;O$3&amp;"'!W:W"), $H$55)=0, "", COUNTIFS(INDIRECT("'"&amp;O$3&amp;"'!G:G"), $B59, INDIRECT("'"&amp;O$3&amp;"'!W:W"), $H$55))</f>
        <v/>
      </c>
      <c r="P59" s="220" t="str">
        <f t="shared" ref="P59:P69" ca="1" si="172">IF(SUMIFS(INDIRECT("'"&amp;O$3&amp;"'!I:I"), INDIRECT("'"&amp;O$3&amp;"'!G:G"), $B59, INDIRECT("'"&amp;O$3&amp;"'!W:W"), $H$55)=0, "", SUMIFS(INDIRECT("'"&amp;O$3&amp;"'!I:I"), INDIRECT("'"&amp;O$3&amp;"'!G:G"), $B59, INDIRECT("'"&amp;O$3&amp;"'!W:W"), $H$55))</f>
        <v/>
      </c>
      <c r="Q59" s="221" t="str">
        <f t="shared" ref="Q59:Q69" ca="1" si="173">IF(SUMIFS(INDIRECT("'"&amp;O$3&amp;"'!J:J"), INDIRECT("'"&amp;O$3&amp;"'!G:G"), $B59, INDIRECT("'"&amp;O$3&amp;"'!W:W"), $H$55)=0, "", SUMIFS(INDIRECT("'"&amp;O$3&amp;"'!J:J"), INDIRECT("'"&amp;O$3&amp;"'!G:G"), $B59, INDIRECT("'"&amp;O$3&amp;"'!W:W"), $H$55))</f>
        <v/>
      </c>
      <c r="R59" s="218" t="str">
        <f t="shared" ref="R59:R69" ca="1" si="174">IF(COUNTIFS(INDIRECT("'"&amp;R$3&amp;"'!G:G"), $B59, INDIRECT("'"&amp;R$3&amp;"'!W:W"), $H$55)=0, "", COUNTIFS(INDIRECT("'"&amp;R$3&amp;"'!G:G"), $B59, INDIRECT("'"&amp;R$3&amp;"'!W:W"), $H$55))</f>
        <v/>
      </c>
      <c r="S59" s="218" t="str">
        <f t="shared" ref="S59:S69" ca="1" si="175">IF(SUMIFS(INDIRECT("'"&amp;R$3&amp;"'!I:I"), INDIRECT("'"&amp;R$3&amp;"'!G:G"), $B59, INDIRECT("'"&amp;R$3&amp;"'!W:W"), $H$55)=0, "", SUMIFS(INDIRECT("'"&amp;R$3&amp;"'!I:I"), INDIRECT("'"&amp;R$3&amp;"'!G:G"), $B59, INDIRECT("'"&amp;R$3&amp;"'!W:W"), $H$55))</f>
        <v/>
      </c>
      <c r="T59" s="219" t="str">
        <f t="shared" ref="T59:T69" ca="1" si="176">IF(SUMIFS(INDIRECT("'"&amp;R$3&amp;"'!J:J"), INDIRECT("'"&amp;R$3&amp;"'!G:G"), $B59, INDIRECT("'"&amp;R$3&amp;"'!W:W"), $H$55)=0, "", SUMIFS(INDIRECT("'"&amp;R$3&amp;"'!J:J"), INDIRECT("'"&amp;R$3&amp;"'!G:G"), $B59, INDIRECT("'"&amp;R$3&amp;"'!W:W"), $H$55))</f>
        <v/>
      </c>
      <c r="U59" s="220" t="str">
        <f t="shared" ref="U59:U69" ca="1" si="177">IF(COUNTIFS(INDIRECT("'"&amp;U$3&amp;"'!G:G"), $B59, INDIRECT("'"&amp;U$3&amp;"'!W:W"), $H$55)=0, "", COUNTIFS(INDIRECT("'"&amp;U$3&amp;"'!G:G"), $B59, INDIRECT("'"&amp;U$3&amp;"'!W:W"), $H$55))</f>
        <v/>
      </c>
      <c r="V59" s="220" t="str">
        <f t="shared" ref="V59:V69" ca="1" si="178">IF(SUMIFS(INDIRECT("'"&amp;U$3&amp;"'!I:I"), INDIRECT("'"&amp;U$3&amp;"'!G:G"), $B59, INDIRECT("'"&amp;U$3&amp;"'!W:W"), $H$55)=0, "", SUMIFS(INDIRECT("'"&amp;U$3&amp;"'!I:I"), INDIRECT("'"&amp;U$3&amp;"'!G:G"), $B59, INDIRECT("'"&amp;U$3&amp;"'!W:W"), $H$55))</f>
        <v/>
      </c>
      <c r="W59" s="221" t="str">
        <f t="shared" ref="W59:W69" ca="1" si="179">IF(SUMIFS(INDIRECT("'"&amp;U$3&amp;"'!J:J"), INDIRECT("'"&amp;U$3&amp;"'!G:G"), $B59, INDIRECT("'"&amp;U$3&amp;"'!W:W"), $H$55)=0, "", SUMIFS(INDIRECT("'"&amp;U$3&amp;"'!J:J"), INDIRECT("'"&amp;U$3&amp;"'!G:G"), $B59, INDIRECT("'"&amp;U$3&amp;"'!W:W"), $H$55))</f>
        <v/>
      </c>
      <c r="X59" s="218" t="str">
        <f t="shared" ref="X59:X69" ca="1" si="180">IF(COUNTIFS(INDIRECT("'"&amp;X$3&amp;"'!G:G"), $B59, INDIRECT("'"&amp;X$3&amp;"'!W:W"), $H$55)=0, "", COUNTIFS(INDIRECT("'"&amp;X$3&amp;"'!G:G"), $B59, INDIRECT("'"&amp;X$3&amp;"'!W:W"), $H$55))</f>
        <v/>
      </c>
      <c r="Y59" s="218" t="str">
        <f t="shared" ref="Y59:Y69" ca="1" si="181">IF(SUMIFS(INDIRECT("'"&amp;X$3&amp;"'!I:I"), INDIRECT("'"&amp;X$3&amp;"'!G:G"), $B59, INDIRECT("'"&amp;X$3&amp;"'!W:W"), $H$55)=0, "", SUMIFS(INDIRECT("'"&amp;X$3&amp;"'!I:I"), INDIRECT("'"&amp;X$3&amp;"'!G:G"), $B59, INDIRECT("'"&amp;X$3&amp;"'!W:W"), $H$55))</f>
        <v/>
      </c>
      <c r="Z59" s="219" t="str">
        <f t="shared" ref="Z59:Z69" ca="1" si="182">IF(SUMIFS(INDIRECT("'"&amp;X$3&amp;"'!J:J"), INDIRECT("'"&amp;X$3&amp;"'!G:G"), $B59, INDIRECT("'"&amp;X$3&amp;"'!W:W"), $H$55)=0, "", SUMIFS(INDIRECT("'"&amp;X$3&amp;"'!J:J"), INDIRECT("'"&amp;X$3&amp;"'!G:G"), $B59, INDIRECT("'"&amp;X$3&amp;"'!W:W"), $H$55))</f>
        <v/>
      </c>
      <c r="AA59" s="220" t="str">
        <f t="shared" ref="AA59:AA69" ca="1" si="183">IF(COUNTIFS(INDIRECT("'"&amp;AA$3&amp;"'!G:G"), $B59, INDIRECT("'"&amp;AA$3&amp;"'!W:W"), $H$55)=0, "", COUNTIFS(INDIRECT("'"&amp;AA$3&amp;"'!G:G"), $B59, INDIRECT("'"&amp;AA$3&amp;"'!W:W"), $H$55))</f>
        <v/>
      </c>
      <c r="AB59" s="220" t="str">
        <f t="shared" ref="AB59:AB69" ca="1" si="184">IF(SUMIFS(INDIRECT("'"&amp;AA$3&amp;"'!I:I"), INDIRECT("'"&amp;AA$3&amp;"'!G:G"), $B59, INDIRECT("'"&amp;AA$3&amp;"'!W:W"), $H$55)=0, "", SUMIFS(INDIRECT("'"&amp;AA$3&amp;"'!I:I"), INDIRECT("'"&amp;AA$3&amp;"'!G:G"), $B59, INDIRECT("'"&amp;AA$3&amp;"'!W:W"), $H$55))</f>
        <v/>
      </c>
      <c r="AC59" s="221" t="str">
        <f t="shared" ref="AC59:AC69" ca="1" si="185">IF(SUMIFS(INDIRECT("'"&amp;AA$3&amp;"'!J:J"), INDIRECT("'"&amp;AA$3&amp;"'!G:G"), $B59, INDIRECT("'"&amp;AA$3&amp;"'!W:W"), $H$55)=0, "", SUMIFS(INDIRECT("'"&amp;AA$3&amp;"'!J:J"), INDIRECT("'"&amp;AA$3&amp;"'!G:G"), $B59, INDIRECT("'"&amp;AA$3&amp;"'!W:W"), $H$55))</f>
        <v/>
      </c>
      <c r="AD59" s="218" t="str">
        <f t="shared" ref="AD59:AD69" ca="1" si="186">IF(COUNTIFS(INDIRECT("'"&amp;AD$3&amp;"'!G:G"), $B59, INDIRECT("'"&amp;AD$3&amp;"'!W:W"), $H$55)=0, "", COUNTIFS(INDIRECT("'"&amp;AD$3&amp;"'!G:G"), $B59, INDIRECT("'"&amp;AD$3&amp;"'!W:W"), $H$55))</f>
        <v/>
      </c>
      <c r="AE59" s="218" t="str">
        <f t="shared" ref="AE59:AE69" ca="1" si="187">IF(SUMIFS(INDIRECT("'"&amp;AD$3&amp;"'!I:I"), INDIRECT("'"&amp;AD$3&amp;"'!G:G"), $B59, INDIRECT("'"&amp;AD$3&amp;"'!W:W"), $H$55)=0, "", SUMIFS(INDIRECT("'"&amp;AD$3&amp;"'!I:I"), INDIRECT("'"&amp;AD$3&amp;"'!G:G"), $B59, INDIRECT("'"&amp;AD$3&amp;"'!W:W"), $H$55))</f>
        <v/>
      </c>
      <c r="AF59" s="219" t="str">
        <f t="shared" ref="AF59:AF69" ca="1" si="188">IF(SUMIFS(INDIRECT("'"&amp;AD$3&amp;"'!J:J"), INDIRECT("'"&amp;AD$3&amp;"'!G:G"), $B59, INDIRECT("'"&amp;AD$3&amp;"'!W:W"), $H$55)=0, "", SUMIFS(INDIRECT("'"&amp;AD$3&amp;"'!J:J"), INDIRECT("'"&amp;AD$3&amp;"'!G:G"), $B59, INDIRECT("'"&amp;AD$3&amp;"'!W:W"), $H$55))</f>
        <v/>
      </c>
      <c r="AG59" s="220" t="str">
        <f t="shared" ref="AG59:AG69" ca="1" si="189">IF(COUNTIFS(INDIRECT("'"&amp;AG$3&amp;"'!G:G"), $B59, INDIRECT("'"&amp;AG$3&amp;"'!W:W"), $H$55)=0, "", COUNTIFS(INDIRECT("'"&amp;AG$3&amp;"'!G:G"), $B59, INDIRECT("'"&amp;AG$3&amp;"'!W:W"), $H$55))</f>
        <v/>
      </c>
      <c r="AH59" s="220" t="str">
        <f t="shared" ref="AH59:AH69" ca="1" si="190">IF(SUMIFS(INDIRECT("'"&amp;AG$3&amp;"'!I:I"), INDIRECT("'"&amp;AG$3&amp;"'!G:G"), $B59, INDIRECT("'"&amp;AG$3&amp;"'!W:W"), $H$55)=0, "", SUMIFS(INDIRECT("'"&amp;AG$3&amp;"'!I:I"), INDIRECT("'"&amp;AG$3&amp;"'!G:G"), $B59, INDIRECT("'"&amp;AG$3&amp;"'!W:W"), $H$55))</f>
        <v/>
      </c>
      <c r="AI59" s="224" t="str">
        <f t="shared" ref="AI59:AI69" ca="1" si="191">IF(SUMIFS(INDIRECT("'"&amp;AG$3&amp;"'!J:J"), INDIRECT("'"&amp;AG$3&amp;"'!G:G"), $B59, INDIRECT("'"&amp;AG$3&amp;"'!W:W"), $H$55)=0, "", SUMIFS(INDIRECT("'"&amp;AG$3&amp;"'!J:J"), INDIRECT("'"&amp;AG$3&amp;"'!G:G"), $B59, INDIRECT("'"&amp;AG$3&amp;"'!W:W"), $H$55))</f>
        <v/>
      </c>
    </row>
    <row r="60" spans="2:35" x14ac:dyDescent="0.25">
      <c r="B60" s="222">
        <v>3</v>
      </c>
      <c r="C60" s="278" t="str">
        <f t="shared" ca="1" si="161"/>
        <v/>
      </c>
      <c r="D60" s="278" t="str">
        <f t="shared" ca="1" si="159"/>
        <v/>
      </c>
      <c r="E60" s="278" t="str">
        <f t="shared" ca="1" si="160"/>
        <v/>
      </c>
      <c r="F60" s="218" t="str">
        <f t="shared" ca="1" si="162"/>
        <v/>
      </c>
      <c r="G60" s="218" t="str">
        <f t="shared" ca="1" si="163"/>
        <v/>
      </c>
      <c r="H60" s="219" t="str">
        <f t="shared" ca="1" si="164"/>
        <v/>
      </c>
      <c r="I60" s="220" t="str">
        <f t="shared" ca="1" si="165"/>
        <v/>
      </c>
      <c r="J60" s="220" t="str">
        <f t="shared" ca="1" si="166"/>
        <v/>
      </c>
      <c r="K60" s="221" t="str">
        <f t="shared" ca="1" si="167"/>
        <v/>
      </c>
      <c r="L60" s="218" t="str">
        <f t="shared" ca="1" si="168"/>
        <v/>
      </c>
      <c r="M60" s="218" t="str">
        <f t="shared" ca="1" si="169"/>
        <v/>
      </c>
      <c r="N60" s="219" t="str">
        <f t="shared" ca="1" si="170"/>
        <v/>
      </c>
      <c r="O60" s="220" t="str">
        <f t="shared" ca="1" si="171"/>
        <v/>
      </c>
      <c r="P60" s="220" t="str">
        <f t="shared" ca="1" si="172"/>
        <v/>
      </c>
      <c r="Q60" s="221" t="str">
        <f t="shared" ca="1" si="173"/>
        <v/>
      </c>
      <c r="R60" s="218" t="str">
        <f t="shared" ca="1" si="174"/>
        <v/>
      </c>
      <c r="S60" s="218" t="str">
        <f t="shared" ca="1" si="175"/>
        <v/>
      </c>
      <c r="T60" s="219" t="str">
        <f t="shared" ca="1" si="176"/>
        <v/>
      </c>
      <c r="U60" s="220" t="str">
        <f t="shared" ca="1" si="177"/>
        <v/>
      </c>
      <c r="V60" s="220" t="str">
        <f t="shared" ca="1" si="178"/>
        <v/>
      </c>
      <c r="W60" s="221" t="str">
        <f t="shared" ca="1" si="179"/>
        <v/>
      </c>
      <c r="X60" s="218" t="str">
        <f t="shared" ca="1" si="180"/>
        <v/>
      </c>
      <c r="Y60" s="218" t="str">
        <f t="shared" ca="1" si="181"/>
        <v/>
      </c>
      <c r="Z60" s="219" t="str">
        <f t="shared" ca="1" si="182"/>
        <v/>
      </c>
      <c r="AA60" s="220" t="str">
        <f t="shared" ca="1" si="183"/>
        <v/>
      </c>
      <c r="AB60" s="220" t="str">
        <f t="shared" ca="1" si="184"/>
        <v/>
      </c>
      <c r="AC60" s="221" t="str">
        <f t="shared" ca="1" si="185"/>
        <v/>
      </c>
      <c r="AD60" s="218" t="str">
        <f t="shared" ca="1" si="186"/>
        <v/>
      </c>
      <c r="AE60" s="218" t="str">
        <f t="shared" ca="1" si="187"/>
        <v/>
      </c>
      <c r="AF60" s="219" t="str">
        <f t="shared" ca="1" si="188"/>
        <v/>
      </c>
      <c r="AG60" s="220" t="str">
        <f t="shared" ca="1" si="189"/>
        <v/>
      </c>
      <c r="AH60" s="220" t="str">
        <f t="shared" ca="1" si="190"/>
        <v/>
      </c>
      <c r="AI60" s="224" t="str">
        <f t="shared" ca="1" si="191"/>
        <v/>
      </c>
    </row>
    <row r="61" spans="2:35" x14ac:dyDescent="0.25">
      <c r="B61" s="222">
        <v>4</v>
      </c>
      <c r="C61" s="278" t="str">
        <f t="shared" ca="1" si="161"/>
        <v/>
      </c>
      <c r="D61" s="278" t="str">
        <f t="shared" ca="1" si="159"/>
        <v/>
      </c>
      <c r="E61" s="278" t="str">
        <f t="shared" ca="1" si="160"/>
        <v/>
      </c>
      <c r="F61" s="218" t="str">
        <f t="shared" ca="1" si="162"/>
        <v/>
      </c>
      <c r="G61" s="218" t="str">
        <f t="shared" ca="1" si="163"/>
        <v/>
      </c>
      <c r="H61" s="219" t="str">
        <f t="shared" ca="1" si="164"/>
        <v/>
      </c>
      <c r="I61" s="220" t="str">
        <f t="shared" ca="1" si="165"/>
        <v/>
      </c>
      <c r="J61" s="220" t="str">
        <f t="shared" ca="1" si="166"/>
        <v/>
      </c>
      <c r="K61" s="221" t="str">
        <f t="shared" ca="1" si="167"/>
        <v/>
      </c>
      <c r="L61" s="218" t="str">
        <f t="shared" ca="1" si="168"/>
        <v/>
      </c>
      <c r="M61" s="218" t="str">
        <f t="shared" ca="1" si="169"/>
        <v/>
      </c>
      <c r="N61" s="219" t="str">
        <f t="shared" ca="1" si="170"/>
        <v/>
      </c>
      <c r="O61" s="220" t="str">
        <f t="shared" ca="1" si="171"/>
        <v/>
      </c>
      <c r="P61" s="220" t="str">
        <f t="shared" ca="1" si="172"/>
        <v/>
      </c>
      <c r="Q61" s="221" t="str">
        <f t="shared" ca="1" si="173"/>
        <v/>
      </c>
      <c r="R61" s="218" t="str">
        <f t="shared" ca="1" si="174"/>
        <v/>
      </c>
      <c r="S61" s="218" t="str">
        <f t="shared" ca="1" si="175"/>
        <v/>
      </c>
      <c r="T61" s="219" t="str">
        <f t="shared" ca="1" si="176"/>
        <v/>
      </c>
      <c r="U61" s="220" t="str">
        <f t="shared" ca="1" si="177"/>
        <v/>
      </c>
      <c r="V61" s="220" t="str">
        <f t="shared" ca="1" si="178"/>
        <v/>
      </c>
      <c r="W61" s="221" t="str">
        <f t="shared" ca="1" si="179"/>
        <v/>
      </c>
      <c r="X61" s="218" t="str">
        <f t="shared" ca="1" si="180"/>
        <v/>
      </c>
      <c r="Y61" s="218" t="str">
        <f t="shared" ca="1" si="181"/>
        <v/>
      </c>
      <c r="Z61" s="219" t="str">
        <f t="shared" ca="1" si="182"/>
        <v/>
      </c>
      <c r="AA61" s="220" t="str">
        <f t="shared" ca="1" si="183"/>
        <v/>
      </c>
      <c r="AB61" s="220" t="str">
        <f t="shared" ca="1" si="184"/>
        <v/>
      </c>
      <c r="AC61" s="221" t="str">
        <f t="shared" ca="1" si="185"/>
        <v/>
      </c>
      <c r="AD61" s="218" t="str">
        <f t="shared" ca="1" si="186"/>
        <v/>
      </c>
      <c r="AE61" s="218" t="str">
        <f t="shared" ca="1" si="187"/>
        <v/>
      </c>
      <c r="AF61" s="219" t="str">
        <f t="shared" ca="1" si="188"/>
        <v/>
      </c>
      <c r="AG61" s="220" t="str">
        <f t="shared" ca="1" si="189"/>
        <v/>
      </c>
      <c r="AH61" s="220" t="str">
        <f t="shared" ca="1" si="190"/>
        <v/>
      </c>
      <c r="AI61" s="224" t="str">
        <f t="shared" ca="1" si="191"/>
        <v/>
      </c>
    </row>
    <row r="62" spans="2:35" x14ac:dyDescent="0.25">
      <c r="B62" s="222">
        <v>5</v>
      </c>
      <c r="C62" s="278" t="str">
        <f t="shared" ca="1" si="161"/>
        <v/>
      </c>
      <c r="D62" s="278" t="str">
        <f t="shared" ca="1" si="159"/>
        <v/>
      </c>
      <c r="E62" s="278" t="str">
        <f t="shared" ca="1" si="160"/>
        <v/>
      </c>
      <c r="F62" s="218" t="str">
        <f t="shared" ca="1" si="162"/>
        <v/>
      </c>
      <c r="G62" s="218" t="str">
        <f t="shared" ca="1" si="163"/>
        <v/>
      </c>
      <c r="H62" s="219" t="str">
        <f t="shared" ca="1" si="164"/>
        <v/>
      </c>
      <c r="I62" s="220" t="str">
        <f t="shared" ca="1" si="165"/>
        <v/>
      </c>
      <c r="J62" s="220" t="str">
        <f t="shared" ca="1" si="166"/>
        <v/>
      </c>
      <c r="K62" s="221" t="str">
        <f t="shared" ca="1" si="167"/>
        <v/>
      </c>
      <c r="L62" s="218" t="str">
        <f t="shared" ca="1" si="168"/>
        <v/>
      </c>
      <c r="M62" s="218" t="str">
        <f t="shared" ca="1" si="169"/>
        <v/>
      </c>
      <c r="N62" s="219" t="str">
        <f t="shared" ca="1" si="170"/>
        <v/>
      </c>
      <c r="O62" s="220" t="str">
        <f t="shared" ca="1" si="171"/>
        <v/>
      </c>
      <c r="P62" s="220" t="str">
        <f t="shared" ca="1" si="172"/>
        <v/>
      </c>
      <c r="Q62" s="221" t="str">
        <f t="shared" ca="1" si="173"/>
        <v/>
      </c>
      <c r="R62" s="218" t="str">
        <f t="shared" ca="1" si="174"/>
        <v/>
      </c>
      <c r="S62" s="218" t="str">
        <f t="shared" ca="1" si="175"/>
        <v/>
      </c>
      <c r="T62" s="219" t="str">
        <f t="shared" ca="1" si="176"/>
        <v/>
      </c>
      <c r="U62" s="220" t="str">
        <f t="shared" ca="1" si="177"/>
        <v/>
      </c>
      <c r="V62" s="220" t="str">
        <f t="shared" ca="1" si="178"/>
        <v/>
      </c>
      <c r="W62" s="221" t="str">
        <f t="shared" ca="1" si="179"/>
        <v/>
      </c>
      <c r="X62" s="218" t="str">
        <f t="shared" ca="1" si="180"/>
        <v/>
      </c>
      <c r="Y62" s="218" t="str">
        <f t="shared" ca="1" si="181"/>
        <v/>
      </c>
      <c r="Z62" s="219" t="str">
        <f t="shared" ca="1" si="182"/>
        <v/>
      </c>
      <c r="AA62" s="220" t="str">
        <f t="shared" ca="1" si="183"/>
        <v/>
      </c>
      <c r="AB62" s="220" t="str">
        <f t="shared" ca="1" si="184"/>
        <v/>
      </c>
      <c r="AC62" s="221" t="str">
        <f t="shared" ca="1" si="185"/>
        <v/>
      </c>
      <c r="AD62" s="218" t="str">
        <f t="shared" ca="1" si="186"/>
        <v/>
      </c>
      <c r="AE62" s="218" t="str">
        <f t="shared" ca="1" si="187"/>
        <v/>
      </c>
      <c r="AF62" s="219" t="str">
        <f t="shared" ca="1" si="188"/>
        <v/>
      </c>
      <c r="AG62" s="220" t="str">
        <f t="shared" ca="1" si="189"/>
        <v/>
      </c>
      <c r="AH62" s="220" t="str">
        <f t="shared" ca="1" si="190"/>
        <v/>
      </c>
      <c r="AI62" s="224" t="str">
        <f t="shared" ca="1" si="191"/>
        <v/>
      </c>
    </row>
    <row r="63" spans="2:35" x14ac:dyDescent="0.25">
      <c r="B63" s="222">
        <v>6</v>
      </c>
      <c r="C63" s="278" t="str">
        <f t="shared" ca="1" si="161"/>
        <v/>
      </c>
      <c r="D63" s="278" t="str">
        <f t="shared" ca="1" si="159"/>
        <v/>
      </c>
      <c r="E63" s="278" t="str">
        <f t="shared" ca="1" si="160"/>
        <v/>
      </c>
      <c r="F63" s="218" t="str">
        <f t="shared" ca="1" si="162"/>
        <v/>
      </c>
      <c r="G63" s="218" t="str">
        <f t="shared" ca="1" si="163"/>
        <v/>
      </c>
      <c r="H63" s="219" t="str">
        <f t="shared" ca="1" si="164"/>
        <v/>
      </c>
      <c r="I63" s="220" t="str">
        <f t="shared" ca="1" si="165"/>
        <v/>
      </c>
      <c r="J63" s="220" t="str">
        <f t="shared" ca="1" si="166"/>
        <v/>
      </c>
      <c r="K63" s="221" t="str">
        <f t="shared" ca="1" si="167"/>
        <v/>
      </c>
      <c r="L63" s="218" t="str">
        <f t="shared" ca="1" si="168"/>
        <v/>
      </c>
      <c r="M63" s="218" t="str">
        <f t="shared" ca="1" si="169"/>
        <v/>
      </c>
      <c r="N63" s="219" t="str">
        <f t="shared" ca="1" si="170"/>
        <v/>
      </c>
      <c r="O63" s="220" t="str">
        <f t="shared" ca="1" si="171"/>
        <v/>
      </c>
      <c r="P63" s="220" t="str">
        <f t="shared" ca="1" si="172"/>
        <v/>
      </c>
      <c r="Q63" s="221" t="str">
        <f t="shared" ca="1" si="173"/>
        <v/>
      </c>
      <c r="R63" s="218" t="str">
        <f t="shared" ca="1" si="174"/>
        <v/>
      </c>
      <c r="S63" s="218" t="str">
        <f t="shared" ca="1" si="175"/>
        <v/>
      </c>
      <c r="T63" s="219" t="str">
        <f t="shared" ca="1" si="176"/>
        <v/>
      </c>
      <c r="U63" s="220" t="str">
        <f t="shared" ca="1" si="177"/>
        <v/>
      </c>
      <c r="V63" s="220" t="str">
        <f t="shared" ca="1" si="178"/>
        <v/>
      </c>
      <c r="W63" s="221" t="str">
        <f t="shared" ca="1" si="179"/>
        <v/>
      </c>
      <c r="X63" s="218" t="str">
        <f t="shared" ca="1" si="180"/>
        <v/>
      </c>
      <c r="Y63" s="218" t="str">
        <f t="shared" ca="1" si="181"/>
        <v/>
      </c>
      <c r="Z63" s="219" t="str">
        <f t="shared" ca="1" si="182"/>
        <v/>
      </c>
      <c r="AA63" s="220" t="str">
        <f t="shared" ca="1" si="183"/>
        <v/>
      </c>
      <c r="AB63" s="220" t="str">
        <f t="shared" ca="1" si="184"/>
        <v/>
      </c>
      <c r="AC63" s="221" t="str">
        <f t="shared" ca="1" si="185"/>
        <v/>
      </c>
      <c r="AD63" s="218" t="str">
        <f t="shared" ca="1" si="186"/>
        <v/>
      </c>
      <c r="AE63" s="218" t="str">
        <f t="shared" ca="1" si="187"/>
        <v/>
      </c>
      <c r="AF63" s="219" t="str">
        <f t="shared" ca="1" si="188"/>
        <v/>
      </c>
      <c r="AG63" s="220" t="str">
        <f t="shared" ca="1" si="189"/>
        <v/>
      </c>
      <c r="AH63" s="220" t="str">
        <f t="shared" ca="1" si="190"/>
        <v/>
      </c>
      <c r="AI63" s="224" t="str">
        <f t="shared" ca="1" si="191"/>
        <v/>
      </c>
    </row>
    <row r="64" spans="2:35" x14ac:dyDescent="0.25">
      <c r="B64" s="222">
        <v>7</v>
      </c>
      <c r="C64" s="278" t="str">
        <f t="shared" ca="1" si="161"/>
        <v/>
      </c>
      <c r="D64" s="278" t="str">
        <f t="shared" ca="1" si="159"/>
        <v/>
      </c>
      <c r="E64" s="278" t="str">
        <f t="shared" ca="1" si="160"/>
        <v/>
      </c>
      <c r="F64" s="218" t="str">
        <f t="shared" ca="1" si="162"/>
        <v/>
      </c>
      <c r="G64" s="218" t="str">
        <f t="shared" ca="1" si="163"/>
        <v/>
      </c>
      <c r="H64" s="219" t="str">
        <f t="shared" ca="1" si="164"/>
        <v/>
      </c>
      <c r="I64" s="220" t="str">
        <f t="shared" ca="1" si="165"/>
        <v/>
      </c>
      <c r="J64" s="220" t="str">
        <f t="shared" ca="1" si="166"/>
        <v/>
      </c>
      <c r="K64" s="221" t="str">
        <f t="shared" ca="1" si="167"/>
        <v/>
      </c>
      <c r="L64" s="218" t="str">
        <f t="shared" ca="1" si="168"/>
        <v/>
      </c>
      <c r="M64" s="218" t="str">
        <f t="shared" ca="1" si="169"/>
        <v/>
      </c>
      <c r="N64" s="219" t="str">
        <f t="shared" ca="1" si="170"/>
        <v/>
      </c>
      <c r="O64" s="220" t="str">
        <f t="shared" ca="1" si="171"/>
        <v/>
      </c>
      <c r="P64" s="220" t="str">
        <f t="shared" ca="1" si="172"/>
        <v/>
      </c>
      <c r="Q64" s="221" t="str">
        <f t="shared" ca="1" si="173"/>
        <v/>
      </c>
      <c r="R64" s="218" t="str">
        <f t="shared" ca="1" si="174"/>
        <v/>
      </c>
      <c r="S64" s="218" t="str">
        <f t="shared" ca="1" si="175"/>
        <v/>
      </c>
      <c r="T64" s="219" t="str">
        <f t="shared" ca="1" si="176"/>
        <v/>
      </c>
      <c r="U64" s="220" t="str">
        <f t="shared" ca="1" si="177"/>
        <v/>
      </c>
      <c r="V64" s="220" t="str">
        <f t="shared" ca="1" si="178"/>
        <v/>
      </c>
      <c r="W64" s="221" t="str">
        <f t="shared" ca="1" si="179"/>
        <v/>
      </c>
      <c r="X64" s="218" t="str">
        <f t="shared" ca="1" si="180"/>
        <v/>
      </c>
      <c r="Y64" s="218" t="str">
        <f t="shared" ca="1" si="181"/>
        <v/>
      </c>
      <c r="Z64" s="219" t="str">
        <f t="shared" ca="1" si="182"/>
        <v/>
      </c>
      <c r="AA64" s="220" t="str">
        <f t="shared" ca="1" si="183"/>
        <v/>
      </c>
      <c r="AB64" s="220" t="str">
        <f t="shared" ca="1" si="184"/>
        <v/>
      </c>
      <c r="AC64" s="221" t="str">
        <f t="shared" ca="1" si="185"/>
        <v/>
      </c>
      <c r="AD64" s="218" t="str">
        <f t="shared" ca="1" si="186"/>
        <v/>
      </c>
      <c r="AE64" s="218" t="str">
        <f t="shared" ca="1" si="187"/>
        <v/>
      </c>
      <c r="AF64" s="219" t="str">
        <f t="shared" ca="1" si="188"/>
        <v/>
      </c>
      <c r="AG64" s="220" t="str">
        <f t="shared" ca="1" si="189"/>
        <v/>
      </c>
      <c r="AH64" s="220" t="str">
        <f t="shared" ca="1" si="190"/>
        <v/>
      </c>
      <c r="AI64" s="224" t="str">
        <f t="shared" ca="1" si="191"/>
        <v/>
      </c>
    </row>
    <row r="65" spans="2:35" x14ac:dyDescent="0.25">
      <c r="B65" s="222">
        <v>8</v>
      </c>
      <c r="C65" s="278" t="str">
        <f t="shared" ca="1" si="161"/>
        <v/>
      </c>
      <c r="D65" s="278" t="str">
        <f t="shared" ca="1" si="159"/>
        <v/>
      </c>
      <c r="E65" s="278" t="str">
        <f t="shared" ca="1" si="160"/>
        <v/>
      </c>
      <c r="F65" s="218" t="str">
        <f t="shared" ca="1" si="162"/>
        <v/>
      </c>
      <c r="G65" s="218" t="str">
        <f t="shared" ca="1" si="163"/>
        <v/>
      </c>
      <c r="H65" s="219" t="str">
        <f t="shared" ca="1" si="164"/>
        <v/>
      </c>
      <c r="I65" s="220" t="str">
        <f t="shared" ca="1" si="165"/>
        <v/>
      </c>
      <c r="J65" s="220" t="str">
        <f t="shared" ca="1" si="166"/>
        <v/>
      </c>
      <c r="K65" s="221" t="str">
        <f t="shared" ca="1" si="167"/>
        <v/>
      </c>
      <c r="L65" s="218" t="str">
        <f t="shared" ca="1" si="168"/>
        <v/>
      </c>
      <c r="M65" s="218" t="str">
        <f t="shared" ca="1" si="169"/>
        <v/>
      </c>
      <c r="N65" s="219" t="str">
        <f t="shared" ca="1" si="170"/>
        <v/>
      </c>
      <c r="O65" s="220" t="str">
        <f t="shared" ca="1" si="171"/>
        <v/>
      </c>
      <c r="P65" s="220" t="str">
        <f t="shared" ca="1" si="172"/>
        <v/>
      </c>
      <c r="Q65" s="221" t="str">
        <f t="shared" ca="1" si="173"/>
        <v/>
      </c>
      <c r="R65" s="218" t="str">
        <f t="shared" ca="1" si="174"/>
        <v/>
      </c>
      <c r="S65" s="218" t="str">
        <f t="shared" ca="1" si="175"/>
        <v/>
      </c>
      <c r="T65" s="219" t="str">
        <f t="shared" ca="1" si="176"/>
        <v/>
      </c>
      <c r="U65" s="220" t="str">
        <f t="shared" ca="1" si="177"/>
        <v/>
      </c>
      <c r="V65" s="220" t="str">
        <f t="shared" ca="1" si="178"/>
        <v/>
      </c>
      <c r="W65" s="221" t="str">
        <f t="shared" ca="1" si="179"/>
        <v/>
      </c>
      <c r="X65" s="218" t="str">
        <f t="shared" ca="1" si="180"/>
        <v/>
      </c>
      <c r="Y65" s="218" t="str">
        <f t="shared" ca="1" si="181"/>
        <v/>
      </c>
      <c r="Z65" s="219" t="str">
        <f t="shared" ca="1" si="182"/>
        <v/>
      </c>
      <c r="AA65" s="220" t="str">
        <f t="shared" ca="1" si="183"/>
        <v/>
      </c>
      <c r="AB65" s="220" t="str">
        <f t="shared" ca="1" si="184"/>
        <v/>
      </c>
      <c r="AC65" s="221" t="str">
        <f t="shared" ca="1" si="185"/>
        <v/>
      </c>
      <c r="AD65" s="218" t="str">
        <f t="shared" ca="1" si="186"/>
        <v/>
      </c>
      <c r="AE65" s="218" t="str">
        <f t="shared" ca="1" si="187"/>
        <v/>
      </c>
      <c r="AF65" s="219" t="str">
        <f t="shared" ca="1" si="188"/>
        <v/>
      </c>
      <c r="AG65" s="220" t="str">
        <f t="shared" ca="1" si="189"/>
        <v/>
      </c>
      <c r="AH65" s="220" t="str">
        <f t="shared" ca="1" si="190"/>
        <v/>
      </c>
      <c r="AI65" s="224" t="str">
        <f t="shared" ca="1" si="191"/>
        <v/>
      </c>
    </row>
    <row r="66" spans="2:35" x14ac:dyDescent="0.25">
      <c r="B66" s="222">
        <v>9</v>
      </c>
      <c r="C66" s="278" t="str">
        <f t="shared" ca="1" si="161"/>
        <v/>
      </c>
      <c r="D66" s="278" t="str">
        <f t="shared" ca="1" si="159"/>
        <v/>
      </c>
      <c r="E66" s="278" t="str">
        <f t="shared" ca="1" si="160"/>
        <v/>
      </c>
      <c r="F66" s="218" t="str">
        <f t="shared" ca="1" si="162"/>
        <v/>
      </c>
      <c r="G66" s="218" t="str">
        <f t="shared" ca="1" si="163"/>
        <v/>
      </c>
      <c r="H66" s="219" t="str">
        <f t="shared" ca="1" si="164"/>
        <v/>
      </c>
      <c r="I66" s="220" t="str">
        <f t="shared" ca="1" si="165"/>
        <v/>
      </c>
      <c r="J66" s="220" t="str">
        <f t="shared" ca="1" si="166"/>
        <v/>
      </c>
      <c r="K66" s="221" t="str">
        <f t="shared" ca="1" si="167"/>
        <v/>
      </c>
      <c r="L66" s="218" t="str">
        <f t="shared" ca="1" si="168"/>
        <v/>
      </c>
      <c r="M66" s="218" t="str">
        <f t="shared" ca="1" si="169"/>
        <v/>
      </c>
      <c r="N66" s="219" t="str">
        <f t="shared" ca="1" si="170"/>
        <v/>
      </c>
      <c r="O66" s="220" t="str">
        <f t="shared" ca="1" si="171"/>
        <v/>
      </c>
      <c r="P66" s="220" t="str">
        <f t="shared" ca="1" si="172"/>
        <v/>
      </c>
      <c r="Q66" s="221" t="str">
        <f t="shared" ca="1" si="173"/>
        <v/>
      </c>
      <c r="R66" s="218" t="str">
        <f t="shared" ca="1" si="174"/>
        <v/>
      </c>
      <c r="S66" s="218" t="str">
        <f t="shared" ca="1" si="175"/>
        <v/>
      </c>
      <c r="T66" s="219" t="str">
        <f t="shared" ca="1" si="176"/>
        <v/>
      </c>
      <c r="U66" s="220" t="str">
        <f t="shared" ca="1" si="177"/>
        <v/>
      </c>
      <c r="V66" s="220" t="str">
        <f t="shared" ca="1" si="178"/>
        <v/>
      </c>
      <c r="W66" s="221" t="str">
        <f t="shared" ca="1" si="179"/>
        <v/>
      </c>
      <c r="X66" s="218" t="str">
        <f t="shared" ca="1" si="180"/>
        <v/>
      </c>
      <c r="Y66" s="218" t="str">
        <f t="shared" ca="1" si="181"/>
        <v/>
      </c>
      <c r="Z66" s="219" t="str">
        <f t="shared" ca="1" si="182"/>
        <v/>
      </c>
      <c r="AA66" s="220" t="str">
        <f t="shared" ca="1" si="183"/>
        <v/>
      </c>
      <c r="AB66" s="220" t="str">
        <f t="shared" ca="1" si="184"/>
        <v/>
      </c>
      <c r="AC66" s="221" t="str">
        <f t="shared" ca="1" si="185"/>
        <v/>
      </c>
      <c r="AD66" s="218" t="str">
        <f t="shared" ca="1" si="186"/>
        <v/>
      </c>
      <c r="AE66" s="218" t="str">
        <f t="shared" ca="1" si="187"/>
        <v/>
      </c>
      <c r="AF66" s="219" t="str">
        <f t="shared" ca="1" si="188"/>
        <v/>
      </c>
      <c r="AG66" s="220" t="str">
        <f t="shared" ca="1" si="189"/>
        <v/>
      </c>
      <c r="AH66" s="220" t="str">
        <f t="shared" ca="1" si="190"/>
        <v/>
      </c>
      <c r="AI66" s="224" t="str">
        <f t="shared" ca="1" si="191"/>
        <v/>
      </c>
    </row>
    <row r="67" spans="2:35" x14ac:dyDescent="0.25">
      <c r="B67" s="222">
        <v>10</v>
      </c>
      <c r="C67" s="278" t="str">
        <f t="shared" ca="1" si="161"/>
        <v/>
      </c>
      <c r="D67" s="278" t="str">
        <f t="shared" ca="1" si="159"/>
        <v/>
      </c>
      <c r="E67" s="278" t="str">
        <f t="shared" ca="1" si="160"/>
        <v/>
      </c>
      <c r="F67" s="218" t="str">
        <f t="shared" ca="1" si="162"/>
        <v/>
      </c>
      <c r="G67" s="218" t="str">
        <f t="shared" ca="1" si="163"/>
        <v/>
      </c>
      <c r="H67" s="219" t="str">
        <f t="shared" ca="1" si="164"/>
        <v/>
      </c>
      <c r="I67" s="220" t="str">
        <f t="shared" ca="1" si="165"/>
        <v/>
      </c>
      <c r="J67" s="220" t="str">
        <f t="shared" ca="1" si="166"/>
        <v/>
      </c>
      <c r="K67" s="221" t="str">
        <f t="shared" ca="1" si="167"/>
        <v/>
      </c>
      <c r="L67" s="218" t="str">
        <f t="shared" ca="1" si="168"/>
        <v/>
      </c>
      <c r="M67" s="218" t="str">
        <f t="shared" ca="1" si="169"/>
        <v/>
      </c>
      <c r="N67" s="219" t="str">
        <f t="shared" ca="1" si="170"/>
        <v/>
      </c>
      <c r="O67" s="220" t="str">
        <f t="shared" ca="1" si="171"/>
        <v/>
      </c>
      <c r="P67" s="220" t="str">
        <f t="shared" ca="1" si="172"/>
        <v/>
      </c>
      <c r="Q67" s="221" t="str">
        <f t="shared" ca="1" si="173"/>
        <v/>
      </c>
      <c r="R67" s="218" t="str">
        <f t="shared" ca="1" si="174"/>
        <v/>
      </c>
      <c r="S67" s="218" t="str">
        <f t="shared" ca="1" si="175"/>
        <v/>
      </c>
      <c r="T67" s="219" t="str">
        <f t="shared" ca="1" si="176"/>
        <v/>
      </c>
      <c r="U67" s="220" t="str">
        <f t="shared" ca="1" si="177"/>
        <v/>
      </c>
      <c r="V67" s="220" t="str">
        <f t="shared" ca="1" si="178"/>
        <v/>
      </c>
      <c r="W67" s="221" t="str">
        <f t="shared" ca="1" si="179"/>
        <v/>
      </c>
      <c r="X67" s="218" t="str">
        <f t="shared" ca="1" si="180"/>
        <v/>
      </c>
      <c r="Y67" s="218" t="str">
        <f t="shared" ca="1" si="181"/>
        <v/>
      </c>
      <c r="Z67" s="219" t="str">
        <f t="shared" ca="1" si="182"/>
        <v/>
      </c>
      <c r="AA67" s="220" t="str">
        <f t="shared" ca="1" si="183"/>
        <v/>
      </c>
      <c r="AB67" s="220" t="str">
        <f t="shared" ca="1" si="184"/>
        <v/>
      </c>
      <c r="AC67" s="221" t="str">
        <f t="shared" ca="1" si="185"/>
        <v/>
      </c>
      <c r="AD67" s="218" t="str">
        <f t="shared" ca="1" si="186"/>
        <v/>
      </c>
      <c r="AE67" s="218" t="str">
        <f t="shared" ca="1" si="187"/>
        <v/>
      </c>
      <c r="AF67" s="219" t="str">
        <f t="shared" ca="1" si="188"/>
        <v/>
      </c>
      <c r="AG67" s="220" t="str">
        <f t="shared" ca="1" si="189"/>
        <v/>
      </c>
      <c r="AH67" s="220" t="str">
        <f t="shared" ca="1" si="190"/>
        <v/>
      </c>
      <c r="AI67" s="224" t="str">
        <f t="shared" ca="1" si="191"/>
        <v/>
      </c>
    </row>
    <row r="68" spans="2:35" x14ac:dyDescent="0.25">
      <c r="B68" s="222">
        <v>11</v>
      </c>
      <c r="C68" s="278" t="str">
        <f t="shared" ca="1" si="161"/>
        <v/>
      </c>
      <c r="D68" s="278" t="str">
        <f t="shared" ca="1" si="159"/>
        <v/>
      </c>
      <c r="E68" s="278" t="str">
        <f t="shared" ca="1" si="160"/>
        <v/>
      </c>
      <c r="F68" s="218" t="str">
        <f t="shared" ca="1" si="162"/>
        <v/>
      </c>
      <c r="G68" s="218" t="str">
        <f t="shared" ca="1" si="163"/>
        <v/>
      </c>
      <c r="H68" s="219" t="str">
        <f t="shared" ca="1" si="164"/>
        <v/>
      </c>
      <c r="I68" s="220" t="str">
        <f t="shared" ca="1" si="165"/>
        <v/>
      </c>
      <c r="J68" s="220" t="str">
        <f t="shared" ca="1" si="166"/>
        <v/>
      </c>
      <c r="K68" s="221" t="str">
        <f t="shared" ca="1" si="167"/>
        <v/>
      </c>
      <c r="L68" s="218" t="str">
        <f t="shared" ca="1" si="168"/>
        <v/>
      </c>
      <c r="M68" s="218" t="str">
        <f t="shared" ca="1" si="169"/>
        <v/>
      </c>
      <c r="N68" s="219" t="str">
        <f t="shared" ca="1" si="170"/>
        <v/>
      </c>
      <c r="O68" s="220" t="str">
        <f t="shared" ca="1" si="171"/>
        <v/>
      </c>
      <c r="P68" s="220" t="str">
        <f t="shared" ca="1" si="172"/>
        <v/>
      </c>
      <c r="Q68" s="221" t="str">
        <f t="shared" ca="1" si="173"/>
        <v/>
      </c>
      <c r="R68" s="218" t="str">
        <f t="shared" ca="1" si="174"/>
        <v/>
      </c>
      <c r="S68" s="218" t="str">
        <f t="shared" ca="1" si="175"/>
        <v/>
      </c>
      <c r="T68" s="219" t="str">
        <f t="shared" ca="1" si="176"/>
        <v/>
      </c>
      <c r="U68" s="220" t="str">
        <f t="shared" ca="1" si="177"/>
        <v/>
      </c>
      <c r="V68" s="220" t="str">
        <f t="shared" ca="1" si="178"/>
        <v/>
      </c>
      <c r="W68" s="221" t="str">
        <f t="shared" ca="1" si="179"/>
        <v/>
      </c>
      <c r="X68" s="218" t="str">
        <f t="shared" ca="1" si="180"/>
        <v/>
      </c>
      <c r="Y68" s="218" t="str">
        <f t="shared" ca="1" si="181"/>
        <v/>
      </c>
      <c r="Z68" s="219" t="str">
        <f t="shared" ca="1" si="182"/>
        <v/>
      </c>
      <c r="AA68" s="220" t="str">
        <f t="shared" ca="1" si="183"/>
        <v/>
      </c>
      <c r="AB68" s="220" t="str">
        <f t="shared" ca="1" si="184"/>
        <v/>
      </c>
      <c r="AC68" s="221" t="str">
        <f t="shared" ca="1" si="185"/>
        <v/>
      </c>
      <c r="AD68" s="218" t="str">
        <f t="shared" ca="1" si="186"/>
        <v/>
      </c>
      <c r="AE68" s="218" t="str">
        <f t="shared" ca="1" si="187"/>
        <v/>
      </c>
      <c r="AF68" s="219" t="str">
        <f t="shared" ca="1" si="188"/>
        <v/>
      </c>
      <c r="AG68" s="220" t="str">
        <f t="shared" ca="1" si="189"/>
        <v/>
      </c>
      <c r="AH68" s="220" t="str">
        <f t="shared" ca="1" si="190"/>
        <v/>
      </c>
      <c r="AI68" s="224" t="str">
        <f t="shared" ca="1" si="191"/>
        <v/>
      </c>
    </row>
    <row r="69" spans="2:35" x14ac:dyDescent="0.25">
      <c r="B69" s="222">
        <v>12</v>
      </c>
      <c r="C69" s="278" t="str">
        <f t="shared" ca="1" si="161"/>
        <v/>
      </c>
      <c r="D69" s="278" t="str">
        <f t="shared" ca="1" si="159"/>
        <v/>
      </c>
      <c r="E69" s="278" t="str">
        <f t="shared" ca="1" si="160"/>
        <v/>
      </c>
      <c r="F69" s="218" t="str">
        <f t="shared" ca="1" si="162"/>
        <v/>
      </c>
      <c r="G69" s="218" t="str">
        <f t="shared" ca="1" si="163"/>
        <v/>
      </c>
      <c r="H69" s="219" t="str">
        <f t="shared" ca="1" si="164"/>
        <v/>
      </c>
      <c r="I69" s="220" t="str">
        <f t="shared" ca="1" si="165"/>
        <v/>
      </c>
      <c r="J69" s="220" t="str">
        <f t="shared" ca="1" si="166"/>
        <v/>
      </c>
      <c r="K69" s="221" t="str">
        <f t="shared" ca="1" si="167"/>
        <v/>
      </c>
      <c r="L69" s="218" t="str">
        <f t="shared" ca="1" si="168"/>
        <v/>
      </c>
      <c r="M69" s="218" t="str">
        <f t="shared" ca="1" si="169"/>
        <v/>
      </c>
      <c r="N69" s="219" t="str">
        <f t="shared" ca="1" si="170"/>
        <v/>
      </c>
      <c r="O69" s="220" t="str">
        <f t="shared" ca="1" si="171"/>
        <v/>
      </c>
      <c r="P69" s="220" t="str">
        <f t="shared" ca="1" si="172"/>
        <v/>
      </c>
      <c r="Q69" s="221" t="str">
        <f t="shared" ca="1" si="173"/>
        <v/>
      </c>
      <c r="R69" s="218" t="str">
        <f t="shared" ca="1" si="174"/>
        <v/>
      </c>
      <c r="S69" s="218" t="str">
        <f t="shared" ca="1" si="175"/>
        <v/>
      </c>
      <c r="T69" s="219" t="str">
        <f t="shared" ca="1" si="176"/>
        <v/>
      </c>
      <c r="U69" s="220" t="str">
        <f t="shared" ca="1" si="177"/>
        <v/>
      </c>
      <c r="V69" s="220" t="str">
        <f t="shared" ca="1" si="178"/>
        <v/>
      </c>
      <c r="W69" s="221" t="str">
        <f t="shared" ca="1" si="179"/>
        <v/>
      </c>
      <c r="X69" s="218" t="str">
        <f t="shared" ca="1" si="180"/>
        <v/>
      </c>
      <c r="Y69" s="218" t="str">
        <f t="shared" ca="1" si="181"/>
        <v/>
      </c>
      <c r="Z69" s="219" t="str">
        <f t="shared" ca="1" si="182"/>
        <v/>
      </c>
      <c r="AA69" s="220" t="str">
        <f t="shared" ca="1" si="183"/>
        <v/>
      </c>
      <c r="AB69" s="220" t="str">
        <f t="shared" ca="1" si="184"/>
        <v/>
      </c>
      <c r="AC69" s="221" t="str">
        <f t="shared" ca="1" si="185"/>
        <v/>
      </c>
      <c r="AD69" s="218" t="str">
        <f t="shared" ca="1" si="186"/>
        <v/>
      </c>
      <c r="AE69" s="218" t="str">
        <f t="shared" ca="1" si="187"/>
        <v/>
      </c>
      <c r="AF69" s="219" t="str">
        <f t="shared" ca="1" si="188"/>
        <v/>
      </c>
      <c r="AG69" s="220" t="str">
        <f t="shared" ca="1" si="189"/>
        <v/>
      </c>
      <c r="AH69" s="220" t="str">
        <f t="shared" ca="1" si="190"/>
        <v/>
      </c>
      <c r="AI69" s="224" t="str">
        <f t="shared" ca="1" si="191"/>
        <v/>
      </c>
    </row>
    <row r="70" spans="2:35" ht="14.25" thickBot="1" x14ac:dyDescent="0.3">
      <c r="B70" s="225" t="s">
        <v>3</v>
      </c>
      <c r="C70" s="279">
        <f ca="1">SUM(C58:C64)</f>
        <v>0</v>
      </c>
      <c r="D70" s="279">
        <f t="shared" ref="D70:E70" ca="1" si="192">SUM(D58:D69)</f>
        <v>0</v>
      </c>
      <c r="E70" s="279">
        <f t="shared" ca="1" si="192"/>
        <v>0</v>
      </c>
      <c r="F70" s="226">
        <f ca="1">SUM(F58:F69)</f>
        <v>0</v>
      </c>
      <c r="G70" s="226">
        <f t="shared" ref="G70" ca="1" si="193">SUM(G58:G69)</f>
        <v>0</v>
      </c>
      <c r="H70" s="227">
        <f t="shared" ref="H70" ca="1" si="194">SUM(H58:H69)</f>
        <v>0</v>
      </c>
      <c r="I70" s="228">
        <f ca="1">SUM(I58:I69)</f>
        <v>0</v>
      </c>
      <c r="J70" s="228">
        <f t="shared" ref="J70" ca="1" si="195">SUM(J58:J69)</f>
        <v>0</v>
      </c>
      <c r="K70" s="229">
        <f t="shared" ref="K70" ca="1" si="196">SUM(K58:K69)</f>
        <v>0</v>
      </c>
      <c r="L70" s="226">
        <f ca="1">SUM(L58:L69)</f>
        <v>0</v>
      </c>
      <c r="M70" s="226">
        <f t="shared" ref="M70" ca="1" si="197">SUM(M58:M69)</f>
        <v>0</v>
      </c>
      <c r="N70" s="227">
        <f t="shared" ref="N70" ca="1" si="198">SUM(N58:N69)</f>
        <v>0</v>
      </c>
      <c r="O70" s="228">
        <f ca="1">SUM(O58:O69)</f>
        <v>0</v>
      </c>
      <c r="P70" s="228">
        <f t="shared" ref="P70" ca="1" si="199">SUM(P58:P69)</f>
        <v>0</v>
      </c>
      <c r="Q70" s="229">
        <f t="shared" ref="Q70" ca="1" si="200">SUM(Q58:Q69)</f>
        <v>0</v>
      </c>
      <c r="R70" s="226">
        <f ca="1">SUM(R58:R69)</f>
        <v>0</v>
      </c>
      <c r="S70" s="226">
        <f t="shared" ref="S70" ca="1" si="201">SUM(S58:S69)</f>
        <v>0</v>
      </c>
      <c r="T70" s="227">
        <f t="shared" ref="T70" ca="1" si="202">SUM(T58:T69)</f>
        <v>0</v>
      </c>
      <c r="U70" s="228">
        <f ca="1">SUM(U58:U69)</f>
        <v>0</v>
      </c>
      <c r="V70" s="228">
        <f t="shared" ref="V70" ca="1" si="203">SUM(V58:V69)</f>
        <v>0</v>
      </c>
      <c r="W70" s="229">
        <f t="shared" ref="W70" ca="1" si="204">SUM(W58:W69)</f>
        <v>0</v>
      </c>
      <c r="X70" s="226">
        <f ca="1">SUM(X58:X69)</f>
        <v>0</v>
      </c>
      <c r="Y70" s="226">
        <f t="shared" ref="Y70" ca="1" si="205">SUM(Y58:Y69)</f>
        <v>0</v>
      </c>
      <c r="Z70" s="227">
        <f t="shared" ref="Z70" ca="1" si="206">SUM(Z58:Z69)</f>
        <v>0</v>
      </c>
      <c r="AA70" s="228">
        <f ca="1">SUM(AA58:AA69)</f>
        <v>0</v>
      </c>
      <c r="AB70" s="228">
        <f t="shared" ref="AB70" ca="1" si="207">SUM(AB58:AB69)</f>
        <v>0</v>
      </c>
      <c r="AC70" s="229">
        <f t="shared" ref="AC70" ca="1" si="208">SUM(AC58:AC69)</f>
        <v>0</v>
      </c>
      <c r="AD70" s="226">
        <f ca="1">SUM(AD58:AD69)</f>
        <v>0</v>
      </c>
      <c r="AE70" s="226">
        <f t="shared" ref="AE70" ca="1" si="209">SUM(AE58:AE69)</f>
        <v>0</v>
      </c>
      <c r="AF70" s="227">
        <f t="shared" ref="AF70" ca="1" si="210">SUM(AF58:AF69)</f>
        <v>0</v>
      </c>
      <c r="AG70" s="228">
        <f ca="1">SUM(AG58:AG69)</f>
        <v>0</v>
      </c>
      <c r="AH70" s="228">
        <f t="shared" ref="AH70" ca="1" si="211">SUM(AH58:AH69)</f>
        <v>0</v>
      </c>
      <c r="AI70" s="230">
        <f t="shared" ref="AI70" ca="1" si="212">SUM(AI58:AI69)</f>
        <v>0</v>
      </c>
    </row>
  </sheetData>
  <mergeCells count="48">
    <mergeCell ref="AG3:AI3"/>
    <mergeCell ref="O3:Q3"/>
    <mergeCell ref="R3:T3"/>
    <mergeCell ref="U3:W3"/>
    <mergeCell ref="X3:Z3"/>
    <mergeCell ref="AA3:AC3"/>
    <mergeCell ref="AD3:AF3"/>
    <mergeCell ref="B3:B4"/>
    <mergeCell ref="I3:K3"/>
    <mergeCell ref="L3:N3"/>
    <mergeCell ref="B20:B21"/>
    <mergeCell ref="F20:H20"/>
    <mergeCell ref="I20:K20"/>
    <mergeCell ref="L20:N20"/>
    <mergeCell ref="C3:E3"/>
    <mergeCell ref="C20:E20"/>
    <mergeCell ref="F3:H3"/>
    <mergeCell ref="B38:B39"/>
    <mergeCell ref="F38:H38"/>
    <mergeCell ref="I38:K38"/>
    <mergeCell ref="L38:N38"/>
    <mergeCell ref="O38:Q38"/>
    <mergeCell ref="C38:E38"/>
    <mergeCell ref="X38:Z38"/>
    <mergeCell ref="AA38:AC38"/>
    <mergeCell ref="AD38:AF38"/>
    <mergeCell ref="AG38:AI38"/>
    <mergeCell ref="O20:Q20"/>
    <mergeCell ref="R20:T20"/>
    <mergeCell ref="U20:W20"/>
    <mergeCell ref="X20:Z20"/>
    <mergeCell ref="AA20:AC20"/>
    <mergeCell ref="AD20:AF20"/>
    <mergeCell ref="AG20:AI20"/>
    <mergeCell ref="R38:T38"/>
    <mergeCell ref="U38:W38"/>
    <mergeCell ref="B56:B57"/>
    <mergeCell ref="F56:H56"/>
    <mergeCell ref="I56:K56"/>
    <mergeCell ref="L56:N56"/>
    <mergeCell ref="O56:Q56"/>
    <mergeCell ref="C56:E56"/>
    <mergeCell ref="AG56:AI56"/>
    <mergeCell ref="R56:T56"/>
    <mergeCell ref="U56:W56"/>
    <mergeCell ref="X56:Z56"/>
    <mergeCell ref="AA56:AC56"/>
    <mergeCell ref="AD56:AF56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T38"/>
  <sheetViews>
    <sheetView topLeftCell="A4" zoomScale="85" zoomScaleNormal="85" workbookViewId="0">
      <selection activeCell="J16" sqref="J16"/>
    </sheetView>
  </sheetViews>
  <sheetFormatPr defaultRowHeight="13.5" x14ac:dyDescent="0.25"/>
  <cols>
    <col min="1" max="1" width="3.7109375" customWidth="1"/>
    <col min="2" max="2" width="15.7109375" bestFit="1" customWidth="1"/>
    <col min="3" max="20" width="15.7109375" customWidth="1"/>
  </cols>
  <sheetData>
    <row r="3" spans="2:20" ht="14.25" thickBot="1" x14ac:dyDescent="0.3"/>
    <row r="4" spans="2:20" ht="27" thickBot="1" x14ac:dyDescent="0.3">
      <c r="B4" s="404">
        <v>2025</v>
      </c>
      <c r="C4" s="406" t="s">
        <v>31</v>
      </c>
      <c r="D4" s="407"/>
      <c r="E4" s="408"/>
      <c r="F4" s="406" t="s">
        <v>72</v>
      </c>
      <c r="G4" s="407"/>
      <c r="H4" s="408"/>
      <c r="I4" s="406" t="s">
        <v>30</v>
      </c>
      <c r="J4" s="407"/>
      <c r="K4" s="408"/>
      <c r="L4" s="406" t="s">
        <v>32</v>
      </c>
      <c r="M4" s="407"/>
      <c r="N4" s="408"/>
      <c r="O4" s="406" t="s">
        <v>71</v>
      </c>
      <c r="P4" s="407"/>
      <c r="Q4" s="408"/>
      <c r="R4" s="406" t="s">
        <v>60</v>
      </c>
      <c r="S4" s="407"/>
      <c r="T4" s="408"/>
    </row>
    <row r="5" spans="2:20" ht="14.25" thickBot="1" x14ac:dyDescent="0.3">
      <c r="B5" s="405"/>
      <c r="C5" s="52" t="s">
        <v>23</v>
      </c>
      <c r="D5" s="53" t="s">
        <v>35</v>
      </c>
      <c r="E5" s="54" t="s">
        <v>24</v>
      </c>
      <c r="F5" s="52" t="s">
        <v>23</v>
      </c>
      <c r="G5" s="53" t="s">
        <v>35</v>
      </c>
      <c r="H5" s="54" t="s">
        <v>24</v>
      </c>
      <c r="I5" s="52" t="s">
        <v>23</v>
      </c>
      <c r="J5" s="53" t="s">
        <v>35</v>
      </c>
      <c r="K5" s="54" t="s">
        <v>24</v>
      </c>
      <c r="L5" s="52" t="s">
        <v>23</v>
      </c>
      <c r="M5" s="53" t="s">
        <v>35</v>
      </c>
      <c r="N5" s="54" t="s">
        <v>24</v>
      </c>
      <c r="O5" s="52" t="s">
        <v>23</v>
      </c>
      <c r="P5" s="53" t="s">
        <v>35</v>
      </c>
      <c r="Q5" s="54" t="s">
        <v>24</v>
      </c>
      <c r="R5" s="52" t="s">
        <v>23</v>
      </c>
      <c r="S5" s="53" t="s">
        <v>35</v>
      </c>
      <c r="T5" s="54" t="s">
        <v>24</v>
      </c>
    </row>
    <row r="6" spans="2:20" x14ac:dyDescent="0.25">
      <c r="B6" s="179" t="s">
        <v>179</v>
      </c>
      <c r="C6" s="57">
        <f ca="1">SUMIFS(INDIRECT("'" &amp; $B6 &amp; "'!I:I"), INDIRECT("'" &amp; $B6 &amp; "'!N:N"), C$4)</f>
        <v>24771.529999999992</v>
      </c>
      <c r="D6" s="181">
        <f ca="1">SUMIFS(INDIRECT("'" &amp; $B6 &amp; "'!L:L"), INDIRECT("'" &amp; $B6 &amp; "'!N:N"), C$4)</f>
        <v>224.38480000000004</v>
      </c>
      <c r="E6" s="58">
        <f ca="1">COUNTIFS(INDIRECT("'" &amp; $B6 &amp; "'!N:N"), C$4)</f>
        <v>80</v>
      </c>
      <c r="F6" s="65">
        <f ca="1">SUMIFS(INDIRECT("'" &amp; $B6 &amp; "'!I:I"), INDIRECT("'" &amp; $B6 &amp; "'!N:N"), F$4)</f>
        <v>7787.9149999999991</v>
      </c>
      <c r="G6" s="184">
        <f ca="1">SUMIFS(INDIRECT("'" &amp; $B6 &amp; "'!L:L"), INDIRECT("'" &amp; $B6 &amp; "'!N:N"), F$4)</f>
        <v>71.930000000000007</v>
      </c>
      <c r="H6" s="66">
        <f ca="1">COUNTIFS(INDIRECT("'" &amp; $B6 &amp; "'!N:N"), F$4)</f>
        <v>47</v>
      </c>
      <c r="I6" s="57">
        <f ca="1">SUMIFS(INDIRECT("'" &amp; $B6 &amp; "'!I:I"), INDIRECT("'" &amp; $B6 &amp; "'!N:N"), I$4)</f>
        <v>7230.4249999999993</v>
      </c>
      <c r="J6" s="181">
        <f ca="1">SUMIFS(INDIRECT("'" &amp; $B6 &amp; "'!L:L"), INDIRECT("'" &amp; $B6 &amp; "'!N:N"), I$4)</f>
        <v>65.016199999999998</v>
      </c>
      <c r="K6" s="58">
        <f ca="1">COUNTIFS(INDIRECT("'" &amp; $B6 &amp; "'!N:N"), I$4)</f>
        <v>24</v>
      </c>
      <c r="L6" s="65">
        <f ca="1">SUMIFS(INDIRECT("'" &amp; $B6 &amp; "'!I:I"), INDIRECT("'" &amp; $B6 &amp; "'!N:N"), L$4)</f>
        <v>12499.890000000001</v>
      </c>
      <c r="M6" s="184">
        <f ca="1">SUMIFS(INDIRECT("'" &amp; $B6 &amp; "'!L:L"), INDIRECT("'" &amp; $B6 &amp; "'!N:N"), L$4)</f>
        <v>125.02800000000002</v>
      </c>
      <c r="N6" s="66">
        <f ca="1">COUNTIFS(INDIRECT("'" &amp; $B6 &amp; "'!N:N"), L$4)</f>
        <v>26</v>
      </c>
      <c r="O6" s="57">
        <f ca="1">SUMIFS(INDIRECT("'" &amp; $B6 &amp; "'!I:I"), INDIRECT("'" &amp; $B6 &amp; "'!N:N"), O$4)</f>
        <v>0</v>
      </c>
      <c r="P6" s="181">
        <f ca="1">SUMIFS(INDIRECT("'" &amp; $B6 &amp; "'!L:L"), INDIRECT("'" &amp; $B6 &amp; "'!N:N"), O$4)</f>
        <v>0</v>
      </c>
      <c r="Q6" s="58">
        <f ca="1">COUNTIFS(INDIRECT("'" &amp; $B6 &amp; "'!N:N"), O$4)</f>
        <v>0</v>
      </c>
      <c r="R6" s="65">
        <f ca="1">SUMIFS(INDIRECT("'" &amp; $B6 &amp; "'!I:I"), INDIRECT("'" &amp; $B6 &amp; "'!N:N"), R$4)</f>
        <v>0</v>
      </c>
      <c r="S6" s="184">
        <f ca="1">SUMIFS(INDIRECT("'" &amp; $B6 &amp; "'!L:L"), INDIRECT("'" &amp; $B6 &amp; "'!N:N"), R$4)</f>
        <v>0</v>
      </c>
      <c r="T6" s="66">
        <f ca="1">COUNTIFS(INDIRECT("'" &amp; $B6 &amp; "'!N:N"), R$4)</f>
        <v>0</v>
      </c>
    </row>
    <row r="7" spans="2:20" x14ac:dyDescent="0.25">
      <c r="B7" s="56" t="s">
        <v>180</v>
      </c>
      <c r="C7" s="57">
        <f t="shared" ref="C7:C15" ca="1" si="0">SUMIFS(INDIRECT("'" &amp; $B7 &amp; "'!I:I"), INDIRECT("'" &amp; $B7 &amp; "'!N:N"), C$4)</f>
        <v>0</v>
      </c>
      <c r="D7" s="181">
        <f t="shared" ref="D7:D15" ca="1" si="1">SUMIFS(INDIRECT("'" &amp; $B7 &amp; "'!L:L"), INDIRECT("'" &amp; $B7 &amp; "'!N:N"), C$4)</f>
        <v>0</v>
      </c>
      <c r="E7" s="58">
        <f t="shared" ref="E7:E15" ca="1" si="2">COUNTIFS(INDIRECT("'" &amp; $B7 &amp; "'!N:N"), C$4)</f>
        <v>0</v>
      </c>
      <c r="F7" s="67">
        <f t="shared" ref="F7:F15" ca="1" si="3">SUMIFS(INDIRECT("'" &amp; $B7 &amp; "'!I:I"), INDIRECT("'" &amp; $B7 &amp; "'!N:N"), F$4)</f>
        <v>428.8</v>
      </c>
      <c r="G7" s="181">
        <f t="shared" ref="G7:G15" ca="1" si="4">SUMIFS(INDIRECT("'" &amp; $B7 &amp; "'!L:L"), INDIRECT("'" &amp; $B7 &amp; "'!N:N"), F$4)</f>
        <v>4.07</v>
      </c>
      <c r="H7" s="59">
        <f t="shared" ref="H7:H15" ca="1" si="5">COUNTIFS(INDIRECT("'" &amp; $B7 &amp; "'!N:N"), F$4)</f>
        <v>1</v>
      </c>
      <c r="I7" s="57">
        <f t="shared" ref="I7:I15" ca="1" si="6">SUMIFS(INDIRECT("'" &amp; $B7 &amp; "'!I:I"), INDIRECT("'" &amp; $B7 &amp; "'!N:N"), I$4)</f>
        <v>0</v>
      </c>
      <c r="J7" s="181">
        <f t="shared" ref="J7:J15" ca="1" si="7">SUMIFS(INDIRECT("'" &amp; $B7 &amp; "'!L:L"), INDIRECT("'" &amp; $B7 &amp; "'!N:N"), I$4)</f>
        <v>0</v>
      </c>
      <c r="K7" s="58">
        <f t="shared" ref="K7:K15" ca="1" si="8">COUNTIFS(INDIRECT("'" &amp; $B7 &amp; "'!N:N"), I$4)</f>
        <v>0</v>
      </c>
      <c r="L7" s="67">
        <f t="shared" ref="L7:L15" ca="1" si="9">SUMIFS(INDIRECT("'" &amp; $B7 &amp; "'!I:I"), INDIRECT("'" &amp; $B7 &amp; "'!N:N"), L$4)</f>
        <v>625.28</v>
      </c>
      <c r="M7" s="181">
        <f t="shared" ref="M7:M15" ca="1" si="10">SUMIFS(INDIRECT("'" &amp; $B7 &amp; "'!L:L"), INDIRECT("'" &amp; $B7 &amp; "'!N:N"), L$4)</f>
        <v>5.9</v>
      </c>
      <c r="N7" s="59">
        <f t="shared" ref="N7:N15" ca="1" si="11">COUNTIFS(INDIRECT("'" &amp; $B7 &amp; "'!N:N"), L$4)</f>
        <v>2</v>
      </c>
      <c r="O7" s="57">
        <f t="shared" ref="O7:O15" ca="1" si="12">SUMIFS(INDIRECT("'" &amp; $B7 &amp; "'!I:I"), INDIRECT("'" &amp; $B7 &amp; "'!N:N"), O$4)</f>
        <v>0</v>
      </c>
      <c r="P7" s="181">
        <f t="shared" ref="P7:P15" ca="1" si="13">SUMIFS(INDIRECT("'" &amp; $B7 &amp; "'!L:L"), INDIRECT("'" &amp; $B7 &amp; "'!N:N"), O$4)</f>
        <v>0</v>
      </c>
      <c r="Q7" s="58">
        <f t="shared" ref="Q7:Q15" ca="1" si="14">COUNTIFS(INDIRECT("'" &amp; $B7 &amp; "'!N:N"), O$4)</f>
        <v>0</v>
      </c>
      <c r="R7" s="67">
        <f t="shared" ref="R7:R15" ca="1" si="15">SUMIFS(INDIRECT("'" &amp; $B7 &amp; "'!I:I"), INDIRECT("'" &amp; $B7 &amp; "'!N:N"), R$4)</f>
        <v>0</v>
      </c>
      <c r="S7" s="181">
        <f t="shared" ref="S7:S15" ca="1" si="16">SUMIFS(INDIRECT("'" &amp; $B7 &amp; "'!L:L"), INDIRECT("'" &amp; $B7 &amp; "'!N:N"), R$4)</f>
        <v>0</v>
      </c>
      <c r="T7" s="59">
        <f t="shared" ref="T7:T15" ca="1" si="17">COUNTIFS(INDIRECT("'" &amp; $B7 &amp; "'!N:N"), R$4)</f>
        <v>0</v>
      </c>
    </row>
    <row r="8" spans="2:20" x14ac:dyDescent="0.25">
      <c r="B8" s="56" t="s">
        <v>181</v>
      </c>
      <c r="C8" s="57">
        <f t="shared" ca="1" si="0"/>
        <v>0</v>
      </c>
      <c r="D8" s="181">
        <f t="shared" ca="1" si="1"/>
        <v>0</v>
      </c>
      <c r="E8" s="58">
        <f t="shared" ca="1" si="2"/>
        <v>0</v>
      </c>
      <c r="F8" s="67">
        <f t="shared" ca="1" si="3"/>
        <v>0</v>
      </c>
      <c r="G8" s="181">
        <f t="shared" ca="1" si="4"/>
        <v>0</v>
      </c>
      <c r="H8" s="59">
        <f t="shared" ca="1" si="5"/>
        <v>0</v>
      </c>
      <c r="I8" s="57">
        <f t="shared" ca="1" si="6"/>
        <v>0</v>
      </c>
      <c r="J8" s="181">
        <f t="shared" ca="1" si="7"/>
        <v>0</v>
      </c>
      <c r="K8" s="58">
        <f t="shared" ca="1" si="8"/>
        <v>0</v>
      </c>
      <c r="L8" s="67">
        <f t="shared" ca="1" si="9"/>
        <v>0</v>
      </c>
      <c r="M8" s="181">
        <f t="shared" ca="1" si="10"/>
        <v>0</v>
      </c>
      <c r="N8" s="59">
        <f t="shared" ca="1" si="11"/>
        <v>0</v>
      </c>
      <c r="O8" s="57">
        <f t="shared" ca="1" si="12"/>
        <v>0</v>
      </c>
      <c r="P8" s="181">
        <f t="shared" ca="1" si="13"/>
        <v>0</v>
      </c>
      <c r="Q8" s="58">
        <f t="shared" ca="1" si="14"/>
        <v>0</v>
      </c>
      <c r="R8" s="67">
        <f t="shared" ca="1" si="15"/>
        <v>0</v>
      </c>
      <c r="S8" s="181">
        <f t="shared" ca="1" si="16"/>
        <v>0</v>
      </c>
      <c r="T8" s="59">
        <f t="shared" ca="1" si="17"/>
        <v>0</v>
      </c>
    </row>
    <row r="9" spans="2:20" x14ac:dyDescent="0.25">
      <c r="B9" s="56" t="s">
        <v>182</v>
      </c>
      <c r="C9" s="57">
        <f t="shared" ca="1" si="0"/>
        <v>0</v>
      </c>
      <c r="D9" s="181">
        <f t="shared" ca="1" si="1"/>
        <v>0</v>
      </c>
      <c r="E9" s="58">
        <f t="shared" ca="1" si="2"/>
        <v>0</v>
      </c>
      <c r="F9" s="67">
        <f t="shared" ca="1" si="3"/>
        <v>0</v>
      </c>
      <c r="G9" s="181">
        <f t="shared" ca="1" si="4"/>
        <v>0</v>
      </c>
      <c r="H9" s="59">
        <f t="shared" ca="1" si="5"/>
        <v>0</v>
      </c>
      <c r="I9" s="57">
        <f t="shared" ca="1" si="6"/>
        <v>0</v>
      </c>
      <c r="J9" s="181">
        <f t="shared" ca="1" si="7"/>
        <v>0</v>
      </c>
      <c r="K9" s="58">
        <f t="shared" ca="1" si="8"/>
        <v>0</v>
      </c>
      <c r="L9" s="67">
        <f t="shared" ca="1" si="9"/>
        <v>0</v>
      </c>
      <c r="M9" s="181">
        <f t="shared" ca="1" si="10"/>
        <v>0</v>
      </c>
      <c r="N9" s="59">
        <f t="shared" ca="1" si="11"/>
        <v>0</v>
      </c>
      <c r="O9" s="57">
        <f t="shared" ca="1" si="12"/>
        <v>0</v>
      </c>
      <c r="P9" s="181">
        <f t="shared" ca="1" si="13"/>
        <v>0</v>
      </c>
      <c r="Q9" s="58">
        <f t="shared" ca="1" si="14"/>
        <v>0</v>
      </c>
      <c r="R9" s="67">
        <f t="shared" ca="1" si="15"/>
        <v>0</v>
      </c>
      <c r="S9" s="181">
        <f t="shared" ca="1" si="16"/>
        <v>0</v>
      </c>
      <c r="T9" s="59">
        <f t="shared" ca="1" si="17"/>
        <v>0</v>
      </c>
    </row>
    <row r="10" spans="2:20" x14ac:dyDescent="0.25">
      <c r="B10" s="56" t="s">
        <v>183</v>
      </c>
      <c r="C10" s="57">
        <f t="shared" ca="1" si="0"/>
        <v>2246.3999999999996</v>
      </c>
      <c r="D10" s="181">
        <f t="shared" ca="1" si="1"/>
        <v>0</v>
      </c>
      <c r="E10" s="58">
        <f t="shared" ca="1" si="2"/>
        <v>8</v>
      </c>
      <c r="F10" s="67">
        <f t="shared" ca="1" si="3"/>
        <v>1225.575</v>
      </c>
      <c r="G10" s="181">
        <f t="shared" ca="1" si="4"/>
        <v>0</v>
      </c>
      <c r="H10" s="59">
        <f t="shared" ca="1" si="5"/>
        <v>4</v>
      </c>
      <c r="I10" s="57">
        <f t="shared" ca="1" si="6"/>
        <v>703.36</v>
      </c>
      <c r="J10" s="181">
        <f t="shared" ca="1" si="7"/>
        <v>0</v>
      </c>
      <c r="K10" s="58">
        <f t="shared" ca="1" si="8"/>
        <v>5</v>
      </c>
      <c r="L10" s="67">
        <f t="shared" ca="1" si="9"/>
        <v>0</v>
      </c>
      <c r="M10" s="181">
        <f t="shared" ca="1" si="10"/>
        <v>0</v>
      </c>
      <c r="N10" s="59">
        <f t="shared" ca="1" si="11"/>
        <v>0</v>
      </c>
      <c r="O10" s="57">
        <f t="shared" ca="1" si="12"/>
        <v>0</v>
      </c>
      <c r="P10" s="181">
        <f t="shared" ca="1" si="13"/>
        <v>0</v>
      </c>
      <c r="Q10" s="58">
        <f t="shared" ca="1" si="14"/>
        <v>0</v>
      </c>
      <c r="R10" s="67">
        <f t="shared" ca="1" si="15"/>
        <v>378.88</v>
      </c>
      <c r="S10" s="181">
        <f t="shared" ca="1" si="16"/>
        <v>0</v>
      </c>
      <c r="T10" s="59">
        <f t="shared" ca="1" si="17"/>
        <v>1</v>
      </c>
    </row>
    <row r="11" spans="2:20" x14ac:dyDescent="0.25">
      <c r="B11" s="56" t="s">
        <v>184</v>
      </c>
      <c r="C11" s="57">
        <f t="shared" ca="1" si="0"/>
        <v>0</v>
      </c>
      <c r="D11" s="181">
        <f t="shared" ca="1" si="1"/>
        <v>0</v>
      </c>
      <c r="E11" s="58">
        <f t="shared" ca="1" si="2"/>
        <v>0</v>
      </c>
      <c r="F11" s="67">
        <f t="shared" ca="1" si="3"/>
        <v>0</v>
      </c>
      <c r="G11" s="181">
        <f t="shared" ca="1" si="4"/>
        <v>0</v>
      </c>
      <c r="H11" s="59">
        <f t="shared" ca="1" si="5"/>
        <v>0</v>
      </c>
      <c r="I11" s="57">
        <f t="shared" ca="1" si="6"/>
        <v>0</v>
      </c>
      <c r="J11" s="181">
        <f t="shared" ca="1" si="7"/>
        <v>0</v>
      </c>
      <c r="K11" s="58">
        <f t="shared" ca="1" si="8"/>
        <v>0</v>
      </c>
      <c r="L11" s="67">
        <f t="shared" ca="1" si="9"/>
        <v>0</v>
      </c>
      <c r="M11" s="181">
        <f t="shared" ca="1" si="10"/>
        <v>0</v>
      </c>
      <c r="N11" s="59">
        <f t="shared" ca="1" si="11"/>
        <v>0</v>
      </c>
      <c r="O11" s="57">
        <f t="shared" ca="1" si="12"/>
        <v>0</v>
      </c>
      <c r="P11" s="181">
        <f t="shared" ca="1" si="13"/>
        <v>0</v>
      </c>
      <c r="Q11" s="58">
        <f t="shared" ca="1" si="14"/>
        <v>0</v>
      </c>
      <c r="R11" s="67">
        <f t="shared" ca="1" si="15"/>
        <v>0</v>
      </c>
      <c r="S11" s="181">
        <f t="shared" ca="1" si="16"/>
        <v>0</v>
      </c>
      <c r="T11" s="59">
        <f t="shared" ca="1" si="17"/>
        <v>0</v>
      </c>
    </row>
    <row r="12" spans="2:20" x14ac:dyDescent="0.25">
      <c r="B12" s="56" t="s">
        <v>185</v>
      </c>
      <c r="C12" s="57">
        <f t="shared" ca="1" si="0"/>
        <v>0</v>
      </c>
      <c r="D12" s="181">
        <f t="shared" ca="1" si="1"/>
        <v>0</v>
      </c>
      <c r="E12" s="58">
        <f t="shared" ca="1" si="2"/>
        <v>0</v>
      </c>
      <c r="F12" s="67">
        <f t="shared" ca="1" si="3"/>
        <v>0</v>
      </c>
      <c r="G12" s="181">
        <f t="shared" ca="1" si="4"/>
        <v>0</v>
      </c>
      <c r="H12" s="59">
        <f t="shared" ca="1" si="5"/>
        <v>0</v>
      </c>
      <c r="I12" s="57">
        <f t="shared" ca="1" si="6"/>
        <v>0</v>
      </c>
      <c r="J12" s="181">
        <f t="shared" ca="1" si="7"/>
        <v>0</v>
      </c>
      <c r="K12" s="58">
        <f t="shared" ca="1" si="8"/>
        <v>0</v>
      </c>
      <c r="L12" s="67">
        <f t="shared" ca="1" si="9"/>
        <v>0</v>
      </c>
      <c r="M12" s="181">
        <f t="shared" ca="1" si="10"/>
        <v>0</v>
      </c>
      <c r="N12" s="59">
        <f t="shared" ca="1" si="11"/>
        <v>0</v>
      </c>
      <c r="O12" s="57">
        <f t="shared" ca="1" si="12"/>
        <v>0</v>
      </c>
      <c r="P12" s="181">
        <f t="shared" ca="1" si="13"/>
        <v>0</v>
      </c>
      <c r="Q12" s="58">
        <f t="shared" ca="1" si="14"/>
        <v>0</v>
      </c>
      <c r="R12" s="67">
        <f t="shared" ca="1" si="15"/>
        <v>0</v>
      </c>
      <c r="S12" s="181">
        <f t="shared" ca="1" si="16"/>
        <v>0</v>
      </c>
      <c r="T12" s="59">
        <f t="shared" ca="1" si="17"/>
        <v>0</v>
      </c>
    </row>
    <row r="13" spans="2:20" x14ac:dyDescent="0.25">
      <c r="B13" s="56" t="s">
        <v>186</v>
      </c>
      <c r="C13" s="57">
        <f t="shared" ca="1" si="0"/>
        <v>0</v>
      </c>
      <c r="D13" s="181">
        <f t="shared" ca="1" si="1"/>
        <v>0</v>
      </c>
      <c r="E13" s="58">
        <f t="shared" ca="1" si="2"/>
        <v>0</v>
      </c>
      <c r="F13" s="67">
        <f t="shared" ca="1" si="3"/>
        <v>0</v>
      </c>
      <c r="G13" s="181">
        <f t="shared" ca="1" si="4"/>
        <v>0</v>
      </c>
      <c r="H13" s="59">
        <f t="shared" ca="1" si="5"/>
        <v>0</v>
      </c>
      <c r="I13" s="57">
        <f t="shared" ca="1" si="6"/>
        <v>0</v>
      </c>
      <c r="J13" s="181">
        <f t="shared" ca="1" si="7"/>
        <v>0</v>
      </c>
      <c r="K13" s="58">
        <f t="shared" ca="1" si="8"/>
        <v>0</v>
      </c>
      <c r="L13" s="67">
        <f t="shared" ca="1" si="9"/>
        <v>0</v>
      </c>
      <c r="M13" s="181">
        <f t="shared" ca="1" si="10"/>
        <v>0</v>
      </c>
      <c r="N13" s="59">
        <f t="shared" ca="1" si="11"/>
        <v>0</v>
      </c>
      <c r="O13" s="57">
        <f t="shared" ca="1" si="12"/>
        <v>0</v>
      </c>
      <c r="P13" s="181">
        <f t="shared" ca="1" si="13"/>
        <v>0</v>
      </c>
      <c r="Q13" s="58">
        <f t="shared" ca="1" si="14"/>
        <v>0</v>
      </c>
      <c r="R13" s="67">
        <f t="shared" ca="1" si="15"/>
        <v>0</v>
      </c>
      <c r="S13" s="181">
        <f t="shared" ca="1" si="16"/>
        <v>0</v>
      </c>
      <c r="T13" s="59">
        <f t="shared" ca="1" si="17"/>
        <v>0</v>
      </c>
    </row>
    <row r="14" spans="2:20" x14ac:dyDescent="0.25">
      <c r="B14" s="56" t="s">
        <v>187</v>
      </c>
      <c r="C14" s="57">
        <f t="shared" ca="1" si="0"/>
        <v>0</v>
      </c>
      <c r="D14" s="181">
        <f t="shared" ca="1" si="1"/>
        <v>0</v>
      </c>
      <c r="E14" s="58">
        <f t="shared" ca="1" si="2"/>
        <v>0</v>
      </c>
      <c r="F14" s="67">
        <f t="shared" ca="1" si="3"/>
        <v>0</v>
      </c>
      <c r="G14" s="181">
        <f t="shared" ca="1" si="4"/>
        <v>0</v>
      </c>
      <c r="H14" s="59">
        <f t="shared" ca="1" si="5"/>
        <v>0</v>
      </c>
      <c r="I14" s="57">
        <f t="shared" ca="1" si="6"/>
        <v>0</v>
      </c>
      <c r="J14" s="181">
        <f t="shared" ca="1" si="7"/>
        <v>0</v>
      </c>
      <c r="K14" s="58">
        <f t="shared" ca="1" si="8"/>
        <v>0</v>
      </c>
      <c r="L14" s="67">
        <f t="shared" ca="1" si="9"/>
        <v>0</v>
      </c>
      <c r="M14" s="181">
        <f t="shared" ca="1" si="10"/>
        <v>0</v>
      </c>
      <c r="N14" s="59">
        <f t="shared" ca="1" si="11"/>
        <v>0</v>
      </c>
      <c r="O14" s="57">
        <f t="shared" ca="1" si="12"/>
        <v>0</v>
      </c>
      <c r="P14" s="181">
        <f t="shared" ca="1" si="13"/>
        <v>0</v>
      </c>
      <c r="Q14" s="58">
        <f t="shared" ca="1" si="14"/>
        <v>0</v>
      </c>
      <c r="R14" s="67">
        <f t="shared" ca="1" si="15"/>
        <v>0</v>
      </c>
      <c r="S14" s="181">
        <f t="shared" ca="1" si="16"/>
        <v>0</v>
      </c>
      <c r="T14" s="59">
        <f t="shared" ca="1" si="17"/>
        <v>0</v>
      </c>
    </row>
    <row r="15" spans="2:20" ht="14.25" thickBot="1" x14ac:dyDescent="0.3">
      <c r="B15" s="180" t="s">
        <v>188</v>
      </c>
      <c r="C15" s="57">
        <f t="shared" ca="1" si="0"/>
        <v>0</v>
      </c>
      <c r="D15" s="181">
        <f t="shared" ca="1" si="1"/>
        <v>0</v>
      </c>
      <c r="E15" s="58">
        <f t="shared" ca="1" si="2"/>
        <v>0</v>
      </c>
      <c r="F15" s="68">
        <f t="shared" ca="1" si="3"/>
        <v>0</v>
      </c>
      <c r="G15" s="185">
        <f t="shared" ca="1" si="4"/>
        <v>0</v>
      </c>
      <c r="H15" s="60">
        <f t="shared" ca="1" si="5"/>
        <v>0</v>
      </c>
      <c r="I15" s="57">
        <f t="shared" ca="1" si="6"/>
        <v>0</v>
      </c>
      <c r="J15" s="181">
        <f t="shared" ca="1" si="7"/>
        <v>0</v>
      </c>
      <c r="K15" s="58">
        <f t="shared" ca="1" si="8"/>
        <v>0</v>
      </c>
      <c r="L15" s="68">
        <f t="shared" ca="1" si="9"/>
        <v>0</v>
      </c>
      <c r="M15" s="185">
        <f t="shared" ca="1" si="10"/>
        <v>0</v>
      </c>
      <c r="N15" s="60">
        <f t="shared" ca="1" si="11"/>
        <v>0</v>
      </c>
      <c r="O15" s="57">
        <f t="shared" ca="1" si="12"/>
        <v>0</v>
      </c>
      <c r="P15" s="181">
        <f t="shared" ca="1" si="13"/>
        <v>0</v>
      </c>
      <c r="Q15" s="58">
        <f t="shared" ca="1" si="14"/>
        <v>0</v>
      </c>
      <c r="R15" s="68">
        <f t="shared" ca="1" si="15"/>
        <v>0</v>
      </c>
      <c r="S15" s="185">
        <f t="shared" ca="1" si="16"/>
        <v>0</v>
      </c>
      <c r="T15" s="60">
        <f t="shared" ca="1" si="17"/>
        <v>0</v>
      </c>
    </row>
    <row r="16" spans="2:20" ht="14.25" thickBot="1" x14ac:dyDescent="0.3">
      <c r="B16" s="55" t="s">
        <v>3</v>
      </c>
      <c r="C16" s="69">
        <f t="shared" ref="C16:T16" ca="1" si="18">SUM(C6:C15)</f>
        <v>27017.929999999993</v>
      </c>
      <c r="D16" s="182">
        <f t="shared" ca="1" si="18"/>
        <v>224.38480000000004</v>
      </c>
      <c r="E16" s="64">
        <f t="shared" ca="1" si="18"/>
        <v>88</v>
      </c>
      <c r="F16" s="69">
        <f t="shared" ca="1" si="18"/>
        <v>9442.2899999999991</v>
      </c>
      <c r="G16" s="62">
        <f t="shared" ca="1" si="18"/>
        <v>76</v>
      </c>
      <c r="H16" s="64">
        <f t="shared" ca="1" si="18"/>
        <v>52</v>
      </c>
      <c r="I16" s="61">
        <f t="shared" ca="1" si="18"/>
        <v>7933.7849999999989</v>
      </c>
      <c r="J16" s="62">
        <f t="shared" ca="1" si="18"/>
        <v>65.016199999999998</v>
      </c>
      <c r="K16" s="63">
        <f t="shared" ca="1" si="18"/>
        <v>29</v>
      </c>
      <c r="L16" s="69">
        <f t="shared" ca="1" si="18"/>
        <v>13125.170000000002</v>
      </c>
      <c r="M16" s="62">
        <f t="shared" ca="1" si="18"/>
        <v>130.92800000000003</v>
      </c>
      <c r="N16" s="64">
        <f t="shared" ca="1" si="18"/>
        <v>28</v>
      </c>
      <c r="O16" s="61">
        <f t="shared" ca="1" si="18"/>
        <v>0</v>
      </c>
      <c r="P16" s="62">
        <f t="shared" ca="1" si="18"/>
        <v>0</v>
      </c>
      <c r="Q16" s="63">
        <f t="shared" ca="1" si="18"/>
        <v>0</v>
      </c>
      <c r="R16" s="69">
        <f t="shared" ca="1" si="18"/>
        <v>378.88</v>
      </c>
      <c r="S16" s="62">
        <f t="shared" ca="1" si="18"/>
        <v>0</v>
      </c>
      <c r="T16" s="64">
        <f t="shared" ca="1" si="18"/>
        <v>1</v>
      </c>
    </row>
    <row r="17" spans="2:20" ht="14.25" thickBot="1" x14ac:dyDescent="0.3">
      <c r="C17" s="183">
        <f ca="1">(C16/($C$16+$F$16+$I$16+$L$16+$O$16+$R$16+$C$33+$F$33+$I$33+$L$33+$O$33+$R$33))</f>
        <v>0.28316399747732063</v>
      </c>
      <c r="F17" s="183">
        <f ca="1">(F16/($C$16+$F$16+$I$16+$L$16+$O$16+$R$16+$C$33+$F$33+$I$33+$L$33+$O$33+$R$33))</f>
        <v>9.8960822747713478E-2</v>
      </c>
      <c r="I17" s="183">
        <f ca="1">(I16/($C$16+$F$16+$I$16+$L$16+$O$16+$R$16+$C$33+$F$33+$I$33+$L$33+$O$33+$R$33))</f>
        <v>8.3150791926902057E-2</v>
      </c>
      <c r="L17" s="183">
        <f ca="1">(L16/($C$16+$F$16+$I$16+$L$16+$O$16+$R$16+$C$33+$F$33+$I$33+$L$33+$O$33+$R$33))</f>
        <v>0.13755959856174793</v>
      </c>
      <c r="O17" s="183">
        <f ca="1">(O16/($C$16+$F$16+$I$16+$L$16+$O$16+$R$16+$C$33+$F$33+$I$33+$L$33+$O$33+$R$33))</f>
        <v>0</v>
      </c>
      <c r="R17" s="183">
        <f ca="1">(R16/($C$16+$F$16+$I$16+$L$16+$O$16+$R$16+$C$33+$F$33+$I$33+$L$33+$O$33+$R$33))</f>
        <v>3.9708880496843128E-3</v>
      </c>
    </row>
    <row r="20" spans="2:20" ht="14.25" thickBot="1" x14ac:dyDescent="0.3"/>
    <row r="21" spans="2:20" ht="27" thickBot="1" x14ac:dyDescent="0.3">
      <c r="B21" s="404">
        <v>2025</v>
      </c>
      <c r="C21" s="406" t="s">
        <v>53</v>
      </c>
      <c r="D21" s="407"/>
      <c r="E21" s="408"/>
      <c r="F21" s="406" t="s">
        <v>339</v>
      </c>
      <c r="G21" s="407"/>
      <c r="H21" s="408"/>
      <c r="I21" s="406" t="s">
        <v>142</v>
      </c>
      <c r="J21" s="407"/>
      <c r="K21" s="408"/>
      <c r="L21" s="406" t="s">
        <v>189</v>
      </c>
      <c r="M21" s="407"/>
      <c r="N21" s="408"/>
      <c r="O21" s="406" t="s">
        <v>190</v>
      </c>
      <c r="P21" s="407"/>
      <c r="Q21" s="408"/>
      <c r="R21" s="406" t="s">
        <v>55</v>
      </c>
      <c r="S21" s="407"/>
      <c r="T21" s="408"/>
    </row>
    <row r="22" spans="2:20" ht="14.25" thickBot="1" x14ac:dyDescent="0.3">
      <c r="B22" s="405"/>
      <c r="C22" s="52" t="s">
        <v>23</v>
      </c>
      <c r="D22" s="53" t="s">
        <v>35</v>
      </c>
      <c r="E22" s="54" t="s">
        <v>24</v>
      </c>
      <c r="F22" s="52" t="s">
        <v>23</v>
      </c>
      <c r="G22" s="53" t="s">
        <v>35</v>
      </c>
      <c r="H22" s="54" t="s">
        <v>24</v>
      </c>
      <c r="I22" s="52" t="s">
        <v>23</v>
      </c>
      <c r="J22" s="53" t="s">
        <v>35</v>
      </c>
      <c r="K22" s="54" t="s">
        <v>24</v>
      </c>
      <c r="L22" s="52" t="s">
        <v>23</v>
      </c>
      <c r="M22" s="53" t="s">
        <v>35</v>
      </c>
      <c r="N22" s="54" t="s">
        <v>24</v>
      </c>
      <c r="O22" s="52" t="s">
        <v>23</v>
      </c>
      <c r="P22" s="53" t="s">
        <v>35</v>
      </c>
      <c r="Q22" s="54" t="s">
        <v>24</v>
      </c>
      <c r="R22" s="52" t="s">
        <v>23</v>
      </c>
      <c r="S22" s="53" t="s">
        <v>35</v>
      </c>
      <c r="T22" s="54" t="s">
        <v>24</v>
      </c>
    </row>
    <row r="23" spans="2:20" x14ac:dyDescent="0.25">
      <c r="B23" s="179" t="s">
        <v>179</v>
      </c>
      <c r="C23" s="57">
        <f ca="1">SUMIFS(INDIRECT("'" &amp; $B23 &amp; "'!I:I"), INDIRECT("'" &amp; $B23 &amp; "'!N:N"), C$21)</f>
        <v>1973.76</v>
      </c>
      <c r="D23" s="181">
        <f ca="1">SUMIFS(INDIRECT("'" &amp; $B23 &amp; "'!L:L"), INDIRECT("'" &amp; $B23 &amp; "'!N:N"), C$21)</f>
        <v>14.38</v>
      </c>
      <c r="E23" s="58">
        <f ca="1">COUNTIFS(INDIRECT("'" &amp; $B23 &amp; "'!N:N"), C$21)</f>
        <v>3</v>
      </c>
      <c r="F23" s="65">
        <f ca="1">SUMIFS(INDIRECT("'" &amp; $B23 &amp; "'!I:I"), INDIRECT("'" &amp; $B23 &amp; "'!N:N"), F$21)</f>
        <v>1216.6399999999999</v>
      </c>
      <c r="G23" s="184">
        <f ca="1">SUMIFS(INDIRECT("'" &amp; $B23 &amp; "'!L:L"), INDIRECT("'" &amp; $B23 &amp; "'!N:N"), F$21)</f>
        <v>14.673999999999999</v>
      </c>
      <c r="H23" s="66">
        <f ca="1">COUNTIFS(INDIRECT("'" &amp; $B23 &amp; "'!N:N"), F$21)</f>
        <v>6</v>
      </c>
      <c r="I23" s="57">
        <f ca="1">SUMIFS(INDIRECT("'" &amp; $B23 &amp; "'!I:I"), INDIRECT("'" &amp; $B23 &amp; "'!N:N"), I$21)</f>
        <v>0</v>
      </c>
      <c r="J23" s="181">
        <f ca="1">SUMIFS(INDIRECT("'" &amp; $B23 &amp; "'!L:L"), INDIRECT("'" &amp; $B23 &amp; "'!N:N"), I$21)</f>
        <v>0</v>
      </c>
      <c r="K23" s="58">
        <f ca="1">COUNTIFS(INDIRECT("'" &amp; $B23 &amp; "'!N:N"), I$21)</f>
        <v>0</v>
      </c>
      <c r="L23" s="65">
        <f ca="1">SUMIFS(INDIRECT("'" &amp; $B23 &amp; "'!I:I"), INDIRECT("'" &amp; $B23 &amp; "'!N:N"), L$21)</f>
        <v>13861.244999999997</v>
      </c>
      <c r="M23" s="184">
        <f ca="1">SUMIFS(INDIRECT("'" &amp; $B23 &amp; "'!L:L"), INDIRECT("'" &amp; $B23 &amp; "'!N:N"), L$21)</f>
        <v>132.68299999999999</v>
      </c>
      <c r="N23" s="66">
        <f ca="1">COUNTIFS(INDIRECT("'" &amp; $B23 &amp; "'!N:N"), L$21)</f>
        <v>60</v>
      </c>
      <c r="O23" s="65">
        <f ca="1">SUMIFS(INDIRECT("'" &amp; $B23 &amp; "'!I:I"), INDIRECT("'" &amp; $B23 &amp; "'!N:N"), O$21)</f>
        <v>940.52499999999998</v>
      </c>
      <c r="P23" s="184">
        <f ca="1">SUMIFS(INDIRECT("'" &amp; $B23 &amp; "'!L:L"), INDIRECT("'" &amp; $B23 &amp; "'!N:N"), O$21)</f>
        <v>9.5699999999999985</v>
      </c>
      <c r="Q23" s="66">
        <f ca="1">COUNTIFS(INDIRECT("'" &amp; $B23 &amp; "'!N:N"), O$21)</f>
        <v>11</v>
      </c>
      <c r="R23" s="65">
        <f ca="1">SUMIFS(INDIRECT("'" &amp; $B23 &amp; "'!I:I"), INDIRECT("'" &amp; $B23 &amp; "'!N:N"), R$21)</f>
        <v>449.28</v>
      </c>
      <c r="S23" s="184">
        <f ca="1">SUMIFS(INDIRECT("'" &amp; $B23 &amp; "'!L:L"), INDIRECT("'" &amp; $B23 &amp; "'!N:N"), R$21)</f>
        <v>3.7800000000000002</v>
      </c>
      <c r="T23" s="66">
        <f ca="1">COUNTIFS(INDIRECT("'" &amp; $B23 &amp; "'!N:N"), R$21)</f>
        <v>1</v>
      </c>
    </row>
    <row r="24" spans="2:20" x14ac:dyDescent="0.25">
      <c r="B24" s="56" t="s">
        <v>180</v>
      </c>
      <c r="C24" s="57">
        <f t="shared" ref="C24:C32" ca="1" si="19">SUMIFS(INDIRECT("'" &amp; $B24 &amp; "'!I:I"), INDIRECT("'" &amp; $B24 &amp; "'!N:N"), C$21)</f>
        <v>3741.83</v>
      </c>
      <c r="D24" s="181">
        <f t="shared" ref="D24:D32" ca="1" si="20">SUMIFS(INDIRECT("'" &amp; $B24 &amp; "'!L:L"), INDIRECT("'" &amp; $B24 &amp; "'!N:N"), C$21)</f>
        <v>40.370000000000005</v>
      </c>
      <c r="E24" s="58">
        <f t="shared" ref="E24:E32" ca="1" si="21">COUNTIFS(INDIRECT("'" &amp; $B24 &amp; "'!N:N"), C$21)</f>
        <v>3</v>
      </c>
      <c r="F24" s="67">
        <f t="shared" ref="F24:F32" ca="1" si="22">SUMIFS(INDIRECT("'" &amp; $B24 &amp; "'!I:I"), INDIRECT("'" &amp; $B24 &amp; "'!N:N"), F$21)</f>
        <v>0</v>
      </c>
      <c r="G24" s="181">
        <f t="shared" ref="G24:G32" ca="1" si="23">SUMIFS(INDIRECT("'" &amp; $B24 &amp; "'!L:L"), INDIRECT("'" &amp; $B24 &amp; "'!N:N"), F$21)</f>
        <v>0</v>
      </c>
      <c r="H24" s="59">
        <f t="shared" ref="H24:H32" ca="1" si="24">COUNTIFS(INDIRECT("'" &amp; $B24 &amp; "'!N:N"), F$21)</f>
        <v>0</v>
      </c>
      <c r="I24" s="57">
        <f t="shared" ref="I24:I32" ca="1" si="25">SUMIFS(INDIRECT("'" &amp; $B24 &amp; "'!I:I"), INDIRECT("'" &amp; $B24 &amp; "'!N:N"), I$21)</f>
        <v>0</v>
      </c>
      <c r="J24" s="181">
        <f t="shared" ref="J24:J32" ca="1" si="26">SUMIFS(INDIRECT("'" &amp; $B24 &amp; "'!L:L"), INDIRECT("'" &amp; $B24 &amp; "'!N:N"), I$21)</f>
        <v>0</v>
      </c>
      <c r="K24" s="58">
        <f t="shared" ref="K24:K32" ca="1" si="27">COUNTIFS(INDIRECT("'" &amp; $B24 &amp; "'!N:N"), I$21)</f>
        <v>0</v>
      </c>
      <c r="L24" s="67">
        <f t="shared" ref="L24:L32" ca="1" si="28">SUMIFS(INDIRECT("'" &amp; $B24 &amp; "'!I:I"), INDIRECT("'" &amp; $B24 &amp; "'!N:N"), L$21)</f>
        <v>121.6</v>
      </c>
      <c r="M24" s="181">
        <f t="shared" ref="M24:M32" ca="1" si="29">SUMIFS(INDIRECT("'" &amp; $B24 &amp; "'!L:L"), INDIRECT("'" &amp; $B24 &amp; "'!N:N"), L$21)</f>
        <v>1.19</v>
      </c>
      <c r="N24" s="59">
        <f t="shared" ref="N24:N32" ca="1" si="30">COUNTIFS(INDIRECT("'" &amp; $B24 &amp; "'!N:N"), L$21)</f>
        <v>1</v>
      </c>
      <c r="O24" s="67">
        <f t="shared" ref="O24:O32" ca="1" si="31">SUMIFS(INDIRECT("'" &amp; $B24 &amp; "'!I:I"), INDIRECT("'" &amp; $B24 &amp; "'!N:N"), O$21)</f>
        <v>0</v>
      </c>
      <c r="P24" s="181">
        <f t="shared" ref="P24:P32" ca="1" si="32">SUMIFS(INDIRECT("'" &amp; $B24 &amp; "'!L:L"), INDIRECT("'" &amp; $B24 &amp; "'!N:N"), O$21)</f>
        <v>0</v>
      </c>
      <c r="Q24" s="59">
        <f t="shared" ref="Q24:Q32" ca="1" si="33">COUNTIFS(INDIRECT("'" &amp; $B24 &amp; "'!N:N"), O$21)</f>
        <v>0</v>
      </c>
      <c r="R24" s="67">
        <f t="shared" ref="R24:R32" ca="1" si="34">SUMIFS(INDIRECT("'" &amp; $B24 &amp; "'!I:I"), INDIRECT("'" &amp; $B24 &amp; "'!N:N"), R$21)</f>
        <v>633.29999999999995</v>
      </c>
      <c r="S24" s="181">
        <f t="shared" ref="S24:S32" ca="1" si="35">SUMIFS(INDIRECT("'" &amp; $B24 &amp; "'!L:L"), INDIRECT("'" &amp; $B24 &amp; "'!N:N"), R$21)</f>
        <v>8.0609999999999999</v>
      </c>
      <c r="T24" s="59">
        <f t="shared" ref="T24:T32" ca="1" si="36">COUNTIFS(INDIRECT("'" &amp; $B24 &amp; "'!N:N"), R$21)</f>
        <v>2</v>
      </c>
    </row>
    <row r="25" spans="2:20" x14ac:dyDescent="0.25">
      <c r="B25" s="56" t="s">
        <v>181</v>
      </c>
      <c r="C25" s="57">
        <f t="shared" ca="1" si="19"/>
        <v>0</v>
      </c>
      <c r="D25" s="181">
        <f t="shared" ca="1" si="20"/>
        <v>0</v>
      </c>
      <c r="E25" s="58">
        <f t="shared" ca="1" si="21"/>
        <v>0</v>
      </c>
      <c r="F25" s="67">
        <f t="shared" ca="1" si="22"/>
        <v>0</v>
      </c>
      <c r="G25" s="181">
        <f t="shared" ca="1" si="23"/>
        <v>0</v>
      </c>
      <c r="H25" s="59">
        <f t="shared" ca="1" si="24"/>
        <v>0</v>
      </c>
      <c r="I25" s="57">
        <f t="shared" ca="1" si="25"/>
        <v>0</v>
      </c>
      <c r="J25" s="181">
        <f t="shared" ca="1" si="26"/>
        <v>0</v>
      </c>
      <c r="K25" s="58">
        <f t="shared" ca="1" si="27"/>
        <v>0</v>
      </c>
      <c r="L25" s="67">
        <f t="shared" ca="1" si="28"/>
        <v>0</v>
      </c>
      <c r="M25" s="181">
        <f t="shared" ca="1" si="29"/>
        <v>0</v>
      </c>
      <c r="N25" s="59">
        <f t="shared" ca="1" si="30"/>
        <v>0</v>
      </c>
      <c r="O25" s="67">
        <f t="shared" ca="1" si="31"/>
        <v>0</v>
      </c>
      <c r="P25" s="181">
        <f t="shared" ca="1" si="32"/>
        <v>0</v>
      </c>
      <c r="Q25" s="59">
        <f t="shared" ca="1" si="33"/>
        <v>0</v>
      </c>
      <c r="R25" s="67">
        <f t="shared" ca="1" si="34"/>
        <v>5923.915</v>
      </c>
      <c r="S25" s="181">
        <f t="shared" ca="1" si="35"/>
        <v>35.85</v>
      </c>
      <c r="T25" s="59">
        <f t="shared" ca="1" si="36"/>
        <v>2</v>
      </c>
    </row>
    <row r="26" spans="2:20" x14ac:dyDescent="0.25">
      <c r="B26" s="56" t="s">
        <v>182</v>
      </c>
      <c r="C26" s="57">
        <f t="shared" ca="1" si="19"/>
        <v>0</v>
      </c>
      <c r="D26" s="181">
        <f t="shared" ca="1" si="20"/>
        <v>0</v>
      </c>
      <c r="E26" s="58">
        <f t="shared" ca="1" si="21"/>
        <v>0</v>
      </c>
      <c r="F26" s="67">
        <f t="shared" ca="1" si="22"/>
        <v>0</v>
      </c>
      <c r="G26" s="181">
        <f t="shared" ca="1" si="23"/>
        <v>0</v>
      </c>
      <c r="H26" s="59">
        <f t="shared" ca="1" si="24"/>
        <v>0</v>
      </c>
      <c r="I26" s="57">
        <f t="shared" ca="1" si="25"/>
        <v>0</v>
      </c>
      <c r="J26" s="181">
        <f t="shared" ca="1" si="26"/>
        <v>0</v>
      </c>
      <c r="K26" s="58">
        <f t="shared" ca="1" si="27"/>
        <v>0</v>
      </c>
      <c r="L26" s="67">
        <f t="shared" ca="1" si="28"/>
        <v>0</v>
      </c>
      <c r="M26" s="181">
        <f t="shared" ca="1" si="29"/>
        <v>0</v>
      </c>
      <c r="N26" s="59">
        <f t="shared" ca="1" si="30"/>
        <v>0</v>
      </c>
      <c r="O26" s="67">
        <f t="shared" ca="1" si="31"/>
        <v>0</v>
      </c>
      <c r="P26" s="181">
        <f t="shared" ca="1" si="32"/>
        <v>0</v>
      </c>
      <c r="Q26" s="59">
        <f t="shared" ca="1" si="33"/>
        <v>0</v>
      </c>
      <c r="R26" s="67">
        <f t="shared" ca="1" si="34"/>
        <v>0</v>
      </c>
      <c r="S26" s="181">
        <f t="shared" ca="1" si="35"/>
        <v>0</v>
      </c>
      <c r="T26" s="59">
        <f t="shared" ca="1" si="36"/>
        <v>0</v>
      </c>
    </row>
    <row r="27" spans="2:20" x14ac:dyDescent="0.25">
      <c r="B27" s="56" t="s">
        <v>183</v>
      </c>
      <c r="C27" s="57">
        <f t="shared" ca="1" si="19"/>
        <v>0</v>
      </c>
      <c r="D27" s="181">
        <f t="shared" ca="1" si="20"/>
        <v>0</v>
      </c>
      <c r="E27" s="58">
        <f t="shared" ca="1" si="21"/>
        <v>0</v>
      </c>
      <c r="F27" s="67">
        <f t="shared" ca="1" si="22"/>
        <v>0</v>
      </c>
      <c r="G27" s="181">
        <f t="shared" ca="1" si="23"/>
        <v>0</v>
      </c>
      <c r="H27" s="59">
        <f t="shared" ca="1" si="24"/>
        <v>0</v>
      </c>
      <c r="I27" s="57">
        <f t="shared" ca="1" si="25"/>
        <v>0</v>
      </c>
      <c r="J27" s="181">
        <f t="shared" ca="1" si="26"/>
        <v>0</v>
      </c>
      <c r="K27" s="58">
        <f t="shared" ca="1" si="27"/>
        <v>0</v>
      </c>
      <c r="L27" s="67">
        <f t="shared" ca="1" si="28"/>
        <v>3303.7750000000005</v>
      </c>
      <c r="M27" s="181">
        <f t="shared" ca="1" si="29"/>
        <v>0</v>
      </c>
      <c r="N27" s="59">
        <f t="shared" ca="1" si="30"/>
        <v>17</v>
      </c>
      <c r="O27" s="67">
        <f t="shared" ca="1" si="31"/>
        <v>0</v>
      </c>
      <c r="P27" s="181">
        <f t="shared" ca="1" si="32"/>
        <v>0</v>
      </c>
      <c r="Q27" s="59">
        <f t="shared" ca="1" si="33"/>
        <v>0</v>
      </c>
      <c r="R27" s="67">
        <f t="shared" ca="1" si="34"/>
        <v>0</v>
      </c>
      <c r="S27" s="181">
        <f t="shared" ca="1" si="35"/>
        <v>0</v>
      </c>
      <c r="T27" s="59">
        <f t="shared" ca="1" si="36"/>
        <v>0</v>
      </c>
    </row>
    <row r="28" spans="2:20" x14ac:dyDescent="0.25">
      <c r="B28" s="56" t="s">
        <v>184</v>
      </c>
      <c r="C28" s="57">
        <f t="shared" ca="1" si="19"/>
        <v>0</v>
      </c>
      <c r="D28" s="181">
        <f t="shared" ca="1" si="20"/>
        <v>0</v>
      </c>
      <c r="E28" s="58">
        <f t="shared" ca="1" si="21"/>
        <v>0</v>
      </c>
      <c r="F28" s="67">
        <f t="shared" ca="1" si="22"/>
        <v>0</v>
      </c>
      <c r="G28" s="181">
        <f t="shared" ca="1" si="23"/>
        <v>0</v>
      </c>
      <c r="H28" s="59">
        <f t="shared" ca="1" si="24"/>
        <v>0</v>
      </c>
      <c r="I28" s="57">
        <f t="shared" ca="1" si="25"/>
        <v>0</v>
      </c>
      <c r="J28" s="181">
        <f t="shared" ca="1" si="26"/>
        <v>0</v>
      </c>
      <c r="K28" s="58">
        <f t="shared" ca="1" si="27"/>
        <v>0</v>
      </c>
      <c r="L28" s="67">
        <f t="shared" ca="1" si="28"/>
        <v>0</v>
      </c>
      <c r="M28" s="181">
        <f t="shared" ca="1" si="29"/>
        <v>0</v>
      </c>
      <c r="N28" s="59">
        <f t="shared" ca="1" si="30"/>
        <v>0</v>
      </c>
      <c r="O28" s="67">
        <f t="shared" ca="1" si="31"/>
        <v>0</v>
      </c>
      <c r="P28" s="181">
        <f t="shared" ca="1" si="32"/>
        <v>0</v>
      </c>
      <c r="Q28" s="59">
        <f t="shared" ca="1" si="33"/>
        <v>0</v>
      </c>
      <c r="R28" s="67">
        <f t="shared" ca="1" si="34"/>
        <v>5281.5</v>
      </c>
      <c r="S28" s="181">
        <f t="shared" ca="1" si="35"/>
        <v>64.914140270000004</v>
      </c>
      <c r="T28" s="59">
        <f t="shared" ca="1" si="36"/>
        <v>5</v>
      </c>
    </row>
    <row r="29" spans="2:20" x14ac:dyDescent="0.25">
      <c r="B29" s="56" t="s">
        <v>185</v>
      </c>
      <c r="C29" s="57">
        <f t="shared" ca="1" si="19"/>
        <v>0</v>
      </c>
      <c r="D29" s="181">
        <f t="shared" ca="1" si="20"/>
        <v>0</v>
      </c>
      <c r="E29" s="58">
        <f t="shared" ca="1" si="21"/>
        <v>0</v>
      </c>
      <c r="F29" s="67">
        <f t="shared" ca="1" si="22"/>
        <v>0</v>
      </c>
      <c r="G29" s="181">
        <f t="shared" ca="1" si="23"/>
        <v>0</v>
      </c>
      <c r="H29" s="59">
        <f t="shared" ca="1" si="24"/>
        <v>0</v>
      </c>
      <c r="I29" s="57">
        <f t="shared" ca="1" si="25"/>
        <v>0</v>
      </c>
      <c r="J29" s="181">
        <f t="shared" ca="1" si="26"/>
        <v>0</v>
      </c>
      <c r="K29" s="58">
        <f t="shared" ca="1" si="27"/>
        <v>0</v>
      </c>
      <c r="L29" s="67">
        <f t="shared" ca="1" si="28"/>
        <v>0</v>
      </c>
      <c r="M29" s="181">
        <f t="shared" ca="1" si="29"/>
        <v>0</v>
      </c>
      <c r="N29" s="59">
        <f t="shared" ca="1" si="30"/>
        <v>0</v>
      </c>
      <c r="O29" s="67">
        <f t="shared" ca="1" si="31"/>
        <v>0</v>
      </c>
      <c r="P29" s="181">
        <f t="shared" ca="1" si="32"/>
        <v>0</v>
      </c>
      <c r="Q29" s="59">
        <f t="shared" ca="1" si="33"/>
        <v>0</v>
      </c>
      <c r="R29" s="67">
        <f t="shared" ca="1" si="34"/>
        <v>0</v>
      </c>
      <c r="S29" s="181">
        <f t="shared" ca="1" si="35"/>
        <v>0</v>
      </c>
      <c r="T29" s="59">
        <f t="shared" ca="1" si="36"/>
        <v>0</v>
      </c>
    </row>
    <row r="30" spans="2:20" x14ac:dyDescent="0.25">
      <c r="B30" s="56" t="s">
        <v>186</v>
      </c>
      <c r="C30" s="57">
        <f t="shared" ca="1" si="19"/>
        <v>0</v>
      </c>
      <c r="D30" s="181">
        <f t="shared" ca="1" si="20"/>
        <v>0</v>
      </c>
      <c r="E30" s="58">
        <f t="shared" ca="1" si="21"/>
        <v>0</v>
      </c>
      <c r="F30" s="67">
        <f t="shared" ca="1" si="22"/>
        <v>0</v>
      </c>
      <c r="G30" s="181">
        <f t="shared" ca="1" si="23"/>
        <v>0</v>
      </c>
      <c r="H30" s="59">
        <f t="shared" ca="1" si="24"/>
        <v>0</v>
      </c>
      <c r="I30" s="57">
        <f t="shared" ca="1" si="25"/>
        <v>0</v>
      </c>
      <c r="J30" s="181">
        <f t="shared" ca="1" si="26"/>
        <v>0</v>
      </c>
      <c r="K30" s="58">
        <f t="shared" ca="1" si="27"/>
        <v>0</v>
      </c>
      <c r="L30" s="67">
        <f t="shared" ca="1" si="28"/>
        <v>69</v>
      </c>
      <c r="M30" s="181">
        <f t="shared" ca="1" si="29"/>
        <v>1.0620909090909092</v>
      </c>
      <c r="N30" s="59">
        <f t="shared" ca="1" si="30"/>
        <v>1</v>
      </c>
      <c r="O30" s="67">
        <f t="shared" ca="1" si="31"/>
        <v>0</v>
      </c>
      <c r="P30" s="181">
        <f t="shared" ca="1" si="32"/>
        <v>0</v>
      </c>
      <c r="Q30" s="59">
        <f t="shared" ca="1" si="33"/>
        <v>0</v>
      </c>
      <c r="R30" s="67">
        <f t="shared" ca="1" si="34"/>
        <v>0</v>
      </c>
      <c r="S30" s="181">
        <f t="shared" ca="1" si="35"/>
        <v>0</v>
      </c>
      <c r="T30" s="59">
        <f t="shared" ca="1" si="36"/>
        <v>0</v>
      </c>
    </row>
    <row r="31" spans="2:20" x14ac:dyDescent="0.25">
      <c r="B31" s="56" t="s">
        <v>187</v>
      </c>
      <c r="C31" s="57">
        <f t="shared" ca="1" si="19"/>
        <v>0</v>
      </c>
      <c r="D31" s="181">
        <f t="shared" ca="1" si="20"/>
        <v>0</v>
      </c>
      <c r="E31" s="58">
        <f t="shared" ca="1" si="21"/>
        <v>0</v>
      </c>
      <c r="F31" s="67">
        <f t="shared" ca="1" si="22"/>
        <v>0</v>
      </c>
      <c r="G31" s="181">
        <f t="shared" ca="1" si="23"/>
        <v>0</v>
      </c>
      <c r="H31" s="59">
        <f t="shared" ca="1" si="24"/>
        <v>0</v>
      </c>
      <c r="I31" s="57">
        <f t="shared" ca="1" si="25"/>
        <v>0</v>
      </c>
      <c r="J31" s="181">
        <f t="shared" ca="1" si="26"/>
        <v>0</v>
      </c>
      <c r="K31" s="58">
        <f t="shared" ca="1" si="27"/>
        <v>0</v>
      </c>
      <c r="L31" s="67">
        <f t="shared" ca="1" si="28"/>
        <v>0</v>
      </c>
      <c r="M31" s="181">
        <f t="shared" ca="1" si="29"/>
        <v>0</v>
      </c>
      <c r="N31" s="59">
        <f t="shared" ca="1" si="30"/>
        <v>0</v>
      </c>
      <c r="O31" s="67">
        <f t="shared" ca="1" si="31"/>
        <v>0</v>
      </c>
      <c r="P31" s="181">
        <f t="shared" ca="1" si="32"/>
        <v>0</v>
      </c>
      <c r="Q31" s="59">
        <f t="shared" ca="1" si="33"/>
        <v>0</v>
      </c>
      <c r="R31" s="67">
        <f t="shared" ca="1" si="34"/>
        <v>0</v>
      </c>
      <c r="S31" s="181">
        <f t="shared" ca="1" si="35"/>
        <v>0</v>
      </c>
      <c r="T31" s="59">
        <f t="shared" ca="1" si="36"/>
        <v>0</v>
      </c>
    </row>
    <row r="32" spans="2:20" ht="14.25" thickBot="1" x14ac:dyDescent="0.3">
      <c r="B32" s="180" t="s">
        <v>188</v>
      </c>
      <c r="C32" s="57">
        <f t="shared" ca="1" si="19"/>
        <v>0</v>
      </c>
      <c r="D32" s="181">
        <f t="shared" ca="1" si="20"/>
        <v>0</v>
      </c>
      <c r="E32" s="58">
        <f t="shared" ca="1" si="21"/>
        <v>0</v>
      </c>
      <c r="F32" s="68">
        <f t="shared" ca="1" si="22"/>
        <v>0</v>
      </c>
      <c r="G32" s="185">
        <f t="shared" ca="1" si="23"/>
        <v>0</v>
      </c>
      <c r="H32" s="60">
        <f t="shared" ca="1" si="24"/>
        <v>0</v>
      </c>
      <c r="I32" s="57">
        <f t="shared" ca="1" si="25"/>
        <v>0</v>
      </c>
      <c r="J32" s="181">
        <f t="shared" ca="1" si="26"/>
        <v>0</v>
      </c>
      <c r="K32" s="58">
        <f t="shared" ca="1" si="27"/>
        <v>0</v>
      </c>
      <c r="L32" s="68">
        <f t="shared" ca="1" si="28"/>
        <v>0</v>
      </c>
      <c r="M32" s="185">
        <f t="shared" ca="1" si="29"/>
        <v>0</v>
      </c>
      <c r="N32" s="60">
        <f t="shared" ca="1" si="30"/>
        <v>0</v>
      </c>
      <c r="O32" s="68">
        <f t="shared" ca="1" si="31"/>
        <v>0</v>
      </c>
      <c r="P32" s="185">
        <f t="shared" ca="1" si="32"/>
        <v>0</v>
      </c>
      <c r="Q32" s="60">
        <f t="shared" ca="1" si="33"/>
        <v>0</v>
      </c>
      <c r="R32" s="68">
        <f t="shared" ca="1" si="34"/>
        <v>0</v>
      </c>
      <c r="S32" s="185">
        <f t="shared" ca="1" si="35"/>
        <v>0</v>
      </c>
      <c r="T32" s="60">
        <f t="shared" ca="1" si="36"/>
        <v>0</v>
      </c>
    </row>
    <row r="33" spans="2:20" ht="14.25" thickBot="1" x14ac:dyDescent="0.3">
      <c r="B33" s="55" t="s">
        <v>3</v>
      </c>
      <c r="C33" s="69">
        <f t="shared" ref="C33:T33" ca="1" si="37">SUM(C23:C32)</f>
        <v>5715.59</v>
      </c>
      <c r="D33" s="182">
        <f t="shared" ca="1" si="37"/>
        <v>54.750000000000007</v>
      </c>
      <c r="E33" s="64">
        <f t="shared" ca="1" si="37"/>
        <v>6</v>
      </c>
      <c r="F33" s="69">
        <f t="shared" ca="1" si="37"/>
        <v>1216.6399999999999</v>
      </c>
      <c r="G33" s="182">
        <f t="shared" ca="1" si="37"/>
        <v>14.673999999999999</v>
      </c>
      <c r="H33" s="64">
        <f t="shared" ca="1" si="37"/>
        <v>6</v>
      </c>
      <c r="I33" s="69">
        <f t="shared" ca="1" si="37"/>
        <v>0</v>
      </c>
      <c r="J33" s="182">
        <f t="shared" ca="1" si="37"/>
        <v>0</v>
      </c>
      <c r="K33" s="64">
        <f t="shared" ca="1" si="37"/>
        <v>0</v>
      </c>
      <c r="L33" s="69">
        <f t="shared" ca="1" si="37"/>
        <v>17355.62</v>
      </c>
      <c r="M33" s="182">
        <f t="shared" ca="1" si="37"/>
        <v>134.93509090909089</v>
      </c>
      <c r="N33" s="64">
        <f t="shared" ca="1" si="37"/>
        <v>79</v>
      </c>
      <c r="O33" s="69">
        <f t="shared" ca="1" si="37"/>
        <v>940.52499999999998</v>
      </c>
      <c r="P33" s="182">
        <f t="shared" ca="1" si="37"/>
        <v>9.5699999999999985</v>
      </c>
      <c r="Q33" s="64">
        <f t="shared" ca="1" si="37"/>
        <v>11</v>
      </c>
      <c r="R33" s="69">
        <f t="shared" ca="1" si="37"/>
        <v>12287.994999999999</v>
      </c>
      <c r="S33" s="182">
        <f t="shared" ca="1" si="37"/>
        <v>112.60514027000001</v>
      </c>
      <c r="T33" s="64">
        <f t="shared" ca="1" si="37"/>
        <v>10</v>
      </c>
    </row>
    <row r="34" spans="2:20" ht="14.25" thickBot="1" x14ac:dyDescent="0.3">
      <c r="C34" s="183">
        <f ca="1">(C33/($C$16+$F$16+$I$16+$L$16+$O$16+$R$16+$C$33+$F$33+$I$33+$L$33+$O$33+$R$33))</f>
        <v>5.9902787235787479E-2</v>
      </c>
      <c r="F34" s="183">
        <f ca="1">(F33/($C$16+$F$16+$I$16+$L$16+$O$16+$R$16+$C$33+$F$33+$I$33+$L$33+$O$33+$R$33))</f>
        <v>1.2751111794678846E-2</v>
      </c>
      <c r="I34" s="183">
        <f ca="1">(I33/($C$16+$F$16+$I$16+$L$16+$O$16+$R$16+$C$33+$F$33+$I$33+$L$33+$O$33+$R$33))</f>
        <v>0</v>
      </c>
      <c r="L34" s="183">
        <f ca="1">(L33/($C$16+$F$16+$I$16+$L$16+$O$16+$R$16+$C$33+$F$33+$I$33+$L$33+$O$33+$R$33))</f>
        <v>0.18189723409222455</v>
      </c>
      <c r="O34" s="183">
        <f ca="1">(O33/($C$16+$F$16+$I$16+$L$16+$O$16+$R$16+$C$33+$F$33+$I$33+$L$33+$O$33+$R$33))</f>
        <v>9.8572621487788697E-3</v>
      </c>
      <c r="R34" s="183">
        <f ca="1">(R33/($C$16+$F$16+$I$16+$L$16+$O$16+$R$16+$C$33+$F$33+$I$33+$L$33+$O$33+$R$33))</f>
        <v>0.128785505965162</v>
      </c>
    </row>
    <row r="35" spans="2:20" ht="14.25" thickBot="1" x14ac:dyDescent="0.3"/>
    <row r="36" spans="2:20" ht="21" thickBot="1" x14ac:dyDescent="0.3">
      <c r="C36" s="186" t="s">
        <v>199</v>
      </c>
    </row>
    <row r="37" spans="2:20" ht="21" thickBot="1" x14ac:dyDescent="0.3">
      <c r="C37" s="187">
        <f ca="1">C17+F17+I17+L17+O17+R17+C34+F34+I34+L34+O34+R34</f>
        <v>1</v>
      </c>
    </row>
    <row r="38" spans="2:20" x14ac:dyDescent="0.25">
      <c r="G38" t="s">
        <v>1821</v>
      </c>
    </row>
  </sheetData>
  <mergeCells count="14">
    <mergeCell ref="B4:B5"/>
    <mergeCell ref="R4:T4"/>
    <mergeCell ref="C4:E4"/>
    <mergeCell ref="B21:B22"/>
    <mergeCell ref="R21:T21"/>
    <mergeCell ref="F4:H4"/>
    <mergeCell ref="I4:K4"/>
    <mergeCell ref="L4:N4"/>
    <mergeCell ref="O4:Q4"/>
    <mergeCell ref="C21:E21"/>
    <mergeCell ref="F21:H21"/>
    <mergeCell ref="I21:K21"/>
    <mergeCell ref="L21:N21"/>
    <mergeCell ref="O21:Q21"/>
  </mergeCells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C116"/>
  <sheetViews>
    <sheetView view="pageBreakPreview" topLeftCell="CJ1" zoomScale="40" zoomScaleNormal="40" zoomScaleSheetLayoutView="40" workbookViewId="0">
      <selection activeCell="DH30" sqref="DH30"/>
    </sheetView>
  </sheetViews>
  <sheetFormatPr defaultRowHeight="13.5" x14ac:dyDescent="0.25"/>
  <cols>
    <col min="2" max="8" width="30.7109375" customWidth="1"/>
    <col min="11" max="17" width="30.7109375" customWidth="1"/>
    <col min="20" max="26" width="30.7109375" customWidth="1"/>
    <col min="29" max="35" width="30.7109375" customWidth="1"/>
    <col min="38" max="44" width="30.7109375" customWidth="1"/>
    <col min="47" max="53" width="30.7109375" customWidth="1"/>
    <col min="56" max="62" width="30.7109375" customWidth="1"/>
    <col min="65" max="71" width="30.7109375" customWidth="1"/>
    <col min="74" max="80" width="30.7109375" customWidth="1"/>
    <col min="83" max="89" width="30.7109375" customWidth="1"/>
    <col min="92" max="98" width="30.7109375" customWidth="1"/>
    <col min="101" max="107" width="30.7109375" customWidth="1"/>
  </cols>
  <sheetData>
    <row r="1" spans="1:107" ht="24" customHeight="1" x14ac:dyDescent="0.25">
      <c r="B1" s="49"/>
      <c r="K1" s="49"/>
      <c r="T1" s="49"/>
      <c r="AC1" s="49"/>
      <c r="AL1" s="49"/>
      <c r="AU1" s="49"/>
      <c r="BD1" s="49"/>
      <c r="BM1" s="49"/>
      <c r="BV1" s="49"/>
      <c r="CE1" s="49"/>
      <c r="CN1" s="49"/>
      <c r="CW1" s="49"/>
    </row>
    <row r="2" spans="1:107" ht="41.25" customHeight="1" x14ac:dyDescent="0.25">
      <c r="A2" s="89"/>
      <c r="B2" s="409" t="s">
        <v>89</v>
      </c>
      <c r="C2" s="409"/>
      <c r="D2" s="409"/>
      <c r="E2" s="409"/>
      <c r="F2" s="409"/>
      <c r="G2" s="409"/>
      <c r="H2" s="409"/>
      <c r="K2" s="409" t="s">
        <v>89</v>
      </c>
      <c r="L2" s="409"/>
      <c r="M2" s="409"/>
      <c r="N2" s="409"/>
      <c r="O2" s="409"/>
      <c r="P2" s="409"/>
      <c r="Q2" s="409"/>
      <c r="T2" s="409" t="s">
        <v>89</v>
      </c>
      <c r="U2" s="409"/>
      <c r="V2" s="409"/>
      <c r="W2" s="409"/>
      <c r="X2" s="409"/>
      <c r="Y2" s="409"/>
      <c r="Z2" s="409"/>
      <c r="AC2" s="409" t="s">
        <v>89</v>
      </c>
      <c r="AD2" s="409"/>
      <c r="AE2" s="409"/>
      <c r="AF2" s="409"/>
      <c r="AG2" s="409"/>
      <c r="AH2" s="409"/>
      <c r="AI2" s="409"/>
      <c r="AM2" s="47"/>
      <c r="AN2" s="47" t="s">
        <v>89</v>
      </c>
      <c r="AP2" s="47"/>
      <c r="AQ2" s="47"/>
      <c r="AR2" s="47"/>
      <c r="AU2" s="409" t="s">
        <v>89</v>
      </c>
      <c r="AV2" s="409"/>
      <c r="AW2" s="409"/>
      <c r="AX2" s="409"/>
      <c r="AY2" s="409"/>
      <c r="AZ2" s="409"/>
      <c r="BA2" s="409"/>
      <c r="BD2" s="409" t="s">
        <v>89</v>
      </c>
      <c r="BE2" s="409"/>
      <c r="BF2" s="409"/>
      <c r="BG2" s="409"/>
      <c r="BH2" s="409"/>
      <c r="BI2" s="409"/>
      <c r="BJ2" s="409"/>
      <c r="BM2" s="409" t="s">
        <v>89</v>
      </c>
      <c r="BN2" s="409"/>
      <c r="BO2" s="409"/>
      <c r="BP2" s="409"/>
      <c r="BQ2" s="409"/>
      <c r="BR2" s="409"/>
      <c r="BS2" s="409"/>
      <c r="BV2" s="409" t="s">
        <v>89</v>
      </c>
      <c r="BW2" s="409"/>
      <c r="BX2" s="409"/>
      <c r="BY2" s="409"/>
      <c r="BZ2" s="409"/>
      <c r="CA2" s="409"/>
      <c r="CB2" s="409"/>
      <c r="CE2" s="409" t="s">
        <v>89</v>
      </c>
      <c r="CF2" s="409"/>
      <c r="CG2" s="409"/>
      <c r="CH2" s="409"/>
      <c r="CI2" s="409"/>
      <c r="CJ2" s="409"/>
      <c r="CK2" s="409"/>
      <c r="CN2" s="409" t="s">
        <v>89</v>
      </c>
      <c r="CO2" s="409"/>
      <c r="CP2" s="409"/>
      <c r="CQ2" s="409"/>
      <c r="CR2" s="409"/>
      <c r="CS2" s="409"/>
      <c r="CT2" s="409"/>
      <c r="CW2" s="409" t="s">
        <v>89</v>
      </c>
      <c r="CX2" s="409"/>
      <c r="CY2" s="409"/>
      <c r="CZ2" s="409"/>
      <c r="DA2" s="409"/>
      <c r="DB2" s="409"/>
      <c r="DC2" s="409"/>
    </row>
    <row r="3" spans="1:107" s="43" customFormat="1" ht="39" thickBot="1" x14ac:dyDescent="0.3">
      <c r="B3" s="46" t="s">
        <v>33</v>
      </c>
      <c r="C3" s="46"/>
      <c r="D3" s="46"/>
      <c r="E3" s="46"/>
      <c r="F3" s="46"/>
      <c r="G3" s="46"/>
      <c r="H3" s="46"/>
      <c r="K3" s="46" t="s">
        <v>166</v>
      </c>
      <c r="L3" s="46"/>
      <c r="M3" s="46"/>
      <c r="N3" s="46"/>
      <c r="O3" s="46"/>
      <c r="P3" s="46"/>
      <c r="Q3" s="46"/>
      <c r="T3" s="46" t="s">
        <v>167</v>
      </c>
      <c r="U3" s="46"/>
      <c r="V3" s="46"/>
      <c r="W3" s="46"/>
      <c r="X3" s="46"/>
      <c r="Y3" s="46"/>
      <c r="Z3" s="46"/>
      <c r="AC3" s="46" t="s">
        <v>168</v>
      </c>
      <c r="AD3" s="46"/>
      <c r="AE3" s="46"/>
      <c r="AF3" s="46"/>
      <c r="AG3" s="46"/>
      <c r="AH3" s="46"/>
      <c r="AI3" s="46"/>
      <c r="AL3" s="46" t="s">
        <v>169</v>
      </c>
      <c r="AM3" s="46"/>
      <c r="AN3" s="46"/>
      <c r="AO3" s="46"/>
      <c r="AP3" s="46"/>
      <c r="AQ3" s="46"/>
      <c r="AR3" s="46"/>
      <c r="AU3" s="46" t="s">
        <v>170</v>
      </c>
      <c r="AV3" s="46"/>
      <c r="AW3" s="46"/>
      <c r="AX3" s="46"/>
      <c r="AY3" s="46"/>
      <c r="AZ3" s="46"/>
      <c r="BA3" s="46"/>
      <c r="BD3" s="46" t="s">
        <v>171</v>
      </c>
      <c r="BE3" s="46"/>
      <c r="BF3" s="46"/>
      <c r="BG3" s="46"/>
      <c r="BH3" s="46"/>
      <c r="BI3" s="46"/>
      <c r="BJ3" s="46"/>
      <c r="BM3" s="46" t="s">
        <v>172</v>
      </c>
      <c r="BN3" s="46"/>
      <c r="BO3" s="46"/>
      <c r="BP3" s="46"/>
      <c r="BQ3" s="46"/>
      <c r="BR3" s="46"/>
      <c r="BS3" s="46"/>
      <c r="BV3" s="46" t="s">
        <v>173</v>
      </c>
      <c r="BW3" s="46"/>
      <c r="BX3" s="46"/>
      <c r="BY3" s="46"/>
      <c r="BZ3" s="46"/>
      <c r="CA3" s="46"/>
      <c r="CB3" s="46"/>
      <c r="CE3" s="46" t="s">
        <v>174</v>
      </c>
      <c r="CF3" s="46"/>
      <c r="CG3" s="46"/>
      <c r="CH3" s="46"/>
      <c r="CI3" s="46"/>
      <c r="CJ3" s="46"/>
      <c r="CK3" s="46"/>
      <c r="CN3" s="46" t="s">
        <v>175</v>
      </c>
      <c r="CO3" s="46"/>
      <c r="CP3" s="46"/>
      <c r="CQ3" s="46"/>
      <c r="CR3" s="46"/>
      <c r="CS3" s="46"/>
      <c r="CT3" s="46"/>
      <c r="CW3" s="46" t="s">
        <v>176</v>
      </c>
      <c r="CX3" s="46"/>
      <c r="CY3" s="46"/>
      <c r="CZ3" s="46"/>
      <c r="DA3" s="46"/>
      <c r="DB3" s="46"/>
      <c r="DC3" s="46"/>
    </row>
    <row r="4" spans="1:107" s="43" customFormat="1" ht="32.25" thickBot="1" x14ac:dyDescent="0.3">
      <c r="B4" s="300"/>
      <c r="C4" s="301" t="s">
        <v>56</v>
      </c>
      <c r="D4" s="302" t="s">
        <v>58</v>
      </c>
      <c r="E4" s="303" t="s">
        <v>57</v>
      </c>
      <c r="F4" s="358" t="s">
        <v>51</v>
      </c>
      <c r="G4" s="359" t="s">
        <v>1941</v>
      </c>
      <c r="H4" s="360" t="s">
        <v>52</v>
      </c>
      <c r="K4" s="300"/>
      <c r="L4" s="301" t="s">
        <v>56</v>
      </c>
      <c r="M4" s="302" t="s">
        <v>58</v>
      </c>
      <c r="N4" s="303" t="s">
        <v>57</v>
      </c>
      <c r="O4" s="358" t="s">
        <v>51</v>
      </c>
      <c r="P4" s="359" t="s">
        <v>1941</v>
      </c>
      <c r="Q4" s="360" t="s">
        <v>52</v>
      </c>
      <c r="T4" s="300"/>
      <c r="U4" s="301" t="s">
        <v>56</v>
      </c>
      <c r="V4" s="302" t="s">
        <v>58</v>
      </c>
      <c r="W4" s="303" t="s">
        <v>57</v>
      </c>
      <c r="X4" s="358" t="s">
        <v>51</v>
      </c>
      <c r="Y4" s="359" t="s">
        <v>1941</v>
      </c>
      <c r="Z4" s="360" t="s">
        <v>52</v>
      </c>
      <c r="AC4" s="300"/>
      <c r="AD4" s="301" t="s">
        <v>56</v>
      </c>
      <c r="AE4" s="302" t="s">
        <v>58</v>
      </c>
      <c r="AF4" s="303" t="s">
        <v>57</v>
      </c>
      <c r="AG4" s="358" t="s">
        <v>51</v>
      </c>
      <c r="AH4" s="359" t="s">
        <v>1941</v>
      </c>
      <c r="AI4" s="360" t="s">
        <v>52</v>
      </c>
      <c r="AL4" s="300"/>
      <c r="AM4" s="301" t="s">
        <v>56</v>
      </c>
      <c r="AN4" s="302" t="s">
        <v>58</v>
      </c>
      <c r="AO4" s="303" t="s">
        <v>57</v>
      </c>
      <c r="AP4" s="358" t="s">
        <v>51</v>
      </c>
      <c r="AQ4" s="359" t="s">
        <v>1941</v>
      </c>
      <c r="AR4" s="360" t="s">
        <v>52</v>
      </c>
      <c r="AU4" s="300"/>
      <c r="AV4" s="301" t="s">
        <v>56</v>
      </c>
      <c r="AW4" s="302" t="s">
        <v>58</v>
      </c>
      <c r="AX4" s="303" t="s">
        <v>57</v>
      </c>
      <c r="AY4" s="358" t="s">
        <v>51</v>
      </c>
      <c r="AZ4" s="359" t="s">
        <v>1941</v>
      </c>
      <c r="BA4" s="360" t="s">
        <v>52</v>
      </c>
      <c r="BD4" s="300"/>
      <c r="BE4" s="301" t="s">
        <v>56</v>
      </c>
      <c r="BF4" s="302" t="s">
        <v>58</v>
      </c>
      <c r="BG4" s="303" t="s">
        <v>57</v>
      </c>
      <c r="BH4" s="358" t="s">
        <v>51</v>
      </c>
      <c r="BI4" s="359" t="s">
        <v>1941</v>
      </c>
      <c r="BJ4" s="360" t="s">
        <v>52</v>
      </c>
      <c r="BM4" s="300"/>
      <c r="BN4" s="301" t="s">
        <v>56</v>
      </c>
      <c r="BO4" s="302" t="s">
        <v>58</v>
      </c>
      <c r="BP4" s="303" t="s">
        <v>57</v>
      </c>
      <c r="BQ4" s="358" t="s">
        <v>51</v>
      </c>
      <c r="BR4" s="359" t="s">
        <v>1941</v>
      </c>
      <c r="BS4" s="360" t="s">
        <v>52</v>
      </c>
      <c r="BV4" s="300"/>
      <c r="BW4" s="301" t="s">
        <v>56</v>
      </c>
      <c r="BX4" s="302" t="s">
        <v>58</v>
      </c>
      <c r="BY4" s="303" t="s">
        <v>57</v>
      </c>
      <c r="BZ4" s="358" t="s">
        <v>51</v>
      </c>
      <c r="CA4" s="359" t="s">
        <v>1941</v>
      </c>
      <c r="CB4" s="360" t="s">
        <v>52</v>
      </c>
      <c r="CE4" s="300"/>
      <c r="CF4" s="301" t="s">
        <v>56</v>
      </c>
      <c r="CG4" s="302" t="s">
        <v>58</v>
      </c>
      <c r="CH4" s="303" t="s">
        <v>57</v>
      </c>
      <c r="CI4" s="358" t="s">
        <v>51</v>
      </c>
      <c r="CJ4" s="359" t="s">
        <v>1941</v>
      </c>
      <c r="CK4" s="360" t="s">
        <v>52</v>
      </c>
      <c r="CN4" s="300"/>
      <c r="CO4" s="301" t="s">
        <v>56</v>
      </c>
      <c r="CP4" s="302" t="s">
        <v>58</v>
      </c>
      <c r="CQ4" s="303" t="s">
        <v>57</v>
      </c>
      <c r="CR4" s="358" t="s">
        <v>51</v>
      </c>
      <c r="CS4" s="359" t="s">
        <v>1941</v>
      </c>
      <c r="CT4" s="360" t="s">
        <v>52</v>
      </c>
      <c r="CW4" s="300"/>
      <c r="CX4" s="301" t="s">
        <v>56</v>
      </c>
      <c r="CY4" s="302" t="s">
        <v>58</v>
      </c>
      <c r="CZ4" s="303" t="s">
        <v>57</v>
      </c>
      <c r="DA4" s="358" t="s">
        <v>51</v>
      </c>
      <c r="DB4" s="359" t="s">
        <v>1941</v>
      </c>
      <c r="DC4" s="360" t="s">
        <v>52</v>
      </c>
    </row>
    <row r="5" spans="1:107" s="43" customFormat="1" ht="31.5" x14ac:dyDescent="0.25">
      <c r="B5" s="304" t="s">
        <v>93</v>
      </c>
      <c r="C5" s="305">
        <f>IF('발전사업(A)'!AD8="", "", '발전사업(A)'!AD8)</f>
        <v>3554.3450000000003</v>
      </c>
      <c r="D5" s="306">
        <f ca="1">IF(OFFSET('발전사업(A)'!AD8,0,5)="","",OFFSET('발전사업(A)'!AD8,0,5))</f>
        <v>10</v>
      </c>
      <c r="E5" s="307">
        <f ca="1">IF(OFFSET('발전사업(A)'!AD8, 0, 10)="", "", OFFSET('발전사업(A)'!AD8, 0, 10))</f>
        <v>33.933000000000007</v>
      </c>
      <c r="F5" s="305">
        <f>C5</f>
        <v>3554.3450000000003</v>
      </c>
      <c r="G5" s="306">
        <f ca="1">D5</f>
        <v>10</v>
      </c>
      <c r="H5" s="307">
        <f ca="1">E5</f>
        <v>33.933000000000007</v>
      </c>
      <c r="K5" s="304" t="s">
        <v>93</v>
      </c>
      <c r="L5" s="305">
        <f>IF('발전사업(A)'!AD14="", "", '발전사업(A)'!AD14)</f>
        <v>4719.6049999999996</v>
      </c>
      <c r="M5" s="306">
        <f ca="1">IF(OFFSET('발전사업(A)'!AD14, 0, 5)="", "", OFFSET('발전사업(A)'!AD14, 0, 5))</f>
        <v>17</v>
      </c>
      <c r="N5" s="307">
        <f ca="1">IF(OFFSET('발전사업(A)'!AD14, 0, 10)="", "", OFFSET('발전사업(A)'!AD14, 0, 10))</f>
        <v>54.804000000000002</v>
      </c>
      <c r="O5" s="305">
        <f>F5+L5</f>
        <v>8273.9500000000007</v>
      </c>
      <c r="P5" s="306">
        <f ca="1">G5+M5</f>
        <v>27</v>
      </c>
      <c r="Q5" s="307">
        <f ca="1">H5+N5</f>
        <v>88.737000000000009</v>
      </c>
      <c r="T5" s="304" t="s">
        <v>93</v>
      </c>
      <c r="U5" s="305">
        <f>IF('발전사업(A)'!AD20="", "", '발전사업(A)'!AD20)</f>
        <v>3158.8950000000004</v>
      </c>
      <c r="V5" s="306">
        <f ca="1">IF(OFFSET('발전사업(A)'!AD20, 0, 5)="", "", OFFSET('발전사업(A)'!AD20, 0, 5))</f>
        <v>12</v>
      </c>
      <c r="W5" s="307">
        <f ca="1">IF(OFFSET('발전사업(A)'!AD20, 0, 10)="", "", OFFSET('발전사업(A)'!AD20, 0, 10))</f>
        <v>28.767200000000003</v>
      </c>
      <c r="X5" s="305">
        <f>O5+U5</f>
        <v>11432.845000000001</v>
      </c>
      <c r="Y5" s="306">
        <f ca="1">P5+V5</f>
        <v>39</v>
      </c>
      <c r="Z5" s="307">
        <f ca="1">Q5+W5</f>
        <v>117.50420000000001</v>
      </c>
      <c r="AC5" s="304" t="s">
        <v>93</v>
      </c>
      <c r="AD5" s="305">
        <f>IF('발전사업(A)'!AD26="", "", '발전사업(A)'!AD26)</f>
        <v>4804.5599999999995</v>
      </c>
      <c r="AE5" s="306">
        <f ca="1">IF(OFFSET('발전사업(A)'!AD26, 0, 5)="", "", OFFSET('발전사업(A)'!AD26, 0, 5))</f>
        <v>19</v>
      </c>
      <c r="AF5" s="307">
        <f ca="1">IF(OFFSET('발전사업(A)'!AD26, 0, 10)="", "", OFFSET('발전사업(A)'!AD26, 0, 10))</f>
        <v>48.584000000000003</v>
      </c>
      <c r="AG5" s="305">
        <f>X5+AD5</f>
        <v>16237.405000000001</v>
      </c>
      <c r="AH5" s="306">
        <f ca="1">Y5+AE5</f>
        <v>58</v>
      </c>
      <c r="AI5" s="307">
        <f ca="1">Z5+AF5</f>
        <v>166.08820000000003</v>
      </c>
      <c r="AL5" s="304" t="s">
        <v>93</v>
      </c>
      <c r="AM5" s="305">
        <f>IF('발전사업(A)'!AD32="", "", '발전사업(A)'!AD32)</f>
        <v>6113.92</v>
      </c>
      <c r="AN5" s="306">
        <f ca="1">IF(OFFSET('발전사업(A)'!AD32, 0, 5)="", "", OFFSET('발전사업(A)'!AD32, 0, 5))</f>
        <v>20</v>
      </c>
      <c r="AO5" s="307">
        <f ca="1">IF(OFFSET('발전사업(A)'!AD32, 0, 10)="", "", OFFSET('발전사업(A)'!AD32, 0, 10))</f>
        <v>59.713000000000008</v>
      </c>
      <c r="AP5" s="305">
        <f>AG5+AM5</f>
        <v>22351.325000000001</v>
      </c>
      <c r="AQ5" s="306">
        <f ca="1">AH5+AN5</f>
        <v>78</v>
      </c>
      <c r="AR5" s="307">
        <f ca="1">AI5+AO5</f>
        <v>225.80120000000005</v>
      </c>
      <c r="AU5" s="304" t="s">
        <v>93</v>
      </c>
      <c r="AV5" s="305">
        <f>IF('발전사업(A)'!AD38="", "", '발전사업(A)'!AD38)</f>
        <v>3891.84</v>
      </c>
      <c r="AW5" s="306">
        <f ca="1">IF(OFFSET('발전사업(A)'!AD38, 0, 5)="", "", OFFSET('발전사업(A)'!AD38, 0, 5))</f>
        <v>14</v>
      </c>
      <c r="AX5" s="307">
        <f ca="1">IF(OFFSET('발전사업(A)'!AD38, 0, 10)="", "", OFFSET('발전사업(A)'!AD38, 0, 10))</f>
        <v>32.840000000000003</v>
      </c>
      <c r="AY5" s="305">
        <f>AP5+AV5</f>
        <v>26243.165000000001</v>
      </c>
      <c r="AZ5" s="306">
        <f ca="1">AQ5+AW5</f>
        <v>92</v>
      </c>
      <c r="BA5" s="307">
        <f ca="1">AR5+AX5</f>
        <v>258.64120000000003</v>
      </c>
      <c r="BD5" s="304" t="s">
        <v>93</v>
      </c>
      <c r="BE5" s="305">
        <f>IF('발전사업(A)'!AD44="", "", '발전사업(A)'!AD44)</f>
        <v>4789.12</v>
      </c>
      <c r="BF5" s="306">
        <f ca="1">IF(OFFSET('발전사업(A)'!AD44, 0, 5)="", "", OFFSET('발전사업(A)'!AD44, 0, 5))</f>
        <v>17</v>
      </c>
      <c r="BG5" s="307">
        <f ca="1">IF(OFFSET('발전사업(A)'!AD44, 0, 10)="", "", OFFSET('발전사업(A)'!AD44, 0, 10))</f>
        <v>41.120000000000005</v>
      </c>
      <c r="BH5" s="305">
        <f>AY5+BE5</f>
        <v>31032.285</v>
      </c>
      <c r="BI5" s="306">
        <f ca="1">AZ5+BF5</f>
        <v>109</v>
      </c>
      <c r="BJ5" s="307">
        <f ca="1">BA5+BG5</f>
        <v>299.76120000000003</v>
      </c>
      <c r="BM5" s="304" t="s">
        <v>93</v>
      </c>
      <c r="BN5" s="305">
        <f>IF('발전사업(A)'!AD50="", "", '발전사업(A)'!AD50)</f>
        <v>7047.415</v>
      </c>
      <c r="BO5" s="306">
        <f ca="1">IF(OFFSET('발전사업(A)'!AD50, 0, 5)="", "", OFFSET('발전사업(A)'!AD50, 0, 5))</f>
        <v>23</v>
      </c>
      <c r="BP5" s="307">
        <f ca="1">IF(OFFSET('발전사업(A)'!AD50, 0, 10)="", "", OFFSET('발전사업(A)'!AD50, 0, 10))</f>
        <v>65.814000000000007</v>
      </c>
      <c r="BQ5" s="305">
        <f>BH5+BN5</f>
        <v>38079.699999999997</v>
      </c>
      <c r="BR5" s="306">
        <f ca="1">BI5+BO5</f>
        <v>132</v>
      </c>
      <c r="BS5" s="307">
        <f ca="1">BJ5+BP5</f>
        <v>365.57520000000005</v>
      </c>
      <c r="BV5" s="304" t="s">
        <v>93</v>
      </c>
      <c r="BW5" s="305">
        <f>IF('발전사업(A)'!AD56="", "", '발전사업(A)'!AD56)</f>
        <v>9844.1</v>
      </c>
      <c r="BX5" s="306">
        <f ca="1">IF(OFFSET('발전사업(A)'!AD56, 0, 5)="", "", OFFSET('발전사업(A)'!AD56, 0, 5))</f>
        <v>36</v>
      </c>
      <c r="BY5" s="307">
        <f ca="1">IF(OFFSET('발전사업(A)'!AD56, 0, 10)="", "", OFFSET('발전사업(A)'!AD56, 0, 10))</f>
        <v>90.6</v>
      </c>
      <c r="BZ5" s="305">
        <f>BQ5+BW5</f>
        <v>47923.799999999996</v>
      </c>
      <c r="CA5" s="306">
        <f ca="1">BR5+BX5</f>
        <v>168</v>
      </c>
      <c r="CB5" s="307">
        <f ca="1">BS5+BY5</f>
        <v>456.17520000000002</v>
      </c>
      <c r="CE5" s="304" t="s">
        <v>93</v>
      </c>
      <c r="CF5" s="305">
        <f>IF('발전사업(A)'!AD62="", "", '발전사업(A)'!AD62)</f>
        <v>9598.14</v>
      </c>
      <c r="CG5" s="306">
        <f ca="1">IF(OFFSET('발전사업(A)'!AD62, 0, 5)="", "", OFFSET('발전사업(A)'!AD62, 0, 5))</f>
        <v>42</v>
      </c>
      <c r="CH5" s="307">
        <f ca="1">IF(OFFSET('발전사업(A)'!AD62, 0, 10)="", "", OFFSET('발전사업(A)'!AD62, 0, 10))</f>
        <v>83.766000000000005</v>
      </c>
      <c r="CI5" s="305">
        <f>BZ5+CF5</f>
        <v>57521.939999999995</v>
      </c>
      <c r="CJ5" s="306">
        <f ca="1">CA5+CG5</f>
        <v>210</v>
      </c>
      <c r="CK5" s="307">
        <f ca="1">CB5+CH5</f>
        <v>539.94119999999998</v>
      </c>
      <c r="CN5" s="304" t="s">
        <v>93</v>
      </c>
      <c r="CO5" s="305">
        <f>IF('발전사업(A)'!AD68="", "", '발전사업(A)'!AD68)</f>
        <v>8997.885000000002</v>
      </c>
      <c r="CP5" s="306">
        <f ca="1">IF(OFFSET('발전사업(A)'!AD68, 0, 5)="", "", OFFSET('발전사업(A)'!AD68, 0, 5))</f>
        <v>31</v>
      </c>
      <c r="CQ5" s="307">
        <f ca="1">IF(OFFSET('발전사업(A)'!AD68, 0, 10)="", "", OFFSET('발전사업(A)'!AD68, 0, 10))</f>
        <v>81.814800000000005</v>
      </c>
      <c r="CR5" s="305">
        <f>CI5+CO5</f>
        <v>66519.824999999997</v>
      </c>
      <c r="CS5" s="306">
        <f ca="1">CJ5+CP5</f>
        <v>241</v>
      </c>
      <c r="CT5" s="307">
        <f ca="1">CK5+CQ5</f>
        <v>621.75599999999997</v>
      </c>
      <c r="CW5" s="304" t="s">
        <v>93</v>
      </c>
      <c r="CX5" s="305">
        <f>IF('발전사업(A)'!AD74="", "", '발전사업(A)'!AD74)</f>
        <v>4211.3850000000002</v>
      </c>
      <c r="CY5" s="306">
        <f ca="1">IF(OFFSET('발전사업(A)'!AD74, 0, 5)="", "", OFFSET('발전사업(A)'!AD74, 0, 5))</f>
        <v>17</v>
      </c>
      <c r="CZ5" s="307">
        <f ca="1">IF(OFFSET('발전사업(A)'!AD74, 0, 10)="", "", OFFSET('발전사업(A)'!AD74, 0, 10))</f>
        <v>39.690000000000005</v>
      </c>
      <c r="DA5" s="305">
        <f>CR5+CX5</f>
        <v>70731.209999999992</v>
      </c>
      <c r="DB5" s="306">
        <f ca="1">CS5+CY5</f>
        <v>258</v>
      </c>
      <c r="DC5" s="307">
        <f ca="1">CT5+CZ5</f>
        <v>661.44600000000003</v>
      </c>
    </row>
    <row r="6" spans="1:107" s="43" customFormat="1" ht="31.5" x14ac:dyDescent="0.25">
      <c r="B6" s="308" t="s">
        <v>94</v>
      </c>
      <c r="C6" s="309">
        <f>IF('자가소비(B)'!AD8="", "", '자가소비(B)'!AD8)</f>
        <v>0</v>
      </c>
      <c r="D6" s="310">
        <f ca="1">IF(OFFSET('자가소비(B)'!AD8, 0, 5)="", "", OFFSET('자가소비(B)'!AD8, 0, 5))</f>
        <v>0</v>
      </c>
      <c r="E6" s="311">
        <f ca="1">IF(OFFSET('자가소비(B)'!AD8, 0, 10)="", "", OFFSET('자가소비(B)'!AD8, 0, 10))</f>
        <v>0</v>
      </c>
      <c r="F6" s="305">
        <f t="shared" ref="F6:H14" si="0">C6</f>
        <v>0</v>
      </c>
      <c r="G6" s="306">
        <f t="shared" ca="1" si="0"/>
        <v>0</v>
      </c>
      <c r="H6" s="307">
        <f t="shared" ca="1" si="0"/>
        <v>0</v>
      </c>
      <c r="K6" s="308" t="s">
        <v>94</v>
      </c>
      <c r="L6" s="309">
        <f>IF('자가소비(B)'!AD14="", "", '자가소비(B)'!AD14)</f>
        <v>499.59</v>
      </c>
      <c r="M6" s="310">
        <f ca="1">IF(OFFSET('자가소비(B)'!AD14, 0, 5)="", "", OFFSET('자가소비(B)'!AD14, 0, 5))</f>
        <v>1</v>
      </c>
      <c r="N6" s="311">
        <f ca="1">IF(OFFSET('자가소비(B)'!AD14, 0, 10)="", "", OFFSET('자가소비(B)'!AD14, 0, 10))</f>
        <v>4.3</v>
      </c>
      <c r="O6" s="305">
        <f t="shared" ref="O6:O14" si="1">F6+L6</f>
        <v>499.59</v>
      </c>
      <c r="P6" s="306">
        <f t="shared" ref="P6:P14" ca="1" si="2">G6+M6</f>
        <v>1</v>
      </c>
      <c r="Q6" s="307">
        <f t="shared" ref="Q6:Q14" ca="1" si="3">H6+N6</f>
        <v>4.3</v>
      </c>
      <c r="T6" s="308" t="s">
        <v>94</v>
      </c>
      <c r="U6" s="309">
        <f>IF('자가소비(B)'!AD20="", "", '자가소비(B)'!AD20)</f>
        <v>0</v>
      </c>
      <c r="V6" s="310">
        <f ca="1">IF(OFFSET('자가소비(B)'!AD20, 0, 5)="", "", OFFSET('자가소비(B)'!AD20, 0, 5))</f>
        <v>0</v>
      </c>
      <c r="W6" s="311">
        <f ca="1">IF(OFFSET('자가소비(B)'!AD20, 0, 10)="", "", OFFSET('자가소비(B)'!AD20, 0, 10))</f>
        <v>0</v>
      </c>
      <c r="X6" s="305">
        <f t="shared" ref="X6:X14" si="4">O6+U6</f>
        <v>499.59</v>
      </c>
      <c r="Y6" s="306">
        <f t="shared" ref="Y6:Y14" ca="1" si="5">P6+V6</f>
        <v>1</v>
      </c>
      <c r="Z6" s="307">
        <f t="shared" ref="Z6:Z14" ca="1" si="6">Q6+W6</f>
        <v>4.3</v>
      </c>
      <c r="AC6" s="308" t="s">
        <v>94</v>
      </c>
      <c r="AD6" s="309">
        <f>IF('자가소비(B)'!AD26="", "", '자가소비(B)'!AD26)</f>
        <v>0</v>
      </c>
      <c r="AE6" s="310">
        <f ca="1">IF(OFFSET('자가소비(B)'!AD26, 0, 5)="", "", OFFSET('자가소비(B)'!AD26, 0, 5))</f>
        <v>0</v>
      </c>
      <c r="AF6" s="311">
        <f ca="1">IF(OFFSET('자가소비(B)'!AD26, 0, 10)="", "", OFFSET('자가소비(B)'!AD26, 0, 10))</f>
        <v>0</v>
      </c>
      <c r="AG6" s="305">
        <f t="shared" ref="AG6:AG14" si="7">X6+AD6</f>
        <v>499.59</v>
      </c>
      <c r="AH6" s="306">
        <f t="shared" ref="AH6:AH14" ca="1" si="8">Y6+AE6</f>
        <v>1</v>
      </c>
      <c r="AI6" s="307">
        <f t="shared" ref="AI6:AI14" ca="1" si="9">Z6+AF6</f>
        <v>4.3</v>
      </c>
      <c r="AL6" s="308" t="s">
        <v>94</v>
      </c>
      <c r="AM6" s="309">
        <f>IF('자가소비(B)'!AD32="", "", '자가소비(B)'!AD32)</f>
        <v>2258.9</v>
      </c>
      <c r="AN6" s="310">
        <f ca="1">IF(OFFSET('자가소비(B)'!AD32, 0, 5)="", "", OFFSET('자가소비(B)'!AD32, 0, 5))</f>
        <v>2</v>
      </c>
      <c r="AO6" s="311">
        <f ca="1">IF(OFFSET('자가소비(B)'!AD32, 0, 10)="", "", OFFSET('자가소비(B)'!AD32, 0, 10))</f>
        <v>28.926000000000002</v>
      </c>
      <c r="AP6" s="305">
        <f t="shared" ref="AP6:AP14" si="10">AG6+AM6</f>
        <v>2758.4900000000002</v>
      </c>
      <c r="AQ6" s="306">
        <f t="shared" ref="AQ6:AQ14" ca="1" si="11">AH6+AN6</f>
        <v>3</v>
      </c>
      <c r="AR6" s="307">
        <f t="shared" ref="AR6:AR14" ca="1" si="12">AI6+AO6</f>
        <v>33.225999999999999</v>
      </c>
      <c r="AU6" s="308" t="s">
        <v>94</v>
      </c>
      <c r="AV6" s="309">
        <f>IF('자가소비(B)'!AD38="", "", '자가소비(B)'!AD38)</f>
        <v>2529.64</v>
      </c>
      <c r="AW6" s="310">
        <f ca="1">IF(OFFSET('자가소비(B)'!AD38, 0, 5)="", "", OFFSET('자가소비(B)'!AD38, 0, 5))</f>
        <v>2</v>
      </c>
      <c r="AX6" s="311">
        <f ca="1">IF(OFFSET('자가소비(B)'!AD38, 0, 10)="", "", OFFSET('자가소비(B)'!AD38, 0, 10))</f>
        <v>22.19</v>
      </c>
      <c r="AY6" s="305">
        <f t="shared" ref="AY6:AY14" si="13">AP6+AV6</f>
        <v>5288.13</v>
      </c>
      <c r="AZ6" s="306">
        <f t="shared" ref="AZ6:AZ14" ca="1" si="14">AQ6+AW6</f>
        <v>5</v>
      </c>
      <c r="BA6" s="307">
        <f t="shared" ref="BA6:BA14" ca="1" si="15">AR6+AX6</f>
        <v>55.415999999999997</v>
      </c>
      <c r="BD6" s="308" t="s">
        <v>94</v>
      </c>
      <c r="BE6" s="309">
        <f>IF('자가소비(B)'!AD44="", "", '자가소비(B)'!AD44)</f>
        <v>0</v>
      </c>
      <c r="BF6" s="310">
        <f ca="1">IF(OFFSET('자가소비(B)'!AD44, 0, 5)="", "", OFFSET('자가소비(B)'!AD44, 0, 5))</f>
        <v>0</v>
      </c>
      <c r="BG6" s="311">
        <f ca="1">IF(OFFSET('자가소비(B)'!AD44, 0, 10)="", "", OFFSET('자가소비(B)'!AD44, 0, 10))</f>
        <v>0</v>
      </c>
      <c r="BH6" s="305">
        <f t="shared" ref="BH6:BH14" si="16">AY6+BE6</f>
        <v>5288.13</v>
      </c>
      <c r="BI6" s="306">
        <f t="shared" ref="BI6:BI14" ca="1" si="17">AZ6+BF6</f>
        <v>5</v>
      </c>
      <c r="BJ6" s="307">
        <f t="shared" ref="BJ6:BJ14" ca="1" si="18">BA6+BG6</f>
        <v>55.415999999999997</v>
      </c>
      <c r="BM6" s="308" t="s">
        <v>94</v>
      </c>
      <c r="BN6" s="309">
        <f>IF('자가소비(B)'!AD50="", "", '자가소비(B)'!AD50)</f>
        <v>0</v>
      </c>
      <c r="BO6" s="310">
        <f ca="1">IF(OFFSET('자가소비(B)'!AD50, 0, 5)="", "", OFFSET('자가소비(B)'!AD50, 0, 5))</f>
        <v>0</v>
      </c>
      <c r="BP6" s="311">
        <f ca="1">IF(OFFSET('자가소비(B)'!AD50, 0, 10)="", "", OFFSET('자가소비(B)'!AD50, 0, 10))</f>
        <v>0</v>
      </c>
      <c r="BQ6" s="305">
        <f t="shared" ref="BQ6:BQ14" si="19">BH6+BN6</f>
        <v>5288.13</v>
      </c>
      <c r="BR6" s="306">
        <f t="shared" ref="BR6:BR14" ca="1" si="20">BI6+BO6</f>
        <v>5</v>
      </c>
      <c r="BS6" s="307">
        <f t="shared" ref="BS6:BS14" ca="1" si="21">BJ6+BP6</f>
        <v>55.415999999999997</v>
      </c>
      <c r="BV6" s="308" t="s">
        <v>94</v>
      </c>
      <c r="BW6" s="309">
        <f>IF('자가소비(B)'!AD56="", "", '자가소비(B)'!AD56)</f>
        <v>198.39999999999998</v>
      </c>
      <c r="BX6" s="310">
        <f ca="1">IF(OFFSET('자가소비(B)'!AD56, 0, 5)="", "", OFFSET('자가소비(B)'!AD56, 0, 5))</f>
        <v>2</v>
      </c>
      <c r="BY6" s="311">
        <f ca="1">IF(OFFSET('자가소비(B)'!AD56, 0, 10)="", "", OFFSET('자가소비(B)'!AD56, 0, 10))</f>
        <v>2.0949999999999998</v>
      </c>
      <c r="BZ6" s="305">
        <f t="shared" ref="BZ6:BZ14" si="22">BQ6+BW6</f>
        <v>5486.53</v>
      </c>
      <c r="CA6" s="306">
        <f t="shared" ref="CA6:CA14" ca="1" si="23">BR6+BX6</f>
        <v>7</v>
      </c>
      <c r="CB6" s="307">
        <f t="shared" ref="CB6:CB14" ca="1" si="24">BS6+BY6</f>
        <v>57.510999999999996</v>
      </c>
      <c r="CE6" s="308" t="s">
        <v>94</v>
      </c>
      <c r="CF6" s="309">
        <f>IF('자가소비(B)'!AD62="", "", '자가소비(B)'!AD62)</f>
        <v>0</v>
      </c>
      <c r="CG6" s="310">
        <f ca="1">IF(OFFSET('자가소비(B)'!AD62, 0, 5)="", "", OFFSET('자가소비(B)'!AD62, 0, 5))</f>
        <v>0</v>
      </c>
      <c r="CH6" s="311">
        <f ca="1">IF(OFFSET('자가소비(B)'!AD62, 0, 10)="", "", OFFSET('자가소비(B)'!AD62, 0, 10))</f>
        <v>0</v>
      </c>
      <c r="CI6" s="305">
        <f t="shared" ref="CI6:CI14" si="25">BZ6+CF6</f>
        <v>5486.53</v>
      </c>
      <c r="CJ6" s="306">
        <f t="shared" ref="CJ6:CJ14" ca="1" si="26">CA6+CG6</f>
        <v>7</v>
      </c>
      <c r="CK6" s="307">
        <f t="shared" ref="CK6:CK14" ca="1" si="27">CB6+CH6</f>
        <v>57.510999999999996</v>
      </c>
      <c r="CN6" s="308" t="s">
        <v>94</v>
      </c>
      <c r="CO6" s="309">
        <f>IF('자가소비(B)'!AD68="", "", '자가소비(B)'!AD68)</f>
        <v>625.28</v>
      </c>
      <c r="CP6" s="310">
        <f ca="1">IF(OFFSET('자가소비(B)'!AD68, 0, 5)="", "", OFFSET('자가소비(B)'!AD68, 0, 5))</f>
        <v>2</v>
      </c>
      <c r="CQ6" s="311">
        <f ca="1">IF(OFFSET('자가소비(B)'!AD68, 0, 10)="", "", OFFSET('자가소비(B)'!AD68, 0, 10))</f>
        <v>5.9</v>
      </c>
      <c r="CR6" s="305">
        <f t="shared" ref="CR6:CR14" si="28">CI6+CO6</f>
        <v>6111.8099999999995</v>
      </c>
      <c r="CS6" s="306">
        <f t="shared" ref="CS6:CS14" ca="1" si="29">CJ6+CP6</f>
        <v>9</v>
      </c>
      <c r="CT6" s="307">
        <f t="shared" ref="CT6:CT14" ca="1" si="30">CK6+CQ6</f>
        <v>63.410999999999994</v>
      </c>
      <c r="CW6" s="308" t="s">
        <v>94</v>
      </c>
      <c r="CX6" s="309">
        <f>IF('자가소비(B)'!AD74="", "", '자가소비(B)'!AD74)</f>
        <v>428.8</v>
      </c>
      <c r="CY6" s="310">
        <f ca="1">IF(OFFSET('자가소비(B)'!AD74, 0, 5)="", "", OFFSET('자가소비(B)'!AD74, 0, 5))</f>
        <v>1</v>
      </c>
      <c r="CZ6" s="311">
        <f ca="1">IF(OFFSET('자가소비(B)'!AD74, 0, 10)="", "", OFFSET('자가소비(B)'!AD74, 0, 10))</f>
        <v>4.07</v>
      </c>
      <c r="DA6" s="305">
        <f t="shared" ref="DA6:DA14" si="31">CR6+CX6</f>
        <v>6540.61</v>
      </c>
      <c r="DB6" s="306">
        <f t="shared" ref="DB6:DB14" ca="1" si="32">CS6+CY6</f>
        <v>10</v>
      </c>
      <c r="DC6" s="307">
        <f t="shared" ref="DC6:DC14" ca="1" si="33">CT6+CZ6</f>
        <v>67.480999999999995</v>
      </c>
    </row>
    <row r="7" spans="1:107" s="43" customFormat="1" ht="31.5" x14ac:dyDescent="0.25">
      <c r="B7" s="308" t="s">
        <v>95</v>
      </c>
      <c r="C7" s="309">
        <f>IF('PPA 사업(C)'!AD8="", "", 'PPA 사업(C)'!AD8)</f>
        <v>0</v>
      </c>
      <c r="D7" s="310">
        <f ca="1">IF(OFFSET('PPA 사업(C)'!AD8, 0, 5)="", "", OFFSET('PPA 사업(C)'!AD8, 0, 5))</f>
        <v>0</v>
      </c>
      <c r="E7" s="311">
        <f ca="1">IF(OFFSET('PPA 사업(C)'!AD8, 0, 10)="", "", OFFSET('PPA 사업(C)'!AD8, 0, 10))</f>
        <v>0</v>
      </c>
      <c r="F7" s="305">
        <f t="shared" si="0"/>
        <v>0</v>
      </c>
      <c r="G7" s="306">
        <f t="shared" ca="1" si="0"/>
        <v>0</v>
      </c>
      <c r="H7" s="307">
        <f t="shared" ca="1" si="0"/>
        <v>0</v>
      </c>
      <c r="K7" s="308" t="s">
        <v>95</v>
      </c>
      <c r="L7" s="309">
        <f>IF('PPA 사업(C)'!AD14="", "", 'PPA 사업(C)'!AD14)</f>
        <v>5923.915</v>
      </c>
      <c r="M7" s="310">
        <f ca="1">IF(OFFSET('PPA 사업(C)'!AD14, 0, 5)="", "", OFFSET('PPA 사업(C)'!AD14, 0, 5))</f>
        <v>2</v>
      </c>
      <c r="N7" s="311">
        <f ca="1">IF(OFFSET('PPA 사업(C)'!AD14, 0, 10)="", "", OFFSET('PPA 사업(C)'!AD14, 0, 10))</f>
        <v>35.85</v>
      </c>
      <c r="O7" s="305">
        <f t="shared" si="1"/>
        <v>5923.915</v>
      </c>
      <c r="P7" s="306">
        <f t="shared" ca="1" si="2"/>
        <v>2</v>
      </c>
      <c r="Q7" s="307">
        <f t="shared" ca="1" si="3"/>
        <v>35.85</v>
      </c>
      <c r="T7" s="308" t="s">
        <v>95</v>
      </c>
      <c r="U7" s="309">
        <f>IF('PPA 사업(C)'!AD20="", "", 'PPA 사업(C)'!AD20)</f>
        <v>0</v>
      </c>
      <c r="V7" s="310">
        <f ca="1">IF(OFFSET('PPA 사업(C)'!AD20, 0, 5)="", "", OFFSET('PPA 사업(C)'!AD20, 0, 5))</f>
        <v>0</v>
      </c>
      <c r="W7" s="311">
        <f ca="1">IF(OFFSET('PPA 사업(C)'!AD20, 0, 10)="", "", OFFSET('PPA 사업(C)'!AD20, 0, 10))</f>
        <v>0</v>
      </c>
      <c r="X7" s="305">
        <f t="shared" si="4"/>
        <v>5923.915</v>
      </c>
      <c r="Y7" s="306">
        <f t="shared" ca="1" si="5"/>
        <v>2</v>
      </c>
      <c r="Z7" s="307">
        <f t="shared" ca="1" si="6"/>
        <v>35.85</v>
      </c>
      <c r="AC7" s="308" t="s">
        <v>95</v>
      </c>
      <c r="AD7" s="309">
        <f>IF('PPA 사업(C)'!AD26="", "", 'PPA 사업(C)'!AD26)</f>
        <v>0</v>
      </c>
      <c r="AE7" s="310">
        <f ca="1">IF(OFFSET('PPA 사업(C)'!AD26, 0, 5)="", "", OFFSET('PPA 사업(C)'!AD26, 0, 5))</f>
        <v>0</v>
      </c>
      <c r="AF7" s="311">
        <f ca="1">IF(OFFSET('PPA 사업(C)'!AD26, 0, 10)="", "", OFFSET('PPA 사업(C)'!AD26, 0, 10))</f>
        <v>0</v>
      </c>
      <c r="AG7" s="305">
        <f t="shared" si="7"/>
        <v>5923.915</v>
      </c>
      <c r="AH7" s="306">
        <f t="shared" ca="1" si="8"/>
        <v>2</v>
      </c>
      <c r="AI7" s="307">
        <f t="shared" ca="1" si="9"/>
        <v>35.85</v>
      </c>
      <c r="AL7" s="308" t="s">
        <v>95</v>
      </c>
      <c r="AM7" s="309">
        <f>IF('PPA 사업(C)'!AD32="", "", 'PPA 사업(C)'!AD32)</f>
        <v>0</v>
      </c>
      <c r="AN7" s="310">
        <f ca="1">IF(OFFSET('PPA 사업(C)'!AD32, 0, 5)="", "", OFFSET('PPA 사업(C)'!AD32, 0, 5))</f>
        <v>0</v>
      </c>
      <c r="AO7" s="311">
        <f ca="1">IF(OFFSET('PPA 사업(C)'!AD32, 0, 10)="", "", OFFSET('PPA 사업(C)'!AD32, 0, 10))</f>
        <v>0</v>
      </c>
      <c r="AP7" s="305">
        <f t="shared" si="10"/>
        <v>5923.915</v>
      </c>
      <c r="AQ7" s="306">
        <f t="shared" ca="1" si="11"/>
        <v>2</v>
      </c>
      <c r="AR7" s="307">
        <f t="shared" ca="1" si="12"/>
        <v>35.85</v>
      </c>
      <c r="AU7" s="308" t="s">
        <v>95</v>
      </c>
      <c r="AV7" s="309">
        <f>IF('PPA 사업(C)'!AD38="", "", 'PPA 사업(C)'!AD38)</f>
        <v>0</v>
      </c>
      <c r="AW7" s="310">
        <f ca="1">IF(OFFSET('PPA 사업(C)'!AD38, 0, 5)="", "", OFFSET('PPA 사업(C)'!AD38, 0, 5))</f>
        <v>0</v>
      </c>
      <c r="AX7" s="311">
        <f ca="1">IF(OFFSET('PPA 사업(C)'!AD38, 0, 10)="", "", OFFSET('PPA 사업(C)'!AD38, 0, 10))</f>
        <v>0</v>
      </c>
      <c r="AY7" s="305">
        <f t="shared" si="13"/>
        <v>5923.915</v>
      </c>
      <c r="AZ7" s="306">
        <f t="shared" ca="1" si="14"/>
        <v>2</v>
      </c>
      <c r="BA7" s="307">
        <f t="shared" ca="1" si="15"/>
        <v>35.85</v>
      </c>
      <c r="BD7" s="308" t="s">
        <v>95</v>
      </c>
      <c r="BE7" s="309">
        <f>IF('PPA 사업(C)'!AD44="", "", 'PPA 사업(C)'!AD44)</f>
        <v>0</v>
      </c>
      <c r="BF7" s="310">
        <f ca="1">IF(OFFSET('PPA 사업(C)'!AD44, 0, 5)="", "", OFFSET('PPA 사업(C)'!AD44, 0, 5))</f>
        <v>0</v>
      </c>
      <c r="BG7" s="311">
        <f ca="1">IF(OFFSET('PPA 사업(C)'!AD44, 0, 10)="", "", OFFSET('PPA 사업(C)'!AD44, 0, 10))</f>
        <v>0</v>
      </c>
      <c r="BH7" s="305">
        <f t="shared" si="16"/>
        <v>5923.915</v>
      </c>
      <c r="BI7" s="306">
        <f t="shared" ca="1" si="17"/>
        <v>2</v>
      </c>
      <c r="BJ7" s="307">
        <f t="shared" ca="1" si="18"/>
        <v>35.85</v>
      </c>
      <c r="BM7" s="308" t="s">
        <v>95</v>
      </c>
      <c r="BN7" s="309">
        <f>IF('PPA 사업(C)'!AD50="", "", 'PPA 사업(C)'!AD50)</f>
        <v>0</v>
      </c>
      <c r="BO7" s="310">
        <f ca="1">IF(OFFSET('PPA 사업(C)'!AD50, 0, 5)="", "", OFFSET('PPA 사업(C)'!AD50, 0, 5))</f>
        <v>0</v>
      </c>
      <c r="BP7" s="311">
        <f ca="1">IF(OFFSET('PPA 사업(C)'!AD50, 0, 10)="", "", OFFSET('PPA 사업(C)'!AD50, 0, 10))</f>
        <v>0</v>
      </c>
      <c r="BQ7" s="305">
        <f t="shared" si="19"/>
        <v>5923.915</v>
      </c>
      <c r="BR7" s="306">
        <f t="shared" ca="1" si="20"/>
        <v>2</v>
      </c>
      <c r="BS7" s="307">
        <f t="shared" ca="1" si="21"/>
        <v>35.85</v>
      </c>
      <c r="BV7" s="308" t="s">
        <v>95</v>
      </c>
      <c r="BW7" s="309">
        <f>IF('PPA 사업(C)'!AD56="", "", 'PPA 사업(C)'!AD56)</f>
        <v>0</v>
      </c>
      <c r="BX7" s="310">
        <f ca="1">IF(OFFSET('PPA 사업(C)'!AD56, 0, 5)="", "", OFFSET('PPA 사업(C)'!AD56, 0, 5))</f>
        <v>0</v>
      </c>
      <c r="BY7" s="311">
        <f ca="1">IF(OFFSET('PPA 사업(C)'!AD56, 0, 10)="", "", OFFSET('PPA 사업(C)'!AD56, 0, 10))</f>
        <v>0</v>
      </c>
      <c r="BZ7" s="305">
        <f t="shared" si="22"/>
        <v>5923.915</v>
      </c>
      <c r="CA7" s="306">
        <f t="shared" ca="1" si="23"/>
        <v>2</v>
      </c>
      <c r="CB7" s="307">
        <f t="shared" ca="1" si="24"/>
        <v>35.85</v>
      </c>
      <c r="CE7" s="308" t="s">
        <v>95</v>
      </c>
      <c r="CF7" s="309">
        <f>IF('PPA 사업(C)'!AD62="", "", 'PPA 사업(C)'!AD62)</f>
        <v>0</v>
      </c>
      <c r="CG7" s="310">
        <f ca="1">IF(OFFSET('PPA 사업(C)'!AD62, 0, 5)="", "", OFFSET('PPA 사업(C)'!AD62, 0, 5))</f>
        <v>0</v>
      </c>
      <c r="CH7" s="311">
        <f ca="1">IF(OFFSET('PPA 사업(C)'!AD62, 0, 10)="", "", OFFSET('PPA 사업(C)'!AD62, 0, 10))</f>
        <v>0</v>
      </c>
      <c r="CI7" s="305">
        <f t="shared" si="25"/>
        <v>5923.915</v>
      </c>
      <c r="CJ7" s="306">
        <f t="shared" ca="1" si="26"/>
        <v>2</v>
      </c>
      <c r="CK7" s="307">
        <f t="shared" ca="1" si="27"/>
        <v>35.85</v>
      </c>
      <c r="CN7" s="308" t="s">
        <v>95</v>
      </c>
      <c r="CO7" s="309">
        <f>IF('PPA 사업(C)'!AD68="", "", 'PPA 사업(C)'!AD68)</f>
        <v>0</v>
      </c>
      <c r="CP7" s="310">
        <f ca="1">IF(OFFSET('PPA 사업(C)'!AD68, 0, 5)="", "", OFFSET('PPA 사업(C)'!AD68, 0, 5))</f>
        <v>0</v>
      </c>
      <c r="CQ7" s="311">
        <f ca="1">IF(OFFSET('PPA 사업(C)'!AD68, 0, 10)="", "", OFFSET('PPA 사업(C)'!AD68, 0, 10))</f>
        <v>0</v>
      </c>
      <c r="CR7" s="305">
        <f t="shared" si="28"/>
        <v>5923.915</v>
      </c>
      <c r="CS7" s="306">
        <f t="shared" ca="1" si="29"/>
        <v>2</v>
      </c>
      <c r="CT7" s="307">
        <f t="shared" ca="1" si="30"/>
        <v>35.85</v>
      </c>
      <c r="CW7" s="308" t="s">
        <v>95</v>
      </c>
      <c r="CX7" s="309">
        <f>IF('PPA 사업(C)'!AD74="", "", 'PPA 사업(C)'!AD74)</f>
        <v>1123.1999999999998</v>
      </c>
      <c r="CY7" s="310">
        <f ca="1">IF(OFFSET('PPA 사업(C)'!AD74, 0, 5)="", "", OFFSET('PPA 사업(C)'!AD74, 0, 5))</f>
        <v>2</v>
      </c>
      <c r="CZ7" s="311">
        <f ca="1">IF(OFFSET('PPA 사업(C)'!AD74, 0, 10)="", "", OFFSET('PPA 사업(C)'!AD74, 0, 10))</f>
        <v>10</v>
      </c>
      <c r="DA7" s="305">
        <f t="shared" si="31"/>
        <v>7047.1149999999998</v>
      </c>
      <c r="DB7" s="306">
        <f t="shared" ca="1" si="32"/>
        <v>4</v>
      </c>
      <c r="DC7" s="307">
        <f t="shared" ca="1" si="33"/>
        <v>45.85</v>
      </c>
    </row>
    <row r="8" spans="1:107" s="43" customFormat="1" ht="31.5" x14ac:dyDescent="0.25">
      <c r="B8" s="308" t="s">
        <v>96</v>
      </c>
      <c r="C8" s="309">
        <f>IF('리스사업(D)'!AD8="", "", '리스사업(D)'!AD8)</f>
        <v>0</v>
      </c>
      <c r="D8" s="310">
        <f ca="1">IF(OFFSET('리스사업(D)'!AD8, 0, 5)="", "", OFFSET('리스사업(D)'!AD8, 0, 5))</f>
        <v>0</v>
      </c>
      <c r="E8" s="311">
        <f ca="1">IF(OFFSET('리스사업(D)'!AD8, 0, 10)="", "", OFFSET('리스사업(D)'!AD8, 0, 10))</f>
        <v>0</v>
      </c>
      <c r="F8" s="305">
        <f t="shared" si="0"/>
        <v>0</v>
      </c>
      <c r="G8" s="306">
        <f t="shared" ca="1" si="0"/>
        <v>0</v>
      </c>
      <c r="H8" s="307">
        <f t="shared" ca="1" si="0"/>
        <v>0</v>
      </c>
      <c r="K8" s="308" t="s">
        <v>96</v>
      </c>
      <c r="L8" s="309">
        <f>IF('리스사업(D)'!AD14="", "", '리스사업(D)'!AD14)</f>
        <v>0</v>
      </c>
      <c r="M8" s="310">
        <f ca="1">IF(OFFSET('리스사업(D)'!AD14, 0, 5)="", "", OFFSET('리스사업(D)'!AD14, 0, 5))</f>
        <v>0</v>
      </c>
      <c r="N8" s="311">
        <f ca="1">IF(OFFSET('리스사업(D)'!AD14, 0, 10)="", "", OFFSET('리스사업(D)'!AD14, 0, 10))</f>
        <v>0</v>
      </c>
      <c r="O8" s="305">
        <f t="shared" si="1"/>
        <v>0</v>
      </c>
      <c r="P8" s="306">
        <f t="shared" ca="1" si="2"/>
        <v>0</v>
      </c>
      <c r="Q8" s="307">
        <f t="shared" ca="1" si="3"/>
        <v>0</v>
      </c>
      <c r="T8" s="308" t="s">
        <v>96</v>
      </c>
      <c r="U8" s="309">
        <f>IF('리스사업(D)'!AD20="", "", '리스사업(D)'!AD20)</f>
        <v>0</v>
      </c>
      <c r="V8" s="310">
        <f ca="1">IF(OFFSET('리스사업(D)'!AD20, 0, 5)="", "", OFFSET('리스사업(D)'!AD20, 0, 5))</f>
        <v>0</v>
      </c>
      <c r="W8" s="311">
        <f ca="1">IF(OFFSET('리스사업(D)'!AD20, 0, 10)="", "", OFFSET('리스사업(D)'!AD20, 0, 10))</f>
        <v>0</v>
      </c>
      <c r="X8" s="305">
        <f t="shared" si="4"/>
        <v>0</v>
      </c>
      <c r="Y8" s="306">
        <f t="shared" ca="1" si="5"/>
        <v>0</v>
      </c>
      <c r="Z8" s="307">
        <f t="shared" ca="1" si="6"/>
        <v>0</v>
      </c>
      <c r="AC8" s="308" t="s">
        <v>96</v>
      </c>
      <c r="AD8" s="309">
        <f>IF('리스사업(D)'!AD26="", "", '리스사업(D)'!AD26)</f>
        <v>0</v>
      </c>
      <c r="AE8" s="310">
        <f ca="1">IF(OFFSET('리스사업(D)'!AD26, 0, 5)="", "", OFFSET('리스사업(D)'!AD26, 0, 5))</f>
        <v>0</v>
      </c>
      <c r="AF8" s="311">
        <f ca="1">IF(OFFSET('리스사업(D)'!AD26, 0, 10)="", "", OFFSET('리스사업(D)'!AD26, 0, 10))</f>
        <v>0</v>
      </c>
      <c r="AG8" s="305">
        <f t="shared" si="7"/>
        <v>0</v>
      </c>
      <c r="AH8" s="306">
        <f t="shared" ca="1" si="8"/>
        <v>0</v>
      </c>
      <c r="AI8" s="307">
        <f t="shared" ca="1" si="9"/>
        <v>0</v>
      </c>
      <c r="AL8" s="308" t="s">
        <v>96</v>
      </c>
      <c r="AM8" s="309">
        <f>IF('리스사업(D)'!AD32="", "", '리스사업(D)'!AD32)</f>
        <v>0</v>
      </c>
      <c r="AN8" s="310">
        <f ca="1">IF(OFFSET('리스사업(D)'!AD32, 0, 5)="", "", OFFSET('리스사업(D)'!AD32, 0, 5))</f>
        <v>0</v>
      </c>
      <c r="AO8" s="311">
        <f ca="1">IF(OFFSET('리스사업(D)'!AD32, 0, 10)="", "", OFFSET('리스사업(D)'!AD32, 0, 10))</f>
        <v>0</v>
      </c>
      <c r="AP8" s="305">
        <f t="shared" si="10"/>
        <v>0</v>
      </c>
      <c r="AQ8" s="306">
        <f t="shared" ca="1" si="11"/>
        <v>0</v>
      </c>
      <c r="AR8" s="307">
        <f t="shared" ca="1" si="12"/>
        <v>0</v>
      </c>
      <c r="AU8" s="308" t="s">
        <v>96</v>
      </c>
      <c r="AV8" s="309">
        <f>IF('리스사업(D)'!AD38="", "", '리스사업(D)'!AD38)</f>
        <v>0</v>
      </c>
      <c r="AW8" s="310">
        <f ca="1">IF(OFFSET('리스사업(D)'!AD38, 0, 5)="", "", OFFSET('리스사업(D)'!AD38, 0, 5))</f>
        <v>0</v>
      </c>
      <c r="AX8" s="311">
        <f ca="1">IF(OFFSET('리스사업(D)'!AD38, 0, 10)="", "", OFFSET('리스사업(D)'!AD38, 0, 10))</f>
        <v>0</v>
      </c>
      <c r="AY8" s="305">
        <f t="shared" si="13"/>
        <v>0</v>
      </c>
      <c r="AZ8" s="306">
        <f t="shared" ca="1" si="14"/>
        <v>0</v>
      </c>
      <c r="BA8" s="307">
        <f t="shared" ca="1" si="15"/>
        <v>0</v>
      </c>
      <c r="BD8" s="308" t="s">
        <v>96</v>
      </c>
      <c r="BE8" s="309">
        <f>IF('리스사업(D)'!AD44="", "", '리스사업(D)'!AD44)</f>
        <v>0</v>
      </c>
      <c r="BF8" s="310">
        <f ca="1">IF(OFFSET('리스사업(D)'!AD44, 0, 5)="", "", OFFSET('리스사업(D)'!AD44, 0, 5))</f>
        <v>0</v>
      </c>
      <c r="BG8" s="311">
        <f ca="1">IF(OFFSET('리스사업(D)'!AD44, 0, 10)="", "", OFFSET('리스사업(D)'!AD44, 0, 10))</f>
        <v>0</v>
      </c>
      <c r="BH8" s="305">
        <f t="shared" si="16"/>
        <v>0</v>
      </c>
      <c r="BI8" s="306">
        <f t="shared" ca="1" si="17"/>
        <v>0</v>
      </c>
      <c r="BJ8" s="307">
        <f t="shared" ca="1" si="18"/>
        <v>0</v>
      </c>
      <c r="BM8" s="308" t="s">
        <v>96</v>
      </c>
      <c r="BN8" s="309">
        <f>IF('리스사업(D)'!AD50="", "", '리스사업(D)'!AD50)</f>
        <v>0</v>
      </c>
      <c r="BO8" s="310">
        <f ca="1">IF(OFFSET('리스사업(D)'!AD50, 0, 5)="", "", OFFSET('리스사업(D)'!AD50, 0, 5))</f>
        <v>0</v>
      </c>
      <c r="BP8" s="311">
        <f ca="1">IF(OFFSET('리스사업(D)'!AD50, 0, 10)="", "", OFFSET('리스사업(D)'!AD50, 0, 10))</f>
        <v>0</v>
      </c>
      <c r="BQ8" s="305">
        <f t="shared" si="19"/>
        <v>0</v>
      </c>
      <c r="BR8" s="306">
        <f t="shared" ca="1" si="20"/>
        <v>0</v>
      </c>
      <c r="BS8" s="307">
        <f t="shared" ca="1" si="21"/>
        <v>0</v>
      </c>
      <c r="BV8" s="308" t="s">
        <v>96</v>
      </c>
      <c r="BW8" s="309">
        <f>IF('리스사업(D)'!AD56="", "", '리스사업(D)'!AD56)</f>
        <v>0</v>
      </c>
      <c r="BX8" s="310">
        <f ca="1">IF(OFFSET('리스사업(D)'!AD56, 0, 5)="", "", OFFSET('리스사업(D)'!AD56, 0, 5))</f>
        <v>0</v>
      </c>
      <c r="BY8" s="311">
        <f ca="1">IF(OFFSET('리스사업(D)'!AD56, 0, 10)="", "", OFFSET('리스사업(D)'!AD56, 0, 10))</f>
        <v>0</v>
      </c>
      <c r="BZ8" s="305">
        <f t="shared" si="22"/>
        <v>0</v>
      </c>
      <c r="CA8" s="306">
        <f t="shared" ca="1" si="23"/>
        <v>0</v>
      </c>
      <c r="CB8" s="307">
        <f t="shared" ca="1" si="24"/>
        <v>0</v>
      </c>
      <c r="CE8" s="308" t="s">
        <v>96</v>
      </c>
      <c r="CF8" s="309">
        <f>IF('리스사업(D)'!AD62="", "", '리스사업(D)'!AD62)</f>
        <v>0</v>
      </c>
      <c r="CG8" s="310">
        <f ca="1">IF(OFFSET('리스사업(D)'!AD62, 0, 5)="", "", OFFSET('리스사업(D)'!AD62, 0, 5))</f>
        <v>0</v>
      </c>
      <c r="CH8" s="311">
        <f ca="1">IF(OFFSET('리스사업(D)'!AD62, 0, 10)="", "", OFFSET('리스사업(D)'!AD62, 0, 10))</f>
        <v>0</v>
      </c>
      <c r="CI8" s="305">
        <f t="shared" si="25"/>
        <v>0</v>
      </c>
      <c r="CJ8" s="306">
        <f t="shared" ca="1" si="26"/>
        <v>0</v>
      </c>
      <c r="CK8" s="307">
        <f t="shared" ca="1" si="27"/>
        <v>0</v>
      </c>
      <c r="CN8" s="308" t="s">
        <v>96</v>
      </c>
      <c r="CO8" s="309">
        <f>IF('리스사업(D)'!AD68="", "", '리스사업(D)'!AD68)</f>
        <v>0</v>
      </c>
      <c r="CP8" s="310">
        <f ca="1">IF(OFFSET('리스사업(D)'!AD68, 0, 5)="", "", OFFSET('리스사업(D)'!AD68, 0, 5))</f>
        <v>0</v>
      </c>
      <c r="CQ8" s="311">
        <f ca="1">IF(OFFSET('리스사업(D)'!AD68, 0, 10)="", "", OFFSET('리스사업(D)'!AD68, 0, 10))</f>
        <v>0</v>
      </c>
      <c r="CR8" s="305">
        <f t="shared" si="28"/>
        <v>0</v>
      </c>
      <c r="CS8" s="306">
        <f t="shared" ca="1" si="29"/>
        <v>0</v>
      </c>
      <c r="CT8" s="307">
        <f t="shared" ca="1" si="30"/>
        <v>0</v>
      </c>
      <c r="CW8" s="308" t="s">
        <v>96</v>
      </c>
      <c r="CX8" s="309">
        <f>IF('리스사업(D)'!AD74="", "", '리스사업(D)'!AD74)</f>
        <v>0</v>
      </c>
      <c r="CY8" s="310">
        <f ca="1">IF(OFFSET('리스사업(D)'!AD74, 0, 5)="", "", OFFSET('리스사업(D)'!AD74, 0, 5))</f>
        <v>0</v>
      </c>
      <c r="CZ8" s="311">
        <f ca="1">IF(OFFSET('리스사업(D)'!AD74, 0, 10)="", "", OFFSET('리스사업(D)'!AD74, 0, 10))</f>
        <v>0</v>
      </c>
      <c r="DA8" s="305">
        <f t="shared" si="31"/>
        <v>0</v>
      </c>
      <c r="DB8" s="306">
        <f t="shared" ca="1" si="32"/>
        <v>0</v>
      </c>
      <c r="DC8" s="307">
        <f t="shared" ca="1" si="33"/>
        <v>0</v>
      </c>
    </row>
    <row r="9" spans="1:107" s="43" customFormat="1" ht="31.5" x14ac:dyDescent="0.25">
      <c r="B9" s="308" t="s">
        <v>97</v>
      </c>
      <c r="C9" s="309">
        <f>IF('임대사업(E)'!AD8="", "", '임대사업(E)'!AD8)</f>
        <v>148.47999999999999</v>
      </c>
      <c r="D9" s="310">
        <f ca="1">IF(OFFSET('임대사업(E)'!AD8, 0, 5)="", "", OFFSET('임대사업(E)'!AD8, 0, 5))</f>
        <v>1</v>
      </c>
      <c r="E9" s="311">
        <f ca="1">IF(OFFSET('임대사업(E)'!AD8, 0, 10)="", "", OFFSET('임대사업(E)'!AD8, 0, 10))</f>
        <v>0</v>
      </c>
      <c r="F9" s="305">
        <f t="shared" si="0"/>
        <v>148.47999999999999</v>
      </c>
      <c r="G9" s="306">
        <f t="shared" ca="1" si="0"/>
        <v>1</v>
      </c>
      <c r="H9" s="307">
        <f t="shared" ca="1" si="0"/>
        <v>0</v>
      </c>
      <c r="K9" s="308" t="s">
        <v>97</v>
      </c>
      <c r="L9" s="309">
        <f>IF('임대사업(E)'!AD14="", "", '임대사업(E)'!AD14)</f>
        <v>0</v>
      </c>
      <c r="M9" s="310">
        <f ca="1">IF(OFFSET('임대사업(E)'!AD14, 0, 5)="", "", OFFSET('임대사업(E)'!AD14, 0, 5))</f>
        <v>0</v>
      </c>
      <c r="N9" s="311">
        <f ca="1">IF(OFFSET('임대사업(E)'!AD14, 0, 10)="", "", OFFSET('임대사업(E)'!AD14, 0, 10))</f>
        <v>0</v>
      </c>
      <c r="O9" s="305">
        <f t="shared" si="1"/>
        <v>148.47999999999999</v>
      </c>
      <c r="P9" s="306">
        <f t="shared" ca="1" si="2"/>
        <v>1</v>
      </c>
      <c r="Q9" s="307">
        <f t="shared" ca="1" si="3"/>
        <v>0</v>
      </c>
      <c r="T9" s="308" t="s">
        <v>97</v>
      </c>
      <c r="U9" s="309">
        <f>IF('임대사업(E)'!AD20="", "", '임대사업(E)'!AD20)</f>
        <v>260.48</v>
      </c>
      <c r="V9" s="310">
        <f ca="1">IF(OFFSET('임대사업(E)'!AD20, 0, 5)="", "", OFFSET('임대사업(E)'!AD20, 0, 5))</f>
        <v>2</v>
      </c>
      <c r="W9" s="311">
        <f ca="1">IF(OFFSET('임대사업(E)'!AD20, 0, 10)="", "", OFFSET('임대사업(E)'!AD20, 0, 10))</f>
        <v>0</v>
      </c>
      <c r="X9" s="305">
        <f t="shared" si="4"/>
        <v>408.96000000000004</v>
      </c>
      <c r="Y9" s="306">
        <f t="shared" ca="1" si="5"/>
        <v>3</v>
      </c>
      <c r="Z9" s="307">
        <f t="shared" ca="1" si="6"/>
        <v>0</v>
      </c>
      <c r="AC9" s="308" t="s">
        <v>97</v>
      </c>
      <c r="AD9" s="309">
        <f>IF('임대사업(E)'!AD26="", "", '임대사업(E)'!AD26)</f>
        <v>398.69500000000005</v>
      </c>
      <c r="AE9" s="310">
        <f ca="1">IF(OFFSET('임대사업(E)'!AD26, 0, 5)="", "", OFFSET('임대사업(E)'!AD26, 0, 5))</f>
        <v>2</v>
      </c>
      <c r="AF9" s="311">
        <f ca="1">IF(OFFSET('임대사업(E)'!AD26, 0, 10)="", "", OFFSET('임대사업(E)'!AD26, 0, 10))</f>
        <v>0</v>
      </c>
      <c r="AG9" s="305">
        <f t="shared" si="7"/>
        <v>807.65500000000009</v>
      </c>
      <c r="AH9" s="306">
        <f t="shared" ca="1" si="8"/>
        <v>5</v>
      </c>
      <c r="AI9" s="307">
        <f t="shared" ca="1" si="9"/>
        <v>0</v>
      </c>
      <c r="AL9" s="308" t="s">
        <v>97</v>
      </c>
      <c r="AM9" s="309">
        <f>IF('임대사업(E)'!AD32="", "", '임대사업(E)'!AD32)</f>
        <v>693.11999999999989</v>
      </c>
      <c r="AN9" s="310">
        <f ca="1">IF(OFFSET('임대사업(E)'!AD32, 0, 5)="", "", OFFSET('임대사업(E)'!AD32, 0, 5))</f>
        <v>4</v>
      </c>
      <c r="AO9" s="311">
        <f ca="1">IF(OFFSET('임대사업(E)'!AD32, 0, 10)="", "", OFFSET('임대사업(E)'!AD32, 0, 10))</f>
        <v>0</v>
      </c>
      <c r="AP9" s="305">
        <f t="shared" si="10"/>
        <v>1500.7750000000001</v>
      </c>
      <c r="AQ9" s="306">
        <f t="shared" ca="1" si="11"/>
        <v>9</v>
      </c>
      <c r="AR9" s="307">
        <f t="shared" ca="1" si="12"/>
        <v>0</v>
      </c>
      <c r="AU9" s="308" t="s">
        <v>97</v>
      </c>
      <c r="AV9" s="309">
        <f>IF('임대사업(E)'!AD38="", "", '임대사업(E)'!AD38)</f>
        <v>3575.04</v>
      </c>
      <c r="AW9" s="310">
        <f ca="1">IF(OFFSET('임대사업(E)'!AD38, 0, 5)="", "", OFFSET('임대사업(E)'!AD38, 0, 5))</f>
        <v>10</v>
      </c>
      <c r="AX9" s="311">
        <f ca="1">IF(OFFSET('임대사업(E)'!AD38, 0, 10)="", "", OFFSET('임대사업(E)'!AD38, 0, 10))</f>
        <v>0</v>
      </c>
      <c r="AY9" s="305">
        <f t="shared" si="13"/>
        <v>5075.8150000000005</v>
      </c>
      <c r="AZ9" s="306">
        <f t="shared" ca="1" si="14"/>
        <v>19</v>
      </c>
      <c r="BA9" s="307">
        <f t="shared" ca="1" si="15"/>
        <v>0</v>
      </c>
      <c r="BD9" s="308" t="s">
        <v>97</v>
      </c>
      <c r="BE9" s="309">
        <f>IF('임대사업(E)'!AD44="", "", '임대사업(E)'!AD44)</f>
        <v>1710.72</v>
      </c>
      <c r="BF9" s="310">
        <f ca="1">IF(OFFSET('임대사업(E)'!AD44, 0, 5)="", "", OFFSET('임대사업(E)'!AD44, 0, 5))</f>
        <v>9</v>
      </c>
      <c r="BG9" s="311">
        <f ca="1">IF(OFFSET('임대사업(E)'!AD44, 0, 10)="", "", OFFSET('임대사업(E)'!AD44, 0, 10))</f>
        <v>0</v>
      </c>
      <c r="BH9" s="305">
        <f t="shared" si="16"/>
        <v>6786.5350000000008</v>
      </c>
      <c r="BI9" s="306">
        <f t="shared" ca="1" si="17"/>
        <v>28</v>
      </c>
      <c r="BJ9" s="307">
        <f t="shared" ca="1" si="18"/>
        <v>0</v>
      </c>
      <c r="BM9" s="308" t="s">
        <v>97</v>
      </c>
      <c r="BN9" s="309">
        <f>IF('임대사업(E)'!AD50="", "", '임대사업(E)'!AD50)</f>
        <v>111.36</v>
      </c>
      <c r="BO9" s="310">
        <f ca="1">IF(OFFSET('임대사업(E)'!AD50, 0, 5)="", "", OFFSET('임대사업(E)'!AD50, 0, 5))</f>
        <v>1</v>
      </c>
      <c r="BP9" s="311">
        <f ca="1">IF(OFFSET('임대사업(E)'!AD50, 0, 10)="", "", OFFSET('임대사업(E)'!AD50, 0, 10))</f>
        <v>0</v>
      </c>
      <c r="BQ9" s="305">
        <f t="shared" si="19"/>
        <v>6897.8950000000004</v>
      </c>
      <c r="BR9" s="306">
        <f t="shared" ca="1" si="20"/>
        <v>29</v>
      </c>
      <c r="BS9" s="307">
        <f t="shared" ca="1" si="21"/>
        <v>0</v>
      </c>
      <c r="BV9" s="308" t="s">
        <v>97</v>
      </c>
      <c r="BW9" s="309">
        <f>IF('임대사업(E)'!AD56="", "", '임대사업(E)'!AD56)</f>
        <v>186.24</v>
      </c>
      <c r="BX9" s="310">
        <f ca="1">IF(OFFSET('임대사업(E)'!AD56, 0, 5)="", "", OFFSET('임대사업(E)'!AD56, 0, 5))</f>
        <v>1</v>
      </c>
      <c r="BY9" s="311">
        <f ca="1">IF(OFFSET('임대사업(E)'!AD56, 0, 10)="", "", OFFSET('임대사업(E)'!AD56, 0, 10))</f>
        <v>0</v>
      </c>
      <c r="BZ9" s="305">
        <f t="shared" si="22"/>
        <v>7084.1350000000002</v>
      </c>
      <c r="CA9" s="306">
        <f t="shared" ca="1" si="23"/>
        <v>30</v>
      </c>
      <c r="CB9" s="307">
        <f t="shared" ca="1" si="24"/>
        <v>0</v>
      </c>
      <c r="CE9" s="308" t="s">
        <v>97</v>
      </c>
      <c r="CF9" s="309">
        <f>IF('임대사업(E)'!AD62="", "", '임대사업(E)'!AD62)</f>
        <v>193.28</v>
      </c>
      <c r="CG9" s="310">
        <f ca="1">IF(OFFSET('임대사업(E)'!AD62, 0, 5)="", "", OFFSET('임대사업(E)'!AD62, 0, 5))</f>
        <v>2</v>
      </c>
      <c r="CH9" s="311">
        <f ca="1">IF(OFFSET('임대사업(E)'!AD62, 0, 10)="", "", OFFSET('임대사업(E)'!AD62, 0, 10))</f>
        <v>0</v>
      </c>
      <c r="CI9" s="305">
        <f t="shared" si="25"/>
        <v>7277.415</v>
      </c>
      <c r="CJ9" s="306">
        <f t="shared" ca="1" si="26"/>
        <v>32</v>
      </c>
      <c r="CK9" s="307">
        <f t="shared" ca="1" si="27"/>
        <v>0</v>
      </c>
      <c r="CN9" s="308" t="s">
        <v>97</v>
      </c>
      <c r="CO9" s="309">
        <f>IF('임대사업(E)'!AD68="", "", '임대사업(E)'!AD68)</f>
        <v>403.20000000000005</v>
      </c>
      <c r="CP9" s="310">
        <f ca="1">IF(OFFSET('임대사업(E)'!AD68, 0, 5)="", "", OFFSET('임대사업(E)'!AD68, 0, 5))</f>
        <v>2</v>
      </c>
      <c r="CQ9" s="311">
        <f ca="1">IF(OFFSET('임대사업(E)'!AD68, 0, 10)="", "", OFFSET('임대사업(E)'!AD68, 0, 10))</f>
        <v>0</v>
      </c>
      <c r="CR9" s="305">
        <f t="shared" si="28"/>
        <v>7680.6149999999998</v>
      </c>
      <c r="CS9" s="306">
        <f t="shared" ca="1" si="29"/>
        <v>34</v>
      </c>
      <c r="CT9" s="307">
        <f t="shared" ca="1" si="30"/>
        <v>0</v>
      </c>
      <c r="CW9" s="308" t="s">
        <v>97</v>
      </c>
      <c r="CX9" s="309">
        <f>IF('임대사업(E)'!AD74="", "", '임대사업(E)'!AD74)</f>
        <v>177.375</v>
      </c>
      <c r="CY9" s="310">
        <f ca="1">IF(OFFSET('임대사업(E)'!AD74, 0, 5)="", "", OFFSET('임대사업(E)'!AD74, 0, 5))</f>
        <v>1</v>
      </c>
      <c r="CZ9" s="311">
        <f ca="1">IF(OFFSET('임대사업(E)'!AD74, 0, 10)="", "", OFFSET('임대사업(E)'!AD74, 0, 10))</f>
        <v>0</v>
      </c>
      <c r="DA9" s="305">
        <f t="shared" si="31"/>
        <v>7857.99</v>
      </c>
      <c r="DB9" s="306">
        <f t="shared" ca="1" si="32"/>
        <v>35</v>
      </c>
      <c r="DC9" s="307">
        <f t="shared" ca="1" si="33"/>
        <v>0</v>
      </c>
    </row>
    <row r="10" spans="1:107" s="43" customFormat="1" ht="31.5" x14ac:dyDescent="0.25">
      <c r="B10" s="308" t="s">
        <v>98</v>
      </c>
      <c r="C10" s="309">
        <f>IF('환경부사업(F)'!AD8="", "", '환경부사업(F)'!AD8)</f>
        <v>0</v>
      </c>
      <c r="D10" s="310">
        <f ca="1">IF(OFFSET('환경부사업(F)'!AD8, 0, 5)="", "", OFFSET('환경부사업(F)'!AD8, 0, 5))</f>
        <v>0</v>
      </c>
      <c r="E10" s="311">
        <f ca="1">IF(OFFSET('환경부사업(F)'!AD8, 0, 10)="", "", OFFSET('환경부사업(F)'!AD8, 0, 10))</f>
        <v>0</v>
      </c>
      <c r="F10" s="305">
        <f t="shared" si="0"/>
        <v>0</v>
      </c>
      <c r="G10" s="306">
        <f t="shared" ca="1" si="0"/>
        <v>0</v>
      </c>
      <c r="H10" s="307">
        <f t="shared" ca="1" si="0"/>
        <v>0</v>
      </c>
      <c r="K10" s="308" t="s">
        <v>98</v>
      </c>
      <c r="L10" s="309">
        <f>IF('환경부사업(F)'!AD14="", "", '환경부사업(F)'!AD14)</f>
        <v>0</v>
      </c>
      <c r="M10" s="310">
        <f ca="1">IF(OFFSET('환경부사업(F)'!AD14, 0, 5)="", "", OFFSET('환경부사업(F)'!AD14, 0, 5))</f>
        <v>0</v>
      </c>
      <c r="N10" s="311">
        <f ca="1">IF(OFFSET('환경부사업(F)'!AD14, 0, 10)="", "", OFFSET('환경부사업(F)'!AD14, 0, 10))</f>
        <v>0</v>
      </c>
      <c r="O10" s="305">
        <f t="shared" si="1"/>
        <v>0</v>
      </c>
      <c r="P10" s="306">
        <f t="shared" ca="1" si="2"/>
        <v>0</v>
      </c>
      <c r="Q10" s="307">
        <f t="shared" ca="1" si="3"/>
        <v>0</v>
      </c>
      <c r="T10" s="308" t="s">
        <v>98</v>
      </c>
      <c r="U10" s="309">
        <f>IF('환경부사업(F)'!AD20="", "", '환경부사업(F)'!AD20)</f>
        <v>0</v>
      </c>
      <c r="V10" s="310">
        <f ca="1">IF(OFFSET('환경부사업(F)'!AD20, 0, 5)="", "", OFFSET('환경부사업(F)'!AD20, 0, 5))</f>
        <v>0</v>
      </c>
      <c r="W10" s="311">
        <f ca="1">IF(OFFSET('환경부사업(F)'!AD20, 0, 10)="", "", OFFSET('환경부사업(F)'!AD20, 0, 10))</f>
        <v>0</v>
      </c>
      <c r="X10" s="305">
        <f t="shared" si="4"/>
        <v>0</v>
      </c>
      <c r="Y10" s="306">
        <f t="shared" ca="1" si="5"/>
        <v>0</v>
      </c>
      <c r="Z10" s="307">
        <f t="shared" ca="1" si="6"/>
        <v>0</v>
      </c>
      <c r="AC10" s="308" t="s">
        <v>98</v>
      </c>
      <c r="AD10" s="309">
        <f>IF('환경부사업(F)'!AD26="", "", '환경부사업(F)'!AD26)</f>
        <v>0</v>
      </c>
      <c r="AE10" s="310">
        <f ca="1">IF(OFFSET('환경부사업(F)'!AD26, 0, 5)="", "", OFFSET('환경부사업(F)'!AD26, 0, 5))</f>
        <v>0</v>
      </c>
      <c r="AF10" s="311">
        <f ca="1">IF(OFFSET('환경부사업(F)'!AD26, 0, 10)="", "", OFFSET('환경부사업(F)'!AD26, 0, 10))</f>
        <v>0</v>
      </c>
      <c r="AG10" s="305">
        <f t="shared" si="7"/>
        <v>0</v>
      </c>
      <c r="AH10" s="306">
        <f t="shared" ca="1" si="8"/>
        <v>0</v>
      </c>
      <c r="AI10" s="307">
        <f t="shared" ca="1" si="9"/>
        <v>0</v>
      </c>
      <c r="AL10" s="308" t="s">
        <v>98</v>
      </c>
      <c r="AM10" s="309">
        <f>IF('환경부사업(F)'!AD32="", "", '환경부사업(F)'!AD32)</f>
        <v>0</v>
      </c>
      <c r="AN10" s="310">
        <f ca="1">IF(OFFSET('환경부사업(F)'!AD32, 0, 5)="", "", OFFSET('환경부사업(F)'!AD32, 0, 5))</f>
        <v>0</v>
      </c>
      <c r="AO10" s="311">
        <f ca="1">IF(OFFSET('환경부사업(F)'!AD32, 0, 10)="", "", OFFSET('환경부사업(F)'!AD32, 0, 10))</f>
        <v>0</v>
      </c>
      <c r="AP10" s="305">
        <f t="shared" si="10"/>
        <v>0</v>
      </c>
      <c r="AQ10" s="306">
        <f t="shared" ca="1" si="11"/>
        <v>0</v>
      </c>
      <c r="AR10" s="307">
        <f t="shared" ca="1" si="12"/>
        <v>0</v>
      </c>
      <c r="AU10" s="308" t="s">
        <v>98</v>
      </c>
      <c r="AV10" s="309">
        <f>IF('환경부사업(F)'!AD38="", "", '환경부사업(F)'!AD38)</f>
        <v>0</v>
      </c>
      <c r="AW10" s="310">
        <f ca="1">IF(OFFSET('환경부사업(F)'!AD38, 0, 5)="", "", OFFSET('환경부사업(F)'!AD38, 0, 5))</f>
        <v>0</v>
      </c>
      <c r="AX10" s="311">
        <f ca="1">IF(OFFSET('환경부사업(F)'!AD38, 0, 10)="", "", OFFSET('환경부사업(F)'!AD38, 0, 10))</f>
        <v>0</v>
      </c>
      <c r="AY10" s="305">
        <f t="shared" si="13"/>
        <v>0</v>
      </c>
      <c r="AZ10" s="306">
        <f t="shared" ca="1" si="14"/>
        <v>0</v>
      </c>
      <c r="BA10" s="307">
        <f t="shared" ca="1" si="15"/>
        <v>0</v>
      </c>
      <c r="BD10" s="308" t="s">
        <v>98</v>
      </c>
      <c r="BE10" s="309">
        <f>IF('환경부사업(F)'!AD44="", "", '환경부사업(F)'!AD44)</f>
        <v>0</v>
      </c>
      <c r="BF10" s="310">
        <f ca="1">IF(OFFSET('환경부사업(F)'!AD44, 0, 5)="", "", OFFSET('환경부사업(F)'!AD44, 0, 5))</f>
        <v>0</v>
      </c>
      <c r="BG10" s="311">
        <f ca="1">IF(OFFSET('환경부사업(F)'!AD44, 0, 10)="", "", OFFSET('환경부사업(F)'!AD44, 0, 10))</f>
        <v>0</v>
      </c>
      <c r="BH10" s="305">
        <f t="shared" si="16"/>
        <v>0</v>
      </c>
      <c r="BI10" s="306">
        <f t="shared" ca="1" si="17"/>
        <v>0</v>
      </c>
      <c r="BJ10" s="307">
        <f t="shared" ca="1" si="18"/>
        <v>0</v>
      </c>
      <c r="BM10" s="308" t="s">
        <v>98</v>
      </c>
      <c r="BN10" s="309">
        <f>IF('환경부사업(F)'!AD50="", "", '환경부사업(F)'!AD50)</f>
        <v>1595.74</v>
      </c>
      <c r="BO10" s="310">
        <f ca="1">IF(OFFSET('환경부사업(F)'!AD50, 0, 5)="", "", OFFSET('환경부사업(F)'!AD50, 0, 5))</f>
        <v>3</v>
      </c>
      <c r="BP10" s="311">
        <f ca="1">IF(OFFSET('환경부사업(F)'!AD50, 0, 10)="", "", OFFSET('환경부사업(F)'!AD50, 0, 10))</f>
        <v>18.805</v>
      </c>
      <c r="BQ10" s="305">
        <f t="shared" si="19"/>
        <v>1595.74</v>
      </c>
      <c r="BR10" s="306">
        <f t="shared" ca="1" si="20"/>
        <v>3</v>
      </c>
      <c r="BS10" s="307">
        <f t="shared" ca="1" si="21"/>
        <v>18.805</v>
      </c>
      <c r="BV10" s="308" t="s">
        <v>98</v>
      </c>
      <c r="BW10" s="309">
        <f>IF('환경부사업(F)'!AD56="", "", '환경부사업(F)'!AD56)</f>
        <v>0</v>
      </c>
      <c r="BX10" s="310">
        <f ca="1">IF(OFFSET('환경부사업(F)'!AD56, 0, 5)="", "", OFFSET('환경부사업(F)'!AD56, 0, 5))</f>
        <v>0</v>
      </c>
      <c r="BY10" s="311">
        <f ca="1">IF(OFFSET('환경부사업(F)'!AD56, 0, 10)="", "", OFFSET('환경부사업(F)'!AD56, 0, 10))</f>
        <v>0</v>
      </c>
      <c r="BZ10" s="305">
        <f t="shared" si="22"/>
        <v>1595.74</v>
      </c>
      <c r="CA10" s="306">
        <f t="shared" ca="1" si="23"/>
        <v>3</v>
      </c>
      <c r="CB10" s="307">
        <f t="shared" ca="1" si="24"/>
        <v>18.805</v>
      </c>
      <c r="CE10" s="308" t="s">
        <v>98</v>
      </c>
      <c r="CF10" s="309">
        <f>IF('환경부사업(F)'!AD62="", "", '환경부사업(F)'!AD62)</f>
        <v>4186.24</v>
      </c>
      <c r="CG10" s="310">
        <f ca="1">IF(OFFSET('환경부사업(F)'!AD62, 0, 5)="", "", OFFSET('환경부사업(F)'!AD62, 0, 5))</f>
        <v>3</v>
      </c>
      <c r="CH10" s="311">
        <f ca="1">IF(OFFSET('환경부사업(F)'!AD62, 0, 10)="", "", OFFSET('환경부사업(F)'!AD62, 0, 10))</f>
        <v>51.314890269999999</v>
      </c>
      <c r="CI10" s="305">
        <f t="shared" si="25"/>
        <v>5781.98</v>
      </c>
      <c r="CJ10" s="306">
        <f t="shared" ca="1" si="26"/>
        <v>6</v>
      </c>
      <c r="CK10" s="307">
        <f t="shared" ca="1" si="27"/>
        <v>70.119890269999999</v>
      </c>
      <c r="CN10" s="308" t="s">
        <v>98</v>
      </c>
      <c r="CO10" s="309">
        <f>IF('환경부사업(F)'!AD68="", "", '환경부사업(F)'!AD68)</f>
        <v>3132.8</v>
      </c>
      <c r="CP10" s="310">
        <f ca="1">IF(OFFSET('환경부사업(F)'!AD68, 0, 5)="", "", OFFSET('환경부사업(F)'!AD68, 0, 5))</f>
        <v>2</v>
      </c>
      <c r="CQ10" s="311">
        <f ca="1">IF(OFFSET('환경부사업(F)'!AD68, 0, 10)="", "", OFFSET('환경부사업(F)'!AD68, 0, 10))</f>
        <v>47.400000000000006</v>
      </c>
      <c r="CR10" s="305">
        <f t="shared" si="28"/>
        <v>8914.7799999999988</v>
      </c>
      <c r="CS10" s="306">
        <f t="shared" ca="1" si="29"/>
        <v>8</v>
      </c>
      <c r="CT10" s="307">
        <f t="shared" ca="1" si="30"/>
        <v>117.51989027</v>
      </c>
      <c r="CW10" s="308" t="s">
        <v>98</v>
      </c>
      <c r="CX10" s="309">
        <f>IF('환경부사업(F)'!AD74="", "", '환경부사업(F)'!AD74)</f>
        <v>499.2</v>
      </c>
      <c r="CY10" s="310">
        <f ca="1">IF(OFFSET('환경부사업(F)'!AD74, 0, 5)="", "", OFFSET('환경부사업(F)'!AD74, 0, 5))</f>
        <v>1</v>
      </c>
      <c r="CZ10" s="311">
        <f ca="1">IF(OFFSET('환경부사업(F)'!AD74, 0, 10)="", "", OFFSET('환경부사업(F)'!AD74, 0, 10))</f>
        <v>7.78</v>
      </c>
      <c r="DA10" s="305">
        <f t="shared" si="31"/>
        <v>9413.98</v>
      </c>
      <c r="DB10" s="306">
        <f t="shared" ca="1" si="32"/>
        <v>9</v>
      </c>
      <c r="DC10" s="307">
        <f t="shared" ca="1" si="33"/>
        <v>125.29989027000001</v>
      </c>
    </row>
    <row r="11" spans="1:107" s="43" customFormat="1" ht="31.5" x14ac:dyDescent="0.25">
      <c r="B11" s="308" t="s">
        <v>45</v>
      </c>
      <c r="C11" s="309">
        <f>IF('프로젝트(G)'!AD8="", "", '프로젝트(G)'!AD8)</f>
        <v>0</v>
      </c>
      <c r="D11" s="310">
        <f ca="1">IF(OFFSET('프로젝트(G)'!AD8, 0, 5)="", "", OFFSET('프로젝트(G)'!AD8, 0, 5))</f>
        <v>0</v>
      </c>
      <c r="E11" s="311">
        <f ca="1">IF(OFFSET('프로젝트(G)'!AD8, 0, 10)="", "", OFFSET('프로젝트(G)'!AD8, 0, 10))</f>
        <v>0</v>
      </c>
      <c r="F11" s="305">
        <f t="shared" si="0"/>
        <v>0</v>
      </c>
      <c r="G11" s="306">
        <f t="shared" ca="1" si="0"/>
        <v>0</v>
      </c>
      <c r="H11" s="307">
        <f t="shared" ca="1" si="0"/>
        <v>0</v>
      </c>
      <c r="K11" s="308" t="s">
        <v>45</v>
      </c>
      <c r="L11" s="309">
        <f>IF('프로젝트(G)'!AD14="", "", '프로젝트(G)'!AD14)</f>
        <v>0</v>
      </c>
      <c r="M11" s="310">
        <f ca="1">IF(OFFSET('프로젝트(G)'!AD14, 0, 5)="", "", OFFSET('프로젝트(G)'!AD14, 0, 5))</f>
        <v>0</v>
      </c>
      <c r="N11" s="311">
        <f ca="1">IF(OFFSET('프로젝트(G)'!AD14, 0, 10)="", "", OFFSET('프로젝트(G)'!AD14, 0, 10))</f>
        <v>0</v>
      </c>
      <c r="O11" s="305">
        <f t="shared" si="1"/>
        <v>0</v>
      </c>
      <c r="P11" s="306">
        <f t="shared" ca="1" si="2"/>
        <v>0</v>
      </c>
      <c r="Q11" s="307">
        <f t="shared" ca="1" si="3"/>
        <v>0</v>
      </c>
      <c r="T11" s="308" t="s">
        <v>45</v>
      </c>
      <c r="U11" s="309">
        <f>IF('프로젝트(G)'!AD20="", "", '프로젝트(G)'!AD20)</f>
        <v>0</v>
      </c>
      <c r="V11" s="310">
        <f ca="1">IF(OFFSET('프로젝트(G)'!AD20, 0, 5)="", "", OFFSET('프로젝트(G)'!AD20, 0, 5))</f>
        <v>0</v>
      </c>
      <c r="W11" s="311">
        <f ca="1">IF(OFFSET('프로젝트(G)'!AD20, 0, 10)="", "", OFFSET('프로젝트(G)'!AD20, 0, 10))</f>
        <v>0</v>
      </c>
      <c r="X11" s="305">
        <f t="shared" si="4"/>
        <v>0</v>
      </c>
      <c r="Y11" s="306">
        <f t="shared" ca="1" si="5"/>
        <v>0</v>
      </c>
      <c r="Z11" s="307">
        <f t="shared" ca="1" si="6"/>
        <v>0</v>
      </c>
      <c r="AC11" s="308" t="s">
        <v>45</v>
      </c>
      <c r="AD11" s="309">
        <f>IF('프로젝트(G)'!AD26="", "", '프로젝트(G)'!AD26)</f>
        <v>0</v>
      </c>
      <c r="AE11" s="310">
        <f ca="1">IF(OFFSET('프로젝트(G)'!AD26, 0, 5)="", "", OFFSET('프로젝트(G)'!AD26, 0, 5))</f>
        <v>0</v>
      </c>
      <c r="AF11" s="311">
        <f ca="1">IF(OFFSET('프로젝트(G)'!AD26, 0, 10)="", "", OFFSET('프로젝트(G)'!AD26, 0, 10))</f>
        <v>0</v>
      </c>
      <c r="AG11" s="305">
        <f t="shared" si="7"/>
        <v>0</v>
      </c>
      <c r="AH11" s="306">
        <f t="shared" ca="1" si="8"/>
        <v>0</v>
      </c>
      <c r="AI11" s="307">
        <f t="shared" ca="1" si="9"/>
        <v>0</v>
      </c>
      <c r="AL11" s="308" t="s">
        <v>45</v>
      </c>
      <c r="AM11" s="309">
        <f>IF('프로젝트(G)'!AD32="", "", '프로젝트(G)'!AD32)</f>
        <v>0</v>
      </c>
      <c r="AN11" s="310">
        <f ca="1">IF(OFFSET('프로젝트(G)'!AD32, 0, 5)="", "", OFFSET('프로젝트(G)'!AD32, 0, 5))</f>
        <v>0</v>
      </c>
      <c r="AO11" s="311">
        <f ca="1">IF(OFFSET('프로젝트(G)'!AD32, 0, 10)="", "", OFFSET('프로젝트(G)'!AD32, 0, 10))</f>
        <v>0</v>
      </c>
      <c r="AP11" s="305">
        <f t="shared" si="10"/>
        <v>0</v>
      </c>
      <c r="AQ11" s="306">
        <f t="shared" ca="1" si="11"/>
        <v>0</v>
      </c>
      <c r="AR11" s="307">
        <f t="shared" ca="1" si="12"/>
        <v>0</v>
      </c>
      <c r="AU11" s="308" t="s">
        <v>45</v>
      </c>
      <c r="AV11" s="309">
        <f>IF('프로젝트(G)'!AD38="", "", '프로젝트(G)'!AD38)</f>
        <v>0</v>
      </c>
      <c r="AW11" s="310">
        <f ca="1">IF(OFFSET('프로젝트(G)'!AD38, 0, 5)="", "", OFFSET('프로젝트(G)'!AD38, 0, 5))</f>
        <v>0</v>
      </c>
      <c r="AX11" s="311">
        <f ca="1">IF(OFFSET('프로젝트(G)'!AD38, 0, 10)="", "", OFFSET('프로젝트(G)'!AD38, 0, 10))</f>
        <v>0</v>
      </c>
      <c r="AY11" s="305">
        <f t="shared" si="13"/>
        <v>0</v>
      </c>
      <c r="AZ11" s="306">
        <f t="shared" ca="1" si="14"/>
        <v>0</v>
      </c>
      <c r="BA11" s="307">
        <f t="shared" ca="1" si="15"/>
        <v>0</v>
      </c>
      <c r="BD11" s="308" t="s">
        <v>45</v>
      </c>
      <c r="BE11" s="309">
        <f>IF('프로젝트(G)'!AD44="", "", '프로젝트(G)'!AD44)</f>
        <v>0</v>
      </c>
      <c r="BF11" s="310">
        <f ca="1">IF(OFFSET('프로젝트(G)'!AD44, 0, 5)="", "", OFFSET('프로젝트(G)'!AD44, 0, 5))</f>
        <v>0</v>
      </c>
      <c r="BG11" s="311">
        <f ca="1">IF(OFFSET('프로젝트(G)'!AD44, 0, 10)="", "", OFFSET('프로젝트(G)'!AD44, 0, 10))</f>
        <v>0</v>
      </c>
      <c r="BH11" s="305">
        <f t="shared" si="16"/>
        <v>0</v>
      </c>
      <c r="BI11" s="306">
        <f t="shared" ca="1" si="17"/>
        <v>0</v>
      </c>
      <c r="BJ11" s="307">
        <f t="shared" ca="1" si="18"/>
        <v>0</v>
      </c>
      <c r="BM11" s="308" t="s">
        <v>45</v>
      </c>
      <c r="BN11" s="309">
        <f>IF('프로젝트(G)'!AD50="", "", '프로젝트(G)'!AD50)</f>
        <v>0</v>
      </c>
      <c r="BO11" s="310">
        <f ca="1">IF(OFFSET('프로젝트(G)'!AD50, 0, 5)="", "", OFFSET('프로젝트(G)'!AD50, 0, 5))</f>
        <v>0</v>
      </c>
      <c r="BP11" s="311">
        <f ca="1">IF(OFFSET('프로젝트(G)'!AD50, 0, 10)="", "", OFFSET('프로젝트(G)'!AD50, 0, 10))</f>
        <v>0</v>
      </c>
      <c r="BQ11" s="305">
        <f t="shared" si="19"/>
        <v>0</v>
      </c>
      <c r="BR11" s="306">
        <f t="shared" ca="1" si="20"/>
        <v>0</v>
      </c>
      <c r="BS11" s="307">
        <f t="shared" ca="1" si="21"/>
        <v>0</v>
      </c>
      <c r="BV11" s="308" t="s">
        <v>45</v>
      </c>
      <c r="BW11" s="309">
        <f>IF('프로젝트(G)'!AD56="", "", '프로젝트(G)'!AD56)</f>
        <v>0</v>
      </c>
      <c r="BX11" s="310">
        <f ca="1">IF(OFFSET('프로젝트(G)'!AD56, 0, 5)="", "", OFFSET('프로젝트(G)'!AD56, 0, 5))</f>
        <v>0</v>
      </c>
      <c r="BY11" s="311">
        <f ca="1">IF(OFFSET('프로젝트(G)'!AD56, 0, 10)="", "", OFFSET('프로젝트(G)'!AD56, 0, 10))</f>
        <v>0</v>
      </c>
      <c r="BZ11" s="305">
        <f t="shared" si="22"/>
        <v>0</v>
      </c>
      <c r="CA11" s="306">
        <f t="shared" ca="1" si="23"/>
        <v>0</v>
      </c>
      <c r="CB11" s="307">
        <f t="shared" ca="1" si="24"/>
        <v>0</v>
      </c>
      <c r="CE11" s="308" t="s">
        <v>45</v>
      </c>
      <c r="CF11" s="309">
        <f>IF('프로젝트(G)'!AD62="", "", '프로젝트(G)'!AD62)</f>
        <v>0</v>
      </c>
      <c r="CG11" s="310">
        <f ca="1">IF(OFFSET('프로젝트(G)'!AD62, 0, 5)="", "", OFFSET('프로젝트(G)'!AD62, 0, 5))</f>
        <v>0</v>
      </c>
      <c r="CH11" s="311">
        <f ca="1">IF(OFFSET('프로젝트(G)'!AD62, 0, 10)="", "", OFFSET('프로젝트(G)'!AD62, 0, 10))</f>
        <v>0</v>
      </c>
      <c r="CI11" s="305">
        <f t="shared" si="25"/>
        <v>0</v>
      </c>
      <c r="CJ11" s="306">
        <f t="shared" ca="1" si="26"/>
        <v>0</v>
      </c>
      <c r="CK11" s="307">
        <f t="shared" ca="1" si="27"/>
        <v>0</v>
      </c>
      <c r="CN11" s="308" t="s">
        <v>45</v>
      </c>
      <c r="CO11" s="309">
        <f>IF('프로젝트(G)'!AD68="", "", '프로젝트(G)'!AD68)</f>
        <v>0</v>
      </c>
      <c r="CP11" s="310">
        <f ca="1">IF(OFFSET('프로젝트(G)'!AD68, 0, 5)="", "", OFFSET('프로젝트(G)'!AD68, 0, 5))</f>
        <v>0</v>
      </c>
      <c r="CQ11" s="311">
        <f ca="1">IF(OFFSET('프로젝트(G)'!AD68, 0, 10)="", "", OFFSET('프로젝트(G)'!AD68, 0, 10))</f>
        <v>0</v>
      </c>
      <c r="CR11" s="305">
        <f t="shared" si="28"/>
        <v>0</v>
      </c>
      <c r="CS11" s="306">
        <f t="shared" ca="1" si="29"/>
        <v>0</v>
      </c>
      <c r="CT11" s="307">
        <f t="shared" ca="1" si="30"/>
        <v>0</v>
      </c>
      <c r="CW11" s="308" t="s">
        <v>45</v>
      </c>
      <c r="CX11" s="309">
        <f>IF('프로젝트(G)'!AD74="", "", '프로젝트(G)'!AD74)</f>
        <v>0</v>
      </c>
      <c r="CY11" s="310">
        <f ca="1">IF(OFFSET('프로젝트(G)'!AD74, 0, 5)="", "", OFFSET('프로젝트(G)'!AD74, 0, 5))</f>
        <v>0</v>
      </c>
      <c r="CZ11" s="311">
        <f ca="1">IF(OFFSET('프로젝트(G)'!AD74, 0, 10)="", "", OFFSET('프로젝트(G)'!AD74, 0, 10))</f>
        <v>0</v>
      </c>
      <c r="DA11" s="305">
        <f t="shared" si="31"/>
        <v>0</v>
      </c>
      <c r="DB11" s="306">
        <f t="shared" ca="1" si="32"/>
        <v>0</v>
      </c>
      <c r="DC11" s="307">
        <f t="shared" ca="1" si="33"/>
        <v>0</v>
      </c>
    </row>
    <row r="12" spans="1:107" s="43" customFormat="1" ht="31.5" x14ac:dyDescent="0.25">
      <c r="B12" s="308" t="s">
        <v>99</v>
      </c>
      <c r="C12" s="309">
        <f>IF('협력사 EPC(H)'!AD8="", "", '협력사 EPC(H)'!AD8)</f>
        <v>0</v>
      </c>
      <c r="D12" s="310">
        <f ca="1">IF(OFFSET('협력사 EPC(H)'!AD8, 0, 5)="", "", OFFSET('협력사 EPC(H)'!AD8, 0, 5))</f>
        <v>0</v>
      </c>
      <c r="E12" s="311">
        <f ca="1">IF(OFFSET('협력사 EPC(H)'!AD8, 0, 10)="", "", OFFSET('협력사 EPC(H)'!AD8, 0, 10))</f>
        <v>0</v>
      </c>
      <c r="F12" s="305">
        <f t="shared" si="0"/>
        <v>0</v>
      </c>
      <c r="G12" s="306">
        <f t="shared" ca="1" si="0"/>
        <v>0</v>
      </c>
      <c r="H12" s="307">
        <f t="shared" ca="1" si="0"/>
        <v>0</v>
      </c>
      <c r="K12" s="308" t="s">
        <v>99</v>
      </c>
      <c r="L12" s="309">
        <f>IF('협력사 EPC(H)'!AD14="", "", '협력사 EPC(H)'!AD14)</f>
        <v>0</v>
      </c>
      <c r="M12" s="310">
        <f ca="1">IF(OFFSET('협력사 EPC(H)'!AD14, 0, 5)="", "", OFFSET('협력사 EPC(H)'!AD14, 0, 5))</f>
        <v>0</v>
      </c>
      <c r="N12" s="311">
        <f ca="1">IF(OFFSET('협력사 EPC(H)'!AD14, 0, 10)="", "", OFFSET('협력사 EPC(H)'!AD14, 0, 10))</f>
        <v>0</v>
      </c>
      <c r="O12" s="305">
        <f t="shared" si="1"/>
        <v>0</v>
      </c>
      <c r="P12" s="306">
        <f t="shared" ca="1" si="2"/>
        <v>0</v>
      </c>
      <c r="Q12" s="307">
        <f t="shared" ca="1" si="3"/>
        <v>0</v>
      </c>
      <c r="T12" s="308" t="s">
        <v>99</v>
      </c>
      <c r="U12" s="309">
        <f>IF('협력사 EPC(H)'!AD20="", "", '협력사 EPC(H)'!AD20)</f>
        <v>0</v>
      </c>
      <c r="V12" s="310">
        <f ca="1">IF(OFFSET('협력사 EPC(H)'!AD20, 0, 5)="", "", OFFSET('협력사 EPC(H)'!AD20, 0, 5))</f>
        <v>0</v>
      </c>
      <c r="W12" s="311">
        <f ca="1">IF(OFFSET('협력사 EPC(H)'!AD20, 0, 10)="", "", OFFSET('협력사 EPC(H)'!AD20, 0, 10))</f>
        <v>0</v>
      </c>
      <c r="X12" s="305">
        <f t="shared" si="4"/>
        <v>0</v>
      </c>
      <c r="Y12" s="306">
        <f t="shared" ca="1" si="5"/>
        <v>0</v>
      </c>
      <c r="Z12" s="307">
        <f t="shared" ca="1" si="6"/>
        <v>0</v>
      </c>
      <c r="AC12" s="308" t="s">
        <v>99</v>
      </c>
      <c r="AD12" s="309">
        <f>IF('협력사 EPC(H)'!AD26="", "", '협력사 EPC(H)'!AD26)</f>
        <v>0</v>
      </c>
      <c r="AE12" s="310">
        <f ca="1">IF(OFFSET('협력사 EPC(H)'!AD26, 0, 5)="", "", OFFSET('협력사 EPC(H)'!AD26, 0, 5))</f>
        <v>0</v>
      </c>
      <c r="AF12" s="311">
        <f ca="1">IF(OFFSET('협력사 EPC(H)'!AD26, 0, 10)="", "", OFFSET('협력사 EPC(H)'!AD26, 0, 10))</f>
        <v>0</v>
      </c>
      <c r="AG12" s="305">
        <f t="shared" si="7"/>
        <v>0</v>
      </c>
      <c r="AH12" s="306">
        <f t="shared" ca="1" si="8"/>
        <v>0</v>
      </c>
      <c r="AI12" s="307">
        <f t="shared" ca="1" si="9"/>
        <v>0</v>
      </c>
      <c r="AL12" s="308" t="s">
        <v>99</v>
      </c>
      <c r="AM12" s="309">
        <f>IF('협력사 EPC(H)'!AD32="", "", '협력사 EPC(H)'!AD32)</f>
        <v>0</v>
      </c>
      <c r="AN12" s="310">
        <f ca="1">IF(OFFSET('협력사 EPC(H)'!AD32, 0, 5)="", "", OFFSET('협력사 EPC(H)'!AD32, 0, 5))</f>
        <v>0</v>
      </c>
      <c r="AO12" s="311">
        <f ca="1">IF(OFFSET('협력사 EPC(H)'!AD32, 0, 10)="", "", OFFSET('협력사 EPC(H)'!AD32, 0, 10))</f>
        <v>0</v>
      </c>
      <c r="AP12" s="305">
        <f t="shared" si="10"/>
        <v>0</v>
      </c>
      <c r="AQ12" s="306">
        <f t="shared" ca="1" si="11"/>
        <v>0</v>
      </c>
      <c r="AR12" s="307">
        <f t="shared" ca="1" si="12"/>
        <v>0</v>
      </c>
      <c r="AU12" s="308" t="s">
        <v>99</v>
      </c>
      <c r="AV12" s="309">
        <f>IF('협력사 EPC(H)'!AD38="", "", '협력사 EPC(H)'!AD38)</f>
        <v>69</v>
      </c>
      <c r="AW12" s="310">
        <f ca="1">IF(OFFSET('협력사 EPC(H)'!AD38, 0, 5)="", "", OFFSET('협력사 EPC(H)'!AD38, 0, 5))</f>
        <v>1</v>
      </c>
      <c r="AX12" s="311">
        <f ca="1">IF(OFFSET('협력사 EPC(H)'!AD38, 0, 10)="", "", OFFSET('협력사 EPC(H)'!AD38, 0, 10))</f>
        <v>1.0620909090909092</v>
      </c>
      <c r="AY12" s="305">
        <f t="shared" si="13"/>
        <v>69</v>
      </c>
      <c r="AZ12" s="306">
        <f t="shared" ca="1" si="14"/>
        <v>1</v>
      </c>
      <c r="BA12" s="307">
        <f t="shared" ca="1" si="15"/>
        <v>1.0620909090909092</v>
      </c>
      <c r="BD12" s="308" t="s">
        <v>99</v>
      </c>
      <c r="BE12" s="309">
        <f>IF('협력사 EPC(H)'!AD44="", "", '협력사 EPC(H)'!AD44)</f>
        <v>0</v>
      </c>
      <c r="BF12" s="310">
        <f ca="1">IF(OFFSET('협력사 EPC(H)'!AD44, 0, 5)="", "", OFFSET('협력사 EPC(H)'!AD44, 0, 5))</f>
        <v>0</v>
      </c>
      <c r="BG12" s="311">
        <f ca="1">IF(OFFSET('협력사 EPC(H)'!AD44, 0, 10)="", "", OFFSET('협력사 EPC(H)'!AD44, 0, 10))</f>
        <v>0</v>
      </c>
      <c r="BH12" s="305">
        <f t="shared" si="16"/>
        <v>69</v>
      </c>
      <c r="BI12" s="306">
        <f t="shared" ca="1" si="17"/>
        <v>1</v>
      </c>
      <c r="BJ12" s="307">
        <f t="shared" ca="1" si="18"/>
        <v>1.0620909090909092</v>
      </c>
      <c r="BM12" s="308" t="s">
        <v>99</v>
      </c>
      <c r="BN12" s="309">
        <f>IF('협력사 EPC(H)'!AD50="", "", '협력사 EPC(H)'!AD50)</f>
        <v>0</v>
      </c>
      <c r="BO12" s="310">
        <f ca="1">IF(OFFSET('협력사 EPC(H)'!AD50, 0, 5)="", "", OFFSET('협력사 EPC(H)'!AD50, 0, 5))</f>
        <v>0</v>
      </c>
      <c r="BP12" s="311">
        <f ca="1">IF(OFFSET('협력사 EPC(H)'!AD50, 0, 10)="", "", OFFSET('협력사 EPC(H)'!AD50, 0, 10))</f>
        <v>0</v>
      </c>
      <c r="BQ12" s="305">
        <f t="shared" si="19"/>
        <v>69</v>
      </c>
      <c r="BR12" s="306">
        <f t="shared" ca="1" si="20"/>
        <v>1</v>
      </c>
      <c r="BS12" s="307">
        <f t="shared" ca="1" si="21"/>
        <v>1.0620909090909092</v>
      </c>
      <c r="BV12" s="308" t="s">
        <v>99</v>
      </c>
      <c r="BW12" s="309">
        <f>IF('협력사 EPC(H)'!AD56="", "", '협력사 EPC(H)'!AD56)</f>
        <v>0</v>
      </c>
      <c r="BX12" s="310">
        <f ca="1">IF(OFFSET('협력사 EPC(H)'!AD56, 0, 5)="", "", OFFSET('협력사 EPC(H)'!AD56, 0, 5))</f>
        <v>0</v>
      </c>
      <c r="BY12" s="311">
        <f ca="1">IF(OFFSET('협력사 EPC(H)'!AD56, 0, 10)="", "", OFFSET('협력사 EPC(H)'!AD56, 0, 10))</f>
        <v>0</v>
      </c>
      <c r="BZ12" s="305">
        <f t="shared" si="22"/>
        <v>69</v>
      </c>
      <c r="CA12" s="306">
        <f t="shared" ca="1" si="23"/>
        <v>1</v>
      </c>
      <c r="CB12" s="307">
        <f t="shared" ca="1" si="24"/>
        <v>1.0620909090909092</v>
      </c>
      <c r="CE12" s="308" t="s">
        <v>99</v>
      </c>
      <c r="CF12" s="309">
        <f>IF('협력사 EPC(H)'!AD62="", "", '협력사 EPC(H)'!AD62)</f>
        <v>0</v>
      </c>
      <c r="CG12" s="310">
        <f ca="1">IF(OFFSET('협력사 EPC(H)'!AD62, 0, 5)="", "", OFFSET('협력사 EPC(H)'!AD62, 0, 5))</f>
        <v>0</v>
      </c>
      <c r="CH12" s="311">
        <f ca="1">IF(OFFSET('협력사 EPC(H)'!AD62, 0, 10)="", "", OFFSET('협력사 EPC(H)'!AD62, 0, 10))</f>
        <v>0</v>
      </c>
      <c r="CI12" s="305">
        <f t="shared" si="25"/>
        <v>69</v>
      </c>
      <c r="CJ12" s="306">
        <f t="shared" ca="1" si="26"/>
        <v>1</v>
      </c>
      <c r="CK12" s="307">
        <f t="shared" ca="1" si="27"/>
        <v>1.0620909090909092</v>
      </c>
      <c r="CN12" s="308" t="s">
        <v>99</v>
      </c>
      <c r="CO12" s="309">
        <f>IF('협력사 EPC(H)'!AD68="", "", '협력사 EPC(H)'!AD68)</f>
        <v>0</v>
      </c>
      <c r="CP12" s="310">
        <f ca="1">IF(OFFSET('협력사 EPC(H)'!AD68, 0, 5)="", "", OFFSET('협력사 EPC(H)'!AD68, 0, 5))</f>
        <v>0</v>
      </c>
      <c r="CQ12" s="311">
        <f ca="1">IF(OFFSET('협력사 EPC(H)'!AD68, 0, 10)="", "", OFFSET('협력사 EPC(H)'!AD68, 0, 10))</f>
        <v>0</v>
      </c>
      <c r="CR12" s="305">
        <f t="shared" si="28"/>
        <v>69</v>
      </c>
      <c r="CS12" s="306">
        <f t="shared" ca="1" si="29"/>
        <v>1</v>
      </c>
      <c r="CT12" s="307">
        <f t="shared" ca="1" si="30"/>
        <v>1.0620909090909092</v>
      </c>
      <c r="CW12" s="308" t="s">
        <v>99</v>
      </c>
      <c r="CX12" s="309">
        <f>IF('협력사 EPC(H)'!AD74="", "", '협력사 EPC(H)'!AD74)</f>
        <v>0</v>
      </c>
      <c r="CY12" s="310">
        <f ca="1">IF(OFFSET('협력사 EPC(H)'!AD74, 0, 5)="", "", OFFSET('협력사 EPC(H)'!AD74, 0, 5))</f>
        <v>0</v>
      </c>
      <c r="CZ12" s="311">
        <f ca="1">IF(OFFSET('협력사 EPC(H)'!AD74, 0, 10)="", "", OFFSET('협력사 EPC(H)'!AD74, 0, 10))</f>
        <v>0</v>
      </c>
      <c r="DA12" s="305">
        <f t="shared" si="31"/>
        <v>69</v>
      </c>
      <c r="DB12" s="306">
        <f t="shared" ca="1" si="32"/>
        <v>1</v>
      </c>
      <c r="DC12" s="307">
        <f t="shared" ca="1" si="33"/>
        <v>1.0620909090909092</v>
      </c>
    </row>
    <row r="13" spans="1:107" s="43" customFormat="1" ht="31.5" x14ac:dyDescent="0.25">
      <c r="B13" s="308" t="s">
        <v>100</v>
      </c>
      <c r="C13" s="309">
        <f>IF('협력사 하도(I)'!AD8="", "", '협력사 하도(I)'!AD8)</f>
        <v>0</v>
      </c>
      <c r="D13" s="310">
        <f ca="1">IF(OFFSET('협력사 하도(I)'!AD8, 0, 5)="", "", OFFSET('협력사 하도(I)'!AD8, 0, 5))</f>
        <v>0</v>
      </c>
      <c r="E13" s="311">
        <f ca="1">IF(OFFSET('협력사 하도(I)'!AD8, 0, 10)="", "", OFFSET('협력사 하도(I)'!AD8, 0, 10))</f>
        <v>0</v>
      </c>
      <c r="F13" s="305">
        <f t="shared" si="0"/>
        <v>0</v>
      </c>
      <c r="G13" s="306">
        <f t="shared" ca="1" si="0"/>
        <v>0</v>
      </c>
      <c r="H13" s="307">
        <f t="shared" ca="1" si="0"/>
        <v>0</v>
      </c>
      <c r="K13" s="308" t="s">
        <v>100</v>
      </c>
      <c r="L13" s="309">
        <f>IF('협력사 하도(I)'!AD14="", "", '협력사 하도(I)'!AD14)</f>
        <v>0</v>
      </c>
      <c r="M13" s="310">
        <f ca="1">IF(OFFSET('협력사 하도(I)'!AD14, 0, 5)="", "", OFFSET('협력사 하도(I)'!AD14, 0, 5))</f>
        <v>0</v>
      </c>
      <c r="N13" s="311">
        <f ca="1">IF(OFFSET('협력사 하도(I)'!AD14, 0, 10)="", "", OFFSET('협력사 하도(I)'!AD14, 0, 10))</f>
        <v>0</v>
      </c>
      <c r="O13" s="305">
        <f t="shared" si="1"/>
        <v>0</v>
      </c>
      <c r="P13" s="306">
        <f t="shared" ca="1" si="2"/>
        <v>0</v>
      </c>
      <c r="Q13" s="307">
        <f t="shared" ca="1" si="3"/>
        <v>0</v>
      </c>
      <c r="T13" s="308" t="s">
        <v>100</v>
      </c>
      <c r="U13" s="309">
        <f>IF('협력사 하도(I)'!AD20="", "", '협력사 하도(I)'!AD20)</f>
        <v>0</v>
      </c>
      <c r="V13" s="310">
        <f ca="1">IF(OFFSET('협력사 하도(I)'!AD20, 0, 5)="", "", OFFSET('협력사 하도(I)'!AD20, 0, 5))</f>
        <v>0</v>
      </c>
      <c r="W13" s="311">
        <f ca="1">IF(OFFSET('협력사 하도(I)'!AD20, 0, 10)="", "", OFFSET('협력사 하도(I)'!AD20, 0, 10))</f>
        <v>0</v>
      </c>
      <c r="X13" s="305">
        <f t="shared" si="4"/>
        <v>0</v>
      </c>
      <c r="Y13" s="306">
        <f t="shared" ca="1" si="5"/>
        <v>0</v>
      </c>
      <c r="Z13" s="307">
        <f t="shared" ca="1" si="6"/>
        <v>0</v>
      </c>
      <c r="AC13" s="308" t="s">
        <v>100</v>
      </c>
      <c r="AD13" s="309">
        <f>IF('협력사 하도(I)'!AD26="", "", '협력사 하도(I)'!AD26)</f>
        <v>0</v>
      </c>
      <c r="AE13" s="310">
        <f ca="1">IF(OFFSET('협력사 하도(I)'!AD26, 0, 5)="", "", OFFSET('협력사 하도(I)'!AD26, 0, 5))</f>
        <v>0</v>
      </c>
      <c r="AF13" s="311">
        <f ca="1">IF(OFFSET('협력사 하도(I)'!AD26, 0, 10)="", "", OFFSET('협력사 하도(I)'!AD26, 0, 10))</f>
        <v>0</v>
      </c>
      <c r="AG13" s="305">
        <f t="shared" si="7"/>
        <v>0</v>
      </c>
      <c r="AH13" s="306">
        <f t="shared" ca="1" si="8"/>
        <v>0</v>
      </c>
      <c r="AI13" s="307">
        <f t="shared" ca="1" si="9"/>
        <v>0</v>
      </c>
      <c r="AL13" s="308" t="s">
        <v>100</v>
      </c>
      <c r="AM13" s="309">
        <f>IF('협력사 하도(I)'!AD32="", "", '협력사 하도(I)'!AD32)</f>
        <v>0</v>
      </c>
      <c r="AN13" s="310">
        <f ca="1">IF(OFFSET('협력사 하도(I)'!AD32, 0, 5)="", "", OFFSET('협력사 하도(I)'!AD32, 0, 5))</f>
        <v>0</v>
      </c>
      <c r="AO13" s="311">
        <f ca="1">IF(OFFSET('협력사 하도(I)'!AD32, 0, 10)="", "", OFFSET('협력사 하도(I)'!AD32, 0, 10))</f>
        <v>0</v>
      </c>
      <c r="AP13" s="305">
        <f t="shared" si="10"/>
        <v>0</v>
      </c>
      <c r="AQ13" s="306">
        <f t="shared" ca="1" si="11"/>
        <v>0</v>
      </c>
      <c r="AR13" s="307">
        <f t="shared" ca="1" si="12"/>
        <v>0</v>
      </c>
      <c r="AU13" s="308" t="s">
        <v>100</v>
      </c>
      <c r="AV13" s="309">
        <f>IF('협력사 하도(I)'!AD38="", "", '협력사 하도(I)'!AD38)</f>
        <v>0</v>
      </c>
      <c r="AW13" s="310">
        <f ca="1">IF(OFFSET('협력사 하도(I)'!AD38, 0, 5)="", "", OFFSET('협력사 하도(I)'!AD38, 0, 5))</f>
        <v>0</v>
      </c>
      <c r="AX13" s="311">
        <f ca="1">IF(OFFSET('협력사 하도(I)'!AD38, 0, 10)="", "", OFFSET('협력사 하도(I)'!AD38, 0, 10))</f>
        <v>0</v>
      </c>
      <c r="AY13" s="305">
        <f t="shared" si="13"/>
        <v>0</v>
      </c>
      <c r="AZ13" s="306">
        <f t="shared" ca="1" si="14"/>
        <v>0</v>
      </c>
      <c r="BA13" s="307">
        <f t="shared" ca="1" si="15"/>
        <v>0</v>
      </c>
      <c r="BD13" s="308" t="s">
        <v>100</v>
      </c>
      <c r="BE13" s="309">
        <f>IF('협력사 하도(I)'!AD44="", "", '협력사 하도(I)'!AD44)</f>
        <v>0</v>
      </c>
      <c r="BF13" s="310">
        <f ca="1">IF(OFFSET('협력사 하도(I)'!AD44, 0, 5)="", "", OFFSET('협력사 하도(I)'!AD44, 0, 5))</f>
        <v>0</v>
      </c>
      <c r="BG13" s="311">
        <f ca="1">IF(OFFSET('협력사 하도(I)'!AD44, 0, 10)="", "", OFFSET('협력사 하도(I)'!AD44, 0, 10))</f>
        <v>0</v>
      </c>
      <c r="BH13" s="305">
        <f t="shared" si="16"/>
        <v>0</v>
      </c>
      <c r="BI13" s="306">
        <f t="shared" ca="1" si="17"/>
        <v>0</v>
      </c>
      <c r="BJ13" s="307">
        <f t="shared" ca="1" si="18"/>
        <v>0</v>
      </c>
      <c r="BM13" s="308" t="s">
        <v>100</v>
      </c>
      <c r="BN13" s="309">
        <f>IF('협력사 하도(I)'!AD50="", "", '협력사 하도(I)'!AD50)</f>
        <v>0</v>
      </c>
      <c r="BO13" s="310">
        <f ca="1">IF(OFFSET('협력사 하도(I)'!AD50, 0, 5)="", "", OFFSET('협력사 하도(I)'!AD50, 0, 5))</f>
        <v>0</v>
      </c>
      <c r="BP13" s="311">
        <f ca="1">IF(OFFSET('협력사 하도(I)'!AD50, 0, 10)="", "", OFFSET('협력사 하도(I)'!AD50, 0, 10))</f>
        <v>0</v>
      </c>
      <c r="BQ13" s="305">
        <f t="shared" si="19"/>
        <v>0</v>
      </c>
      <c r="BR13" s="306">
        <f t="shared" ca="1" si="20"/>
        <v>0</v>
      </c>
      <c r="BS13" s="307">
        <f t="shared" ca="1" si="21"/>
        <v>0</v>
      </c>
      <c r="BV13" s="308" t="s">
        <v>100</v>
      </c>
      <c r="BW13" s="309">
        <f>IF('협력사 하도(I)'!AD56="", "", '협력사 하도(I)'!AD56)</f>
        <v>0</v>
      </c>
      <c r="BX13" s="310">
        <f ca="1">IF(OFFSET('협력사 하도(I)'!AD56, 0, 5)="", "", OFFSET('협력사 하도(I)'!AD56, 0, 5))</f>
        <v>0</v>
      </c>
      <c r="BY13" s="311">
        <f ca="1">IF(OFFSET('협력사 하도(I)'!AD56, 0, 10)="", "", OFFSET('협력사 하도(I)'!AD56, 0, 10))</f>
        <v>0</v>
      </c>
      <c r="BZ13" s="305">
        <f t="shared" si="22"/>
        <v>0</v>
      </c>
      <c r="CA13" s="306">
        <f t="shared" ca="1" si="23"/>
        <v>0</v>
      </c>
      <c r="CB13" s="307">
        <f t="shared" ca="1" si="24"/>
        <v>0</v>
      </c>
      <c r="CE13" s="308" t="s">
        <v>100</v>
      </c>
      <c r="CF13" s="309">
        <f>IF('협력사 하도(I)'!AD62="", "", '협력사 하도(I)'!AD62)</f>
        <v>0</v>
      </c>
      <c r="CG13" s="310">
        <f ca="1">IF(OFFSET('협력사 하도(I)'!AD62, 0, 5)="", "", OFFSET('협력사 하도(I)'!AD62, 0, 5))</f>
        <v>0</v>
      </c>
      <c r="CH13" s="311">
        <f ca="1">IF(OFFSET('협력사 하도(I)'!AD62, 0, 10)="", "", OFFSET('협력사 하도(I)'!AD62, 0, 10))</f>
        <v>0</v>
      </c>
      <c r="CI13" s="305">
        <f t="shared" si="25"/>
        <v>0</v>
      </c>
      <c r="CJ13" s="306">
        <f t="shared" ca="1" si="26"/>
        <v>0</v>
      </c>
      <c r="CK13" s="307">
        <f t="shared" ca="1" si="27"/>
        <v>0</v>
      </c>
      <c r="CN13" s="308" t="s">
        <v>100</v>
      </c>
      <c r="CO13" s="309">
        <f>IF('협력사 하도(I)'!AD68="", "", '협력사 하도(I)'!AD68)</f>
        <v>0</v>
      </c>
      <c r="CP13" s="310">
        <f ca="1">IF(OFFSET('협력사 하도(I)'!AD68, 0, 5)="", "", OFFSET('협력사 하도(I)'!AD68, 0, 5))</f>
        <v>0</v>
      </c>
      <c r="CQ13" s="311">
        <f ca="1">IF(OFFSET('협력사 하도(I)'!AD68, 0, 10)="", "", OFFSET('협력사 하도(I)'!AD68, 0, 10))</f>
        <v>0</v>
      </c>
      <c r="CR13" s="305">
        <f t="shared" si="28"/>
        <v>0</v>
      </c>
      <c r="CS13" s="306">
        <f t="shared" ca="1" si="29"/>
        <v>0</v>
      </c>
      <c r="CT13" s="307">
        <f t="shared" ca="1" si="30"/>
        <v>0</v>
      </c>
      <c r="CW13" s="308" t="s">
        <v>100</v>
      </c>
      <c r="CX13" s="309">
        <f>IF('협력사 하도(I)'!AD74="", "", '협력사 하도(I)'!AD74)</f>
        <v>0</v>
      </c>
      <c r="CY13" s="310">
        <f ca="1">IF(OFFSET('협력사 하도(I)'!AD74, 0, 5)="", "", OFFSET('협력사 하도(I)'!AD74, 0, 5))</f>
        <v>0</v>
      </c>
      <c r="CZ13" s="311">
        <f ca="1">IF(OFFSET('협력사 하도(I)'!AD74, 0, 10)="", "", OFFSET('협력사 하도(I)'!AD74, 0, 10))</f>
        <v>0</v>
      </c>
      <c r="DA13" s="305">
        <f t="shared" si="31"/>
        <v>0</v>
      </c>
      <c r="DB13" s="306">
        <f t="shared" ca="1" si="32"/>
        <v>0</v>
      </c>
      <c r="DC13" s="307">
        <f t="shared" ca="1" si="33"/>
        <v>0</v>
      </c>
    </row>
    <row r="14" spans="1:107" s="43" customFormat="1" ht="32.25" thickBot="1" x14ac:dyDescent="0.3">
      <c r="B14" s="308" t="s">
        <v>46</v>
      </c>
      <c r="C14" s="309">
        <f>IF('기타(Z)'!AD8="", "", '기타(Z)'!AD8)</f>
        <v>0</v>
      </c>
      <c r="D14" s="310">
        <f ca="1">IF(OFFSET('기타(Z)'!AD8, 0, 5)="", "", OFFSET('기타(Z)'!AD8, 0, 5))</f>
        <v>0</v>
      </c>
      <c r="E14" s="311">
        <f ca="1">IF(OFFSET('기타(Z)'!AD8, 0, 10)="", "", OFFSET('기타(Z)'!AD8, 0, 10))</f>
        <v>0</v>
      </c>
      <c r="F14" s="305">
        <f t="shared" si="0"/>
        <v>0</v>
      </c>
      <c r="G14" s="306">
        <f t="shared" ca="1" si="0"/>
        <v>0</v>
      </c>
      <c r="H14" s="307">
        <f t="shared" ca="1" si="0"/>
        <v>0</v>
      </c>
      <c r="K14" s="308" t="s">
        <v>46</v>
      </c>
      <c r="L14" s="309">
        <f>IF('기타(Z)'!AD14="", "", '기타(Z)'!AD14)</f>
        <v>0</v>
      </c>
      <c r="M14" s="310">
        <f ca="1">IF(OFFSET('기타(Z)'!AD14, 0, 5)="", "", OFFSET('기타(Z)'!AD14, 0, 5))</f>
        <v>0</v>
      </c>
      <c r="N14" s="311">
        <f ca="1">IF(OFFSET('기타(Z)'!AD14, 0, 10)="", "", OFFSET('기타(Z)'!AD14, 0, 10))</f>
        <v>0</v>
      </c>
      <c r="O14" s="305">
        <f t="shared" si="1"/>
        <v>0</v>
      </c>
      <c r="P14" s="306">
        <f t="shared" ca="1" si="2"/>
        <v>0</v>
      </c>
      <c r="Q14" s="307">
        <f t="shared" ca="1" si="3"/>
        <v>0</v>
      </c>
      <c r="T14" s="308" t="s">
        <v>46</v>
      </c>
      <c r="U14" s="309">
        <f>IF('기타(Z)'!AD20="", "", '기타(Z)'!AD20)</f>
        <v>0</v>
      </c>
      <c r="V14" s="310">
        <f ca="1">IF(OFFSET('기타(Z)'!AD20, 0, 5)="", "", OFFSET('기타(Z)'!AD20, 0, 5))</f>
        <v>0</v>
      </c>
      <c r="W14" s="311">
        <f ca="1">IF(OFFSET('기타(Z)'!AD20, 0, 10)="", "", OFFSET('기타(Z)'!AD20, 0, 10))</f>
        <v>0</v>
      </c>
      <c r="X14" s="305">
        <f t="shared" si="4"/>
        <v>0</v>
      </c>
      <c r="Y14" s="306">
        <f t="shared" ca="1" si="5"/>
        <v>0</v>
      </c>
      <c r="Z14" s="307">
        <f t="shared" ca="1" si="6"/>
        <v>0</v>
      </c>
      <c r="AC14" s="308" t="s">
        <v>46</v>
      </c>
      <c r="AD14" s="309">
        <f>IF('기타(Z)'!AD26="", "", '기타(Z)'!AD26)</f>
        <v>0</v>
      </c>
      <c r="AE14" s="310">
        <f ca="1">IF(OFFSET('기타(Z)'!AD26, 0, 5)="", "", OFFSET('기타(Z)'!AD26, 0, 5))</f>
        <v>0</v>
      </c>
      <c r="AF14" s="311">
        <f ca="1">IF(OFFSET('기타(Z)'!AD26, 0, 10)="", "", OFFSET('기타(Z)'!AD26, 0, 10))</f>
        <v>0</v>
      </c>
      <c r="AG14" s="305">
        <f t="shared" si="7"/>
        <v>0</v>
      </c>
      <c r="AH14" s="306">
        <f t="shared" ca="1" si="8"/>
        <v>0</v>
      </c>
      <c r="AI14" s="307">
        <f t="shared" ca="1" si="9"/>
        <v>0</v>
      </c>
      <c r="AL14" s="308" t="s">
        <v>46</v>
      </c>
      <c r="AM14" s="309">
        <f>IF('기타(Z)'!AD32="", "", '기타(Z)'!AD32)</f>
        <v>0</v>
      </c>
      <c r="AN14" s="310">
        <f ca="1">IF(OFFSET('기타(Z)'!AD32, 0, 5)="", "", OFFSET('기타(Z)'!AD32, 0, 5))</f>
        <v>0</v>
      </c>
      <c r="AO14" s="311">
        <f ca="1">IF(OFFSET('기타(Z)'!AD32, 0, 10)="", "", OFFSET('기타(Z)'!AD32, 0, 10))</f>
        <v>0</v>
      </c>
      <c r="AP14" s="305">
        <f t="shared" si="10"/>
        <v>0</v>
      </c>
      <c r="AQ14" s="306">
        <f t="shared" ca="1" si="11"/>
        <v>0</v>
      </c>
      <c r="AR14" s="307">
        <f t="shared" ca="1" si="12"/>
        <v>0</v>
      </c>
      <c r="AU14" s="308" t="s">
        <v>46</v>
      </c>
      <c r="AV14" s="309">
        <f>IF('기타(Z)'!AD38="", "", '기타(Z)'!AD38)</f>
        <v>0</v>
      </c>
      <c r="AW14" s="310">
        <f ca="1">IF(OFFSET('기타(Z)'!AD38, 0, 5)="", "", OFFSET('기타(Z)'!AD38, 0, 5))</f>
        <v>0</v>
      </c>
      <c r="AX14" s="311">
        <f ca="1">IF(OFFSET('기타(Z)'!AD38, 0, 10)="", "", OFFSET('기타(Z)'!AD38, 0, 10))</f>
        <v>0</v>
      </c>
      <c r="AY14" s="305">
        <f t="shared" si="13"/>
        <v>0</v>
      </c>
      <c r="AZ14" s="306">
        <f t="shared" ca="1" si="14"/>
        <v>0</v>
      </c>
      <c r="BA14" s="307">
        <f t="shared" ca="1" si="15"/>
        <v>0</v>
      </c>
      <c r="BD14" s="308" t="s">
        <v>46</v>
      </c>
      <c r="BE14" s="309">
        <f>IF('기타(Z)'!AD44="", "", '기타(Z)'!AD44)</f>
        <v>0</v>
      </c>
      <c r="BF14" s="310">
        <f ca="1">IF(OFFSET('기타(Z)'!AD44, 0, 5)="", "", OFFSET('기타(Z)'!AD44, 0, 5))</f>
        <v>0</v>
      </c>
      <c r="BG14" s="311">
        <f ca="1">IF(OFFSET('기타(Z)'!AD44, 0, 10)="", "", OFFSET('기타(Z)'!AD44, 0, 10))</f>
        <v>0</v>
      </c>
      <c r="BH14" s="305">
        <f t="shared" si="16"/>
        <v>0</v>
      </c>
      <c r="BI14" s="306">
        <f t="shared" ca="1" si="17"/>
        <v>0</v>
      </c>
      <c r="BJ14" s="307">
        <f t="shared" ca="1" si="18"/>
        <v>0</v>
      </c>
      <c r="BM14" s="308" t="s">
        <v>46</v>
      </c>
      <c r="BN14" s="309">
        <f>IF('기타(Z)'!AD50="", "", '기타(Z)'!AD50)</f>
        <v>0</v>
      </c>
      <c r="BO14" s="310">
        <f ca="1">IF(OFFSET('기타(Z)'!AD50, 0, 5)="", "", OFFSET('기타(Z)'!AD50, 0, 5))</f>
        <v>0</v>
      </c>
      <c r="BP14" s="311">
        <f ca="1">IF(OFFSET('기타(Z)'!AD50, 0, 10)="", "", OFFSET('기타(Z)'!AD50, 0, 10))</f>
        <v>0</v>
      </c>
      <c r="BQ14" s="305">
        <f t="shared" si="19"/>
        <v>0</v>
      </c>
      <c r="BR14" s="306">
        <f t="shared" ca="1" si="20"/>
        <v>0</v>
      </c>
      <c r="BS14" s="307">
        <f t="shared" ca="1" si="21"/>
        <v>0</v>
      </c>
      <c r="BV14" s="308" t="s">
        <v>46</v>
      </c>
      <c r="BW14" s="309">
        <f>IF('기타(Z)'!AD56="", "", '기타(Z)'!AD56)</f>
        <v>0</v>
      </c>
      <c r="BX14" s="310">
        <f ca="1">IF(OFFSET('기타(Z)'!AD56, 0, 5)="", "", OFFSET('기타(Z)'!AD56, 0, 5))</f>
        <v>0</v>
      </c>
      <c r="BY14" s="311">
        <f ca="1">IF(OFFSET('기타(Z)'!AD56, 0, 10)="", "", OFFSET('기타(Z)'!AD56, 0, 10))</f>
        <v>0</v>
      </c>
      <c r="BZ14" s="305">
        <f t="shared" si="22"/>
        <v>0</v>
      </c>
      <c r="CA14" s="306">
        <f t="shared" ca="1" si="23"/>
        <v>0</v>
      </c>
      <c r="CB14" s="307">
        <f t="shared" ca="1" si="24"/>
        <v>0</v>
      </c>
      <c r="CE14" s="308" t="s">
        <v>46</v>
      </c>
      <c r="CF14" s="309">
        <f>IF('기타(Z)'!AD62="", "", '기타(Z)'!AD62)</f>
        <v>0</v>
      </c>
      <c r="CG14" s="310">
        <f ca="1">IF(OFFSET('기타(Z)'!AD62, 0, 5)="", "", OFFSET('기타(Z)'!AD62, 0, 5))</f>
        <v>0</v>
      </c>
      <c r="CH14" s="311">
        <f ca="1">IF(OFFSET('기타(Z)'!AD62, 0, 10)="", "", OFFSET('기타(Z)'!AD62, 0, 10))</f>
        <v>0</v>
      </c>
      <c r="CI14" s="305">
        <f t="shared" si="25"/>
        <v>0</v>
      </c>
      <c r="CJ14" s="306">
        <f t="shared" ca="1" si="26"/>
        <v>0</v>
      </c>
      <c r="CK14" s="307">
        <f t="shared" ca="1" si="27"/>
        <v>0</v>
      </c>
      <c r="CN14" s="308" t="s">
        <v>46</v>
      </c>
      <c r="CO14" s="309">
        <f>IF('기타(Z)'!AD68="", "", '기타(Z)'!AD68)</f>
        <v>0</v>
      </c>
      <c r="CP14" s="310">
        <f ca="1">IF(OFFSET('기타(Z)'!AD68, 0, 5)="", "", OFFSET('기타(Z)'!AD68, 0, 5))</f>
        <v>0</v>
      </c>
      <c r="CQ14" s="311">
        <f ca="1">IF(OFFSET('기타(Z)'!AD68, 0, 10)="", "", OFFSET('기타(Z)'!AD68, 0, 10))</f>
        <v>0</v>
      </c>
      <c r="CR14" s="305">
        <f t="shared" si="28"/>
        <v>0</v>
      </c>
      <c r="CS14" s="306">
        <f t="shared" ca="1" si="29"/>
        <v>0</v>
      </c>
      <c r="CT14" s="307">
        <f t="shared" ca="1" si="30"/>
        <v>0</v>
      </c>
      <c r="CW14" s="308" t="s">
        <v>46</v>
      </c>
      <c r="CX14" s="309">
        <f>IF('기타(Z)'!AD74="", "", '기타(Z)'!AD74)</f>
        <v>0</v>
      </c>
      <c r="CY14" s="310">
        <f ca="1">IF(OFFSET('기타(Z)'!AD74, 0, 5)="", "", OFFSET('기타(Z)'!AD74, 0, 5))</f>
        <v>0</v>
      </c>
      <c r="CZ14" s="311">
        <f ca="1">IF(OFFSET('기타(Z)'!AD74, 0, 10)="", "", OFFSET('기타(Z)'!AD74, 0, 10))</f>
        <v>0</v>
      </c>
      <c r="DA14" s="305">
        <f t="shared" si="31"/>
        <v>0</v>
      </c>
      <c r="DB14" s="306">
        <f t="shared" ca="1" si="32"/>
        <v>0</v>
      </c>
      <c r="DC14" s="307">
        <f t="shared" ca="1" si="33"/>
        <v>0</v>
      </c>
    </row>
    <row r="15" spans="1:107" s="43" customFormat="1" ht="32.25" thickBot="1" x14ac:dyDescent="0.3">
      <c r="B15" s="300" t="s">
        <v>3</v>
      </c>
      <c r="C15" s="312">
        <f t="shared" ref="C15:H15" si="34">SUM(C5:C14)</f>
        <v>3702.8250000000003</v>
      </c>
      <c r="D15" s="313">
        <f t="shared" ca="1" si="34"/>
        <v>11</v>
      </c>
      <c r="E15" s="314">
        <f t="shared" ca="1" si="34"/>
        <v>33.933000000000007</v>
      </c>
      <c r="F15" s="361">
        <f t="shared" si="34"/>
        <v>3702.8250000000003</v>
      </c>
      <c r="G15" s="362">
        <f t="shared" ca="1" si="34"/>
        <v>11</v>
      </c>
      <c r="H15" s="363">
        <f t="shared" ca="1" si="34"/>
        <v>33.933000000000007</v>
      </c>
      <c r="K15" s="300" t="s">
        <v>3</v>
      </c>
      <c r="L15" s="312">
        <f t="shared" ref="L15:Q15" si="35">SUM(L5:L14)</f>
        <v>11143.11</v>
      </c>
      <c r="M15" s="313">
        <f t="shared" ca="1" si="35"/>
        <v>20</v>
      </c>
      <c r="N15" s="314">
        <f t="shared" ca="1" si="35"/>
        <v>94.954000000000008</v>
      </c>
      <c r="O15" s="361">
        <f t="shared" si="35"/>
        <v>14845.935000000001</v>
      </c>
      <c r="P15" s="362">
        <f t="shared" ca="1" si="35"/>
        <v>31</v>
      </c>
      <c r="Q15" s="363">
        <f t="shared" ca="1" si="35"/>
        <v>128.887</v>
      </c>
      <c r="T15" s="300" t="s">
        <v>3</v>
      </c>
      <c r="U15" s="312">
        <f t="shared" ref="U15:Z15" si="36">SUM(U5:U14)</f>
        <v>3419.3750000000005</v>
      </c>
      <c r="V15" s="313">
        <f t="shared" ca="1" si="36"/>
        <v>14</v>
      </c>
      <c r="W15" s="314">
        <f t="shared" ca="1" si="36"/>
        <v>28.767200000000003</v>
      </c>
      <c r="X15" s="361">
        <f t="shared" si="36"/>
        <v>18265.310000000001</v>
      </c>
      <c r="Y15" s="362">
        <f t="shared" ca="1" si="36"/>
        <v>45</v>
      </c>
      <c r="Z15" s="363">
        <f t="shared" ca="1" si="36"/>
        <v>157.6542</v>
      </c>
      <c r="AC15" s="300" t="s">
        <v>3</v>
      </c>
      <c r="AD15" s="312">
        <f t="shared" ref="AD15:AI15" si="37">SUM(AD5:AD14)</f>
        <v>5203.2549999999992</v>
      </c>
      <c r="AE15" s="313">
        <f t="shared" ca="1" si="37"/>
        <v>21</v>
      </c>
      <c r="AF15" s="314">
        <f t="shared" ca="1" si="37"/>
        <v>48.584000000000003</v>
      </c>
      <c r="AG15" s="361">
        <f t="shared" si="37"/>
        <v>23468.564999999999</v>
      </c>
      <c r="AH15" s="362">
        <f t="shared" ca="1" si="37"/>
        <v>66</v>
      </c>
      <c r="AI15" s="363">
        <f t="shared" ca="1" si="37"/>
        <v>206.23820000000003</v>
      </c>
      <c r="AL15" s="300" t="s">
        <v>3</v>
      </c>
      <c r="AM15" s="312">
        <f t="shared" ref="AM15:AR15" si="38">SUM(AM5:AM14)</f>
        <v>9065.9399999999987</v>
      </c>
      <c r="AN15" s="313">
        <f t="shared" ca="1" si="38"/>
        <v>26</v>
      </c>
      <c r="AO15" s="314">
        <f t="shared" ca="1" si="38"/>
        <v>88.63900000000001</v>
      </c>
      <c r="AP15" s="361">
        <f t="shared" si="38"/>
        <v>32534.505000000005</v>
      </c>
      <c r="AQ15" s="362">
        <f t="shared" ca="1" si="38"/>
        <v>92</v>
      </c>
      <c r="AR15" s="363">
        <f t="shared" ca="1" si="38"/>
        <v>294.87720000000007</v>
      </c>
      <c r="AU15" s="300" t="s">
        <v>3</v>
      </c>
      <c r="AV15" s="312">
        <f t="shared" ref="AV15:BA15" si="39">SUM(AV5:AV14)</f>
        <v>10065.52</v>
      </c>
      <c r="AW15" s="313">
        <f t="shared" ca="1" si="39"/>
        <v>27</v>
      </c>
      <c r="AX15" s="314">
        <f t="shared" ca="1" si="39"/>
        <v>56.092090909090913</v>
      </c>
      <c r="AY15" s="361">
        <f t="shared" si="39"/>
        <v>42600.025000000001</v>
      </c>
      <c r="AZ15" s="362">
        <f t="shared" ca="1" si="39"/>
        <v>119</v>
      </c>
      <c r="BA15" s="363">
        <f t="shared" ca="1" si="39"/>
        <v>350.96929090909094</v>
      </c>
      <c r="BD15" s="300" t="s">
        <v>3</v>
      </c>
      <c r="BE15" s="312">
        <f t="shared" ref="BE15:BJ15" si="40">SUM(BE5:BE14)</f>
        <v>6499.84</v>
      </c>
      <c r="BF15" s="313">
        <f t="shared" ca="1" si="40"/>
        <v>26</v>
      </c>
      <c r="BG15" s="314">
        <f t="shared" ca="1" si="40"/>
        <v>41.120000000000005</v>
      </c>
      <c r="BH15" s="361">
        <f t="shared" si="40"/>
        <v>49099.865000000005</v>
      </c>
      <c r="BI15" s="362">
        <f t="shared" ca="1" si="40"/>
        <v>145</v>
      </c>
      <c r="BJ15" s="363">
        <f t="shared" ca="1" si="40"/>
        <v>392.08929090909095</v>
      </c>
      <c r="BM15" s="300" t="s">
        <v>3</v>
      </c>
      <c r="BN15" s="312">
        <f t="shared" ref="BN15:BS15" si="41">SUM(BN5:BN14)</f>
        <v>8754.5149999999994</v>
      </c>
      <c r="BO15" s="313">
        <f t="shared" ca="1" si="41"/>
        <v>27</v>
      </c>
      <c r="BP15" s="314">
        <f t="shared" ca="1" si="41"/>
        <v>84.619</v>
      </c>
      <c r="BQ15" s="361">
        <f t="shared" si="41"/>
        <v>57854.38</v>
      </c>
      <c r="BR15" s="362">
        <f t="shared" ca="1" si="41"/>
        <v>172</v>
      </c>
      <c r="BS15" s="363">
        <f t="shared" ca="1" si="41"/>
        <v>476.70829090909098</v>
      </c>
      <c r="BV15" s="300" t="s">
        <v>3</v>
      </c>
      <c r="BW15" s="312">
        <f t="shared" ref="BW15:CB15" si="42">SUM(BW5:BW14)</f>
        <v>10228.74</v>
      </c>
      <c r="BX15" s="313">
        <f t="shared" ca="1" si="42"/>
        <v>39</v>
      </c>
      <c r="BY15" s="314">
        <f t="shared" ca="1" si="42"/>
        <v>92.694999999999993</v>
      </c>
      <c r="BZ15" s="361">
        <f t="shared" si="42"/>
        <v>68083.12</v>
      </c>
      <c r="CA15" s="362">
        <f t="shared" ca="1" si="42"/>
        <v>211</v>
      </c>
      <c r="CB15" s="363">
        <f t="shared" ca="1" si="42"/>
        <v>569.40329090909086</v>
      </c>
      <c r="CE15" s="300" t="s">
        <v>3</v>
      </c>
      <c r="CF15" s="312">
        <f t="shared" ref="CF15:CK15" si="43">SUM(CF5:CF14)</f>
        <v>13977.66</v>
      </c>
      <c r="CG15" s="313">
        <f t="shared" ca="1" si="43"/>
        <v>47</v>
      </c>
      <c r="CH15" s="314">
        <f t="shared" ca="1" si="43"/>
        <v>135.08089027</v>
      </c>
      <c r="CI15" s="361">
        <f t="shared" si="43"/>
        <v>82060.779999999984</v>
      </c>
      <c r="CJ15" s="362">
        <f t="shared" ca="1" si="43"/>
        <v>258</v>
      </c>
      <c r="CK15" s="363">
        <f t="shared" ca="1" si="43"/>
        <v>704.48418117909091</v>
      </c>
      <c r="CN15" s="300" t="s">
        <v>3</v>
      </c>
      <c r="CO15" s="312">
        <f t="shared" ref="CO15:CT15" si="44">SUM(CO5:CO14)</f>
        <v>13159.165000000005</v>
      </c>
      <c r="CP15" s="313">
        <f t="shared" ca="1" si="44"/>
        <v>37</v>
      </c>
      <c r="CQ15" s="314">
        <f t="shared" ca="1" si="44"/>
        <v>135.1148</v>
      </c>
      <c r="CR15" s="361">
        <f t="shared" si="44"/>
        <v>95219.944999999992</v>
      </c>
      <c r="CS15" s="362">
        <f t="shared" ca="1" si="44"/>
        <v>295</v>
      </c>
      <c r="CT15" s="363">
        <f t="shared" ca="1" si="44"/>
        <v>839.59898117909086</v>
      </c>
      <c r="CW15" s="300" t="s">
        <v>3</v>
      </c>
      <c r="CX15" s="312">
        <f t="shared" ref="CX15:DC15" si="45">SUM(CX5:CX14)</f>
        <v>6439.96</v>
      </c>
      <c r="CY15" s="313">
        <f t="shared" ca="1" si="45"/>
        <v>22</v>
      </c>
      <c r="CZ15" s="314">
        <f t="shared" ca="1" si="45"/>
        <v>61.540000000000006</v>
      </c>
      <c r="DA15" s="361">
        <f t="shared" si="45"/>
        <v>101659.905</v>
      </c>
      <c r="DB15" s="362">
        <f t="shared" ca="1" si="45"/>
        <v>317</v>
      </c>
      <c r="DC15" s="363">
        <f t="shared" ca="1" si="45"/>
        <v>901.13898117909093</v>
      </c>
    </row>
    <row r="16" spans="1:107" ht="39.950000000000003" customHeight="1" thickBot="1" x14ac:dyDescent="0.3">
      <c r="B16" s="315"/>
      <c r="C16" s="315"/>
      <c r="D16" s="315"/>
      <c r="E16" s="315"/>
      <c r="F16" s="315"/>
      <c r="G16" s="315"/>
      <c r="H16" s="315"/>
      <c r="K16" s="315"/>
      <c r="L16" s="315"/>
      <c r="M16" s="315"/>
      <c r="N16" s="315"/>
      <c r="O16" s="315"/>
      <c r="P16" s="315"/>
      <c r="Q16" s="315"/>
      <c r="T16" s="315"/>
      <c r="U16" s="315"/>
      <c r="V16" s="315"/>
      <c r="W16" s="315"/>
      <c r="X16" s="315"/>
      <c r="Y16" s="315"/>
      <c r="Z16" s="315"/>
      <c r="AC16" s="315"/>
      <c r="AD16" s="315"/>
      <c r="AE16" s="315"/>
      <c r="AF16" s="315"/>
      <c r="AG16" s="315"/>
      <c r="AH16" s="315"/>
      <c r="AI16" s="315"/>
      <c r="AL16" s="315"/>
      <c r="AM16" s="315"/>
      <c r="AN16" s="315"/>
      <c r="AO16" s="315"/>
      <c r="AP16" s="315"/>
      <c r="AQ16" s="315"/>
      <c r="AR16" s="315"/>
      <c r="AU16" s="315"/>
      <c r="AV16" s="315"/>
      <c r="AW16" s="315"/>
      <c r="AX16" s="315"/>
      <c r="AY16" s="315"/>
      <c r="AZ16" s="315"/>
      <c r="BA16" s="315"/>
      <c r="BD16" s="315"/>
      <c r="BE16" s="315"/>
      <c r="BF16" s="315"/>
      <c r="BG16" s="315"/>
      <c r="BH16" s="315"/>
      <c r="BI16" s="315"/>
      <c r="BJ16" s="315"/>
      <c r="BM16" s="315"/>
      <c r="BN16" s="315"/>
      <c r="BO16" s="315"/>
      <c r="BP16" s="315"/>
      <c r="BQ16" s="315"/>
      <c r="BR16" s="315"/>
      <c r="BS16" s="315"/>
      <c r="BV16" s="315"/>
      <c r="BW16" s="315"/>
      <c r="BX16" s="315"/>
      <c r="BY16" s="315"/>
      <c r="BZ16" s="315"/>
      <c r="CA16" s="315"/>
      <c r="CB16" s="315"/>
      <c r="CE16" s="315"/>
      <c r="CF16" s="315"/>
      <c r="CG16" s="315"/>
      <c r="CH16" s="315"/>
      <c r="CI16" s="315"/>
      <c r="CJ16" s="315"/>
      <c r="CK16" s="315"/>
      <c r="CN16" s="315"/>
      <c r="CO16" s="315"/>
      <c r="CP16" s="315"/>
      <c r="CQ16" s="315"/>
      <c r="CR16" s="315"/>
      <c r="CS16" s="315"/>
      <c r="CT16" s="315"/>
      <c r="CW16" s="315"/>
      <c r="CX16" s="315"/>
      <c r="CY16" s="315"/>
      <c r="CZ16" s="315"/>
      <c r="DA16" s="315"/>
      <c r="DB16" s="315"/>
      <c r="DC16" s="315"/>
    </row>
    <row r="17" spans="2:107" s="42" customFormat="1" ht="32.25" thickBot="1" x14ac:dyDescent="0.3">
      <c r="B17" s="316" t="s">
        <v>6</v>
      </c>
      <c r="C17" s="317" t="s">
        <v>7</v>
      </c>
      <c r="D17" s="318" t="s">
        <v>8</v>
      </c>
      <c r="E17" s="319" t="s">
        <v>9</v>
      </c>
      <c r="F17" s="318" t="s">
        <v>10</v>
      </c>
      <c r="G17" s="318" t="s">
        <v>11</v>
      </c>
      <c r="H17" s="320" t="s">
        <v>12</v>
      </c>
      <c r="K17" s="316" t="s">
        <v>6</v>
      </c>
      <c r="L17" s="317" t="s">
        <v>7</v>
      </c>
      <c r="M17" s="318" t="s">
        <v>8</v>
      </c>
      <c r="N17" s="319" t="s">
        <v>9</v>
      </c>
      <c r="O17" s="318" t="s">
        <v>10</v>
      </c>
      <c r="P17" s="318" t="s">
        <v>11</v>
      </c>
      <c r="Q17" s="320" t="s">
        <v>12</v>
      </c>
      <c r="T17" s="316" t="s">
        <v>6</v>
      </c>
      <c r="U17" s="317" t="s">
        <v>7</v>
      </c>
      <c r="V17" s="318" t="s">
        <v>8</v>
      </c>
      <c r="W17" s="319" t="s">
        <v>9</v>
      </c>
      <c r="X17" s="318" t="s">
        <v>10</v>
      </c>
      <c r="Y17" s="318" t="s">
        <v>11</v>
      </c>
      <c r="Z17" s="320" t="s">
        <v>12</v>
      </c>
      <c r="AC17" s="316" t="s">
        <v>6</v>
      </c>
      <c r="AD17" s="317" t="s">
        <v>7</v>
      </c>
      <c r="AE17" s="318" t="s">
        <v>8</v>
      </c>
      <c r="AF17" s="319" t="s">
        <v>9</v>
      </c>
      <c r="AG17" s="318" t="s">
        <v>10</v>
      </c>
      <c r="AH17" s="318" t="s">
        <v>11</v>
      </c>
      <c r="AI17" s="320" t="s">
        <v>12</v>
      </c>
      <c r="AL17" s="316" t="s">
        <v>6</v>
      </c>
      <c r="AM17" s="317" t="s">
        <v>7</v>
      </c>
      <c r="AN17" s="318" t="s">
        <v>8</v>
      </c>
      <c r="AO17" s="319" t="s">
        <v>9</v>
      </c>
      <c r="AP17" s="318" t="s">
        <v>10</v>
      </c>
      <c r="AQ17" s="318" t="s">
        <v>11</v>
      </c>
      <c r="AR17" s="320" t="s">
        <v>12</v>
      </c>
      <c r="AU17" s="316" t="s">
        <v>6</v>
      </c>
      <c r="AV17" s="317" t="s">
        <v>7</v>
      </c>
      <c r="AW17" s="318" t="s">
        <v>8</v>
      </c>
      <c r="AX17" s="319" t="s">
        <v>9</v>
      </c>
      <c r="AY17" s="318" t="s">
        <v>10</v>
      </c>
      <c r="AZ17" s="318" t="s">
        <v>11</v>
      </c>
      <c r="BA17" s="320" t="s">
        <v>12</v>
      </c>
      <c r="BD17" s="316" t="s">
        <v>6</v>
      </c>
      <c r="BE17" s="317" t="s">
        <v>7</v>
      </c>
      <c r="BF17" s="318" t="s">
        <v>8</v>
      </c>
      <c r="BG17" s="319" t="s">
        <v>9</v>
      </c>
      <c r="BH17" s="318" t="s">
        <v>10</v>
      </c>
      <c r="BI17" s="318" t="s">
        <v>11</v>
      </c>
      <c r="BJ17" s="320" t="s">
        <v>12</v>
      </c>
      <c r="BM17" s="316" t="s">
        <v>6</v>
      </c>
      <c r="BN17" s="317" t="s">
        <v>7</v>
      </c>
      <c r="BO17" s="318" t="s">
        <v>8</v>
      </c>
      <c r="BP17" s="319" t="s">
        <v>9</v>
      </c>
      <c r="BQ17" s="318" t="s">
        <v>10</v>
      </c>
      <c r="BR17" s="318" t="s">
        <v>11</v>
      </c>
      <c r="BS17" s="320" t="s">
        <v>12</v>
      </c>
      <c r="BV17" s="316" t="s">
        <v>6</v>
      </c>
      <c r="BW17" s="317" t="s">
        <v>7</v>
      </c>
      <c r="BX17" s="318" t="s">
        <v>8</v>
      </c>
      <c r="BY17" s="319" t="s">
        <v>9</v>
      </c>
      <c r="BZ17" s="318" t="s">
        <v>10</v>
      </c>
      <c r="CA17" s="318" t="s">
        <v>11</v>
      </c>
      <c r="CB17" s="320" t="s">
        <v>12</v>
      </c>
      <c r="CE17" s="316" t="s">
        <v>6</v>
      </c>
      <c r="CF17" s="317" t="s">
        <v>7</v>
      </c>
      <c r="CG17" s="318" t="s">
        <v>8</v>
      </c>
      <c r="CH17" s="319" t="s">
        <v>9</v>
      </c>
      <c r="CI17" s="318" t="s">
        <v>10</v>
      </c>
      <c r="CJ17" s="318" t="s">
        <v>11</v>
      </c>
      <c r="CK17" s="320" t="s">
        <v>12</v>
      </c>
      <c r="CN17" s="316" t="s">
        <v>6</v>
      </c>
      <c r="CO17" s="317" t="s">
        <v>7</v>
      </c>
      <c r="CP17" s="318" t="s">
        <v>8</v>
      </c>
      <c r="CQ17" s="319" t="s">
        <v>9</v>
      </c>
      <c r="CR17" s="318" t="s">
        <v>10</v>
      </c>
      <c r="CS17" s="318" t="s">
        <v>11</v>
      </c>
      <c r="CT17" s="320" t="s">
        <v>12</v>
      </c>
      <c r="CW17" s="316" t="s">
        <v>6</v>
      </c>
      <c r="CX17" s="317" t="s">
        <v>7</v>
      </c>
      <c r="CY17" s="318" t="s">
        <v>8</v>
      </c>
      <c r="CZ17" s="319" t="s">
        <v>9</v>
      </c>
      <c r="DA17" s="318" t="s">
        <v>10</v>
      </c>
      <c r="DB17" s="318" t="s">
        <v>11</v>
      </c>
      <c r="DC17" s="320" t="s">
        <v>12</v>
      </c>
    </row>
    <row r="18" spans="2:107" s="42" customFormat="1" ht="31.5" x14ac:dyDescent="0.25">
      <c r="B18" s="321" t="s">
        <v>153</v>
      </c>
      <c r="C18" s="322">
        <f>정리base!$E$4</f>
        <v>13000</v>
      </c>
      <c r="D18" s="323">
        <f>정리base!$F$4</f>
        <v>8000</v>
      </c>
      <c r="E18" s="323">
        <f>정리base!$G$4</f>
        <v>9000</v>
      </c>
      <c r="F18" s="323">
        <f>정리base!$H$4</f>
        <v>12000</v>
      </c>
      <c r="G18" s="323">
        <f>정리base!$I$4</f>
        <v>14000</v>
      </c>
      <c r="H18" s="324">
        <f>정리base!$J$4</f>
        <v>9000</v>
      </c>
      <c r="K18" s="321" t="s">
        <v>153</v>
      </c>
      <c r="L18" s="322">
        <f>정리base!$E$4</f>
        <v>13000</v>
      </c>
      <c r="M18" s="323">
        <f>정리base!$F$4</f>
        <v>8000</v>
      </c>
      <c r="N18" s="323">
        <f>정리base!$G$4</f>
        <v>9000</v>
      </c>
      <c r="O18" s="323">
        <f>정리base!$H$4</f>
        <v>12000</v>
      </c>
      <c r="P18" s="323">
        <f>정리base!$I$4</f>
        <v>14000</v>
      </c>
      <c r="Q18" s="324">
        <f>정리base!$J$4</f>
        <v>9000</v>
      </c>
      <c r="T18" s="321" t="s">
        <v>153</v>
      </c>
      <c r="U18" s="322">
        <f>정리base!$E$4</f>
        <v>13000</v>
      </c>
      <c r="V18" s="323">
        <f>정리base!$F$4</f>
        <v>8000</v>
      </c>
      <c r="W18" s="323">
        <f>정리base!$G$4</f>
        <v>9000</v>
      </c>
      <c r="X18" s="323">
        <f>정리base!$H$4</f>
        <v>12000</v>
      </c>
      <c r="Y18" s="323">
        <f>정리base!$I$4</f>
        <v>14000</v>
      </c>
      <c r="Z18" s="324">
        <f>정리base!$J$4</f>
        <v>9000</v>
      </c>
      <c r="AC18" s="321" t="s">
        <v>153</v>
      </c>
      <c r="AD18" s="322">
        <f>정리base!$E$4</f>
        <v>13000</v>
      </c>
      <c r="AE18" s="323">
        <f>정리base!$F$4</f>
        <v>8000</v>
      </c>
      <c r="AF18" s="323">
        <f>정리base!$G$4</f>
        <v>9000</v>
      </c>
      <c r="AG18" s="323">
        <f>정리base!$H$4</f>
        <v>12000</v>
      </c>
      <c r="AH18" s="323">
        <f>정리base!$I$4</f>
        <v>14000</v>
      </c>
      <c r="AI18" s="324">
        <f>정리base!$J$4</f>
        <v>9000</v>
      </c>
      <c r="AL18" s="321" t="s">
        <v>153</v>
      </c>
      <c r="AM18" s="322">
        <f>정리base!$E$4</f>
        <v>13000</v>
      </c>
      <c r="AN18" s="323">
        <f>정리base!$F$4</f>
        <v>8000</v>
      </c>
      <c r="AO18" s="323">
        <f>정리base!$G$4</f>
        <v>9000</v>
      </c>
      <c r="AP18" s="323">
        <f>정리base!$H$4</f>
        <v>12000</v>
      </c>
      <c r="AQ18" s="323">
        <f>정리base!$I$4</f>
        <v>14000</v>
      </c>
      <c r="AR18" s="324">
        <f>정리base!$J$4</f>
        <v>9000</v>
      </c>
      <c r="AU18" s="321" t="s">
        <v>153</v>
      </c>
      <c r="AV18" s="322">
        <f>정리base!$E$4</f>
        <v>13000</v>
      </c>
      <c r="AW18" s="323">
        <f>정리base!$F$4</f>
        <v>8000</v>
      </c>
      <c r="AX18" s="323">
        <f>정리base!$G$4</f>
        <v>9000</v>
      </c>
      <c r="AY18" s="323">
        <f>정리base!$H$4</f>
        <v>12000</v>
      </c>
      <c r="AZ18" s="323">
        <f>정리base!$I$4</f>
        <v>14000</v>
      </c>
      <c r="BA18" s="324">
        <f>정리base!$J$4</f>
        <v>9000</v>
      </c>
      <c r="BD18" s="321" t="s">
        <v>153</v>
      </c>
      <c r="BE18" s="322">
        <f>정리base!$E$4</f>
        <v>13000</v>
      </c>
      <c r="BF18" s="323">
        <f>정리base!$F$4</f>
        <v>8000</v>
      </c>
      <c r="BG18" s="323">
        <f>정리base!$G$4</f>
        <v>9000</v>
      </c>
      <c r="BH18" s="323">
        <f>정리base!$H$4</f>
        <v>12000</v>
      </c>
      <c r="BI18" s="323">
        <f>정리base!$I$4</f>
        <v>14000</v>
      </c>
      <c r="BJ18" s="324">
        <f>정리base!$J$4</f>
        <v>9000</v>
      </c>
      <c r="BM18" s="321" t="s">
        <v>153</v>
      </c>
      <c r="BN18" s="322">
        <f>정리base!$E$4</f>
        <v>13000</v>
      </c>
      <c r="BO18" s="323">
        <f>정리base!$F$4</f>
        <v>8000</v>
      </c>
      <c r="BP18" s="323">
        <f>정리base!$G$4</f>
        <v>9000</v>
      </c>
      <c r="BQ18" s="323">
        <f>정리base!$H$4</f>
        <v>12000</v>
      </c>
      <c r="BR18" s="323">
        <f>정리base!$I$4</f>
        <v>14000</v>
      </c>
      <c r="BS18" s="324">
        <f>정리base!$J$4</f>
        <v>9000</v>
      </c>
      <c r="BV18" s="321" t="s">
        <v>153</v>
      </c>
      <c r="BW18" s="322">
        <f>정리base!$E$4</f>
        <v>13000</v>
      </c>
      <c r="BX18" s="323">
        <f>정리base!$F$4</f>
        <v>8000</v>
      </c>
      <c r="BY18" s="323">
        <f>정리base!$G$4</f>
        <v>9000</v>
      </c>
      <c r="BZ18" s="323">
        <f>정리base!$H$4</f>
        <v>12000</v>
      </c>
      <c r="CA18" s="323">
        <f>정리base!$I$4</f>
        <v>14000</v>
      </c>
      <c r="CB18" s="324">
        <f>정리base!$J$4</f>
        <v>9000</v>
      </c>
      <c r="CE18" s="321" t="s">
        <v>153</v>
      </c>
      <c r="CF18" s="322">
        <f>정리base!$E$4</f>
        <v>13000</v>
      </c>
      <c r="CG18" s="323">
        <f>정리base!$F$4</f>
        <v>8000</v>
      </c>
      <c r="CH18" s="323">
        <f>정리base!$G$4</f>
        <v>9000</v>
      </c>
      <c r="CI18" s="323">
        <f>정리base!$H$4</f>
        <v>12000</v>
      </c>
      <c r="CJ18" s="323">
        <f>정리base!$I$4</f>
        <v>14000</v>
      </c>
      <c r="CK18" s="324">
        <f>정리base!$J$4</f>
        <v>9000</v>
      </c>
      <c r="CN18" s="321" t="s">
        <v>153</v>
      </c>
      <c r="CO18" s="322">
        <f>정리base!$E$4</f>
        <v>13000</v>
      </c>
      <c r="CP18" s="323">
        <f>정리base!$F$4</f>
        <v>8000</v>
      </c>
      <c r="CQ18" s="323">
        <f>정리base!$G$4</f>
        <v>9000</v>
      </c>
      <c r="CR18" s="323">
        <f>정리base!$H$4</f>
        <v>12000</v>
      </c>
      <c r="CS18" s="323">
        <f>정리base!$I$4</f>
        <v>14000</v>
      </c>
      <c r="CT18" s="324">
        <f>정리base!$J$4</f>
        <v>9000</v>
      </c>
      <c r="CW18" s="321" t="s">
        <v>153</v>
      </c>
      <c r="CX18" s="322">
        <f>정리base!$E$4</f>
        <v>13000</v>
      </c>
      <c r="CY18" s="323">
        <f>정리base!$F$4</f>
        <v>8000</v>
      </c>
      <c r="CZ18" s="323">
        <f>정리base!$G$4</f>
        <v>9000</v>
      </c>
      <c r="DA18" s="323">
        <f>정리base!$H$4</f>
        <v>12000</v>
      </c>
      <c r="DB18" s="323">
        <f>정리base!$I$4</f>
        <v>14000</v>
      </c>
      <c r="DC18" s="324">
        <f>정리base!$J$4</f>
        <v>9000</v>
      </c>
    </row>
    <row r="19" spans="2:107" s="42" customFormat="1" ht="31.5" x14ac:dyDescent="0.25">
      <c r="B19" s="325" t="s">
        <v>158</v>
      </c>
      <c r="C19" s="326">
        <f>정리base!$E$8</f>
        <v>0.28483269230769231</v>
      </c>
      <c r="D19" s="327">
        <f>정리base!$F$8</f>
        <v>1.39288875</v>
      </c>
      <c r="E19" s="327">
        <f>정리base!$G$8</f>
        <v>0.3799305555555556</v>
      </c>
      <c r="F19" s="327">
        <f>정리base!$H$8</f>
        <v>0.43360458333333329</v>
      </c>
      <c r="G19" s="327">
        <f>정리base!$I$8</f>
        <v>0.64756714285714279</v>
      </c>
      <c r="H19" s="328">
        <f>정리base!$J$8</f>
        <v>1.1183911111111111</v>
      </c>
      <c r="K19" s="325" t="s">
        <v>158</v>
      </c>
      <c r="L19" s="326">
        <f>정리base!$E$8</f>
        <v>0.28483269230769231</v>
      </c>
      <c r="M19" s="327">
        <f>정리base!$F$8</f>
        <v>1.39288875</v>
      </c>
      <c r="N19" s="327">
        <f>정리base!$G$8</f>
        <v>0.3799305555555556</v>
      </c>
      <c r="O19" s="327">
        <f>정리base!$H$8</f>
        <v>0.43360458333333329</v>
      </c>
      <c r="P19" s="327">
        <f>정리base!$I$8</f>
        <v>0.64756714285714279</v>
      </c>
      <c r="Q19" s="328">
        <f>정리base!$J$8</f>
        <v>1.1183911111111111</v>
      </c>
      <c r="T19" s="325" t="s">
        <v>158</v>
      </c>
      <c r="U19" s="326">
        <f>정리base!$E$8</f>
        <v>0.28483269230769231</v>
      </c>
      <c r="V19" s="327">
        <f>정리base!$F$8</f>
        <v>1.39288875</v>
      </c>
      <c r="W19" s="327">
        <f>정리base!$G$8</f>
        <v>0.3799305555555556</v>
      </c>
      <c r="X19" s="327">
        <f>정리base!$H$8</f>
        <v>0.43360458333333329</v>
      </c>
      <c r="Y19" s="327">
        <f>정리base!$I$8</f>
        <v>0.64756714285714279</v>
      </c>
      <c r="Z19" s="328">
        <f>정리base!$J$8</f>
        <v>1.1183911111111111</v>
      </c>
      <c r="AC19" s="325" t="s">
        <v>158</v>
      </c>
      <c r="AD19" s="326">
        <f>정리base!$E$8</f>
        <v>0.28483269230769231</v>
      </c>
      <c r="AE19" s="327">
        <f>정리base!$F$8</f>
        <v>1.39288875</v>
      </c>
      <c r="AF19" s="327">
        <f>정리base!$G$8</f>
        <v>0.3799305555555556</v>
      </c>
      <c r="AG19" s="327">
        <f>정리base!$H$8</f>
        <v>0.43360458333333329</v>
      </c>
      <c r="AH19" s="327">
        <f>정리base!$I$8</f>
        <v>0.64756714285714279</v>
      </c>
      <c r="AI19" s="328">
        <f>정리base!$J$8</f>
        <v>1.1183911111111111</v>
      </c>
      <c r="AL19" s="325" t="s">
        <v>158</v>
      </c>
      <c r="AM19" s="326">
        <f>정리base!$E$8</f>
        <v>0.28483269230769231</v>
      </c>
      <c r="AN19" s="327">
        <f>정리base!$F$8</f>
        <v>1.39288875</v>
      </c>
      <c r="AO19" s="327">
        <f>정리base!$G$8</f>
        <v>0.3799305555555556</v>
      </c>
      <c r="AP19" s="327">
        <f>정리base!$H$8</f>
        <v>0.43360458333333329</v>
      </c>
      <c r="AQ19" s="327">
        <f>정리base!$I$8</f>
        <v>0.64756714285714279</v>
      </c>
      <c r="AR19" s="328">
        <f>정리base!$J$8</f>
        <v>1.1183911111111111</v>
      </c>
      <c r="AU19" s="325" t="s">
        <v>158</v>
      </c>
      <c r="AV19" s="326">
        <f>정리base!$E$8</f>
        <v>0.28483269230769231</v>
      </c>
      <c r="AW19" s="327">
        <f>정리base!$F$8</f>
        <v>1.39288875</v>
      </c>
      <c r="AX19" s="327">
        <f>정리base!$G$8</f>
        <v>0.3799305555555556</v>
      </c>
      <c r="AY19" s="327">
        <f>정리base!$H$8</f>
        <v>0.43360458333333329</v>
      </c>
      <c r="AZ19" s="327">
        <f>정리base!$I$8</f>
        <v>0.64756714285714279</v>
      </c>
      <c r="BA19" s="328">
        <f>정리base!$J$8</f>
        <v>1.1183911111111111</v>
      </c>
      <c r="BD19" s="325" t="s">
        <v>158</v>
      </c>
      <c r="BE19" s="326">
        <f>정리base!$E$8</f>
        <v>0.28483269230769231</v>
      </c>
      <c r="BF19" s="327">
        <f>정리base!$F$8</f>
        <v>1.39288875</v>
      </c>
      <c r="BG19" s="327">
        <f>정리base!$G$8</f>
        <v>0.3799305555555556</v>
      </c>
      <c r="BH19" s="327">
        <f>정리base!$H$8</f>
        <v>0.43360458333333329</v>
      </c>
      <c r="BI19" s="327">
        <f>정리base!$I$8</f>
        <v>0.64756714285714279</v>
      </c>
      <c r="BJ19" s="328">
        <f>정리base!$J$8</f>
        <v>1.1183911111111111</v>
      </c>
      <c r="BM19" s="325" t="s">
        <v>158</v>
      </c>
      <c r="BN19" s="326">
        <f>정리base!$E$8</f>
        <v>0.28483269230769231</v>
      </c>
      <c r="BO19" s="327">
        <f>정리base!$F$8</f>
        <v>1.39288875</v>
      </c>
      <c r="BP19" s="327">
        <f>정리base!$G$8</f>
        <v>0.3799305555555556</v>
      </c>
      <c r="BQ19" s="327">
        <f>정리base!$H$8</f>
        <v>0.43360458333333329</v>
      </c>
      <c r="BR19" s="327">
        <f>정리base!$I$8</f>
        <v>0.64756714285714279</v>
      </c>
      <c r="BS19" s="328">
        <f>정리base!$J$8</f>
        <v>1.1183911111111111</v>
      </c>
      <c r="BV19" s="325" t="s">
        <v>158</v>
      </c>
      <c r="BW19" s="326">
        <f>정리base!$E$8</f>
        <v>0.28483269230769231</v>
      </c>
      <c r="BX19" s="327">
        <f>정리base!$F$8</f>
        <v>1.39288875</v>
      </c>
      <c r="BY19" s="327">
        <f>정리base!$G$8</f>
        <v>0.3799305555555556</v>
      </c>
      <c r="BZ19" s="327">
        <f>정리base!$H$8</f>
        <v>0.43360458333333329</v>
      </c>
      <c r="CA19" s="327">
        <f>정리base!$I$8</f>
        <v>0.64756714285714279</v>
      </c>
      <c r="CB19" s="328">
        <f>정리base!$J$8</f>
        <v>1.1183911111111111</v>
      </c>
      <c r="CE19" s="325" t="s">
        <v>158</v>
      </c>
      <c r="CF19" s="326">
        <f>정리base!$E$8</f>
        <v>0.28483269230769231</v>
      </c>
      <c r="CG19" s="327">
        <f>정리base!$F$8</f>
        <v>1.39288875</v>
      </c>
      <c r="CH19" s="327">
        <f>정리base!$G$8</f>
        <v>0.3799305555555556</v>
      </c>
      <c r="CI19" s="327">
        <f>정리base!$H$8</f>
        <v>0.43360458333333329</v>
      </c>
      <c r="CJ19" s="327">
        <f>정리base!$I$8</f>
        <v>0.64756714285714279</v>
      </c>
      <c r="CK19" s="328">
        <f>정리base!$J$8</f>
        <v>1.1183911111111111</v>
      </c>
      <c r="CN19" s="325" t="s">
        <v>158</v>
      </c>
      <c r="CO19" s="326">
        <f>정리base!$E$8</f>
        <v>0.28483269230769231</v>
      </c>
      <c r="CP19" s="327">
        <f>정리base!$F$8</f>
        <v>1.39288875</v>
      </c>
      <c r="CQ19" s="327">
        <f>정리base!$G$8</f>
        <v>0.3799305555555556</v>
      </c>
      <c r="CR19" s="327">
        <f>정리base!$H$8</f>
        <v>0.43360458333333329</v>
      </c>
      <c r="CS19" s="327">
        <f>정리base!$I$8</f>
        <v>0.64756714285714279</v>
      </c>
      <c r="CT19" s="328">
        <f>정리base!$J$8</f>
        <v>1.1183911111111111</v>
      </c>
      <c r="CW19" s="325" t="s">
        <v>158</v>
      </c>
      <c r="CX19" s="326">
        <f>정리base!$E$8</f>
        <v>0.28483269230769231</v>
      </c>
      <c r="CY19" s="327">
        <f>정리base!$F$8</f>
        <v>1.39288875</v>
      </c>
      <c r="CZ19" s="327">
        <f>정리base!$G$8</f>
        <v>0.3799305555555556</v>
      </c>
      <c r="DA19" s="327">
        <f>정리base!$H$8</f>
        <v>0.43360458333333329</v>
      </c>
      <c r="DB19" s="327">
        <f>정리base!$I$8</f>
        <v>0.64756714285714279</v>
      </c>
      <c r="DC19" s="328">
        <f>정리base!$J$8</f>
        <v>1.1183911111111111</v>
      </c>
    </row>
    <row r="20" spans="2:107" s="42" customFormat="1" ht="31.5" x14ac:dyDescent="0.25">
      <c r="B20" s="329" t="s">
        <v>40</v>
      </c>
      <c r="C20" s="330">
        <f>정리base!$E$10</f>
        <v>3702.8250000000003</v>
      </c>
      <c r="D20" s="331">
        <f>정리base!$F$10</f>
        <v>11143.11</v>
      </c>
      <c r="E20" s="331">
        <f>정리base!$G$10</f>
        <v>3419.3750000000005</v>
      </c>
      <c r="F20" s="331">
        <f>정리base!$H$10</f>
        <v>5203.2549999999992</v>
      </c>
      <c r="G20" s="331">
        <f>정리base!$I$10</f>
        <v>9065.9399999999987</v>
      </c>
      <c r="H20" s="332">
        <f>정리base!$J$10</f>
        <v>10065.52</v>
      </c>
      <c r="K20" s="329" t="s">
        <v>40</v>
      </c>
      <c r="L20" s="330">
        <f>정리base!$E$10</f>
        <v>3702.8250000000003</v>
      </c>
      <c r="M20" s="331">
        <f>정리base!$F$10</f>
        <v>11143.11</v>
      </c>
      <c r="N20" s="331">
        <f>정리base!$G$10</f>
        <v>3419.3750000000005</v>
      </c>
      <c r="O20" s="331">
        <f>정리base!$H$10</f>
        <v>5203.2549999999992</v>
      </c>
      <c r="P20" s="331">
        <f>정리base!$I$10</f>
        <v>9065.9399999999987</v>
      </c>
      <c r="Q20" s="332">
        <f>정리base!$J$10</f>
        <v>10065.52</v>
      </c>
      <c r="T20" s="329" t="s">
        <v>40</v>
      </c>
      <c r="U20" s="330">
        <f>정리base!$E$10</f>
        <v>3702.8250000000003</v>
      </c>
      <c r="V20" s="331">
        <f>정리base!$F$10</f>
        <v>11143.11</v>
      </c>
      <c r="W20" s="331">
        <f>정리base!$G$10</f>
        <v>3419.3750000000005</v>
      </c>
      <c r="X20" s="331">
        <f>정리base!$H$10</f>
        <v>5203.2549999999992</v>
      </c>
      <c r="Y20" s="331">
        <f>정리base!$I$10</f>
        <v>9065.9399999999987</v>
      </c>
      <c r="Z20" s="332">
        <f>정리base!$J$10</f>
        <v>10065.52</v>
      </c>
      <c r="AC20" s="329" t="s">
        <v>40</v>
      </c>
      <c r="AD20" s="330">
        <f>정리base!$E$10</f>
        <v>3702.8250000000003</v>
      </c>
      <c r="AE20" s="331">
        <f>정리base!$F$10</f>
        <v>11143.11</v>
      </c>
      <c r="AF20" s="331">
        <f>정리base!$G$10</f>
        <v>3419.3750000000005</v>
      </c>
      <c r="AG20" s="331">
        <f>정리base!$H$10</f>
        <v>5203.2549999999992</v>
      </c>
      <c r="AH20" s="331">
        <f>정리base!$I$10</f>
        <v>9065.9399999999987</v>
      </c>
      <c r="AI20" s="332">
        <f>정리base!$J$10</f>
        <v>10065.52</v>
      </c>
      <c r="AL20" s="329" t="s">
        <v>40</v>
      </c>
      <c r="AM20" s="330">
        <f>정리base!$E$10</f>
        <v>3702.8250000000003</v>
      </c>
      <c r="AN20" s="331">
        <f>정리base!$F$10</f>
        <v>11143.11</v>
      </c>
      <c r="AO20" s="331">
        <f>정리base!$G$10</f>
        <v>3419.3750000000005</v>
      </c>
      <c r="AP20" s="331">
        <f>정리base!$H$10</f>
        <v>5203.2549999999992</v>
      </c>
      <c r="AQ20" s="331">
        <f>정리base!$I$10</f>
        <v>9065.9399999999987</v>
      </c>
      <c r="AR20" s="332">
        <f>정리base!$J$10</f>
        <v>10065.52</v>
      </c>
      <c r="AU20" s="329" t="s">
        <v>40</v>
      </c>
      <c r="AV20" s="330">
        <f>정리base!$E$10</f>
        <v>3702.8250000000003</v>
      </c>
      <c r="AW20" s="331">
        <f>정리base!$F$10</f>
        <v>11143.11</v>
      </c>
      <c r="AX20" s="331">
        <f>정리base!$G$10</f>
        <v>3419.3750000000005</v>
      </c>
      <c r="AY20" s="331">
        <f>정리base!$H$10</f>
        <v>5203.2549999999992</v>
      </c>
      <c r="AZ20" s="331">
        <f>정리base!$I$10</f>
        <v>9065.9399999999987</v>
      </c>
      <c r="BA20" s="332">
        <f>정리base!$J$10</f>
        <v>10065.52</v>
      </c>
      <c r="BD20" s="329" t="s">
        <v>40</v>
      </c>
      <c r="BE20" s="330">
        <f>정리base!$E$10</f>
        <v>3702.8250000000003</v>
      </c>
      <c r="BF20" s="331">
        <f>정리base!$F$10</f>
        <v>11143.11</v>
      </c>
      <c r="BG20" s="331">
        <f>정리base!$G$10</f>
        <v>3419.3750000000005</v>
      </c>
      <c r="BH20" s="331">
        <f>정리base!$H$10</f>
        <v>5203.2549999999992</v>
      </c>
      <c r="BI20" s="331">
        <f>정리base!$I$10</f>
        <v>9065.9399999999987</v>
      </c>
      <c r="BJ20" s="332">
        <f>정리base!$J$10</f>
        <v>10065.52</v>
      </c>
      <c r="BM20" s="329" t="s">
        <v>40</v>
      </c>
      <c r="BN20" s="330">
        <f>정리base!$E$10</f>
        <v>3702.8250000000003</v>
      </c>
      <c r="BO20" s="331">
        <f>정리base!$F$10</f>
        <v>11143.11</v>
      </c>
      <c r="BP20" s="331">
        <f>정리base!$G$10</f>
        <v>3419.3750000000005</v>
      </c>
      <c r="BQ20" s="331">
        <f>정리base!$H$10</f>
        <v>5203.2549999999992</v>
      </c>
      <c r="BR20" s="331">
        <f>정리base!$I$10</f>
        <v>9065.9399999999987</v>
      </c>
      <c r="BS20" s="332">
        <f>정리base!$J$10</f>
        <v>10065.52</v>
      </c>
      <c r="BV20" s="329" t="s">
        <v>40</v>
      </c>
      <c r="BW20" s="330">
        <f>정리base!$E$10</f>
        <v>3702.8250000000003</v>
      </c>
      <c r="BX20" s="331">
        <f>정리base!$F$10</f>
        <v>11143.11</v>
      </c>
      <c r="BY20" s="331">
        <f>정리base!$G$10</f>
        <v>3419.3750000000005</v>
      </c>
      <c r="BZ20" s="331">
        <f>정리base!$H$10</f>
        <v>5203.2549999999992</v>
      </c>
      <c r="CA20" s="331">
        <f>정리base!$I$10</f>
        <v>9065.9399999999987</v>
      </c>
      <c r="CB20" s="332">
        <f>정리base!$J$10</f>
        <v>10065.52</v>
      </c>
      <c r="CE20" s="329" t="s">
        <v>40</v>
      </c>
      <c r="CF20" s="330">
        <f>정리base!$E$10</f>
        <v>3702.8250000000003</v>
      </c>
      <c r="CG20" s="331">
        <f>정리base!$F$10</f>
        <v>11143.11</v>
      </c>
      <c r="CH20" s="331">
        <f>정리base!$G$10</f>
        <v>3419.3750000000005</v>
      </c>
      <c r="CI20" s="331">
        <f>정리base!$H$10</f>
        <v>5203.2549999999992</v>
      </c>
      <c r="CJ20" s="331">
        <f>정리base!$I$10</f>
        <v>9065.9399999999987</v>
      </c>
      <c r="CK20" s="332">
        <f>정리base!$J$10</f>
        <v>10065.52</v>
      </c>
      <c r="CN20" s="329" t="s">
        <v>40</v>
      </c>
      <c r="CO20" s="330">
        <f>정리base!$E$10</f>
        <v>3702.8250000000003</v>
      </c>
      <c r="CP20" s="331">
        <f>정리base!$F$10</f>
        <v>11143.11</v>
      </c>
      <c r="CQ20" s="331">
        <f>정리base!$G$10</f>
        <v>3419.3750000000005</v>
      </c>
      <c r="CR20" s="331">
        <f>정리base!$H$10</f>
        <v>5203.2549999999992</v>
      </c>
      <c r="CS20" s="331">
        <f>정리base!$I$10</f>
        <v>9065.9399999999987</v>
      </c>
      <c r="CT20" s="332">
        <f>정리base!$J$10</f>
        <v>10065.52</v>
      </c>
      <c r="CW20" s="329" t="s">
        <v>40</v>
      </c>
      <c r="CX20" s="330">
        <f>정리base!$E$10</f>
        <v>3702.8250000000003</v>
      </c>
      <c r="CY20" s="331">
        <f>정리base!$F$10</f>
        <v>11143.11</v>
      </c>
      <c r="CZ20" s="331">
        <f>정리base!$G$10</f>
        <v>3419.3750000000005</v>
      </c>
      <c r="DA20" s="331">
        <f>정리base!$H$10</f>
        <v>5203.2549999999992</v>
      </c>
      <c r="DB20" s="331">
        <f>정리base!$I$10</f>
        <v>9065.9399999999987</v>
      </c>
      <c r="DC20" s="332">
        <f>정리base!$J$10</f>
        <v>10065.52</v>
      </c>
    </row>
    <row r="21" spans="2:107" s="42" customFormat="1" ht="31.5" x14ac:dyDescent="0.25">
      <c r="B21" s="329" t="s">
        <v>19</v>
      </c>
      <c r="C21" s="333">
        <f>정리base!$E$14</f>
        <v>11</v>
      </c>
      <c r="D21" s="334">
        <f>정리base!$F$14</f>
        <v>20</v>
      </c>
      <c r="E21" s="334">
        <f>정리base!$G$14</f>
        <v>14</v>
      </c>
      <c r="F21" s="334">
        <f>정리base!$H$14</f>
        <v>21</v>
      </c>
      <c r="G21" s="334">
        <f>정리base!$I$14</f>
        <v>26</v>
      </c>
      <c r="H21" s="335">
        <f>정리base!$J$14</f>
        <v>27</v>
      </c>
      <c r="K21" s="329" t="s">
        <v>19</v>
      </c>
      <c r="L21" s="333">
        <f>정리base!$E$14</f>
        <v>11</v>
      </c>
      <c r="M21" s="334">
        <f>정리base!$F$14</f>
        <v>20</v>
      </c>
      <c r="N21" s="334">
        <f>정리base!$G$14</f>
        <v>14</v>
      </c>
      <c r="O21" s="334">
        <f>정리base!$H$14</f>
        <v>21</v>
      </c>
      <c r="P21" s="334">
        <f>정리base!$I$14</f>
        <v>26</v>
      </c>
      <c r="Q21" s="335">
        <f>정리base!$J$14</f>
        <v>27</v>
      </c>
      <c r="T21" s="329" t="s">
        <v>19</v>
      </c>
      <c r="U21" s="333">
        <f>정리base!$E$14</f>
        <v>11</v>
      </c>
      <c r="V21" s="334">
        <f>정리base!$F$14</f>
        <v>20</v>
      </c>
      <c r="W21" s="334">
        <f>정리base!$G$14</f>
        <v>14</v>
      </c>
      <c r="X21" s="334">
        <f>정리base!$H$14</f>
        <v>21</v>
      </c>
      <c r="Y21" s="334">
        <f>정리base!$I$14</f>
        <v>26</v>
      </c>
      <c r="Z21" s="335">
        <f>정리base!$J$14</f>
        <v>27</v>
      </c>
      <c r="AC21" s="329" t="s">
        <v>19</v>
      </c>
      <c r="AD21" s="333">
        <f>정리base!$E$14</f>
        <v>11</v>
      </c>
      <c r="AE21" s="334">
        <f>정리base!$F$14</f>
        <v>20</v>
      </c>
      <c r="AF21" s="334">
        <f>정리base!$G$14</f>
        <v>14</v>
      </c>
      <c r="AG21" s="334">
        <f>정리base!$H$14</f>
        <v>21</v>
      </c>
      <c r="AH21" s="334">
        <f>정리base!$I$14</f>
        <v>26</v>
      </c>
      <c r="AI21" s="335">
        <f>정리base!$J$14</f>
        <v>27</v>
      </c>
      <c r="AL21" s="329" t="s">
        <v>19</v>
      </c>
      <c r="AM21" s="333">
        <f>정리base!$E$14</f>
        <v>11</v>
      </c>
      <c r="AN21" s="334">
        <f>정리base!$F$14</f>
        <v>20</v>
      </c>
      <c r="AO21" s="334">
        <f>정리base!$G$14</f>
        <v>14</v>
      </c>
      <c r="AP21" s="334">
        <f>정리base!$H$14</f>
        <v>21</v>
      </c>
      <c r="AQ21" s="334">
        <f>정리base!$I$14</f>
        <v>26</v>
      </c>
      <c r="AR21" s="335">
        <f>정리base!$J$14</f>
        <v>27</v>
      </c>
      <c r="AU21" s="329" t="s">
        <v>19</v>
      </c>
      <c r="AV21" s="333">
        <f>정리base!$E$14</f>
        <v>11</v>
      </c>
      <c r="AW21" s="334">
        <f>정리base!$F$14</f>
        <v>20</v>
      </c>
      <c r="AX21" s="334">
        <f>정리base!$G$14</f>
        <v>14</v>
      </c>
      <c r="AY21" s="334">
        <f>정리base!$H$14</f>
        <v>21</v>
      </c>
      <c r="AZ21" s="334">
        <f>정리base!$I$14</f>
        <v>26</v>
      </c>
      <c r="BA21" s="335">
        <f>정리base!$J$14</f>
        <v>27</v>
      </c>
      <c r="BD21" s="329" t="s">
        <v>19</v>
      </c>
      <c r="BE21" s="333">
        <f>정리base!$E$14</f>
        <v>11</v>
      </c>
      <c r="BF21" s="334">
        <f>정리base!$F$14</f>
        <v>20</v>
      </c>
      <c r="BG21" s="334">
        <f>정리base!$G$14</f>
        <v>14</v>
      </c>
      <c r="BH21" s="334">
        <f>정리base!$H$14</f>
        <v>21</v>
      </c>
      <c r="BI21" s="334">
        <f>정리base!$I$14</f>
        <v>26</v>
      </c>
      <c r="BJ21" s="335">
        <f>정리base!$J$14</f>
        <v>27</v>
      </c>
      <c r="BM21" s="329" t="s">
        <v>19</v>
      </c>
      <c r="BN21" s="333">
        <f>정리base!$E$14</f>
        <v>11</v>
      </c>
      <c r="BO21" s="334">
        <f>정리base!$F$14</f>
        <v>20</v>
      </c>
      <c r="BP21" s="334">
        <f>정리base!$G$14</f>
        <v>14</v>
      </c>
      <c r="BQ21" s="334">
        <f>정리base!$H$14</f>
        <v>21</v>
      </c>
      <c r="BR21" s="334">
        <f>정리base!$I$14</f>
        <v>26</v>
      </c>
      <c r="BS21" s="335">
        <f>정리base!$J$14</f>
        <v>27</v>
      </c>
      <c r="BV21" s="329" t="s">
        <v>19</v>
      </c>
      <c r="BW21" s="333">
        <f>정리base!$E$14</f>
        <v>11</v>
      </c>
      <c r="BX21" s="334">
        <f>정리base!$F$14</f>
        <v>20</v>
      </c>
      <c r="BY21" s="334">
        <f>정리base!$G$14</f>
        <v>14</v>
      </c>
      <c r="BZ21" s="334">
        <f>정리base!$H$14</f>
        <v>21</v>
      </c>
      <c r="CA21" s="334">
        <f>정리base!$I$14</f>
        <v>26</v>
      </c>
      <c r="CB21" s="335">
        <f>정리base!$J$14</f>
        <v>27</v>
      </c>
      <c r="CE21" s="329" t="s">
        <v>19</v>
      </c>
      <c r="CF21" s="333">
        <f>정리base!$E$14</f>
        <v>11</v>
      </c>
      <c r="CG21" s="334">
        <f>정리base!$F$14</f>
        <v>20</v>
      </c>
      <c r="CH21" s="334">
        <f>정리base!$G$14</f>
        <v>14</v>
      </c>
      <c r="CI21" s="334">
        <f>정리base!$H$14</f>
        <v>21</v>
      </c>
      <c r="CJ21" s="334">
        <f>정리base!$I$14</f>
        <v>26</v>
      </c>
      <c r="CK21" s="335">
        <f>정리base!$J$14</f>
        <v>27</v>
      </c>
      <c r="CN21" s="329" t="s">
        <v>19</v>
      </c>
      <c r="CO21" s="333">
        <f>정리base!$E$14</f>
        <v>11</v>
      </c>
      <c r="CP21" s="334">
        <f>정리base!$F$14</f>
        <v>20</v>
      </c>
      <c r="CQ21" s="334">
        <f>정리base!$G$14</f>
        <v>14</v>
      </c>
      <c r="CR21" s="334">
        <f>정리base!$H$14</f>
        <v>21</v>
      </c>
      <c r="CS21" s="334">
        <f>정리base!$I$14</f>
        <v>26</v>
      </c>
      <c r="CT21" s="335">
        <f>정리base!$J$14</f>
        <v>27</v>
      </c>
      <c r="CW21" s="329" t="s">
        <v>19</v>
      </c>
      <c r="CX21" s="333">
        <f>정리base!$E$14</f>
        <v>11</v>
      </c>
      <c r="CY21" s="334">
        <f>정리base!$F$14</f>
        <v>20</v>
      </c>
      <c r="CZ21" s="334">
        <f>정리base!$G$14</f>
        <v>14</v>
      </c>
      <c r="DA21" s="334">
        <f>정리base!$H$14</f>
        <v>21</v>
      </c>
      <c r="DB21" s="334">
        <f>정리base!$I$14</f>
        <v>26</v>
      </c>
      <c r="DC21" s="335">
        <f>정리base!$J$14</f>
        <v>27</v>
      </c>
    </row>
    <row r="22" spans="2:107" s="42" customFormat="1" ht="32.25" thickBot="1" x14ac:dyDescent="0.3">
      <c r="B22" s="336" t="s">
        <v>34</v>
      </c>
      <c r="C22" s="337">
        <f>정리base!$E$15</f>
        <v>33.933000000000007</v>
      </c>
      <c r="D22" s="338">
        <f>정리base!$F$15</f>
        <v>94.954000000000008</v>
      </c>
      <c r="E22" s="338">
        <f>정리base!$G$15</f>
        <v>28.767200000000003</v>
      </c>
      <c r="F22" s="338">
        <f>정리base!$H$15</f>
        <v>48.584000000000003</v>
      </c>
      <c r="G22" s="338">
        <f>정리base!$I$15</f>
        <v>88.63900000000001</v>
      </c>
      <c r="H22" s="339">
        <f>정리base!$J$15</f>
        <v>56.092090909090913</v>
      </c>
      <c r="K22" s="336" t="s">
        <v>34</v>
      </c>
      <c r="L22" s="337">
        <f>정리base!$E$15</f>
        <v>33.933000000000007</v>
      </c>
      <c r="M22" s="338">
        <f>정리base!$F$15</f>
        <v>94.954000000000008</v>
      </c>
      <c r="N22" s="338">
        <f>정리base!$G$15</f>
        <v>28.767200000000003</v>
      </c>
      <c r="O22" s="338">
        <f>정리base!$H$15</f>
        <v>48.584000000000003</v>
      </c>
      <c r="P22" s="338">
        <f>정리base!$I$15</f>
        <v>88.63900000000001</v>
      </c>
      <c r="Q22" s="339">
        <f>정리base!$J$15</f>
        <v>56.092090909090913</v>
      </c>
      <c r="T22" s="336" t="s">
        <v>34</v>
      </c>
      <c r="U22" s="337">
        <f>정리base!$E$15</f>
        <v>33.933000000000007</v>
      </c>
      <c r="V22" s="338">
        <f>정리base!$F$15</f>
        <v>94.954000000000008</v>
      </c>
      <c r="W22" s="338">
        <f>정리base!$G$15</f>
        <v>28.767200000000003</v>
      </c>
      <c r="X22" s="338">
        <f>정리base!$H$15</f>
        <v>48.584000000000003</v>
      </c>
      <c r="Y22" s="338">
        <f>정리base!$I$15</f>
        <v>88.63900000000001</v>
      </c>
      <c r="Z22" s="339">
        <f>정리base!$J$15</f>
        <v>56.092090909090913</v>
      </c>
      <c r="AC22" s="336" t="s">
        <v>34</v>
      </c>
      <c r="AD22" s="337">
        <f>정리base!$E$15</f>
        <v>33.933000000000007</v>
      </c>
      <c r="AE22" s="338">
        <f>정리base!$F$15</f>
        <v>94.954000000000008</v>
      </c>
      <c r="AF22" s="338">
        <f>정리base!$G$15</f>
        <v>28.767200000000003</v>
      </c>
      <c r="AG22" s="338">
        <f>정리base!$H$15</f>
        <v>48.584000000000003</v>
      </c>
      <c r="AH22" s="338">
        <f>정리base!$I$15</f>
        <v>88.63900000000001</v>
      </c>
      <c r="AI22" s="339">
        <f>정리base!$J$15</f>
        <v>56.092090909090913</v>
      </c>
      <c r="AL22" s="336" t="s">
        <v>34</v>
      </c>
      <c r="AM22" s="337">
        <f>정리base!$E$15</f>
        <v>33.933000000000007</v>
      </c>
      <c r="AN22" s="338">
        <f>정리base!$F$15</f>
        <v>94.954000000000008</v>
      </c>
      <c r="AO22" s="338">
        <f>정리base!$G$15</f>
        <v>28.767200000000003</v>
      </c>
      <c r="AP22" s="338">
        <f>정리base!$H$15</f>
        <v>48.584000000000003</v>
      </c>
      <c r="AQ22" s="338">
        <f>정리base!$I$15</f>
        <v>88.63900000000001</v>
      </c>
      <c r="AR22" s="339">
        <f>정리base!$J$15</f>
        <v>56.092090909090913</v>
      </c>
      <c r="AU22" s="336" t="s">
        <v>34</v>
      </c>
      <c r="AV22" s="337">
        <f>정리base!$E$15</f>
        <v>33.933000000000007</v>
      </c>
      <c r="AW22" s="338">
        <f>정리base!$F$15</f>
        <v>94.954000000000008</v>
      </c>
      <c r="AX22" s="338">
        <f>정리base!$G$15</f>
        <v>28.767200000000003</v>
      </c>
      <c r="AY22" s="338">
        <f>정리base!$H$15</f>
        <v>48.584000000000003</v>
      </c>
      <c r="AZ22" s="338">
        <f>정리base!$I$15</f>
        <v>88.63900000000001</v>
      </c>
      <c r="BA22" s="339">
        <f>정리base!$J$15</f>
        <v>56.092090909090913</v>
      </c>
      <c r="BD22" s="336" t="s">
        <v>34</v>
      </c>
      <c r="BE22" s="337">
        <f>정리base!$E$15</f>
        <v>33.933000000000007</v>
      </c>
      <c r="BF22" s="338">
        <f>정리base!$F$15</f>
        <v>94.954000000000008</v>
      </c>
      <c r="BG22" s="338">
        <f>정리base!$G$15</f>
        <v>28.767200000000003</v>
      </c>
      <c r="BH22" s="338">
        <f>정리base!$H$15</f>
        <v>48.584000000000003</v>
      </c>
      <c r="BI22" s="338">
        <f>정리base!$I$15</f>
        <v>88.63900000000001</v>
      </c>
      <c r="BJ22" s="339">
        <f>정리base!$J$15</f>
        <v>56.092090909090913</v>
      </c>
      <c r="BM22" s="336" t="s">
        <v>34</v>
      </c>
      <c r="BN22" s="337">
        <f>정리base!$E$15</f>
        <v>33.933000000000007</v>
      </c>
      <c r="BO22" s="338">
        <f>정리base!$F$15</f>
        <v>94.954000000000008</v>
      </c>
      <c r="BP22" s="338">
        <f>정리base!$G$15</f>
        <v>28.767200000000003</v>
      </c>
      <c r="BQ22" s="338">
        <f>정리base!$H$15</f>
        <v>48.584000000000003</v>
      </c>
      <c r="BR22" s="338">
        <f>정리base!$I$15</f>
        <v>88.63900000000001</v>
      </c>
      <c r="BS22" s="339">
        <f>정리base!$J$15</f>
        <v>56.092090909090913</v>
      </c>
      <c r="BV22" s="336" t="s">
        <v>34</v>
      </c>
      <c r="BW22" s="337">
        <f>정리base!$E$15</f>
        <v>33.933000000000007</v>
      </c>
      <c r="BX22" s="338">
        <f>정리base!$F$15</f>
        <v>94.954000000000008</v>
      </c>
      <c r="BY22" s="338">
        <f>정리base!$G$15</f>
        <v>28.767200000000003</v>
      </c>
      <c r="BZ22" s="338">
        <f>정리base!$H$15</f>
        <v>48.584000000000003</v>
      </c>
      <c r="CA22" s="338">
        <f>정리base!$I$15</f>
        <v>88.63900000000001</v>
      </c>
      <c r="CB22" s="339">
        <f>정리base!$J$15</f>
        <v>56.092090909090913</v>
      </c>
      <c r="CE22" s="336" t="s">
        <v>34</v>
      </c>
      <c r="CF22" s="337">
        <f>정리base!$E$15</f>
        <v>33.933000000000007</v>
      </c>
      <c r="CG22" s="338">
        <f>정리base!$F$15</f>
        <v>94.954000000000008</v>
      </c>
      <c r="CH22" s="338">
        <f>정리base!$G$15</f>
        <v>28.767200000000003</v>
      </c>
      <c r="CI22" s="338">
        <f>정리base!$H$15</f>
        <v>48.584000000000003</v>
      </c>
      <c r="CJ22" s="338">
        <f>정리base!$I$15</f>
        <v>88.63900000000001</v>
      </c>
      <c r="CK22" s="339">
        <f>정리base!$J$15</f>
        <v>56.092090909090913</v>
      </c>
      <c r="CN22" s="336" t="s">
        <v>34</v>
      </c>
      <c r="CO22" s="337">
        <f>정리base!$E$15</f>
        <v>33.933000000000007</v>
      </c>
      <c r="CP22" s="338">
        <f>정리base!$F$15</f>
        <v>94.954000000000008</v>
      </c>
      <c r="CQ22" s="338">
        <f>정리base!$G$15</f>
        <v>28.767200000000003</v>
      </c>
      <c r="CR22" s="338">
        <f>정리base!$H$15</f>
        <v>48.584000000000003</v>
      </c>
      <c r="CS22" s="338">
        <f>정리base!$I$15</f>
        <v>88.63900000000001</v>
      </c>
      <c r="CT22" s="339">
        <f>정리base!$J$15</f>
        <v>56.092090909090913</v>
      </c>
      <c r="CW22" s="336" t="s">
        <v>34</v>
      </c>
      <c r="CX22" s="337">
        <f>정리base!$E$15</f>
        <v>33.933000000000007</v>
      </c>
      <c r="CY22" s="338">
        <f>정리base!$F$15</f>
        <v>94.954000000000008</v>
      </c>
      <c r="CZ22" s="338">
        <f>정리base!$G$15</f>
        <v>28.767200000000003</v>
      </c>
      <c r="DA22" s="338">
        <f>정리base!$H$15</f>
        <v>48.584000000000003</v>
      </c>
      <c r="DB22" s="338">
        <f>정리base!$I$15</f>
        <v>88.63900000000001</v>
      </c>
      <c r="DC22" s="339">
        <f>정리base!$J$15</f>
        <v>56.092090909090913</v>
      </c>
    </row>
    <row r="23" spans="2:107" ht="32.25" thickBot="1" x14ac:dyDescent="0.3">
      <c r="B23" s="316" t="s">
        <v>6</v>
      </c>
      <c r="C23" s="317" t="s">
        <v>13</v>
      </c>
      <c r="D23" s="318" t="s">
        <v>14</v>
      </c>
      <c r="E23" s="318" t="s">
        <v>41</v>
      </c>
      <c r="F23" s="318" t="s">
        <v>42</v>
      </c>
      <c r="G23" s="318" t="s">
        <v>43</v>
      </c>
      <c r="H23" s="320" t="s">
        <v>49</v>
      </c>
      <c r="K23" s="316" t="s">
        <v>6</v>
      </c>
      <c r="L23" s="317" t="s">
        <v>13</v>
      </c>
      <c r="M23" s="318" t="s">
        <v>14</v>
      </c>
      <c r="N23" s="318" t="s">
        <v>41</v>
      </c>
      <c r="O23" s="318" t="s">
        <v>42</v>
      </c>
      <c r="P23" s="318" t="s">
        <v>43</v>
      </c>
      <c r="Q23" s="320" t="s">
        <v>49</v>
      </c>
      <c r="T23" s="316" t="s">
        <v>6</v>
      </c>
      <c r="U23" s="317" t="s">
        <v>13</v>
      </c>
      <c r="V23" s="318" t="s">
        <v>14</v>
      </c>
      <c r="W23" s="318" t="s">
        <v>41</v>
      </c>
      <c r="X23" s="318" t="s">
        <v>42</v>
      </c>
      <c r="Y23" s="318" t="s">
        <v>43</v>
      </c>
      <c r="Z23" s="320" t="s">
        <v>49</v>
      </c>
      <c r="AC23" s="316" t="s">
        <v>6</v>
      </c>
      <c r="AD23" s="317" t="s">
        <v>13</v>
      </c>
      <c r="AE23" s="318" t="s">
        <v>14</v>
      </c>
      <c r="AF23" s="318" t="s">
        <v>41</v>
      </c>
      <c r="AG23" s="318" t="s">
        <v>42</v>
      </c>
      <c r="AH23" s="318" t="s">
        <v>43</v>
      </c>
      <c r="AI23" s="320" t="s">
        <v>49</v>
      </c>
      <c r="AL23" s="316" t="s">
        <v>6</v>
      </c>
      <c r="AM23" s="317" t="s">
        <v>13</v>
      </c>
      <c r="AN23" s="318" t="s">
        <v>14</v>
      </c>
      <c r="AO23" s="318" t="s">
        <v>41</v>
      </c>
      <c r="AP23" s="318" t="s">
        <v>42</v>
      </c>
      <c r="AQ23" s="318" t="s">
        <v>43</v>
      </c>
      <c r="AR23" s="320" t="s">
        <v>49</v>
      </c>
      <c r="AU23" s="316" t="s">
        <v>6</v>
      </c>
      <c r="AV23" s="317" t="s">
        <v>13</v>
      </c>
      <c r="AW23" s="318" t="s">
        <v>14</v>
      </c>
      <c r="AX23" s="318" t="s">
        <v>41</v>
      </c>
      <c r="AY23" s="318" t="s">
        <v>42</v>
      </c>
      <c r="AZ23" s="318" t="s">
        <v>43</v>
      </c>
      <c r="BA23" s="320" t="s">
        <v>49</v>
      </c>
      <c r="BD23" s="316" t="s">
        <v>6</v>
      </c>
      <c r="BE23" s="317" t="s">
        <v>13</v>
      </c>
      <c r="BF23" s="318" t="s">
        <v>14</v>
      </c>
      <c r="BG23" s="318" t="s">
        <v>41</v>
      </c>
      <c r="BH23" s="318" t="s">
        <v>42</v>
      </c>
      <c r="BI23" s="318" t="s">
        <v>43</v>
      </c>
      <c r="BJ23" s="320" t="s">
        <v>49</v>
      </c>
      <c r="BM23" s="316" t="s">
        <v>6</v>
      </c>
      <c r="BN23" s="317" t="s">
        <v>13</v>
      </c>
      <c r="BO23" s="318" t="s">
        <v>14</v>
      </c>
      <c r="BP23" s="318" t="s">
        <v>41</v>
      </c>
      <c r="BQ23" s="318" t="s">
        <v>42</v>
      </c>
      <c r="BR23" s="318" t="s">
        <v>43</v>
      </c>
      <c r="BS23" s="320" t="s">
        <v>49</v>
      </c>
      <c r="BV23" s="316" t="s">
        <v>6</v>
      </c>
      <c r="BW23" s="317" t="s">
        <v>13</v>
      </c>
      <c r="BX23" s="318" t="s">
        <v>14</v>
      </c>
      <c r="BY23" s="318" t="s">
        <v>41</v>
      </c>
      <c r="BZ23" s="318" t="s">
        <v>42</v>
      </c>
      <c r="CA23" s="318" t="s">
        <v>43</v>
      </c>
      <c r="CB23" s="320" t="s">
        <v>49</v>
      </c>
      <c r="CE23" s="316" t="s">
        <v>6</v>
      </c>
      <c r="CF23" s="317" t="s">
        <v>13</v>
      </c>
      <c r="CG23" s="318" t="s">
        <v>14</v>
      </c>
      <c r="CH23" s="318" t="s">
        <v>41</v>
      </c>
      <c r="CI23" s="318" t="s">
        <v>42</v>
      </c>
      <c r="CJ23" s="318" t="s">
        <v>43</v>
      </c>
      <c r="CK23" s="320" t="s">
        <v>49</v>
      </c>
      <c r="CN23" s="316" t="s">
        <v>6</v>
      </c>
      <c r="CO23" s="317" t="s">
        <v>13</v>
      </c>
      <c r="CP23" s="318" t="s">
        <v>14</v>
      </c>
      <c r="CQ23" s="318" t="s">
        <v>41</v>
      </c>
      <c r="CR23" s="318" t="s">
        <v>42</v>
      </c>
      <c r="CS23" s="318" t="s">
        <v>43</v>
      </c>
      <c r="CT23" s="320" t="s">
        <v>49</v>
      </c>
      <c r="CW23" s="316" t="s">
        <v>6</v>
      </c>
      <c r="CX23" s="317" t="s">
        <v>13</v>
      </c>
      <c r="CY23" s="318" t="s">
        <v>14</v>
      </c>
      <c r="CZ23" s="318" t="s">
        <v>41</v>
      </c>
      <c r="DA23" s="318" t="s">
        <v>42</v>
      </c>
      <c r="DB23" s="318" t="s">
        <v>43</v>
      </c>
      <c r="DC23" s="320" t="s">
        <v>49</v>
      </c>
    </row>
    <row r="24" spans="2:107" ht="31.5" x14ac:dyDescent="0.25">
      <c r="B24" s="321" t="s">
        <v>153</v>
      </c>
      <c r="C24" s="322">
        <f>정리base!$K$4</f>
        <v>9000</v>
      </c>
      <c r="D24" s="323">
        <f>정리base!$L$4</f>
        <v>9000</v>
      </c>
      <c r="E24" s="323">
        <f>정리base!$M$4</f>
        <v>18000</v>
      </c>
      <c r="F24" s="323">
        <f>정리base!$N$4</f>
        <v>18000</v>
      </c>
      <c r="G24" s="323">
        <f>정리base!$O$4</f>
        <v>18000</v>
      </c>
      <c r="H24" s="324">
        <f>정리base!$P$4</f>
        <v>18000</v>
      </c>
      <c r="K24" s="321" t="s">
        <v>153</v>
      </c>
      <c r="L24" s="322">
        <f>정리base!$K$4</f>
        <v>9000</v>
      </c>
      <c r="M24" s="323">
        <f>정리base!$L$4</f>
        <v>9000</v>
      </c>
      <c r="N24" s="323">
        <f>정리base!$M$4</f>
        <v>18000</v>
      </c>
      <c r="O24" s="323">
        <f>정리base!$N$4</f>
        <v>18000</v>
      </c>
      <c r="P24" s="323">
        <f>정리base!$O$4</f>
        <v>18000</v>
      </c>
      <c r="Q24" s="324">
        <f>정리base!$P$4</f>
        <v>18000</v>
      </c>
      <c r="T24" s="321" t="s">
        <v>153</v>
      </c>
      <c r="U24" s="322">
        <f>정리base!$K$4</f>
        <v>9000</v>
      </c>
      <c r="V24" s="323">
        <f>정리base!$L$4</f>
        <v>9000</v>
      </c>
      <c r="W24" s="323">
        <f>정리base!$M$4</f>
        <v>18000</v>
      </c>
      <c r="X24" s="323">
        <f>정리base!$N$4</f>
        <v>18000</v>
      </c>
      <c r="Y24" s="323">
        <f>정리base!$O$4</f>
        <v>18000</v>
      </c>
      <c r="Z24" s="324">
        <f>정리base!$P$4</f>
        <v>18000</v>
      </c>
      <c r="AC24" s="321" t="s">
        <v>153</v>
      </c>
      <c r="AD24" s="322">
        <f>정리base!$K$4</f>
        <v>9000</v>
      </c>
      <c r="AE24" s="323">
        <f>정리base!$L$4</f>
        <v>9000</v>
      </c>
      <c r="AF24" s="323">
        <f>정리base!$M$4</f>
        <v>18000</v>
      </c>
      <c r="AG24" s="323">
        <f>정리base!$N$4</f>
        <v>18000</v>
      </c>
      <c r="AH24" s="323">
        <f>정리base!$O$4</f>
        <v>18000</v>
      </c>
      <c r="AI24" s="324">
        <f>정리base!$P$4</f>
        <v>18000</v>
      </c>
      <c r="AL24" s="321" t="s">
        <v>153</v>
      </c>
      <c r="AM24" s="322">
        <f>정리base!$K$4</f>
        <v>9000</v>
      </c>
      <c r="AN24" s="323">
        <f>정리base!$L$4</f>
        <v>9000</v>
      </c>
      <c r="AO24" s="323">
        <f>정리base!$M$4</f>
        <v>18000</v>
      </c>
      <c r="AP24" s="323">
        <f>정리base!$N$4</f>
        <v>18000</v>
      </c>
      <c r="AQ24" s="323">
        <f>정리base!$O$4</f>
        <v>18000</v>
      </c>
      <c r="AR24" s="324">
        <f>정리base!$P$4</f>
        <v>18000</v>
      </c>
      <c r="AU24" s="321" t="s">
        <v>153</v>
      </c>
      <c r="AV24" s="322">
        <f>정리base!$K$4</f>
        <v>9000</v>
      </c>
      <c r="AW24" s="323">
        <f>정리base!$L$4</f>
        <v>9000</v>
      </c>
      <c r="AX24" s="323">
        <f>정리base!$M$4</f>
        <v>18000</v>
      </c>
      <c r="AY24" s="323">
        <f>정리base!$N$4</f>
        <v>18000</v>
      </c>
      <c r="AZ24" s="323">
        <f>정리base!$O$4</f>
        <v>18000</v>
      </c>
      <c r="BA24" s="324">
        <f>정리base!$P$4</f>
        <v>18000</v>
      </c>
      <c r="BD24" s="321" t="s">
        <v>153</v>
      </c>
      <c r="BE24" s="322">
        <f>정리base!$K$4</f>
        <v>9000</v>
      </c>
      <c r="BF24" s="323">
        <f>정리base!$L$4</f>
        <v>9000</v>
      </c>
      <c r="BG24" s="323">
        <f>정리base!$M$4</f>
        <v>18000</v>
      </c>
      <c r="BH24" s="323">
        <f>정리base!$N$4</f>
        <v>18000</v>
      </c>
      <c r="BI24" s="323">
        <f>정리base!$O$4</f>
        <v>18000</v>
      </c>
      <c r="BJ24" s="324">
        <f>정리base!$P$4</f>
        <v>18000</v>
      </c>
      <c r="BM24" s="321" t="s">
        <v>153</v>
      </c>
      <c r="BN24" s="322">
        <f>정리base!$K$4</f>
        <v>9000</v>
      </c>
      <c r="BO24" s="323">
        <f>정리base!$L$4</f>
        <v>9000</v>
      </c>
      <c r="BP24" s="323">
        <f>정리base!$M$4</f>
        <v>18000</v>
      </c>
      <c r="BQ24" s="323">
        <f>정리base!$N$4</f>
        <v>18000</v>
      </c>
      <c r="BR24" s="323">
        <f>정리base!$O$4</f>
        <v>18000</v>
      </c>
      <c r="BS24" s="324">
        <f>정리base!$P$4</f>
        <v>18000</v>
      </c>
      <c r="BV24" s="321" t="s">
        <v>153</v>
      </c>
      <c r="BW24" s="322">
        <f>정리base!$K$4</f>
        <v>9000</v>
      </c>
      <c r="BX24" s="323">
        <f>정리base!$L$4</f>
        <v>9000</v>
      </c>
      <c r="BY24" s="323">
        <f>정리base!$M$4</f>
        <v>18000</v>
      </c>
      <c r="BZ24" s="323">
        <f>정리base!$N$4</f>
        <v>18000</v>
      </c>
      <c r="CA24" s="323">
        <f>정리base!$O$4</f>
        <v>18000</v>
      </c>
      <c r="CB24" s="324">
        <f>정리base!$P$4</f>
        <v>18000</v>
      </c>
      <c r="CE24" s="321" t="s">
        <v>153</v>
      </c>
      <c r="CF24" s="322">
        <f>정리base!$K$4</f>
        <v>9000</v>
      </c>
      <c r="CG24" s="323">
        <f>정리base!$L$4</f>
        <v>9000</v>
      </c>
      <c r="CH24" s="323">
        <f>정리base!$M$4</f>
        <v>18000</v>
      </c>
      <c r="CI24" s="323">
        <f>정리base!$N$4</f>
        <v>18000</v>
      </c>
      <c r="CJ24" s="323">
        <f>정리base!$O$4</f>
        <v>18000</v>
      </c>
      <c r="CK24" s="324">
        <f>정리base!$P$4</f>
        <v>18000</v>
      </c>
      <c r="CN24" s="321" t="s">
        <v>153</v>
      </c>
      <c r="CO24" s="322">
        <f>정리base!$K$4</f>
        <v>9000</v>
      </c>
      <c r="CP24" s="323">
        <f>정리base!$L$4</f>
        <v>9000</v>
      </c>
      <c r="CQ24" s="323">
        <f>정리base!$M$4</f>
        <v>18000</v>
      </c>
      <c r="CR24" s="323">
        <f>정리base!$N$4</f>
        <v>18000</v>
      </c>
      <c r="CS24" s="323">
        <f>정리base!$O$4</f>
        <v>18000</v>
      </c>
      <c r="CT24" s="324">
        <f>정리base!$P$4</f>
        <v>18000</v>
      </c>
      <c r="CW24" s="321" t="s">
        <v>153</v>
      </c>
      <c r="CX24" s="322">
        <f>정리base!$K$4</f>
        <v>9000</v>
      </c>
      <c r="CY24" s="323">
        <f>정리base!$L$4</f>
        <v>9000</v>
      </c>
      <c r="CZ24" s="323">
        <f>정리base!$M$4</f>
        <v>18000</v>
      </c>
      <c r="DA24" s="323">
        <f>정리base!$N$4</f>
        <v>18000</v>
      </c>
      <c r="DB24" s="323">
        <f>정리base!$O$4</f>
        <v>18000</v>
      </c>
      <c r="DC24" s="324">
        <f>정리base!$P$4</f>
        <v>18000</v>
      </c>
    </row>
    <row r="25" spans="2:107" ht="31.5" x14ac:dyDescent="0.25">
      <c r="B25" s="325" t="s">
        <v>158</v>
      </c>
      <c r="C25" s="340">
        <f>정리base!$K$8</f>
        <v>0.72220444444444443</v>
      </c>
      <c r="D25" s="341">
        <f>정리base!$L$8</f>
        <v>0.97272388888888883</v>
      </c>
      <c r="E25" s="341">
        <f>정리base!$M$8</f>
        <v>0.56826333333333334</v>
      </c>
      <c r="F25" s="341">
        <f>정리base!$N$8</f>
        <v>0.77653666666666665</v>
      </c>
      <c r="G25" s="341">
        <f>정리base!$O$8</f>
        <v>0.73106472222222252</v>
      </c>
      <c r="H25" s="342">
        <f>정리base!$P$8</f>
        <v>0.35777555555555557</v>
      </c>
      <c r="K25" s="325" t="s">
        <v>158</v>
      </c>
      <c r="L25" s="340">
        <f>정리base!$K$8</f>
        <v>0.72220444444444443</v>
      </c>
      <c r="M25" s="341">
        <f>정리base!$L$8</f>
        <v>0.97272388888888883</v>
      </c>
      <c r="N25" s="341">
        <f>정리base!$M$8</f>
        <v>0.56826333333333334</v>
      </c>
      <c r="O25" s="341">
        <f>정리base!$N$8</f>
        <v>0.77653666666666665</v>
      </c>
      <c r="P25" s="341">
        <f>정리base!$O$8</f>
        <v>0.73106472222222252</v>
      </c>
      <c r="Q25" s="342">
        <f>정리base!$P$8</f>
        <v>0.35777555555555557</v>
      </c>
      <c r="T25" s="325" t="s">
        <v>158</v>
      </c>
      <c r="U25" s="340">
        <f>정리base!$K$8</f>
        <v>0.72220444444444443</v>
      </c>
      <c r="V25" s="341">
        <f>정리base!$L$8</f>
        <v>0.97272388888888883</v>
      </c>
      <c r="W25" s="341">
        <f>정리base!$M$8</f>
        <v>0.56826333333333334</v>
      </c>
      <c r="X25" s="341">
        <f>정리base!$N$8</f>
        <v>0.77653666666666665</v>
      </c>
      <c r="Y25" s="341">
        <f>정리base!$O$8</f>
        <v>0.73106472222222252</v>
      </c>
      <c r="Z25" s="342">
        <f>정리base!$P$8</f>
        <v>0.35777555555555557</v>
      </c>
      <c r="AC25" s="325" t="s">
        <v>158</v>
      </c>
      <c r="AD25" s="340">
        <f>정리base!$K$8</f>
        <v>0.72220444444444443</v>
      </c>
      <c r="AE25" s="341">
        <f>정리base!$L$8</f>
        <v>0.97272388888888883</v>
      </c>
      <c r="AF25" s="341">
        <f>정리base!$M$8</f>
        <v>0.56826333333333334</v>
      </c>
      <c r="AG25" s="341">
        <f>정리base!$N$8</f>
        <v>0.77653666666666665</v>
      </c>
      <c r="AH25" s="341">
        <f>정리base!$O$8</f>
        <v>0.73106472222222252</v>
      </c>
      <c r="AI25" s="342">
        <f>정리base!$P$8</f>
        <v>0.35777555555555557</v>
      </c>
      <c r="AL25" s="325" t="s">
        <v>158</v>
      </c>
      <c r="AM25" s="340">
        <f>정리base!$K$8</f>
        <v>0.72220444444444443</v>
      </c>
      <c r="AN25" s="341">
        <f>정리base!$L$8</f>
        <v>0.97272388888888883</v>
      </c>
      <c r="AO25" s="341">
        <f>정리base!$M$8</f>
        <v>0.56826333333333334</v>
      </c>
      <c r="AP25" s="341">
        <f>정리base!$N$8</f>
        <v>0.77653666666666665</v>
      </c>
      <c r="AQ25" s="341">
        <f>정리base!$O$8</f>
        <v>0.73106472222222252</v>
      </c>
      <c r="AR25" s="342">
        <f>정리base!$P$8</f>
        <v>0.35777555555555557</v>
      </c>
      <c r="AU25" s="325" t="s">
        <v>158</v>
      </c>
      <c r="AV25" s="340">
        <f>정리base!$K$8</f>
        <v>0.72220444444444443</v>
      </c>
      <c r="AW25" s="341">
        <f>정리base!$L$8</f>
        <v>0.97272388888888883</v>
      </c>
      <c r="AX25" s="341">
        <f>정리base!$M$8</f>
        <v>0.56826333333333334</v>
      </c>
      <c r="AY25" s="341">
        <f>정리base!$N$8</f>
        <v>0.77653666666666665</v>
      </c>
      <c r="AZ25" s="341">
        <f>정리base!$O$8</f>
        <v>0.73106472222222252</v>
      </c>
      <c r="BA25" s="342">
        <f>정리base!$P$8</f>
        <v>0.35777555555555557</v>
      </c>
      <c r="BD25" s="325" t="s">
        <v>158</v>
      </c>
      <c r="BE25" s="340">
        <f>정리base!$K$8</f>
        <v>0.72220444444444443</v>
      </c>
      <c r="BF25" s="341">
        <f>정리base!$L$8</f>
        <v>0.97272388888888883</v>
      </c>
      <c r="BG25" s="341">
        <f>정리base!$M$8</f>
        <v>0.56826333333333334</v>
      </c>
      <c r="BH25" s="341">
        <f>정리base!$N$8</f>
        <v>0.77653666666666665</v>
      </c>
      <c r="BI25" s="341">
        <f>정리base!$O$8</f>
        <v>0.73106472222222252</v>
      </c>
      <c r="BJ25" s="342">
        <f>정리base!$P$8</f>
        <v>0.35777555555555557</v>
      </c>
      <c r="BM25" s="325" t="s">
        <v>158</v>
      </c>
      <c r="BN25" s="340">
        <f>정리base!$K$8</f>
        <v>0.72220444444444443</v>
      </c>
      <c r="BO25" s="341">
        <f>정리base!$L$8</f>
        <v>0.97272388888888883</v>
      </c>
      <c r="BP25" s="341">
        <f>정리base!$M$8</f>
        <v>0.56826333333333334</v>
      </c>
      <c r="BQ25" s="341">
        <f>정리base!$N$8</f>
        <v>0.77653666666666665</v>
      </c>
      <c r="BR25" s="341">
        <f>정리base!$O$8</f>
        <v>0.73106472222222252</v>
      </c>
      <c r="BS25" s="342">
        <f>정리base!$P$8</f>
        <v>0.35777555555555557</v>
      </c>
      <c r="BV25" s="325" t="s">
        <v>158</v>
      </c>
      <c r="BW25" s="340">
        <f>정리base!$K$8</f>
        <v>0.72220444444444443</v>
      </c>
      <c r="BX25" s="341">
        <f>정리base!$L$8</f>
        <v>0.97272388888888883</v>
      </c>
      <c r="BY25" s="341">
        <f>정리base!$M$8</f>
        <v>0.56826333333333334</v>
      </c>
      <c r="BZ25" s="341">
        <f>정리base!$N$8</f>
        <v>0.77653666666666665</v>
      </c>
      <c r="CA25" s="341">
        <f>정리base!$O$8</f>
        <v>0.73106472222222252</v>
      </c>
      <c r="CB25" s="342">
        <f>정리base!$P$8</f>
        <v>0.35777555555555557</v>
      </c>
      <c r="CE25" s="325" t="s">
        <v>158</v>
      </c>
      <c r="CF25" s="340">
        <f>정리base!$K$8</f>
        <v>0.72220444444444443</v>
      </c>
      <c r="CG25" s="341">
        <f>정리base!$L$8</f>
        <v>0.97272388888888883</v>
      </c>
      <c r="CH25" s="341">
        <f>정리base!$M$8</f>
        <v>0.56826333333333334</v>
      </c>
      <c r="CI25" s="341">
        <f>정리base!$N$8</f>
        <v>0.77653666666666665</v>
      </c>
      <c r="CJ25" s="341">
        <f>정리base!$O$8</f>
        <v>0.73106472222222252</v>
      </c>
      <c r="CK25" s="342">
        <f>정리base!$P$8</f>
        <v>0.35777555555555557</v>
      </c>
      <c r="CN25" s="325" t="s">
        <v>158</v>
      </c>
      <c r="CO25" s="340">
        <f>정리base!$K$8</f>
        <v>0.72220444444444443</v>
      </c>
      <c r="CP25" s="341">
        <f>정리base!$L$8</f>
        <v>0.97272388888888883</v>
      </c>
      <c r="CQ25" s="341">
        <f>정리base!$M$8</f>
        <v>0.56826333333333334</v>
      </c>
      <c r="CR25" s="341">
        <f>정리base!$N$8</f>
        <v>0.77653666666666665</v>
      </c>
      <c r="CS25" s="341">
        <f>정리base!$O$8</f>
        <v>0.73106472222222252</v>
      </c>
      <c r="CT25" s="342">
        <f>정리base!$P$8</f>
        <v>0.35777555555555557</v>
      </c>
      <c r="CW25" s="325" t="s">
        <v>158</v>
      </c>
      <c r="CX25" s="340">
        <f>정리base!$K$8</f>
        <v>0.72220444444444443</v>
      </c>
      <c r="CY25" s="341">
        <f>정리base!$L$8</f>
        <v>0.97272388888888883</v>
      </c>
      <c r="CZ25" s="341">
        <f>정리base!$M$8</f>
        <v>0.56826333333333334</v>
      </c>
      <c r="DA25" s="341">
        <f>정리base!$N$8</f>
        <v>0.77653666666666665</v>
      </c>
      <c r="DB25" s="341">
        <f>정리base!$O$8</f>
        <v>0.73106472222222252</v>
      </c>
      <c r="DC25" s="342">
        <f>정리base!$P$8</f>
        <v>0.35777555555555557</v>
      </c>
    </row>
    <row r="26" spans="2:107" ht="31.5" x14ac:dyDescent="0.25">
      <c r="B26" s="329" t="s">
        <v>40</v>
      </c>
      <c r="C26" s="330">
        <f>정리base!$K$10</f>
        <v>6499.84</v>
      </c>
      <c r="D26" s="331">
        <f>정리base!$L$10</f>
        <v>8754.5149999999994</v>
      </c>
      <c r="E26" s="331">
        <f>정리base!$M$10</f>
        <v>10228.74</v>
      </c>
      <c r="F26" s="331">
        <f>정리base!$N$10</f>
        <v>13977.66</v>
      </c>
      <c r="G26" s="331">
        <f>정리base!$O$10</f>
        <v>13159.165000000005</v>
      </c>
      <c r="H26" s="332">
        <f>정리base!$P$10</f>
        <v>6439.96</v>
      </c>
      <c r="K26" s="329" t="s">
        <v>40</v>
      </c>
      <c r="L26" s="330">
        <f>정리base!$K$10</f>
        <v>6499.84</v>
      </c>
      <c r="M26" s="331">
        <f>정리base!$L$10</f>
        <v>8754.5149999999994</v>
      </c>
      <c r="N26" s="331">
        <f>정리base!$M$10</f>
        <v>10228.74</v>
      </c>
      <c r="O26" s="331">
        <f>정리base!$N$10</f>
        <v>13977.66</v>
      </c>
      <c r="P26" s="331">
        <f>정리base!$O$10</f>
        <v>13159.165000000005</v>
      </c>
      <c r="Q26" s="332">
        <f>정리base!$P$10</f>
        <v>6439.96</v>
      </c>
      <c r="T26" s="329" t="s">
        <v>40</v>
      </c>
      <c r="U26" s="330">
        <f>정리base!$K$10</f>
        <v>6499.84</v>
      </c>
      <c r="V26" s="331">
        <f>정리base!$L$10</f>
        <v>8754.5149999999994</v>
      </c>
      <c r="W26" s="331">
        <f>정리base!$M$10</f>
        <v>10228.74</v>
      </c>
      <c r="X26" s="331">
        <f>정리base!$N$10</f>
        <v>13977.66</v>
      </c>
      <c r="Y26" s="331">
        <f>정리base!$O$10</f>
        <v>13159.165000000005</v>
      </c>
      <c r="Z26" s="332">
        <f>정리base!$P$10</f>
        <v>6439.96</v>
      </c>
      <c r="AC26" s="329" t="s">
        <v>40</v>
      </c>
      <c r="AD26" s="330">
        <f>정리base!$K$10</f>
        <v>6499.84</v>
      </c>
      <c r="AE26" s="331">
        <f>정리base!$L$10</f>
        <v>8754.5149999999994</v>
      </c>
      <c r="AF26" s="331">
        <f>정리base!$M$10</f>
        <v>10228.74</v>
      </c>
      <c r="AG26" s="331">
        <f>정리base!$N$10</f>
        <v>13977.66</v>
      </c>
      <c r="AH26" s="331">
        <f>정리base!$O$10</f>
        <v>13159.165000000005</v>
      </c>
      <c r="AI26" s="332">
        <f>정리base!$P$10</f>
        <v>6439.96</v>
      </c>
      <c r="AL26" s="329" t="s">
        <v>40</v>
      </c>
      <c r="AM26" s="330">
        <f>정리base!$K$10</f>
        <v>6499.84</v>
      </c>
      <c r="AN26" s="331">
        <f>정리base!$L$10</f>
        <v>8754.5149999999994</v>
      </c>
      <c r="AO26" s="331">
        <f>정리base!$M$10</f>
        <v>10228.74</v>
      </c>
      <c r="AP26" s="331">
        <f>정리base!$N$10</f>
        <v>13977.66</v>
      </c>
      <c r="AQ26" s="331">
        <f>정리base!$O$10</f>
        <v>13159.165000000005</v>
      </c>
      <c r="AR26" s="332">
        <f>정리base!$P$10</f>
        <v>6439.96</v>
      </c>
      <c r="AU26" s="329" t="s">
        <v>40</v>
      </c>
      <c r="AV26" s="330">
        <f>정리base!$K$10</f>
        <v>6499.84</v>
      </c>
      <c r="AW26" s="331">
        <f>정리base!$L$10</f>
        <v>8754.5149999999994</v>
      </c>
      <c r="AX26" s="331">
        <f>정리base!$M$10</f>
        <v>10228.74</v>
      </c>
      <c r="AY26" s="331">
        <f>정리base!$N$10</f>
        <v>13977.66</v>
      </c>
      <c r="AZ26" s="331">
        <f>정리base!$O$10</f>
        <v>13159.165000000005</v>
      </c>
      <c r="BA26" s="332">
        <f>정리base!$P$10</f>
        <v>6439.96</v>
      </c>
      <c r="BD26" s="329" t="s">
        <v>40</v>
      </c>
      <c r="BE26" s="330">
        <f>정리base!$K$10</f>
        <v>6499.84</v>
      </c>
      <c r="BF26" s="331">
        <f>정리base!$L$10</f>
        <v>8754.5149999999994</v>
      </c>
      <c r="BG26" s="331">
        <f>정리base!$M$10</f>
        <v>10228.74</v>
      </c>
      <c r="BH26" s="331">
        <f>정리base!$N$10</f>
        <v>13977.66</v>
      </c>
      <c r="BI26" s="331">
        <f>정리base!$O$10</f>
        <v>13159.165000000005</v>
      </c>
      <c r="BJ26" s="332">
        <f>정리base!$P$10</f>
        <v>6439.96</v>
      </c>
      <c r="BM26" s="329" t="s">
        <v>40</v>
      </c>
      <c r="BN26" s="330">
        <f>정리base!$K$10</f>
        <v>6499.84</v>
      </c>
      <c r="BO26" s="331">
        <f>정리base!$L$10</f>
        <v>8754.5149999999994</v>
      </c>
      <c r="BP26" s="331">
        <f>정리base!$M$10</f>
        <v>10228.74</v>
      </c>
      <c r="BQ26" s="331">
        <f>정리base!$N$10</f>
        <v>13977.66</v>
      </c>
      <c r="BR26" s="331">
        <f>정리base!$O$10</f>
        <v>13159.165000000005</v>
      </c>
      <c r="BS26" s="332">
        <f>정리base!$P$10</f>
        <v>6439.96</v>
      </c>
      <c r="BV26" s="329" t="s">
        <v>40</v>
      </c>
      <c r="BW26" s="330">
        <f>정리base!$K$10</f>
        <v>6499.84</v>
      </c>
      <c r="BX26" s="331">
        <f>정리base!$L$10</f>
        <v>8754.5149999999994</v>
      </c>
      <c r="BY26" s="331">
        <f>정리base!$M$10</f>
        <v>10228.74</v>
      </c>
      <c r="BZ26" s="331">
        <f>정리base!$N$10</f>
        <v>13977.66</v>
      </c>
      <c r="CA26" s="331">
        <f>정리base!$O$10</f>
        <v>13159.165000000005</v>
      </c>
      <c r="CB26" s="332">
        <f>정리base!$P$10</f>
        <v>6439.96</v>
      </c>
      <c r="CE26" s="329" t="s">
        <v>40</v>
      </c>
      <c r="CF26" s="330">
        <f>정리base!$K$10</f>
        <v>6499.84</v>
      </c>
      <c r="CG26" s="331">
        <f>정리base!$L$10</f>
        <v>8754.5149999999994</v>
      </c>
      <c r="CH26" s="331">
        <f>정리base!$M$10</f>
        <v>10228.74</v>
      </c>
      <c r="CI26" s="331">
        <f>정리base!$N$10</f>
        <v>13977.66</v>
      </c>
      <c r="CJ26" s="331">
        <f>정리base!$O$10</f>
        <v>13159.165000000005</v>
      </c>
      <c r="CK26" s="332">
        <f>정리base!$P$10</f>
        <v>6439.96</v>
      </c>
      <c r="CN26" s="329" t="s">
        <v>40</v>
      </c>
      <c r="CO26" s="330">
        <f>정리base!$K$10</f>
        <v>6499.84</v>
      </c>
      <c r="CP26" s="331">
        <f>정리base!$L$10</f>
        <v>8754.5149999999994</v>
      </c>
      <c r="CQ26" s="331">
        <f>정리base!$M$10</f>
        <v>10228.74</v>
      </c>
      <c r="CR26" s="331">
        <f>정리base!$N$10</f>
        <v>13977.66</v>
      </c>
      <c r="CS26" s="331">
        <f>정리base!$O$10</f>
        <v>13159.165000000005</v>
      </c>
      <c r="CT26" s="332">
        <f>정리base!$P$10</f>
        <v>6439.96</v>
      </c>
      <c r="CW26" s="329" t="s">
        <v>40</v>
      </c>
      <c r="CX26" s="330">
        <f>정리base!$K$10</f>
        <v>6499.84</v>
      </c>
      <c r="CY26" s="331">
        <f>정리base!$L$10</f>
        <v>8754.5149999999994</v>
      </c>
      <c r="CZ26" s="331">
        <f>정리base!$M$10</f>
        <v>10228.74</v>
      </c>
      <c r="DA26" s="331">
        <f>정리base!$N$10</f>
        <v>13977.66</v>
      </c>
      <c r="DB26" s="331">
        <f>정리base!$O$10</f>
        <v>13159.165000000005</v>
      </c>
      <c r="DC26" s="332">
        <f>정리base!$P$10</f>
        <v>6439.96</v>
      </c>
    </row>
    <row r="27" spans="2:107" ht="31.5" x14ac:dyDescent="0.25">
      <c r="B27" s="329" t="s">
        <v>19</v>
      </c>
      <c r="C27" s="333">
        <f>정리base!$K$14</f>
        <v>26</v>
      </c>
      <c r="D27" s="334">
        <f>정리base!$L$14</f>
        <v>27</v>
      </c>
      <c r="E27" s="334">
        <f>정리base!$M$14</f>
        <v>39</v>
      </c>
      <c r="F27" s="334">
        <f>정리base!$N$14</f>
        <v>47</v>
      </c>
      <c r="G27" s="334">
        <f>정리base!$O$14</f>
        <v>37</v>
      </c>
      <c r="H27" s="335">
        <f>정리base!$P$14</f>
        <v>22</v>
      </c>
      <c r="K27" s="329" t="s">
        <v>19</v>
      </c>
      <c r="L27" s="333">
        <f>정리base!$K$14</f>
        <v>26</v>
      </c>
      <c r="M27" s="334">
        <f>정리base!$L$14</f>
        <v>27</v>
      </c>
      <c r="N27" s="334">
        <f>정리base!$M$14</f>
        <v>39</v>
      </c>
      <c r="O27" s="334">
        <f>정리base!$N$14</f>
        <v>47</v>
      </c>
      <c r="P27" s="334">
        <f>정리base!$O$14</f>
        <v>37</v>
      </c>
      <c r="Q27" s="335">
        <f>정리base!$P$14</f>
        <v>22</v>
      </c>
      <c r="T27" s="329" t="s">
        <v>19</v>
      </c>
      <c r="U27" s="333">
        <f>정리base!$K$14</f>
        <v>26</v>
      </c>
      <c r="V27" s="334">
        <f>정리base!$L$14</f>
        <v>27</v>
      </c>
      <c r="W27" s="334">
        <f>정리base!$M$14</f>
        <v>39</v>
      </c>
      <c r="X27" s="334">
        <f>정리base!$N$14</f>
        <v>47</v>
      </c>
      <c r="Y27" s="334">
        <f>정리base!$O$14</f>
        <v>37</v>
      </c>
      <c r="Z27" s="335">
        <f>정리base!$P$14</f>
        <v>22</v>
      </c>
      <c r="AC27" s="329" t="s">
        <v>19</v>
      </c>
      <c r="AD27" s="333">
        <f>정리base!$K$14</f>
        <v>26</v>
      </c>
      <c r="AE27" s="334">
        <f>정리base!$L$14</f>
        <v>27</v>
      </c>
      <c r="AF27" s="334">
        <f>정리base!$M$14</f>
        <v>39</v>
      </c>
      <c r="AG27" s="334">
        <f>정리base!$N$14</f>
        <v>47</v>
      </c>
      <c r="AH27" s="334">
        <f>정리base!$O$14</f>
        <v>37</v>
      </c>
      <c r="AI27" s="335">
        <f>정리base!$P$14</f>
        <v>22</v>
      </c>
      <c r="AL27" s="329" t="s">
        <v>19</v>
      </c>
      <c r="AM27" s="333">
        <f>정리base!$K$14</f>
        <v>26</v>
      </c>
      <c r="AN27" s="334">
        <f>정리base!$L$14</f>
        <v>27</v>
      </c>
      <c r="AO27" s="334">
        <f>정리base!$M$14</f>
        <v>39</v>
      </c>
      <c r="AP27" s="334">
        <f>정리base!$N$14</f>
        <v>47</v>
      </c>
      <c r="AQ27" s="334">
        <f>정리base!$O$14</f>
        <v>37</v>
      </c>
      <c r="AR27" s="335">
        <f>정리base!$P$14</f>
        <v>22</v>
      </c>
      <c r="AU27" s="329" t="s">
        <v>19</v>
      </c>
      <c r="AV27" s="333">
        <f>정리base!$K$14</f>
        <v>26</v>
      </c>
      <c r="AW27" s="334">
        <f>정리base!$L$14</f>
        <v>27</v>
      </c>
      <c r="AX27" s="334">
        <f>정리base!$M$14</f>
        <v>39</v>
      </c>
      <c r="AY27" s="334">
        <f>정리base!$N$14</f>
        <v>47</v>
      </c>
      <c r="AZ27" s="334">
        <f>정리base!$O$14</f>
        <v>37</v>
      </c>
      <c r="BA27" s="335">
        <f>정리base!$P$14</f>
        <v>22</v>
      </c>
      <c r="BD27" s="329" t="s">
        <v>19</v>
      </c>
      <c r="BE27" s="333">
        <f>정리base!$K$14</f>
        <v>26</v>
      </c>
      <c r="BF27" s="334">
        <f>정리base!$L$14</f>
        <v>27</v>
      </c>
      <c r="BG27" s="334">
        <f>정리base!$M$14</f>
        <v>39</v>
      </c>
      <c r="BH27" s="334">
        <f>정리base!$N$14</f>
        <v>47</v>
      </c>
      <c r="BI27" s="334">
        <f>정리base!$O$14</f>
        <v>37</v>
      </c>
      <c r="BJ27" s="335">
        <f>정리base!$P$14</f>
        <v>22</v>
      </c>
      <c r="BM27" s="329" t="s">
        <v>19</v>
      </c>
      <c r="BN27" s="333">
        <f>정리base!$K$14</f>
        <v>26</v>
      </c>
      <c r="BO27" s="334">
        <f>정리base!$L$14</f>
        <v>27</v>
      </c>
      <c r="BP27" s="334">
        <f>정리base!$M$14</f>
        <v>39</v>
      </c>
      <c r="BQ27" s="334">
        <f>정리base!$N$14</f>
        <v>47</v>
      </c>
      <c r="BR27" s="334">
        <f>정리base!$O$14</f>
        <v>37</v>
      </c>
      <c r="BS27" s="335">
        <f>정리base!$P$14</f>
        <v>22</v>
      </c>
      <c r="BV27" s="329" t="s">
        <v>19</v>
      </c>
      <c r="BW27" s="333">
        <f>정리base!$K$14</f>
        <v>26</v>
      </c>
      <c r="BX27" s="334">
        <f>정리base!$L$14</f>
        <v>27</v>
      </c>
      <c r="BY27" s="334">
        <f>정리base!$M$14</f>
        <v>39</v>
      </c>
      <c r="BZ27" s="334">
        <f>정리base!$N$14</f>
        <v>47</v>
      </c>
      <c r="CA27" s="334">
        <f>정리base!$O$14</f>
        <v>37</v>
      </c>
      <c r="CB27" s="335">
        <f>정리base!$P$14</f>
        <v>22</v>
      </c>
      <c r="CE27" s="329" t="s">
        <v>19</v>
      </c>
      <c r="CF27" s="333">
        <f>정리base!$K$14</f>
        <v>26</v>
      </c>
      <c r="CG27" s="334">
        <f>정리base!$L$14</f>
        <v>27</v>
      </c>
      <c r="CH27" s="334">
        <f>정리base!$M$14</f>
        <v>39</v>
      </c>
      <c r="CI27" s="334">
        <f>정리base!$N$14</f>
        <v>47</v>
      </c>
      <c r="CJ27" s="334">
        <f>정리base!$O$14</f>
        <v>37</v>
      </c>
      <c r="CK27" s="335">
        <f>정리base!$P$14</f>
        <v>22</v>
      </c>
      <c r="CN27" s="329" t="s">
        <v>19</v>
      </c>
      <c r="CO27" s="333">
        <f>정리base!$K$14</f>
        <v>26</v>
      </c>
      <c r="CP27" s="334">
        <f>정리base!$L$14</f>
        <v>27</v>
      </c>
      <c r="CQ27" s="334">
        <f>정리base!$M$14</f>
        <v>39</v>
      </c>
      <c r="CR27" s="334">
        <f>정리base!$N$14</f>
        <v>47</v>
      </c>
      <c r="CS27" s="334">
        <f>정리base!$O$14</f>
        <v>37</v>
      </c>
      <c r="CT27" s="335">
        <f>정리base!$P$14</f>
        <v>22</v>
      </c>
      <c r="CW27" s="329" t="s">
        <v>19</v>
      </c>
      <c r="CX27" s="333">
        <f>정리base!$K$14</f>
        <v>26</v>
      </c>
      <c r="CY27" s="334">
        <f>정리base!$L$14</f>
        <v>27</v>
      </c>
      <c r="CZ27" s="334">
        <f>정리base!$M$14</f>
        <v>39</v>
      </c>
      <c r="DA27" s="334">
        <f>정리base!$N$14</f>
        <v>47</v>
      </c>
      <c r="DB27" s="334">
        <f>정리base!$O$14</f>
        <v>37</v>
      </c>
      <c r="DC27" s="335">
        <f>정리base!$P$14</f>
        <v>22</v>
      </c>
    </row>
    <row r="28" spans="2:107" ht="32.25" thickBot="1" x14ac:dyDescent="0.3">
      <c r="B28" s="343" t="s">
        <v>34</v>
      </c>
      <c r="C28" s="344">
        <f>정리base!$K$15</f>
        <v>41.120000000000005</v>
      </c>
      <c r="D28" s="345">
        <f>정리base!$L$15</f>
        <v>84.619</v>
      </c>
      <c r="E28" s="345">
        <f>정리base!$M$15</f>
        <v>92.694999999999993</v>
      </c>
      <c r="F28" s="345">
        <f>정리base!$N$15</f>
        <v>135.08089027</v>
      </c>
      <c r="G28" s="345">
        <f>정리base!$O$15</f>
        <v>135.1148</v>
      </c>
      <c r="H28" s="346">
        <f>정리base!$P$15</f>
        <v>61.540000000000006</v>
      </c>
      <c r="K28" s="343" t="s">
        <v>34</v>
      </c>
      <c r="L28" s="344">
        <f>정리base!$K$15</f>
        <v>41.120000000000005</v>
      </c>
      <c r="M28" s="345">
        <f>정리base!$L$15</f>
        <v>84.619</v>
      </c>
      <c r="N28" s="345">
        <f>정리base!$M$15</f>
        <v>92.694999999999993</v>
      </c>
      <c r="O28" s="345">
        <f>정리base!$N$15</f>
        <v>135.08089027</v>
      </c>
      <c r="P28" s="345">
        <f>정리base!$O$15</f>
        <v>135.1148</v>
      </c>
      <c r="Q28" s="346">
        <f>정리base!$P$15</f>
        <v>61.540000000000006</v>
      </c>
      <c r="T28" s="343" t="s">
        <v>34</v>
      </c>
      <c r="U28" s="344">
        <f>정리base!$K$15</f>
        <v>41.120000000000005</v>
      </c>
      <c r="V28" s="345">
        <f>정리base!$L$15</f>
        <v>84.619</v>
      </c>
      <c r="W28" s="345">
        <f>정리base!$M$15</f>
        <v>92.694999999999993</v>
      </c>
      <c r="X28" s="345">
        <f>정리base!$N$15</f>
        <v>135.08089027</v>
      </c>
      <c r="Y28" s="345">
        <f>정리base!$O$15</f>
        <v>135.1148</v>
      </c>
      <c r="Z28" s="346">
        <f>정리base!$P$15</f>
        <v>61.540000000000006</v>
      </c>
      <c r="AC28" s="343" t="s">
        <v>34</v>
      </c>
      <c r="AD28" s="344">
        <f>정리base!$K$15</f>
        <v>41.120000000000005</v>
      </c>
      <c r="AE28" s="345">
        <f>정리base!$L$15</f>
        <v>84.619</v>
      </c>
      <c r="AF28" s="345">
        <f>정리base!$M$15</f>
        <v>92.694999999999993</v>
      </c>
      <c r="AG28" s="345">
        <f>정리base!$N$15</f>
        <v>135.08089027</v>
      </c>
      <c r="AH28" s="345">
        <f>정리base!$O$15</f>
        <v>135.1148</v>
      </c>
      <c r="AI28" s="346">
        <f>정리base!$P$15</f>
        <v>61.540000000000006</v>
      </c>
      <c r="AL28" s="343" t="s">
        <v>34</v>
      </c>
      <c r="AM28" s="344">
        <f>정리base!$K$15</f>
        <v>41.120000000000005</v>
      </c>
      <c r="AN28" s="345">
        <f>정리base!$L$15</f>
        <v>84.619</v>
      </c>
      <c r="AO28" s="345">
        <f>정리base!$M$15</f>
        <v>92.694999999999993</v>
      </c>
      <c r="AP28" s="345">
        <f>정리base!$N$15</f>
        <v>135.08089027</v>
      </c>
      <c r="AQ28" s="345">
        <f>정리base!$O$15</f>
        <v>135.1148</v>
      </c>
      <c r="AR28" s="346">
        <f>정리base!$P$15</f>
        <v>61.540000000000006</v>
      </c>
      <c r="AU28" s="343" t="s">
        <v>34</v>
      </c>
      <c r="AV28" s="344">
        <f>정리base!$K$15</f>
        <v>41.120000000000005</v>
      </c>
      <c r="AW28" s="345">
        <f>정리base!$L$15</f>
        <v>84.619</v>
      </c>
      <c r="AX28" s="345">
        <f>정리base!$M$15</f>
        <v>92.694999999999993</v>
      </c>
      <c r="AY28" s="345">
        <f>정리base!$N$15</f>
        <v>135.08089027</v>
      </c>
      <c r="AZ28" s="345">
        <f>정리base!$O$15</f>
        <v>135.1148</v>
      </c>
      <c r="BA28" s="346">
        <f>정리base!$P$15</f>
        <v>61.540000000000006</v>
      </c>
      <c r="BD28" s="343" t="s">
        <v>34</v>
      </c>
      <c r="BE28" s="344">
        <f>정리base!$K$15</f>
        <v>41.120000000000005</v>
      </c>
      <c r="BF28" s="345">
        <f>정리base!$L$15</f>
        <v>84.619</v>
      </c>
      <c r="BG28" s="345">
        <f>정리base!$M$15</f>
        <v>92.694999999999993</v>
      </c>
      <c r="BH28" s="345">
        <f>정리base!$N$15</f>
        <v>135.08089027</v>
      </c>
      <c r="BI28" s="345">
        <f>정리base!$O$15</f>
        <v>135.1148</v>
      </c>
      <c r="BJ28" s="346">
        <f>정리base!$P$15</f>
        <v>61.540000000000006</v>
      </c>
      <c r="BM28" s="343" t="s">
        <v>34</v>
      </c>
      <c r="BN28" s="344">
        <f>정리base!$K$15</f>
        <v>41.120000000000005</v>
      </c>
      <c r="BO28" s="345">
        <f>정리base!$L$15</f>
        <v>84.619</v>
      </c>
      <c r="BP28" s="345">
        <f>정리base!$M$15</f>
        <v>92.694999999999993</v>
      </c>
      <c r="BQ28" s="345">
        <f>정리base!$N$15</f>
        <v>135.08089027</v>
      </c>
      <c r="BR28" s="345">
        <f>정리base!$O$15</f>
        <v>135.1148</v>
      </c>
      <c r="BS28" s="346">
        <f>정리base!$P$15</f>
        <v>61.540000000000006</v>
      </c>
      <c r="BV28" s="343" t="s">
        <v>34</v>
      </c>
      <c r="BW28" s="344">
        <f>정리base!$K$15</f>
        <v>41.120000000000005</v>
      </c>
      <c r="BX28" s="345">
        <f>정리base!$L$15</f>
        <v>84.619</v>
      </c>
      <c r="BY28" s="345">
        <f>정리base!$M$15</f>
        <v>92.694999999999993</v>
      </c>
      <c r="BZ28" s="345">
        <f>정리base!$N$15</f>
        <v>135.08089027</v>
      </c>
      <c r="CA28" s="345">
        <f>정리base!$O$15</f>
        <v>135.1148</v>
      </c>
      <c r="CB28" s="346">
        <f>정리base!$P$15</f>
        <v>61.540000000000006</v>
      </c>
      <c r="CE28" s="343" t="s">
        <v>34</v>
      </c>
      <c r="CF28" s="344">
        <f>정리base!$K$15</f>
        <v>41.120000000000005</v>
      </c>
      <c r="CG28" s="345">
        <f>정리base!$L$15</f>
        <v>84.619</v>
      </c>
      <c r="CH28" s="345">
        <f>정리base!$M$15</f>
        <v>92.694999999999993</v>
      </c>
      <c r="CI28" s="345">
        <f>정리base!$N$15</f>
        <v>135.08089027</v>
      </c>
      <c r="CJ28" s="345">
        <f>정리base!$O$15</f>
        <v>135.1148</v>
      </c>
      <c r="CK28" s="346">
        <f>정리base!$P$15</f>
        <v>61.540000000000006</v>
      </c>
      <c r="CN28" s="343" t="s">
        <v>34</v>
      </c>
      <c r="CO28" s="344">
        <f>정리base!$K$15</f>
        <v>41.120000000000005</v>
      </c>
      <c r="CP28" s="345">
        <f>정리base!$L$15</f>
        <v>84.619</v>
      </c>
      <c r="CQ28" s="345">
        <f>정리base!$M$15</f>
        <v>92.694999999999993</v>
      </c>
      <c r="CR28" s="345">
        <f>정리base!$N$15</f>
        <v>135.08089027</v>
      </c>
      <c r="CS28" s="345">
        <f>정리base!$O$15</f>
        <v>135.1148</v>
      </c>
      <c r="CT28" s="346">
        <f>정리base!$P$15</f>
        <v>61.540000000000006</v>
      </c>
      <c r="CW28" s="343" t="s">
        <v>34</v>
      </c>
      <c r="CX28" s="344">
        <f>정리base!$K$15</f>
        <v>41.120000000000005</v>
      </c>
      <c r="CY28" s="345">
        <f>정리base!$L$15</f>
        <v>84.619</v>
      </c>
      <c r="CZ28" s="345">
        <f>정리base!$M$15</f>
        <v>92.694999999999993</v>
      </c>
      <c r="DA28" s="345">
        <f>정리base!$N$15</f>
        <v>135.08089027</v>
      </c>
      <c r="DB28" s="345">
        <f>정리base!$O$15</f>
        <v>135.1148</v>
      </c>
      <c r="DC28" s="346">
        <f>정리base!$P$15</f>
        <v>61.540000000000006</v>
      </c>
    </row>
    <row r="29" spans="2:107" ht="39.950000000000003" customHeight="1" thickBot="1" x14ac:dyDescent="0.3">
      <c r="B29" s="315"/>
      <c r="C29" s="315"/>
      <c r="D29" s="315"/>
      <c r="E29" s="315"/>
      <c r="F29" s="315"/>
      <c r="G29" s="315"/>
      <c r="H29" s="315"/>
      <c r="K29" s="315"/>
      <c r="L29" s="315"/>
      <c r="M29" s="315"/>
      <c r="N29" s="315"/>
      <c r="O29" s="315"/>
      <c r="P29" s="315"/>
      <c r="Q29" s="315"/>
      <c r="T29" s="315"/>
      <c r="U29" s="315"/>
      <c r="V29" s="315"/>
      <c r="W29" s="315"/>
      <c r="X29" s="315"/>
      <c r="Y29" s="315"/>
      <c r="Z29" s="315"/>
      <c r="AC29" s="315"/>
      <c r="AD29" s="315"/>
      <c r="AE29" s="315"/>
      <c r="AF29" s="315"/>
      <c r="AG29" s="315"/>
      <c r="AH29" s="315"/>
      <c r="AI29" s="315"/>
      <c r="AL29" s="315"/>
      <c r="AM29" s="315"/>
      <c r="AN29" s="315"/>
      <c r="AO29" s="315"/>
      <c r="AP29" s="315"/>
      <c r="AQ29" s="315"/>
      <c r="AR29" s="315"/>
      <c r="AU29" s="315"/>
      <c r="AV29" s="315"/>
      <c r="AW29" s="315"/>
      <c r="AX29" s="315"/>
      <c r="AY29" s="315"/>
      <c r="AZ29" s="315"/>
      <c r="BA29" s="315"/>
      <c r="BD29" s="315"/>
      <c r="BE29" s="315"/>
      <c r="BF29" s="315"/>
      <c r="BG29" s="315"/>
      <c r="BH29" s="315"/>
      <c r="BI29" s="315"/>
      <c r="BJ29" s="315"/>
      <c r="BM29" s="315"/>
      <c r="BN29" s="315"/>
      <c r="BO29" s="315"/>
      <c r="BP29" s="315"/>
      <c r="BQ29" s="315"/>
      <c r="BR29" s="315"/>
      <c r="BS29" s="315"/>
      <c r="BV29" s="315"/>
      <c r="BW29" s="315"/>
      <c r="BX29" s="315"/>
      <c r="BY29" s="315"/>
      <c r="BZ29" s="315"/>
      <c r="CA29" s="315"/>
      <c r="CB29" s="315"/>
      <c r="CE29" s="315"/>
      <c r="CF29" s="315"/>
      <c r="CG29" s="315"/>
      <c r="CH29" s="315"/>
      <c r="CI29" s="315"/>
      <c r="CJ29" s="315"/>
      <c r="CK29" s="315"/>
      <c r="CN29" s="315"/>
      <c r="CO29" s="315"/>
      <c r="CP29" s="315"/>
      <c r="CQ29" s="315"/>
      <c r="CR29" s="315"/>
      <c r="CS29" s="315"/>
      <c r="CT29" s="315"/>
      <c r="CW29" s="315"/>
      <c r="CX29" s="315"/>
      <c r="CY29" s="315"/>
      <c r="CZ29" s="315"/>
      <c r="DA29" s="315"/>
      <c r="DB29" s="315"/>
      <c r="DC29" s="315"/>
    </row>
    <row r="30" spans="2:107" ht="32.25" thickBot="1" x14ac:dyDescent="0.3">
      <c r="B30" s="300"/>
      <c r="C30" s="301" t="s">
        <v>56</v>
      </c>
      <c r="D30" s="302" t="s">
        <v>58</v>
      </c>
      <c r="E30" s="347" t="s">
        <v>57</v>
      </c>
      <c r="F30" s="364" t="s">
        <v>51</v>
      </c>
      <c r="G30" s="359" t="s">
        <v>1941</v>
      </c>
      <c r="H30" s="360" t="s">
        <v>52</v>
      </c>
      <c r="K30" s="300"/>
      <c r="L30" s="301" t="s">
        <v>56</v>
      </c>
      <c r="M30" s="302" t="s">
        <v>58</v>
      </c>
      <c r="N30" s="347" t="s">
        <v>57</v>
      </c>
      <c r="O30" s="364" t="s">
        <v>51</v>
      </c>
      <c r="P30" s="359" t="s">
        <v>1941</v>
      </c>
      <c r="Q30" s="360" t="s">
        <v>52</v>
      </c>
      <c r="T30" s="300"/>
      <c r="U30" s="301" t="s">
        <v>56</v>
      </c>
      <c r="V30" s="302" t="s">
        <v>58</v>
      </c>
      <c r="W30" s="347" t="s">
        <v>57</v>
      </c>
      <c r="X30" s="364" t="s">
        <v>51</v>
      </c>
      <c r="Y30" s="359" t="s">
        <v>1941</v>
      </c>
      <c r="Z30" s="360" t="s">
        <v>52</v>
      </c>
      <c r="AC30" s="300"/>
      <c r="AD30" s="301" t="s">
        <v>56</v>
      </c>
      <c r="AE30" s="302" t="s">
        <v>58</v>
      </c>
      <c r="AF30" s="347" t="s">
        <v>57</v>
      </c>
      <c r="AG30" s="364" t="s">
        <v>51</v>
      </c>
      <c r="AH30" s="359" t="s">
        <v>1941</v>
      </c>
      <c r="AI30" s="360" t="s">
        <v>52</v>
      </c>
      <c r="AL30" s="300"/>
      <c r="AM30" s="301" t="s">
        <v>56</v>
      </c>
      <c r="AN30" s="302" t="s">
        <v>58</v>
      </c>
      <c r="AO30" s="347" t="s">
        <v>57</v>
      </c>
      <c r="AP30" s="364" t="s">
        <v>51</v>
      </c>
      <c r="AQ30" s="359" t="s">
        <v>1941</v>
      </c>
      <c r="AR30" s="360" t="s">
        <v>52</v>
      </c>
      <c r="AU30" s="300"/>
      <c r="AV30" s="301" t="s">
        <v>56</v>
      </c>
      <c r="AW30" s="302" t="s">
        <v>58</v>
      </c>
      <c r="AX30" s="347" t="s">
        <v>57</v>
      </c>
      <c r="AY30" s="364" t="s">
        <v>51</v>
      </c>
      <c r="AZ30" s="359" t="s">
        <v>1941</v>
      </c>
      <c r="BA30" s="360" t="s">
        <v>52</v>
      </c>
      <c r="BD30" s="300"/>
      <c r="BE30" s="301" t="s">
        <v>56</v>
      </c>
      <c r="BF30" s="302" t="s">
        <v>58</v>
      </c>
      <c r="BG30" s="347" t="s">
        <v>57</v>
      </c>
      <c r="BH30" s="364" t="s">
        <v>51</v>
      </c>
      <c r="BI30" s="359" t="s">
        <v>1941</v>
      </c>
      <c r="BJ30" s="360" t="s">
        <v>52</v>
      </c>
      <c r="BM30" s="300"/>
      <c r="BN30" s="301" t="s">
        <v>56</v>
      </c>
      <c r="BO30" s="302" t="s">
        <v>58</v>
      </c>
      <c r="BP30" s="347" t="s">
        <v>57</v>
      </c>
      <c r="BQ30" s="364" t="s">
        <v>51</v>
      </c>
      <c r="BR30" s="359" t="s">
        <v>1941</v>
      </c>
      <c r="BS30" s="360" t="s">
        <v>52</v>
      </c>
      <c r="BV30" s="300"/>
      <c r="BW30" s="301" t="s">
        <v>56</v>
      </c>
      <c r="BX30" s="302" t="s">
        <v>58</v>
      </c>
      <c r="BY30" s="347" t="s">
        <v>57</v>
      </c>
      <c r="BZ30" s="364" t="s">
        <v>51</v>
      </c>
      <c r="CA30" s="359" t="s">
        <v>1941</v>
      </c>
      <c r="CB30" s="360" t="s">
        <v>52</v>
      </c>
      <c r="CE30" s="300"/>
      <c r="CF30" s="301" t="s">
        <v>56</v>
      </c>
      <c r="CG30" s="302" t="s">
        <v>58</v>
      </c>
      <c r="CH30" s="347" t="s">
        <v>57</v>
      </c>
      <c r="CI30" s="364" t="s">
        <v>51</v>
      </c>
      <c r="CJ30" s="359" t="s">
        <v>1941</v>
      </c>
      <c r="CK30" s="360" t="s">
        <v>52</v>
      </c>
      <c r="CN30" s="300"/>
      <c r="CO30" s="301" t="s">
        <v>56</v>
      </c>
      <c r="CP30" s="302" t="s">
        <v>58</v>
      </c>
      <c r="CQ30" s="347" t="s">
        <v>57</v>
      </c>
      <c r="CR30" s="364" t="s">
        <v>51</v>
      </c>
      <c r="CS30" s="359" t="s">
        <v>1941</v>
      </c>
      <c r="CT30" s="360" t="s">
        <v>52</v>
      </c>
      <c r="CW30" s="300"/>
      <c r="CX30" s="301" t="s">
        <v>56</v>
      </c>
      <c r="CY30" s="302" t="s">
        <v>58</v>
      </c>
      <c r="CZ30" s="347" t="s">
        <v>57</v>
      </c>
      <c r="DA30" s="364" t="s">
        <v>51</v>
      </c>
      <c r="DB30" s="359" t="s">
        <v>1941</v>
      </c>
      <c r="DC30" s="360" t="s">
        <v>52</v>
      </c>
    </row>
    <row r="31" spans="2:107" ht="31.5" x14ac:dyDescent="0.25">
      <c r="B31" s="304" t="s">
        <v>155</v>
      </c>
      <c r="C31" s="305">
        <f>정리base!$F$25</f>
        <v>2646.5349999999999</v>
      </c>
      <c r="D31" s="306">
        <f>정리base!K25</f>
        <v>6</v>
      </c>
      <c r="E31" s="348">
        <f>정리base!P25</f>
        <v>24.64</v>
      </c>
      <c r="F31" s="349">
        <f>ABS(정리base!$F$25) + ABS(정리base!$F$31) + ABS(정리base!$F$37) + ABS(정리base!$F$43) + ABS(정리base!$F$49) + ABS(정리base!$F$55) + ABS(정리base!$F$61) + ABS(정리base!$F$67) + ABS(정리base!$F$73) + ABS(정리base!$F$79) + ABS(정리base!$F$85) + ABS(정리base!$F$91)</f>
        <v>59234.829999999987</v>
      </c>
      <c r="G31" s="306">
        <f>ABS(정리base!$K$25) + ABS(정리base!$K$31) + ABS(정리base!$K$37) + ABS(정리base!$K$43) + ABS(정리base!$K$49) + ABS(정리base!$K$55) + ABS(정리base!$K$61) + ABS(정리base!$K$67) + ABS(정리base!$K$73) + ABS(정리base!$K$79) + ABS(정리base!$K$85) + ABS(정리base!$K$91)</f>
        <v>212</v>
      </c>
      <c r="H31" s="307">
        <f>ABS(정리base!$P$25) + ABS(정리base!$P$31) + ABS(정리base!$P$37) + ABS(정리base!$P$43) + ABS(정리base!$P$49) + ABS(정리base!$P$55) + ABS(정리base!$P$61) + ABS(정리base!$P$67) + ABS(정리base!$P$73) + ABS(정리base!$P$79) + ABS(정리base!$P$85) + ABS(정리base!$P$91)</f>
        <v>511.99300000000005</v>
      </c>
      <c r="K31" s="304" t="s">
        <v>155</v>
      </c>
      <c r="L31" s="305">
        <f>정리base!$F$31</f>
        <v>3691.7649999999994</v>
      </c>
      <c r="M31" s="306">
        <f>정리base!K31</f>
        <v>14</v>
      </c>
      <c r="N31" s="348">
        <f>정리base!P31</f>
        <v>44.124000000000002</v>
      </c>
      <c r="O31" s="349">
        <f>ABS(정리base!$F$25) + ABS(정리base!$F$31) + ABS(정리base!$F$37) + ABS(정리base!$F$43) + ABS(정리base!$F$49) + ABS(정리base!$F$55) + ABS(정리base!$F$61) + ABS(정리base!$F$67) + ABS(정리base!$F$73) + ABS(정리base!$F$79) + ABS(정리base!$F$85) + ABS(정리base!$F$91)</f>
        <v>59234.829999999987</v>
      </c>
      <c r="P31" s="306">
        <f>ABS(정리base!$K$25) + ABS(정리base!$K$31) + ABS(정리base!$K$37) + ABS(정리base!$K$43) + ABS(정리base!$K$49) + ABS(정리base!$K$55) + ABS(정리base!$K$61) + ABS(정리base!$K$67) + ABS(정리base!$K$73) + ABS(정리base!$K$79) + ABS(정리base!$K$85) + ABS(정리base!$K$91)</f>
        <v>212</v>
      </c>
      <c r="Q31" s="307">
        <f>ABS(정리base!$P$25) + ABS(정리base!$P$31) + ABS(정리base!$P$37) + ABS(정리base!$P$43) + ABS(정리base!$P$49) + ABS(정리base!$P$55) + ABS(정리base!$P$61) + ABS(정리base!$P$67) + ABS(정리base!$P$73) + ABS(정리base!$P$79) + ABS(정리base!$P$85) + ABS(정리base!$P$91)</f>
        <v>511.99300000000005</v>
      </c>
      <c r="T31" s="304" t="s">
        <v>155</v>
      </c>
      <c r="U31" s="305">
        <f>정리base!$F$37</f>
        <v>3204.335</v>
      </c>
      <c r="V31" s="306">
        <f>정리base!K37</f>
        <v>10</v>
      </c>
      <c r="W31" s="348">
        <f>정리base!P37</f>
        <v>26.430199999999999</v>
      </c>
      <c r="X31" s="349">
        <f>ABS(정리base!$F$25) + ABS(정리base!$F$31) + ABS(정리base!$F$37) + ABS(정리base!$F$43) + ABS(정리base!$F$49) + ABS(정리base!$F$55) + ABS(정리base!$F$61) + ABS(정리base!$F$67) + ABS(정리base!$F$73) + ABS(정리base!$F$79) + ABS(정리base!$F$85) + ABS(정리base!$F$91)</f>
        <v>59234.829999999987</v>
      </c>
      <c r="Y31" s="306">
        <f>ABS(정리base!$K$25) + ABS(정리base!$K$31) + ABS(정리base!$K$37) + ABS(정리base!$K$43) + ABS(정리base!$K$49) + ABS(정리base!$K$55) + ABS(정리base!$K$61) + ABS(정리base!$K$67) + ABS(정리base!$K$73) + ABS(정리base!$K$79) + ABS(정리base!$K$85) + ABS(정리base!$K$91)</f>
        <v>212</v>
      </c>
      <c r="Z31" s="307">
        <f>ABS(정리base!$P$25) + ABS(정리base!$P$31) + ABS(정리base!$P$37) + ABS(정리base!$P$43) + ABS(정리base!$P$49) + ABS(정리base!$P$55) + ABS(정리base!$P$61) + ABS(정리base!$P$67) + ABS(정리base!$P$73) + ABS(정리base!$P$79) + ABS(정리base!$P$85) + ABS(정리base!$P$91)</f>
        <v>511.99300000000005</v>
      </c>
      <c r="AC31" s="304" t="s">
        <v>155</v>
      </c>
      <c r="AD31" s="305">
        <f>정리base!$F$43</f>
        <v>3982.1350000000002</v>
      </c>
      <c r="AE31" s="306">
        <f>정리base!K43</f>
        <v>17</v>
      </c>
      <c r="AF31" s="348">
        <f>정리base!P43</f>
        <v>37.884</v>
      </c>
      <c r="AG31" s="349">
        <f>ABS(정리base!$F$25) + ABS(정리base!$F$31) + ABS(정리base!$F$37) + ABS(정리base!$F$43) + ABS(정리base!$F$49) + ABS(정리base!$F$55) + ABS(정리base!$F$61) + ABS(정리base!$F$67) + ABS(정리base!$F$73) + ABS(정리base!$F$79) + ABS(정리base!$F$85) + ABS(정리base!$F$91)</f>
        <v>59234.829999999987</v>
      </c>
      <c r="AH31" s="306">
        <f>ABS(정리base!$K$25) + ABS(정리base!$K$31) + ABS(정리base!$K$37) + ABS(정리base!$K$43) + ABS(정리base!$K$49) + ABS(정리base!$K$55) + ABS(정리base!$K$61) + ABS(정리base!$K$67) + ABS(정리base!$K$73) + ABS(정리base!$K$79) + ABS(정리base!$K$85) + ABS(정리base!$K$91)</f>
        <v>212</v>
      </c>
      <c r="AI31" s="307">
        <f>ABS(정리base!$P$25) + ABS(정리base!$P$31) + ABS(정리base!$P$37) + ABS(정리base!$P$43) + ABS(정리base!$P$49) + ABS(정리base!$P$55) + ABS(정리base!$P$61) + ABS(정리base!$P$67) + ABS(정리base!$P$73) + ABS(정리base!$P$79) + ABS(정리base!$P$85) + ABS(정리base!$P$91)</f>
        <v>511.99300000000005</v>
      </c>
      <c r="AL31" s="304" t="s">
        <v>155</v>
      </c>
      <c r="AM31" s="305">
        <f>정리base!$F$49</f>
        <v>5687.04</v>
      </c>
      <c r="AN31" s="306">
        <f>정리base!K49</f>
        <v>19</v>
      </c>
      <c r="AO31" s="348">
        <f>정리base!P49</f>
        <v>56.830000000000013</v>
      </c>
      <c r="AP31" s="349">
        <f>ABS(정리base!$F$25) + ABS(정리base!$F$31) + ABS(정리base!$F$37) + ABS(정리base!$F$43) + ABS(정리base!$F$49) + ABS(정리base!$F$55) + ABS(정리base!$F$61) + ABS(정리base!$F$67) + ABS(정리base!$F$73) + ABS(정리base!$F$79) + ABS(정리base!$F$85) + ABS(정리base!$F$91)</f>
        <v>59234.829999999987</v>
      </c>
      <c r="AQ31" s="306">
        <f>ABS(정리base!$K$25) + ABS(정리base!$K$31) + ABS(정리base!$K$37) + ABS(정리base!$K$43) + ABS(정리base!$K$49) + ABS(정리base!$K$55) + ABS(정리base!$K$61) + ABS(정리base!$K$67) + ABS(정리base!$K$73) + ABS(정리base!$K$79) + ABS(정리base!$K$85) + ABS(정리base!$K$91)</f>
        <v>212</v>
      </c>
      <c r="AR31" s="307">
        <f>ABS(정리base!$P$25) + ABS(정리base!$P$31) + ABS(정리base!$P$37) + ABS(정리base!$P$43) + ABS(정리base!$P$49) + ABS(정리base!$P$55) + ABS(정리base!$P$61) + ABS(정리base!$P$67) + ABS(정리base!$P$73) + ABS(정리base!$P$79) + ABS(정리base!$P$85) + ABS(정리base!$P$91)</f>
        <v>511.99300000000005</v>
      </c>
      <c r="AU31" s="304" t="s">
        <v>155</v>
      </c>
      <c r="AV31" s="305">
        <f>정리base!$F$55</f>
        <v>6367.36</v>
      </c>
      <c r="AW31" s="306">
        <f>정리base!K55</f>
        <v>19</v>
      </c>
      <c r="AX31" s="348">
        <f>정리base!P55</f>
        <v>29.1</v>
      </c>
      <c r="AY31" s="349">
        <f>ABS(정리base!$F$25) + ABS(정리base!$F$31) + ABS(정리base!$F$37) + ABS(정리base!$F$43) + ABS(정리base!$F$49) + ABS(정리base!$F$55) + ABS(정리base!$F$61) + ABS(정리base!$F$67) + ABS(정리base!$F$73) + ABS(정리base!$F$79) + ABS(정리base!$F$85) + ABS(정리base!$F$91)</f>
        <v>59234.829999999987</v>
      </c>
      <c r="AZ31" s="306">
        <f>ABS(정리base!$K$25) + ABS(정리base!$K$31) + ABS(정리base!$K$37) + ABS(정리base!$K$43) + ABS(정리base!$K$49) + ABS(정리base!$K$55) + ABS(정리base!$K$61) + ABS(정리base!$K$67) + ABS(정리base!$K$73) + ABS(정리base!$K$79) + ABS(정리base!$K$85) + ABS(정리base!$K$91)</f>
        <v>212</v>
      </c>
      <c r="BA31" s="307">
        <f>ABS(정리base!$P$25) + ABS(정리base!$P$31) + ABS(정리base!$P$37) + ABS(정리base!$P$43) + ABS(정리base!$P$49) + ABS(정리base!$P$55) + ABS(정리base!$P$61) + ABS(정리base!$P$67) + ABS(정리base!$P$73) + ABS(정리base!$P$79) + ABS(정리base!$P$85) + ABS(정리base!$P$91)</f>
        <v>511.99300000000005</v>
      </c>
      <c r="BD31" s="304" t="s">
        <v>155</v>
      </c>
      <c r="BE31" s="305">
        <f>정리base!$F$61</f>
        <v>4316.16</v>
      </c>
      <c r="BF31" s="306">
        <f>정리base!K61</f>
        <v>16</v>
      </c>
      <c r="BG31" s="348">
        <f>정리base!P61</f>
        <v>29.490000000000002</v>
      </c>
      <c r="BH31" s="349">
        <f>ABS(정리base!$F$25) + ABS(정리base!$F$31) + ABS(정리base!$F$37) + ABS(정리base!$F$43) + ABS(정리base!$F$49) + ABS(정리base!$F$55) + ABS(정리base!$F$61) + ABS(정리base!$F$67) + ABS(정리base!$F$73) + ABS(정리base!$F$79) + ABS(정리base!$F$85) + ABS(정리base!$F$91)</f>
        <v>59234.829999999987</v>
      </c>
      <c r="BI31" s="306">
        <f>ABS(정리base!$K$25) + ABS(정리base!$K$31) + ABS(정리base!$K$37) + ABS(정리base!$K$43) + ABS(정리base!$K$49) + ABS(정리base!$K$55) + ABS(정리base!$K$61) + ABS(정리base!$K$67) + ABS(정리base!$K$73) + ABS(정리base!$K$79) + ABS(정리base!$K$85) + ABS(정리base!$K$91)</f>
        <v>212</v>
      </c>
      <c r="BJ31" s="307">
        <f>ABS(정리base!$P$25) + ABS(정리base!$P$31) + ABS(정리base!$P$37) + ABS(정리base!$P$43) + ABS(정리base!$P$49) + ABS(정리base!$P$55) + ABS(정리base!$P$61) + ABS(정리base!$P$67) + ABS(정리base!$P$73) + ABS(정리base!$P$79) + ABS(정리base!$P$85) + ABS(정리base!$P$91)</f>
        <v>511.99300000000005</v>
      </c>
      <c r="BM31" s="304" t="s">
        <v>155</v>
      </c>
      <c r="BN31" s="305">
        <f>정리base!$F$67</f>
        <v>4455.415</v>
      </c>
      <c r="BO31" s="306">
        <f>정리base!K67</f>
        <v>16</v>
      </c>
      <c r="BP31" s="348">
        <f>정리base!P67</f>
        <v>40.013999999999996</v>
      </c>
      <c r="BQ31" s="349">
        <f>ABS(정리base!$F$25) + ABS(정리base!$F$31) + ABS(정리base!$F$37) + ABS(정리base!$F$43) + ABS(정리base!$F$49) + ABS(정리base!$F$55) + ABS(정리base!$F$61) + ABS(정리base!$F$67) + ABS(정리base!$F$73) + ABS(정리base!$F$79) + ABS(정리base!$F$85) + ABS(정리base!$F$91)</f>
        <v>59234.829999999987</v>
      </c>
      <c r="BR31" s="306">
        <f>ABS(정리base!$K$25) + ABS(정리base!$K$31) + ABS(정리base!$K$37) + ABS(정리base!$K$43) + ABS(정리base!$K$49) + ABS(정리base!$K$55) + ABS(정리base!$K$61) + ABS(정리base!$K$67) + ABS(정리base!$K$73) + ABS(정리base!$K$79) + ABS(정리base!$K$85) + ABS(정리base!$K$91)</f>
        <v>212</v>
      </c>
      <c r="BS31" s="307">
        <f>ABS(정리base!$P$25) + ABS(정리base!$P$31) + ABS(정리base!$P$37) + ABS(정리base!$P$43) + ABS(정리base!$P$49) + ABS(정리base!$P$55) + ABS(정리base!$P$61) + ABS(정리base!$P$67) + ABS(정리base!$P$73) + ABS(정리base!$P$79) + ABS(정리base!$P$85) + ABS(정리base!$P$91)</f>
        <v>511.99300000000005</v>
      </c>
      <c r="BV31" s="304" t="s">
        <v>155</v>
      </c>
      <c r="BW31" s="305">
        <f>정리base!$F$73</f>
        <v>7264</v>
      </c>
      <c r="BX31" s="306">
        <f>정리base!K73</f>
        <v>26</v>
      </c>
      <c r="BY31" s="348">
        <f>정리base!P73</f>
        <v>67.050000000000011</v>
      </c>
      <c r="BZ31" s="349">
        <f>ABS(정리base!$F$25) + ABS(정리base!$F$31) + ABS(정리base!$F$37) + ABS(정리base!$F$43) + ABS(정리base!$F$49) + ABS(정리base!$F$55) + ABS(정리base!$F$61) + ABS(정리base!$F$67) + ABS(정리base!$F$73) + ABS(정리base!$F$79) + ABS(정리base!$F$85) + ABS(정리base!$F$91)</f>
        <v>59234.829999999987</v>
      </c>
      <c r="CA31" s="306">
        <f>ABS(정리base!$K$25) + ABS(정리base!$K$31) + ABS(정리base!$K$37) + ABS(정리base!$K$43) + ABS(정리base!$K$49) + ABS(정리base!$K$55) + ABS(정리base!$K$61) + ABS(정리base!$K$67) + ABS(정리base!$K$73) + ABS(정리base!$K$79) + ABS(정리base!$K$85) + ABS(정리base!$K$91)</f>
        <v>212</v>
      </c>
      <c r="CB31" s="307">
        <f>ABS(정리base!$P$25) + ABS(정리base!$P$31) + ABS(정리base!$P$37) + ABS(정리base!$P$43) + ABS(정리base!$P$49) + ABS(정리base!$P$55) + ABS(정리base!$P$61) + ABS(정리base!$P$67) + ABS(정리base!$P$73) + ABS(정리base!$P$79) + ABS(정리base!$P$85) + ABS(정리base!$P$91)</f>
        <v>511.99300000000005</v>
      </c>
      <c r="CE31" s="304" t="s">
        <v>155</v>
      </c>
      <c r="CF31" s="305">
        <f>정리base!$F$79</f>
        <v>6791.74</v>
      </c>
      <c r="CG31" s="306">
        <f>정리base!K79</f>
        <v>31</v>
      </c>
      <c r="CH31" s="348">
        <f>정리base!P79</f>
        <v>56.786000000000008</v>
      </c>
      <c r="CI31" s="349">
        <f>ABS(정리base!$F$25) + ABS(정리base!$F$31) + ABS(정리base!$F$37) + ABS(정리base!$F$43) + ABS(정리base!$F$49) + ABS(정리base!$F$55) + ABS(정리base!$F$61) + ABS(정리base!$F$67) + ABS(정리base!$F$73) + ABS(정리base!$F$79) + ABS(정리base!$F$85) + ABS(정리base!$F$91)</f>
        <v>59234.829999999987</v>
      </c>
      <c r="CJ31" s="306">
        <f>ABS(정리base!$K$25) + ABS(정리base!$K$31) + ABS(정리base!$K$37) + ABS(정리base!$K$43) + ABS(정리base!$K$49) + ABS(정리base!$K$55) + ABS(정리base!$K$61) + ABS(정리base!$K$67) + ABS(정리base!$K$73) + ABS(정리base!$K$79) + ABS(정리base!$K$85) + ABS(정리base!$K$91)</f>
        <v>212</v>
      </c>
      <c r="CK31" s="307">
        <f>ABS(정리base!$P$25) + ABS(정리base!$P$31) + ABS(정리base!$P$37) + ABS(정리base!$P$43) + ABS(정리base!$P$49) + ABS(정리base!$P$55) + ABS(정리base!$P$61) + ABS(정리base!$P$67) + ABS(정리base!$P$73) + ABS(정리base!$P$79) + ABS(정리base!$P$85) + ABS(정리base!$P$91)</f>
        <v>511.99300000000005</v>
      </c>
      <c r="CN31" s="304" t="s">
        <v>155</v>
      </c>
      <c r="CO31" s="305">
        <f>정리base!$F$85</f>
        <v>7888.56</v>
      </c>
      <c r="CP31" s="306">
        <f>정리base!K85</f>
        <v>26</v>
      </c>
      <c r="CQ31" s="348">
        <f>정리base!P85</f>
        <v>71.334800000000016</v>
      </c>
      <c r="CR31" s="349">
        <f>ABS(정리base!$F$25) + ABS(정리base!$F$31) + ABS(정리base!$F$37) + ABS(정리base!$F$43) + ABS(정리base!$F$49) + ABS(정리base!$F$55) + ABS(정리base!$F$61) + ABS(정리base!$F$67) + ABS(정리base!$F$73) + ABS(정리base!$F$79) + ABS(정리base!$F$85) + ABS(정리base!$F$91)</f>
        <v>59234.829999999987</v>
      </c>
      <c r="CS31" s="306">
        <f>ABS(정리base!$K$25) + ABS(정리base!$K$31) + ABS(정리base!$K$37) + ABS(정리base!$K$43) + ABS(정리base!$K$49) + ABS(정리base!$K$55) + ABS(정리base!$K$61) + ABS(정리base!$K$67) + ABS(정리base!$K$73) + ABS(정리base!$K$79) + ABS(정리base!$K$85) + ABS(정리base!$K$91)</f>
        <v>212</v>
      </c>
      <c r="CT31" s="307">
        <f>ABS(정리base!$P$25) + ABS(정리base!$P$31) + ABS(정리base!$P$37) + ABS(정리base!$P$43) + ABS(정리base!$P$49) + ABS(정리base!$P$55) + ABS(정리base!$P$61) + ABS(정리base!$P$67) + ABS(정리base!$P$73) + ABS(정리base!$P$79) + ABS(정리base!$P$85) + ABS(정리base!$P$91)</f>
        <v>511.99300000000005</v>
      </c>
      <c r="CW31" s="304" t="s">
        <v>155</v>
      </c>
      <c r="CX31" s="305">
        <f>정리base!$F$91</f>
        <v>2939.7849999999999</v>
      </c>
      <c r="CY31" s="306">
        <f>정리base!K91</f>
        <v>12</v>
      </c>
      <c r="CZ31" s="348">
        <f>정리base!P91</f>
        <v>28.310000000000002</v>
      </c>
      <c r="DA31" s="349">
        <f>ABS(정리base!$F$25) + ABS(정리base!$F$31) + ABS(정리base!$F$37) + ABS(정리base!$F$43) + ABS(정리base!$F$49) + ABS(정리base!$F$55) + ABS(정리base!$F$61) + ABS(정리base!$F$67) + ABS(정리base!$F$73) + ABS(정리base!$F$79) + ABS(정리base!$F$85) + ABS(정리base!$F$91)</f>
        <v>59234.829999999987</v>
      </c>
      <c r="DB31" s="306">
        <f>ABS(정리base!$K$25) + ABS(정리base!$K$31) + ABS(정리base!$K$37) + ABS(정리base!$K$43) + ABS(정리base!$K$49) + ABS(정리base!$K$55) + ABS(정리base!$K$61) + ABS(정리base!$K$67) + ABS(정리base!$K$73) + ABS(정리base!$K$79) + ABS(정리base!$K$85) + ABS(정리base!$K$91)</f>
        <v>212</v>
      </c>
      <c r="DC31" s="307">
        <f>ABS(정리base!$P$25) + ABS(정리base!$P$31) + ABS(정리base!$P$37) + ABS(정리base!$P$43) + ABS(정리base!$P$49) + ABS(정리base!$P$55) + ABS(정리base!$P$61) + ABS(정리base!$P$67) + ABS(정리base!$P$73) + ABS(정리base!$P$79) + ABS(정리base!$P$85) + ABS(정리base!$P$91)</f>
        <v>511.99300000000005</v>
      </c>
    </row>
    <row r="32" spans="2:107" ht="31.5" x14ac:dyDescent="0.25">
      <c r="B32" s="308" t="s">
        <v>157</v>
      </c>
      <c r="C32" s="309">
        <f>정리base!$G$25</f>
        <v>1056.29</v>
      </c>
      <c r="D32" s="310">
        <f>정리base!L25</f>
        <v>5</v>
      </c>
      <c r="E32" s="350">
        <f>정리base!Q25</f>
        <v>9.2929999999999993</v>
      </c>
      <c r="F32" s="351">
        <f>ABS(정리base!$G$25) + ABS(정리base!$G$31) + ABS(정리base!$G$37) + ABS(정리base!$G$43) + ABS(정리base!$G$49) + ABS(정리base!$G$55) + ABS(정리base!$G$61) + ABS(정리base!$G$67) + ABS(정리base!$G$73) + ABS(정리base!$G$79) + ABS(정리base!$G$85) + ABS(정리base!$G$91)</f>
        <v>18498.57</v>
      </c>
      <c r="G32" s="310">
        <f>ABS(정리base!$L$25) + ABS(정리base!$L$31) + ABS(정리base!$L$37) + ABS(정리base!$L$43) + ABS(정리base!$L$49) + ABS(정리base!$L$55) + ABS(정리base!$L$61) + ABS(정리base!$L$67) + ABS(정리base!$L$73) + ABS(정리base!$L$79) + ABS(정리base!$L$85) + ABS(정리base!$L$91)</f>
        <v>83</v>
      </c>
      <c r="H32" s="311">
        <f>ABS(정리base!$Q$25) + ABS(정리base!$Q$31) + ABS(정리base!$Q$37) + ABS(정리base!$Q$43) + ABS(정리base!$Q$49) + ABS(정리base!$Q$55) + ABS(정리base!$Q$61) + ABS(정리base!$Q$67) + ABS(정리base!$Q$73) + ABS(정리base!$Q$79) + ABS(정리base!$Q$85) + ABS(정리base!$Q$91)</f>
        <v>143.5150909090909</v>
      </c>
      <c r="K32" s="308" t="s">
        <v>157</v>
      </c>
      <c r="L32" s="309">
        <f>정리base!$G$31</f>
        <v>1027.8400000000001</v>
      </c>
      <c r="M32" s="310">
        <f>정리base!L31</f>
        <v>3</v>
      </c>
      <c r="N32" s="350">
        <f>정리base!Q31</f>
        <v>10.68</v>
      </c>
      <c r="O32" s="351">
        <f>ABS(정리base!$G$25) + ABS(정리base!$G$31) + ABS(정리base!$G$37) + ABS(정리base!$G$43) + ABS(정리base!$G$49) + ABS(정리base!$G$55) + ABS(정리base!$G$61) + ABS(정리base!$G$67) + ABS(정리base!$G$73) + ABS(정리base!$G$79) + ABS(정리base!$G$85) + ABS(정리base!$G$91)</f>
        <v>18498.57</v>
      </c>
      <c r="P32" s="310">
        <f>ABS(정리base!$L$25) + ABS(정리base!$L$31) + ABS(정리base!$L$37) + ABS(정리base!$L$43) + ABS(정리base!$L$49) + ABS(정리base!$L$55) + ABS(정리base!$L$61) + ABS(정리base!$L$67) + ABS(정리base!$L$73) + ABS(정리base!$L$79) + ABS(정리base!$L$85) + ABS(정리base!$L$91)</f>
        <v>83</v>
      </c>
      <c r="Q32" s="311">
        <f>ABS(정리base!$Q$25) + ABS(정리base!$Q$31) + ABS(정리base!$Q$37) + ABS(정리base!$Q$43) + ABS(정리base!$Q$49) + ABS(정리base!$Q$55) + ABS(정리base!$Q$61) + ABS(정리base!$Q$67) + ABS(정리base!$Q$73) + ABS(정리base!$Q$79) + ABS(정리base!$Q$85) + ABS(정리base!$Q$91)</f>
        <v>143.5150909090909</v>
      </c>
      <c r="T32" s="308" t="s">
        <v>157</v>
      </c>
      <c r="U32" s="309">
        <f>정리base!$G$37</f>
        <v>215.04000000000002</v>
      </c>
      <c r="V32" s="310">
        <f>정리base!L37</f>
        <v>4</v>
      </c>
      <c r="W32" s="350">
        <f>정리base!Q37</f>
        <v>2.3369999999999997</v>
      </c>
      <c r="X32" s="351">
        <f>ABS(정리base!$G$25) + ABS(정리base!$G$31) + ABS(정리base!$G$37) + ABS(정리base!$G$43) + ABS(정리base!$G$49) + ABS(정리base!$G$55) + ABS(정리base!$G$61) + ABS(정리base!$G$67) + ABS(정리base!$G$73) + ABS(정리base!$G$79) + ABS(정리base!$G$85) + ABS(정리base!$G$91)</f>
        <v>18498.57</v>
      </c>
      <c r="Y32" s="310">
        <f>ABS(정리base!$L$25) + ABS(정리base!$L$31) + ABS(정리base!$L$37) + ABS(정리base!$L$43) + ABS(정리base!$L$49) + ABS(정리base!$L$55) + ABS(정리base!$L$61) + ABS(정리base!$L$67) + ABS(정리base!$L$73) + ABS(정리base!$L$79) + ABS(정리base!$L$85) + ABS(정리base!$L$91)</f>
        <v>83</v>
      </c>
      <c r="Z32" s="311">
        <f>ABS(정리base!$Q$25) + ABS(정리base!$Q$31) + ABS(정리base!$Q$37) + ABS(정리base!$Q$43) + ABS(정리base!$Q$49) + ABS(정리base!$Q$55) + ABS(정리base!$Q$61) + ABS(정리base!$Q$67) + ABS(정리base!$Q$73) + ABS(정리base!$Q$79) + ABS(정리base!$Q$85) + ABS(정리base!$Q$91)</f>
        <v>143.5150909090909</v>
      </c>
      <c r="AC32" s="308" t="s">
        <v>157</v>
      </c>
      <c r="AD32" s="309">
        <f>정리base!$G$43</f>
        <v>291.20000000000005</v>
      </c>
      <c r="AE32" s="310">
        <f>정리base!L43</f>
        <v>3</v>
      </c>
      <c r="AF32" s="350">
        <f>정리base!Q43</f>
        <v>2.2199999999999998</v>
      </c>
      <c r="AG32" s="351">
        <f>ABS(정리base!$G$25) + ABS(정리base!$G$31) + ABS(정리base!$G$37) + ABS(정리base!$G$43) + ABS(정리base!$G$49) + ABS(정리base!$G$55) + ABS(정리base!$G$61) + ABS(정리base!$G$67) + ABS(정리base!$G$73) + ABS(정리base!$G$79) + ABS(정리base!$G$85) + ABS(정리base!$G$91)</f>
        <v>18498.57</v>
      </c>
      <c r="AH32" s="310">
        <f>ABS(정리base!$L$25) + ABS(정리base!$L$31) + ABS(정리base!$L$37) + ABS(정리base!$L$43) + ABS(정리base!$L$49) + ABS(정리base!$L$55) + ABS(정리base!$L$61) + ABS(정리base!$L$67) + ABS(정리base!$L$73) + ABS(정리base!$L$79) + ABS(정리base!$L$85) + ABS(정리base!$L$91)</f>
        <v>83</v>
      </c>
      <c r="AI32" s="311">
        <f>ABS(정리base!$Q$25) + ABS(정리base!$Q$31) + ABS(정리base!$Q$37) + ABS(정리base!$Q$43) + ABS(정리base!$Q$49) + ABS(정리base!$Q$55) + ABS(정리base!$Q$61) + ABS(정리base!$Q$67) + ABS(정리base!$Q$73) + ABS(정리base!$Q$79) + ABS(정리base!$Q$85) + ABS(정리base!$Q$91)</f>
        <v>143.5150909090909</v>
      </c>
      <c r="AL32" s="308" t="s">
        <v>157</v>
      </c>
      <c r="AM32" s="309">
        <f>정리base!$G$49</f>
        <v>1120</v>
      </c>
      <c r="AN32" s="310">
        <f>정리base!L49</f>
        <v>5</v>
      </c>
      <c r="AO32" s="350">
        <f>정리base!Q49</f>
        <v>2.883</v>
      </c>
      <c r="AP32" s="351">
        <f>ABS(정리base!$G$25) + ABS(정리base!$G$31) + ABS(정리base!$G$37) + ABS(정리base!$G$43) + ABS(정리base!$G$49) + ABS(정리base!$G$55) + ABS(정리base!$G$61) + ABS(정리base!$G$67) + ABS(정리base!$G$73) + ABS(정리base!$G$79) + ABS(정리base!$G$85) + ABS(정리base!$G$91)</f>
        <v>18498.57</v>
      </c>
      <c r="AQ32" s="310">
        <f>ABS(정리base!$L$25) + ABS(정리base!$L$31) + ABS(정리base!$L$37) + ABS(정리base!$L$43) + ABS(정리base!$L$49) + ABS(정리base!$L$55) + ABS(정리base!$L$61) + ABS(정리base!$L$67) + ABS(정리base!$L$73) + ABS(정리base!$L$79) + ABS(정리base!$L$85) + ABS(정리base!$L$91)</f>
        <v>83</v>
      </c>
      <c r="AR32" s="311">
        <f>ABS(정리base!$Q$25) + ABS(정리base!$Q$31) + ABS(정리base!$Q$37) + ABS(정리base!$Q$43) + ABS(정리base!$Q$49) + ABS(정리base!$Q$55) + ABS(정리base!$Q$61) + ABS(정리base!$Q$67) + ABS(정리base!$Q$73) + ABS(정리base!$Q$79) + ABS(정리base!$Q$85) + ABS(정리base!$Q$91)</f>
        <v>143.5150909090909</v>
      </c>
      <c r="AU32" s="308" t="s">
        <v>157</v>
      </c>
      <c r="AV32" s="309">
        <f>정리base!$G$55</f>
        <v>1168.52</v>
      </c>
      <c r="AW32" s="310">
        <f>정리base!L55</f>
        <v>6</v>
      </c>
      <c r="AX32" s="350">
        <f>정리base!Q55</f>
        <v>4.802090909090909</v>
      </c>
      <c r="AY32" s="351">
        <f>ABS(정리base!$G$25) + ABS(정리base!$G$31) + ABS(정리base!$G$37) + ABS(정리base!$G$43) + ABS(정리base!$G$49) + ABS(정리base!$G$55) + ABS(정리base!$G$61) + ABS(정리base!$G$67) + ABS(정리base!$G$73) + ABS(정리base!$G$79) + ABS(정리base!$G$85) + ABS(정리base!$G$91)</f>
        <v>18498.57</v>
      </c>
      <c r="AZ32" s="310">
        <f>ABS(정리base!$L$25) + ABS(정리base!$L$31) + ABS(정리base!$L$37) + ABS(정리base!$L$43) + ABS(정리base!$L$49) + ABS(정리base!$L$55) + ABS(정리base!$L$61) + ABS(정리base!$L$67) + ABS(정리base!$L$73) + ABS(정리base!$L$79) + ABS(정리base!$L$85) + ABS(정리base!$L$91)</f>
        <v>83</v>
      </c>
      <c r="BA32" s="311">
        <f>ABS(정리base!$Q$25) + ABS(정리base!$Q$31) + ABS(정리base!$Q$37) + ABS(정리base!$Q$43) + ABS(정리base!$Q$49) + ABS(정리base!$Q$55) + ABS(정리base!$Q$61) + ABS(정리base!$Q$67) + ABS(정리base!$Q$73) + ABS(정리base!$Q$79) + ABS(정리base!$Q$85) + ABS(정리base!$Q$91)</f>
        <v>143.5150909090909</v>
      </c>
      <c r="BD32" s="308" t="s">
        <v>157</v>
      </c>
      <c r="BE32" s="309">
        <f>정리base!$G$61</f>
        <v>2183.6800000000003</v>
      </c>
      <c r="BF32" s="310">
        <f>정리base!L61</f>
        <v>10</v>
      </c>
      <c r="BG32" s="350">
        <f>정리base!Q61</f>
        <v>11.629999999999999</v>
      </c>
      <c r="BH32" s="351">
        <f>ABS(정리base!$G$25) + ABS(정리base!$G$31) + ABS(정리base!$G$37) + ABS(정리base!$G$43) + ABS(정리base!$G$49) + ABS(정리base!$G$55) + ABS(정리base!$G$61) + ABS(정리base!$G$67) + ABS(정리base!$G$73) + ABS(정리base!$G$79) + ABS(정리base!$G$85) + ABS(정리base!$G$91)</f>
        <v>18498.57</v>
      </c>
      <c r="BI32" s="310">
        <f>ABS(정리base!$L$25) + ABS(정리base!$L$31) + ABS(정리base!$L$37) + ABS(정리base!$L$43) + ABS(정리base!$L$49) + ABS(정리base!$L$55) + ABS(정리base!$L$61) + ABS(정리base!$L$67) + ABS(정리base!$L$73) + ABS(정리base!$L$79) + ABS(정리base!$L$85) + ABS(정리base!$L$91)</f>
        <v>83</v>
      </c>
      <c r="BJ32" s="311">
        <f>ABS(정리base!$Q$25) + ABS(정리base!$Q$31) + ABS(정리base!$Q$37) + ABS(정리base!$Q$43) + ABS(정리base!$Q$49) + ABS(정리base!$Q$55) + ABS(정리base!$Q$61) + ABS(정리base!$Q$67) + ABS(정리base!$Q$73) + ABS(정리base!$Q$79) + ABS(정리base!$Q$85) + ABS(정리base!$Q$91)</f>
        <v>143.5150909090909</v>
      </c>
      <c r="BM32" s="308" t="s">
        <v>157</v>
      </c>
      <c r="BN32" s="309">
        <f>정리base!$G$67</f>
        <v>1982.08</v>
      </c>
      <c r="BO32" s="310">
        <f>정리base!L67</f>
        <v>7</v>
      </c>
      <c r="BP32" s="350">
        <f>정리base!Q67</f>
        <v>19.900000000000002</v>
      </c>
      <c r="BQ32" s="351">
        <f>ABS(정리base!$G$25) + ABS(정리base!$G$31) + ABS(정리base!$G$37) + ABS(정리base!$G$43) + ABS(정리base!$G$49) + ABS(정리base!$G$55) + ABS(정리base!$G$61) + ABS(정리base!$G$67) + ABS(정리base!$G$73) + ABS(정리base!$G$79) + ABS(정리base!$G$85) + ABS(정리base!$G$91)</f>
        <v>18498.57</v>
      </c>
      <c r="BR32" s="310">
        <f>ABS(정리base!$L$25) + ABS(정리base!$L$31) + ABS(정리base!$L$37) + ABS(정리base!$L$43) + ABS(정리base!$L$49) + ABS(정리base!$L$55) + ABS(정리base!$L$61) + ABS(정리base!$L$67) + ABS(정리base!$L$73) + ABS(정리base!$L$79) + ABS(정리base!$L$85) + ABS(정리base!$L$91)</f>
        <v>83</v>
      </c>
      <c r="BS32" s="311">
        <f>ABS(정리base!$Q$25) + ABS(정리base!$Q$31) + ABS(정리base!$Q$37) + ABS(정리base!$Q$43) + ABS(정리base!$Q$49) + ABS(정리base!$Q$55) + ABS(정리base!$Q$61) + ABS(정리base!$Q$67) + ABS(정리base!$Q$73) + ABS(정리base!$Q$79) + ABS(정리base!$Q$85) + ABS(정리base!$Q$91)</f>
        <v>143.5150909090909</v>
      </c>
      <c r="BV32" s="308" t="s">
        <v>157</v>
      </c>
      <c r="BW32" s="309">
        <f>정리base!$G$73</f>
        <v>2438.66</v>
      </c>
      <c r="BX32" s="310">
        <f>정리base!L73</f>
        <v>11</v>
      </c>
      <c r="BY32" s="350">
        <f>정리base!Q73</f>
        <v>20.96</v>
      </c>
      <c r="BZ32" s="351">
        <f>ABS(정리base!$G$25) + ABS(정리base!$G$31) + ABS(정리base!$G$37) + ABS(정리base!$G$43) + ABS(정리base!$G$49) + ABS(정리base!$G$55) + ABS(정리base!$G$61) + ABS(정리base!$G$67) + ABS(정리base!$G$73) + ABS(정리base!$G$79) + ABS(정리base!$G$85) + ABS(정리base!$G$91)</f>
        <v>18498.57</v>
      </c>
      <c r="CA32" s="310">
        <f>ABS(정리base!$L$25) + ABS(정리base!$L$31) + ABS(정리base!$L$37) + ABS(정리base!$L$43) + ABS(정리base!$L$49) + ABS(정리base!$L$55) + ABS(정리base!$L$61) + ABS(정리base!$L$67) + ABS(정리base!$L$73) + ABS(정리base!$L$79) + ABS(정리base!$L$85) + ABS(정리base!$L$91)</f>
        <v>83</v>
      </c>
      <c r="CB32" s="311">
        <f>ABS(정리base!$Q$25) + ABS(정리base!$Q$31) + ABS(정리base!$Q$37) + ABS(정리base!$Q$43) + ABS(정리base!$Q$49) + ABS(정리base!$Q$55) + ABS(정리base!$Q$61) + ABS(정리base!$Q$67) + ABS(정리base!$Q$73) + ABS(정리base!$Q$79) + ABS(정리base!$Q$85) + ABS(정리base!$Q$91)</f>
        <v>143.5150909090909</v>
      </c>
      <c r="CE32" s="308" t="s">
        <v>157</v>
      </c>
      <c r="CF32" s="309">
        <f>정리base!$G$79</f>
        <v>2999.68</v>
      </c>
      <c r="CG32" s="310">
        <f>정리base!L79</f>
        <v>13</v>
      </c>
      <c r="CH32" s="350">
        <f>정리base!Q79</f>
        <v>26.98</v>
      </c>
      <c r="CI32" s="351">
        <f>ABS(정리base!$G$25) + ABS(정리base!$G$31) + ABS(정리base!$G$37) + ABS(정리base!$G$43) + ABS(정리base!$G$49) + ABS(정리base!$G$55) + ABS(정리base!$G$61) + ABS(정리base!$G$67) + ABS(정리base!$G$73) + ABS(정리base!$G$79) + ABS(정리base!$G$85) + ABS(정리base!$G$91)</f>
        <v>18498.57</v>
      </c>
      <c r="CJ32" s="310">
        <f>ABS(정리base!$L$25) + ABS(정리base!$L$31) + ABS(정리base!$L$37) + ABS(정리base!$L$43) + ABS(정리base!$L$49) + ABS(정리base!$L$55) + ABS(정리base!$L$61) + ABS(정리base!$L$67) + ABS(정리base!$L$73) + ABS(정리base!$L$79) + ABS(정리base!$L$85) + ABS(정리base!$L$91)</f>
        <v>83</v>
      </c>
      <c r="CK32" s="311">
        <f>ABS(정리base!$Q$25) + ABS(정리base!$Q$31) + ABS(정리base!$Q$37) + ABS(정리base!$Q$43) + ABS(정리base!$Q$49) + ABS(정리base!$Q$55) + ABS(정리base!$Q$61) + ABS(정리base!$Q$67) + ABS(정리base!$Q$73) + ABS(정리base!$Q$79) + ABS(정리base!$Q$85) + ABS(정리base!$Q$91)</f>
        <v>143.5150909090909</v>
      </c>
      <c r="CN32" s="308" t="s">
        <v>157</v>
      </c>
      <c r="CO32" s="309">
        <f>정리base!$G$85</f>
        <v>2137.8050000000003</v>
      </c>
      <c r="CP32" s="310">
        <f>정리base!L85</f>
        <v>9</v>
      </c>
      <c r="CQ32" s="350">
        <f>정리base!Q85</f>
        <v>16.380000000000003</v>
      </c>
      <c r="CR32" s="351">
        <f>ABS(정리base!$G$25) + ABS(정리base!$G$31) + ABS(정리base!$G$37) + ABS(정리base!$G$43) + ABS(정리base!$G$49) + ABS(정리base!$G$55) + ABS(정리base!$G$61) + ABS(정리base!$G$67) + ABS(정리base!$G$73) + ABS(정리base!$G$79) + ABS(정리base!$G$85) + ABS(정리base!$G$91)</f>
        <v>18498.57</v>
      </c>
      <c r="CS32" s="310">
        <f>ABS(정리base!$L$25) + ABS(정리base!$L$31) + ABS(정리base!$L$37) + ABS(정리base!$L$43) + ABS(정리base!$L$49) + ABS(정리base!$L$55) + ABS(정리base!$L$61) + ABS(정리base!$L$67) + ABS(정리base!$L$73) + ABS(정리base!$L$79) + ABS(정리base!$L$85) + ABS(정리base!$L$91)</f>
        <v>83</v>
      </c>
      <c r="CT32" s="311">
        <f>ABS(정리base!$Q$25) + ABS(정리base!$Q$31) + ABS(정리base!$Q$37) + ABS(정리base!$Q$43) + ABS(정리base!$Q$49) + ABS(정리base!$Q$55) + ABS(정리base!$Q$61) + ABS(정리base!$Q$67) + ABS(정리base!$Q$73) + ABS(정리base!$Q$79) + ABS(정리base!$Q$85) + ABS(정리base!$Q$91)</f>
        <v>143.5150909090909</v>
      </c>
      <c r="CW32" s="308" t="s">
        <v>157</v>
      </c>
      <c r="CX32" s="309">
        <f>정리base!$G$91</f>
        <v>1877.7750000000001</v>
      </c>
      <c r="CY32" s="310">
        <f>정리base!L91</f>
        <v>7</v>
      </c>
      <c r="CZ32" s="350">
        <f>정리base!Q91</f>
        <v>15.450000000000001</v>
      </c>
      <c r="DA32" s="351">
        <f>ABS(정리base!$G$25) + ABS(정리base!$G$31) + ABS(정리base!$G$37) + ABS(정리base!$G$43) + ABS(정리base!$G$49) + ABS(정리base!$G$55) + ABS(정리base!$G$61) + ABS(정리base!$G$67) + ABS(정리base!$G$73) + ABS(정리base!$G$79) + ABS(정리base!$G$85) + ABS(정리base!$G$91)</f>
        <v>18498.57</v>
      </c>
      <c r="DB32" s="310">
        <f>ABS(정리base!$L$25) + ABS(정리base!$L$31) + ABS(정리base!$L$37) + ABS(정리base!$L$43) + ABS(정리base!$L$49) + ABS(정리base!$L$55) + ABS(정리base!$L$61) + ABS(정리base!$L$67) + ABS(정리base!$L$73) + ABS(정리base!$L$79) + ABS(정리base!$L$85) + ABS(정리base!$L$91)</f>
        <v>83</v>
      </c>
      <c r="DC32" s="311">
        <f>ABS(정리base!$Q$25) + ABS(정리base!$Q$31) + ABS(정리base!$Q$37) + ABS(정리base!$Q$43) + ABS(정리base!$Q$49) + ABS(정리base!$Q$55) + ABS(정리base!$Q$61) + ABS(정리base!$Q$67) + ABS(정리base!$Q$73) + ABS(정리base!$Q$79) + ABS(정리base!$Q$85) + ABS(정리base!$Q$91)</f>
        <v>143.5150909090909</v>
      </c>
    </row>
    <row r="33" spans="2:107" ht="32.25" thickBot="1" x14ac:dyDescent="0.3">
      <c r="B33" s="352" t="s">
        <v>156</v>
      </c>
      <c r="C33" s="353">
        <f>정리base!$H$25</f>
        <v>0</v>
      </c>
      <c r="D33" s="354">
        <f>정리base!M25</f>
        <v>0</v>
      </c>
      <c r="E33" s="355">
        <f>정리base!R25</f>
        <v>0</v>
      </c>
      <c r="F33" s="356">
        <f>ABS(정리base!$H$25) + ABS(정리base!$H$31) + ABS(정리base!$H$37) + ABS(정리base!$H$43) + ABS(정리base!$H$49) + ABS(정리base!$H$55) + ABS(정리base!$H$61) + ABS(정리base!$H$67) + ABS(정리base!$H$73) + ABS(정리base!$H$79) + ABS(정리base!$H$85) + ABS(정리base!$H$91)</f>
        <v>23926.505000000001</v>
      </c>
      <c r="G33" s="354">
        <f>ABS(정리base!$M$25) + ABS(정리base!$M$31) + ABS(정리base!$M$37) + ABS(정리base!$M$43) + ABS(정리base!$M$49) + ABS(정리base!$M$55) + ABS(정리base!$M$61) + ABS(정리base!$M$67) + ABS(정리base!$M$73) + ABS(정리base!$M$79) + ABS(정리base!$M$85) + ABS(정리base!$M$91)</f>
        <v>22</v>
      </c>
      <c r="H33" s="357">
        <f>ABS(정리base!$R$25) + ABS(정리base!$R$31) + ABS(정리base!$R$37) + ABS(정리base!$R$43) + ABS(정리base!$R$49) + ABS(정리base!$R$55) + ABS(정리base!$R$61) + ABS(정리base!$R$67) + ABS(정리base!$R$73) + ABS(정리base!$R$79) + ABS(정리base!$R$85) + ABS(정리base!$R$91)</f>
        <v>245.63089027000001</v>
      </c>
      <c r="K33" s="352" t="s">
        <v>156</v>
      </c>
      <c r="L33" s="353">
        <f>정리base!$H$31</f>
        <v>6423.5050000000001</v>
      </c>
      <c r="M33" s="354">
        <f>정리base!M31</f>
        <v>3</v>
      </c>
      <c r="N33" s="355">
        <f>정리base!R31</f>
        <v>40.15</v>
      </c>
      <c r="O33" s="356">
        <f>ABS(정리base!$H$25) + ABS(정리base!$H$31) + ABS(정리base!$H$37) + ABS(정리base!$H$43) + ABS(정리base!$H$49) + ABS(정리base!$H$55) + ABS(정리base!$H$61) + ABS(정리base!$H$67) + ABS(정리base!$H$73) + ABS(정리base!$H$79) + ABS(정리base!$H$85) + ABS(정리base!$H$91)</f>
        <v>23926.505000000001</v>
      </c>
      <c r="P33" s="354">
        <f>ABS(정리base!$M$25) + ABS(정리base!$M$31) + ABS(정리base!$M$37) + ABS(정리base!$M$43) + ABS(정리base!$M$49) + ABS(정리base!$M$55) + ABS(정리base!$M$61) + ABS(정리base!$M$67) + ABS(정리base!$M$73) + ABS(정리base!$M$79) + ABS(정리base!$M$85) + ABS(정리base!$M$91)</f>
        <v>22</v>
      </c>
      <c r="Q33" s="357">
        <f>ABS(정리base!$R$25) + ABS(정리base!$R$31) + ABS(정리base!$R$37) + ABS(정리base!$R$43) + ABS(정리base!$R$49) + ABS(정리base!$R$55) + ABS(정리base!$R$61) + ABS(정리base!$R$67) + ABS(정리base!$R$73) + ABS(정리base!$R$79) + ABS(정리base!$R$85) + ABS(정리base!$R$91)</f>
        <v>245.63089027000001</v>
      </c>
      <c r="T33" s="352" t="s">
        <v>156</v>
      </c>
      <c r="U33" s="353">
        <f>정리base!$H$37</f>
        <v>0</v>
      </c>
      <c r="V33" s="354">
        <f>정리base!M37</f>
        <v>0</v>
      </c>
      <c r="W33" s="355">
        <f>정리base!R37</f>
        <v>0</v>
      </c>
      <c r="X33" s="356">
        <f>ABS(정리base!$H$25) + ABS(정리base!$H$31) + ABS(정리base!$H$37) + ABS(정리base!$H$43) + ABS(정리base!$H$49) + ABS(정리base!$H$55) + ABS(정리base!$H$61) + ABS(정리base!$H$67) + ABS(정리base!$H$73) + ABS(정리base!$H$79) + ABS(정리base!$H$85) + ABS(정리base!$H$91)</f>
        <v>23926.505000000001</v>
      </c>
      <c r="Y33" s="354">
        <f>ABS(정리base!$M$25) + ABS(정리base!$M$31) + ABS(정리base!$M$37) + ABS(정리base!$M$43) + ABS(정리base!$M$49) + ABS(정리base!$M$55) + ABS(정리base!$M$61) + ABS(정리base!$M$67) + ABS(정리base!$M$73) + ABS(정리base!$M$79) + ABS(정리base!$M$85) + ABS(정리base!$M$91)</f>
        <v>22</v>
      </c>
      <c r="Z33" s="357">
        <f>ABS(정리base!$R$25) + ABS(정리base!$R$31) + ABS(정리base!$R$37) + ABS(정리base!$R$43) + ABS(정리base!$R$49) + ABS(정리base!$R$55) + ABS(정리base!$R$61) + ABS(정리base!$R$67) + ABS(정리base!$R$73) + ABS(정리base!$R$79) + ABS(정리base!$R$85) + ABS(정리base!$R$91)</f>
        <v>245.63089027000001</v>
      </c>
      <c r="AC33" s="352" t="s">
        <v>156</v>
      </c>
      <c r="AD33" s="353">
        <f>정리base!$H$43</f>
        <v>929.92</v>
      </c>
      <c r="AE33" s="354">
        <f>정리base!M43</f>
        <v>1</v>
      </c>
      <c r="AF33" s="355">
        <f>정리base!R43</f>
        <v>8.48</v>
      </c>
      <c r="AG33" s="356">
        <f>ABS(정리base!$H$25) + ABS(정리base!$H$31) + ABS(정리base!$H$37) + ABS(정리base!$H$43) + ABS(정리base!$H$49) + ABS(정리base!$H$55) + ABS(정리base!$H$61) + ABS(정리base!$H$67) + ABS(정리base!$H$73) + ABS(정리base!$H$79) + ABS(정리base!$H$85) + ABS(정리base!$H$91)</f>
        <v>23926.505000000001</v>
      </c>
      <c r="AH33" s="354">
        <f>ABS(정리base!$M$25) + ABS(정리base!$M$31) + ABS(정리base!$M$37) + ABS(정리base!$M$43) + ABS(정리base!$M$49) + ABS(정리base!$M$55) + ABS(정리base!$M$61) + ABS(정리base!$M$67) + ABS(정리base!$M$73) + ABS(정리base!$M$79) + ABS(정리base!$M$85) + ABS(정리base!$M$91)</f>
        <v>22</v>
      </c>
      <c r="AI33" s="357">
        <f>ABS(정리base!$R$25) + ABS(정리base!$R$31) + ABS(정리base!$R$37) + ABS(정리base!$R$43) + ABS(정리base!$R$49) + ABS(정리base!$R$55) + ABS(정리base!$R$61) + ABS(정리base!$R$67) + ABS(정리base!$R$73) + ABS(정리base!$R$79) + ABS(정리base!$R$85) + ABS(정리base!$R$91)</f>
        <v>245.63089027000001</v>
      </c>
      <c r="AL33" s="352" t="s">
        <v>156</v>
      </c>
      <c r="AM33" s="353">
        <f>정리base!$H$49</f>
        <v>2258.9</v>
      </c>
      <c r="AN33" s="354">
        <f>정리base!M49</f>
        <v>2</v>
      </c>
      <c r="AO33" s="355">
        <f>정리base!R49</f>
        <v>28.926000000000002</v>
      </c>
      <c r="AP33" s="356">
        <f>ABS(정리base!$H$25) + ABS(정리base!$H$31) + ABS(정리base!$H$37) + ABS(정리base!$H$43) + ABS(정리base!$H$49) + ABS(정리base!$H$55) + ABS(정리base!$H$61) + ABS(정리base!$H$67) + ABS(정리base!$H$73) + ABS(정리base!$H$79) + ABS(정리base!$H$85) + ABS(정리base!$H$91)</f>
        <v>23926.505000000001</v>
      </c>
      <c r="AQ33" s="354">
        <f>ABS(정리base!$M$25) + ABS(정리base!$M$31) + ABS(정리base!$M$37) + ABS(정리base!$M$43) + ABS(정리base!$M$49) + ABS(정리base!$M$55) + ABS(정리base!$M$61) + ABS(정리base!$M$67) + ABS(정리base!$M$73) + ABS(정리base!$M$79) + ABS(정리base!$M$85) + ABS(정리base!$M$91)</f>
        <v>22</v>
      </c>
      <c r="AR33" s="357">
        <f>ABS(정리base!$R$25) + ABS(정리base!$R$31) + ABS(정리base!$R$37) + ABS(정리base!$R$43) + ABS(정리base!$R$49) + ABS(정리base!$R$55) + ABS(정리base!$R$61) + ABS(정리base!$R$67) + ABS(정리base!$R$73) + ABS(정리base!$R$79) + ABS(정리base!$R$85) + ABS(정리base!$R$91)</f>
        <v>245.63089027000001</v>
      </c>
      <c r="AU33" s="352" t="s">
        <v>156</v>
      </c>
      <c r="AV33" s="353">
        <f>정리base!$H$55</f>
        <v>2529.64</v>
      </c>
      <c r="AW33" s="354">
        <f>정리base!M55</f>
        <v>2</v>
      </c>
      <c r="AX33" s="355">
        <f>정리base!R55</f>
        <v>22.19</v>
      </c>
      <c r="AY33" s="356">
        <f>ABS(정리base!$H$25) + ABS(정리base!$H$31) + ABS(정리base!$H$37) + ABS(정리base!$H$43) + ABS(정리base!$H$49) + ABS(정리base!$H$55) + ABS(정리base!$H$61) + ABS(정리base!$H$67) + ABS(정리base!$H$73) + ABS(정리base!$H$79) + ABS(정리base!$H$85) + ABS(정리base!$H$91)</f>
        <v>23926.505000000001</v>
      </c>
      <c r="AZ33" s="354">
        <f>ABS(정리base!$M$25) + ABS(정리base!$M$31) + ABS(정리base!$M$37) + ABS(정리base!$M$43) + ABS(정리base!$M$49) + ABS(정리base!$M$55) + ABS(정리base!$M$61) + ABS(정리base!$M$67) + ABS(정리base!$M$73) + ABS(정리base!$M$79) + ABS(정리base!$M$85) + ABS(정리base!$M$91)</f>
        <v>22</v>
      </c>
      <c r="BA33" s="357">
        <f>ABS(정리base!$R$25) + ABS(정리base!$R$31) + ABS(정리base!$R$37) + ABS(정리base!$R$43) + ABS(정리base!$R$49) + ABS(정리base!$R$55) + ABS(정리base!$R$61) + ABS(정리base!$R$67) + ABS(정리base!$R$73) + ABS(정리base!$R$79) + ABS(정리base!$R$85) + ABS(정리base!$R$91)</f>
        <v>245.63089027000001</v>
      </c>
      <c r="BD33" s="352" t="s">
        <v>156</v>
      </c>
      <c r="BE33" s="353">
        <f>정리base!$H$61</f>
        <v>0</v>
      </c>
      <c r="BF33" s="354">
        <f>정리base!M61</f>
        <v>0</v>
      </c>
      <c r="BG33" s="355">
        <f>정리base!R61</f>
        <v>0</v>
      </c>
      <c r="BH33" s="356">
        <f>ABS(정리base!$H$25) + ABS(정리base!$H$31) + ABS(정리base!$H$37) + ABS(정리base!$H$43) + ABS(정리base!$H$49) + ABS(정리base!$H$55) + ABS(정리base!$H$61) + ABS(정리base!$H$67) + ABS(정리base!$H$73) + ABS(정리base!$H$79) + ABS(정리base!$H$85) + ABS(정리base!$H$91)</f>
        <v>23926.505000000001</v>
      </c>
      <c r="BI33" s="354">
        <f>ABS(정리base!$M$25) + ABS(정리base!$M$31) + ABS(정리base!$M$37) + ABS(정리base!$M$43) + ABS(정리base!$M$49) + ABS(정리base!$M$55) + ABS(정리base!$M$61) + ABS(정리base!$M$67) + ABS(정리base!$M$73) + ABS(정리base!$M$79) + ABS(정리base!$M$85) + ABS(정리base!$M$91)</f>
        <v>22</v>
      </c>
      <c r="BJ33" s="357">
        <f>ABS(정리base!$R$25) + ABS(정리base!$R$31) + ABS(정리base!$R$37) + ABS(정리base!$R$43) + ABS(정리base!$R$49) + ABS(정리base!$R$55) + ABS(정리base!$R$61) + ABS(정리base!$R$67) + ABS(정리base!$R$73) + ABS(정리base!$R$79) + ABS(정리base!$R$85) + ABS(정리base!$R$91)</f>
        <v>245.63089027000001</v>
      </c>
      <c r="BM33" s="352" t="s">
        <v>156</v>
      </c>
      <c r="BN33" s="353">
        <f>정리base!$H$67</f>
        <v>2317.02</v>
      </c>
      <c r="BO33" s="354">
        <f>정리base!M67</f>
        <v>4</v>
      </c>
      <c r="BP33" s="355">
        <f>정리base!R67</f>
        <v>24.704999999999998</v>
      </c>
      <c r="BQ33" s="356">
        <f>ABS(정리base!$H$25) + ABS(정리base!$H$31) + ABS(정리base!$H$37) + ABS(정리base!$H$43) + ABS(정리base!$H$49) + ABS(정리base!$H$55) + ABS(정리base!$H$61) + ABS(정리base!$H$67) + ABS(정리base!$H$73) + ABS(정리base!$H$79) + ABS(정리base!$H$85) + ABS(정리base!$H$91)</f>
        <v>23926.505000000001</v>
      </c>
      <c r="BR33" s="354">
        <f>ABS(정리base!$M$25) + ABS(정리base!$M$31) + ABS(정리base!$M$37) + ABS(정리base!$M$43) + ABS(정리base!$M$49) + ABS(정리base!$M$55) + ABS(정리base!$M$61) + ABS(정리base!$M$67) + ABS(정리base!$M$73) + ABS(정리base!$M$79) + ABS(정리base!$M$85) + ABS(정리base!$M$91)</f>
        <v>22</v>
      </c>
      <c r="BS33" s="357">
        <f>ABS(정리base!$R$25) + ABS(정리base!$R$31) + ABS(정리base!$R$37) + ABS(정리base!$R$43) + ABS(정리base!$R$49) + ABS(정리base!$R$55) + ABS(정리base!$R$61) + ABS(정리base!$R$67) + ABS(정리base!$R$73) + ABS(정리base!$R$79) + ABS(정리base!$R$85) + ABS(정리base!$R$91)</f>
        <v>245.63089027000001</v>
      </c>
      <c r="BV33" s="352" t="s">
        <v>156</v>
      </c>
      <c r="BW33" s="353">
        <f>정리base!$H$73</f>
        <v>526.07999999999993</v>
      </c>
      <c r="BX33" s="354">
        <f>정리base!M73</f>
        <v>2</v>
      </c>
      <c r="BY33" s="355">
        <f>정리base!R73</f>
        <v>4.6850000000000005</v>
      </c>
      <c r="BZ33" s="356">
        <f>ABS(정리base!$H$25) + ABS(정리base!$H$31) + ABS(정리base!$H$37) + ABS(정리base!$H$43) + ABS(정리base!$H$49) + ABS(정리base!$H$55) + ABS(정리base!$H$61) + ABS(정리base!$H$67) + ABS(정리base!$H$73) + ABS(정리base!$H$79) + ABS(정리base!$H$85) + ABS(정리base!$H$91)</f>
        <v>23926.505000000001</v>
      </c>
      <c r="CA33" s="354">
        <f>ABS(정리base!$M$25) + ABS(정리base!$M$31) + ABS(정리base!$M$37) + ABS(정리base!$M$43) + ABS(정리base!$M$49) + ABS(정리base!$M$55) + ABS(정리base!$M$61) + ABS(정리base!$M$67) + ABS(정리base!$M$73) + ABS(정리base!$M$79) + ABS(정리base!$M$85) + ABS(정리base!$M$91)</f>
        <v>22</v>
      </c>
      <c r="CB33" s="357">
        <f>ABS(정리base!$R$25) + ABS(정리base!$R$31) + ABS(정리base!$R$37) + ABS(정리base!$R$43) + ABS(정리base!$R$49) + ABS(정리base!$R$55) + ABS(정리base!$R$61) + ABS(정리base!$R$67) + ABS(정리base!$R$73) + ABS(정리base!$R$79) + ABS(정리base!$R$85) + ABS(정리base!$R$91)</f>
        <v>245.63089027000001</v>
      </c>
      <c r="CE33" s="352" t="s">
        <v>156</v>
      </c>
      <c r="CF33" s="353">
        <f>정리base!$H$79</f>
        <v>4186.24</v>
      </c>
      <c r="CG33" s="354">
        <f>정리base!M79</f>
        <v>3</v>
      </c>
      <c r="CH33" s="355">
        <f>정리base!R79</f>
        <v>51.314890269999999</v>
      </c>
      <c r="CI33" s="356">
        <f>ABS(정리base!$H$25) + ABS(정리base!$H$31) + ABS(정리base!$H$37) + ABS(정리base!$H$43) + ABS(정리base!$H$49) + ABS(정리base!$H$55) + ABS(정리base!$H$61) + ABS(정리base!$H$67) + ABS(정리base!$H$73) + ABS(정리base!$H$79) + ABS(정리base!$H$85) + ABS(정리base!$H$91)</f>
        <v>23926.505000000001</v>
      </c>
      <c r="CJ33" s="354">
        <f>ABS(정리base!$M$25) + ABS(정리base!$M$31) + ABS(정리base!$M$37) + ABS(정리base!$M$43) + ABS(정리base!$M$49) + ABS(정리base!$M$55) + ABS(정리base!$M$61) + ABS(정리base!$M$67) + ABS(정리base!$M$73) + ABS(정리base!$M$79) + ABS(정리base!$M$85) + ABS(정리base!$M$91)</f>
        <v>22</v>
      </c>
      <c r="CK33" s="357">
        <f>ABS(정리base!$R$25) + ABS(정리base!$R$31) + ABS(정리base!$R$37) + ABS(정리base!$R$43) + ABS(정리base!$R$49) + ABS(정리base!$R$55) + ABS(정리base!$R$61) + ABS(정리base!$R$67) + ABS(정리base!$R$73) + ABS(정리base!$R$79) + ABS(정리base!$R$85) + ABS(정리base!$R$91)</f>
        <v>245.63089027000001</v>
      </c>
      <c r="CN33" s="352" t="s">
        <v>156</v>
      </c>
      <c r="CO33" s="353">
        <f>정리base!$H$85</f>
        <v>3132.8</v>
      </c>
      <c r="CP33" s="354">
        <f>정리base!M85</f>
        <v>2</v>
      </c>
      <c r="CQ33" s="355">
        <f>정리base!R85</f>
        <v>47.400000000000006</v>
      </c>
      <c r="CR33" s="356">
        <f>ABS(정리base!$H$25) + ABS(정리base!$H$31) + ABS(정리base!$H$37) + ABS(정리base!$H$43) + ABS(정리base!$H$49) + ABS(정리base!$H$55) + ABS(정리base!$H$61) + ABS(정리base!$H$67) + ABS(정리base!$H$73) + ABS(정리base!$H$79) + ABS(정리base!$H$85) + ABS(정리base!$H$91)</f>
        <v>23926.505000000001</v>
      </c>
      <c r="CS33" s="354">
        <f>ABS(정리base!$M$25) + ABS(정리base!$M$31) + ABS(정리base!$M$37) + ABS(정리base!$M$43) + ABS(정리base!$M$49) + ABS(정리base!$M$55) + ABS(정리base!$M$61) + ABS(정리base!$M$67) + ABS(정리base!$M$73) + ABS(정리base!$M$79) + ABS(정리base!$M$85) + ABS(정리base!$M$91)</f>
        <v>22</v>
      </c>
      <c r="CT33" s="357">
        <f>ABS(정리base!$R$25) + ABS(정리base!$R$31) + ABS(정리base!$R$37) + ABS(정리base!$R$43) + ABS(정리base!$R$49) + ABS(정리base!$R$55) + ABS(정리base!$R$61) + ABS(정리base!$R$67) + ABS(정리base!$R$73) + ABS(정리base!$R$79) + ABS(정리base!$R$85) + ABS(정리base!$R$91)</f>
        <v>245.63089027000001</v>
      </c>
      <c r="CW33" s="352" t="s">
        <v>156</v>
      </c>
      <c r="CX33" s="353">
        <f>정리base!$H$91</f>
        <v>1622.3999999999999</v>
      </c>
      <c r="CY33" s="354">
        <f>정리base!M91</f>
        <v>3</v>
      </c>
      <c r="CZ33" s="355">
        <f>정리base!R91</f>
        <v>17.78</v>
      </c>
      <c r="DA33" s="356">
        <f>ABS(정리base!$H$25) + ABS(정리base!$H$31) + ABS(정리base!$H$37) + ABS(정리base!$H$43) + ABS(정리base!$H$49) + ABS(정리base!$H$55) + ABS(정리base!$H$61) + ABS(정리base!$H$67) + ABS(정리base!$H$73) + ABS(정리base!$H$79) + ABS(정리base!$H$85) + ABS(정리base!$H$91)</f>
        <v>23926.505000000001</v>
      </c>
      <c r="DB33" s="354">
        <f>ABS(정리base!$M$25) + ABS(정리base!$M$31) + ABS(정리base!$M$37) + ABS(정리base!$M$43) + ABS(정리base!$M$49) + ABS(정리base!$M$55) + ABS(정리base!$M$61) + ABS(정리base!$M$67) + ABS(정리base!$M$73) + ABS(정리base!$M$79) + ABS(정리base!$M$85) + ABS(정리base!$M$91)</f>
        <v>22</v>
      </c>
      <c r="DC33" s="357">
        <f>ABS(정리base!$R$25) + ABS(정리base!$R$31) + ABS(정리base!$R$37) + ABS(정리base!$R$43) + ABS(정리base!$R$49) + ABS(정리base!$R$55) + ABS(정리base!$R$61) + ABS(정리base!$R$67) + ABS(정리base!$R$73) + ABS(정리base!$R$79) + ABS(정리base!$R$85) + ABS(정리base!$R$91)</f>
        <v>245.63089027000001</v>
      </c>
    </row>
    <row r="96" ht="30" customHeight="1" x14ac:dyDescent="0.25"/>
    <row r="97" spans="3:104" ht="30" customHeight="1" x14ac:dyDescent="0.25"/>
    <row r="98" spans="3:104" ht="30" customHeight="1" x14ac:dyDescent="0.25">
      <c r="D98" s="175" t="s">
        <v>164</v>
      </c>
      <c r="E98" s="175" t="s">
        <v>165</v>
      </c>
      <c r="M98" s="175" t="s">
        <v>164</v>
      </c>
      <c r="N98" s="175" t="s">
        <v>165</v>
      </c>
      <c r="V98" s="175" t="s">
        <v>164</v>
      </c>
      <c r="W98" s="175" t="s">
        <v>165</v>
      </c>
      <c r="AE98" s="175" t="s">
        <v>164</v>
      </c>
      <c r="AF98" s="175" t="s">
        <v>165</v>
      </c>
      <c r="AN98" s="175" t="s">
        <v>164</v>
      </c>
      <c r="AO98" s="175" t="s">
        <v>165</v>
      </c>
      <c r="AW98" s="175" t="s">
        <v>164</v>
      </c>
      <c r="AX98" s="175" t="s">
        <v>165</v>
      </c>
      <c r="BF98" s="175" t="s">
        <v>164</v>
      </c>
      <c r="BG98" s="175" t="s">
        <v>165</v>
      </c>
      <c r="BO98" s="175" t="s">
        <v>164</v>
      </c>
      <c r="BP98" s="175" t="s">
        <v>165</v>
      </c>
      <c r="BX98" s="175" t="s">
        <v>164</v>
      </c>
      <c r="BY98" s="175" t="s">
        <v>165</v>
      </c>
      <c r="CG98" s="175" t="s">
        <v>164</v>
      </c>
      <c r="CH98" s="175" t="s">
        <v>165</v>
      </c>
      <c r="CP98" s="175" t="s">
        <v>164</v>
      </c>
      <c r="CQ98" s="175" t="s">
        <v>165</v>
      </c>
      <c r="CY98" s="175" t="s">
        <v>164</v>
      </c>
      <c r="CZ98" s="175" t="s">
        <v>165</v>
      </c>
    </row>
    <row r="99" spans="3:104" ht="30" customHeight="1" x14ac:dyDescent="0.25">
      <c r="C99" s="176" t="s">
        <v>39</v>
      </c>
      <c r="D99" s="177">
        <f>C18*0.01</f>
        <v>130</v>
      </c>
      <c r="E99" s="177">
        <f>C20*0.01</f>
        <v>37.028250000000007</v>
      </c>
      <c r="L99" s="176" t="s">
        <v>39</v>
      </c>
      <c r="M99" s="177">
        <f>L18*0.01</f>
        <v>130</v>
      </c>
      <c r="N99" s="177">
        <f>L20*0.01</f>
        <v>37.028250000000007</v>
      </c>
      <c r="U99" s="176" t="s">
        <v>39</v>
      </c>
      <c r="V99" s="177">
        <f>U18*0.01</f>
        <v>130</v>
      </c>
      <c r="W99" s="177">
        <f>U20*0.01</f>
        <v>37.028250000000007</v>
      </c>
      <c r="AD99" s="176" t="s">
        <v>39</v>
      </c>
      <c r="AE99" s="177">
        <f>AD18*0.01</f>
        <v>130</v>
      </c>
      <c r="AF99" s="177">
        <f>AD20*0.01</f>
        <v>37.028250000000007</v>
      </c>
      <c r="AM99" s="176" t="s">
        <v>39</v>
      </c>
      <c r="AN99" s="177">
        <f>AM18*0.01</f>
        <v>130</v>
      </c>
      <c r="AO99" s="177">
        <f>AM20*0.01</f>
        <v>37.028250000000007</v>
      </c>
      <c r="AV99" s="176" t="s">
        <v>39</v>
      </c>
      <c r="AW99" s="177">
        <f>AV18*0.01</f>
        <v>130</v>
      </c>
      <c r="AX99" s="177">
        <f>AV20*0.01</f>
        <v>37.028250000000007</v>
      </c>
      <c r="BE99" s="176" t="s">
        <v>39</v>
      </c>
      <c r="BF99" s="177">
        <f>BE18*0.01</f>
        <v>130</v>
      </c>
      <c r="BG99" s="177">
        <f>BE20*0.01</f>
        <v>37.028250000000007</v>
      </c>
      <c r="BN99" s="176" t="s">
        <v>39</v>
      </c>
      <c r="BO99" s="177">
        <f>BN18*0.01</f>
        <v>130</v>
      </c>
      <c r="BP99" s="177">
        <f>BN20*0.01</f>
        <v>37.028250000000007</v>
      </c>
      <c r="BW99" s="176" t="s">
        <v>39</v>
      </c>
      <c r="BX99" s="177">
        <f>BW18*0.01</f>
        <v>130</v>
      </c>
      <c r="BY99" s="177">
        <f>BW20*0.01</f>
        <v>37.028250000000007</v>
      </c>
      <c r="CF99" s="176" t="s">
        <v>39</v>
      </c>
      <c r="CG99" s="177">
        <f>CF18*0.01</f>
        <v>130</v>
      </c>
      <c r="CH99" s="177">
        <f>CF20*0.01</f>
        <v>37.028250000000007</v>
      </c>
      <c r="CO99" s="176" t="s">
        <v>39</v>
      </c>
      <c r="CP99" s="177">
        <f>CO18*0.01</f>
        <v>130</v>
      </c>
      <c r="CQ99" s="177">
        <f>CO20*0.01</f>
        <v>37.028250000000007</v>
      </c>
      <c r="CX99" s="176" t="s">
        <v>39</v>
      </c>
      <c r="CY99" s="177">
        <f>CX18*0.01</f>
        <v>130</v>
      </c>
      <c r="CZ99" s="177">
        <f>CX20*0.01</f>
        <v>37.028250000000007</v>
      </c>
    </row>
    <row r="100" spans="3:104" ht="30" customHeight="1" x14ac:dyDescent="0.25">
      <c r="C100" s="176" t="s">
        <v>8</v>
      </c>
      <c r="D100" s="177">
        <f>D18*0.01</f>
        <v>80</v>
      </c>
      <c r="E100" s="177">
        <f>D20*0.01</f>
        <v>111.43110000000001</v>
      </c>
      <c r="L100" s="176" t="s">
        <v>8</v>
      </c>
      <c r="M100" s="177">
        <f>M18*0.01</f>
        <v>80</v>
      </c>
      <c r="N100" s="177">
        <f>M20*0.01</f>
        <v>111.43110000000001</v>
      </c>
      <c r="U100" s="176" t="s">
        <v>8</v>
      </c>
      <c r="V100" s="177">
        <f>V18*0.01</f>
        <v>80</v>
      </c>
      <c r="W100" s="177">
        <f>V20*0.01</f>
        <v>111.43110000000001</v>
      </c>
      <c r="AD100" s="176" t="s">
        <v>8</v>
      </c>
      <c r="AE100" s="177">
        <f>AE18*0.01</f>
        <v>80</v>
      </c>
      <c r="AF100" s="177">
        <f>AE20*0.01</f>
        <v>111.43110000000001</v>
      </c>
      <c r="AM100" s="176" t="s">
        <v>8</v>
      </c>
      <c r="AN100" s="177">
        <f>AN18*0.01</f>
        <v>80</v>
      </c>
      <c r="AO100" s="177">
        <f>AN20*0.01</f>
        <v>111.43110000000001</v>
      </c>
      <c r="AV100" s="176" t="s">
        <v>8</v>
      </c>
      <c r="AW100" s="177">
        <f>AW18*0.01</f>
        <v>80</v>
      </c>
      <c r="AX100" s="177">
        <f>AW20*0.01</f>
        <v>111.43110000000001</v>
      </c>
      <c r="BE100" s="176" t="s">
        <v>8</v>
      </c>
      <c r="BF100" s="177">
        <f>BF18*0.01</f>
        <v>80</v>
      </c>
      <c r="BG100" s="177">
        <f>BF20*0.01</f>
        <v>111.43110000000001</v>
      </c>
      <c r="BN100" s="176" t="s">
        <v>8</v>
      </c>
      <c r="BO100" s="177">
        <f>BO18*0.01</f>
        <v>80</v>
      </c>
      <c r="BP100" s="177">
        <f>BO20*0.01</f>
        <v>111.43110000000001</v>
      </c>
      <c r="BW100" s="176" t="s">
        <v>8</v>
      </c>
      <c r="BX100" s="177">
        <f>BX18*0.01</f>
        <v>80</v>
      </c>
      <c r="BY100" s="177">
        <f>BX20*0.01</f>
        <v>111.43110000000001</v>
      </c>
      <c r="CF100" s="176" t="s">
        <v>8</v>
      </c>
      <c r="CG100" s="177">
        <f>CG18*0.01</f>
        <v>80</v>
      </c>
      <c r="CH100" s="177">
        <f>CG20*0.01</f>
        <v>111.43110000000001</v>
      </c>
      <c r="CO100" s="176" t="s">
        <v>8</v>
      </c>
      <c r="CP100" s="177">
        <f>CP18*0.01</f>
        <v>80</v>
      </c>
      <c r="CQ100" s="177">
        <f>CP20*0.01</f>
        <v>111.43110000000001</v>
      </c>
      <c r="CX100" s="176" t="s">
        <v>8</v>
      </c>
      <c r="CY100" s="177">
        <f>CY18*0.01</f>
        <v>80</v>
      </c>
      <c r="CZ100" s="177">
        <f>CY20*0.01</f>
        <v>111.43110000000001</v>
      </c>
    </row>
    <row r="101" spans="3:104" ht="30" customHeight="1" x14ac:dyDescent="0.25">
      <c r="C101" s="176" t="s">
        <v>9</v>
      </c>
      <c r="D101" s="177">
        <f>E18*0.01</f>
        <v>90</v>
      </c>
      <c r="E101" s="177">
        <f>E20*0.01</f>
        <v>34.193750000000009</v>
      </c>
      <c r="L101" s="176" t="s">
        <v>9</v>
      </c>
      <c r="M101" s="177">
        <f>N18*0.01</f>
        <v>90</v>
      </c>
      <c r="N101" s="177">
        <f>N20*0.01</f>
        <v>34.193750000000009</v>
      </c>
      <c r="U101" s="176" t="s">
        <v>9</v>
      </c>
      <c r="V101" s="177">
        <f>W18*0.01</f>
        <v>90</v>
      </c>
      <c r="W101" s="177">
        <f>W20*0.01</f>
        <v>34.193750000000009</v>
      </c>
      <c r="AD101" s="176" t="s">
        <v>9</v>
      </c>
      <c r="AE101" s="177">
        <f>AF18*0.01</f>
        <v>90</v>
      </c>
      <c r="AF101" s="177">
        <f>AF20*0.01</f>
        <v>34.193750000000009</v>
      </c>
      <c r="AM101" s="176" t="s">
        <v>9</v>
      </c>
      <c r="AN101" s="177">
        <f>AO18*0.01</f>
        <v>90</v>
      </c>
      <c r="AO101" s="177">
        <f>AO20*0.01</f>
        <v>34.193750000000009</v>
      </c>
      <c r="AV101" s="176" t="s">
        <v>9</v>
      </c>
      <c r="AW101" s="177">
        <f>AX18*0.01</f>
        <v>90</v>
      </c>
      <c r="AX101" s="177">
        <f>AX20*0.01</f>
        <v>34.193750000000009</v>
      </c>
      <c r="BE101" s="176" t="s">
        <v>9</v>
      </c>
      <c r="BF101" s="177">
        <f>BG18*0.01</f>
        <v>90</v>
      </c>
      <c r="BG101" s="177">
        <f>BG20*0.01</f>
        <v>34.193750000000009</v>
      </c>
      <c r="BN101" s="176" t="s">
        <v>9</v>
      </c>
      <c r="BO101" s="177">
        <f>BP18*0.01</f>
        <v>90</v>
      </c>
      <c r="BP101" s="177">
        <f>BP20*0.01</f>
        <v>34.193750000000009</v>
      </c>
      <c r="BW101" s="176" t="s">
        <v>9</v>
      </c>
      <c r="BX101" s="177">
        <f>BY18*0.01</f>
        <v>90</v>
      </c>
      <c r="BY101" s="177">
        <f>BY20*0.01</f>
        <v>34.193750000000009</v>
      </c>
      <c r="CF101" s="176" t="s">
        <v>9</v>
      </c>
      <c r="CG101" s="177">
        <f>CH18*0.01</f>
        <v>90</v>
      </c>
      <c r="CH101" s="177">
        <f>CH20*0.01</f>
        <v>34.193750000000009</v>
      </c>
      <c r="CO101" s="176" t="s">
        <v>9</v>
      </c>
      <c r="CP101" s="177">
        <f>CQ18*0.01</f>
        <v>90</v>
      </c>
      <c r="CQ101" s="177">
        <f>CQ20*0.01</f>
        <v>34.193750000000009</v>
      </c>
      <c r="CX101" s="176" t="s">
        <v>9</v>
      </c>
      <c r="CY101" s="177">
        <f>CZ18*0.01</f>
        <v>90</v>
      </c>
      <c r="CZ101" s="177">
        <f>CZ20*0.01</f>
        <v>34.193750000000009</v>
      </c>
    </row>
    <row r="102" spans="3:104" ht="30" customHeight="1" x14ac:dyDescent="0.25">
      <c r="C102" s="176" t="s">
        <v>159</v>
      </c>
      <c r="D102" s="177">
        <f>F18*0.01</f>
        <v>120</v>
      </c>
      <c r="E102" s="177">
        <f>F20*0.01</f>
        <v>52.032549999999993</v>
      </c>
      <c r="L102" s="176" t="s">
        <v>159</v>
      </c>
      <c r="M102" s="177">
        <f>O18*0.01</f>
        <v>120</v>
      </c>
      <c r="N102" s="177">
        <f>O20*0.01</f>
        <v>52.032549999999993</v>
      </c>
      <c r="U102" s="176" t="s">
        <v>159</v>
      </c>
      <c r="V102" s="177">
        <f>X18*0.01</f>
        <v>120</v>
      </c>
      <c r="W102" s="177">
        <f>X20*0.01</f>
        <v>52.032549999999993</v>
      </c>
      <c r="AD102" s="176" t="s">
        <v>159</v>
      </c>
      <c r="AE102" s="177">
        <f>AG18*0.01</f>
        <v>120</v>
      </c>
      <c r="AF102" s="177">
        <f>AG20*0.01</f>
        <v>52.032549999999993</v>
      </c>
      <c r="AM102" s="176" t="s">
        <v>159</v>
      </c>
      <c r="AN102" s="177">
        <f>AP18*0.01</f>
        <v>120</v>
      </c>
      <c r="AO102" s="177">
        <f>AP20*0.01</f>
        <v>52.032549999999993</v>
      </c>
      <c r="AV102" s="176" t="s">
        <v>159</v>
      </c>
      <c r="AW102" s="177">
        <f>AY18*0.01</f>
        <v>120</v>
      </c>
      <c r="AX102" s="177">
        <f>AY20*0.01</f>
        <v>52.032549999999993</v>
      </c>
      <c r="BE102" s="176" t="s">
        <v>159</v>
      </c>
      <c r="BF102" s="177">
        <f>BH18*0.01</f>
        <v>120</v>
      </c>
      <c r="BG102" s="177">
        <f>BH20*0.01</f>
        <v>52.032549999999993</v>
      </c>
      <c r="BN102" s="176" t="s">
        <v>159</v>
      </c>
      <c r="BO102" s="177">
        <f>BQ18*0.01</f>
        <v>120</v>
      </c>
      <c r="BP102" s="177">
        <f>BQ20*0.01</f>
        <v>52.032549999999993</v>
      </c>
      <c r="BW102" s="176" t="s">
        <v>159</v>
      </c>
      <c r="BX102" s="177">
        <f>BZ18*0.01</f>
        <v>120</v>
      </c>
      <c r="BY102" s="177">
        <f>BZ20*0.01</f>
        <v>52.032549999999993</v>
      </c>
      <c r="CF102" s="176" t="s">
        <v>159</v>
      </c>
      <c r="CG102" s="177">
        <f>CI18*0.01</f>
        <v>120</v>
      </c>
      <c r="CH102" s="177">
        <f>CI20*0.01</f>
        <v>52.032549999999993</v>
      </c>
      <c r="CO102" s="176" t="s">
        <v>159</v>
      </c>
      <c r="CP102" s="177">
        <f>CR18*0.01</f>
        <v>120</v>
      </c>
      <c r="CQ102" s="177">
        <f>CR20*0.01</f>
        <v>52.032549999999993</v>
      </c>
      <c r="CX102" s="176" t="s">
        <v>159</v>
      </c>
      <c r="CY102" s="177">
        <f>DA18*0.01</f>
        <v>120</v>
      </c>
      <c r="CZ102" s="177">
        <f>DA20*0.01</f>
        <v>52.032549999999993</v>
      </c>
    </row>
    <row r="103" spans="3:104" ht="30" customHeight="1" x14ac:dyDescent="0.25">
      <c r="C103" s="176" t="s">
        <v>160</v>
      </c>
      <c r="D103" s="177">
        <f>G18*0.01</f>
        <v>140</v>
      </c>
      <c r="E103" s="177">
        <f>G20*0.01</f>
        <v>90.659399999999991</v>
      </c>
      <c r="L103" s="176" t="s">
        <v>160</v>
      </c>
      <c r="M103" s="177">
        <f>P18*0.01</f>
        <v>140</v>
      </c>
      <c r="N103" s="177">
        <f>P20*0.01</f>
        <v>90.659399999999991</v>
      </c>
      <c r="U103" s="176" t="s">
        <v>160</v>
      </c>
      <c r="V103" s="177">
        <f>Y18*0.01</f>
        <v>140</v>
      </c>
      <c r="W103" s="177">
        <f>Y20*0.01</f>
        <v>90.659399999999991</v>
      </c>
      <c r="AD103" s="176" t="s">
        <v>160</v>
      </c>
      <c r="AE103" s="177">
        <f>AH18*0.01</f>
        <v>140</v>
      </c>
      <c r="AF103" s="177">
        <f>AH20*0.01</f>
        <v>90.659399999999991</v>
      </c>
      <c r="AM103" s="176" t="s">
        <v>160</v>
      </c>
      <c r="AN103" s="177">
        <f>AQ18*0.01</f>
        <v>140</v>
      </c>
      <c r="AO103" s="177">
        <f>AQ20*0.01</f>
        <v>90.659399999999991</v>
      </c>
      <c r="AV103" s="176" t="s">
        <v>160</v>
      </c>
      <c r="AW103" s="177">
        <f>AZ18*0.01</f>
        <v>140</v>
      </c>
      <c r="AX103" s="177">
        <f>AZ20*0.01</f>
        <v>90.659399999999991</v>
      </c>
      <c r="BE103" s="176" t="s">
        <v>160</v>
      </c>
      <c r="BF103" s="177">
        <f>BI18*0.01</f>
        <v>140</v>
      </c>
      <c r="BG103" s="177">
        <f>BI20*0.01</f>
        <v>90.659399999999991</v>
      </c>
      <c r="BN103" s="176" t="s">
        <v>160</v>
      </c>
      <c r="BO103" s="177">
        <f>BR18*0.01</f>
        <v>140</v>
      </c>
      <c r="BP103" s="177">
        <f>BR20*0.01</f>
        <v>90.659399999999991</v>
      </c>
      <c r="BW103" s="176" t="s">
        <v>160</v>
      </c>
      <c r="BX103" s="177">
        <f>CA18*0.01</f>
        <v>140</v>
      </c>
      <c r="BY103" s="177">
        <f>CA20*0.01</f>
        <v>90.659399999999991</v>
      </c>
      <c r="CF103" s="176" t="s">
        <v>160</v>
      </c>
      <c r="CG103" s="177">
        <f>CJ18*0.01</f>
        <v>140</v>
      </c>
      <c r="CH103" s="177">
        <f>CJ20*0.01</f>
        <v>90.659399999999991</v>
      </c>
      <c r="CO103" s="176" t="s">
        <v>160</v>
      </c>
      <c r="CP103" s="177">
        <f>CS18*0.01</f>
        <v>140</v>
      </c>
      <c r="CQ103" s="177">
        <f>CS20*0.01</f>
        <v>90.659399999999991</v>
      </c>
      <c r="CX103" s="176" t="s">
        <v>160</v>
      </c>
      <c r="CY103" s="177">
        <f>DB18*0.01</f>
        <v>140</v>
      </c>
      <c r="CZ103" s="177">
        <f>DB20*0.01</f>
        <v>90.659399999999991</v>
      </c>
    </row>
    <row r="104" spans="3:104" ht="30" customHeight="1" x14ac:dyDescent="0.25">
      <c r="C104" s="176" t="s">
        <v>161</v>
      </c>
      <c r="D104" s="177">
        <f>H18*0.01</f>
        <v>90</v>
      </c>
      <c r="E104" s="177">
        <f>H20*0.01</f>
        <v>100.65520000000001</v>
      </c>
      <c r="L104" s="176" t="s">
        <v>161</v>
      </c>
      <c r="M104" s="177">
        <f>Q18*0.01</f>
        <v>90</v>
      </c>
      <c r="N104" s="177">
        <f>Q20*0.01</f>
        <v>100.65520000000001</v>
      </c>
      <c r="U104" s="176" t="s">
        <v>161</v>
      </c>
      <c r="V104" s="177">
        <f>Z18*0.01</f>
        <v>90</v>
      </c>
      <c r="W104" s="177">
        <f>Z20*0.01</f>
        <v>100.65520000000001</v>
      </c>
      <c r="AD104" s="176" t="s">
        <v>161</v>
      </c>
      <c r="AE104" s="177">
        <f>AI18*0.01</f>
        <v>90</v>
      </c>
      <c r="AF104" s="177">
        <f>AI20*0.01</f>
        <v>100.65520000000001</v>
      </c>
      <c r="AM104" s="176" t="s">
        <v>161</v>
      </c>
      <c r="AN104" s="177">
        <f>AR18*0.01</f>
        <v>90</v>
      </c>
      <c r="AO104" s="177">
        <f>AR20*0.01</f>
        <v>100.65520000000001</v>
      </c>
      <c r="AV104" s="176" t="s">
        <v>161</v>
      </c>
      <c r="AW104" s="177">
        <f>BA18*0.01</f>
        <v>90</v>
      </c>
      <c r="AX104" s="177">
        <f>BA20*0.01</f>
        <v>100.65520000000001</v>
      </c>
      <c r="BE104" s="176" t="s">
        <v>161</v>
      </c>
      <c r="BF104" s="177">
        <f>BJ18*0.01</f>
        <v>90</v>
      </c>
      <c r="BG104" s="177">
        <f>BJ20*0.01</f>
        <v>100.65520000000001</v>
      </c>
      <c r="BN104" s="176" t="s">
        <v>161</v>
      </c>
      <c r="BO104" s="177">
        <f>BS18*0.01</f>
        <v>90</v>
      </c>
      <c r="BP104" s="177">
        <f>BS20*0.01</f>
        <v>100.65520000000001</v>
      </c>
      <c r="BW104" s="176" t="s">
        <v>161</v>
      </c>
      <c r="BX104" s="177">
        <f>CB18*0.01</f>
        <v>90</v>
      </c>
      <c r="BY104" s="177">
        <f>CB20*0.01</f>
        <v>100.65520000000001</v>
      </c>
      <c r="CF104" s="176" t="s">
        <v>161</v>
      </c>
      <c r="CG104" s="177">
        <f>CK18*0.01</f>
        <v>90</v>
      </c>
      <c r="CH104" s="177">
        <f>CK20*0.01</f>
        <v>100.65520000000001</v>
      </c>
      <c r="CO104" s="176" t="s">
        <v>161</v>
      </c>
      <c r="CP104" s="177">
        <f>CT18*0.01</f>
        <v>90</v>
      </c>
      <c r="CQ104" s="177">
        <f>CT20*0.01</f>
        <v>100.65520000000001</v>
      </c>
      <c r="CX104" s="176" t="s">
        <v>161</v>
      </c>
      <c r="CY104" s="177">
        <f>DC18*0.01</f>
        <v>90</v>
      </c>
      <c r="CZ104" s="177">
        <f>DC20*0.01</f>
        <v>100.65520000000001</v>
      </c>
    </row>
    <row r="105" spans="3:104" ht="30" customHeight="1" x14ac:dyDescent="0.25">
      <c r="C105" s="176" t="s">
        <v>162</v>
      </c>
      <c r="D105" s="177">
        <f>C24*0.01</f>
        <v>90</v>
      </c>
      <c r="E105" s="177">
        <f>C26*0.01</f>
        <v>64.998400000000004</v>
      </c>
      <c r="L105" s="176" t="s">
        <v>162</v>
      </c>
      <c r="M105" s="177">
        <f>L24*0.01</f>
        <v>90</v>
      </c>
      <c r="N105" s="177">
        <f>L26*0.01</f>
        <v>64.998400000000004</v>
      </c>
      <c r="U105" s="176" t="s">
        <v>162</v>
      </c>
      <c r="V105" s="177">
        <f>U24*0.01</f>
        <v>90</v>
      </c>
      <c r="W105" s="177">
        <f>U26*0.01</f>
        <v>64.998400000000004</v>
      </c>
      <c r="AD105" s="176" t="s">
        <v>162</v>
      </c>
      <c r="AE105" s="177">
        <f>AD24*0.01</f>
        <v>90</v>
      </c>
      <c r="AF105" s="177">
        <f>AD26*0.01</f>
        <v>64.998400000000004</v>
      </c>
      <c r="AM105" s="176" t="s">
        <v>162</v>
      </c>
      <c r="AN105" s="177">
        <f>AM24*0.01</f>
        <v>90</v>
      </c>
      <c r="AO105" s="177">
        <f>AM26*0.01</f>
        <v>64.998400000000004</v>
      </c>
      <c r="AV105" s="176" t="s">
        <v>162</v>
      </c>
      <c r="AW105" s="177">
        <f>AV24*0.01</f>
        <v>90</v>
      </c>
      <c r="AX105" s="177">
        <f>AV26*0.01</f>
        <v>64.998400000000004</v>
      </c>
      <c r="BE105" s="176" t="s">
        <v>162</v>
      </c>
      <c r="BF105" s="177">
        <f>BE24*0.01</f>
        <v>90</v>
      </c>
      <c r="BG105" s="177">
        <f>BE26*0.01</f>
        <v>64.998400000000004</v>
      </c>
      <c r="BN105" s="176" t="s">
        <v>162</v>
      </c>
      <c r="BO105" s="177">
        <f>BN24*0.01</f>
        <v>90</v>
      </c>
      <c r="BP105" s="177">
        <f>BN26*0.01</f>
        <v>64.998400000000004</v>
      </c>
      <c r="BW105" s="176" t="s">
        <v>162</v>
      </c>
      <c r="BX105" s="177">
        <f>BW24*0.01</f>
        <v>90</v>
      </c>
      <c r="BY105" s="177">
        <f>BW26*0.01</f>
        <v>64.998400000000004</v>
      </c>
      <c r="CF105" s="176" t="s">
        <v>162</v>
      </c>
      <c r="CG105" s="177">
        <f>CF24*0.01</f>
        <v>90</v>
      </c>
      <c r="CH105" s="177">
        <f>CF26*0.01</f>
        <v>64.998400000000004</v>
      </c>
      <c r="CO105" s="176" t="s">
        <v>162</v>
      </c>
      <c r="CP105" s="177">
        <f>CO24*0.01</f>
        <v>90</v>
      </c>
      <c r="CQ105" s="177">
        <f>CO26*0.01</f>
        <v>64.998400000000004</v>
      </c>
      <c r="CX105" s="176" t="s">
        <v>162</v>
      </c>
      <c r="CY105" s="177">
        <f>CX24*0.01</f>
        <v>90</v>
      </c>
      <c r="CZ105" s="177">
        <f>CX26*0.01</f>
        <v>64.998400000000004</v>
      </c>
    </row>
    <row r="106" spans="3:104" ht="30" customHeight="1" x14ac:dyDescent="0.25">
      <c r="C106" s="176" t="s">
        <v>163</v>
      </c>
      <c r="D106" s="177">
        <f>D24*0.01</f>
        <v>90</v>
      </c>
      <c r="E106" s="177">
        <f>D26*0.01</f>
        <v>87.545149999999992</v>
      </c>
      <c r="L106" s="176" t="s">
        <v>163</v>
      </c>
      <c r="M106" s="177">
        <f>M24*0.01</f>
        <v>90</v>
      </c>
      <c r="N106" s="177">
        <f>M26*0.01</f>
        <v>87.545149999999992</v>
      </c>
      <c r="U106" s="176" t="s">
        <v>163</v>
      </c>
      <c r="V106" s="177">
        <f>V24*0.01</f>
        <v>90</v>
      </c>
      <c r="W106" s="177">
        <f>V26*0.01</f>
        <v>87.545149999999992</v>
      </c>
      <c r="AD106" s="176" t="s">
        <v>163</v>
      </c>
      <c r="AE106" s="177">
        <f>AE24*0.01</f>
        <v>90</v>
      </c>
      <c r="AF106" s="177">
        <f>AE26*0.01</f>
        <v>87.545149999999992</v>
      </c>
      <c r="AM106" s="176" t="s">
        <v>163</v>
      </c>
      <c r="AN106" s="177">
        <f>AN24*0.01</f>
        <v>90</v>
      </c>
      <c r="AO106" s="177">
        <f>AN26*0.01</f>
        <v>87.545149999999992</v>
      </c>
      <c r="AV106" s="176" t="s">
        <v>163</v>
      </c>
      <c r="AW106" s="177">
        <f>AW24*0.01</f>
        <v>90</v>
      </c>
      <c r="AX106" s="177">
        <f>AW26*0.01</f>
        <v>87.545149999999992</v>
      </c>
      <c r="BE106" s="176" t="s">
        <v>163</v>
      </c>
      <c r="BF106" s="177">
        <f>BF24*0.01</f>
        <v>90</v>
      </c>
      <c r="BG106" s="177">
        <f>BF26*0.01</f>
        <v>87.545149999999992</v>
      </c>
      <c r="BN106" s="176" t="s">
        <v>163</v>
      </c>
      <c r="BO106" s="177">
        <f>BO24*0.01</f>
        <v>90</v>
      </c>
      <c r="BP106" s="177">
        <f>BO26*0.01</f>
        <v>87.545149999999992</v>
      </c>
      <c r="BW106" s="176" t="s">
        <v>163</v>
      </c>
      <c r="BX106" s="177">
        <f>BX24*0.01</f>
        <v>90</v>
      </c>
      <c r="BY106" s="177">
        <f>BX26*0.01</f>
        <v>87.545149999999992</v>
      </c>
      <c r="CF106" s="176" t="s">
        <v>163</v>
      </c>
      <c r="CG106" s="177">
        <f>CG24*0.01</f>
        <v>90</v>
      </c>
      <c r="CH106" s="177">
        <f>CG26*0.01</f>
        <v>87.545149999999992</v>
      </c>
      <c r="CO106" s="176" t="s">
        <v>163</v>
      </c>
      <c r="CP106" s="177">
        <f>CP24*0.01</f>
        <v>90</v>
      </c>
      <c r="CQ106" s="177">
        <f>CP26*0.01</f>
        <v>87.545149999999992</v>
      </c>
      <c r="CX106" s="176" t="s">
        <v>163</v>
      </c>
      <c r="CY106" s="177">
        <f>CY24*0.01</f>
        <v>90</v>
      </c>
      <c r="CZ106" s="177">
        <f>CY26*0.01</f>
        <v>87.545149999999992</v>
      </c>
    </row>
    <row r="107" spans="3:104" ht="30" customHeight="1" x14ac:dyDescent="0.25">
      <c r="C107" s="176" t="s">
        <v>41</v>
      </c>
      <c r="D107" s="177">
        <f>E24*0.01</f>
        <v>180</v>
      </c>
      <c r="E107" s="177">
        <f>E26*0.01</f>
        <v>102.28740000000001</v>
      </c>
      <c r="L107" s="176" t="s">
        <v>41</v>
      </c>
      <c r="M107" s="177">
        <f>N24*0.01</f>
        <v>180</v>
      </c>
      <c r="N107" s="177">
        <f>N26*0.01</f>
        <v>102.28740000000001</v>
      </c>
      <c r="U107" s="176" t="s">
        <v>41</v>
      </c>
      <c r="V107" s="177">
        <f>W24*0.01</f>
        <v>180</v>
      </c>
      <c r="W107" s="177">
        <f>W26*0.01</f>
        <v>102.28740000000001</v>
      </c>
      <c r="AD107" s="176" t="s">
        <v>41</v>
      </c>
      <c r="AE107" s="177">
        <f>AF24*0.01</f>
        <v>180</v>
      </c>
      <c r="AF107" s="177">
        <f>AF26*0.01</f>
        <v>102.28740000000001</v>
      </c>
      <c r="AM107" s="176" t="s">
        <v>41</v>
      </c>
      <c r="AN107" s="177">
        <f>AO24*0.01</f>
        <v>180</v>
      </c>
      <c r="AO107" s="177">
        <f>AO26*0.01</f>
        <v>102.28740000000001</v>
      </c>
      <c r="AV107" s="176" t="s">
        <v>41</v>
      </c>
      <c r="AW107" s="177">
        <f>AX24*0.01</f>
        <v>180</v>
      </c>
      <c r="AX107" s="177">
        <f>AX26*0.01</f>
        <v>102.28740000000001</v>
      </c>
      <c r="BE107" s="176" t="s">
        <v>41</v>
      </c>
      <c r="BF107" s="177">
        <f>BG24*0.01</f>
        <v>180</v>
      </c>
      <c r="BG107" s="177">
        <f>BG26*0.01</f>
        <v>102.28740000000001</v>
      </c>
      <c r="BN107" s="176" t="s">
        <v>41</v>
      </c>
      <c r="BO107" s="177">
        <f>BP24*0.01</f>
        <v>180</v>
      </c>
      <c r="BP107" s="177">
        <f>BP26*0.01</f>
        <v>102.28740000000001</v>
      </c>
      <c r="BW107" s="176" t="s">
        <v>41</v>
      </c>
      <c r="BX107" s="177">
        <f>BY24*0.01</f>
        <v>180</v>
      </c>
      <c r="BY107" s="177">
        <f>BY26*0.01</f>
        <v>102.28740000000001</v>
      </c>
      <c r="CF107" s="176" t="s">
        <v>41</v>
      </c>
      <c r="CG107" s="177">
        <f>CH24*0.01</f>
        <v>180</v>
      </c>
      <c r="CH107" s="177">
        <f>CH26*0.01</f>
        <v>102.28740000000001</v>
      </c>
      <c r="CO107" s="176" t="s">
        <v>41</v>
      </c>
      <c r="CP107" s="177">
        <f>CQ24*0.01</f>
        <v>180</v>
      </c>
      <c r="CQ107" s="177">
        <f>CQ26*0.01</f>
        <v>102.28740000000001</v>
      </c>
      <c r="CX107" s="176" t="s">
        <v>41</v>
      </c>
      <c r="CY107" s="177">
        <f>CZ24*0.01</f>
        <v>180</v>
      </c>
      <c r="CZ107" s="177">
        <f>CZ26*0.01</f>
        <v>102.28740000000001</v>
      </c>
    </row>
    <row r="108" spans="3:104" ht="30" customHeight="1" x14ac:dyDescent="0.25">
      <c r="C108" s="176" t="s">
        <v>42</v>
      </c>
      <c r="D108" s="177">
        <f>F24*0.01</f>
        <v>180</v>
      </c>
      <c r="E108" s="177">
        <f>F26*0.01</f>
        <v>139.7766</v>
      </c>
      <c r="L108" s="176" t="s">
        <v>42</v>
      </c>
      <c r="M108" s="177">
        <f>O24*0.01</f>
        <v>180</v>
      </c>
      <c r="N108" s="177">
        <f>O26*0.01</f>
        <v>139.7766</v>
      </c>
      <c r="U108" s="176" t="s">
        <v>42</v>
      </c>
      <c r="V108" s="177">
        <f>X24*0.01</f>
        <v>180</v>
      </c>
      <c r="W108" s="177">
        <f>X26*0.01</f>
        <v>139.7766</v>
      </c>
      <c r="AD108" s="176" t="s">
        <v>42</v>
      </c>
      <c r="AE108" s="177">
        <f>AG24*0.01</f>
        <v>180</v>
      </c>
      <c r="AF108" s="177">
        <f>AG26*0.01</f>
        <v>139.7766</v>
      </c>
      <c r="AM108" s="176" t="s">
        <v>42</v>
      </c>
      <c r="AN108" s="177">
        <f>AP24*0.01</f>
        <v>180</v>
      </c>
      <c r="AO108" s="177">
        <f>AP26*0.01</f>
        <v>139.7766</v>
      </c>
      <c r="AV108" s="176" t="s">
        <v>42</v>
      </c>
      <c r="AW108" s="177">
        <f>AY24*0.01</f>
        <v>180</v>
      </c>
      <c r="AX108" s="177">
        <f>AY26*0.01</f>
        <v>139.7766</v>
      </c>
      <c r="BE108" s="176" t="s">
        <v>42</v>
      </c>
      <c r="BF108" s="177">
        <f>BH24*0.01</f>
        <v>180</v>
      </c>
      <c r="BG108" s="177">
        <f>BH26*0.01</f>
        <v>139.7766</v>
      </c>
      <c r="BN108" s="176" t="s">
        <v>42</v>
      </c>
      <c r="BO108" s="177">
        <f>BQ24*0.01</f>
        <v>180</v>
      </c>
      <c r="BP108" s="177">
        <f>BQ26*0.01</f>
        <v>139.7766</v>
      </c>
      <c r="BW108" s="176" t="s">
        <v>42</v>
      </c>
      <c r="BX108" s="177">
        <f>BZ24*0.01</f>
        <v>180</v>
      </c>
      <c r="BY108" s="177">
        <f>BZ26*0.01</f>
        <v>139.7766</v>
      </c>
      <c r="CF108" s="176" t="s">
        <v>42</v>
      </c>
      <c r="CG108" s="177">
        <f>CI24*0.01</f>
        <v>180</v>
      </c>
      <c r="CH108" s="177">
        <f>CI26*0.01</f>
        <v>139.7766</v>
      </c>
      <c r="CO108" s="176" t="s">
        <v>42</v>
      </c>
      <c r="CP108" s="177">
        <f>CR24*0.01</f>
        <v>180</v>
      </c>
      <c r="CQ108" s="177">
        <f>CR26*0.01</f>
        <v>139.7766</v>
      </c>
      <c r="CX108" s="176" t="s">
        <v>42</v>
      </c>
      <c r="CY108" s="177">
        <f>DA24*0.01</f>
        <v>180</v>
      </c>
      <c r="CZ108" s="177">
        <f>DA26*0.01</f>
        <v>139.7766</v>
      </c>
    </row>
    <row r="109" spans="3:104" ht="30" customHeight="1" x14ac:dyDescent="0.25">
      <c r="C109" s="176" t="s">
        <v>43</v>
      </c>
      <c r="D109" s="177">
        <f>G24*0.01</f>
        <v>180</v>
      </c>
      <c r="E109" s="177">
        <f>G26*0.01</f>
        <v>131.59165000000004</v>
      </c>
      <c r="L109" s="176" t="s">
        <v>43</v>
      </c>
      <c r="M109" s="177">
        <f>P24*0.01</f>
        <v>180</v>
      </c>
      <c r="N109" s="177">
        <f>P26*0.01</f>
        <v>131.59165000000004</v>
      </c>
      <c r="U109" s="176" t="s">
        <v>43</v>
      </c>
      <c r="V109" s="177">
        <f>Y24*0.01</f>
        <v>180</v>
      </c>
      <c r="W109" s="177">
        <f>Y26*0.01</f>
        <v>131.59165000000004</v>
      </c>
      <c r="AD109" s="176" t="s">
        <v>43</v>
      </c>
      <c r="AE109" s="177">
        <f>AH24*0.01</f>
        <v>180</v>
      </c>
      <c r="AF109" s="177">
        <f>AH26*0.01</f>
        <v>131.59165000000004</v>
      </c>
      <c r="AM109" s="176" t="s">
        <v>43</v>
      </c>
      <c r="AN109" s="177">
        <f>AQ24*0.01</f>
        <v>180</v>
      </c>
      <c r="AO109" s="177">
        <f>AQ26*0.01</f>
        <v>131.59165000000004</v>
      </c>
      <c r="AV109" s="176" t="s">
        <v>43</v>
      </c>
      <c r="AW109" s="177">
        <f>AZ24*0.01</f>
        <v>180</v>
      </c>
      <c r="AX109" s="177">
        <f>AZ26*0.01</f>
        <v>131.59165000000004</v>
      </c>
      <c r="BE109" s="176" t="s">
        <v>43</v>
      </c>
      <c r="BF109" s="177">
        <f>BI24*0.01</f>
        <v>180</v>
      </c>
      <c r="BG109" s="177">
        <f>BI26*0.01</f>
        <v>131.59165000000004</v>
      </c>
      <c r="BN109" s="176" t="s">
        <v>43</v>
      </c>
      <c r="BO109" s="177">
        <f>BR24*0.01</f>
        <v>180</v>
      </c>
      <c r="BP109" s="177">
        <f>BR26*0.01</f>
        <v>131.59165000000004</v>
      </c>
      <c r="BW109" s="176" t="s">
        <v>43</v>
      </c>
      <c r="BX109" s="177">
        <f>CA24*0.01</f>
        <v>180</v>
      </c>
      <c r="BY109" s="177">
        <f>CA26*0.01</f>
        <v>131.59165000000004</v>
      </c>
      <c r="CF109" s="176" t="s">
        <v>43</v>
      </c>
      <c r="CG109" s="177">
        <f>CJ24*0.01</f>
        <v>180</v>
      </c>
      <c r="CH109" s="177">
        <f>CJ26*0.01</f>
        <v>131.59165000000004</v>
      </c>
      <c r="CO109" s="176" t="s">
        <v>43</v>
      </c>
      <c r="CP109" s="177">
        <f>CS24*0.01</f>
        <v>180</v>
      </c>
      <c r="CQ109" s="177">
        <f>CS26*0.01</f>
        <v>131.59165000000004</v>
      </c>
      <c r="CX109" s="176" t="s">
        <v>43</v>
      </c>
      <c r="CY109" s="177">
        <f>DB24*0.01</f>
        <v>180</v>
      </c>
      <c r="CZ109" s="177">
        <f>DB26*0.01</f>
        <v>131.59165000000004</v>
      </c>
    </row>
    <row r="110" spans="3:104" ht="30" customHeight="1" x14ac:dyDescent="0.25">
      <c r="C110" s="176" t="s">
        <v>49</v>
      </c>
      <c r="D110" s="177">
        <f>H24*0.01</f>
        <v>180</v>
      </c>
      <c r="E110" s="177">
        <f>H26*0.01</f>
        <v>64.399600000000007</v>
      </c>
      <c r="L110" s="176" t="s">
        <v>49</v>
      </c>
      <c r="M110" s="177">
        <f>Q24*0.01</f>
        <v>180</v>
      </c>
      <c r="N110" s="177">
        <f>Q26*0.01</f>
        <v>64.399600000000007</v>
      </c>
      <c r="U110" s="176" t="s">
        <v>49</v>
      </c>
      <c r="V110" s="177">
        <f>Z24*0.01</f>
        <v>180</v>
      </c>
      <c r="W110" s="177">
        <f>Z26*0.01</f>
        <v>64.399600000000007</v>
      </c>
      <c r="AD110" s="176" t="s">
        <v>49</v>
      </c>
      <c r="AE110" s="177">
        <f>AI24*0.01</f>
        <v>180</v>
      </c>
      <c r="AF110" s="177">
        <f>AI26*0.01</f>
        <v>64.399600000000007</v>
      </c>
      <c r="AM110" s="176" t="s">
        <v>49</v>
      </c>
      <c r="AN110" s="177">
        <f>AR24*0.01</f>
        <v>180</v>
      </c>
      <c r="AO110" s="177">
        <f>AR26*0.01</f>
        <v>64.399600000000007</v>
      </c>
      <c r="AV110" s="176" t="s">
        <v>49</v>
      </c>
      <c r="AW110" s="177">
        <f>BA24*0.01</f>
        <v>180</v>
      </c>
      <c r="AX110" s="177">
        <f>BA26*0.01</f>
        <v>64.399600000000007</v>
      </c>
      <c r="BE110" s="176" t="s">
        <v>49</v>
      </c>
      <c r="BF110" s="177">
        <f>BJ24*0.01</f>
        <v>180</v>
      </c>
      <c r="BG110" s="177">
        <f>BJ26*0.01</f>
        <v>64.399600000000007</v>
      </c>
      <c r="BN110" s="176" t="s">
        <v>49</v>
      </c>
      <c r="BO110" s="177">
        <f>BS24*0.01</f>
        <v>180</v>
      </c>
      <c r="BP110" s="177">
        <f>BS26*0.01</f>
        <v>64.399600000000007</v>
      </c>
      <c r="BW110" s="176" t="s">
        <v>49</v>
      </c>
      <c r="BX110" s="177">
        <f>CB24*0.01</f>
        <v>180</v>
      </c>
      <c r="BY110" s="177">
        <f>CB26*0.01</f>
        <v>64.399600000000007</v>
      </c>
      <c r="CF110" s="176" t="s">
        <v>49</v>
      </c>
      <c r="CG110" s="177">
        <f>CK24*0.01</f>
        <v>180</v>
      </c>
      <c r="CH110" s="177">
        <f>CK26*0.01</f>
        <v>64.399600000000007</v>
      </c>
      <c r="CO110" s="176" t="s">
        <v>49</v>
      </c>
      <c r="CP110" s="177">
        <f>CT24*0.01</f>
        <v>180</v>
      </c>
      <c r="CQ110" s="177">
        <f>CT26*0.01</f>
        <v>64.399600000000007</v>
      </c>
      <c r="CX110" s="176" t="s">
        <v>49</v>
      </c>
      <c r="CY110" s="177">
        <f>DC24*0.01</f>
        <v>180</v>
      </c>
      <c r="CZ110" s="177">
        <f>DC26*0.01</f>
        <v>64.399600000000007</v>
      </c>
    </row>
    <row r="111" spans="3:104" ht="30" customHeight="1" x14ac:dyDescent="0.25"/>
    <row r="112" spans="3:104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</sheetData>
  <mergeCells count="11">
    <mergeCell ref="BM2:BS2"/>
    <mergeCell ref="BV2:CB2"/>
    <mergeCell ref="CE2:CK2"/>
    <mergeCell ref="CN2:CT2"/>
    <mergeCell ref="CW2:DC2"/>
    <mergeCell ref="BD2:BJ2"/>
    <mergeCell ref="B2:H2"/>
    <mergeCell ref="K2:Q2"/>
    <mergeCell ref="T2:Z2"/>
    <mergeCell ref="AC2:AI2"/>
    <mergeCell ref="AU2:BA2"/>
  </mergeCells>
  <phoneticPr fontId="5" type="noConversion"/>
  <printOptions horizontalCentered="1"/>
  <pageMargins left="0.25" right="0.25" top="0.75" bottom="0.75" header="0.3" footer="0.3"/>
  <pageSetup paperSize="9" scale="35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3"/>
  <sheetViews>
    <sheetView zoomScale="85" zoomScaleNormal="85" workbookViewId="0">
      <pane xSplit="13" ySplit="19" topLeftCell="N83" activePane="bottomRight" state="frozen"/>
      <selection activeCell="E20" sqref="E20"/>
      <selection pane="topRight" activeCell="E20" sqref="E20"/>
      <selection pane="bottomLeft" activeCell="E20" sqref="E20"/>
      <selection pane="bottomRight" activeCell="H96" sqref="H96"/>
    </sheetView>
  </sheetViews>
  <sheetFormatPr defaultRowHeight="13.5" x14ac:dyDescent="0.25"/>
  <cols>
    <col min="1" max="1" width="3.7109375" customWidth="1"/>
    <col min="2" max="3" width="5.7109375" customWidth="1"/>
    <col min="4" max="4" width="12.85546875" customWidth="1"/>
    <col min="5" max="5" width="14.85546875" customWidth="1"/>
    <col min="6" max="19" width="13.7109375" customWidth="1"/>
    <col min="20" max="20" width="14.140625" customWidth="1"/>
    <col min="21" max="21" width="15.140625" customWidth="1"/>
    <col min="22" max="22" width="12.7109375" customWidth="1"/>
  </cols>
  <sheetData>
    <row r="1" spans="4:23" ht="21.75" customHeight="1" x14ac:dyDescent="0.25">
      <c r="L1" s="296">
        <v>130000</v>
      </c>
    </row>
    <row r="2" spans="4:23" ht="18" thickBot="1" x14ac:dyDescent="0.3">
      <c r="D2" s="28" t="s">
        <v>191</v>
      </c>
      <c r="E2" s="28"/>
      <c r="F2" s="238">
        <f>(E10+F10)/(E4+F4)</f>
        <v>0.70694928571428572</v>
      </c>
      <c r="G2" s="238"/>
      <c r="H2" s="238"/>
      <c r="I2" s="238"/>
      <c r="J2" s="238"/>
      <c r="K2" s="238"/>
      <c r="L2" s="297">
        <f>SUM(E10:L10)</f>
        <v>57854.380000000005</v>
      </c>
      <c r="M2" s="238"/>
      <c r="N2" s="238"/>
      <c r="O2" s="28"/>
      <c r="P2" s="28"/>
      <c r="Q2" s="28"/>
      <c r="R2" s="30"/>
      <c r="S2" s="29"/>
    </row>
    <row r="3" spans="4:23" ht="27" thickBot="1" x14ac:dyDescent="0.3">
      <c r="D3" s="27" t="s">
        <v>6</v>
      </c>
      <c r="E3" s="44" t="s">
        <v>7</v>
      </c>
      <c r="F3" s="4" t="s">
        <v>8</v>
      </c>
      <c r="G3" s="1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2" t="s">
        <v>3</v>
      </c>
      <c r="R3" s="40" t="s">
        <v>47</v>
      </c>
      <c r="T3" s="3"/>
      <c r="U3" t="s">
        <v>1159</v>
      </c>
      <c r="V3" t="s">
        <v>1158</v>
      </c>
    </row>
    <row r="4" spans="4:23" ht="21" customHeight="1" thickTop="1" x14ac:dyDescent="0.25">
      <c r="D4" s="173" t="s">
        <v>153</v>
      </c>
      <c r="E4" s="245">
        <f>SUM(E5:E7)</f>
        <v>13000</v>
      </c>
      <c r="F4" s="245">
        <f t="shared" ref="F4:K4" si="0">SUM(F5:F7)</f>
        <v>8000</v>
      </c>
      <c r="G4" s="245">
        <f t="shared" si="0"/>
        <v>9000</v>
      </c>
      <c r="H4" s="245">
        <f t="shared" si="0"/>
        <v>12000</v>
      </c>
      <c r="I4" s="245">
        <f t="shared" si="0"/>
        <v>14000</v>
      </c>
      <c r="J4" s="245">
        <f t="shared" si="0"/>
        <v>9000</v>
      </c>
      <c r="K4" s="245">
        <f t="shared" si="0"/>
        <v>9000</v>
      </c>
      <c r="L4" s="245">
        <v>9000</v>
      </c>
      <c r="M4" s="245">
        <v>18000</v>
      </c>
      <c r="N4" s="245">
        <v>18000</v>
      </c>
      <c r="O4" s="245">
        <v>18000</v>
      </c>
      <c r="P4" s="245">
        <v>18000</v>
      </c>
      <c r="Q4" s="174">
        <v>130000</v>
      </c>
      <c r="R4" s="7" t="s">
        <v>1160</v>
      </c>
      <c r="T4" s="3"/>
      <c r="U4" s="294">
        <f t="shared" ref="Q4:U13" si="1">SUM(I4:T4)</f>
        <v>243000</v>
      </c>
      <c r="V4" s="294">
        <f>SUM(V5:V7)</f>
        <v>130000</v>
      </c>
    </row>
    <row r="5" spans="4:23" ht="21" customHeight="1" x14ac:dyDescent="0.25">
      <c r="D5" s="239" t="s">
        <v>155</v>
      </c>
      <c r="E5" s="240">
        <v>6500</v>
      </c>
      <c r="F5" s="240">
        <v>4000</v>
      </c>
      <c r="G5" s="240">
        <v>4500</v>
      </c>
      <c r="H5" s="240">
        <v>6500</v>
      </c>
      <c r="I5" s="240">
        <v>8000</v>
      </c>
      <c r="J5" s="240">
        <v>4500</v>
      </c>
      <c r="K5" s="240">
        <v>4500</v>
      </c>
      <c r="L5" s="240">
        <v>10000</v>
      </c>
      <c r="M5" s="240">
        <f>ROUND(M4*$W$5,-2)</f>
        <v>11100</v>
      </c>
      <c r="N5" s="240">
        <f t="shared" ref="N5:P5" si="2">ROUND(N4*$W$5,-2)</f>
        <v>11100</v>
      </c>
      <c r="O5" s="240">
        <f t="shared" si="2"/>
        <v>11100</v>
      </c>
      <c r="P5" s="240">
        <f t="shared" si="2"/>
        <v>11100</v>
      </c>
      <c r="Q5" s="243">
        <f>SUM(E5:P5)</f>
        <v>92900</v>
      </c>
      <c r="R5" s="7" t="s">
        <v>1161</v>
      </c>
      <c r="T5" s="3"/>
      <c r="U5" s="294">
        <v>70000</v>
      </c>
      <c r="V5" s="294">
        <v>80000</v>
      </c>
      <c r="W5" s="293">
        <f>V5/$V$4</f>
        <v>0.61538461538461542</v>
      </c>
    </row>
    <row r="6" spans="4:23" ht="21" customHeight="1" x14ac:dyDescent="0.25">
      <c r="D6" s="239" t="s">
        <v>157</v>
      </c>
      <c r="E6" s="240">
        <v>5000</v>
      </c>
      <c r="F6" s="240">
        <v>2500</v>
      </c>
      <c r="G6" s="240">
        <v>3000</v>
      </c>
      <c r="H6" s="240">
        <v>4000</v>
      </c>
      <c r="I6" s="240">
        <v>4000</v>
      </c>
      <c r="J6" s="240">
        <v>2500</v>
      </c>
      <c r="K6" s="240">
        <v>2500</v>
      </c>
      <c r="L6" s="240">
        <v>2600</v>
      </c>
      <c r="M6" s="240">
        <f>ROUND(M4*$W$6,-2)</f>
        <v>2800</v>
      </c>
      <c r="N6" s="240">
        <f t="shared" ref="N6:P6" si="3">ROUND(N4*$W$6,-2)</f>
        <v>2800</v>
      </c>
      <c r="O6" s="240">
        <f t="shared" si="3"/>
        <v>2800</v>
      </c>
      <c r="P6" s="240">
        <f t="shared" si="3"/>
        <v>2800</v>
      </c>
      <c r="Q6" s="243">
        <f>SUM(L6:P6)</f>
        <v>13800</v>
      </c>
      <c r="T6" s="3"/>
      <c r="U6" s="294">
        <v>40000</v>
      </c>
      <c r="V6" s="294">
        <v>20000</v>
      </c>
      <c r="W6" s="293">
        <f>V6/$V$4</f>
        <v>0.15384615384615385</v>
      </c>
    </row>
    <row r="7" spans="4:23" ht="21" customHeight="1" thickBot="1" x14ac:dyDescent="0.3">
      <c r="D7" s="241" t="s">
        <v>156</v>
      </c>
      <c r="E7" s="242">
        <v>1500</v>
      </c>
      <c r="F7" s="242">
        <v>1500</v>
      </c>
      <c r="G7" s="242">
        <v>1500</v>
      </c>
      <c r="H7" s="242">
        <v>1500</v>
      </c>
      <c r="I7" s="242">
        <v>2000</v>
      </c>
      <c r="J7" s="242">
        <v>2000</v>
      </c>
      <c r="K7" s="242">
        <v>2000</v>
      </c>
      <c r="L7" s="240">
        <v>3000</v>
      </c>
      <c r="M7" s="240">
        <f>ROUND(M4*$W$7,-2)</f>
        <v>4200</v>
      </c>
      <c r="N7" s="240">
        <f t="shared" ref="N7:P7" si="4">ROUND(N4*$W$7,-2)</f>
        <v>4200</v>
      </c>
      <c r="O7" s="240">
        <f t="shared" si="4"/>
        <v>4200</v>
      </c>
      <c r="P7" s="240">
        <f t="shared" si="4"/>
        <v>4200</v>
      </c>
      <c r="Q7" s="243">
        <f>SUM(L7:P7)</f>
        <v>19800</v>
      </c>
      <c r="T7" s="3"/>
      <c r="U7" s="294">
        <v>20000</v>
      </c>
      <c r="V7" s="294">
        <v>30000</v>
      </c>
      <c r="W7" s="293">
        <f>V7/$V$4</f>
        <v>0.23076923076923078</v>
      </c>
    </row>
    <row r="8" spans="4:23" ht="21" customHeight="1" thickBot="1" x14ac:dyDescent="0.3">
      <c r="D8" s="410" t="s">
        <v>154</v>
      </c>
      <c r="E8" s="261">
        <f t="shared" ref="E8:P8" si="5">IF(OR(E10="", E4="", E4=0), "", E10/E4)</f>
        <v>0.28483269230769231</v>
      </c>
      <c r="F8" s="261">
        <f t="shared" si="5"/>
        <v>1.39288875</v>
      </c>
      <c r="G8" s="261">
        <f t="shared" si="5"/>
        <v>0.3799305555555556</v>
      </c>
      <c r="H8" s="261">
        <f t="shared" si="5"/>
        <v>0.43360458333333329</v>
      </c>
      <c r="I8" s="261">
        <f t="shared" si="5"/>
        <v>0.64756714285714279</v>
      </c>
      <c r="J8" s="261">
        <f t="shared" si="5"/>
        <v>1.1183911111111111</v>
      </c>
      <c r="K8" s="261">
        <f t="shared" si="5"/>
        <v>0.72220444444444443</v>
      </c>
      <c r="L8" s="261">
        <f t="shared" si="5"/>
        <v>0.97272388888888883</v>
      </c>
      <c r="M8" s="261">
        <f t="shared" si="5"/>
        <v>0.56826333333333334</v>
      </c>
      <c r="N8" s="261">
        <f t="shared" si="5"/>
        <v>0.77653666666666665</v>
      </c>
      <c r="O8" s="261">
        <f t="shared" si="5"/>
        <v>0.73106472222222252</v>
      </c>
      <c r="P8" s="261">
        <f t="shared" si="5"/>
        <v>0.35777555555555557</v>
      </c>
      <c r="Q8" s="262">
        <f>IF(OR(Q10="", Q4="", Q4=0), "", Q10/Q4)</f>
        <v>0.78199926923076946</v>
      </c>
      <c r="S8" s="171"/>
    </row>
    <row r="9" spans="4:23" ht="21" customHeight="1" thickTop="1" thickBot="1" x14ac:dyDescent="0.3">
      <c r="D9" s="411"/>
      <c r="E9" s="263">
        <f>E10/E4</f>
        <v>0.28483269230769231</v>
      </c>
      <c r="F9" s="264">
        <f>(E10+F10)/(E4+F4)</f>
        <v>0.70694928571428572</v>
      </c>
      <c r="G9" s="264">
        <f>(E10+F10+G10)/(E4+F4+G4)</f>
        <v>0.60884366666666667</v>
      </c>
      <c r="H9" s="264">
        <f>(E10+F10+G10+H10)/(E4+F4+G4+H4)</f>
        <v>0.5587753571428572</v>
      </c>
      <c r="I9" s="264">
        <f>(E10+F10+G10+H10+I10)/(E4+F4+G4+H4+I4)</f>
        <v>0.58097330357142862</v>
      </c>
      <c r="J9" s="264">
        <f>IF(SUM(E4:J4)=0, "", SUM(E10:J10)/SUM(E4:J4))</f>
        <v>0.655385</v>
      </c>
      <c r="K9" s="264">
        <f>IF(SUM(E4:K4)=0, "", SUM(E10:K10)/SUM(E4:K4))</f>
        <v>0.66351168918918924</v>
      </c>
      <c r="L9" s="264">
        <f>IF(SUM(E4:L4)=0, "", SUM(E10:L10)/SUM(E4:L4))</f>
        <v>0.69704072289156627</v>
      </c>
      <c r="M9" s="264">
        <f>IF(SUM(E4:M4)=0, "", SUM(E10:M10)/SUM(E4:M4))</f>
        <v>0.67409029702970302</v>
      </c>
      <c r="N9" s="264">
        <f>IF(SUM(E4:N4)=0, "", SUM(E10:N10)/SUM(E4:N4))</f>
        <v>0.68958638655462201</v>
      </c>
      <c r="O9" s="264">
        <f>IF(SUM(E4:O4)=0, "", SUM(E10:O10)/SUM(E4:O4))</f>
        <v>0.6950360948905111</v>
      </c>
      <c r="P9" s="264">
        <f>IF(SUM(E4:P4)=0, "", SUM(E10:P10)/SUM(E4:P4))</f>
        <v>0.65587035483870981</v>
      </c>
      <c r="Q9" s="265"/>
    </row>
    <row r="10" spans="4:23" ht="21" customHeight="1" x14ac:dyDescent="0.25">
      <c r="D10" s="244" t="s">
        <v>40</v>
      </c>
      <c r="E10" s="246">
        <f>E25</f>
        <v>3702.8250000000003</v>
      </c>
      <c r="F10" s="246">
        <f>E31</f>
        <v>11143.11</v>
      </c>
      <c r="G10" s="246">
        <f>E37</f>
        <v>3419.3750000000005</v>
      </c>
      <c r="H10" s="246">
        <f>E43</f>
        <v>5203.2549999999992</v>
      </c>
      <c r="I10" s="246">
        <f>E49</f>
        <v>9065.9399999999987</v>
      </c>
      <c r="J10" s="246">
        <f>E55</f>
        <v>10065.52</v>
      </c>
      <c r="K10" s="246">
        <f>E61</f>
        <v>6499.84</v>
      </c>
      <c r="L10" s="246">
        <f>E67</f>
        <v>8754.5149999999994</v>
      </c>
      <c r="M10" s="246">
        <f>E73</f>
        <v>10228.74</v>
      </c>
      <c r="N10" s="246">
        <f>E79</f>
        <v>13977.66</v>
      </c>
      <c r="O10" s="246">
        <f>E85</f>
        <v>13159.165000000005</v>
      </c>
      <c r="P10" s="246">
        <f>E91</f>
        <v>6439.96</v>
      </c>
      <c r="Q10" s="247">
        <f>SUM(E10:P10)</f>
        <v>101659.90500000003</v>
      </c>
      <c r="S10" s="295"/>
    </row>
    <row r="11" spans="4:23" ht="21" customHeight="1" x14ac:dyDescent="0.25">
      <c r="D11" s="248" t="s">
        <v>155</v>
      </c>
      <c r="E11" s="249">
        <f>F25</f>
        <v>2646.5349999999999</v>
      </c>
      <c r="F11" s="249">
        <f>F31</f>
        <v>3691.7649999999994</v>
      </c>
      <c r="G11" s="249">
        <f>F37</f>
        <v>3204.335</v>
      </c>
      <c r="H11" s="249">
        <f>F43</f>
        <v>3982.1350000000002</v>
      </c>
      <c r="I11" s="249">
        <f>F49</f>
        <v>5687.04</v>
      </c>
      <c r="J11" s="249">
        <f>F55</f>
        <v>6367.36</v>
      </c>
      <c r="K11" s="249">
        <f>F61</f>
        <v>4316.16</v>
      </c>
      <c r="L11" s="249">
        <f>F67</f>
        <v>4455.415</v>
      </c>
      <c r="M11" s="249">
        <f>F73</f>
        <v>7264</v>
      </c>
      <c r="N11" s="249">
        <f>F79</f>
        <v>6791.74</v>
      </c>
      <c r="O11" s="249">
        <f>F85</f>
        <v>7888.56</v>
      </c>
      <c r="P11" s="249">
        <f>F91</f>
        <v>2939.7849999999999</v>
      </c>
      <c r="Q11" s="250">
        <f t="shared" si="1"/>
        <v>59234.829999999987</v>
      </c>
      <c r="R11" s="3"/>
      <c r="S11" s="178"/>
    </row>
    <row r="12" spans="4:23" ht="21" customHeight="1" x14ac:dyDescent="0.25">
      <c r="D12" s="248" t="s">
        <v>157</v>
      </c>
      <c r="E12" s="249">
        <f>G25</f>
        <v>1056.29</v>
      </c>
      <c r="F12" s="249">
        <f>G31</f>
        <v>1027.8400000000001</v>
      </c>
      <c r="G12" s="249">
        <f>G37</f>
        <v>215.04000000000002</v>
      </c>
      <c r="H12" s="249">
        <f>G43</f>
        <v>291.20000000000005</v>
      </c>
      <c r="I12" s="249">
        <f>G49</f>
        <v>1120</v>
      </c>
      <c r="J12" s="249">
        <f>G55</f>
        <v>1168.52</v>
      </c>
      <c r="K12" s="249">
        <f>G61</f>
        <v>2183.6800000000003</v>
      </c>
      <c r="L12" s="249">
        <f>G67</f>
        <v>1982.08</v>
      </c>
      <c r="M12" s="249">
        <f>G73</f>
        <v>2438.66</v>
      </c>
      <c r="N12" s="249">
        <f>G79</f>
        <v>2999.68</v>
      </c>
      <c r="O12" s="249">
        <f>G85</f>
        <v>2137.8050000000003</v>
      </c>
      <c r="P12" s="249">
        <f>G91</f>
        <v>1877.7750000000001</v>
      </c>
      <c r="Q12" s="250">
        <f t="shared" si="1"/>
        <v>18498.57</v>
      </c>
      <c r="R12" s="3"/>
      <c r="S12" s="178"/>
    </row>
    <row r="13" spans="4:23" ht="21" customHeight="1" thickBot="1" x14ac:dyDescent="0.3">
      <c r="D13" s="251" t="s">
        <v>156</v>
      </c>
      <c r="E13" s="252">
        <f>H25</f>
        <v>0</v>
      </c>
      <c r="F13" s="252">
        <f>H31</f>
        <v>6423.5050000000001</v>
      </c>
      <c r="G13" s="252">
        <f>H37</f>
        <v>0</v>
      </c>
      <c r="H13" s="252">
        <f>H43</f>
        <v>929.92</v>
      </c>
      <c r="I13" s="252">
        <f>H49</f>
        <v>2258.9</v>
      </c>
      <c r="J13" s="252">
        <f>H55</f>
        <v>2529.64</v>
      </c>
      <c r="K13" s="252">
        <f>H61</f>
        <v>0</v>
      </c>
      <c r="L13" s="252">
        <f>H67</f>
        <v>2317.02</v>
      </c>
      <c r="M13" s="252">
        <f>H73</f>
        <v>526.07999999999993</v>
      </c>
      <c r="N13" s="252">
        <f>H79</f>
        <v>4186.24</v>
      </c>
      <c r="O13" s="252">
        <f>H85</f>
        <v>3132.8</v>
      </c>
      <c r="P13" s="252">
        <f>H91</f>
        <v>1622.3999999999999</v>
      </c>
      <c r="Q13" s="253">
        <f t="shared" si="1"/>
        <v>23926.505000000001</v>
      </c>
      <c r="R13" s="3" t="s">
        <v>138</v>
      </c>
      <c r="S13" s="178" t="s">
        <v>177</v>
      </c>
    </row>
    <row r="14" spans="4:23" ht="21" customHeight="1" x14ac:dyDescent="0.25">
      <c r="D14" s="248" t="s">
        <v>19</v>
      </c>
      <c r="E14" s="257">
        <f>J25</f>
        <v>11</v>
      </c>
      <c r="F14" s="258">
        <f>J31</f>
        <v>20</v>
      </c>
      <c r="G14" s="257">
        <f>J37</f>
        <v>14</v>
      </c>
      <c r="H14" s="258">
        <f>J43</f>
        <v>21</v>
      </c>
      <c r="I14" s="257">
        <f>J49</f>
        <v>26</v>
      </c>
      <c r="J14" s="258">
        <f>J55</f>
        <v>27</v>
      </c>
      <c r="K14" s="257">
        <f>J61</f>
        <v>26</v>
      </c>
      <c r="L14" s="258">
        <f>J67</f>
        <v>27</v>
      </c>
      <c r="M14" s="257">
        <f>J73</f>
        <v>39</v>
      </c>
      <c r="N14" s="258">
        <f>J79</f>
        <v>47</v>
      </c>
      <c r="O14" s="257">
        <f>J85</f>
        <v>37</v>
      </c>
      <c r="P14" s="258">
        <f>J91</f>
        <v>22</v>
      </c>
      <c r="Q14" s="254">
        <f>SUM(E14:P14)</f>
        <v>317</v>
      </c>
      <c r="R14" s="3" t="s">
        <v>138</v>
      </c>
      <c r="S14" s="7" t="s">
        <v>178</v>
      </c>
      <c r="U14" s="79"/>
    </row>
    <row r="15" spans="4:23" ht="21" customHeight="1" thickBot="1" x14ac:dyDescent="0.3">
      <c r="D15" s="255" t="s">
        <v>34</v>
      </c>
      <c r="E15" s="259">
        <f>O25</f>
        <v>33.933000000000007</v>
      </c>
      <c r="F15" s="259">
        <f>O31</f>
        <v>94.954000000000008</v>
      </c>
      <c r="G15" s="259">
        <f>O37</f>
        <v>28.767200000000003</v>
      </c>
      <c r="H15" s="259">
        <f>O43</f>
        <v>48.584000000000003</v>
      </c>
      <c r="I15" s="259">
        <f>O49</f>
        <v>88.63900000000001</v>
      </c>
      <c r="J15" s="259">
        <f>O55</f>
        <v>56.092090909090913</v>
      </c>
      <c r="K15" s="259">
        <f>O61</f>
        <v>41.120000000000005</v>
      </c>
      <c r="L15" s="259">
        <f>O67</f>
        <v>84.619</v>
      </c>
      <c r="M15" s="259">
        <f>O73</f>
        <v>92.694999999999993</v>
      </c>
      <c r="N15" s="259">
        <f>O79</f>
        <v>135.08089027</v>
      </c>
      <c r="O15" s="259">
        <f>O85</f>
        <v>135.1148</v>
      </c>
      <c r="P15" s="259">
        <f>O91</f>
        <v>61.540000000000006</v>
      </c>
      <c r="Q15" s="256">
        <f>SUM(E15:P15)</f>
        <v>901.13898117909093</v>
      </c>
      <c r="R15" s="3" t="s">
        <v>139</v>
      </c>
      <c r="U15" s="80"/>
    </row>
    <row r="16" spans="4:23" x14ac:dyDescent="0.25">
      <c r="H16" s="5"/>
      <c r="I16" s="5"/>
      <c r="J16" s="5"/>
      <c r="K16" s="3"/>
      <c r="L16" s="3"/>
      <c r="M16" s="5"/>
      <c r="N16" s="5"/>
      <c r="O16" s="5"/>
      <c r="P16" s="5"/>
      <c r="Q16" s="5"/>
      <c r="R16" s="5"/>
      <c r="S16" s="5"/>
    </row>
    <row r="17" spans="1:23" ht="14.25" thickBot="1" x14ac:dyDescent="0.3">
      <c r="H17" s="5"/>
      <c r="I17" s="5"/>
      <c r="J17" s="5"/>
      <c r="K17" s="3"/>
      <c r="L17" s="3"/>
      <c r="M17" s="5"/>
      <c r="N17" s="5"/>
      <c r="O17" s="5"/>
      <c r="P17" s="5"/>
      <c r="Q17" s="5"/>
      <c r="R17" s="5"/>
      <c r="S17" s="5"/>
    </row>
    <row r="18" spans="1:23" ht="24.95" customHeight="1" thickBot="1" x14ac:dyDescent="0.3">
      <c r="B18" s="412" t="s">
        <v>3</v>
      </c>
      <c r="C18" s="413"/>
      <c r="D18" s="413"/>
      <c r="E18" s="413"/>
      <c r="F18" s="413"/>
      <c r="G18" s="413"/>
      <c r="H18" s="413"/>
      <c r="I18" s="413"/>
      <c r="J18" s="413"/>
      <c r="K18" s="413"/>
      <c r="L18" s="413"/>
      <c r="M18" s="413"/>
      <c r="N18" s="413"/>
      <c r="O18" s="413"/>
      <c r="P18" s="413"/>
      <c r="Q18" s="413"/>
      <c r="R18" s="413"/>
      <c r="S18" s="414"/>
    </row>
    <row r="19" spans="1:23" ht="42" thickTop="1" thickBot="1" x14ac:dyDescent="0.3">
      <c r="B19" s="420" t="s">
        <v>132</v>
      </c>
      <c r="C19" s="421"/>
      <c r="D19" s="138" t="s">
        <v>1</v>
      </c>
      <c r="E19" s="136" t="s">
        <v>133</v>
      </c>
      <c r="F19" s="76" t="s">
        <v>102</v>
      </c>
      <c r="G19" s="76" t="s">
        <v>101</v>
      </c>
      <c r="H19" s="76" t="s">
        <v>103</v>
      </c>
      <c r="I19" s="137" t="s">
        <v>104</v>
      </c>
      <c r="J19" s="132" t="s">
        <v>134</v>
      </c>
      <c r="K19" s="77" t="s">
        <v>102</v>
      </c>
      <c r="L19" s="77" t="s">
        <v>101</v>
      </c>
      <c r="M19" s="77" t="s">
        <v>103</v>
      </c>
      <c r="N19" s="133" t="s">
        <v>104</v>
      </c>
      <c r="O19" s="131" t="s">
        <v>135</v>
      </c>
      <c r="P19" s="78" t="s">
        <v>102</v>
      </c>
      <c r="Q19" s="78" t="s">
        <v>101</v>
      </c>
      <c r="R19" s="78" t="s">
        <v>103</v>
      </c>
      <c r="S19" s="150" t="s">
        <v>104</v>
      </c>
      <c r="U19" s="151"/>
      <c r="V19" s="152" t="s">
        <v>344</v>
      </c>
      <c r="W19" s="153"/>
    </row>
    <row r="20" spans="1:23" x14ac:dyDescent="0.25">
      <c r="A20">
        <v>1</v>
      </c>
      <c r="B20" s="415">
        <v>1</v>
      </c>
      <c r="C20" s="94">
        <v>1</v>
      </c>
      <c r="D20" s="100" t="s">
        <v>105</v>
      </c>
      <c r="E20" s="41">
        <f>'발전사업(A)'!AD3 + '자가소비(B)'!AD3 + 'PPA 사업(C)'!AD3 + '리스사업(D)'!AD3 + '임대사업(E)'!AD3 + '환경부사업(F)'!AD3 + '프로젝트(G)'!AD3 + '협력사 EPC(H)'!AD3 + '기타(Z)'!AD3</f>
        <v>1401.915</v>
      </c>
      <c r="F20" s="41">
        <f>'발전사업(A)'!AE3 + '자가소비(B)'!AE3 + 'PPA 사업(C)'!AE3 + '리스사업(D)'!AE3 + '임대사업(E)'!AE3 + '환경부사업(F)'!AE3 + '프로젝트(G)'!AE3 + '협력사 EPC(H)'!AE3 + '기타(Z)'!AE3</f>
        <v>1253.4349999999999</v>
      </c>
      <c r="G20" s="41">
        <f>'발전사업(A)'!AF3 + '자가소비(B)'!AF3 + 'PPA 사업(C)'!AF3 + '리스사업(D)'!AF3 + '임대사업(E)'!AF3 + '환경부사업(F)'!AF3 + '프로젝트(G)'!AF3 + '협력사 EPC(H)'!AF3 + '기타(Z)'!AF3</f>
        <v>148.47999999999999</v>
      </c>
      <c r="H20" s="41">
        <f>'발전사업(A)'!AG3 + '자가소비(B)'!AG3 + 'PPA 사업(C)'!AG3 + '리스사업(D)'!AG3 + '임대사업(E)'!AG3 + '환경부사업(F)'!AG3 + '프로젝트(G)'!AG3 + '협력사 EPC(H)'!AG3 + '기타(Z)'!AG3</f>
        <v>0</v>
      </c>
      <c r="I20" s="130">
        <f>'발전사업(A)'!AH3 + '자가소비(B)'!AH3 + 'PPA 사업(C)'!AH3 + '리스사업(D)'!AH3 + '임대사업(E)'!AH3 + '환경부사업(F)'!AH3 + '프로젝트(G)'!AH3 + '협력사 EPC(H)'!AH3 + '기타(Z)'!AH3</f>
        <v>0</v>
      </c>
      <c r="J20" s="120">
        <f>'발전사업(A)'!AI3 + '자가소비(B)'!AI3 + 'PPA 사업(C)'!AI3 + '리스사업(D)'!AI3 + '임대사업(E)'!AI3 + '환경부사업(F)'!AI3 + '프로젝트(G)'!AI3 + '협력사 EPC(H)'!AI3 + '기타(Z)'!AI3</f>
        <v>4</v>
      </c>
      <c r="K20" s="188">
        <f>'발전사업(A)'!AJ3 + '자가소비(B)'!AJ3 + 'PPA 사업(C)'!AJ3 + '리스사업(D)'!AJ3 + '임대사업(E)'!AJ3 + '환경부사업(F)'!AJ3 + '프로젝트(G)'!AJ3 + '협력사 EPC(H)'!AJ3 + '기타(Z)'!AJ3</f>
        <v>3</v>
      </c>
      <c r="L20" s="188">
        <f>'발전사업(A)'!AK3 + '자가소비(B)'!AK3 + 'PPA 사업(C)'!AK3 + '리스사업(D)'!AK3 + '임대사업(E)'!AK3 + '환경부사업(F)'!AK3 + '프로젝트(G)'!AK3 + '협력사 EPC(H)'!AK3 + '기타(Z)'!AK3</f>
        <v>1</v>
      </c>
      <c r="M20" s="188">
        <f>'발전사업(A)'!AL3 + '자가소비(B)'!AL3 + 'PPA 사업(C)'!AL3 + '리스사업(D)'!AL3 + '임대사업(E)'!AL3 + '환경부사업(F)'!AL3 + '프로젝트(G)'!AL3 + '협력사 EPC(H)'!AL3 + '기타(Z)'!AL3</f>
        <v>0</v>
      </c>
      <c r="N20" s="189">
        <f>'발전사업(A)'!AM3 + '자가소비(B)'!AM3 + 'PPA 사업(C)'!AM3 + '리스사업(D)'!AM3 + '임대사업(E)'!AM3 + '환경부사업(F)'!AM3 + '프로젝트(G)'!AM3 + '협력사 EPC(H)'!AM3 + '기타(Z)'!AM3</f>
        <v>0</v>
      </c>
      <c r="O20" s="41">
        <f>'발전사업(A)'!AN3 + '자가소비(B)'!AN3 + 'PPA 사업(C)'!AN3 + '리스사업(D)'!AN3 + '임대사업(E)'!AN3 + '환경부사업(F)'!AN3 + '프로젝트(G)'!AN3 + '협력사 EPC(H)'!AN3 + '기타(Z)'!AN3 + '협력사 하도(I)'!AN3</f>
        <v>12.030000000000001</v>
      </c>
      <c r="P20" s="41">
        <f>'발전사업(A)'!AO3 + '자가소비(B)'!AO3 + 'PPA 사업(C)'!AO3 + '리스사업(D)'!AO3 + '임대사업(E)'!AO3 + '환경부사업(F)'!AO3 + '프로젝트(G)'!AO3 + '협력사 EPC(H)'!AO3 + '기타(Z)'!AO3 + '협력사 하도(I)'!AO3</f>
        <v>12.030000000000001</v>
      </c>
      <c r="Q20" s="41">
        <f>'발전사업(A)'!AP3 + '자가소비(B)'!AP3 + 'PPA 사업(C)'!AP3 + '리스사업(D)'!AP3 + '임대사업(E)'!AP3 + '환경부사업(F)'!AP3 + '프로젝트(G)'!AP3 + '협력사 EPC(H)'!AP3 + '기타(Z)'!AP3 + '협력사 하도(I)'!AP3</f>
        <v>0</v>
      </c>
      <c r="R20" s="41">
        <f>'발전사업(A)'!AQ3 + '자가소비(B)'!AQ3 + 'PPA 사업(C)'!AQ3 + '리스사업(D)'!AQ3 + '임대사업(E)'!AQ3 + '환경부사업(F)'!AQ3 + '프로젝트(G)'!AQ3 + '협력사 EPC(H)'!AQ3 + '기타(Z)'!AQ3 + '협력사 하도(I)'!AQ3</f>
        <v>0</v>
      </c>
      <c r="S20" s="135">
        <f>'발전사업(A)'!AR3 + '자가소비(B)'!AR3 + 'PPA 사업(C)'!AR3 + '리스사업(D)'!AR3 + '임대사업(E)'!AR3 + '환경부사업(F)'!AR3 + '프로젝트(G)'!AR3 + '협력사 EPC(H)'!AR3 + '기타(Z)'!AR3 + '협력사 하도(I)'!AR3</f>
        <v>0</v>
      </c>
      <c r="U20" s="154" t="s">
        <v>149</v>
      </c>
      <c r="V20" s="155" t="s">
        <v>150</v>
      </c>
      <c r="W20" s="168" t="s">
        <v>151</v>
      </c>
    </row>
    <row r="21" spans="1:23" x14ac:dyDescent="0.25">
      <c r="A21">
        <v>1</v>
      </c>
      <c r="B21" s="416"/>
      <c r="C21" s="95">
        <v>2</v>
      </c>
      <c r="D21" s="101" t="s">
        <v>61</v>
      </c>
      <c r="E21" s="41">
        <f>'발전사업(A)'!AD4 + '자가소비(B)'!AD4 + 'PPA 사업(C)'!AD4 + '리스사업(D)'!AD4 + '임대사업(E)'!AD4 + '환경부사업(F)'!AD4 + '프로젝트(G)'!AD4 + '협력사 EPC(H)'!AD4 + '기타(Z)'!AD4</f>
        <v>1862.3100000000002</v>
      </c>
      <c r="F21" s="41">
        <f>'발전사업(A)'!AE4 + '자가소비(B)'!AE4 + 'PPA 사업(C)'!AE4 + '리스사업(D)'!AE4 + '임대사업(E)'!AE4 + '환경부사업(F)'!AE4 + '프로젝트(G)'!AE4 + '협력사 EPC(H)'!AE4 + '기타(Z)'!AE4</f>
        <v>1126.4000000000001</v>
      </c>
      <c r="G21" s="41">
        <f>'발전사업(A)'!AF4 + '자가소비(B)'!AF4 + 'PPA 사업(C)'!AF4 + '리스사업(D)'!AF4 + '임대사업(E)'!AF4 + '환경부사업(F)'!AF4 + '프로젝트(G)'!AF4 + '협력사 EPC(H)'!AF4 + '기타(Z)'!AF4</f>
        <v>735.91000000000008</v>
      </c>
      <c r="H21" s="41">
        <f>'발전사업(A)'!AG4 + '자가소비(B)'!AG4 + 'PPA 사업(C)'!AG4 + '리스사업(D)'!AG4 + '임대사업(E)'!AG4 + '환경부사업(F)'!AG4 + '프로젝트(G)'!AG4 + '협력사 EPC(H)'!AG4 + '기타(Z)'!AG4</f>
        <v>0</v>
      </c>
      <c r="I21" s="130">
        <f>'발전사업(A)'!AH4 + '자가소비(B)'!AH4 + 'PPA 사업(C)'!AH4 + '리스사업(D)'!AH4 + '임대사업(E)'!AH4 + '환경부사업(F)'!AH4 + '프로젝트(G)'!AH4 + '협력사 EPC(H)'!AH4 + '기타(Z)'!AH4</f>
        <v>0</v>
      </c>
      <c r="J21" s="120">
        <f>'발전사업(A)'!AI4 + '자가소비(B)'!AI4 + 'PPA 사업(C)'!AI4 + '리스사업(D)'!AI4 + '임대사업(E)'!AI4 + '환경부사업(F)'!AI4 + '프로젝트(G)'!AI4 + '협력사 EPC(H)'!AI4 + '기타(Z)'!AI4</f>
        <v>3</v>
      </c>
      <c r="K21" s="188">
        <f>'발전사업(A)'!AJ4 + '자가소비(B)'!AJ4 + 'PPA 사업(C)'!AJ4 + '리스사업(D)'!AJ4 + '임대사업(E)'!AJ4 + '환경부사업(F)'!AJ4 + '프로젝트(G)'!AJ4 + '협력사 EPC(H)'!AJ4 + '기타(Z)'!AJ4</f>
        <v>1</v>
      </c>
      <c r="L21" s="188">
        <f>'발전사업(A)'!AK4 + '자가소비(B)'!AK4 + 'PPA 사업(C)'!AK4 + '리스사업(D)'!AK4 + '임대사업(E)'!AK4 + '환경부사업(F)'!AK4 + '프로젝트(G)'!AK4 + '협력사 EPC(H)'!AK4 + '기타(Z)'!AK4</f>
        <v>2</v>
      </c>
      <c r="M21" s="188">
        <f>'발전사업(A)'!AL4 + '자가소비(B)'!AL4 + 'PPA 사업(C)'!AL4 + '리스사업(D)'!AL4 + '임대사업(E)'!AL4 + '환경부사업(F)'!AL4 + '프로젝트(G)'!AL4 + '협력사 EPC(H)'!AL4 + '기타(Z)'!AL4</f>
        <v>0</v>
      </c>
      <c r="N21" s="189">
        <f>'발전사업(A)'!AM4 + '자가소비(B)'!AM4 + 'PPA 사업(C)'!AM4 + '리스사업(D)'!AM4 + '임대사업(E)'!AM4 + '환경부사업(F)'!AM4 + '프로젝트(G)'!AM4 + '협력사 EPC(H)'!AM4 + '기타(Z)'!AM4</f>
        <v>0</v>
      </c>
      <c r="O21" s="41">
        <f>'발전사업(A)'!AN4 + '자가소비(B)'!AN4 + 'PPA 사업(C)'!AN4 + '리스사업(D)'!AN4 + '임대사업(E)'!AN4 + '환경부사업(F)'!AN4 + '프로젝트(G)'!AN4 + '협력사 EPC(H)'!AN4 + '기타(Z)'!AN4 + '협력사 하도(I)'!AN4</f>
        <v>17.350000000000001</v>
      </c>
      <c r="P21" s="41">
        <f>'발전사업(A)'!AO4 + '자가소비(B)'!AO4 + 'PPA 사업(C)'!AO4 + '리스사업(D)'!AO4 + '임대사업(E)'!AO4 + '환경부사업(F)'!AO4 + '프로젝트(G)'!AO4 + '협력사 EPC(H)'!AO4 + '기타(Z)'!AO4 + '협력사 하도(I)'!AO4</f>
        <v>10.029999999999999</v>
      </c>
      <c r="Q21" s="41">
        <f>'발전사업(A)'!AP4 + '자가소비(B)'!AP4 + 'PPA 사업(C)'!AP4 + '리스사업(D)'!AP4 + '임대사업(E)'!AP4 + '환경부사업(F)'!AP4 + '프로젝트(G)'!AP4 + '협력사 EPC(H)'!AP4 + '기타(Z)'!AP4 + '협력사 하도(I)'!AP4</f>
        <v>7.32</v>
      </c>
      <c r="R21" s="41">
        <f>'발전사업(A)'!AQ4 + '자가소비(B)'!AQ4 + 'PPA 사업(C)'!AQ4 + '리스사업(D)'!AQ4 + '임대사업(E)'!AQ4 + '환경부사업(F)'!AQ4 + '프로젝트(G)'!AQ4 + '협력사 EPC(H)'!AQ4 + '기타(Z)'!AQ4 + '협력사 하도(I)'!AQ4</f>
        <v>0</v>
      </c>
      <c r="S21" s="135">
        <f>'발전사업(A)'!AR4 + '자가소비(B)'!AR4 + 'PPA 사업(C)'!AR4 + '리스사업(D)'!AR4 + '임대사업(E)'!AR4 + '환경부사업(F)'!AR4 + '프로젝트(G)'!AR4 + '협력사 EPC(H)'!AR4 + '기타(Z)'!AR4 + '협력사 하도(I)'!AR4</f>
        <v>0</v>
      </c>
      <c r="U21" s="157">
        <v>1</v>
      </c>
      <c r="V21" s="158">
        <f>'발전사업(A)'!AU4 + '자가소비(B)'!AU4 + 'PPA 사업(C)'!AU4 + '리스사업(D)'!AU4 + '임대사업(E)'!AU4 + '환경부사업(F)'!AU4 + '프로젝트(G)'!AU4 + '협력사 EPC(H)'!AU4 + '기타(Z)'!AU4</f>
        <v>5</v>
      </c>
      <c r="W21" s="169">
        <f>'발전사업(A)'!AV4 + '자가소비(B)'!AV4 + 'PPA 사업(C)'!AV4 + '리스사업(D)'!AV4 + '임대사업(E)'!AV4 + '환경부사업(F)'!AV4 + '프로젝트(G)'!AV4 + '협력사 EPC(H)'!AV4 + '기타(Z)'!AV4</f>
        <v>6</v>
      </c>
    </row>
    <row r="22" spans="1:23" x14ac:dyDescent="0.25">
      <c r="A22">
        <v>1</v>
      </c>
      <c r="B22" s="416"/>
      <c r="C22" s="95">
        <v>3</v>
      </c>
      <c r="D22" s="102" t="s">
        <v>62</v>
      </c>
      <c r="E22" s="41">
        <f>'발전사업(A)'!AD5 + '자가소비(B)'!AD5 + 'PPA 사업(C)'!AD5 + '리스사업(D)'!AD5 + '임대사업(E)'!AD5 + '환경부사업(F)'!AD5 + '프로젝트(G)'!AD5 + '협력사 EPC(H)'!AD5 + '기타(Z)'!AD5</f>
        <v>0</v>
      </c>
      <c r="F22" s="41">
        <f>'발전사업(A)'!AE5 + '자가소비(B)'!AE5 + 'PPA 사업(C)'!AE5 + '리스사업(D)'!AE5 + '임대사업(E)'!AE5 + '환경부사업(F)'!AE5 + '프로젝트(G)'!AE5 + '협력사 EPC(H)'!AE5 + '기타(Z)'!AE5</f>
        <v>0</v>
      </c>
      <c r="G22" s="41">
        <f>'발전사업(A)'!AF5 + '자가소비(B)'!AF5 + 'PPA 사업(C)'!AF5 + '리스사업(D)'!AF5 + '임대사업(E)'!AF5 + '환경부사업(F)'!AF5 + '프로젝트(G)'!AF5 + '협력사 EPC(H)'!AF5 + '기타(Z)'!AF5</f>
        <v>0</v>
      </c>
      <c r="H22" s="41">
        <f>'발전사업(A)'!AG5 + '자가소비(B)'!AG5 + 'PPA 사업(C)'!AG5 + '리스사업(D)'!AG5 + '임대사업(E)'!AG5 + '환경부사업(F)'!AG5 + '프로젝트(G)'!AG5 + '협력사 EPC(H)'!AG5 + '기타(Z)'!AG5</f>
        <v>0</v>
      </c>
      <c r="I22" s="130">
        <f>'발전사업(A)'!AH5 + '자가소비(B)'!AH5 + 'PPA 사업(C)'!AH5 + '리스사업(D)'!AH5 + '임대사업(E)'!AH5 + '환경부사업(F)'!AH5 + '프로젝트(G)'!AH5 + '협력사 EPC(H)'!AH5 + '기타(Z)'!AH5</f>
        <v>0</v>
      </c>
      <c r="J22" s="120">
        <f>'발전사업(A)'!AI5 + '자가소비(B)'!AI5 + 'PPA 사업(C)'!AI5 + '리스사업(D)'!AI5 + '임대사업(E)'!AI5 + '환경부사업(F)'!AI5 + '프로젝트(G)'!AI5 + '협력사 EPC(H)'!AI5 + '기타(Z)'!AI5</f>
        <v>0</v>
      </c>
      <c r="K22" s="188">
        <f>'발전사업(A)'!AJ5 + '자가소비(B)'!AJ5 + 'PPA 사업(C)'!AJ5 + '리스사업(D)'!AJ5 + '임대사업(E)'!AJ5 + '환경부사업(F)'!AJ5 + '프로젝트(G)'!AJ5 + '협력사 EPC(H)'!AJ5 + '기타(Z)'!AJ5</f>
        <v>0</v>
      </c>
      <c r="L22" s="188">
        <f>'발전사업(A)'!AK5 + '자가소비(B)'!AK5 + 'PPA 사업(C)'!AK5 + '리스사업(D)'!AK5 + '임대사업(E)'!AK5 + '환경부사업(F)'!AK5 + '프로젝트(G)'!AK5 + '협력사 EPC(H)'!AK5 + '기타(Z)'!AK5</f>
        <v>0</v>
      </c>
      <c r="M22" s="188">
        <f>'발전사업(A)'!AL5 + '자가소비(B)'!AL5 + 'PPA 사업(C)'!AL5 + '리스사업(D)'!AL5 + '임대사업(E)'!AL5 + '환경부사업(F)'!AL5 + '프로젝트(G)'!AL5 + '협력사 EPC(H)'!AL5 + '기타(Z)'!AL5</f>
        <v>0</v>
      </c>
      <c r="N22" s="189">
        <f>'발전사업(A)'!AM5 + '자가소비(B)'!AM5 + 'PPA 사업(C)'!AM5 + '리스사업(D)'!AM5 + '임대사업(E)'!AM5 + '환경부사업(F)'!AM5 + '프로젝트(G)'!AM5 + '협력사 EPC(H)'!AM5 + '기타(Z)'!AM5</f>
        <v>0</v>
      </c>
      <c r="O22" s="41">
        <f>'발전사업(A)'!AN5 + '자가소비(B)'!AN5 + 'PPA 사업(C)'!AN5 + '리스사업(D)'!AN5 + '임대사업(E)'!AN5 + '환경부사업(F)'!AN5 + '프로젝트(G)'!AN5 + '협력사 EPC(H)'!AN5 + '기타(Z)'!AN5 + '협력사 하도(I)'!AN5</f>
        <v>0</v>
      </c>
      <c r="P22" s="41">
        <f>'발전사업(A)'!AO5 + '자가소비(B)'!AO5 + 'PPA 사업(C)'!AO5 + '리스사업(D)'!AO5 + '임대사업(E)'!AO5 + '환경부사업(F)'!AO5 + '프로젝트(G)'!AO5 + '협력사 EPC(H)'!AO5 + '기타(Z)'!AO5 + '협력사 하도(I)'!AO5</f>
        <v>0</v>
      </c>
      <c r="Q22" s="41">
        <f>'발전사업(A)'!AP5 + '자가소비(B)'!AP5 + 'PPA 사업(C)'!AP5 + '리스사업(D)'!AP5 + '임대사업(E)'!AP5 + '환경부사업(F)'!AP5 + '프로젝트(G)'!AP5 + '협력사 EPC(H)'!AP5 + '기타(Z)'!AP5 + '협력사 하도(I)'!AP5</f>
        <v>0</v>
      </c>
      <c r="R22" s="41">
        <f>'발전사업(A)'!AQ5 + '자가소비(B)'!AQ5 + 'PPA 사업(C)'!AQ5 + '리스사업(D)'!AQ5 + '임대사업(E)'!AQ5 + '환경부사업(F)'!AQ5 + '프로젝트(G)'!AQ5 + '협력사 EPC(H)'!AQ5 + '기타(Z)'!AQ5 + '협력사 하도(I)'!AQ5</f>
        <v>0</v>
      </c>
      <c r="S22" s="135">
        <f>'발전사업(A)'!AR5 + '자가소비(B)'!AR5 + 'PPA 사업(C)'!AR5 + '리스사업(D)'!AR5 + '임대사업(E)'!AR5 + '환경부사업(F)'!AR5 + '프로젝트(G)'!AR5 + '협력사 EPC(H)'!AR5 + '기타(Z)'!AR5 + '협력사 하도(I)'!AR5</f>
        <v>0</v>
      </c>
      <c r="U22" s="157">
        <v>2</v>
      </c>
      <c r="V22" s="158">
        <f>'발전사업(A)'!AU5 + '자가소비(B)'!AU5 + 'PPA 사업(C)'!AU5 + '리스사업(D)'!AU5 + '임대사업(E)'!AU5 + '환경부사업(F)'!AU5 + '프로젝트(G)'!AU5 + '협력사 EPC(H)'!AU5 + '기타(Z)'!AU5</f>
        <v>16</v>
      </c>
      <c r="W22" s="169">
        <f>'발전사업(A)'!AV5 + '자가소비(B)'!AV5 + 'PPA 사업(C)'!AV5 + '리스사업(D)'!AV5 + '임대사업(E)'!AV5 + '환경부사업(F)'!AV5 + '프로젝트(G)'!AV5 + '협력사 EPC(H)'!AV5 + '기타(Z)'!AV5</f>
        <v>4</v>
      </c>
    </row>
    <row r="23" spans="1:23" x14ac:dyDescent="0.25">
      <c r="A23">
        <v>1</v>
      </c>
      <c r="B23" s="416"/>
      <c r="C23" s="95">
        <v>4</v>
      </c>
      <c r="D23" s="102" t="s">
        <v>63</v>
      </c>
      <c r="E23" s="41">
        <f>'발전사업(A)'!AD6 + '자가소비(B)'!AD6 + 'PPA 사업(C)'!AD6 + '리스사업(D)'!AD6 + '임대사업(E)'!AD6 + '환경부사업(F)'!AD6 + '프로젝트(G)'!AD6 + '협력사 EPC(H)'!AD6 + '기타(Z)'!AD6</f>
        <v>148.59</v>
      </c>
      <c r="F23" s="41">
        <f>'발전사업(A)'!AE6 + '자가소비(B)'!AE6 + 'PPA 사업(C)'!AE6 + '리스사업(D)'!AE6 + '임대사업(E)'!AE6 + '환경부사업(F)'!AE6 + '프로젝트(G)'!AE6 + '협력사 EPC(H)'!AE6 + '기타(Z)'!AE6</f>
        <v>34.29</v>
      </c>
      <c r="G23" s="41">
        <f>'발전사업(A)'!AF6 + '자가소비(B)'!AF6 + 'PPA 사업(C)'!AF6 + '리스사업(D)'!AF6 + '임대사업(E)'!AF6 + '환경부사업(F)'!AF6 + '프로젝트(G)'!AF6 + '협력사 EPC(H)'!AF6 + '기타(Z)'!AF6</f>
        <v>114.3</v>
      </c>
      <c r="H23" s="41">
        <f>'발전사업(A)'!AG6 + '자가소비(B)'!AG6 + 'PPA 사업(C)'!AG6 + '리스사업(D)'!AG6 + '임대사업(E)'!AG6 + '환경부사업(F)'!AG6 + '프로젝트(G)'!AG6 + '협력사 EPC(H)'!AG6 + '기타(Z)'!AG6</f>
        <v>0</v>
      </c>
      <c r="I23" s="130">
        <f>'발전사업(A)'!AH6 + '자가소비(B)'!AH6 + 'PPA 사업(C)'!AH6 + '리스사업(D)'!AH6 + '임대사업(E)'!AH6 + '환경부사업(F)'!AH6 + '프로젝트(G)'!AH6 + '협력사 EPC(H)'!AH6 + '기타(Z)'!AH6</f>
        <v>0</v>
      </c>
      <c r="J23" s="120">
        <f>'발전사업(A)'!AI6 + '자가소비(B)'!AI6 + 'PPA 사업(C)'!AI6 + '리스사업(D)'!AI6 + '임대사업(E)'!AI6 + '환경부사업(F)'!AI6 + '프로젝트(G)'!AI6 + '협력사 EPC(H)'!AI6 + '기타(Z)'!AI6</f>
        <v>2</v>
      </c>
      <c r="K23" s="188">
        <f>'발전사업(A)'!AJ6 + '자가소비(B)'!AJ6 + 'PPA 사업(C)'!AJ6 + '리스사업(D)'!AJ6 + '임대사업(E)'!AJ6 + '환경부사업(F)'!AJ6 + '프로젝트(G)'!AJ6 + '협력사 EPC(H)'!AJ6 + '기타(Z)'!AJ6</f>
        <v>1</v>
      </c>
      <c r="L23" s="188">
        <f>'발전사업(A)'!AK6 + '자가소비(B)'!AK6 + 'PPA 사업(C)'!AK6 + '리스사업(D)'!AK6 + '임대사업(E)'!AK6 + '환경부사업(F)'!AK6 + '프로젝트(G)'!AK6 + '협력사 EPC(H)'!AK6 + '기타(Z)'!AK6</f>
        <v>1</v>
      </c>
      <c r="M23" s="188">
        <f>'발전사업(A)'!AL6 + '자가소비(B)'!AL6 + 'PPA 사업(C)'!AL6 + '리스사업(D)'!AL6 + '임대사업(E)'!AL6 + '환경부사업(F)'!AL6 + '프로젝트(G)'!AL6 + '협력사 EPC(H)'!AL6 + '기타(Z)'!AL6</f>
        <v>0</v>
      </c>
      <c r="N23" s="189">
        <f>'발전사업(A)'!AM6 + '자가소비(B)'!AM6 + 'PPA 사업(C)'!AM6 + '리스사업(D)'!AM6 + '임대사업(E)'!AM6 + '환경부사업(F)'!AM6 + '프로젝트(G)'!AM6 + '협력사 EPC(H)'!AM6 + '기타(Z)'!AM6</f>
        <v>0</v>
      </c>
      <c r="O23" s="41">
        <f>'발전사업(A)'!AN6 + '자가소비(B)'!AN6 + 'PPA 사업(C)'!AN6 + '리스사업(D)'!AN6 + '임대사업(E)'!AN6 + '환경부사업(F)'!AN6 + '프로젝트(G)'!AN6 + '협력사 EPC(H)'!AN6 + '기타(Z)'!AN6 + '협력사 하도(I)'!AN6</f>
        <v>1.637</v>
      </c>
      <c r="P23" s="41">
        <f>'발전사업(A)'!AO6 + '자가소비(B)'!AO6 + 'PPA 사업(C)'!AO6 + '리스사업(D)'!AO6 + '임대사업(E)'!AO6 + '환경부사업(F)'!AO6 + '프로젝트(G)'!AO6 + '협력사 EPC(H)'!AO6 + '기타(Z)'!AO6 + '협력사 하도(I)'!AO6</f>
        <v>0.38</v>
      </c>
      <c r="Q23" s="41">
        <f>'발전사업(A)'!AP6 + '자가소비(B)'!AP6 + 'PPA 사업(C)'!AP6 + '리스사업(D)'!AP6 + '임대사업(E)'!AP6 + '환경부사업(F)'!AP6 + '프로젝트(G)'!AP6 + '협력사 EPC(H)'!AP6 + '기타(Z)'!AP6 + '협력사 하도(I)'!AP6</f>
        <v>1.2570000000000001</v>
      </c>
      <c r="R23" s="41">
        <f>'발전사업(A)'!AQ6 + '자가소비(B)'!AQ6 + 'PPA 사업(C)'!AQ6 + '리스사업(D)'!AQ6 + '임대사업(E)'!AQ6 + '환경부사업(F)'!AQ6 + '프로젝트(G)'!AQ6 + '협력사 EPC(H)'!AQ6 + '기타(Z)'!AQ6 + '협력사 하도(I)'!AQ6</f>
        <v>0</v>
      </c>
      <c r="S23" s="135">
        <f>'발전사업(A)'!AR6 + '자가소비(B)'!AR6 + 'PPA 사업(C)'!AR6 + '리스사업(D)'!AR6 + '임대사업(E)'!AR6 + '환경부사업(F)'!AR6 + '프로젝트(G)'!AR6 + '협력사 EPC(H)'!AR6 + '기타(Z)'!AR6 + '협력사 하도(I)'!AR6</f>
        <v>0</v>
      </c>
      <c r="U23" s="157">
        <v>3</v>
      </c>
      <c r="V23" s="158">
        <f>'발전사업(A)'!AU6 + '자가소비(B)'!AU6 + 'PPA 사업(C)'!AU6 + '리스사업(D)'!AU6 + '임대사업(E)'!AU6 + '환경부사업(F)'!AU6 + '프로젝트(G)'!AU6 + '협력사 EPC(H)'!AU6 + '기타(Z)'!AU6</f>
        <v>5</v>
      </c>
      <c r="W23" s="169">
        <f>'발전사업(A)'!AV6 + '자가소비(B)'!AV6 + 'PPA 사업(C)'!AV6 + '리스사업(D)'!AV6 + '임대사업(E)'!AV6 + '환경부사업(F)'!AV6 + '프로젝트(G)'!AV6 + '협력사 EPC(H)'!AV6 + '기타(Z)'!AV6</f>
        <v>9</v>
      </c>
    </row>
    <row r="24" spans="1:23" x14ac:dyDescent="0.25">
      <c r="A24">
        <v>1</v>
      </c>
      <c r="B24" s="416"/>
      <c r="C24" s="96">
        <v>5</v>
      </c>
      <c r="D24" s="102" t="s">
        <v>64</v>
      </c>
      <c r="E24" s="41">
        <f>'발전사업(A)'!AD7 + '자가소비(B)'!AD7 + 'PPA 사업(C)'!AD7 + '리스사업(D)'!AD7 + '임대사업(E)'!AD7 + '환경부사업(F)'!AD7 + '프로젝트(G)'!AD7 + '협력사 EPC(H)'!AD7 + '기타(Z)'!AD7</f>
        <v>290.01</v>
      </c>
      <c r="F24" s="41">
        <f>'발전사업(A)'!AE7 + '자가소비(B)'!AE7 + 'PPA 사업(C)'!AE7 + '리스사업(D)'!AE7 + '임대사업(E)'!AE7 + '환경부사업(F)'!AE7 + '프로젝트(G)'!AE7 + '협력사 EPC(H)'!AE7 + '기타(Z)'!AE7</f>
        <v>232.41</v>
      </c>
      <c r="G24" s="41">
        <f>'발전사업(A)'!AF7 + '자가소비(B)'!AF7 + 'PPA 사업(C)'!AF7 + '리스사업(D)'!AF7 + '임대사업(E)'!AF7 + '환경부사업(F)'!AF7 + '프로젝트(G)'!AF7 + '협력사 EPC(H)'!AF7 + '기타(Z)'!AF7</f>
        <v>57.6</v>
      </c>
      <c r="H24" s="41">
        <f>'발전사업(A)'!AG7 + '자가소비(B)'!AG7 + 'PPA 사업(C)'!AG7 + '리스사업(D)'!AG7 + '임대사업(E)'!AG7 + '환경부사업(F)'!AG7 + '프로젝트(G)'!AG7 + '협력사 EPC(H)'!AG7 + '기타(Z)'!AG7</f>
        <v>0</v>
      </c>
      <c r="I24" s="130">
        <f>'발전사업(A)'!AH7 + '자가소비(B)'!AH7 + 'PPA 사업(C)'!AH7 + '리스사업(D)'!AH7 + '임대사업(E)'!AH7 + '환경부사업(F)'!AH7 + '프로젝트(G)'!AH7 + '협력사 EPC(H)'!AH7 + '기타(Z)'!AH7</f>
        <v>0</v>
      </c>
      <c r="J24" s="120">
        <f>'발전사업(A)'!AI7 + '자가소비(B)'!AI7 + 'PPA 사업(C)'!AI7 + '리스사업(D)'!AI7 + '임대사업(E)'!AI7 + '환경부사업(F)'!AI7 + '프로젝트(G)'!AI7 + '협력사 EPC(H)'!AI7 + '기타(Z)'!AI7</f>
        <v>2</v>
      </c>
      <c r="K24" s="188">
        <f>'발전사업(A)'!AJ7 + '자가소비(B)'!AJ7 + 'PPA 사업(C)'!AJ7 + '리스사업(D)'!AJ7 + '임대사업(E)'!AJ7 + '환경부사업(F)'!AJ7 + '프로젝트(G)'!AJ7 + '협력사 EPC(H)'!AJ7 + '기타(Z)'!AJ7</f>
        <v>1</v>
      </c>
      <c r="L24" s="188">
        <f>'발전사업(A)'!AK7 + '자가소비(B)'!AK7 + 'PPA 사업(C)'!AK7 + '리스사업(D)'!AK7 + '임대사업(E)'!AK7 + '환경부사업(F)'!AK7 + '프로젝트(G)'!AK7 + '협력사 EPC(H)'!AK7 + '기타(Z)'!AK7</f>
        <v>1</v>
      </c>
      <c r="M24" s="188">
        <f>'발전사업(A)'!AL7 + '자가소비(B)'!AL7 + 'PPA 사업(C)'!AL7 + '리스사업(D)'!AL7 + '임대사업(E)'!AL7 + '환경부사업(F)'!AL7 + '프로젝트(G)'!AL7 + '협력사 EPC(H)'!AL7 + '기타(Z)'!AL7</f>
        <v>0</v>
      </c>
      <c r="N24" s="189">
        <f>'발전사업(A)'!AM7 + '자가소비(B)'!AM7 + 'PPA 사업(C)'!AM7 + '리스사업(D)'!AM7 + '임대사업(E)'!AM7 + '환경부사업(F)'!AM7 + '프로젝트(G)'!AM7 + '협력사 EPC(H)'!AM7 + '기타(Z)'!AM7</f>
        <v>0</v>
      </c>
      <c r="O24" s="41">
        <f>'발전사업(A)'!AN7 + '자가소비(B)'!AN7 + 'PPA 사업(C)'!AN7 + '리스사업(D)'!AN7 + '임대사업(E)'!AN7 + '환경부사업(F)'!AN7 + '프로젝트(G)'!AN7 + '협력사 EPC(H)'!AN7 + '기타(Z)'!AN7 + '협력사 하도(I)'!AN7</f>
        <v>2.9160000000000004</v>
      </c>
      <c r="P24" s="41">
        <f>'발전사업(A)'!AO7 + '자가소비(B)'!AO7 + 'PPA 사업(C)'!AO7 + '리스사업(D)'!AO7 + '임대사업(E)'!AO7 + '환경부사업(F)'!AO7 + '프로젝트(G)'!AO7 + '협력사 EPC(H)'!AO7 + '기타(Z)'!AO7 + '협력사 하도(I)'!AO7</f>
        <v>2.2000000000000002</v>
      </c>
      <c r="Q24" s="41">
        <f>'발전사업(A)'!AP7 + '자가소비(B)'!AP7 + 'PPA 사업(C)'!AP7 + '리스사업(D)'!AP7 + '임대사업(E)'!AP7 + '환경부사업(F)'!AP7 + '프로젝트(G)'!AP7 + '협력사 EPC(H)'!AP7 + '기타(Z)'!AP7 + '협력사 하도(I)'!AP7</f>
        <v>0.71599999999999997</v>
      </c>
      <c r="R24" s="41">
        <f>'발전사업(A)'!AQ7 + '자가소비(B)'!AQ7 + 'PPA 사업(C)'!AQ7 + '리스사업(D)'!AQ7 + '임대사업(E)'!AQ7 + '환경부사업(F)'!AQ7 + '프로젝트(G)'!AQ7 + '협력사 EPC(H)'!AQ7 + '기타(Z)'!AQ7 + '협력사 하도(I)'!AQ7</f>
        <v>0</v>
      </c>
      <c r="S24" s="135">
        <f>'발전사업(A)'!AR7 + '자가소비(B)'!AR7 + 'PPA 사업(C)'!AR7 + '리스사업(D)'!AR7 + '임대사업(E)'!AR7 + '환경부사업(F)'!AR7 + '프로젝트(G)'!AR7 + '협력사 EPC(H)'!AR7 + '기타(Z)'!AR7 + '협력사 하도(I)'!AR7</f>
        <v>0</v>
      </c>
      <c r="U24" s="157">
        <v>4</v>
      </c>
      <c r="V24" s="158">
        <f>'발전사업(A)'!AU7 + '자가소비(B)'!AU7 + 'PPA 사업(C)'!AU7 + '리스사업(D)'!AU7 + '임대사업(E)'!AU7 + '환경부사업(F)'!AU7 + '프로젝트(G)'!AU7 + '협력사 EPC(H)'!AU7 + '기타(Z)'!AU7</f>
        <v>15</v>
      </c>
      <c r="W24" s="169">
        <f>'발전사업(A)'!AV7 + '자가소비(B)'!AV7 + 'PPA 사업(C)'!AV7 + '리스사업(D)'!AV7 + '임대사업(E)'!AV7 + '환경부사업(F)'!AV7 + '프로젝트(G)'!AV7 + '협력사 EPC(H)'!AV7 + '기타(Z)'!AV7</f>
        <v>6</v>
      </c>
    </row>
    <row r="25" spans="1:23" ht="14.25" thickBot="1" x14ac:dyDescent="0.3">
      <c r="A25">
        <v>1</v>
      </c>
      <c r="B25" s="417"/>
      <c r="C25" s="97" t="s">
        <v>3</v>
      </c>
      <c r="D25" s="103"/>
      <c r="E25" s="139">
        <f>'발전사업(A)'!AD8 + '자가소비(B)'!AD8 + 'PPA 사업(C)'!AD8 + '리스사업(D)'!AD8 + '임대사업(E)'!AD8 + '환경부사업(F)'!AD8 + '프로젝트(G)'!AD8 + '협력사 EPC(H)'!AD8 + '기타(Z)'!AD8</f>
        <v>3702.8250000000003</v>
      </c>
      <c r="F25" s="139">
        <f>'발전사업(A)'!AE8 + '자가소비(B)'!AE8 + 'PPA 사업(C)'!AE8 + '리스사업(D)'!AE8 + '임대사업(E)'!AE8 + '환경부사업(F)'!AE8 + '프로젝트(G)'!AE8 + '협력사 EPC(H)'!AE8 + '기타(Z)'!AE8</f>
        <v>2646.5349999999999</v>
      </c>
      <c r="G25" s="139">
        <f>'발전사업(A)'!AF8 + '자가소비(B)'!AF8 + 'PPA 사업(C)'!AF8 + '리스사업(D)'!AF8 + '임대사업(E)'!AF8 + '환경부사업(F)'!AF8 + '프로젝트(G)'!AF8 + '협력사 EPC(H)'!AF8 + '기타(Z)'!AF8</f>
        <v>1056.29</v>
      </c>
      <c r="H25" s="139">
        <f>'발전사업(A)'!AG8 + '자가소비(B)'!AG8 + 'PPA 사업(C)'!AG8 + '리스사업(D)'!AG8 + '임대사업(E)'!AG8 + '환경부사업(F)'!AG8 + '프로젝트(G)'!AG8 + '협력사 EPC(H)'!AG8 + '기타(Z)'!AG8</f>
        <v>0</v>
      </c>
      <c r="I25" s="140">
        <f>'발전사업(A)'!AH8 + '자가소비(B)'!AH8 + 'PPA 사업(C)'!AH8 + '리스사업(D)'!AH8 + '임대사업(E)'!AH8 + '환경부사업(F)'!AH8 + '프로젝트(G)'!AH8 + '협력사 EPC(H)'!AH8 + '기타(Z)'!AH8</f>
        <v>0</v>
      </c>
      <c r="J25" s="190">
        <f>'발전사업(A)'!AI8 + '자가소비(B)'!AI8 + 'PPA 사업(C)'!AI8 + '리스사업(D)'!AI8 + '임대사업(E)'!AI8 + '환경부사업(F)'!AI8 + '프로젝트(G)'!AI8 + '협력사 EPC(H)'!AI8 + '기타(Z)'!AI8</f>
        <v>11</v>
      </c>
      <c r="K25" s="191">
        <f>'발전사업(A)'!AJ8 + '자가소비(B)'!AJ8 + 'PPA 사업(C)'!AJ8 + '리스사업(D)'!AJ8 + '임대사업(E)'!AJ8 + '환경부사업(F)'!AJ8 + '프로젝트(G)'!AJ8 + '협력사 EPC(H)'!AJ8 + '기타(Z)'!AJ8</f>
        <v>6</v>
      </c>
      <c r="L25" s="191">
        <f>'발전사업(A)'!AK8 + '자가소비(B)'!AK8 + 'PPA 사업(C)'!AK8 + '리스사업(D)'!AK8 + '임대사업(E)'!AK8 + '환경부사업(F)'!AK8 + '프로젝트(G)'!AK8 + '협력사 EPC(H)'!AK8 + '기타(Z)'!AK8</f>
        <v>5</v>
      </c>
      <c r="M25" s="191">
        <f>'발전사업(A)'!AL8 + '자가소비(B)'!AL8 + 'PPA 사업(C)'!AL8 + '리스사업(D)'!AL8 + '임대사업(E)'!AL8 + '환경부사업(F)'!AL8 + '프로젝트(G)'!AL8 + '협력사 EPC(H)'!AL8 + '기타(Z)'!AL8</f>
        <v>0</v>
      </c>
      <c r="N25" s="192">
        <f>'발전사업(A)'!AM8 + '자가소비(B)'!AM8 + 'PPA 사업(C)'!AM8 + '리스사업(D)'!AM8 + '임대사업(E)'!AM8 + '환경부사업(F)'!AM8 + '프로젝트(G)'!AM8 + '협력사 EPC(H)'!AM8 + '기타(Z)'!AM8</f>
        <v>0</v>
      </c>
      <c r="O25" s="139">
        <f>'발전사업(A)'!AN8 + '자가소비(B)'!AN8 + 'PPA 사업(C)'!AN8 + '리스사업(D)'!AN8 + '임대사업(E)'!AN8 + '환경부사업(F)'!AN8 + '프로젝트(G)'!AN8 + '협력사 EPC(H)'!AN8 + '기타(Z)'!AN8 + '협력사 하도(I)'!AN8</f>
        <v>33.933000000000007</v>
      </c>
      <c r="P25" s="139">
        <f>'발전사업(A)'!AO8 + '자가소비(B)'!AO8 + 'PPA 사업(C)'!AO8 + '리스사업(D)'!AO8 + '임대사업(E)'!AO8 + '환경부사업(F)'!AO8 + '프로젝트(G)'!AO8 + '협력사 EPC(H)'!AO8 + '기타(Z)'!AO8 + '협력사 하도(I)'!AO8</f>
        <v>24.64</v>
      </c>
      <c r="Q25" s="139">
        <f>'발전사업(A)'!AP8 + '자가소비(B)'!AP8 + 'PPA 사업(C)'!AP8 + '리스사업(D)'!AP8 + '임대사업(E)'!AP8 + '환경부사업(F)'!AP8 + '프로젝트(G)'!AP8 + '협력사 EPC(H)'!AP8 + '기타(Z)'!AP8 + '협력사 하도(I)'!AP8</f>
        <v>9.2929999999999993</v>
      </c>
      <c r="R25" s="139">
        <f>'발전사업(A)'!AQ8 + '자가소비(B)'!AQ8 + 'PPA 사업(C)'!AQ8 + '리스사업(D)'!AQ8 + '임대사업(E)'!AQ8 + '환경부사업(F)'!AQ8 + '프로젝트(G)'!AQ8 + '협력사 EPC(H)'!AQ8 + '기타(Z)'!AQ8 + '협력사 하도(I)'!AQ8</f>
        <v>0</v>
      </c>
      <c r="S25" s="141">
        <f>'발전사업(A)'!AR8 + '자가소비(B)'!AR8 + 'PPA 사업(C)'!AR8 + '리스사업(D)'!AR8 + '임대사업(E)'!AR8 + '환경부사업(F)'!AR8 + '프로젝트(G)'!AR8 + '협력사 EPC(H)'!AR8 + '기타(Z)'!AR8 + '협력사 하도(I)'!AR8</f>
        <v>0</v>
      </c>
      <c r="U25" s="157">
        <v>5</v>
      </c>
      <c r="V25" s="158">
        <f>'발전사업(A)'!AU8 + '자가소비(B)'!AU8 + 'PPA 사업(C)'!AU8 + '리스사업(D)'!AU8 + '임대사업(E)'!AU8 + '환경부사업(F)'!AU8 + '프로젝트(G)'!AU8 + '협력사 EPC(H)'!AU8 + '기타(Z)'!AU8</f>
        <v>21</v>
      </c>
      <c r="W25" s="169">
        <f>'발전사업(A)'!AV8 + '자가소비(B)'!AV8 + 'PPA 사업(C)'!AV8 + '리스사업(D)'!AV8 + '임대사업(E)'!AV8 + '환경부사업(F)'!AV8 + '프로젝트(G)'!AV8 + '협력사 EPC(H)'!AV8 + '기타(Z)'!AV8</f>
        <v>5</v>
      </c>
    </row>
    <row r="26" spans="1:23" ht="16.5" x14ac:dyDescent="0.25">
      <c r="A26">
        <v>2</v>
      </c>
      <c r="B26" s="415">
        <v>2</v>
      </c>
      <c r="C26" s="94">
        <v>1</v>
      </c>
      <c r="D26" s="104" t="s">
        <v>106</v>
      </c>
      <c r="E26" s="142">
        <f>'발전사업(A)'!AD9 + '자가소비(B)'!AD9 + 'PPA 사업(C)'!AD9 + '리스사업(D)'!AD9 + '임대사업(E)'!AD9 + '환경부사업(F)'!AD9 + '프로젝트(G)'!AD9 + '협력사 EPC(H)'!AD9 + '기타(Z)'!AD9</f>
        <v>2407.6799999999998</v>
      </c>
      <c r="F26" s="143">
        <f>'발전사업(A)'!AE9 + '자가소비(B)'!AE9 + 'PPA 사업(C)'!AE9 + '리스사업(D)'!AE9 + '임대사업(E)'!AE9 + '환경부사업(F)'!AE9 + '프로젝트(G)'!AE9 + '협력사 EPC(H)'!AE9 + '기타(Z)'!AE9</f>
        <v>2332.16</v>
      </c>
      <c r="G26" s="143">
        <f>'발전사업(A)'!AF9 + '자가소비(B)'!AF9 + 'PPA 사업(C)'!AF9 + '리스사업(D)'!AF9 + '임대사업(E)'!AF9 + '환경부사업(F)'!AF9 + '프로젝트(G)'!AF9 + '협력사 EPC(H)'!AF9 + '기타(Z)'!AF9</f>
        <v>75.52</v>
      </c>
      <c r="H26" s="143">
        <f>'발전사업(A)'!AG9 + '자가소비(B)'!AG9 + 'PPA 사업(C)'!AG9 + '리스사업(D)'!AG9 + '임대사업(E)'!AG9 + '환경부사업(F)'!AG9 + '프로젝트(G)'!AG9 + '협력사 EPC(H)'!AG9 + '기타(Z)'!AG9</f>
        <v>0</v>
      </c>
      <c r="I26" s="144">
        <f>'발전사업(A)'!AH9 + '자가소비(B)'!AH9 + 'PPA 사업(C)'!AH9 + '리스사업(D)'!AH9 + '임대사업(E)'!AH9 + '환경부사업(F)'!AH9 + '프로젝트(G)'!AH9 + '협력사 EPC(H)'!AH9 + '기타(Z)'!AH9</f>
        <v>0</v>
      </c>
      <c r="J26" s="193">
        <f>'발전사업(A)'!AI9 + '자가소비(B)'!AI9 + 'PPA 사업(C)'!AI9 + '리스사업(D)'!AI9 + '임대사업(E)'!AI9 + '환경부사업(F)'!AI9 + '프로젝트(G)'!AI9 + '협력사 EPC(H)'!AI9 + '기타(Z)'!AI9</f>
        <v>2</v>
      </c>
      <c r="K26" s="194">
        <f>'발전사업(A)'!AJ9 + '자가소비(B)'!AJ9 + 'PPA 사업(C)'!AJ9 + '리스사업(D)'!AJ9 + '임대사업(E)'!AJ9 + '환경부사업(F)'!AJ9 + '프로젝트(G)'!AJ9 + '협력사 EPC(H)'!AJ9 + '기타(Z)'!AJ9</f>
        <v>1</v>
      </c>
      <c r="L26" s="194">
        <f>'발전사업(A)'!AK9 + '자가소비(B)'!AK9 + 'PPA 사업(C)'!AK9 + '리스사업(D)'!AK9 + '임대사업(E)'!AK9 + '환경부사업(F)'!AK9 + '프로젝트(G)'!AK9 + '협력사 EPC(H)'!AK9 + '기타(Z)'!AK9</f>
        <v>1</v>
      </c>
      <c r="M26" s="194">
        <f>'발전사업(A)'!AL9 + '자가소비(B)'!AL9 + 'PPA 사업(C)'!AL9 + '리스사업(D)'!AL9 + '임대사업(E)'!AL9 + '환경부사업(F)'!AL9 + '프로젝트(G)'!AL9 + '협력사 EPC(H)'!AL9 + '기타(Z)'!AL9</f>
        <v>0</v>
      </c>
      <c r="N26" s="195">
        <f>'발전사업(A)'!AM9 + '자가소비(B)'!AM9 + 'PPA 사업(C)'!AM9 + '리스사업(D)'!AM9 + '임대사업(E)'!AM9 + '환경부사업(F)'!AM9 + '프로젝트(G)'!AM9 + '협력사 EPC(H)'!AM9 + '기타(Z)'!AM9</f>
        <v>0</v>
      </c>
      <c r="O26" s="143">
        <f>'발전사업(A)'!AN9 + '자가소비(B)'!AN9 + 'PPA 사업(C)'!AN9 + '리스사업(D)'!AN9 + '임대사업(E)'!AN9 + '환경부사업(F)'!AN9 + '프로젝트(G)'!AN9 + '협력사 EPC(H)'!AN9 + '기타(Z)'!AN9 + '협력사 하도(I)'!AN9</f>
        <v>31.33</v>
      </c>
      <c r="P26" s="143">
        <f>'발전사업(A)'!AO9 + '자가소비(B)'!AO9 + 'PPA 사업(C)'!AO9 + '리스사업(D)'!AO9 + '임대사업(E)'!AO9 + '환경부사업(F)'!AO9 + '프로젝트(G)'!AO9 + '협력사 EPC(H)'!AO9 + '기타(Z)'!AO9 + '협력사 하도(I)'!AO9</f>
        <v>30.5</v>
      </c>
      <c r="Q26" s="143">
        <f>'발전사업(A)'!AP9 + '자가소비(B)'!AP9 + 'PPA 사업(C)'!AP9 + '리스사업(D)'!AP9 + '임대사업(E)'!AP9 + '환경부사업(F)'!AP9 + '프로젝트(G)'!AP9 + '협력사 EPC(H)'!AP9 + '기타(Z)'!AP9 + '협력사 하도(I)'!AP9</f>
        <v>0.83000000000000007</v>
      </c>
      <c r="R26" s="143">
        <f>'발전사업(A)'!AQ9 + '자가소비(B)'!AQ9 + 'PPA 사업(C)'!AQ9 + '리스사업(D)'!AQ9 + '임대사업(E)'!AQ9 + '환경부사업(F)'!AQ9 + '프로젝트(G)'!AQ9 + '협력사 EPC(H)'!AQ9 + '기타(Z)'!AQ9 + '협력사 하도(I)'!AQ9</f>
        <v>0</v>
      </c>
      <c r="S26" s="145">
        <f>'발전사업(A)'!AR9 + '자가소비(B)'!AR9 + 'PPA 사업(C)'!AR9 + '리스사업(D)'!AR9 + '임대사업(E)'!AR9 + '환경부사업(F)'!AR9 + '프로젝트(G)'!AR9 + '협력사 EPC(H)'!AR9 + '기타(Z)'!AR9 + '협력사 하도(I)'!AR9</f>
        <v>0</v>
      </c>
      <c r="U26" s="157">
        <v>6</v>
      </c>
      <c r="V26" s="158">
        <f>'발전사업(A)'!AU9 + '자가소비(B)'!AU9 + 'PPA 사업(C)'!AU9 + '리스사업(D)'!AU9 + '임대사업(E)'!AU9 + '환경부사업(F)'!AU9 + '프로젝트(G)'!AU9 + '협력사 EPC(H)'!AU9 + '기타(Z)'!AU9</f>
        <v>18</v>
      </c>
      <c r="W26" s="169">
        <f>'발전사업(A)'!AV9 + '자가소비(B)'!AV9 + 'PPA 사업(C)'!AV9 + '리스사업(D)'!AV9 + '임대사업(E)'!AV9 + '환경부사업(F)'!AV9 + '프로젝트(G)'!AV9 + '협력사 EPC(H)'!AV9 + '기타(Z)'!AV9</f>
        <v>9</v>
      </c>
    </row>
    <row r="27" spans="1:23" x14ac:dyDescent="0.25">
      <c r="A27">
        <v>2</v>
      </c>
      <c r="B27" s="416"/>
      <c r="C27" s="95">
        <v>2</v>
      </c>
      <c r="D27" s="102" t="s">
        <v>65</v>
      </c>
      <c r="E27" s="134">
        <f>'발전사업(A)'!AD10 + '자가소비(B)'!AD10 + 'PPA 사업(C)'!AD10 + '리스사업(D)'!AD10 + '임대사업(E)'!AD10 + '환경부사업(F)'!AD10 + '프로젝트(G)'!AD10 + '협력사 EPC(H)'!AD10 + '기타(Z)'!AD10</f>
        <v>170.18</v>
      </c>
      <c r="F27" s="41">
        <f>'발전사업(A)'!AE10 + '자가소비(B)'!AE10 + 'PPA 사업(C)'!AE10 + '리스사업(D)'!AE10 + '임대사업(E)'!AE10 + '환경부사업(F)'!AE10 + '프로젝트(G)'!AE10 + '협력사 EPC(H)'!AE10 + '기타(Z)'!AE10</f>
        <v>170.18</v>
      </c>
      <c r="G27" s="41">
        <f>'발전사업(A)'!AF10 + '자가소비(B)'!AF10 + 'PPA 사업(C)'!AF10 + '리스사업(D)'!AF10 + '임대사업(E)'!AF10 + '환경부사업(F)'!AF10 + '프로젝트(G)'!AF10 + '협력사 EPC(H)'!AF10 + '기타(Z)'!AF10</f>
        <v>0</v>
      </c>
      <c r="H27" s="41">
        <f>'발전사업(A)'!AG10 + '자가소비(B)'!AG10 + 'PPA 사업(C)'!AG10 + '리스사업(D)'!AG10 + '임대사업(E)'!AG10 + '환경부사업(F)'!AG10 + '프로젝트(G)'!AG10 + '협력사 EPC(H)'!AG10 + '기타(Z)'!AG10</f>
        <v>0</v>
      </c>
      <c r="I27" s="130">
        <f>'발전사업(A)'!AH10 + '자가소비(B)'!AH10 + 'PPA 사업(C)'!AH10 + '리스사업(D)'!AH10 + '임대사업(E)'!AH10 + '환경부사업(F)'!AH10 + '프로젝트(G)'!AH10 + '협력사 EPC(H)'!AH10 + '기타(Z)'!AH10</f>
        <v>0</v>
      </c>
      <c r="J27" s="120">
        <f>'발전사업(A)'!AI10 + '자가소비(B)'!AI10 + 'PPA 사업(C)'!AI10 + '리스사업(D)'!AI10 + '임대사업(E)'!AI10 + '환경부사업(F)'!AI10 + '프로젝트(G)'!AI10 + '협력사 EPC(H)'!AI10 + '기타(Z)'!AI10</f>
        <v>2</v>
      </c>
      <c r="K27" s="188">
        <f>'발전사업(A)'!AJ10 + '자가소비(B)'!AJ10 + 'PPA 사업(C)'!AJ10 + '리스사업(D)'!AJ10 + '임대사업(E)'!AJ10 + '환경부사업(F)'!AJ10 + '프로젝트(G)'!AJ10 + '협력사 EPC(H)'!AJ10 + '기타(Z)'!AJ10</f>
        <v>2</v>
      </c>
      <c r="L27" s="188">
        <f>'발전사업(A)'!AK10 + '자가소비(B)'!AK10 + 'PPA 사업(C)'!AK10 + '리스사업(D)'!AK10 + '임대사업(E)'!AK10 + '환경부사업(F)'!AK10 + '프로젝트(G)'!AK10 + '협력사 EPC(H)'!AK10 + '기타(Z)'!AK10</f>
        <v>0</v>
      </c>
      <c r="M27" s="188">
        <f>'발전사업(A)'!AL10 + '자가소비(B)'!AL10 + 'PPA 사업(C)'!AL10 + '리스사업(D)'!AL10 + '임대사업(E)'!AL10 + '환경부사업(F)'!AL10 + '프로젝트(G)'!AL10 + '협력사 EPC(H)'!AL10 + '기타(Z)'!AL10</f>
        <v>0</v>
      </c>
      <c r="N27" s="189">
        <f>'발전사업(A)'!AM10 + '자가소비(B)'!AM10 + 'PPA 사업(C)'!AM10 + '리스사업(D)'!AM10 + '임대사업(E)'!AM10 + '환경부사업(F)'!AM10 + '프로젝트(G)'!AM10 + '협력사 EPC(H)'!AM10 + '기타(Z)'!AM10</f>
        <v>0</v>
      </c>
      <c r="O27" s="41">
        <f>'발전사업(A)'!AN10 + '자가소비(B)'!AN10 + 'PPA 사업(C)'!AN10 + '리스사업(D)'!AN10 + '임대사업(E)'!AN10 + '환경부사업(F)'!AN10 + '프로젝트(G)'!AN10 + '협력사 EPC(H)'!AN10 + '기타(Z)'!AN10 + '협력사 하도(I)'!AN10</f>
        <v>1.7</v>
      </c>
      <c r="P27" s="41">
        <f>'발전사업(A)'!AO10 + '자가소비(B)'!AO10 + 'PPA 사업(C)'!AO10 + '리스사업(D)'!AO10 + '임대사업(E)'!AO10 + '환경부사업(F)'!AO10 + '프로젝트(G)'!AO10 + '협력사 EPC(H)'!AO10 + '기타(Z)'!AO10 + '협력사 하도(I)'!AO10</f>
        <v>1.7</v>
      </c>
      <c r="Q27" s="41">
        <f>'발전사업(A)'!AP10 + '자가소비(B)'!AP10 + 'PPA 사업(C)'!AP10 + '리스사업(D)'!AP10 + '임대사업(E)'!AP10 + '환경부사업(F)'!AP10 + '프로젝트(G)'!AP10 + '협력사 EPC(H)'!AP10 + '기타(Z)'!AP10 + '협력사 하도(I)'!AP10</f>
        <v>0</v>
      </c>
      <c r="R27" s="41">
        <f>'발전사업(A)'!AQ10 + '자가소비(B)'!AQ10 + 'PPA 사업(C)'!AQ10 + '리스사업(D)'!AQ10 + '임대사업(E)'!AQ10 + '환경부사업(F)'!AQ10 + '프로젝트(G)'!AQ10 + '협력사 EPC(H)'!AQ10 + '기타(Z)'!AQ10 + '협력사 하도(I)'!AQ10</f>
        <v>0</v>
      </c>
      <c r="S27" s="135">
        <f>'발전사업(A)'!AR10 + '자가소비(B)'!AR10 + 'PPA 사업(C)'!AR10 + '리스사업(D)'!AR10 + '임대사업(E)'!AR10 + '환경부사업(F)'!AR10 + '프로젝트(G)'!AR10 + '협력사 EPC(H)'!AR10 + '기타(Z)'!AR10 + '협력사 하도(I)'!AR10</f>
        <v>0</v>
      </c>
      <c r="U27" s="157">
        <v>7</v>
      </c>
      <c r="V27" s="158">
        <f>'발전사업(A)'!AU10 + '자가소비(B)'!AU10 + 'PPA 사업(C)'!AU10 + '리스사업(D)'!AU10 + '임대사업(E)'!AU10 + '환경부사업(F)'!AU10 + '프로젝트(G)'!AU10 + '협력사 EPC(H)'!AU10 + '기타(Z)'!AU10</f>
        <v>19</v>
      </c>
      <c r="W27" s="169">
        <f>'발전사업(A)'!AV10 + '자가소비(B)'!AV10 + 'PPA 사업(C)'!AV10 + '리스사업(D)'!AV10 + '임대사업(E)'!AV10 + '환경부사업(F)'!AV10 + '프로젝트(G)'!AV10 + '협력사 EPC(H)'!AV10 + '기타(Z)'!AV10</f>
        <v>7</v>
      </c>
    </row>
    <row r="28" spans="1:23" x14ac:dyDescent="0.25">
      <c r="A28">
        <v>2</v>
      </c>
      <c r="B28" s="416"/>
      <c r="C28" s="95">
        <v>3</v>
      </c>
      <c r="D28" s="102" t="s">
        <v>66</v>
      </c>
      <c r="E28" s="134">
        <f>'발전사업(A)'!AD11 + '자가소비(B)'!AD11 + 'PPA 사업(C)'!AD11 + '리스사업(D)'!AD11 + '임대사업(E)'!AD11 + '환경부사업(F)'!AD11 + '프로젝트(G)'!AD11 + '협력사 EPC(H)'!AD11 + '기타(Z)'!AD11</f>
        <v>892.41</v>
      </c>
      <c r="F28" s="41">
        <f>'발전사업(A)'!AE11 + '자가소비(B)'!AE11 + 'PPA 사업(C)'!AE11 + '리스사업(D)'!AE11 + '임대사업(E)'!AE11 + '환경부사업(F)'!AE11 + '프로젝트(G)'!AE11 + '협력사 EPC(H)'!AE11 + '기타(Z)'!AE11</f>
        <v>393.21</v>
      </c>
      <c r="G28" s="41">
        <f>'발전사업(A)'!AF11 + '자가소비(B)'!AF11 + 'PPA 사업(C)'!AF11 + '리스사업(D)'!AF11 + '임대사업(E)'!AF11 + '환경부사업(F)'!AF11 + '프로젝트(G)'!AF11 + '협력사 EPC(H)'!AF11 + '기타(Z)'!AF11</f>
        <v>499.2</v>
      </c>
      <c r="H28" s="41">
        <f>'발전사업(A)'!AG11 + '자가소비(B)'!AG11 + 'PPA 사업(C)'!AG11 + '리스사업(D)'!AG11 + '임대사업(E)'!AG11 + '환경부사업(F)'!AG11 + '프로젝트(G)'!AG11 + '협력사 EPC(H)'!AG11 + '기타(Z)'!AG11</f>
        <v>0</v>
      </c>
      <c r="I28" s="130">
        <f>'발전사업(A)'!AH11 + '자가소비(B)'!AH11 + 'PPA 사업(C)'!AH11 + '리스사업(D)'!AH11 + '임대사업(E)'!AH11 + '환경부사업(F)'!AH11 + '프로젝트(G)'!AH11 + '협력사 EPC(H)'!AH11 + '기타(Z)'!AH11</f>
        <v>0</v>
      </c>
      <c r="J28" s="120">
        <f>'발전사업(A)'!AI11 + '자가소비(B)'!AI11 + 'PPA 사업(C)'!AI11 + '리스사업(D)'!AI11 + '임대사업(E)'!AI11 + '환경부사업(F)'!AI11 + '프로젝트(G)'!AI11 + '협력사 EPC(H)'!AI11 + '기타(Z)'!AI11</f>
        <v>4</v>
      </c>
      <c r="K28" s="188">
        <f>'발전사업(A)'!AJ11 + '자가소비(B)'!AJ11 + 'PPA 사업(C)'!AJ11 + '리스사업(D)'!AJ11 + '임대사업(E)'!AJ11 + '환경부사업(F)'!AJ11 + '프로젝트(G)'!AJ11 + '협력사 EPC(H)'!AJ11 + '기타(Z)'!AJ11</f>
        <v>3</v>
      </c>
      <c r="L28" s="188">
        <f>'발전사업(A)'!AK11 + '자가소비(B)'!AK11 + 'PPA 사업(C)'!AK11 + '리스사업(D)'!AK11 + '임대사업(E)'!AK11 + '환경부사업(F)'!AK11 + '프로젝트(G)'!AK11 + '협력사 EPC(H)'!AK11 + '기타(Z)'!AK11</f>
        <v>1</v>
      </c>
      <c r="M28" s="188">
        <f>'발전사업(A)'!AL11 + '자가소비(B)'!AL11 + 'PPA 사업(C)'!AL11 + '리스사업(D)'!AL11 + '임대사업(E)'!AL11 + '환경부사업(F)'!AL11 + '프로젝트(G)'!AL11 + '협력사 EPC(H)'!AL11 + '기타(Z)'!AL11</f>
        <v>0</v>
      </c>
      <c r="N28" s="189">
        <f>'발전사업(A)'!AM11 + '자가소비(B)'!AM11 + 'PPA 사업(C)'!AM11 + '리스사업(D)'!AM11 + '임대사업(E)'!AM11 + '환경부사업(F)'!AM11 + '프로젝트(G)'!AM11 + '협력사 EPC(H)'!AM11 + '기타(Z)'!AM11</f>
        <v>0</v>
      </c>
      <c r="O28" s="41">
        <f>'발전사업(A)'!AN11 + '자가소비(B)'!AN11 + 'PPA 사업(C)'!AN11 + '리스사업(D)'!AN11 + '임대사업(E)'!AN11 + '환경부사업(F)'!AN11 + '프로젝트(G)'!AN11 + '협력사 EPC(H)'!AN11 + '기타(Z)'!AN11 + '협력사 하도(I)'!AN11</f>
        <v>9.2800000000000011</v>
      </c>
      <c r="P28" s="41">
        <f>'발전사업(A)'!AO11 + '자가소비(B)'!AO11 + 'PPA 사업(C)'!AO11 + '리스사업(D)'!AO11 + '임대사업(E)'!AO11 + '환경부사업(F)'!AO11 + '프로젝트(G)'!AO11 + '협력사 EPC(H)'!AO11 + '기타(Z)'!AO11 + '협력사 하도(I)'!AO11</f>
        <v>4.03</v>
      </c>
      <c r="Q28" s="41">
        <f>'발전사업(A)'!AP11 + '자가소비(B)'!AP11 + 'PPA 사업(C)'!AP11 + '리스사업(D)'!AP11 + '임대사업(E)'!AP11 + '환경부사업(F)'!AP11 + '프로젝트(G)'!AP11 + '협력사 EPC(H)'!AP11 + '기타(Z)'!AP11 + '협력사 하도(I)'!AP11</f>
        <v>5.25</v>
      </c>
      <c r="R28" s="41">
        <f>'발전사업(A)'!AQ11 + '자가소비(B)'!AQ11 + 'PPA 사업(C)'!AQ11 + '리스사업(D)'!AQ11 + '임대사업(E)'!AQ11 + '환경부사업(F)'!AQ11 + '프로젝트(G)'!AQ11 + '협력사 EPC(H)'!AQ11 + '기타(Z)'!AQ11 + '협력사 하도(I)'!AQ11</f>
        <v>0</v>
      </c>
      <c r="S28" s="135">
        <f>'발전사업(A)'!AR11 + '자가소비(B)'!AR11 + 'PPA 사업(C)'!AR11 + '리스사업(D)'!AR11 + '임대사업(E)'!AR11 + '환경부사업(F)'!AR11 + '프로젝트(G)'!AR11 + '협력사 EPC(H)'!AR11 + '기타(Z)'!AR11 + '협력사 하도(I)'!AR11</f>
        <v>0</v>
      </c>
      <c r="U28" s="157">
        <v>8</v>
      </c>
      <c r="V28" s="158">
        <f>'발전사업(A)'!AU11 + '자가소비(B)'!AU11 + 'PPA 사업(C)'!AU11 + '리스사업(D)'!AU11 + '임대사업(E)'!AU11 + '환경부사업(F)'!AU11 + '프로젝트(G)'!AU11 + '협력사 EPC(H)'!AU11 + '기타(Z)'!AU11</f>
        <v>23</v>
      </c>
      <c r="W28" s="169">
        <f>'발전사업(A)'!AV11 + '자가소비(B)'!AV11 + 'PPA 사업(C)'!AV11 + '리스사업(D)'!AV11 + '임대사업(E)'!AV11 + '환경부사업(F)'!AV11 + '프로젝트(G)'!AV11 + '협력사 EPC(H)'!AV11 + '기타(Z)'!AV11</f>
        <v>4</v>
      </c>
    </row>
    <row r="29" spans="1:23" x14ac:dyDescent="0.25">
      <c r="A29">
        <v>2</v>
      </c>
      <c r="B29" s="416"/>
      <c r="C29" s="95">
        <v>4</v>
      </c>
      <c r="D29" s="102" t="s">
        <v>67</v>
      </c>
      <c r="E29" s="134">
        <f>'발전사업(A)'!AD12 + '자가소비(B)'!AD12 + 'PPA 사업(C)'!AD12 + '리스사업(D)'!AD12 + '임대사업(E)'!AD12 + '환경부사업(F)'!AD12 + '프로젝트(G)'!AD12 + '협력사 EPC(H)'!AD12 + '기타(Z)'!AD12</f>
        <v>7672.84</v>
      </c>
      <c r="F29" s="41">
        <f>'발전사업(A)'!AE12 + '자가소비(B)'!AE12 + 'PPA 사업(C)'!AE12 + '리스사업(D)'!AE12 + '임대사업(E)'!AE12 + '환경부사업(F)'!AE12 + '프로젝트(G)'!AE12 + '협력사 EPC(H)'!AE12 + '기타(Z)'!AE12</f>
        <v>796.21499999999992</v>
      </c>
      <c r="G29" s="41">
        <f>'발전사업(A)'!AF12 + '자가소비(B)'!AF12 + 'PPA 사업(C)'!AF12 + '리스사업(D)'!AF12 + '임대사업(E)'!AF12 + '환경부사업(F)'!AF12 + '프로젝트(G)'!AF12 + '협력사 EPC(H)'!AF12 + '기타(Z)'!AF12</f>
        <v>453.12</v>
      </c>
      <c r="H29" s="41">
        <f>'발전사업(A)'!AG12 + '자가소비(B)'!AG12 + 'PPA 사업(C)'!AG12 + '리스사업(D)'!AG12 + '임대사업(E)'!AG12 + '환경부사업(F)'!AG12 + '프로젝트(G)'!AG12 + '협력사 EPC(H)'!AG12 + '기타(Z)'!AG12</f>
        <v>6423.5050000000001</v>
      </c>
      <c r="I29" s="130">
        <f>'발전사업(A)'!AH12 + '자가소비(B)'!AH12 + 'PPA 사업(C)'!AH12 + '리스사업(D)'!AH12 + '임대사업(E)'!AH12 + '환경부사업(F)'!AH12 + '프로젝트(G)'!AH12 + '협력사 EPC(H)'!AH12 + '기타(Z)'!AH12</f>
        <v>0</v>
      </c>
      <c r="J29" s="120">
        <f>'발전사업(A)'!AI12 + '자가소비(B)'!AI12 + 'PPA 사업(C)'!AI12 + '리스사업(D)'!AI12 + '임대사업(E)'!AI12 + '환경부사업(F)'!AI12 + '프로젝트(G)'!AI12 + '협력사 EPC(H)'!AI12 + '기타(Z)'!AI12</f>
        <v>12</v>
      </c>
      <c r="K29" s="188">
        <f>'발전사업(A)'!AJ12 + '자가소비(B)'!AJ12 + 'PPA 사업(C)'!AJ12 + '리스사업(D)'!AJ12 + '임대사업(E)'!AJ12 + '환경부사업(F)'!AJ12 + '프로젝트(G)'!AJ12 + '협력사 EPC(H)'!AJ12 + '기타(Z)'!AJ12</f>
        <v>8</v>
      </c>
      <c r="L29" s="188">
        <f>'발전사업(A)'!AK12 + '자가소비(B)'!AK12 + 'PPA 사업(C)'!AK12 + '리스사업(D)'!AK12 + '임대사업(E)'!AK12 + '환경부사업(F)'!AK12 + '프로젝트(G)'!AK12 + '협력사 EPC(H)'!AK12 + '기타(Z)'!AK12</f>
        <v>1</v>
      </c>
      <c r="M29" s="188">
        <f>'발전사업(A)'!AL12 + '자가소비(B)'!AL12 + 'PPA 사업(C)'!AL12 + '리스사업(D)'!AL12 + '임대사업(E)'!AL12 + '환경부사업(F)'!AL12 + '프로젝트(G)'!AL12 + '협력사 EPC(H)'!AL12 + '기타(Z)'!AL12</f>
        <v>3</v>
      </c>
      <c r="N29" s="189">
        <f>'발전사업(A)'!AM12 + '자가소비(B)'!AM12 + 'PPA 사업(C)'!AM12 + '리스사업(D)'!AM12 + '임대사업(E)'!AM12 + '환경부사업(F)'!AM12 + '프로젝트(G)'!AM12 + '협력사 EPC(H)'!AM12 + '기타(Z)'!AM12</f>
        <v>0</v>
      </c>
      <c r="O29" s="41">
        <f>'발전사업(A)'!AN12 + '자가소비(B)'!AN12 + 'PPA 사업(C)'!AN12 + '리스사업(D)'!AN12 + '임대사업(E)'!AN12 + '환경부사업(F)'!AN12 + '프로젝트(G)'!AN12 + '협력사 EPC(H)'!AN12 + '기타(Z)'!AN12 + '협력사 하도(I)'!AN12</f>
        <v>52.644000000000005</v>
      </c>
      <c r="P29" s="41">
        <f>'발전사업(A)'!AO12 + '자가소비(B)'!AO12 + 'PPA 사업(C)'!AO12 + '리스사업(D)'!AO12 + '임대사업(E)'!AO12 + '환경부사업(F)'!AO12 + '프로젝트(G)'!AO12 + '협력사 EPC(H)'!AO12 + '기타(Z)'!AO12 + '협력사 하도(I)'!AO12</f>
        <v>7.8940000000000001</v>
      </c>
      <c r="Q29" s="41">
        <f>'발전사업(A)'!AP12 + '자가소비(B)'!AP12 + 'PPA 사업(C)'!AP12 + '리스사업(D)'!AP12 + '임대사업(E)'!AP12 + '환경부사업(F)'!AP12 + '프로젝트(G)'!AP12 + '협력사 EPC(H)'!AP12 + '기타(Z)'!AP12 + '협력사 하도(I)'!AP12</f>
        <v>4.6000000000000005</v>
      </c>
      <c r="R29" s="41">
        <f>'발전사업(A)'!AQ12 + '자가소비(B)'!AQ12 + 'PPA 사업(C)'!AQ12 + '리스사업(D)'!AQ12 + '임대사업(E)'!AQ12 + '환경부사업(F)'!AQ12 + '프로젝트(G)'!AQ12 + '협력사 EPC(H)'!AQ12 + '기타(Z)'!AQ12 + '협력사 하도(I)'!AQ12</f>
        <v>40.15</v>
      </c>
      <c r="S29" s="135">
        <f>'발전사업(A)'!AR12 + '자가소비(B)'!AR12 + 'PPA 사업(C)'!AR12 + '리스사업(D)'!AR12 + '임대사업(E)'!AR12 + '환경부사업(F)'!AR12 + '프로젝트(G)'!AR12 + '협력사 EPC(H)'!AR12 + '기타(Z)'!AR12 + '협력사 하도(I)'!AR12</f>
        <v>0</v>
      </c>
      <c r="U29" s="157">
        <v>9</v>
      </c>
      <c r="V29" s="158">
        <f>'발전사업(A)'!AU12 + '자가소비(B)'!AU12 + 'PPA 사업(C)'!AU12 + '리스사업(D)'!AU12 + '임대사업(E)'!AU12 + '환경부사업(F)'!AU12 + '프로젝트(G)'!AU12 + '협력사 EPC(H)'!AU12 + '기타(Z)'!AU12</f>
        <v>22</v>
      </c>
      <c r="W29" s="169">
        <f>'발전사업(A)'!AV12 + '자가소비(B)'!AV12 + 'PPA 사업(C)'!AV12 + '리스사업(D)'!AV12 + '임대사업(E)'!AV12 + '환경부사업(F)'!AV12 + '프로젝트(G)'!AV12 + '협력사 EPC(H)'!AV12 + '기타(Z)'!AV12</f>
        <v>16</v>
      </c>
    </row>
    <row r="30" spans="1:23" x14ac:dyDescent="0.25">
      <c r="A30">
        <v>2</v>
      </c>
      <c r="B30" s="416"/>
      <c r="C30" s="96">
        <v>5</v>
      </c>
      <c r="D30" s="102"/>
      <c r="E30" s="134">
        <f>'발전사업(A)'!AD13 + '자가소비(B)'!AD13 + 'PPA 사업(C)'!AD13 + '리스사업(D)'!AD13 + '임대사업(E)'!AD13 + '환경부사업(F)'!AD13 + '프로젝트(G)'!AD13 + '협력사 EPC(H)'!AD13 + '기타(Z)'!AD13</f>
        <v>0</v>
      </c>
      <c r="F30" s="41">
        <f>'발전사업(A)'!AE13 + '자가소비(B)'!AE13 + 'PPA 사업(C)'!AE13 + '리스사업(D)'!AE13 + '임대사업(E)'!AE13 + '환경부사업(F)'!AE13 + '프로젝트(G)'!AE13 + '협력사 EPC(H)'!AE13 + '기타(Z)'!AE13</f>
        <v>0</v>
      </c>
      <c r="G30" s="41">
        <f>'발전사업(A)'!AF13 + '자가소비(B)'!AF13 + 'PPA 사업(C)'!AF13 + '리스사업(D)'!AF13 + '임대사업(E)'!AF13 + '환경부사업(F)'!AF13 + '프로젝트(G)'!AF13 + '협력사 EPC(H)'!AF13 + '기타(Z)'!AF13</f>
        <v>0</v>
      </c>
      <c r="H30" s="41">
        <f>'발전사업(A)'!AG13 + '자가소비(B)'!AG13 + 'PPA 사업(C)'!AG13 + '리스사업(D)'!AG13 + '임대사업(E)'!AG13 + '환경부사업(F)'!AG13 + '프로젝트(G)'!AG13 + '협력사 EPC(H)'!AG13 + '기타(Z)'!AG13</f>
        <v>0</v>
      </c>
      <c r="I30" s="130">
        <f>'발전사업(A)'!AH13 + '자가소비(B)'!AH13 + 'PPA 사업(C)'!AH13 + '리스사업(D)'!AH13 + '임대사업(E)'!AH13 + '환경부사업(F)'!AH13 + '프로젝트(G)'!AH13 + '협력사 EPC(H)'!AH13 + '기타(Z)'!AH13</f>
        <v>0</v>
      </c>
      <c r="J30" s="120">
        <f>'발전사업(A)'!AI13 + '자가소비(B)'!AI13 + 'PPA 사업(C)'!AI13 + '리스사업(D)'!AI13 + '임대사업(E)'!AI13 + '환경부사업(F)'!AI13 + '프로젝트(G)'!AI13 + '협력사 EPC(H)'!AI13 + '기타(Z)'!AI13</f>
        <v>0</v>
      </c>
      <c r="K30" s="188">
        <f>'발전사업(A)'!AJ13 + '자가소비(B)'!AJ13 + 'PPA 사업(C)'!AJ13 + '리스사업(D)'!AJ13 + '임대사업(E)'!AJ13 + '환경부사업(F)'!AJ13 + '프로젝트(G)'!AJ13 + '협력사 EPC(H)'!AJ13 + '기타(Z)'!AJ13</f>
        <v>0</v>
      </c>
      <c r="L30" s="188">
        <f>'발전사업(A)'!AK13 + '자가소비(B)'!AK13 + 'PPA 사업(C)'!AK13 + '리스사업(D)'!AK13 + '임대사업(E)'!AK13 + '환경부사업(F)'!AK13 + '프로젝트(G)'!AK13 + '협력사 EPC(H)'!AK13 + '기타(Z)'!AK13</f>
        <v>0</v>
      </c>
      <c r="M30" s="188">
        <f>'발전사업(A)'!AL13 + '자가소비(B)'!AL13 + 'PPA 사업(C)'!AL13 + '리스사업(D)'!AL13 + '임대사업(E)'!AL13 + '환경부사업(F)'!AL13 + '프로젝트(G)'!AL13 + '협력사 EPC(H)'!AL13 + '기타(Z)'!AL13</f>
        <v>0</v>
      </c>
      <c r="N30" s="189">
        <f>'발전사업(A)'!AM13 + '자가소비(B)'!AM13 + 'PPA 사업(C)'!AM13 + '리스사업(D)'!AM13 + '임대사업(E)'!AM13 + '환경부사업(F)'!AM13 + '프로젝트(G)'!AM13 + '협력사 EPC(H)'!AM13 + '기타(Z)'!AM13</f>
        <v>0</v>
      </c>
      <c r="O30" s="41">
        <f>'발전사업(A)'!AN13 + '자가소비(B)'!AN13 + 'PPA 사업(C)'!AN13 + '리스사업(D)'!AN13 + '임대사업(E)'!AN13 + '환경부사업(F)'!AN13 + '프로젝트(G)'!AN13 + '협력사 EPC(H)'!AN13 + '기타(Z)'!AN13 + '협력사 하도(I)'!AN13</f>
        <v>0</v>
      </c>
      <c r="P30" s="41">
        <f>'발전사업(A)'!AO13 + '자가소비(B)'!AO13 + 'PPA 사업(C)'!AO13 + '리스사업(D)'!AO13 + '임대사업(E)'!AO13 + '환경부사업(F)'!AO13 + '프로젝트(G)'!AO13 + '협력사 EPC(H)'!AO13 + '기타(Z)'!AO13 + '협력사 하도(I)'!AO13</f>
        <v>0</v>
      </c>
      <c r="Q30" s="41">
        <f>'발전사업(A)'!AP13 + '자가소비(B)'!AP13 + 'PPA 사업(C)'!AP13 + '리스사업(D)'!AP13 + '임대사업(E)'!AP13 + '환경부사업(F)'!AP13 + '프로젝트(G)'!AP13 + '협력사 EPC(H)'!AP13 + '기타(Z)'!AP13 + '협력사 하도(I)'!AP13</f>
        <v>0</v>
      </c>
      <c r="R30" s="41">
        <f>'발전사업(A)'!AQ13 + '자가소비(B)'!AQ13 + 'PPA 사업(C)'!AQ13 + '리스사업(D)'!AQ13 + '임대사업(E)'!AQ13 + '환경부사업(F)'!AQ13 + '프로젝트(G)'!AQ13 + '협력사 EPC(H)'!AQ13 + '기타(Z)'!AQ13 + '협력사 하도(I)'!AQ13</f>
        <v>0</v>
      </c>
      <c r="S30" s="135">
        <f>'발전사업(A)'!AR13 + '자가소비(B)'!AR13 + 'PPA 사업(C)'!AR13 + '리스사업(D)'!AR13 + '임대사업(E)'!AR13 + '환경부사업(F)'!AR13 + '프로젝트(G)'!AR13 + '협력사 EPC(H)'!AR13 + '기타(Z)'!AR13 + '협력사 하도(I)'!AR13</f>
        <v>0</v>
      </c>
      <c r="U30" s="157">
        <v>10</v>
      </c>
      <c r="V30" s="158">
        <f>'발전사업(A)'!AU13 + '자가소비(B)'!AU13 + 'PPA 사업(C)'!AU13 + '리스사업(D)'!AU13 + '임대사업(E)'!AU13 + '환경부사업(F)'!AU13 + '프로젝트(G)'!AU13 + '협력사 EPC(H)'!AU13 + '기타(Z)'!AU13</f>
        <v>36</v>
      </c>
      <c r="W30" s="169">
        <f>'발전사업(A)'!AV13 + '자가소비(B)'!AV13 + 'PPA 사업(C)'!AV13 + '리스사업(D)'!AV13 + '임대사업(E)'!AV13 + '환경부사업(F)'!AV13 + '프로젝트(G)'!AV13 + '협력사 EPC(H)'!AV13 + '기타(Z)'!AV13</f>
        <v>11</v>
      </c>
    </row>
    <row r="31" spans="1:23" ht="14.25" thickBot="1" x14ac:dyDescent="0.3">
      <c r="A31">
        <v>2</v>
      </c>
      <c r="B31" s="417"/>
      <c r="C31" s="97" t="s">
        <v>3</v>
      </c>
      <c r="D31" s="103"/>
      <c r="E31" s="146">
        <f>'발전사업(A)'!AD14 + '자가소비(B)'!AD14 + 'PPA 사업(C)'!AD14 + '리스사업(D)'!AD14 + '임대사업(E)'!AD14 + '환경부사업(F)'!AD14 + '프로젝트(G)'!AD14 + '협력사 EPC(H)'!AD14 + '기타(Z)'!AD14</f>
        <v>11143.11</v>
      </c>
      <c r="F31" s="147">
        <f>'발전사업(A)'!AE14 + '자가소비(B)'!AE14 + 'PPA 사업(C)'!AE14 + '리스사업(D)'!AE14 + '임대사업(E)'!AE14 + '환경부사업(F)'!AE14 + '프로젝트(G)'!AE14 + '협력사 EPC(H)'!AE14 + '기타(Z)'!AE14</f>
        <v>3691.7649999999994</v>
      </c>
      <c r="G31" s="147">
        <f>'발전사업(A)'!AF14 + '자가소비(B)'!AF14 + 'PPA 사업(C)'!AF14 + '리스사업(D)'!AF14 + '임대사업(E)'!AF14 + '환경부사업(F)'!AF14 + '프로젝트(G)'!AF14 + '협력사 EPC(H)'!AF14 + '기타(Z)'!AF14</f>
        <v>1027.8400000000001</v>
      </c>
      <c r="H31" s="147">
        <f>'발전사업(A)'!AG14 + '자가소비(B)'!AG14 + 'PPA 사업(C)'!AG14 + '리스사업(D)'!AG14 + '임대사업(E)'!AG14 + '환경부사업(F)'!AG14 + '프로젝트(G)'!AG14 + '협력사 EPC(H)'!AG14 + '기타(Z)'!AG14</f>
        <v>6423.5050000000001</v>
      </c>
      <c r="I31" s="148">
        <f>'발전사업(A)'!AH14 + '자가소비(B)'!AH14 + 'PPA 사업(C)'!AH14 + '리스사업(D)'!AH14 + '임대사업(E)'!AH14 + '환경부사업(F)'!AH14 + '프로젝트(G)'!AH14 + '협력사 EPC(H)'!AH14 + '기타(Z)'!AH14</f>
        <v>0</v>
      </c>
      <c r="J31" s="196">
        <f>'발전사업(A)'!AI14 + '자가소비(B)'!AI14 + 'PPA 사업(C)'!AI14 + '리스사업(D)'!AI14 + '임대사업(E)'!AI14 + '환경부사업(F)'!AI14 + '프로젝트(G)'!AI14 + '협력사 EPC(H)'!AI14 + '기타(Z)'!AI14</f>
        <v>20</v>
      </c>
      <c r="K31" s="197">
        <f>'발전사업(A)'!AJ14 + '자가소비(B)'!AJ14 + 'PPA 사업(C)'!AJ14 + '리스사업(D)'!AJ14 + '임대사업(E)'!AJ14 + '환경부사업(F)'!AJ14 + '프로젝트(G)'!AJ14 + '협력사 EPC(H)'!AJ14 + '기타(Z)'!AJ14</f>
        <v>14</v>
      </c>
      <c r="L31" s="197">
        <f>'발전사업(A)'!AK14 + '자가소비(B)'!AK14 + 'PPA 사업(C)'!AK14 + '리스사업(D)'!AK14 + '임대사업(E)'!AK14 + '환경부사업(F)'!AK14 + '프로젝트(G)'!AK14 + '협력사 EPC(H)'!AK14 + '기타(Z)'!AK14</f>
        <v>3</v>
      </c>
      <c r="M31" s="197">
        <f>'발전사업(A)'!AL14 + '자가소비(B)'!AL14 + 'PPA 사업(C)'!AL14 + '리스사업(D)'!AL14 + '임대사업(E)'!AL14 + '환경부사업(F)'!AL14 + '프로젝트(G)'!AL14 + '협력사 EPC(H)'!AL14 + '기타(Z)'!AL14</f>
        <v>3</v>
      </c>
      <c r="N31" s="198">
        <f>'발전사업(A)'!AM14 + '자가소비(B)'!AM14 + 'PPA 사업(C)'!AM14 + '리스사업(D)'!AM14 + '임대사업(E)'!AM14 + '환경부사업(F)'!AM14 + '프로젝트(G)'!AM14 + '협력사 EPC(H)'!AM14 + '기타(Z)'!AM14</f>
        <v>0</v>
      </c>
      <c r="O31" s="147">
        <f>'발전사업(A)'!AN14 + '자가소비(B)'!AN14 + 'PPA 사업(C)'!AN14 + '리스사업(D)'!AN14 + '임대사업(E)'!AN14 + '환경부사업(F)'!AN14 + '프로젝트(G)'!AN14 + '협력사 EPC(H)'!AN14 + '기타(Z)'!AN14 + '협력사 하도(I)'!AN14</f>
        <v>94.954000000000008</v>
      </c>
      <c r="P31" s="147">
        <f>'발전사업(A)'!AO14 + '자가소비(B)'!AO14 + 'PPA 사업(C)'!AO14 + '리스사업(D)'!AO14 + '임대사업(E)'!AO14 + '환경부사업(F)'!AO14 + '프로젝트(G)'!AO14 + '협력사 EPC(H)'!AO14 + '기타(Z)'!AO14 + '협력사 하도(I)'!AO14</f>
        <v>44.124000000000002</v>
      </c>
      <c r="Q31" s="147">
        <f>'발전사업(A)'!AP14 + '자가소비(B)'!AP14 + 'PPA 사업(C)'!AP14 + '리스사업(D)'!AP14 + '임대사업(E)'!AP14 + '환경부사업(F)'!AP14 + '프로젝트(G)'!AP14 + '협력사 EPC(H)'!AP14 + '기타(Z)'!AP14 + '협력사 하도(I)'!AP14</f>
        <v>10.68</v>
      </c>
      <c r="R31" s="147">
        <f>'발전사업(A)'!AQ14 + '자가소비(B)'!AQ14 + 'PPA 사업(C)'!AQ14 + '리스사업(D)'!AQ14 + '임대사업(E)'!AQ14 + '환경부사업(F)'!AQ14 + '프로젝트(G)'!AQ14 + '협력사 EPC(H)'!AQ14 + '기타(Z)'!AQ14 + '협력사 하도(I)'!AQ14</f>
        <v>40.15</v>
      </c>
      <c r="S31" s="149">
        <f>'발전사업(A)'!AR14 + '자가소비(B)'!AR14 + 'PPA 사업(C)'!AR14 + '리스사업(D)'!AR14 + '임대사업(E)'!AR14 + '환경부사업(F)'!AR14 + '프로젝트(G)'!AR14 + '협력사 EPC(H)'!AR14 + '기타(Z)'!AR14 + '협력사 하도(I)'!AR14</f>
        <v>0</v>
      </c>
      <c r="U31" s="157">
        <v>11</v>
      </c>
      <c r="V31" s="158">
        <f>'발전사업(A)'!AU14 + '자가소비(B)'!AU14 + 'PPA 사업(C)'!AU14 + '리스사업(D)'!AU14 + '임대사업(E)'!AU14 + '환경부사업(F)'!AU14 + '프로젝트(G)'!AU14 + '협력사 EPC(H)'!AU14 + '기타(Z)'!AU14</f>
        <v>30</v>
      </c>
      <c r="W31" s="169">
        <f>'발전사업(A)'!AV14 + '자가소비(B)'!AV14 + 'PPA 사업(C)'!AV14 + '리스사업(D)'!AV14 + '임대사업(E)'!AV14 + '환경부사업(F)'!AV14 + '프로젝트(G)'!AV14 + '협력사 EPC(H)'!AV14 + '기타(Z)'!AV14</f>
        <v>7</v>
      </c>
    </row>
    <row r="32" spans="1:23" ht="14.25" thickBot="1" x14ac:dyDescent="0.3">
      <c r="A32">
        <v>3</v>
      </c>
      <c r="B32" s="415">
        <v>3</v>
      </c>
      <c r="C32" s="94">
        <v>1</v>
      </c>
      <c r="D32" s="100" t="s">
        <v>107</v>
      </c>
      <c r="E32" s="41">
        <f>'발전사업(A)'!AD15 + '자가소비(B)'!AD15 + 'PPA 사업(C)'!AD15 + '리스사업(D)'!AD15 + '임대사업(E)'!AD15 + '환경부사업(F)'!AD15 + '프로젝트(G)'!AD15 + '협력사 EPC(H)'!AD15 + '기타(Z)'!AD15</f>
        <v>1712.4950000000001</v>
      </c>
      <c r="F32" s="41">
        <f>'발전사업(A)'!AE15 + '자가소비(B)'!AE15 + 'PPA 사업(C)'!AE15 + '리스사업(D)'!AE15 + '임대사업(E)'!AE15 + '환경부사업(F)'!AE15 + '프로젝트(G)'!AE15 + '협력사 EPC(H)'!AE15 + '기타(Z)'!AE15</f>
        <v>1661.2950000000001</v>
      </c>
      <c r="G32" s="41">
        <f>'발전사업(A)'!AF15 + '자가소비(B)'!AF15 + 'PPA 사업(C)'!AF15 + '리스사업(D)'!AF15 + '임대사업(E)'!AF15 + '환경부사업(F)'!AF15 + '프로젝트(G)'!AF15 + '협력사 EPC(H)'!AF15 + '기타(Z)'!AF15</f>
        <v>51.2</v>
      </c>
      <c r="H32" s="41">
        <f>'발전사업(A)'!AG15 + '자가소비(B)'!AG15 + 'PPA 사업(C)'!AG15 + '리스사업(D)'!AG15 + '임대사업(E)'!AG15 + '환경부사업(F)'!AG15 + '프로젝트(G)'!AG15 + '협력사 EPC(H)'!AG15 + '기타(Z)'!AG15</f>
        <v>0</v>
      </c>
      <c r="I32" s="130">
        <f>'발전사업(A)'!AH15 + '자가소비(B)'!AH15 + 'PPA 사업(C)'!AH15 + '리스사업(D)'!AH15 + '임대사업(E)'!AH15 + '환경부사업(F)'!AH15 + '프로젝트(G)'!AH15 + '협력사 EPC(H)'!AH15 + '기타(Z)'!AH15</f>
        <v>0</v>
      </c>
      <c r="J32" s="120">
        <f>'발전사업(A)'!AI15 + '자가소비(B)'!AI15 + 'PPA 사업(C)'!AI15 + '리스사업(D)'!AI15 + '임대사업(E)'!AI15 + '환경부사업(F)'!AI15 + '프로젝트(G)'!AI15 + '협력사 EPC(H)'!AI15 + '기타(Z)'!AI15</f>
        <v>7</v>
      </c>
      <c r="K32" s="188">
        <f>'발전사업(A)'!AJ15 + '자가소비(B)'!AJ15 + 'PPA 사업(C)'!AJ15 + '리스사업(D)'!AJ15 + '임대사업(E)'!AJ15 + '환경부사업(F)'!AJ15 + '프로젝트(G)'!AJ15 + '협력사 EPC(H)'!AJ15 + '기타(Z)'!AJ15</f>
        <v>6</v>
      </c>
      <c r="L32" s="188">
        <f>'발전사업(A)'!AK15 + '자가소비(B)'!AK15 + 'PPA 사업(C)'!AK15 + '리스사업(D)'!AK15 + '임대사업(E)'!AK15 + '환경부사업(F)'!AK15 + '프로젝트(G)'!AK15 + '협력사 EPC(H)'!AK15 + '기타(Z)'!AK15</f>
        <v>1</v>
      </c>
      <c r="M32" s="188">
        <f>'발전사업(A)'!AL15 + '자가소비(B)'!AL15 + 'PPA 사업(C)'!AL15 + '리스사업(D)'!AL15 + '임대사업(E)'!AL15 + '환경부사업(F)'!AL15 + '프로젝트(G)'!AL15 + '협력사 EPC(H)'!AL15 + '기타(Z)'!AL15</f>
        <v>0</v>
      </c>
      <c r="N32" s="189">
        <f>'발전사업(A)'!AM15 + '자가소비(B)'!AM15 + 'PPA 사업(C)'!AM15 + '리스사업(D)'!AM15 + '임대사업(E)'!AM15 + '환경부사업(F)'!AM15 + '프로젝트(G)'!AM15 + '협력사 EPC(H)'!AM15 + '기타(Z)'!AM15</f>
        <v>0</v>
      </c>
      <c r="O32" s="41">
        <f>'발전사업(A)'!AN15 + '자가소비(B)'!AN15 + 'PPA 사업(C)'!AN15 + '리스사업(D)'!AN15 + '임대사업(E)'!AN15 + '환경부사업(F)'!AN15 + '프로젝트(G)'!AN15 + '협력사 EPC(H)'!AN15 + '기타(Z)'!AN15 + '협력사 하도(I)'!AN15</f>
        <v>12.810200000000002</v>
      </c>
      <c r="P32" s="41">
        <f>'발전사업(A)'!AO15 + '자가소비(B)'!AO15 + 'PPA 사업(C)'!AO15 + '리스사업(D)'!AO15 + '임대사업(E)'!AO15 + '환경부사업(F)'!AO15 + '프로젝트(G)'!AO15 + '협력사 EPC(H)'!AO15 + '기타(Z)'!AO15 + '협력사 하도(I)'!AO15</f>
        <v>12.240200000000002</v>
      </c>
      <c r="Q32" s="41">
        <f>'발전사업(A)'!AP15 + '자가소비(B)'!AP15 + 'PPA 사업(C)'!AP15 + '리스사업(D)'!AP15 + '임대사업(E)'!AP15 + '환경부사업(F)'!AP15 + '프로젝트(G)'!AP15 + '협력사 EPC(H)'!AP15 + '기타(Z)'!AP15 + '협력사 하도(I)'!AP15</f>
        <v>0.57000000000000006</v>
      </c>
      <c r="R32" s="41">
        <f>'발전사업(A)'!AQ15 + '자가소비(B)'!AQ15 + 'PPA 사업(C)'!AQ15 + '리스사업(D)'!AQ15 + '임대사업(E)'!AQ15 + '환경부사업(F)'!AQ15 + '프로젝트(G)'!AQ15 + '협력사 EPC(H)'!AQ15 + '기타(Z)'!AQ15 + '협력사 하도(I)'!AQ15</f>
        <v>0</v>
      </c>
      <c r="S32" s="135">
        <f>'발전사업(A)'!AR15 + '자가소비(B)'!AR15 + 'PPA 사업(C)'!AR15 + '리스사업(D)'!AR15 + '임대사업(E)'!AR15 + '환경부사업(F)'!AR15 + '프로젝트(G)'!AR15 + '협력사 EPC(H)'!AR15 + '기타(Z)'!AR15 + '협력사 하도(I)'!AR15</f>
        <v>0</v>
      </c>
      <c r="U32" s="160">
        <v>12</v>
      </c>
      <c r="V32" s="165">
        <f>'발전사업(A)'!AU15 + '자가소비(B)'!AU15 + 'PPA 사업(C)'!AU15 + '리스사업(D)'!AU15 + '임대사업(E)'!AU15 + '환경부사업(F)'!AU15 + '프로젝트(G)'!AU15 + '협력사 EPC(H)'!AU15 + '기타(Z)'!AU15</f>
        <v>21</v>
      </c>
      <c r="W32" s="170">
        <f>'발전사업(A)'!AV15 + '자가소비(B)'!AV15 + 'PPA 사업(C)'!AV15 + '리스사업(D)'!AV15 + '임대사업(E)'!AV15 + '환경부사업(F)'!AV15 + '프로젝트(G)'!AV15 + '협력사 EPC(H)'!AV15 + '기타(Z)'!AV15</f>
        <v>1</v>
      </c>
    </row>
    <row r="33" spans="1:23" ht="14.25" thickBot="1" x14ac:dyDescent="0.3">
      <c r="A33">
        <v>3</v>
      </c>
      <c r="B33" s="416"/>
      <c r="C33" s="95">
        <v>2</v>
      </c>
      <c r="D33" s="101" t="s">
        <v>65</v>
      </c>
      <c r="E33" s="41">
        <f>'발전사업(A)'!AD16 + '자가소비(B)'!AD16 + 'PPA 사업(C)'!AD16 + '리스사업(D)'!AD16 + '임대사업(E)'!AD16 + '환경부사업(F)'!AD16 + '프로젝트(G)'!AD16 + '협력사 EPC(H)'!AD16 + '기타(Z)'!AD16</f>
        <v>53.76</v>
      </c>
      <c r="F33" s="41">
        <f>'발전사업(A)'!AE16 + '자가소비(B)'!AE16 + 'PPA 사업(C)'!AE16 + '리스사업(D)'!AE16 + '임대사업(E)'!AE16 + '환경부사업(F)'!AE16 + '프로젝트(G)'!AE16 + '협력사 EPC(H)'!AE16 + '기타(Z)'!AE16</f>
        <v>0</v>
      </c>
      <c r="G33" s="41">
        <f>'발전사업(A)'!AF16 + '자가소비(B)'!AF16 + 'PPA 사업(C)'!AF16 + '리스사업(D)'!AF16 + '임대사업(E)'!AF16 + '환경부사업(F)'!AF16 + '프로젝트(G)'!AF16 + '협력사 EPC(H)'!AF16 + '기타(Z)'!AF16</f>
        <v>53.76</v>
      </c>
      <c r="H33" s="41">
        <f>'발전사업(A)'!AG16 + '자가소비(B)'!AG16 + 'PPA 사업(C)'!AG16 + '리스사업(D)'!AG16 + '임대사업(E)'!AG16 + '환경부사업(F)'!AG16 + '프로젝트(G)'!AG16 + '협력사 EPC(H)'!AG16 + '기타(Z)'!AG16</f>
        <v>0</v>
      </c>
      <c r="I33" s="130">
        <f>'발전사업(A)'!AH16 + '자가소비(B)'!AH16 + 'PPA 사업(C)'!AH16 + '리스사업(D)'!AH16 + '임대사업(E)'!AH16 + '환경부사업(F)'!AH16 + '프로젝트(G)'!AH16 + '협력사 EPC(H)'!AH16 + '기타(Z)'!AH16</f>
        <v>0</v>
      </c>
      <c r="J33" s="120">
        <f>'발전사업(A)'!AI16 + '자가소비(B)'!AI16 + 'PPA 사업(C)'!AI16 + '리스사업(D)'!AI16 + '임대사업(E)'!AI16 + '환경부사업(F)'!AI16 + '프로젝트(G)'!AI16 + '협력사 EPC(H)'!AI16 + '기타(Z)'!AI16</f>
        <v>1</v>
      </c>
      <c r="K33" s="188">
        <f>'발전사업(A)'!AJ16 + '자가소비(B)'!AJ16 + 'PPA 사업(C)'!AJ16 + '리스사업(D)'!AJ16 + '임대사업(E)'!AJ16 + '환경부사업(F)'!AJ16 + '프로젝트(G)'!AJ16 + '협력사 EPC(H)'!AJ16 + '기타(Z)'!AJ16</f>
        <v>0</v>
      </c>
      <c r="L33" s="188">
        <f>'발전사업(A)'!AK16 + '자가소비(B)'!AK16 + 'PPA 사업(C)'!AK16 + '리스사업(D)'!AK16 + '임대사업(E)'!AK16 + '환경부사업(F)'!AK16 + '프로젝트(G)'!AK16 + '협력사 EPC(H)'!AK16 + '기타(Z)'!AK16</f>
        <v>1</v>
      </c>
      <c r="M33" s="188">
        <f>'발전사업(A)'!AL16 + '자가소비(B)'!AL16 + 'PPA 사업(C)'!AL16 + '리스사업(D)'!AL16 + '임대사업(E)'!AL16 + '환경부사업(F)'!AL16 + '프로젝트(G)'!AL16 + '협력사 EPC(H)'!AL16 + '기타(Z)'!AL16</f>
        <v>0</v>
      </c>
      <c r="N33" s="189">
        <f>'발전사업(A)'!AM16 + '자가소비(B)'!AM16 + 'PPA 사업(C)'!AM16 + '리스사업(D)'!AM16 + '임대사업(E)'!AM16 + '환경부사업(F)'!AM16 + '프로젝트(G)'!AM16 + '협력사 EPC(H)'!AM16 + '기타(Z)'!AM16</f>
        <v>0</v>
      </c>
      <c r="O33" s="41">
        <f>'발전사업(A)'!AN16 + '자가소비(B)'!AN16 + 'PPA 사업(C)'!AN16 + '리스사업(D)'!AN16 + '임대사업(E)'!AN16 + '환경부사업(F)'!AN16 + '프로젝트(G)'!AN16 + '협력사 EPC(H)'!AN16 + '기타(Z)'!AN16 + '협력사 하도(I)'!AN16</f>
        <v>0.54</v>
      </c>
      <c r="P33" s="41">
        <f>'발전사업(A)'!AO16 + '자가소비(B)'!AO16 + 'PPA 사업(C)'!AO16 + '리스사업(D)'!AO16 + '임대사업(E)'!AO16 + '환경부사업(F)'!AO16 + '프로젝트(G)'!AO16 + '협력사 EPC(H)'!AO16 + '기타(Z)'!AO16 + '협력사 하도(I)'!AO16</f>
        <v>0</v>
      </c>
      <c r="Q33" s="41">
        <f>'발전사업(A)'!AP16 + '자가소비(B)'!AP16 + 'PPA 사업(C)'!AP16 + '리스사업(D)'!AP16 + '임대사업(E)'!AP16 + '환경부사업(F)'!AP16 + '프로젝트(G)'!AP16 + '협력사 EPC(H)'!AP16 + '기타(Z)'!AP16 + '협력사 하도(I)'!AP16</f>
        <v>0.54</v>
      </c>
      <c r="R33" s="41">
        <f>'발전사업(A)'!AQ16 + '자가소비(B)'!AQ16 + 'PPA 사업(C)'!AQ16 + '리스사업(D)'!AQ16 + '임대사업(E)'!AQ16 + '환경부사업(F)'!AQ16 + '프로젝트(G)'!AQ16 + '협력사 EPC(H)'!AQ16 + '기타(Z)'!AQ16 + '협력사 하도(I)'!AQ16</f>
        <v>0</v>
      </c>
      <c r="S33" s="135">
        <f>'발전사업(A)'!AR16 + '자가소비(B)'!AR16 + 'PPA 사업(C)'!AR16 + '리스사업(D)'!AR16 + '임대사업(E)'!AR16 + '환경부사업(F)'!AR16 + '프로젝트(G)'!AR16 + '협력사 EPC(H)'!AR16 + '기타(Z)'!AR16 + '협력사 하도(I)'!AR16</f>
        <v>0</v>
      </c>
      <c r="U33" s="161" t="s">
        <v>3</v>
      </c>
      <c r="V33" s="166">
        <f>'발전사업(A)'!AU16 + '자가소비(B)'!AU16 + 'PPA 사업(C)'!AU16 + '리스사업(D)'!AU16 + '임대사업(E)'!AU16 + '환경부사업(F)'!AU16 + '프로젝트(G)'!AU16 + '협력사 EPC(H)'!AU16 + '기타(Z)'!AU16</f>
        <v>231</v>
      </c>
      <c r="W33" s="167">
        <f>'발전사업(A)'!AV16 + '자가소비(B)'!AV16 + 'PPA 사업(C)'!AV16 + '리스사업(D)'!AV16 + '임대사업(E)'!AV16 + '환경부사업(F)'!AV16 + '프로젝트(G)'!AV16 + '협력사 EPC(H)'!AV16 + '기타(Z)'!AV16</f>
        <v>85</v>
      </c>
    </row>
    <row r="34" spans="1:23" ht="14.25" thickBot="1" x14ac:dyDescent="0.3">
      <c r="A34">
        <v>3</v>
      </c>
      <c r="B34" s="416"/>
      <c r="C34" s="95">
        <v>3</v>
      </c>
      <c r="D34" s="102" t="s">
        <v>66</v>
      </c>
      <c r="E34" s="41">
        <f>'발전사업(A)'!AD17 + '자가소비(B)'!AD17 + 'PPA 사업(C)'!AD17 + '리스사업(D)'!AD17 + '임대사업(E)'!AD17 + '환경부사업(F)'!AD17 + '프로젝트(G)'!AD17 + '협력사 EPC(H)'!AD17 + '기타(Z)'!AD17</f>
        <v>1146.24</v>
      </c>
      <c r="F34" s="41">
        <f>'발전사업(A)'!AE17 + '자가소비(B)'!AE17 + 'PPA 사업(C)'!AE17 + '리스사업(D)'!AE17 + '임대사업(E)'!AE17 + '환경부사업(F)'!AE17 + '프로젝트(G)'!AE17 + '협력사 EPC(H)'!AE17 + '기타(Z)'!AE17</f>
        <v>1097.5999999999999</v>
      </c>
      <c r="G34" s="41">
        <f>'발전사업(A)'!AF17 + '자가소비(B)'!AF17 + 'PPA 사업(C)'!AF17 + '리스사업(D)'!AF17 + '임대사업(E)'!AF17 + '환경부사업(F)'!AF17 + '프로젝트(G)'!AF17 + '협력사 EPC(H)'!AF17 + '기타(Z)'!AF17</f>
        <v>48.64</v>
      </c>
      <c r="H34" s="41">
        <f>'발전사업(A)'!AG17 + '자가소비(B)'!AG17 + 'PPA 사업(C)'!AG17 + '리스사업(D)'!AG17 + '임대사업(E)'!AG17 + '환경부사업(F)'!AG17 + '프로젝트(G)'!AG17 + '협력사 EPC(H)'!AG17 + '기타(Z)'!AG17</f>
        <v>0</v>
      </c>
      <c r="I34" s="130">
        <f>'발전사업(A)'!AH17 + '자가소비(B)'!AH17 + 'PPA 사업(C)'!AH17 + '리스사업(D)'!AH17 + '임대사업(E)'!AH17 + '환경부사업(F)'!AH17 + '프로젝트(G)'!AH17 + '협력사 EPC(H)'!AH17 + '기타(Z)'!AH17</f>
        <v>0</v>
      </c>
      <c r="J34" s="120">
        <f>'발전사업(A)'!AI17 + '자가소비(B)'!AI17 + 'PPA 사업(C)'!AI17 + '리스사업(D)'!AI17 + '임대사업(E)'!AI17 + '환경부사업(F)'!AI17 + '프로젝트(G)'!AI17 + '협력사 EPC(H)'!AI17 + '기타(Z)'!AI17</f>
        <v>4</v>
      </c>
      <c r="K34" s="188">
        <f>'발전사업(A)'!AJ17 + '자가소비(B)'!AJ17 + 'PPA 사업(C)'!AJ17 + '리스사업(D)'!AJ17 + '임대사업(E)'!AJ17 + '환경부사업(F)'!AJ17 + '프로젝트(G)'!AJ17 + '협력사 EPC(H)'!AJ17 + '기타(Z)'!AJ17</f>
        <v>3</v>
      </c>
      <c r="L34" s="188">
        <f>'발전사업(A)'!AK17 + '자가소비(B)'!AK17 + 'PPA 사업(C)'!AK17 + '리스사업(D)'!AK17 + '임대사업(E)'!AK17 + '환경부사업(F)'!AK17 + '프로젝트(G)'!AK17 + '협력사 EPC(H)'!AK17 + '기타(Z)'!AK17</f>
        <v>1</v>
      </c>
      <c r="M34" s="188">
        <f>'발전사업(A)'!AL17 + '자가소비(B)'!AL17 + 'PPA 사업(C)'!AL17 + '리스사업(D)'!AL17 + '임대사업(E)'!AL17 + '환경부사업(F)'!AL17 + '프로젝트(G)'!AL17 + '협력사 EPC(H)'!AL17 + '기타(Z)'!AL17</f>
        <v>0</v>
      </c>
      <c r="N34" s="189">
        <f>'발전사업(A)'!AM17 + '자가소비(B)'!AM17 + 'PPA 사업(C)'!AM17 + '리스사업(D)'!AM17 + '임대사업(E)'!AM17 + '환경부사업(F)'!AM17 + '프로젝트(G)'!AM17 + '협력사 EPC(H)'!AM17 + '기타(Z)'!AM17</f>
        <v>0</v>
      </c>
      <c r="O34" s="41">
        <f>'발전사업(A)'!AN17 + '자가소비(B)'!AN17 + 'PPA 사업(C)'!AN17 + '리스사업(D)'!AN17 + '임대사업(E)'!AN17 + '환경부사업(F)'!AN17 + '프로젝트(G)'!AN17 + '협력사 EPC(H)'!AN17 + '기타(Z)'!AN17 + '협력사 하도(I)'!AN17</f>
        <v>10.77</v>
      </c>
      <c r="P34" s="41">
        <f>'발전사업(A)'!AO17 + '자가소비(B)'!AO17 + 'PPA 사업(C)'!AO17 + '리스사업(D)'!AO17 + '임대사업(E)'!AO17 + '환경부사업(F)'!AO17 + '프로젝트(G)'!AO17 + '협력사 EPC(H)'!AO17 + '기타(Z)'!AO17 + '협력사 하도(I)'!AO17</f>
        <v>10.19</v>
      </c>
      <c r="Q34" s="41">
        <f>'발전사업(A)'!AP17 + '자가소비(B)'!AP17 + 'PPA 사업(C)'!AP17 + '리스사업(D)'!AP17 + '임대사업(E)'!AP17 + '환경부사업(F)'!AP17 + '프로젝트(G)'!AP17 + '협력사 EPC(H)'!AP17 + '기타(Z)'!AP17 + '협력사 하도(I)'!AP17</f>
        <v>0.57999999999999996</v>
      </c>
      <c r="R34" s="41">
        <f>'발전사업(A)'!AQ17 + '자가소비(B)'!AQ17 + 'PPA 사업(C)'!AQ17 + '리스사업(D)'!AQ17 + '임대사업(E)'!AQ17 + '환경부사업(F)'!AQ17 + '프로젝트(G)'!AQ17 + '협력사 EPC(H)'!AQ17 + '기타(Z)'!AQ17 + '협력사 하도(I)'!AQ17</f>
        <v>0</v>
      </c>
      <c r="S34" s="135">
        <f>'발전사업(A)'!AR17 + '자가소비(B)'!AR17 + 'PPA 사업(C)'!AR17 + '리스사업(D)'!AR17 + '임대사업(E)'!AR17 + '환경부사업(F)'!AR17 + '프로젝트(G)'!AR17 + '협력사 EPC(H)'!AR17 + '기타(Z)'!AR17 + '협력사 하도(I)'!AR17</f>
        <v>0</v>
      </c>
      <c r="U34" s="161" t="s">
        <v>152</v>
      </c>
      <c r="V34" s="163">
        <f>V33/($V$33+$W$33)</f>
        <v>0.73101265822784811</v>
      </c>
      <c r="W34" s="164">
        <f>W33/($W$33+$V$33)</f>
        <v>0.26898734177215189</v>
      </c>
    </row>
    <row r="35" spans="1:23" x14ac:dyDescent="0.25">
      <c r="A35">
        <v>3</v>
      </c>
      <c r="B35" s="416"/>
      <c r="C35" s="95">
        <v>4</v>
      </c>
      <c r="D35" s="102" t="s">
        <v>67</v>
      </c>
      <c r="E35" s="41">
        <f>'발전사업(A)'!AD18 + '자가소비(B)'!AD18 + 'PPA 사업(C)'!AD18 + '리스사업(D)'!AD18 + '임대사업(E)'!AD18 + '환경부사업(F)'!AD18 + '프로젝트(G)'!AD18 + '협력사 EPC(H)'!AD18 + '기타(Z)'!AD18</f>
        <v>506.88</v>
      </c>
      <c r="F35" s="41">
        <f>'발전사업(A)'!AE18 + '자가소비(B)'!AE18 + 'PPA 사업(C)'!AE18 + '리스사업(D)'!AE18 + '임대사업(E)'!AE18 + '환경부사업(F)'!AE18 + '프로젝트(G)'!AE18 + '협력사 EPC(H)'!AE18 + '기타(Z)'!AE18</f>
        <v>445.44</v>
      </c>
      <c r="G35" s="41">
        <f>'발전사업(A)'!AF18 + '자가소비(B)'!AF18 + 'PPA 사업(C)'!AF18 + '리스사업(D)'!AF18 + '임대사업(E)'!AF18 + '환경부사업(F)'!AF18 + '프로젝트(G)'!AF18 + '협력사 EPC(H)'!AF18 + '기타(Z)'!AF18</f>
        <v>61.44</v>
      </c>
      <c r="H35" s="41">
        <f>'발전사업(A)'!AG18 + '자가소비(B)'!AG18 + 'PPA 사업(C)'!AG18 + '리스사업(D)'!AG18 + '임대사업(E)'!AG18 + '환경부사업(F)'!AG18 + '프로젝트(G)'!AG18 + '협력사 EPC(H)'!AG18 + '기타(Z)'!AG18</f>
        <v>0</v>
      </c>
      <c r="I35" s="130">
        <f>'발전사업(A)'!AH18 + '자가소비(B)'!AH18 + 'PPA 사업(C)'!AH18 + '리스사업(D)'!AH18 + '임대사업(E)'!AH18 + '환경부사업(F)'!AH18 + '프로젝트(G)'!AH18 + '협력사 EPC(H)'!AH18 + '기타(Z)'!AH18</f>
        <v>0</v>
      </c>
      <c r="J35" s="120">
        <f>'발전사업(A)'!AI18 + '자가소비(B)'!AI18 + 'PPA 사업(C)'!AI18 + '리스사업(D)'!AI18 + '임대사업(E)'!AI18 + '환경부사업(F)'!AI18 + '프로젝트(G)'!AI18 + '협력사 EPC(H)'!AI18 + '기타(Z)'!AI18</f>
        <v>2</v>
      </c>
      <c r="K35" s="188">
        <f>'발전사업(A)'!AJ18 + '자가소비(B)'!AJ18 + 'PPA 사업(C)'!AJ18 + '리스사업(D)'!AJ18 + '임대사업(E)'!AJ18 + '환경부사업(F)'!AJ18 + '프로젝트(G)'!AJ18 + '협력사 EPC(H)'!AJ18 + '기타(Z)'!AJ18</f>
        <v>1</v>
      </c>
      <c r="L35" s="188">
        <f>'발전사업(A)'!AK18 + '자가소비(B)'!AK18 + 'PPA 사업(C)'!AK18 + '리스사업(D)'!AK18 + '임대사업(E)'!AK18 + '환경부사업(F)'!AK18 + '프로젝트(G)'!AK18 + '협력사 EPC(H)'!AK18 + '기타(Z)'!AK18</f>
        <v>1</v>
      </c>
      <c r="M35" s="188">
        <f>'발전사업(A)'!AL18 + '자가소비(B)'!AL18 + 'PPA 사업(C)'!AL18 + '리스사업(D)'!AL18 + '임대사업(E)'!AL18 + '환경부사업(F)'!AL18 + '프로젝트(G)'!AL18 + '협력사 EPC(H)'!AL18 + '기타(Z)'!AL18</f>
        <v>0</v>
      </c>
      <c r="N35" s="189">
        <f>'발전사업(A)'!AM18 + '자가소비(B)'!AM18 + 'PPA 사업(C)'!AM18 + '리스사업(D)'!AM18 + '임대사업(E)'!AM18 + '환경부사업(F)'!AM18 + '프로젝트(G)'!AM18 + '협력사 EPC(H)'!AM18 + '기타(Z)'!AM18</f>
        <v>0</v>
      </c>
      <c r="O35" s="41">
        <f>'발전사업(A)'!AN18 + '자가소비(B)'!AN18 + 'PPA 사업(C)'!AN18 + '리스사업(D)'!AN18 + '임대사업(E)'!AN18 + '환경부사업(F)'!AN18 + '프로젝트(G)'!AN18 + '협력사 EPC(H)'!AN18 + '기타(Z)'!AN18 + '협력사 하도(I)'!AN18</f>
        <v>4.6470000000000002</v>
      </c>
      <c r="P35" s="41">
        <f>'발전사업(A)'!AO18 + '자가소비(B)'!AO18 + 'PPA 사업(C)'!AO18 + '리스사업(D)'!AO18 + '임대사업(E)'!AO18 + '환경부사업(F)'!AO18 + '프로젝트(G)'!AO18 + '협력사 EPC(H)'!AO18 + '기타(Z)'!AO18 + '협력사 하도(I)'!AO18</f>
        <v>4</v>
      </c>
      <c r="Q35" s="41">
        <f>'발전사업(A)'!AP18 + '자가소비(B)'!AP18 + 'PPA 사업(C)'!AP18 + '리스사업(D)'!AP18 + '임대사업(E)'!AP18 + '환경부사업(F)'!AP18 + '프로젝트(G)'!AP18 + '협력사 EPC(H)'!AP18 + '기타(Z)'!AP18 + '협력사 하도(I)'!AP18</f>
        <v>0.64700000000000002</v>
      </c>
      <c r="R35" s="41">
        <f>'발전사업(A)'!AQ18 + '자가소비(B)'!AQ18 + 'PPA 사업(C)'!AQ18 + '리스사업(D)'!AQ18 + '임대사업(E)'!AQ18 + '환경부사업(F)'!AQ18 + '프로젝트(G)'!AQ18 + '협력사 EPC(H)'!AQ18 + '기타(Z)'!AQ18 + '협력사 하도(I)'!AQ18</f>
        <v>0</v>
      </c>
      <c r="S35" s="135">
        <f>'발전사업(A)'!AR18 + '자가소비(B)'!AR18 + 'PPA 사업(C)'!AR18 + '리스사업(D)'!AR18 + '임대사업(E)'!AR18 + '환경부사업(F)'!AR18 + '프로젝트(G)'!AR18 + '협력사 EPC(H)'!AR18 + '기타(Z)'!AR18 + '협력사 하도(I)'!AR18</f>
        <v>0</v>
      </c>
    </row>
    <row r="36" spans="1:23" x14ac:dyDescent="0.25">
      <c r="A36">
        <v>3</v>
      </c>
      <c r="B36" s="416"/>
      <c r="C36" s="96">
        <v>5</v>
      </c>
      <c r="D36" s="102"/>
      <c r="E36" s="41">
        <f>'발전사업(A)'!AD19 + '자가소비(B)'!AD19 + 'PPA 사업(C)'!AD19 + '리스사업(D)'!AD19 + '임대사업(E)'!AD19 + '환경부사업(F)'!AD19 + '프로젝트(G)'!AD19 + '협력사 EPC(H)'!AD19 + '기타(Z)'!AD19</f>
        <v>0</v>
      </c>
      <c r="F36" s="41">
        <f>'발전사업(A)'!AE19 + '자가소비(B)'!AE19 + 'PPA 사업(C)'!AE19 + '리스사업(D)'!AE19 + '임대사업(E)'!AE19 + '환경부사업(F)'!AE19 + '프로젝트(G)'!AE19 + '협력사 EPC(H)'!AE19 + '기타(Z)'!AE19</f>
        <v>0</v>
      </c>
      <c r="G36" s="41">
        <f>'발전사업(A)'!AF19 + '자가소비(B)'!AF19 + 'PPA 사업(C)'!AF19 + '리스사업(D)'!AF19 + '임대사업(E)'!AF19 + '환경부사업(F)'!AF19 + '프로젝트(G)'!AF19 + '협력사 EPC(H)'!AF19 + '기타(Z)'!AF19</f>
        <v>0</v>
      </c>
      <c r="H36" s="41">
        <f>'발전사업(A)'!AG19 + '자가소비(B)'!AG19 + 'PPA 사업(C)'!AG19 + '리스사업(D)'!AG19 + '임대사업(E)'!AG19 + '환경부사업(F)'!AG19 + '프로젝트(G)'!AG19 + '협력사 EPC(H)'!AG19 + '기타(Z)'!AG19</f>
        <v>0</v>
      </c>
      <c r="I36" s="130">
        <f>'발전사업(A)'!AH19 + '자가소비(B)'!AH19 + 'PPA 사업(C)'!AH19 + '리스사업(D)'!AH19 + '임대사업(E)'!AH19 + '환경부사업(F)'!AH19 + '프로젝트(G)'!AH19 + '협력사 EPC(H)'!AH19 + '기타(Z)'!AH19</f>
        <v>0</v>
      </c>
      <c r="J36" s="120">
        <f>'발전사업(A)'!AI19 + '자가소비(B)'!AI19 + 'PPA 사업(C)'!AI19 + '리스사업(D)'!AI19 + '임대사업(E)'!AI19 + '환경부사업(F)'!AI19 + '프로젝트(G)'!AI19 + '협력사 EPC(H)'!AI19 + '기타(Z)'!AI19</f>
        <v>0</v>
      </c>
      <c r="K36" s="188">
        <f>'발전사업(A)'!AJ19 + '자가소비(B)'!AJ19 + 'PPA 사업(C)'!AJ19 + '리스사업(D)'!AJ19 + '임대사업(E)'!AJ19 + '환경부사업(F)'!AJ19 + '프로젝트(G)'!AJ19 + '협력사 EPC(H)'!AJ19 + '기타(Z)'!AJ19</f>
        <v>0</v>
      </c>
      <c r="L36" s="188">
        <f>'발전사업(A)'!AK19 + '자가소비(B)'!AK19 + 'PPA 사업(C)'!AK19 + '리스사업(D)'!AK19 + '임대사업(E)'!AK19 + '환경부사업(F)'!AK19 + '프로젝트(G)'!AK19 + '협력사 EPC(H)'!AK19 + '기타(Z)'!AK19</f>
        <v>0</v>
      </c>
      <c r="M36" s="188">
        <f>'발전사업(A)'!AL19 + '자가소비(B)'!AL19 + 'PPA 사업(C)'!AL19 + '리스사업(D)'!AL19 + '임대사업(E)'!AL19 + '환경부사업(F)'!AL19 + '프로젝트(G)'!AL19 + '협력사 EPC(H)'!AL19 + '기타(Z)'!AL19</f>
        <v>0</v>
      </c>
      <c r="N36" s="189">
        <f>'발전사업(A)'!AM19 + '자가소비(B)'!AM19 + 'PPA 사업(C)'!AM19 + '리스사업(D)'!AM19 + '임대사업(E)'!AM19 + '환경부사업(F)'!AM19 + '프로젝트(G)'!AM19 + '협력사 EPC(H)'!AM19 + '기타(Z)'!AM19</f>
        <v>0</v>
      </c>
      <c r="O36" s="41">
        <f>'발전사업(A)'!AN19 + '자가소비(B)'!AN19 + 'PPA 사업(C)'!AN19 + '리스사업(D)'!AN19 + '임대사업(E)'!AN19 + '환경부사업(F)'!AN19 + '프로젝트(G)'!AN19 + '협력사 EPC(H)'!AN19 + '기타(Z)'!AN19 + '협력사 하도(I)'!AN19</f>
        <v>0</v>
      </c>
      <c r="P36" s="41">
        <f>'발전사업(A)'!AO19 + '자가소비(B)'!AO19 + 'PPA 사업(C)'!AO19 + '리스사업(D)'!AO19 + '임대사업(E)'!AO19 + '환경부사업(F)'!AO19 + '프로젝트(G)'!AO19 + '협력사 EPC(H)'!AO19 + '기타(Z)'!AO19 + '협력사 하도(I)'!AO19</f>
        <v>0</v>
      </c>
      <c r="Q36" s="41">
        <f>'발전사업(A)'!AP19 + '자가소비(B)'!AP19 + 'PPA 사업(C)'!AP19 + '리스사업(D)'!AP19 + '임대사업(E)'!AP19 + '환경부사업(F)'!AP19 + '프로젝트(G)'!AP19 + '협력사 EPC(H)'!AP19 + '기타(Z)'!AP19 + '협력사 하도(I)'!AP19</f>
        <v>0</v>
      </c>
      <c r="R36" s="41">
        <f>'발전사업(A)'!AQ19 + '자가소비(B)'!AQ19 + 'PPA 사업(C)'!AQ19 + '리스사업(D)'!AQ19 + '임대사업(E)'!AQ19 + '환경부사업(F)'!AQ19 + '프로젝트(G)'!AQ19 + '협력사 EPC(H)'!AQ19 + '기타(Z)'!AQ19 + '협력사 하도(I)'!AQ19</f>
        <v>0</v>
      </c>
      <c r="S36" s="135">
        <f>'발전사업(A)'!AR19 + '자가소비(B)'!AR19 + 'PPA 사업(C)'!AR19 + '리스사업(D)'!AR19 + '임대사업(E)'!AR19 + '환경부사업(F)'!AR19 + '프로젝트(G)'!AR19 + '협력사 EPC(H)'!AR19 + '기타(Z)'!AR19 + '협력사 하도(I)'!AR19</f>
        <v>0</v>
      </c>
    </row>
    <row r="37" spans="1:23" ht="14.25" thickBot="1" x14ac:dyDescent="0.3">
      <c r="A37">
        <v>3</v>
      </c>
      <c r="B37" s="417"/>
      <c r="C37" s="97" t="s">
        <v>3</v>
      </c>
      <c r="D37" s="103"/>
      <c r="E37" s="139">
        <f>'발전사업(A)'!AD20 + '자가소비(B)'!AD20 + 'PPA 사업(C)'!AD20 + '리스사업(D)'!AD20 + '임대사업(E)'!AD20 + '환경부사업(F)'!AD20 + '프로젝트(G)'!AD20 + '협력사 EPC(H)'!AD20 + '기타(Z)'!AD20</f>
        <v>3419.3750000000005</v>
      </c>
      <c r="F37" s="139">
        <f>'발전사업(A)'!AE20 + '자가소비(B)'!AE20 + 'PPA 사업(C)'!AE20 + '리스사업(D)'!AE20 + '임대사업(E)'!AE20 + '환경부사업(F)'!AE20 + '프로젝트(G)'!AE20 + '협력사 EPC(H)'!AE20 + '기타(Z)'!AE20</f>
        <v>3204.335</v>
      </c>
      <c r="G37" s="139">
        <f>'발전사업(A)'!AF20 + '자가소비(B)'!AF20 + 'PPA 사업(C)'!AF20 + '리스사업(D)'!AF20 + '임대사업(E)'!AF20 + '환경부사업(F)'!AF20 + '프로젝트(G)'!AF20 + '협력사 EPC(H)'!AF20 + '기타(Z)'!AF20</f>
        <v>215.04000000000002</v>
      </c>
      <c r="H37" s="139">
        <f>'발전사업(A)'!AG20 + '자가소비(B)'!AG20 + 'PPA 사업(C)'!AG20 + '리스사업(D)'!AG20 + '임대사업(E)'!AG20 + '환경부사업(F)'!AG20 + '프로젝트(G)'!AG20 + '협력사 EPC(H)'!AG20 + '기타(Z)'!AG20</f>
        <v>0</v>
      </c>
      <c r="I37" s="140">
        <f>'발전사업(A)'!AH20 + '자가소비(B)'!AH20 + 'PPA 사업(C)'!AH20 + '리스사업(D)'!AH20 + '임대사업(E)'!AH20 + '환경부사업(F)'!AH20 + '프로젝트(G)'!AH20 + '협력사 EPC(H)'!AH20 + '기타(Z)'!AH20</f>
        <v>0</v>
      </c>
      <c r="J37" s="190">
        <f>'발전사업(A)'!AI20 + '자가소비(B)'!AI20 + 'PPA 사업(C)'!AI20 + '리스사업(D)'!AI20 + '임대사업(E)'!AI20 + '환경부사업(F)'!AI20 + '프로젝트(G)'!AI20 + '협력사 EPC(H)'!AI20 + '기타(Z)'!AI20</f>
        <v>14</v>
      </c>
      <c r="K37" s="191">
        <f>'발전사업(A)'!AJ20 + '자가소비(B)'!AJ20 + 'PPA 사업(C)'!AJ20 + '리스사업(D)'!AJ20 + '임대사업(E)'!AJ20 + '환경부사업(F)'!AJ20 + '프로젝트(G)'!AJ20 + '협력사 EPC(H)'!AJ20 + '기타(Z)'!AJ20</f>
        <v>10</v>
      </c>
      <c r="L37" s="191">
        <f>'발전사업(A)'!AK20 + '자가소비(B)'!AK20 + 'PPA 사업(C)'!AK20 + '리스사업(D)'!AK20 + '임대사업(E)'!AK20 + '환경부사업(F)'!AK20 + '프로젝트(G)'!AK20 + '협력사 EPC(H)'!AK20 + '기타(Z)'!AK20</f>
        <v>4</v>
      </c>
      <c r="M37" s="191">
        <f>'발전사업(A)'!AL20 + '자가소비(B)'!AL20 + 'PPA 사업(C)'!AL20 + '리스사업(D)'!AL20 + '임대사업(E)'!AL20 + '환경부사업(F)'!AL20 + '프로젝트(G)'!AL20 + '협력사 EPC(H)'!AL20 + '기타(Z)'!AL20</f>
        <v>0</v>
      </c>
      <c r="N37" s="192">
        <f>'발전사업(A)'!AM20 + '자가소비(B)'!AM20 + 'PPA 사업(C)'!AM20 + '리스사업(D)'!AM20 + '임대사업(E)'!AM20 + '환경부사업(F)'!AM20 + '프로젝트(G)'!AM20 + '협력사 EPC(H)'!AM20 + '기타(Z)'!AM20</f>
        <v>0</v>
      </c>
      <c r="O37" s="139">
        <f>'발전사업(A)'!AN20 + '자가소비(B)'!AN20 + 'PPA 사업(C)'!AN20 + '리스사업(D)'!AN20 + '임대사업(E)'!AN20 + '환경부사업(F)'!AN20 + '프로젝트(G)'!AN20 + '협력사 EPC(H)'!AN20 + '기타(Z)'!AN20 + '협력사 하도(I)'!AN20</f>
        <v>28.767200000000003</v>
      </c>
      <c r="P37" s="139">
        <f>'발전사업(A)'!AO20 + '자가소비(B)'!AO20 + 'PPA 사업(C)'!AO20 + '리스사업(D)'!AO20 + '임대사업(E)'!AO20 + '환경부사업(F)'!AO20 + '프로젝트(G)'!AO20 + '협력사 EPC(H)'!AO20 + '기타(Z)'!AO20 + '협력사 하도(I)'!AO20</f>
        <v>26.430199999999999</v>
      </c>
      <c r="Q37" s="139">
        <f>'발전사업(A)'!AP20 + '자가소비(B)'!AP20 + 'PPA 사업(C)'!AP20 + '리스사업(D)'!AP20 + '임대사업(E)'!AP20 + '환경부사업(F)'!AP20 + '프로젝트(G)'!AP20 + '협력사 EPC(H)'!AP20 + '기타(Z)'!AP20 + '협력사 하도(I)'!AP20</f>
        <v>2.3369999999999997</v>
      </c>
      <c r="R37" s="139">
        <f>'발전사업(A)'!AQ20 + '자가소비(B)'!AQ20 + 'PPA 사업(C)'!AQ20 + '리스사업(D)'!AQ20 + '임대사업(E)'!AQ20 + '환경부사업(F)'!AQ20 + '프로젝트(G)'!AQ20 + '협력사 EPC(H)'!AQ20 + '기타(Z)'!AQ20 + '협력사 하도(I)'!AQ20</f>
        <v>0</v>
      </c>
      <c r="S37" s="141">
        <f>'발전사업(A)'!AR20 + '자가소비(B)'!AR20 + 'PPA 사업(C)'!AR20 + '리스사업(D)'!AR20 + '임대사업(E)'!AR20 + '환경부사업(F)'!AR20 + '프로젝트(G)'!AR20 + '협력사 EPC(H)'!AR20 + '기타(Z)'!AR20 + '협력사 하도(I)'!AR20</f>
        <v>0</v>
      </c>
    </row>
    <row r="38" spans="1:23" x14ac:dyDescent="0.25">
      <c r="A38">
        <v>4</v>
      </c>
      <c r="B38" s="415">
        <v>4</v>
      </c>
      <c r="C38" s="94">
        <v>1</v>
      </c>
      <c r="D38" s="100" t="s">
        <v>108</v>
      </c>
      <c r="E38" s="142">
        <f>'발전사업(A)'!AD21 + '자가소비(B)'!AD21 + 'PPA 사업(C)'!AD21 + '리스사업(D)'!AD21 + '임대사업(E)'!AD21 + '환경부사업(F)'!AD21 + '프로젝트(G)'!AD21 + '협력사 EPC(H)'!AD21 + '기타(Z)'!AD21</f>
        <v>680.31999999999994</v>
      </c>
      <c r="F38" s="143">
        <f>'발전사업(A)'!AE21 + '자가소비(B)'!AE21 + 'PPA 사업(C)'!AE21 + '리스사업(D)'!AE21 + '임대사업(E)'!AE21 + '환경부사업(F)'!AE21 + '프로젝트(G)'!AE21 + '협력사 EPC(H)'!AE21 + '기타(Z)'!AE21</f>
        <v>680.31999999999994</v>
      </c>
      <c r="G38" s="143">
        <f>'발전사업(A)'!AF21 + '자가소비(B)'!AF21 + 'PPA 사업(C)'!AF21 + '리스사업(D)'!AF21 + '임대사업(E)'!AF21 + '환경부사업(F)'!AF21 + '프로젝트(G)'!AF21 + '협력사 EPC(H)'!AF21 + '기타(Z)'!AF21</f>
        <v>0</v>
      </c>
      <c r="H38" s="143">
        <f>'발전사업(A)'!AG21 + '자가소비(B)'!AG21 + 'PPA 사업(C)'!AG21 + '리스사업(D)'!AG21 + '임대사업(E)'!AG21 + '환경부사업(F)'!AG21 + '프로젝트(G)'!AG21 + '협력사 EPC(H)'!AG21 + '기타(Z)'!AG21</f>
        <v>0</v>
      </c>
      <c r="I38" s="144">
        <f>'발전사업(A)'!AH21 + '자가소비(B)'!AH21 + 'PPA 사업(C)'!AH21 + '리스사업(D)'!AH21 + '임대사업(E)'!AH21 + '환경부사업(F)'!AH21 + '프로젝트(G)'!AH21 + '협력사 EPC(H)'!AH21 + '기타(Z)'!AH21</f>
        <v>0</v>
      </c>
      <c r="J38" s="193">
        <f>'발전사업(A)'!AI21 + '자가소비(B)'!AI21 + 'PPA 사업(C)'!AI21 + '리스사업(D)'!AI21 + '임대사업(E)'!AI21 + '환경부사업(F)'!AI21 + '프로젝트(G)'!AI21 + '협력사 EPC(H)'!AI21 + '기타(Z)'!AI21</f>
        <v>4</v>
      </c>
      <c r="K38" s="194">
        <f>'발전사업(A)'!AJ21 + '자가소비(B)'!AJ21 + 'PPA 사업(C)'!AJ21 + '리스사업(D)'!AJ21 + '임대사업(E)'!AJ21 + '환경부사업(F)'!AJ21 + '프로젝트(G)'!AJ21 + '협력사 EPC(H)'!AJ21 + '기타(Z)'!AJ21</f>
        <v>4</v>
      </c>
      <c r="L38" s="194">
        <f>'발전사업(A)'!AK21 + '자가소비(B)'!AK21 + 'PPA 사업(C)'!AK21 + '리스사업(D)'!AK21 + '임대사업(E)'!AK21 + '환경부사업(F)'!AK21 + '프로젝트(G)'!AK21 + '협력사 EPC(H)'!AK21 + '기타(Z)'!AK21</f>
        <v>0</v>
      </c>
      <c r="M38" s="194">
        <f>'발전사업(A)'!AL21 + '자가소비(B)'!AL21 + 'PPA 사업(C)'!AL21 + '리스사업(D)'!AL21 + '임대사업(E)'!AL21 + '환경부사업(F)'!AL21 + '프로젝트(G)'!AL21 + '협력사 EPC(H)'!AL21 + '기타(Z)'!AL21</f>
        <v>0</v>
      </c>
      <c r="N38" s="195">
        <f>'발전사업(A)'!AM21 + '자가소비(B)'!AM21 + 'PPA 사업(C)'!AM21 + '리스사업(D)'!AM21 + '임대사업(E)'!AM21 + '환경부사업(F)'!AM21 + '프로젝트(G)'!AM21 + '협력사 EPC(H)'!AM21 + '기타(Z)'!AM21</f>
        <v>0</v>
      </c>
      <c r="O38" s="143">
        <f>'발전사업(A)'!AN21 + '자가소비(B)'!AN21 + 'PPA 사업(C)'!AN21 + '리스사업(D)'!AN21 + '임대사업(E)'!AN21 + '환경부사업(F)'!AN21 + '프로젝트(G)'!AN21 + '협력사 EPC(H)'!AN21 + '기타(Z)'!AN21 + '협력사 하도(I)'!AN21</f>
        <v>6.97</v>
      </c>
      <c r="P38" s="143">
        <f>'발전사업(A)'!AO21 + '자가소비(B)'!AO21 + 'PPA 사업(C)'!AO21 + '리스사업(D)'!AO21 + '임대사업(E)'!AO21 + '환경부사업(F)'!AO21 + '프로젝트(G)'!AO21 + '협력사 EPC(H)'!AO21 + '기타(Z)'!AO21 + '협력사 하도(I)'!AO21</f>
        <v>6.97</v>
      </c>
      <c r="Q38" s="143">
        <f>'발전사업(A)'!AP21 + '자가소비(B)'!AP21 + 'PPA 사업(C)'!AP21 + '리스사업(D)'!AP21 + '임대사업(E)'!AP21 + '환경부사업(F)'!AP21 + '프로젝트(G)'!AP21 + '협력사 EPC(H)'!AP21 + '기타(Z)'!AP21 + '협력사 하도(I)'!AP21</f>
        <v>0</v>
      </c>
      <c r="R38" s="143">
        <f>'발전사업(A)'!AQ21 + '자가소비(B)'!AQ21 + 'PPA 사업(C)'!AQ21 + '리스사업(D)'!AQ21 + '임대사업(E)'!AQ21 + '환경부사업(F)'!AQ21 + '프로젝트(G)'!AQ21 + '협력사 EPC(H)'!AQ21 + '기타(Z)'!AQ21 + '협력사 하도(I)'!AQ21</f>
        <v>0</v>
      </c>
      <c r="S38" s="145">
        <f>'발전사업(A)'!AR21 + '자가소비(B)'!AR21 + 'PPA 사업(C)'!AR21 + '리스사업(D)'!AR21 + '임대사업(E)'!AR21 + '환경부사업(F)'!AR21 + '프로젝트(G)'!AR21 + '협력사 EPC(H)'!AR21 + '기타(Z)'!AR21 + '협력사 하도(I)'!AR21</f>
        <v>0</v>
      </c>
    </row>
    <row r="39" spans="1:23" x14ac:dyDescent="0.25">
      <c r="A39">
        <v>4</v>
      </c>
      <c r="B39" s="416"/>
      <c r="C39" s="95">
        <v>2</v>
      </c>
      <c r="D39" s="102" t="s">
        <v>68</v>
      </c>
      <c r="E39" s="134">
        <f>'발전사업(A)'!AD22 + '자가소비(B)'!AD22 + 'PPA 사업(C)'!AD22 + '리스사업(D)'!AD22 + '임대사업(E)'!AD22 + '환경부사업(F)'!AD22 + '프로젝트(G)'!AD22 + '협력사 EPC(H)'!AD22 + '기타(Z)'!AD22</f>
        <v>1405.7599999999998</v>
      </c>
      <c r="F39" s="41">
        <f>'발전사업(A)'!AE22 + '자가소비(B)'!AE22 + 'PPA 사업(C)'!AE22 + '리스사업(D)'!AE22 + '임대사업(E)'!AE22 + '환경부사업(F)'!AE22 + '프로젝트(G)'!AE22 + '협력사 EPC(H)'!AE22 + '기타(Z)'!AE22</f>
        <v>1405.7599999999998</v>
      </c>
      <c r="G39" s="41">
        <f>'발전사업(A)'!AF22 + '자가소비(B)'!AF22 + 'PPA 사업(C)'!AF22 + '리스사업(D)'!AF22 + '임대사업(E)'!AF22 + '환경부사업(F)'!AF22 + '프로젝트(G)'!AF22 + '협력사 EPC(H)'!AF22 + '기타(Z)'!AF22</f>
        <v>0</v>
      </c>
      <c r="H39" s="41">
        <f>'발전사업(A)'!AG22 + '자가소비(B)'!AG22 + 'PPA 사업(C)'!AG22 + '리스사업(D)'!AG22 + '임대사업(E)'!AG22 + '환경부사업(F)'!AG22 + '프로젝트(G)'!AG22 + '협력사 EPC(H)'!AG22 + '기타(Z)'!AG22</f>
        <v>0</v>
      </c>
      <c r="I39" s="130">
        <f>'발전사업(A)'!AH22 + '자가소비(B)'!AH22 + 'PPA 사업(C)'!AH22 + '리스사업(D)'!AH22 + '임대사업(E)'!AH22 + '환경부사업(F)'!AH22 + '프로젝트(G)'!AH22 + '협력사 EPC(H)'!AH22 + '기타(Z)'!AH22</f>
        <v>0</v>
      </c>
      <c r="J39" s="120">
        <f>'발전사업(A)'!AI22 + '자가소비(B)'!AI22 + 'PPA 사업(C)'!AI22 + '리스사업(D)'!AI22 + '임대사업(E)'!AI22 + '환경부사업(F)'!AI22 + '프로젝트(G)'!AI22 + '협력사 EPC(H)'!AI22 + '기타(Z)'!AI22</f>
        <v>6</v>
      </c>
      <c r="K39" s="188">
        <f>'발전사업(A)'!AJ22 + '자가소비(B)'!AJ22 + 'PPA 사업(C)'!AJ22 + '리스사업(D)'!AJ22 + '임대사업(E)'!AJ22 + '환경부사업(F)'!AJ22 + '프로젝트(G)'!AJ22 + '협력사 EPC(H)'!AJ22 + '기타(Z)'!AJ22</f>
        <v>6</v>
      </c>
      <c r="L39" s="188">
        <f>'발전사업(A)'!AK22 + '자가소비(B)'!AK22 + 'PPA 사업(C)'!AK22 + '리스사업(D)'!AK22 + '임대사업(E)'!AK22 + '환경부사업(F)'!AK22 + '프로젝트(G)'!AK22 + '협력사 EPC(H)'!AK22 + '기타(Z)'!AK22</f>
        <v>0</v>
      </c>
      <c r="M39" s="188">
        <f>'발전사업(A)'!AL22 + '자가소비(B)'!AL22 + 'PPA 사업(C)'!AL22 + '리스사업(D)'!AL22 + '임대사업(E)'!AL22 + '환경부사업(F)'!AL22 + '프로젝트(G)'!AL22 + '협력사 EPC(H)'!AL22 + '기타(Z)'!AL22</f>
        <v>0</v>
      </c>
      <c r="N39" s="189">
        <f>'발전사업(A)'!AM22 + '자가소비(B)'!AM22 + 'PPA 사업(C)'!AM22 + '리스사업(D)'!AM22 + '임대사업(E)'!AM22 + '환경부사업(F)'!AM22 + '프로젝트(G)'!AM22 + '협력사 EPC(H)'!AM22 + '기타(Z)'!AM22</f>
        <v>0</v>
      </c>
      <c r="O39" s="41">
        <f>'발전사업(A)'!AN22 + '자가소비(B)'!AN22 + 'PPA 사업(C)'!AN22 + '리스사업(D)'!AN22 + '임대사업(E)'!AN22 + '환경부사업(F)'!AN22 + '프로젝트(G)'!AN22 + '협력사 EPC(H)'!AN22 + '기타(Z)'!AN22 + '협력사 하도(I)'!AN22</f>
        <v>14.57</v>
      </c>
      <c r="P39" s="41">
        <f>'발전사업(A)'!AO22 + '자가소비(B)'!AO22 + 'PPA 사업(C)'!AO22 + '리스사업(D)'!AO22 + '임대사업(E)'!AO22 + '환경부사업(F)'!AO22 + '프로젝트(G)'!AO22 + '협력사 EPC(H)'!AO22 + '기타(Z)'!AO22 + '협력사 하도(I)'!AO22</f>
        <v>14.57</v>
      </c>
      <c r="Q39" s="41">
        <f>'발전사업(A)'!AP22 + '자가소비(B)'!AP22 + 'PPA 사업(C)'!AP22 + '리스사업(D)'!AP22 + '임대사업(E)'!AP22 + '환경부사업(F)'!AP22 + '프로젝트(G)'!AP22 + '협력사 EPC(H)'!AP22 + '기타(Z)'!AP22 + '협력사 하도(I)'!AP22</f>
        <v>0</v>
      </c>
      <c r="R39" s="41">
        <f>'발전사업(A)'!AQ22 + '자가소비(B)'!AQ22 + 'PPA 사업(C)'!AQ22 + '리스사업(D)'!AQ22 + '임대사업(E)'!AQ22 + '환경부사업(F)'!AQ22 + '프로젝트(G)'!AQ22 + '협력사 EPC(H)'!AQ22 + '기타(Z)'!AQ22 + '협력사 하도(I)'!AQ22</f>
        <v>0</v>
      </c>
      <c r="S39" s="135">
        <f>'발전사업(A)'!AR22 + '자가소비(B)'!AR22 + 'PPA 사업(C)'!AR22 + '리스사업(D)'!AR22 + '임대사업(E)'!AR22 + '환경부사업(F)'!AR22 + '프로젝트(G)'!AR22 + '협력사 EPC(H)'!AR22 + '기타(Z)'!AR22 + '협력사 하도(I)'!AR22</f>
        <v>0</v>
      </c>
    </row>
    <row r="40" spans="1:23" x14ac:dyDescent="0.25">
      <c r="A40">
        <v>4</v>
      </c>
      <c r="B40" s="416"/>
      <c r="C40" s="95">
        <v>3</v>
      </c>
      <c r="D40" s="102" t="s">
        <v>69</v>
      </c>
      <c r="E40" s="134">
        <f>'발전사업(A)'!AD23 + '자가소비(B)'!AD23 + 'PPA 사업(C)'!AD23 + '리스사업(D)'!AD23 + '임대사업(E)'!AD23 + '환경부사업(F)'!AD23 + '프로젝트(G)'!AD23 + '협력사 EPC(H)'!AD23 + '기타(Z)'!AD23</f>
        <v>282.24</v>
      </c>
      <c r="F40" s="41">
        <f>'발전사업(A)'!AE23 + '자가소비(B)'!AE23 + 'PPA 사업(C)'!AE23 + '리스사업(D)'!AE23 + '임대사업(E)'!AE23 + '환경부사업(F)'!AE23 + '프로젝트(G)'!AE23 + '협력사 EPC(H)'!AE23 + '기타(Z)'!AE23</f>
        <v>211.84</v>
      </c>
      <c r="G40" s="41">
        <f>'발전사업(A)'!AF23 + '자가소비(B)'!AF23 + 'PPA 사업(C)'!AF23 + '리스사업(D)'!AF23 + '임대사업(E)'!AF23 + '환경부사업(F)'!AF23 + '프로젝트(G)'!AF23 + '협력사 EPC(H)'!AF23 + '기타(Z)'!AF23</f>
        <v>70.400000000000006</v>
      </c>
      <c r="H40" s="41">
        <f>'발전사업(A)'!AG23 + '자가소비(B)'!AG23 + 'PPA 사업(C)'!AG23 + '리스사업(D)'!AG23 + '임대사업(E)'!AG23 + '환경부사업(F)'!AG23 + '프로젝트(G)'!AG23 + '협력사 EPC(H)'!AG23 + '기타(Z)'!AG23</f>
        <v>0</v>
      </c>
      <c r="I40" s="130">
        <f>'발전사업(A)'!AH23 + '자가소비(B)'!AH23 + 'PPA 사업(C)'!AH23 + '리스사업(D)'!AH23 + '임대사업(E)'!AH23 + '환경부사업(F)'!AH23 + '프로젝트(G)'!AH23 + '협력사 EPC(H)'!AH23 + '기타(Z)'!AH23</f>
        <v>0</v>
      </c>
      <c r="J40" s="120">
        <f>'발전사업(A)'!AI23 + '자가소비(B)'!AI23 + 'PPA 사업(C)'!AI23 + '리스사업(D)'!AI23 + '임대사업(E)'!AI23 + '환경부사업(F)'!AI23 + '프로젝트(G)'!AI23 + '협력사 EPC(H)'!AI23 + '기타(Z)'!AI23</f>
        <v>3</v>
      </c>
      <c r="K40" s="188">
        <f>'발전사업(A)'!AJ23 + '자가소비(B)'!AJ23 + 'PPA 사업(C)'!AJ23 + '리스사업(D)'!AJ23 + '임대사업(E)'!AJ23 + '환경부사업(F)'!AJ23 + '프로젝트(G)'!AJ23 + '협력사 EPC(H)'!AJ23 + '기타(Z)'!AJ23</f>
        <v>2</v>
      </c>
      <c r="L40" s="188">
        <f>'발전사업(A)'!AK23 + '자가소비(B)'!AK23 + 'PPA 사업(C)'!AK23 + '리스사업(D)'!AK23 + '임대사업(E)'!AK23 + '환경부사업(F)'!AK23 + '프로젝트(G)'!AK23 + '협력사 EPC(H)'!AK23 + '기타(Z)'!AK23</f>
        <v>1</v>
      </c>
      <c r="M40" s="188">
        <f>'발전사업(A)'!AL23 + '자가소비(B)'!AL23 + 'PPA 사업(C)'!AL23 + '리스사업(D)'!AL23 + '임대사업(E)'!AL23 + '환경부사업(F)'!AL23 + '프로젝트(G)'!AL23 + '협력사 EPC(H)'!AL23 + '기타(Z)'!AL23</f>
        <v>0</v>
      </c>
      <c r="N40" s="189">
        <f>'발전사업(A)'!AM23 + '자가소비(B)'!AM23 + 'PPA 사업(C)'!AM23 + '리스사업(D)'!AM23 + '임대사업(E)'!AM23 + '환경부사업(F)'!AM23 + '프로젝트(G)'!AM23 + '협력사 EPC(H)'!AM23 + '기타(Z)'!AM23</f>
        <v>0</v>
      </c>
      <c r="O40" s="41">
        <f>'발전사업(A)'!AN23 + '자가소비(B)'!AN23 + 'PPA 사업(C)'!AN23 + '리스사업(D)'!AN23 + '임대사업(E)'!AN23 + '환경부사업(F)'!AN23 + '프로젝트(G)'!AN23 + '협력사 EPC(H)'!AN23 + '기타(Z)'!AN23 + '협력사 하도(I)'!AN23</f>
        <v>2.8940000000000001</v>
      </c>
      <c r="P40" s="41">
        <f>'발전사업(A)'!AO23 + '자가소비(B)'!AO23 + 'PPA 사업(C)'!AO23 + '리스사업(D)'!AO23 + '임대사업(E)'!AO23 + '환경부사업(F)'!AO23 + '프로젝트(G)'!AO23 + '협력사 EPC(H)'!AO23 + '기타(Z)'!AO23 + '협력사 하도(I)'!AO23</f>
        <v>2.8940000000000001</v>
      </c>
      <c r="Q40" s="41">
        <f>'발전사업(A)'!AP23 + '자가소비(B)'!AP23 + 'PPA 사업(C)'!AP23 + '리스사업(D)'!AP23 + '임대사업(E)'!AP23 + '환경부사업(F)'!AP23 + '프로젝트(G)'!AP23 + '협력사 EPC(H)'!AP23 + '기타(Z)'!AP23 + '협력사 하도(I)'!AP23</f>
        <v>0</v>
      </c>
      <c r="R40" s="41">
        <f>'발전사업(A)'!AQ23 + '자가소비(B)'!AQ23 + 'PPA 사업(C)'!AQ23 + '리스사업(D)'!AQ23 + '임대사업(E)'!AQ23 + '환경부사업(F)'!AQ23 + '프로젝트(G)'!AQ23 + '협력사 EPC(H)'!AQ23 + '기타(Z)'!AQ23 + '협력사 하도(I)'!AQ23</f>
        <v>0</v>
      </c>
      <c r="S40" s="135">
        <f>'발전사업(A)'!AR23 + '자가소비(B)'!AR23 + 'PPA 사업(C)'!AR23 + '리스사업(D)'!AR23 + '임대사업(E)'!AR23 + '환경부사업(F)'!AR23 + '프로젝트(G)'!AR23 + '협력사 EPC(H)'!AR23 + '기타(Z)'!AR23 + '협력사 하도(I)'!AR23</f>
        <v>0</v>
      </c>
    </row>
    <row r="41" spans="1:23" x14ac:dyDescent="0.25">
      <c r="A41">
        <v>4</v>
      </c>
      <c r="B41" s="416"/>
      <c r="C41" s="95">
        <v>4</v>
      </c>
      <c r="D41" s="102" t="s">
        <v>70</v>
      </c>
      <c r="E41" s="134">
        <f>'발전사업(A)'!AD24 + '자가소비(B)'!AD24 + 'PPA 사업(C)'!AD24 + '리스사업(D)'!AD24 + '임대사업(E)'!AD24 + '환경부사업(F)'!AD24 + '프로젝트(G)'!AD24 + '협력사 EPC(H)'!AD24 + '기타(Z)'!AD24</f>
        <v>2834.9349999999999</v>
      </c>
      <c r="F41" s="41">
        <f>'발전사업(A)'!AE24 + '자가소비(B)'!AE24 + 'PPA 사업(C)'!AE24 + '리스사업(D)'!AE24 + '임대사업(E)'!AE24 + '환경부사업(F)'!AE24 + '프로젝트(G)'!AE24 + '협력사 EPC(H)'!AE24 + '기타(Z)'!AE24</f>
        <v>1684.2150000000001</v>
      </c>
      <c r="G41" s="41">
        <f>'발전사업(A)'!AF24 + '자가소비(B)'!AF24 + 'PPA 사업(C)'!AF24 + '리스사업(D)'!AF24 + '임대사업(E)'!AF24 + '환경부사업(F)'!AF24 + '프로젝트(G)'!AF24 + '협력사 EPC(H)'!AF24 + '기타(Z)'!AF24</f>
        <v>220.8</v>
      </c>
      <c r="H41" s="41">
        <f>'발전사업(A)'!AG24 + '자가소비(B)'!AG24 + 'PPA 사업(C)'!AG24 + '리스사업(D)'!AG24 + '임대사업(E)'!AG24 + '환경부사업(F)'!AG24 + '프로젝트(G)'!AG24 + '협력사 EPC(H)'!AG24 + '기타(Z)'!AG24</f>
        <v>929.92</v>
      </c>
      <c r="I41" s="130">
        <f>'발전사업(A)'!AH24 + '자가소비(B)'!AH24 + 'PPA 사업(C)'!AH24 + '리스사업(D)'!AH24 + '임대사업(E)'!AH24 + '환경부사업(F)'!AH24 + '프로젝트(G)'!AH24 + '협력사 EPC(H)'!AH24 + '기타(Z)'!AH24</f>
        <v>0</v>
      </c>
      <c r="J41" s="120">
        <f>'발전사업(A)'!AI24 + '자가소비(B)'!AI24 + 'PPA 사업(C)'!AI24 + '리스사업(D)'!AI24 + '임대사업(E)'!AI24 + '환경부사업(F)'!AI24 + '프로젝트(G)'!AI24 + '협력사 EPC(H)'!AI24 + '기타(Z)'!AI24</f>
        <v>8</v>
      </c>
      <c r="K41" s="188">
        <f>'발전사업(A)'!AJ24 + '자가소비(B)'!AJ24 + 'PPA 사업(C)'!AJ24 + '리스사업(D)'!AJ24 + '임대사업(E)'!AJ24 + '환경부사업(F)'!AJ24 + '프로젝트(G)'!AJ24 + '협력사 EPC(H)'!AJ24 + '기타(Z)'!AJ24</f>
        <v>5</v>
      </c>
      <c r="L41" s="188">
        <f>'발전사업(A)'!AK24 + '자가소비(B)'!AK24 + 'PPA 사업(C)'!AK24 + '리스사업(D)'!AK24 + '임대사업(E)'!AK24 + '환경부사업(F)'!AK24 + '프로젝트(G)'!AK24 + '협력사 EPC(H)'!AK24 + '기타(Z)'!AK24</f>
        <v>2</v>
      </c>
      <c r="M41" s="188">
        <f>'발전사업(A)'!AL24 + '자가소비(B)'!AL24 + 'PPA 사업(C)'!AL24 + '리스사업(D)'!AL24 + '임대사업(E)'!AL24 + '환경부사업(F)'!AL24 + '프로젝트(G)'!AL24 + '협력사 EPC(H)'!AL24 + '기타(Z)'!AL24</f>
        <v>1</v>
      </c>
      <c r="N41" s="189">
        <f>'발전사업(A)'!AM24 + '자가소비(B)'!AM24 + 'PPA 사업(C)'!AM24 + '리스사업(D)'!AM24 + '임대사업(E)'!AM24 + '환경부사업(F)'!AM24 + '프로젝트(G)'!AM24 + '협력사 EPC(H)'!AM24 + '기타(Z)'!AM24</f>
        <v>0</v>
      </c>
      <c r="O41" s="41">
        <f>'발전사업(A)'!AN24 + '자가소비(B)'!AN24 + 'PPA 사업(C)'!AN24 + '리스사업(D)'!AN24 + '임대사업(E)'!AN24 + '환경부사업(F)'!AN24 + '프로젝트(G)'!AN24 + '협력사 EPC(H)'!AN24 + '기타(Z)'!AN24 + '협력사 하도(I)'!AN24</f>
        <v>24.150000000000002</v>
      </c>
      <c r="P41" s="41">
        <f>'발전사업(A)'!AO24 + '자가소비(B)'!AO24 + 'PPA 사업(C)'!AO24 + '리스사업(D)'!AO24 + '임대사업(E)'!AO24 + '환경부사업(F)'!AO24 + '프로젝트(G)'!AO24 + '협력사 EPC(H)'!AO24 + '기타(Z)'!AO24 + '협력사 하도(I)'!AO24</f>
        <v>13.450000000000003</v>
      </c>
      <c r="Q41" s="41">
        <f>'발전사업(A)'!AP24 + '자가소비(B)'!AP24 + 'PPA 사업(C)'!AP24 + '리스사업(D)'!AP24 + '임대사업(E)'!AP24 + '환경부사업(F)'!AP24 + '프로젝트(G)'!AP24 + '협력사 EPC(H)'!AP24 + '기타(Z)'!AP24 + '협력사 하도(I)'!AP24</f>
        <v>2.2199999999999998</v>
      </c>
      <c r="R41" s="41">
        <f>'발전사업(A)'!AQ24 + '자가소비(B)'!AQ24 + 'PPA 사업(C)'!AQ24 + '리스사업(D)'!AQ24 + '임대사업(E)'!AQ24 + '환경부사업(F)'!AQ24 + '프로젝트(G)'!AQ24 + '협력사 EPC(H)'!AQ24 + '기타(Z)'!AQ24 + '협력사 하도(I)'!AQ24</f>
        <v>8.48</v>
      </c>
      <c r="S41" s="135">
        <f>'발전사업(A)'!AR24 + '자가소비(B)'!AR24 + 'PPA 사업(C)'!AR24 + '리스사업(D)'!AR24 + '임대사업(E)'!AR24 + '환경부사업(F)'!AR24 + '프로젝트(G)'!AR24 + '협력사 EPC(H)'!AR24 + '기타(Z)'!AR24 + '협력사 하도(I)'!AR24</f>
        <v>0</v>
      </c>
    </row>
    <row r="42" spans="1:23" x14ac:dyDescent="0.25">
      <c r="A42">
        <v>4</v>
      </c>
      <c r="B42" s="416"/>
      <c r="C42" s="96">
        <v>5</v>
      </c>
      <c r="D42" s="102" t="s">
        <v>109</v>
      </c>
      <c r="E42" s="134">
        <f>'발전사업(A)'!AD25 + '자가소비(B)'!AD25 + 'PPA 사업(C)'!AD25 + '리스사업(D)'!AD25 + '임대사업(E)'!AD25 + '환경부사업(F)'!AD25 + '프로젝트(G)'!AD25 + '협력사 EPC(H)'!AD25 + '기타(Z)'!AD25</f>
        <v>0</v>
      </c>
      <c r="F42" s="41">
        <f>'발전사업(A)'!AE25 + '자가소비(B)'!AE25 + 'PPA 사업(C)'!AE25 + '리스사업(D)'!AE25 + '임대사업(E)'!AE25 + '환경부사업(F)'!AE25 + '프로젝트(G)'!AE25 + '협력사 EPC(H)'!AE25 + '기타(Z)'!AE25</f>
        <v>0</v>
      </c>
      <c r="G42" s="41">
        <f>'발전사업(A)'!AF25 + '자가소비(B)'!AF25 + 'PPA 사업(C)'!AF25 + '리스사업(D)'!AF25 + '임대사업(E)'!AF25 + '환경부사업(F)'!AF25 + '프로젝트(G)'!AF25 + '협력사 EPC(H)'!AF25 + '기타(Z)'!AF25</f>
        <v>0</v>
      </c>
      <c r="H42" s="41">
        <f>'발전사업(A)'!AG25 + '자가소비(B)'!AG25 + 'PPA 사업(C)'!AG25 + '리스사업(D)'!AG25 + '임대사업(E)'!AG25 + '환경부사업(F)'!AG25 + '프로젝트(G)'!AG25 + '협력사 EPC(H)'!AG25 + '기타(Z)'!AG25</f>
        <v>0</v>
      </c>
      <c r="I42" s="130">
        <f>'발전사업(A)'!AH25 + '자가소비(B)'!AH25 + 'PPA 사업(C)'!AH25 + '리스사업(D)'!AH25 + '임대사업(E)'!AH25 + '환경부사업(F)'!AH25 + '프로젝트(G)'!AH25 + '협력사 EPC(H)'!AH25 + '기타(Z)'!AH25</f>
        <v>0</v>
      </c>
      <c r="J42" s="120">
        <f>'발전사업(A)'!AI25 + '자가소비(B)'!AI25 + 'PPA 사업(C)'!AI25 + '리스사업(D)'!AI25 + '임대사업(E)'!AI25 + '환경부사업(F)'!AI25 + '프로젝트(G)'!AI25 + '협력사 EPC(H)'!AI25 + '기타(Z)'!AI25</f>
        <v>0</v>
      </c>
      <c r="K42" s="188">
        <f>'발전사업(A)'!AJ25 + '자가소비(B)'!AJ25 + 'PPA 사업(C)'!AJ25 + '리스사업(D)'!AJ25 + '임대사업(E)'!AJ25 + '환경부사업(F)'!AJ25 + '프로젝트(G)'!AJ25 + '협력사 EPC(H)'!AJ25 + '기타(Z)'!AJ25</f>
        <v>0</v>
      </c>
      <c r="L42" s="188">
        <f>'발전사업(A)'!AK25 + '자가소비(B)'!AK25 + 'PPA 사업(C)'!AK25 + '리스사업(D)'!AK25 + '임대사업(E)'!AK25 + '환경부사업(F)'!AK25 + '프로젝트(G)'!AK25 + '협력사 EPC(H)'!AK25 + '기타(Z)'!AK25</f>
        <v>0</v>
      </c>
      <c r="M42" s="188">
        <f>'발전사업(A)'!AL25 + '자가소비(B)'!AL25 + 'PPA 사업(C)'!AL25 + '리스사업(D)'!AL25 + '임대사업(E)'!AL25 + '환경부사업(F)'!AL25 + '프로젝트(G)'!AL25 + '협력사 EPC(H)'!AL25 + '기타(Z)'!AL25</f>
        <v>0</v>
      </c>
      <c r="N42" s="189">
        <f>'발전사업(A)'!AM25 + '자가소비(B)'!AM25 + 'PPA 사업(C)'!AM25 + '리스사업(D)'!AM25 + '임대사업(E)'!AM25 + '환경부사업(F)'!AM25 + '프로젝트(G)'!AM25 + '협력사 EPC(H)'!AM25 + '기타(Z)'!AM25</f>
        <v>0</v>
      </c>
      <c r="O42" s="41">
        <f>'발전사업(A)'!AN25 + '자가소비(B)'!AN25 + 'PPA 사업(C)'!AN25 + '리스사업(D)'!AN25 + '임대사업(E)'!AN25 + '환경부사업(F)'!AN25 + '프로젝트(G)'!AN25 + '협력사 EPC(H)'!AN25 + '기타(Z)'!AN25 + '협력사 하도(I)'!AN25</f>
        <v>0</v>
      </c>
      <c r="P42" s="41">
        <f>'발전사업(A)'!AO25 + '자가소비(B)'!AO25 + 'PPA 사업(C)'!AO25 + '리스사업(D)'!AO25 + '임대사업(E)'!AO25 + '환경부사업(F)'!AO25 + '프로젝트(G)'!AO25 + '협력사 EPC(H)'!AO25 + '기타(Z)'!AO25 + '협력사 하도(I)'!AO25</f>
        <v>0</v>
      </c>
      <c r="Q42" s="41">
        <f>'발전사업(A)'!AP25 + '자가소비(B)'!AP25 + 'PPA 사업(C)'!AP25 + '리스사업(D)'!AP25 + '임대사업(E)'!AP25 + '환경부사업(F)'!AP25 + '프로젝트(G)'!AP25 + '협력사 EPC(H)'!AP25 + '기타(Z)'!AP25 + '협력사 하도(I)'!AP25</f>
        <v>0</v>
      </c>
      <c r="R42" s="41">
        <f>'발전사업(A)'!AQ25 + '자가소비(B)'!AQ25 + 'PPA 사업(C)'!AQ25 + '리스사업(D)'!AQ25 + '임대사업(E)'!AQ25 + '환경부사업(F)'!AQ25 + '프로젝트(G)'!AQ25 + '협력사 EPC(H)'!AQ25 + '기타(Z)'!AQ25 + '협력사 하도(I)'!AQ25</f>
        <v>0</v>
      </c>
      <c r="S42" s="135">
        <f>'발전사업(A)'!AR25 + '자가소비(B)'!AR25 + 'PPA 사업(C)'!AR25 + '리스사업(D)'!AR25 + '임대사업(E)'!AR25 + '환경부사업(F)'!AR25 + '프로젝트(G)'!AR25 + '협력사 EPC(H)'!AR25 + '기타(Z)'!AR25 + '협력사 하도(I)'!AR25</f>
        <v>0</v>
      </c>
    </row>
    <row r="43" spans="1:23" ht="14.25" thickBot="1" x14ac:dyDescent="0.3">
      <c r="A43">
        <v>4</v>
      </c>
      <c r="B43" s="417"/>
      <c r="C43" s="97" t="s">
        <v>3</v>
      </c>
      <c r="D43" s="103"/>
      <c r="E43" s="146">
        <f>'발전사업(A)'!AD26 + '자가소비(B)'!AD26 + 'PPA 사업(C)'!AD26 + '리스사업(D)'!AD26 + '임대사업(E)'!AD26 + '환경부사업(F)'!AD26 + '프로젝트(G)'!AD26 + '협력사 EPC(H)'!AD26 + '기타(Z)'!AD26</f>
        <v>5203.2549999999992</v>
      </c>
      <c r="F43" s="147">
        <f>'발전사업(A)'!AE26 + '자가소비(B)'!AE26 + 'PPA 사업(C)'!AE26 + '리스사업(D)'!AE26 + '임대사업(E)'!AE26 + '환경부사업(F)'!AE26 + '프로젝트(G)'!AE26 + '협력사 EPC(H)'!AE26 + '기타(Z)'!AE26</f>
        <v>3982.1350000000002</v>
      </c>
      <c r="G43" s="147">
        <f>'발전사업(A)'!AF26 + '자가소비(B)'!AF26 + 'PPA 사업(C)'!AF26 + '리스사업(D)'!AF26 + '임대사업(E)'!AF26 + '환경부사업(F)'!AF26 + '프로젝트(G)'!AF26 + '협력사 EPC(H)'!AF26 + '기타(Z)'!AF26</f>
        <v>291.20000000000005</v>
      </c>
      <c r="H43" s="147">
        <f>'발전사업(A)'!AG26 + '자가소비(B)'!AG26 + 'PPA 사업(C)'!AG26 + '리스사업(D)'!AG26 + '임대사업(E)'!AG26 + '환경부사업(F)'!AG26 + '프로젝트(G)'!AG26 + '협력사 EPC(H)'!AG26 + '기타(Z)'!AG26</f>
        <v>929.92</v>
      </c>
      <c r="I43" s="148">
        <f>'발전사업(A)'!AH26 + '자가소비(B)'!AH26 + 'PPA 사업(C)'!AH26 + '리스사업(D)'!AH26 + '임대사업(E)'!AH26 + '환경부사업(F)'!AH26 + '프로젝트(G)'!AH26 + '협력사 EPC(H)'!AH26 + '기타(Z)'!AH26</f>
        <v>0</v>
      </c>
      <c r="J43" s="196">
        <f>'발전사업(A)'!AI26 + '자가소비(B)'!AI26 + 'PPA 사업(C)'!AI26 + '리스사업(D)'!AI26 + '임대사업(E)'!AI26 + '환경부사업(F)'!AI26 + '프로젝트(G)'!AI26 + '협력사 EPC(H)'!AI26 + '기타(Z)'!AI26</f>
        <v>21</v>
      </c>
      <c r="K43" s="197">
        <f>'발전사업(A)'!AJ26 + '자가소비(B)'!AJ26 + 'PPA 사업(C)'!AJ26 + '리스사업(D)'!AJ26 + '임대사업(E)'!AJ26 + '환경부사업(F)'!AJ26 + '프로젝트(G)'!AJ26 + '협력사 EPC(H)'!AJ26 + '기타(Z)'!AJ26</f>
        <v>17</v>
      </c>
      <c r="L43" s="197">
        <f>'발전사업(A)'!AK26 + '자가소비(B)'!AK26 + 'PPA 사업(C)'!AK26 + '리스사업(D)'!AK26 + '임대사업(E)'!AK26 + '환경부사업(F)'!AK26 + '프로젝트(G)'!AK26 + '협력사 EPC(H)'!AK26 + '기타(Z)'!AK26</f>
        <v>3</v>
      </c>
      <c r="M43" s="197">
        <f>'발전사업(A)'!AL26 + '자가소비(B)'!AL26 + 'PPA 사업(C)'!AL26 + '리스사업(D)'!AL26 + '임대사업(E)'!AL26 + '환경부사업(F)'!AL26 + '프로젝트(G)'!AL26 + '협력사 EPC(H)'!AL26 + '기타(Z)'!AL26</f>
        <v>1</v>
      </c>
      <c r="N43" s="198">
        <f>'발전사업(A)'!AM26 + '자가소비(B)'!AM26 + 'PPA 사업(C)'!AM26 + '리스사업(D)'!AM26 + '임대사업(E)'!AM26 + '환경부사업(F)'!AM26 + '프로젝트(G)'!AM26 + '협력사 EPC(H)'!AM26 + '기타(Z)'!AM26</f>
        <v>0</v>
      </c>
      <c r="O43" s="147">
        <f>'발전사업(A)'!AN26 + '자가소비(B)'!AN26 + 'PPA 사업(C)'!AN26 + '리스사업(D)'!AN26 + '임대사업(E)'!AN26 + '환경부사업(F)'!AN26 + '프로젝트(G)'!AN26 + '협력사 EPC(H)'!AN26 + '기타(Z)'!AN26 + '협력사 하도(I)'!AN26</f>
        <v>48.584000000000003</v>
      </c>
      <c r="P43" s="147">
        <f>'발전사업(A)'!AO26 + '자가소비(B)'!AO26 + 'PPA 사업(C)'!AO26 + '리스사업(D)'!AO26 + '임대사업(E)'!AO26 + '환경부사업(F)'!AO26 + '프로젝트(G)'!AO26 + '협력사 EPC(H)'!AO26 + '기타(Z)'!AO26 + '협력사 하도(I)'!AO26</f>
        <v>37.884</v>
      </c>
      <c r="Q43" s="147">
        <f>'발전사업(A)'!AP26 + '자가소비(B)'!AP26 + 'PPA 사업(C)'!AP26 + '리스사업(D)'!AP26 + '임대사업(E)'!AP26 + '환경부사업(F)'!AP26 + '프로젝트(G)'!AP26 + '협력사 EPC(H)'!AP26 + '기타(Z)'!AP26 + '협력사 하도(I)'!AP26</f>
        <v>2.2199999999999998</v>
      </c>
      <c r="R43" s="147">
        <f>'발전사업(A)'!AQ26 + '자가소비(B)'!AQ26 + 'PPA 사업(C)'!AQ26 + '리스사업(D)'!AQ26 + '임대사업(E)'!AQ26 + '환경부사업(F)'!AQ26 + '프로젝트(G)'!AQ26 + '협력사 EPC(H)'!AQ26 + '기타(Z)'!AQ26 + '협력사 하도(I)'!AQ26</f>
        <v>8.48</v>
      </c>
      <c r="S43" s="149">
        <f>'발전사업(A)'!AR26 + '자가소비(B)'!AR26 + 'PPA 사업(C)'!AR26 + '리스사업(D)'!AR26 + '임대사업(E)'!AR26 + '환경부사업(F)'!AR26 + '프로젝트(G)'!AR26 + '협력사 EPC(H)'!AR26 + '기타(Z)'!AR26 + '협력사 하도(I)'!AR26</f>
        <v>0</v>
      </c>
    </row>
    <row r="44" spans="1:23" x14ac:dyDescent="0.25">
      <c r="A44">
        <v>5</v>
      </c>
      <c r="B44" s="415">
        <v>5</v>
      </c>
      <c r="C44" s="94">
        <v>1</v>
      </c>
      <c r="D44" s="100" t="s">
        <v>110</v>
      </c>
      <c r="E44" s="41">
        <f>'발전사업(A)'!AD27 + '자가소비(B)'!AD27 + 'PPA 사업(C)'!AD27 + '리스사업(D)'!AD27 + '임대사업(E)'!AD27 + '환경부사업(F)'!AD27 + '프로젝트(G)'!AD27 + '협력사 EPC(H)'!AD27 + '기타(Z)'!AD27</f>
        <v>4243.2</v>
      </c>
      <c r="F44" s="41">
        <f>'발전사업(A)'!AE27 + '자가소비(B)'!AE27 + 'PPA 사업(C)'!AE27 + '리스사업(D)'!AE27 + '임대사업(E)'!AE27 + '환경부사업(F)'!AE27 + '프로젝트(G)'!AE27 + '협력사 EPC(H)'!AE27 + '기타(Z)'!AE27</f>
        <v>3756.7999999999997</v>
      </c>
      <c r="G44" s="41">
        <f>'발전사업(A)'!AF27 + '자가소비(B)'!AF27 + 'PPA 사업(C)'!AF27 + '리스사업(D)'!AF27 + '임대사업(E)'!AF27 + '환경부사업(F)'!AF27 + '프로젝트(G)'!AF27 + '협력사 EPC(H)'!AF27 + '기타(Z)'!AF27</f>
        <v>486.4</v>
      </c>
      <c r="H44" s="41">
        <f>'발전사업(A)'!AG27 + '자가소비(B)'!AG27 + 'PPA 사업(C)'!AG27 + '리스사업(D)'!AG27 + '임대사업(E)'!AG27 + '환경부사업(F)'!AG27 + '프로젝트(G)'!AG27 + '협력사 EPC(H)'!AG27 + '기타(Z)'!AG27</f>
        <v>0</v>
      </c>
      <c r="I44" s="130">
        <f>'발전사업(A)'!AH27 + '자가소비(B)'!AH27 + 'PPA 사업(C)'!AH27 + '리스사업(D)'!AH27 + '임대사업(E)'!AH27 + '환경부사업(F)'!AH27 + '프로젝트(G)'!AH27 + '협력사 EPC(H)'!AH27 + '기타(Z)'!AH27</f>
        <v>0</v>
      </c>
      <c r="J44" s="120">
        <f>'발전사업(A)'!AI27 + '자가소비(B)'!AI27 + 'PPA 사업(C)'!AI27 + '리스사업(D)'!AI27 + '임대사업(E)'!AI27 + '환경부사업(F)'!AI27 + '프로젝트(G)'!AI27 + '협력사 EPC(H)'!AI27 + '기타(Z)'!AI27</f>
        <v>10</v>
      </c>
      <c r="K44" s="188">
        <f>'발전사업(A)'!AJ27 + '자가소비(B)'!AJ27 + 'PPA 사업(C)'!AJ27 + '리스사업(D)'!AJ27 + '임대사업(E)'!AJ27 + '환경부사업(F)'!AJ27 + '프로젝트(G)'!AJ27 + '협력사 EPC(H)'!AJ27 + '기타(Z)'!AJ27</f>
        <v>8</v>
      </c>
      <c r="L44" s="188">
        <f>'발전사업(A)'!AK27 + '자가소비(B)'!AK27 + 'PPA 사업(C)'!AK27 + '리스사업(D)'!AK27 + '임대사업(E)'!AK27 + '환경부사업(F)'!AK27 + '프로젝트(G)'!AK27 + '협력사 EPC(H)'!AK27 + '기타(Z)'!AK27</f>
        <v>2</v>
      </c>
      <c r="M44" s="188">
        <f>'발전사업(A)'!AL27 + '자가소비(B)'!AL27 + 'PPA 사업(C)'!AL27 + '리스사업(D)'!AL27 + '임대사업(E)'!AL27 + '환경부사업(F)'!AL27 + '프로젝트(G)'!AL27 + '협력사 EPC(H)'!AL27 + '기타(Z)'!AL27</f>
        <v>0</v>
      </c>
      <c r="N44" s="189">
        <f>'발전사업(A)'!AM27 + '자가소비(B)'!AM27 + 'PPA 사업(C)'!AM27 + '리스사업(D)'!AM27 + '임대사업(E)'!AM27 + '환경부사업(F)'!AM27 + '프로젝트(G)'!AM27 + '협력사 EPC(H)'!AM27 + '기타(Z)'!AM27</f>
        <v>0</v>
      </c>
      <c r="O44" s="41">
        <f>'발전사업(A)'!AN27 + '자가소비(B)'!AN27 + 'PPA 사업(C)'!AN27 + '리스사업(D)'!AN27 + '임대사업(E)'!AN27 + '환경부사업(F)'!AN27 + '프로젝트(G)'!AN27 + '협력사 EPC(H)'!AN27 + '기타(Z)'!AN27 + '협력사 하도(I)'!AN27</f>
        <v>41.343000000000011</v>
      </c>
      <c r="P44" s="41">
        <f>'발전사업(A)'!AO27 + '자가소비(B)'!AO27 + 'PPA 사업(C)'!AO27 + '리스사업(D)'!AO27 + '임대사업(E)'!AO27 + '환경부사업(F)'!AO27 + '프로젝트(G)'!AO27 + '협력사 EPC(H)'!AO27 + '기타(Z)'!AO27 + '협력사 하도(I)'!AO27</f>
        <v>38.460000000000008</v>
      </c>
      <c r="Q44" s="41">
        <f>'발전사업(A)'!AP27 + '자가소비(B)'!AP27 + 'PPA 사업(C)'!AP27 + '리스사업(D)'!AP27 + '임대사업(E)'!AP27 + '환경부사업(F)'!AP27 + '프로젝트(G)'!AP27 + '협력사 EPC(H)'!AP27 + '기타(Z)'!AP27 + '협력사 하도(I)'!AP27</f>
        <v>2.883</v>
      </c>
      <c r="R44" s="41">
        <f>'발전사업(A)'!AQ27 + '자가소비(B)'!AQ27 + 'PPA 사업(C)'!AQ27 + '리스사업(D)'!AQ27 + '임대사업(E)'!AQ27 + '환경부사업(F)'!AQ27 + '프로젝트(G)'!AQ27 + '협력사 EPC(H)'!AQ27 + '기타(Z)'!AQ27 + '협력사 하도(I)'!AQ27</f>
        <v>0</v>
      </c>
      <c r="S44" s="135">
        <f>'발전사업(A)'!AR27 + '자가소비(B)'!AR27 + 'PPA 사업(C)'!AR27 + '리스사업(D)'!AR27 + '임대사업(E)'!AR27 + '환경부사업(F)'!AR27 + '프로젝트(G)'!AR27 + '협력사 EPC(H)'!AR27 + '기타(Z)'!AR27 + '협력사 하도(I)'!AR27</f>
        <v>0</v>
      </c>
    </row>
    <row r="45" spans="1:23" x14ac:dyDescent="0.25">
      <c r="A45">
        <v>5</v>
      </c>
      <c r="B45" s="416"/>
      <c r="C45" s="95">
        <v>2</v>
      </c>
      <c r="D45" s="102" t="s">
        <v>111</v>
      </c>
      <c r="E45" s="41">
        <f>'발전사업(A)'!AD28 + '자가소비(B)'!AD28 + 'PPA 사업(C)'!AD28 + '리스사업(D)'!AD28 + '임대사업(E)'!AD28 + '환경부사업(F)'!AD28 + '프로젝트(G)'!AD28 + '협력사 EPC(H)'!AD28 + '기타(Z)'!AD28</f>
        <v>1273.94</v>
      </c>
      <c r="F45" s="41">
        <f>'발전사업(A)'!AE28 + '자가소비(B)'!AE28 + 'PPA 사업(C)'!AE28 + '리스사업(D)'!AE28 + '임대사업(E)'!AE28 + '환경부사업(F)'!AE28 + '프로젝트(G)'!AE28 + '협력사 EPC(H)'!AE28 + '기타(Z)'!AE28</f>
        <v>348.8</v>
      </c>
      <c r="G45" s="41">
        <f>'발전사업(A)'!AF28 + '자가소비(B)'!AF28 + 'PPA 사업(C)'!AF28 + '리스사업(D)'!AF28 + '임대사업(E)'!AF28 + '환경부사업(F)'!AF28 + '프로젝트(G)'!AF28 + '협력사 EPC(H)'!AF28 + '기타(Z)'!AF28</f>
        <v>368.64</v>
      </c>
      <c r="H45" s="41">
        <f>'발전사업(A)'!AG28 + '자가소비(B)'!AG28 + 'PPA 사업(C)'!AG28 + '리스사업(D)'!AG28 + '임대사업(E)'!AG28 + '환경부사업(F)'!AG28 + '프로젝트(G)'!AG28 + '협력사 EPC(H)'!AG28 + '기타(Z)'!AG28</f>
        <v>556.5</v>
      </c>
      <c r="I45" s="130">
        <f>'발전사업(A)'!AH28 + '자가소비(B)'!AH28 + 'PPA 사업(C)'!AH28 + '리스사업(D)'!AH28 + '임대사업(E)'!AH28 + '환경부사업(F)'!AH28 + '프로젝트(G)'!AH28 + '협력사 EPC(H)'!AH28 + '기타(Z)'!AH28</f>
        <v>0</v>
      </c>
      <c r="J45" s="120">
        <f>'발전사업(A)'!AI28 + '자가소비(B)'!AI28 + 'PPA 사업(C)'!AI28 + '리스사업(D)'!AI28 + '임대사업(E)'!AI28 + '환경부사업(F)'!AI28 + '프로젝트(G)'!AI28 + '협력사 EPC(H)'!AI28 + '기타(Z)'!AI28</f>
        <v>4</v>
      </c>
      <c r="K45" s="188">
        <f>'발전사업(A)'!AJ28 + '자가소비(B)'!AJ28 + 'PPA 사업(C)'!AJ28 + '리스사업(D)'!AJ28 + '임대사업(E)'!AJ28 + '환경부사업(F)'!AJ28 + '프로젝트(G)'!AJ28 + '협력사 EPC(H)'!AJ28 + '기타(Z)'!AJ28</f>
        <v>2</v>
      </c>
      <c r="L45" s="188">
        <f>'발전사업(A)'!AK28 + '자가소비(B)'!AK28 + 'PPA 사업(C)'!AK28 + '리스사업(D)'!AK28 + '임대사업(E)'!AK28 + '환경부사업(F)'!AK28 + '프로젝트(G)'!AK28 + '협력사 EPC(H)'!AK28 + '기타(Z)'!AK28</f>
        <v>1</v>
      </c>
      <c r="M45" s="188">
        <f>'발전사업(A)'!AL28 + '자가소비(B)'!AL28 + 'PPA 사업(C)'!AL28 + '리스사업(D)'!AL28 + '임대사업(E)'!AL28 + '환경부사업(F)'!AL28 + '프로젝트(G)'!AL28 + '협력사 EPC(H)'!AL28 + '기타(Z)'!AL28</f>
        <v>1</v>
      </c>
      <c r="N45" s="189">
        <f>'발전사업(A)'!AM28 + '자가소비(B)'!AM28 + 'PPA 사업(C)'!AM28 + '리스사업(D)'!AM28 + '임대사업(E)'!AM28 + '환경부사업(F)'!AM28 + '프로젝트(G)'!AM28 + '협력사 EPC(H)'!AM28 + '기타(Z)'!AM28</f>
        <v>0</v>
      </c>
      <c r="O45" s="41">
        <f>'발전사업(A)'!AN28 + '자가소비(B)'!AN28 + 'PPA 사업(C)'!AN28 + '리스사업(D)'!AN28 + '임대사업(E)'!AN28 + '환경부사업(F)'!AN28 + '프로젝트(G)'!AN28 + '협력사 EPC(H)'!AN28 + '기타(Z)'!AN28 + '협력사 하도(I)'!AN28</f>
        <v>11.146000000000001</v>
      </c>
      <c r="P45" s="41">
        <f>'발전사업(A)'!AO28 + '자가소비(B)'!AO28 + 'PPA 사업(C)'!AO28 + '리스사업(D)'!AO28 + '임대사업(E)'!AO28 + '환경부사업(F)'!AO28 + '프로젝트(G)'!AO28 + '협력사 EPC(H)'!AO28 + '기타(Z)'!AO28 + '협력사 하도(I)'!AO28</f>
        <v>3.99</v>
      </c>
      <c r="Q45" s="41">
        <f>'발전사업(A)'!AP28 + '자가소비(B)'!AP28 + 'PPA 사업(C)'!AP28 + '리스사업(D)'!AP28 + '임대사업(E)'!AP28 + '환경부사업(F)'!AP28 + '프로젝트(G)'!AP28 + '협력사 EPC(H)'!AP28 + '기타(Z)'!AP28 + '협력사 하도(I)'!AP28</f>
        <v>0</v>
      </c>
      <c r="R45" s="41">
        <f>'발전사업(A)'!AQ28 + '자가소비(B)'!AQ28 + 'PPA 사업(C)'!AQ28 + '리스사업(D)'!AQ28 + '임대사업(E)'!AQ28 + '환경부사업(F)'!AQ28 + '프로젝트(G)'!AQ28 + '협력사 EPC(H)'!AQ28 + '기타(Z)'!AQ28 + '협력사 하도(I)'!AQ28</f>
        <v>7.1560000000000006</v>
      </c>
      <c r="S45" s="135">
        <f>'발전사업(A)'!AR28 + '자가소비(B)'!AR28 + 'PPA 사업(C)'!AR28 + '리스사업(D)'!AR28 + '임대사업(E)'!AR28 + '환경부사업(F)'!AR28 + '프로젝트(G)'!AR28 + '협력사 EPC(H)'!AR28 + '기타(Z)'!AR28 + '협력사 하도(I)'!AR28</f>
        <v>0</v>
      </c>
    </row>
    <row r="46" spans="1:23" x14ac:dyDescent="0.25">
      <c r="A46">
        <v>5</v>
      </c>
      <c r="B46" s="416"/>
      <c r="C46" s="95">
        <v>3</v>
      </c>
      <c r="D46" s="102" t="s">
        <v>112</v>
      </c>
      <c r="E46" s="41">
        <f>'발전사업(A)'!AD29 + '자가소비(B)'!AD29 + 'PPA 사업(C)'!AD29 + '리스사업(D)'!AD29 + '임대사업(E)'!AD29 + '환경부사업(F)'!AD29 + '프로젝트(G)'!AD29 + '협력사 EPC(H)'!AD29 + '기타(Z)'!AD29</f>
        <v>494.08000000000004</v>
      </c>
      <c r="F46" s="41">
        <f>'발전사업(A)'!AE29 + '자가소비(B)'!AE29 + 'PPA 사업(C)'!AE29 + '리스사업(D)'!AE29 + '임대사업(E)'!AE29 + '환경부사업(F)'!AE29 + '프로젝트(G)'!AE29 + '협력사 EPC(H)'!AE29 + '기타(Z)'!AE29</f>
        <v>494.08000000000004</v>
      </c>
      <c r="G46" s="41">
        <f>'발전사업(A)'!AF29 + '자가소비(B)'!AF29 + 'PPA 사업(C)'!AF29 + '리스사업(D)'!AF29 + '임대사업(E)'!AF29 + '환경부사업(F)'!AF29 + '프로젝트(G)'!AF29 + '협력사 EPC(H)'!AF29 + '기타(Z)'!AF29</f>
        <v>0</v>
      </c>
      <c r="H46" s="41">
        <f>'발전사업(A)'!AG29 + '자가소비(B)'!AG29 + 'PPA 사업(C)'!AG29 + '리스사업(D)'!AG29 + '임대사업(E)'!AG29 + '환경부사업(F)'!AG29 + '프로젝트(G)'!AG29 + '협력사 EPC(H)'!AG29 + '기타(Z)'!AG29</f>
        <v>0</v>
      </c>
      <c r="I46" s="130">
        <f>'발전사업(A)'!AH29 + '자가소비(B)'!AH29 + 'PPA 사업(C)'!AH29 + '리스사업(D)'!AH29 + '임대사업(E)'!AH29 + '환경부사업(F)'!AH29 + '프로젝트(G)'!AH29 + '협력사 EPC(H)'!AH29 + '기타(Z)'!AH29</f>
        <v>0</v>
      </c>
      <c r="J46" s="120">
        <f>'발전사업(A)'!AI29 + '자가소비(B)'!AI29 + 'PPA 사업(C)'!AI29 + '리스사업(D)'!AI29 + '임대사업(E)'!AI29 + '환경부사업(F)'!AI29 + '프로젝트(G)'!AI29 + '협력사 EPC(H)'!AI29 + '기타(Z)'!AI29</f>
        <v>4</v>
      </c>
      <c r="K46" s="188">
        <f>'발전사업(A)'!AJ29 + '자가소비(B)'!AJ29 + 'PPA 사업(C)'!AJ29 + '리스사업(D)'!AJ29 + '임대사업(E)'!AJ29 + '환경부사업(F)'!AJ29 + '프로젝트(G)'!AJ29 + '협력사 EPC(H)'!AJ29 + '기타(Z)'!AJ29</f>
        <v>4</v>
      </c>
      <c r="L46" s="188">
        <f>'발전사업(A)'!AK29 + '자가소비(B)'!AK29 + 'PPA 사업(C)'!AK29 + '리스사업(D)'!AK29 + '임대사업(E)'!AK29 + '환경부사업(F)'!AK29 + '프로젝트(G)'!AK29 + '협력사 EPC(H)'!AK29 + '기타(Z)'!AK29</f>
        <v>0</v>
      </c>
      <c r="M46" s="188">
        <f>'발전사업(A)'!AL29 + '자가소비(B)'!AL29 + 'PPA 사업(C)'!AL29 + '리스사업(D)'!AL29 + '임대사업(E)'!AL29 + '환경부사업(F)'!AL29 + '프로젝트(G)'!AL29 + '협력사 EPC(H)'!AL29 + '기타(Z)'!AL29</f>
        <v>0</v>
      </c>
      <c r="N46" s="189">
        <f>'발전사업(A)'!AM29 + '자가소비(B)'!AM29 + 'PPA 사업(C)'!AM29 + '리스사업(D)'!AM29 + '임대사업(E)'!AM29 + '환경부사업(F)'!AM29 + '프로젝트(G)'!AM29 + '협력사 EPC(H)'!AM29 + '기타(Z)'!AM29</f>
        <v>0</v>
      </c>
      <c r="O46" s="41">
        <f>'발전사업(A)'!AN29 + '자가소비(B)'!AN29 + 'PPA 사업(C)'!AN29 + '리스사업(D)'!AN29 + '임대사업(E)'!AN29 + '환경부사업(F)'!AN29 + '프로젝트(G)'!AN29 + '협력사 EPC(H)'!AN29 + '기타(Z)'!AN29 + '협력사 하도(I)'!AN29</f>
        <v>4.83</v>
      </c>
      <c r="P46" s="41">
        <f>'발전사업(A)'!AO29 + '자가소비(B)'!AO29 + 'PPA 사업(C)'!AO29 + '리스사업(D)'!AO29 + '임대사업(E)'!AO29 + '환경부사업(F)'!AO29 + '프로젝트(G)'!AO29 + '협력사 EPC(H)'!AO29 + '기타(Z)'!AO29 + '협력사 하도(I)'!AO29</f>
        <v>4.83</v>
      </c>
      <c r="Q46" s="41">
        <f>'발전사업(A)'!AP29 + '자가소비(B)'!AP29 + 'PPA 사업(C)'!AP29 + '리스사업(D)'!AP29 + '임대사업(E)'!AP29 + '환경부사업(F)'!AP29 + '프로젝트(G)'!AP29 + '협력사 EPC(H)'!AP29 + '기타(Z)'!AP29 + '협력사 하도(I)'!AP29</f>
        <v>0</v>
      </c>
      <c r="R46" s="41">
        <f>'발전사업(A)'!AQ29 + '자가소비(B)'!AQ29 + 'PPA 사업(C)'!AQ29 + '리스사업(D)'!AQ29 + '임대사업(E)'!AQ29 + '환경부사업(F)'!AQ29 + '프로젝트(G)'!AQ29 + '협력사 EPC(H)'!AQ29 + '기타(Z)'!AQ29 + '협력사 하도(I)'!AQ29</f>
        <v>0</v>
      </c>
      <c r="S46" s="135">
        <f>'발전사업(A)'!AR29 + '자가소비(B)'!AR29 + 'PPA 사업(C)'!AR29 + '리스사업(D)'!AR29 + '임대사업(E)'!AR29 + '환경부사업(F)'!AR29 + '프로젝트(G)'!AR29 + '협력사 EPC(H)'!AR29 + '기타(Z)'!AR29 + '협력사 하도(I)'!AR29</f>
        <v>0</v>
      </c>
    </row>
    <row r="47" spans="1:23" x14ac:dyDescent="0.25">
      <c r="A47">
        <v>5</v>
      </c>
      <c r="B47" s="416"/>
      <c r="C47" s="95">
        <v>4</v>
      </c>
      <c r="D47" s="102" t="s">
        <v>113</v>
      </c>
      <c r="E47" s="41">
        <f>'발전사업(A)'!AD30 + '자가소비(B)'!AD30 + 'PPA 사업(C)'!AD30 + '리스사업(D)'!AD30 + '임대사업(E)'!AD30 + '환경부사업(F)'!AD30 + '프로젝트(G)'!AD30 + '협력사 EPC(H)'!AD30 + '기타(Z)'!AD30</f>
        <v>3054.72</v>
      </c>
      <c r="F47" s="41">
        <f>'발전사업(A)'!AE30 + '자가소비(B)'!AE30 + 'PPA 사업(C)'!AE30 + '리스사업(D)'!AE30 + '임대사업(E)'!AE30 + '환경부사업(F)'!AE30 + '프로젝트(G)'!AE30 + '협력사 EPC(H)'!AE30 + '기타(Z)'!AE30</f>
        <v>1087.3599999999999</v>
      </c>
      <c r="G47" s="41">
        <f>'발전사업(A)'!AF30 + '자가소비(B)'!AF30 + 'PPA 사업(C)'!AF30 + '리스사업(D)'!AF30 + '임대사업(E)'!AF30 + '환경부사업(F)'!AF30 + '프로젝트(G)'!AF30 + '협력사 EPC(H)'!AF30 + '기타(Z)'!AF30</f>
        <v>264.95999999999998</v>
      </c>
      <c r="H47" s="41">
        <f>'발전사업(A)'!AG30 + '자가소비(B)'!AG30 + 'PPA 사업(C)'!AG30 + '리스사업(D)'!AG30 + '임대사업(E)'!AG30 + '환경부사업(F)'!AG30 + '프로젝트(G)'!AG30 + '협력사 EPC(H)'!AG30 + '기타(Z)'!AG30</f>
        <v>1702.4</v>
      </c>
      <c r="I47" s="130">
        <f>'발전사업(A)'!AH30 + '자가소비(B)'!AH30 + 'PPA 사업(C)'!AH30 + '리스사업(D)'!AH30 + '임대사업(E)'!AH30 + '환경부사업(F)'!AH30 + '프로젝트(G)'!AH30 + '협력사 EPC(H)'!AH30 + '기타(Z)'!AH30</f>
        <v>0</v>
      </c>
      <c r="J47" s="120">
        <f>'발전사업(A)'!AI30 + '자가소비(B)'!AI30 + 'PPA 사업(C)'!AI30 + '리스사업(D)'!AI30 + '임대사업(E)'!AI30 + '환경부사업(F)'!AI30 + '프로젝트(G)'!AI30 + '협력사 EPC(H)'!AI30 + '기타(Z)'!AI30</f>
        <v>8</v>
      </c>
      <c r="K47" s="188">
        <f>'발전사업(A)'!AJ30 + '자가소비(B)'!AJ30 + 'PPA 사업(C)'!AJ30 + '리스사업(D)'!AJ30 + '임대사업(E)'!AJ30 + '환경부사업(F)'!AJ30 + '프로젝트(G)'!AJ30 + '협력사 EPC(H)'!AJ30 + '기타(Z)'!AJ30</f>
        <v>5</v>
      </c>
      <c r="L47" s="188">
        <f>'발전사업(A)'!AK30 + '자가소비(B)'!AK30 + 'PPA 사업(C)'!AK30 + '리스사업(D)'!AK30 + '임대사업(E)'!AK30 + '환경부사업(F)'!AK30 + '프로젝트(G)'!AK30 + '협력사 EPC(H)'!AK30 + '기타(Z)'!AK30</f>
        <v>2</v>
      </c>
      <c r="M47" s="188">
        <f>'발전사업(A)'!AL30 + '자가소비(B)'!AL30 + 'PPA 사업(C)'!AL30 + '리스사업(D)'!AL30 + '임대사업(E)'!AL30 + '환경부사업(F)'!AL30 + '프로젝트(G)'!AL30 + '협력사 EPC(H)'!AL30 + '기타(Z)'!AL30</f>
        <v>1</v>
      </c>
      <c r="N47" s="189">
        <f>'발전사업(A)'!AM30 + '자가소비(B)'!AM30 + 'PPA 사업(C)'!AM30 + '리스사업(D)'!AM30 + '임대사업(E)'!AM30 + '환경부사업(F)'!AM30 + '프로젝트(G)'!AM30 + '협력사 EPC(H)'!AM30 + '기타(Z)'!AM30</f>
        <v>0</v>
      </c>
      <c r="O47" s="41">
        <f>'발전사업(A)'!AN30 + '자가소비(B)'!AN30 + 'PPA 사업(C)'!AN30 + '리스사업(D)'!AN30 + '임대사업(E)'!AN30 + '환경부사업(F)'!AN30 + '프로젝트(G)'!AN30 + '협력사 EPC(H)'!AN30 + '기타(Z)'!AN30 + '협력사 하도(I)'!AN30</f>
        <v>31.32</v>
      </c>
      <c r="P47" s="41">
        <f>'발전사업(A)'!AO30 + '자가소비(B)'!AO30 + 'PPA 사업(C)'!AO30 + '리스사업(D)'!AO30 + '임대사업(E)'!AO30 + '환경부사업(F)'!AO30 + '프로젝트(G)'!AO30 + '협력사 EPC(H)'!AO30 + '기타(Z)'!AO30 + '협력사 하도(I)'!AO30</f>
        <v>9.5500000000000007</v>
      </c>
      <c r="Q47" s="41">
        <f>'발전사업(A)'!AP30 + '자가소비(B)'!AP30 + 'PPA 사업(C)'!AP30 + '리스사업(D)'!AP30 + '임대사업(E)'!AP30 + '환경부사업(F)'!AP30 + '프로젝트(G)'!AP30 + '협력사 EPC(H)'!AP30 + '기타(Z)'!AP30 + '협력사 하도(I)'!AP30</f>
        <v>0</v>
      </c>
      <c r="R47" s="41">
        <f>'발전사업(A)'!AQ30 + '자가소비(B)'!AQ30 + 'PPA 사업(C)'!AQ30 + '리스사업(D)'!AQ30 + '임대사업(E)'!AQ30 + '환경부사업(F)'!AQ30 + '프로젝트(G)'!AQ30 + '협력사 EPC(H)'!AQ30 + '기타(Z)'!AQ30 + '협력사 하도(I)'!AQ30</f>
        <v>21.77</v>
      </c>
      <c r="S47" s="135">
        <f>'발전사업(A)'!AR30 + '자가소비(B)'!AR30 + 'PPA 사업(C)'!AR30 + '리스사업(D)'!AR30 + '임대사업(E)'!AR30 + '환경부사업(F)'!AR30 + '프로젝트(G)'!AR30 + '협력사 EPC(H)'!AR30 + '기타(Z)'!AR30 + '협력사 하도(I)'!AR30</f>
        <v>0</v>
      </c>
    </row>
    <row r="48" spans="1:23" x14ac:dyDescent="0.25">
      <c r="A48">
        <v>5</v>
      </c>
      <c r="B48" s="416"/>
      <c r="C48" s="96">
        <v>5</v>
      </c>
      <c r="D48" s="102"/>
      <c r="E48" s="41">
        <f>'발전사업(A)'!AD31 + '자가소비(B)'!AD31 + 'PPA 사업(C)'!AD31 + '리스사업(D)'!AD31 + '임대사업(E)'!AD31 + '환경부사업(F)'!AD31 + '프로젝트(G)'!AD31 + '협력사 EPC(H)'!AD31 + '기타(Z)'!AD31</f>
        <v>0</v>
      </c>
      <c r="F48" s="41">
        <f>'발전사업(A)'!AE31 + '자가소비(B)'!AE31 + 'PPA 사업(C)'!AE31 + '리스사업(D)'!AE31 + '임대사업(E)'!AE31 + '환경부사업(F)'!AE31 + '프로젝트(G)'!AE31 + '협력사 EPC(H)'!AE31 + '기타(Z)'!AE31</f>
        <v>0</v>
      </c>
      <c r="G48" s="41">
        <f>'발전사업(A)'!AF31 + '자가소비(B)'!AF31 + 'PPA 사업(C)'!AF31 + '리스사업(D)'!AF31 + '임대사업(E)'!AF31 + '환경부사업(F)'!AF31 + '프로젝트(G)'!AF31 + '협력사 EPC(H)'!AF31 + '기타(Z)'!AF31</f>
        <v>0</v>
      </c>
      <c r="H48" s="41">
        <f>'발전사업(A)'!AG31 + '자가소비(B)'!AG31 + 'PPA 사업(C)'!AG31 + '리스사업(D)'!AG31 + '임대사업(E)'!AG31 + '환경부사업(F)'!AG31 + '프로젝트(G)'!AG31 + '협력사 EPC(H)'!AG31 + '기타(Z)'!AG31</f>
        <v>0</v>
      </c>
      <c r="I48" s="130">
        <f>'발전사업(A)'!AH31 + '자가소비(B)'!AH31 + 'PPA 사업(C)'!AH31 + '리스사업(D)'!AH31 + '임대사업(E)'!AH31 + '환경부사업(F)'!AH31 + '프로젝트(G)'!AH31 + '협력사 EPC(H)'!AH31 + '기타(Z)'!AH31</f>
        <v>0</v>
      </c>
      <c r="J48" s="120">
        <f>'발전사업(A)'!AI31 + '자가소비(B)'!AI31 + 'PPA 사업(C)'!AI31 + '리스사업(D)'!AI31 + '임대사업(E)'!AI31 + '환경부사업(F)'!AI31 + '프로젝트(G)'!AI31 + '협력사 EPC(H)'!AI31 + '기타(Z)'!AI31</f>
        <v>0</v>
      </c>
      <c r="K48" s="188">
        <f>'발전사업(A)'!AJ31 + '자가소비(B)'!AJ31 + 'PPA 사업(C)'!AJ31 + '리스사업(D)'!AJ31 + '임대사업(E)'!AJ31 + '환경부사업(F)'!AJ31 + '프로젝트(G)'!AJ31 + '협력사 EPC(H)'!AJ31 + '기타(Z)'!AJ31</f>
        <v>0</v>
      </c>
      <c r="L48" s="188">
        <f>'발전사업(A)'!AK31 + '자가소비(B)'!AK31 + 'PPA 사업(C)'!AK31 + '리스사업(D)'!AK31 + '임대사업(E)'!AK31 + '환경부사업(F)'!AK31 + '프로젝트(G)'!AK31 + '협력사 EPC(H)'!AK31 + '기타(Z)'!AK31</f>
        <v>0</v>
      </c>
      <c r="M48" s="188">
        <f>'발전사업(A)'!AL31 + '자가소비(B)'!AL31 + 'PPA 사업(C)'!AL31 + '리스사업(D)'!AL31 + '임대사업(E)'!AL31 + '환경부사업(F)'!AL31 + '프로젝트(G)'!AL31 + '협력사 EPC(H)'!AL31 + '기타(Z)'!AL31</f>
        <v>0</v>
      </c>
      <c r="N48" s="189">
        <f>'발전사업(A)'!AM31 + '자가소비(B)'!AM31 + 'PPA 사업(C)'!AM31 + '리스사업(D)'!AM31 + '임대사업(E)'!AM31 + '환경부사업(F)'!AM31 + '프로젝트(G)'!AM31 + '협력사 EPC(H)'!AM31 + '기타(Z)'!AM31</f>
        <v>0</v>
      </c>
      <c r="O48" s="41">
        <f>'발전사업(A)'!AN31 + '자가소비(B)'!AN31 + 'PPA 사업(C)'!AN31 + '리스사업(D)'!AN31 + '임대사업(E)'!AN31 + '환경부사업(F)'!AN31 + '프로젝트(G)'!AN31 + '협력사 EPC(H)'!AN31 + '기타(Z)'!AN31 + '협력사 하도(I)'!AN31</f>
        <v>0</v>
      </c>
      <c r="P48" s="41">
        <f>'발전사업(A)'!AO31 + '자가소비(B)'!AO31 + 'PPA 사업(C)'!AO31 + '리스사업(D)'!AO31 + '임대사업(E)'!AO31 + '환경부사업(F)'!AO31 + '프로젝트(G)'!AO31 + '협력사 EPC(H)'!AO31 + '기타(Z)'!AO31 + '협력사 하도(I)'!AO31</f>
        <v>0</v>
      </c>
      <c r="Q48" s="41">
        <f>'발전사업(A)'!AP31 + '자가소비(B)'!AP31 + 'PPA 사업(C)'!AP31 + '리스사업(D)'!AP31 + '임대사업(E)'!AP31 + '환경부사업(F)'!AP31 + '프로젝트(G)'!AP31 + '협력사 EPC(H)'!AP31 + '기타(Z)'!AP31 + '협력사 하도(I)'!AP31</f>
        <v>0</v>
      </c>
      <c r="R48" s="41">
        <f>'발전사업(A)'!AQ31 + '자가소비(B)'!AQ31 + 'PPA 사업(C)'!AQ31 + '리스사업(D)'!AQ31 + '임대사업(E)'!AQ31 + '환경부사업(F)'!AQ31 + '프로젝트(G)'!AQ31 + '협력사 EPC(H)'!AQ31 + '기타(Z)'!AQ31 + '협력사 하도(I)'!AQ31</f>
        <v>0</v>
      </c>
      <c r="S48" s="135">
        <f>'발전사업(A)'!AR31 + '자가소비(B)'!AR31 + 'PPA 사업(C)'!AR31 + '리스사업(D)'!AR31 + '임대사업(E)'!AR31 + '환경부사업(F)'!AR31 + '프로젝트(G)'!AR31 + '협력사 EPC(H)'!AR31 + '기타(Z)'!AR31 + '협력사 하도(I)'!AR31</f>
        <v>0</v>
      </c>
    </row>
    <row r="49" spans="1:19" ht="14.25" thickBot="1" x14ac:dyDescent="0.3">
      <c r="A49">
        <v>5</v>
      </c>
      <c r="B49" s="417"/>
      <c r="C49" s="97" t="s">
        <v>3</v>
      </c>
      <c r="D49" s="103"/>
      <c r="E49" s="139">
        <f>'발전사업(A)'!AD32 + '자가소비(B)'!AD32 + 'PPA 사업(C)'!AD32 + '리스사업(D)'!AD32 + '임대사업(E)'!AD32 + '환경부사업(F)'!AD32 + '프로젝트(G)'!AD32 + '협력사 EPC(H)'!AD32 + '기타(Z)'!AD32</f>
        <v>9065.9399999999987</v>
      </c>
      <c r="F49" s="139">
        <f>'발전사업(A)'!AE32 + '자가소비(B)'!AE32 + 'PPA 사업(C)'!AE32 + '리스사업(D)'!AE32 + '임대사업(E)'!AE32 + '환경부사업(F)'!AE32 + '프로젝트(G)'!AE32 + '협력사 EPC(H)'!AE32 + '기타(Z)'!AE32</f>
        <v>5687.04</v>
      </c>
      <c r="G49" s="139">
        <f>'발전사업(A)'!AF32 + '자가소비(B)'!AF32 + 'PPA 사업(C)'!AF32 + '리스사업(D)'!AF32 + '임대사업(E)'!AF32 + '환경부사업(F)'!AF32 + '프로젝트(G)'!AF32 + '협력사 EPC(H)'!AF32 + '기타(Z)'!AF32</f>
        <v>1120</v>
      </c>
      <c r="H49" s="139">
        <f>'발전사업(A)'!AG32 + '자가소비(B)'!AG32 + 'PPA 사업(C)'!AG32 + '리스사업(D)'!AG32 + '임대사업(E)'!AG32 + '환경부사업(F)'!AG32 + '프로젝트(G)'!AG32 + '협력사 EPC(H)'!AG32 + '기타(Z)'!AG32</f>
        <v>2258.9</v>
      </c>
      <c r="I49" s="140">
        <f>'발전사업(A)'!AH32 + '자가소비(B)'!AH32 + 'PPA 사업(C)'!AH32 + '리스사업(D)'!AH32 + '임대사업(E)'!AH32 + '환경부사업(F)'!AH32 + '프로젝트(G)'!AH32 + '협력사 EPC(H)'!AH32 + '기타(Z)'!AH32</f>
        <v>0</v>
      </c>
      <c r="J49" s="190">
        <f>'발전사업(A)'!AI32 + '자가소비(B)'!AI32 + 'PPA 사업(C)'!AI32 + '리스사업(D)'!AI32 + '임대사업(E)'!AI32 + '환경부사업(F)'!AI32 + '프로젝트(G)'!AI32 + '협력사 EPC(H)'!AI32 + '기타(Z)'!AI32</f>
        <v>26</v>
      </c>
      <c r="K49" s="191">
        <f>'발전사업(A)'!AJ32 + '자가소비(B)'!AJ32 + 'PPA 사업(C)'!AJ32 + '리스사업(D)'!AJ32 + '임대사업(E)'!AJ32 + '환경부사업(F)'!AJ32 + '프로젝트(G)'!AJ32 + '협력사 EPC(H)'!AJ32 + '기타(Z)'!AJ32</f>
        <v>19</v>
      </c>
      <c r="L49" s="191">
        <f>'발전사업(A)'!AK32 + '자가소비(B)'!AK32 + 'PPA 사업(C)'!AK32 + '리스사업(D)'!AK32 + '임대사업(E)'!AK32 + '환경부사업(F)'!AK32 + '프로젝트(G)'!AK32 + '협력사 EPC(H)'!AK32 + '기타(Z)'!AK32</f>
        <v>5</v>
      </c>
      <c r="M49" s="191">
        <f>'발전사업(A)'!AL32 + '자가소비(B)'!AL32 + 'PPA 사업(C)'!AL32 + '리스사업(D)'!AL32 + '임대사업(E)'!AL32 + '환경부사업(F)'!AL32 + '프로젝트(G)'!AL32 + '협력사 EPC(H)'!AL32 + '기타(Z)'!AL32</f>
        <v>2</v>
      </c>
      <c r="N49" s="192">
        <f>'발전사업(A)'!AM32 + '자가소비(B)'!AM32 + 'PPA 사업(C)'!AM32 + '리스사업(D)'!AM32 + '임대사업(E)'!AM32 + '환경부사업(F)'!AM32 + '프로젝트(G)'!AM32 + '협력사 EPC(H)'!AM32 + '기타(Z)'!AM32</f>
        <v>0</v>
      </c>
      <c r="O49" s="139">
        <f>'발전사업(A)'!AN32 + '자가소비(B)'!AN32 + 'PPA 사업(C)'!AN32 + '리스사업(D)'!AN32 + '임대사업(E)'!AN32 + '환경부사업(F)'!AN32 + '프로젝트(G)'!AN32 + '협력사 EPC(H)'!AN32 + '기타(Z)'!AN32 + '협력사 하도(I)'!AN32</f>
        <v>88.63900000000001</v>
      </c>
      <c r="P49" s="139">
        <f>'발전사업(A)'!AO32 + '자가소비(B)'!AO32 + 'PPA 사업(C)'!AO32 + '리스사업(D)'!AO32 + '임대사업(E)'!AO32 + '환경부사업(F)'!AO32 + '프로젝트(G)'!AO32 + '협력사 EPC(H)'!AO32 + '기타(Z)'!AO32 + '협력사 하도(I)'!AO32</f>
        <v>56.830000000000013</v>
      </c>
      <c r="Q49" s="139">
        <f>'발전사업(A)'!AP32 + '자가소비(B)'!AP32 + 'PPA 사업(C)'!AP32 + '리스사업(D)'!AP32 + '임대사업(E)'!AP32 + '환경부사업(F)'!AP32 + '프로젝트(G)'!AP32 + '협력사 EPC(H)'!AP32 + '기타(Z)'!AP32 + '협력사 하도(I)'!AP32</f>
        <v>2.883</v>
      </c>
      <c r="R49" s="139">
        <f>'발전사업(A)'!AQ32 + '자가소비(B)'!AQ32 + 'PPA 사업(C)'!AQ32 + '리스사업(D)'!AQ32 + '임대사업(E)'!AQ32 + '환경부사업(F)'!AQ32 + '프로젝트(G)'!AQ32 + '협력사 EPC(H)'!AQ32 + '기타(Z)'!AQ32 + '협력사 하도(I)'!AQ32</f>
        <v>28.926000000000002</v>
      </c>
      <c r="S49" s="141">
        <f>'발전사업(A)'!AR32 + '자가소비(B)'!AR32 + 'PPA 사업(C)'!AR32 + '리스사업(D)'!AR32 + '임대사업(E)'!AR32 + '환경부사업(F)'!AR32 + '프로젝트(G)'!AR32 + '협력사 EPC(H)'!AR32 + '기타(Z)'!AR32 + '협력사 하도(I)'!AR32</f>
        <v>0</v>
      </c>
    </row>
    <row r="50" spans="1:19" x14ac:dyDescent="0.25">
      <c r="A50">
        <v>6</v>
      </c>
      <c r="B50" s="415">
        <v>6</v>
      </c>
      <c r="C50" s="94">
        <v>1</v>
      </c>
      <c r="D50" s="100" t="s">
        <v>114</v>
      </c>
      <c r="E50" s="142">
        <f>'발전사업(A)'!AD33 + '자가소비(B)'!AD33 + 'PPA 사업(C)'!AD33 + '리스사업(D)'!AD33 + '임대사업(E)'!AD33 + '환경부사업(F)'!AD33 + '프로젝트(G)'!AD33 + '협력사 EPC(H)'!AD33 + '기타(Z)'!AD33</f>
        <v>570.24</v>
      </c>
      <c r="F50" s="143">
        <f>'발전사업(A)'!AE33 + '자가소비(B)'!AE33 + 'PPA 사업(C)'!AE33 + '리스사업(D)'!AE33 + '임대사업(E)'!AE33 + '환경부사업(F)'!AE33 + '프로젝트(G)'!AE33 + '협력사 EPC(H)'!AE33 + '기타(Z)'!AE33</f>
        <v>421.76</v>
      </c>
      <c r="G50" s="143">
        <f>'발전사업(A)'!AF33 + '자가소비(B)'!AF33 + 'PPA 사업(C)'!AF33 + '리스사업(D)'!AF33 + '임대사업(E)'!AF33 + '환경부사업(F)'!AF33 + '프로젝트(G)'!AF33 + '협력사 EPC(H)'!AF33 + '기타(Z)'!AF33</f>
        <v>148.47999999999999</v>
      </c>
      <c r="H50" s="143">
        <f>'발전사업(A)'!AG33 + '자가소비(B)'!AG33 + 'PPA 사업(C)'!AG33 + '리스사업(D)'!AG33 + '임대사업(E)'!AG33 + '환경부사업(F)'!AG33 + '프로젝트(G)'!AG33 + '협력사 EPC(H)'!AG33 + '기타(Z)'!AG33</f>
        <v>0</v>
      </c>
      <c r="I50" s="144">
        <f>'발전사업(A)'!AH33 + '자가소비(B)'!AH33 + 'PPA 사업(C)'!AH33 + '리스사업(D)'!AH33 + '임대사업(E)'!AH33 + '환경부사업(F)'!AH33 + '프로젝트(G)'!AH33 + '협력사 EPC(H)'!AH33 + '기타(Z)'!AH33</f>
        <v>0</v>
      </c>
      <c r="J50" s="193">
        <f>'발전사업(A)'!AI33 + '자가소비(B)'!AI33 + 'PPA 사업(C)'!AI33 + '리스사업(D)'!AI33 + '임대사업(E)'!AI33 + '환경부사업(F)'!AI33 + '프로젝트(G)'!AI33 + '협력사 EPC(H)'!AI33 + '기타(Z)'!AI33</f>
        <v>3</v>
      </c>
      <c r="K50" s="194">
        <f>'발전사업(A)'!AJ33 + '자가소비(B)'!AJ33 + 'PPA 사업(C)'!AJ33 + '리스사업(D)'!AJ33 + '임대사업(E)'!AJ33 + '환경부사업(F)'!AJ33 + '프로젝트(G)'!AJ33 + '협력사 EPC(H)'!AJ33 + '기타(Z)'!AJ33</f>
        <v>2</v>
      </c>
      <c r="L50" s="194">
        <f>'발전사업(A)'!AK33 + '자가소비(B)'!AK33 + 'PPA 사업(C)'!AK33 + '리스사업(D)'!AK33 + '임대사업(E)'!AK33 + '환경부사업(F)'!AK33 + '프로젝트(G)'!AK33 + '협력사 EPC(H)'!AK33 + '기타(Z)'!AK33</f>
        <v>1</v>
      </c>
      <c r="M50" s="194">
        <f>'발전사업(A)'!AL33 + '자가소비(B)'!AL33 + 'PPA 사업(C)'!AL33 + '리스사업(D)'!AL33 + '임대사업(E)'!AL33 + '환경부사업(F)'!AL33 + '프로젝트(G)'!AL33 + '협력사 EPC(H)'!AL33 + '기타(Z)'!AL33</f>
        <v>0</v>
      </c>
      <c r="N50" s="195">
        <f>'발전사업(A)'!AM33 + '자가소비(B)'!AM33 + 'PPA 사업(C)'!AM33 + '리스사업(D)'!AM33 + '임대사업(E)'!AM33 + '환경부사업(F)'!AM33 + '프로젝트(G)'!AM33 + '협력사 EPC(H)'!AM33 + '기타(Z)'!AM33</f>
        <v>0</v>
      </c>
      <c r="O50" s="143">
        <f>'발전사업(A)'!AN33 + '자가소비(B)'!AN33 + 'PPA 사업(C)'!AN33 + '리스사업(D)'!AN33 + '임대사업(E)'!AN33 + '환경부사업(F)'!AN33 + '프로젝트(G)'!AN33 + '협력사 EPC(H)'!AN33 + '기타(Z)'!AN33 + '협력사 하도(I)'!AN33</f>
        <v>5.3</v>
      </c>
      <c r="P50" s="143">
        <f>'발전사업(A)'!AO33 + '자가소비(B)'!AO33 + 'PPA 사업(C)'!AO33 + '리스사업(D)'!AO33 + '임대사업(E)'!AO33 + '환경부사업(F)'!AO33 + '프로젝트(G)'!AO33 + '협력사 EPC(H)'!AO33 + '기타(Z)'!AO33 + '협력사 하도(I)'!AO33</f>
        <v>3.75</v>
      </c>
      <c r="Q50" s="143">
        <f>'발전사업(A)'!AP33 + '자가소비(B)'!AP33 + 'PPA 사업(C)'!AP33 + '리스사업(D)'!AP33 + '임대사업(E)'!AP33 + '환경부사업(F)'!AP33 + '프로젝트(G)'!AP33 + '협력사 EPC(H)'!AP33 + '기타(Z)'!AP33 + '협력사 하도(I)'!AP33</f>
        <v>1.55</v>
      </c>
      <c r="R50" s="143">
        <f>'발전사업(A)'!AQ33 + '자가소비(B)'!AQ33 + 'PPA 사업(C)'!AQ33 + '리스사업(D)'!AQ33 + '임대사업(E)'!AQ33 + '환경부사업(F)'!AQ33 + '프로젝트(G)'!AQ33 + '협력사 EPC(H)'!AQ33 + '기타(Z)'!AQ33 + '협력사 하도(I)'!AQ33</f>
        <v>0</v>
      </c>
      <c r="S50" s="145">
        <f>'발전사업(A)'!AR33 + '자가소비(B)'!AR33 + 'PPA 사업(C)'!AR33 + '리스사업(D)'!AR33 + '임대사업(E)'!AR33 + '환경부사업(F)'!AR33 + '프로젝트(G)'!AR33 + '협력사 EPC(H)'!AR33 + '기타(Z)'!AR33 + '협력사 하도(I)'!AR33</f>
        <v>0</v>
      </c>
    </row>
    <row r="51" spans="1:19" x14ac:dyDescent="0.25">
      <c r="A51">
        <v>6</v>
      </c>
      <c r="B51" s="416"/>
      <c r="C51" s="95">
        <v>2</v>
      </c>
      <c r="D51" s="102" t="s">
        <v>115</v>
      </c>
      <c r="E51" s="134">
        <f>'발전사업(A)'!AD34 + '자가소비(B)'!AD34 + 'PPA 사업(C)'!AD34 + '리스사업(D)'!AD34 + '임대사업(E)'!AD34 + '환경부사업(F)'!AD34 + '프로젝트(G)'!AD34 + '협력사 EPC(H)'!AD34 + '기타(Z)'!AD34</f>
        <v>123.52</v>
      </c>
      <c r="F51" s="41">
        <f>'발전사업(A)'!AE34 + '자가소비(B)'!AE34 + 'PPA 사업(C)'!AE34 + '리스사업(D)'!AE34 + '임대사업(E)'!AE34 + '환경부사업(F)'!AE34 + '프로젝트(G)'!AE34 + '협력사 EPC(H)'!AE34 + '기타(Z)'!AE34</f>
        <v>123.52</v>
      </c>
      <c r="G51" s="41">
        <f>'발전사업(A)'!AF34 + '자가소비(B)'!AF34 + 'PPA 사업(C)'!AF34 + '리스사업(D)'!AF34 + '임대사업(E)'!AF34 + '환경부사업(F)'!AF34 + '프로젝트(G)'!AF34 + '협력사 EPC(H)'!AF34 + '기타(Z)'!AF34</f>
        <v>0</v>
      </c>
      <c r="H51" s="41">
        <f>'발전사업(A)'!AG34 + '자가소비(B)'!AG34 + 'PPA 사업(C)'!AG34 + '리스사업(D)'!AG34 + '임대사업(E)'!AG34 + '환경부사업(F)'!AG34 + '프로젝트(G)'!AG34 + '협력사 EPC(H)'!AG34 + '기타(Z)'!AG34</f>
        <v>0</v>
      </c>
      <c r="I51" s="130">
        <f>'발전사업(A)'!AH34 + '자가소비(B)'!AH34 + 'PPA 사업(C)'!AH34 + '리스사업(D)'!AH34 + '임대사업(E)'!AH34 + '환경부사업(F)'!AH34 + '프로젝트(G)'!AH34 + '협력사 EPC(H)'!AH34 + '기타(Z)'!AH34</f>
        <v>0</v>
      </c>
      <c r="J51" s="120">
        <f>'발전사업(A)'!AI34 + '자가소비(B)'!AI34 + 'PPA 사업(C)'!AI34 + '리스사업(D)'!AI34 + '임대사업(E)'!AI34 + '환경부사업(F)'!AI34 + '프로젝트(G)'!AI34 + '협력사 EPC(H)'!AI34 + '기타(Z)'!AI34</f>
        <v>1</v>
      </c>
      <c r="K51" s="188">
        <f>'발전사업(A)'!AJ34 + '자가소비(B)'!AJ34 + 'PPA 사업(C)'!AJ34 + '리스사업(D)'!AJ34 + '임대사업(E)'!AJ34 + '환경부사업(F)'!AJ34 + '프로젝트(G)'!AJ34 + '협력사 EPC(H)'!AJ34 + '기타(Z)'!AJ34</f>
        <v>1</v>
      </c>
      <c r="L51" s="188">
        <f>'발전사업(A)'!AK34 + '자가소비(B)'!AK34 + 'PPA 사업(C)'!AK34 + '리스사업(D)'!AK34 + '임대사업(E)'!AK34 + '환경부사업(F)'!AK34 + '프로젝트(G)'!AK34 + '협력사 EPC(H)'!AK34 + '기타(Z)'!AK34</f>
        <v>0</v>
      </c>
      <c r="M51" s="188">
        <f>'발전사업(A)'!AL34 + '자가소비(B)'!AL34 + 'PPA 사업(C)'!AL34 + '리스사업(D)'!AL34 + '임대사업(E)'!AL34 + '환경부사업(F)'!AL34 + '프로젝트(G)'!AL34 + '협력사 EPC(H)'!AL34 + '기타(Z)'!AL34</f>
        <v>0</v>
      </c>
      <c r="N51" s="189">
        <f>'발전사업(A)'!AM34 + '자가소비(B)'!AM34 + 'PPA 사업(C)'!AM34 + '리스사업(D)'!AM34 + '임대사업(E)'!AM34 + '환경부사업(F)'!AM34 + '프로젝트(G)'!AM34 + '협력사 EPC(H)'!AM34 + '기타(Z)'!AM34</f>
        <v>0</v>
      </c>
      <c r="O51" s="41">
        <f>'발전사업(A)'!AN34 + '자가소비(B)'!AN34 + 'PPA 사업(C)'!AN34 + '리스사업(D)'!AN34 + '임대사업(E)'!AN34 + '환경부사업(F)'!AN34 + '프로젝트(G)'!AN34 + '협력사 EPC(H)'!AN34 + '기타(Z)'!AN34 + '협력사 하도(I)'!AN34</f>
        <v>1.27</v>
      </c>
      <c r="P51" s="41">
        <f>'발전사업(A)'!AO34 + '자가소비(B)'!AO34 + 'PPA 사업(C)'!AO34 + '리스사업(D)'!AO34 + '임대사업(E)'!AO34 + '환경부사업(F)'!AO34 + '프로젝트(G)'!AO34 + '협력사 EPC(H)'!AO34 + '기타(Z)'!AO34 + '협력사 하도(I)'!AO34</f>
        <v>1.27</v>
      </c>
      <c r="Q51" s="41">
        <f>'발전사업(A)'!AP34 + '자가소비(B)'!AP34 + 'PPA 사업(C)'!AP34 + '리스사업(D)'!AP34 + '임대사업(E)'!AP34 + '환경부사업(F)'!AP34 + '프로젝트(G)'!AP34 + '협력사 EPC(H)'!AP34 + '기타(Z)'!AP34 + '협력사 하도(I)'!AP34</f>
        <v>0</v>
      </c>
      <c r="R51" s="41">
        <f>'발전사업(A)'!AQ34 + '자가소비(B)'!AQ34 + 'PPA 사업(C)'!AQ34 + '리스사업(D)'!AQ34 + '임대사업(E)'!AQ34 + '환경부사업(F)'!AQ34 + '프로젝트(G)'!AQ34 + '협력사 EPC(H)'!AQ34 + '기타(Z)'!AQ34 + '협력사 하도(I)'!AQ34</f>
        <v>0</v>
      </c>
      <c r="S51" s="135">
        <f>'발전사업(A)'!AR34 + '자가소비(B)'!AR34 + 'PPA 사업(C)'!AR34 + '리스사업(D)'!AR34 + '임대사업(E)'!AR34 + '환경부사업(F)'!AR34 + '프로젝트(G)'!AR34 + '협력사 EPC(H)'!AR34 + '기타(Z)'!AR34 + '협력사 하도(I)'!AR34</f>
        <v>0</v>
      </c>
    </row>
    <row r="52" spans="1:19" x14ac:dyDescent="0.25">
      <c r="A52">
        <v>6</v>
      </c>
      <c r="B52" s="416"/>
      <c r="C52" s="95">
        <v>3</v>
      </c>
      <c r="D52" s="102" t="s">
        <v>116</v>
      </c>
      <c r="E52" s="134">
        <f>'발전사업(A)'!AD35 + '자가소비(B)'!AD35 + 'PPA 사업(C)'!AD35 + '리스사업(D)'!AD35 + '임대사업(E)'!AD35 + '환경부사업(F)'!AD35 + '프로젝트(G)'!AD35 + '협력사 EPC(H)'!AD35 + '기타(Z)'!AD35</f>
        <v>4043.52</v>
      </c>
      <c r="F52" s="41">
        <f>'발전사업(A)'!AE35 + '자가소비(B)'!AE35 + 'PPA 사업(C)'!AE35 + '리스사업(D)'!AE35 + '임대사업(E)'!AE35 + '환경부사업(F)'!AE35 + '프로젝트(G)'!AE35 + '협력사 EPC(H)'!AE35 + '기타(Z)'!AE35</f>
        <v>2278.4</v>
      </c>
      <c r="G52" s="41">
        <f>'발전사업(A)'!AF35 + '자가소비(B)'!AF35 + 'PPA 사업(C)'!AF35 + '리스사업(D)'!AF35 + '임대사업(E)'!AF35 + '환경부사업(F)'!AF35 + '프로젝트(G)'!AF35 + '협력사 EPC(H)'!AF35 + '기타(Z)'!AF35</f>
        <v>225.28</v>
      </c>
      <c r="H52" s="41">
        <f>'발전사업(A)'!AG35 + '자가소비(B)'!AG35 + 'PPA 사업(C)'!AG35 + '리스사업(D)'!AG35 + '임대사업(E)'!AG35 + '환경부사업(F)'!AG35 + '프로젝트(G)'!AG35 + '협력사 EPC(H)'!AG35 + '기타(Z)'!AG35</f>
        <v>1539.84</v>
      </c>
      <c r="I52" s="130">
        <f>'발전사업(A)'!AH35 + '자가소비(B)'!AH35 + 'PPA 사업(C)'!AH35 + '리스사업(D)'!AH35 + '임대사업(E)'!AH35 + '환경부사업(F)'!AH35 + '프로젝트(G)'!AH35 + '협력사 EPC(H)'!AH35 + '기타(Z)'!AH35</f>
        <v>0</v>
      </c>
      <c r="J52" s="120">
        <f>'발전사업(A)'!AI35 + '자가소비(B)'!AI35 + 'PPA 사업(C)'!AI35 + '리스사업(D)'!AI35 + '임대사업(E)'!AI35 + '환경부사업(F)'!AI35 + '프로젝트(G)'!AI35 + '협력사 EPC(H)'!AI35 + '기타(Z)'!AI35</f>
        <v>10</v>
      </c>
      <c r="K52" s="188">
        <f>'발전사업(A)'!AJ35 + '자가소비(B)'!AJ35 + 'PPA 사업(C)'!AJ35 + '리스사업(D)'!AJ35 + '임대사업(E)'!AJ35 + '환경부사업(F)'!AJ35 + '프로젝트(G)'!AJ35 + '협력사 EPC(H)'!AJ35 + '기타(Z)'!AJ35</f>
        <v>8</v>
      </c>
      <c r="L52" s="188">
        <f>'발전사업(A)'!AK35 + '자가소비(B)'!AK35 + 'PPA 사업(C)'!AK35 + '리스사업(D)'!AK35 + '임대사업(E)'!AK35 + '환경부사업(F)'!AK35 + '프로젝트(G)'!AK35 + '협력사 EPC(H)'!AK35 + '기타(Z)'!AK35</f>
        <v>1</v>
      </c>
      <c r="M52" s="188">
        <f>'발전사업(A)'!AL35 + '자가소비(B)'!AL35 + 'PPA 사업(C)'!AL35 + '리스사업(D)'!AL35 + '임대사업(E)'!AL35 + '환경부사업(F)'!AL35 + '프로젝트(G)'!AL35 + '협력사 EPC(H)'!AL35 + '기타(Z)'!AL35</f>
        <v>1</v>
      </c>
      <c r="N52" s="189">
        <f>'발전사업(A)'!AM35 + '자가소비(B)'!AM35 + 'PPA 사업(C)'!AM35 + '리스사업(D)'!AM35 + '임대사업(E)'!AM35 + '환경부사업(F)'!AM35 + '프로젝트(G)'!AM35 + '협력사 EPC(H)'!AM35 + '기타(Z)'!AM35</f>
        <v>0</v>
      </c>
      <c r="O52" s="41">
        <f>'발전사업(A)'!AN35 + '자가소비(B)'!AN35 + 'PPA 사업(C)'!AN35 + '리스사업(D)'!AN35 + '임대사업(E)'!AN35 + '환경부사업(F)'!AN35 + '프로젝트(G)'!AN35 + '협력사 EPC(H)'!AN35 + '기타(Z)'!AN35 + '협력사 하도(I)'!AN35</f>
        <v>27.270000000000003</v>
      </c>
      <c r="P52" s="41">
        <f>'발전사업(A)'!AO35 + '자가소비(B)'!AO35 + 'PPA 사업(C)'!AO35 + '리스사업(D)'!AO35 + '임대사업(E)'!AO35 + '환경부사업(F)'!AO35 + '프로젝트(G)'!AO35 + '협력사 EPC(H)'!AO35 + '기타(Z)'!AO35 + '협력사 하도(I)'!AO35</f>
        <v>10.780000000000001</v>
      </c>
      <c r="Q52" s="41">
        <f>'발전사업(A)'!AP35 + '자가소비(B)'!AP35 + 'PPA 사업(C)'!AP35 + '리스사업(D)'!AP35 + '임대사업(E)'!AP35 + '환경부사업(F)'!AP35 + '프로젝트(G)'!AP35 + '협력사 EPC(H)'!AP35 + '기타(Z)'!AP35 + '협력사 하도(I)'!AP35</f>
        <v>2.19</v>
      </c>
      <c r="R52" s="41">
        <f>'발전사업(A)'!AQ35 + '자가소비(B)'!AQ35 + 'PPA 사업(C)'!AQ35 + '리스사업(D)'!AQ35 + '임대사업(E)'!AQ35 + '환경부사업(F)'!AQ35 + '프로젝트(G)'!AQ35 + '협력사 EPC(H)'!AQ35 + '기타(Z)'!AQ35 + '협력사 하도(I)'!AQ35</f>
        <v>14.3</v>
      </c>
      <c r="S52" s="135">
        <f>'발전사업(A)'!AR35 + '자가소비(B)'!AR35 + 'PPA 사업(C)'!AR35 + '리스사업(D)'!AR35 + '임대사업(E)'!AR35 + '환경부사업(F)'!AR35 + '프로젝트(G)'!AR35 + '협력사 EPC(H)'!AR35 + '기타(Z)'!AR35 + '협력사 하도(I)'!AR35</f>
        <v>0</v>
      </c>
    </row>
    <row r="53" spans="1:19" x14ac:dyDescent="0.25">
      <c r="A53">
        <v>6</v>
      </c>
      <c r="B53" s="416"/>
      <c r="C53" s="95">
        <v>4</v>
      </c>
      <c r="D53" s="102" t="s">
        <v>117</v>
      </c>
      <c r="E53" s="134">
        <f>'발전사업(A)'!AD36 + '자가소비(B)'!AD36 + 'PPA 사업(C)'!AD36 + '리스사업(D)'!AD36 + '임대사업(E)'!AD36 + '환경부사업(F)'!AD36 + '프로젝트(G)'!AD36 + '협력사 EPC(H)'!AD36 + '기타(Z)'!AD36</f>
        <v>5328.24</v>
      </c>
      <c r="F53" s="41">
        <f>'발전사업(A)'!AE36 + '자가소비(B)'!AE36 + 'PPA 사업(C)'!AE36 + '리스사업(D)'!AE36 + '임대사업(E)'!AE36 + '환경부사업(F)'!AE36 + '프로젝트(G)'!AE36 + '협력사 EPC(H)'!AE36 + '기타(Z)'!AE36</f>
        <v>3543.68</v>
      </c>
      <c r="G53" s="41">
        <f>'발전사업(A)'!AF36 + '자가소비(B)'!AF36 + 'PPA 사업(C)'!AF36 + '리스사업(D)'!AF36 + '임대사업(E)'!AF36 + '환경부사업(F)'!AF36 + '프로젝트(G)'!AF36 + '협력사 EPC(H)'!AF36 + '기타(Z)'!AF36</f>
        <v>794.76</v>
      </c>
      <c r="H53" s="41">
        <f>'발전사업(A)'!AG36 + '자가소비(B)'!AG36 + 'PPA 사업(C)'!AG36 + '리스사업(D)'!AG36 + '임대사업(E)'!AG36 + '환경부사업(F)'!AG36 + '프로젝트(G)'!AG36 + '협력사 EPC(H)'!AG36 + '기타(Z)'!AG36</f>
        <v>989.8</v>
      </c>
      <c r="I53" s="130">
        <f>'발전사업(A)'!AH36 + '자가소비(B)'!AH36 + 'PPA 사업(C)'!AH36 + '리스사업(D)'!AH36 + '임대사업(E)'!AH36 + '환경부사업(F)'!AH36 + '프로젝트(G)'!AH36 + '협력사 EPC(H)'!AH36 + '기타(Z)'!AH36</f>
        <v>0</v>
      </c>
      <c r="J53" s="120">
        <f>'발전사업(A)'!AI36 + '자가소비(B)'!AI36 + 'PPA 사업(C)'!AI36 + '리스사업(D)'!AI36 + '임대사업(E)'!AI36 + '환경부사업(F)'!AI36 + '프로젝트(G)'!AI36 + '협력사 EPC(H)'!AI36 + '기타(Z)'!AI36</f>
        <v>13</v>
      </c>
      <c r="K53" s="188">
        <f>'발전사업(A)'!AJ36 + '자가소비(B)'!AJ36 + 'PPA 사업(C)'!AJ36 + '리스사업(D)'!AJ36 + '임대사업(E)'!AJ36 + '환경부사업(F)'!AJ36 + '프로젝트(G)'!AJ36 + '협력사 EPC(H)'!AJ36 + '기타(Z)'!AJ36</f>
        <v>8</v>
      </c>
      <c r="L53" s="188">
        <f>'발전사업(A)'!AK36 + '자가소비(B)'!AK36 + 'PPA 사업(C)'!AK36 + '리스사업(D)'!AK36 + '임대사업(E)'!AK36 + '환경부사업(F)'!AK36 + '프로젝트(G)'!AK36 + '협력사 EPC(H)'!AK36 + '기타(Z)'!AK36</f>
        <v>4</v>
      </c>
      <c r="M53" s="188">
        <f>'발전사업(A)'!AL36 + '자가소비(B)'!AL36 + 'PPA 사업(C)'!AL36 + '리스사업(D)'!AL36 + '임대사업(E)'!AL36 + '환경부사업(F)'!AL36 + '프로젝트(G)'!AL36 + '협력사 EPC(H)'!AL36 + '기타(Z)'!AL36</f>
        <v>1</v>
      </c>
      <c r="N53" s="189">
        <f>'발전사업(A)'!AM36 + '자가소비(B)'!AM36 + 'PPA 사업(C)'!AM36 + '리스사업(D)'!AM36 + '임대사업(E)'!AM36 + '환경부사업(F)'!AM36 + '프로젝트(G)'!AM36 + '협력사 EPC(H)'!AM36 + '기타(Z)'!AM36</f>
        <v>0</v>
      </c>
      <c r="O53" s="41">
        <f>'발전사업(A)'!AN36 + '자가소비(B)'!AN36 + 'PPA 사업(C)'!AN36 + '리스사업(D)'!AN36 + '임대사업(E)'!AN36 + '환경부사업(F)'!AN36 + '프로젝트(G)'!AN36 + '협력사 EPC(H)'!AN36 + '기타(Z)'!AN36 + '협력사 하도(I)'!AN36</f>
        <v>22.25209090909091</v>
      </c>
      <c r="P53" s="41">
        <f>'발전사업(A)'!AO36 + '자가소비(B)'!AO36 + 'PPA 사업(C)'!AO36 + '리스사업(D)'!AO36 + '임대사업(E)'!AO36 + '환경부사업(F)'!AO36 + '프로젝트(G)'!AO36 + '협력사 EPC(H)'!AO36 + '기타(Z)'!AO36 + '협력사 하도(I)'!AO36</f>
        <v>13.3</v>
      </c>
      <c r="Q53" s="41">
        <f>'발전사업(A)'!AP36 + '자가소비(B)'!AP36 + 'PPA 사업(C)'!AP36 + '리스사업(D)'!AP36 + '임대사업(E)'!AP36 + '환경부사업(F)'!AP36 + '프로젝트(G)'!AP36 + '협력사 EPC(H)'!AP36 + '기타(Z)'!AP36 + '협력사 하도(I)'!AP36</f>
        <v>1.0620909090909092</v>
      </c>
      <c r="R53" s="41">
        <f>'발전사업(A)'!AQ36 + '자가소비(B)'!AQ36 + 'PPA 사업(C)'!AQ36 + '리스사업(D)'!AQ36 + '임대사업(E)'!AQ36 + '환경부사업(F)'!AQ36 + '프로젝트(G)'!AQ36 + '협력사 EPC(H)'!AQ36 + '기타(Z)'!AQ36 + '협력사 하도(I)'!AQ36</f>
        <v>7.8900000000000006</v>
      </c>
      <c r="S53" s="135">
        <f>'발전사업(A)'!AR36 + '자가소비(B)'!AR36 + 'PPA 사업(C)'!AR36 + '리스사업(D)'!AR36 + '임대사업(E)'!AR36 + '환경부사업(F)'!AR36 + '프로젝트(G)'!AR36 + '협력사 EPC(H)'!AR36 + '기타(Z)'!AR36 + '협력사 하도(I)'!AR36</f>
        <v>0</v>
      </c>
    </row>
    <row r="54" spans="1:19" x14ac:dyDescent="0.25">
      <c r="A54">
        <v>6</v>
      </c>
      <c r="B54" s="416"/>
      <c r="C54" s="96">
        <v>5</v>
      </c>
      <c r="D54" s="102"/>
      <c r="E54" s="134">
        <f>'발전사업(A)'!AD37 + '자가소비(B)'!AD37 + 'PPA 사업(C)'!AD37 + '리스사업(D)'!AD37 + '임대사업(E)'!AD37 + '환경부사업(F)'!AD37 + '프로젝트(G)'!AD37 + '협력사 EPC(H)'!AD37 + '기타(Z)'!AD37</f>
        <v>0</v>
      </c>
      <c r="F54" s="41">
        <f>'발전사업(A)'!AE37 + '자가소비(B)'!AE37 + 'PPA 사업(C)'!AE37 + '리스사업(D)'!AE37 + '임대사업(E)'!AE37 + '환경부사업(F)'!AE37 + '프로젝트(G)'!AE37 + '협력사 EPC(H)'!AE37 + '기타(Z)'!AE37</f>
        <v>0</v>
      </c>
      <c r="G54" s="41">
        <f>'발전사업(A)'!AF37 + '자가소비(B)'!AF37 + 'PPA 사업(C)'!AF37 + '리스사업(D)'!AF37 + '임대사업(E)'!AF37 + '환경부사업(F)'!AF37 + '프로젝트(G)'!AF37 + '협력사 EPC(H)'!AF37 + '기타(Z)'!AF37</f>
        <v>0</v>
      </c>
      <c r="H54" s="41">
        <f>'발전사업(A)'!AG37 + '자가소비(B)'!AG37 + 'PPA 사업(C)'!AG37 + '리스사업(D)'!AG37 + '임대사업(E)'!AG37 + '환경부사업(F)'!AG37 + '프로젝트(G)'!AG37 + '협력사 EPC(H)'!AG37 + '기타(Z)'!AG37</f>
        <v>0</v>
      </c>
      <c r="I54" s="130">
        <f>'발전사업(A)'!AH37 + '자가소비(B)'!AH37 + 'PPA 사업(C)'!AH37 + '리스사업(D)'!AH37 + '임대사업(E)'!AH37 + '환경부사업(F)'!AH37 + '프로젝트(G)'!AH37 + '협력사 EPC(H)'!AH37 + '기타(Z)'!AH37</f>
        <v>0</v>
      </c>
      <c r="J54" s="120">
        <f>'발전사업(A)'!AI37 + '자가소비(B)'!AI37 + 'PPA 사업(C)'!AI37 + '리스사업(D)'!AI37 + '임대사업(E)'!AI37 + '환경부사업(F)'!AI37 + '프로젝트(G)'!AI37 + '협력사 EPC(H)'!AI37 + '기타(Z)'!AI37</f>
        <v>0</v>
      </c>
      <c r="K54" s="188">
        <f>'발전사업(A)'!AJ37 + '자가소비(B)'!AJ37 + 'PPA 사업(C)'!AJ37 + '리스사업(D)'!AJ37 + '임대사업(E)'!AJ37 + '환경부사업(F)'!AJ37 + '프로젝트(G)'!AJ37 + '협력사 EPC(H)'!AJ37 + '기타(Z)'!AJ37</f>
        <v>0</v>
      </c>
      <c r="L54" s="188">
        <f>'발전사업(A)'!AK37 + '자가소비(B)'!AK37 + 'PPA 사업(C)'!AK37 + '리스사업(D)'!AK37 + '임대사업(E)'!AK37 + '환경부사업(F)'!AK37 + '프로젝트(G)'!AK37 + '협력사 EPC(H)'!AK37 + '기타(Z)'!AK37</f>
        <v>0</v>
      </c>
      <c r="M54" s="188">
        <f>'발전사업(A)'!AL37 + '자가소비(B)'!AL37 + 'PPA 사업(C)'!AL37 + '리스사업(D)'!AL37 + '임대사업(E)'!AL37 + '환경부사업(F)'!AL37 + '프로젝트(G)'!AL37 + '협력사 EPC(H)'!AL37 + '기타(Z)'!AL37</f>
        <v>0</v>
      </c>
      <c r="N54" s="189">
        <f>'발전사업(A)'!AM37 + '자가소비(B)'!AM37 + 'PPA 사업(C)'!AM37 + '리스사업(D)'!AM37 + '임대사업(E)'!AM37 + '환경부사업(F)'!AM37 + '프로젝트(G)'!AM37 + '협력사 EPC(H)'!AM37 + '기타(Z)'!AM37</f>
        <v>0</v>
      </c>
      <c r="O54" s="41">
        <f>'발전사업(A)'!AN37 + '자가소비(B)'!AN37 + 'PPA 사업(C)'!AN37 + '리스사업(D)'!AN37 + '임대사업(E)'!AN37 + '환경부사업(F)'!AN37 + '프로젝트(G)'!AN37 + '협력사 EPC(H)'!AN37 + '기타(Z)'!AN37 + '협력사 하도(I)'!AN37</f>
        <v>0</v>
      </c>
      <c r="P54" s="41">
        <f>'발전사업(A)'!AO37 + '자가소비(B)'!AO37 + 'PPA 사업(C)'!AO37 + '리스사업(D)'!AO37 + '임대사업(E)'!AO37 + '환경부사업(F)'!AO37 + '프로젝트(G)'!AO37 + '협력사 EPC(H)'!AO37 + '기타(Z)'!AO37 + '협력사 하도(I)'!AO37</f>
        <v>0</v>
      </c>
      <c r="Q54" s="41">
        <f>'발전사업(A)'!AP37 + '자가소비(B)'!AP37 + 'PPA 사업(C)'!AP37 + '리스사업(D)'!AP37 + '임대사업(E)'!AP37 + '환경부사업(F)'!AP37 + '프로젝트(G)'!AP37 + '협력사 EPC(H)'!AP37 + '기타(Z)'!AP37 + '협력사 하도(I)'!AP37</f>
        <v>0</v>
      </c>
      <c r="R54" s="41">
        <f>'발전사업(A)'!AQ37 + '자가소비(B)'!AQ37 + 'PPA 사업(C)'!AQ37 + '리스사업(D)'!AQ37 + '임대사업(E)'!AQ37 + '환경부사업(F)'!AQ37 + '프로젝트(G)'!AQ37 + '협력사 EPC(H)'!AQ37 + '기타(Z)'!AQ37 + '협력사 하도(I)'!AQ37</f>
        <v>0</v>
      </c>
      <c r="S54" s="135">
        <f>'발전사업(A)'!AR37 + '자가소비(B)'!AR37 + 'PPA 사업(C)'!AR37 + '리스사업(D)'!AR37 + '임대사업(E)'!AR37 + '환경부사업(F)'!AR37 + '프로젝트(G)'!AR37 + '협력사 EPC(H)'!AR37 + '기타(Z)'!AR37 + '협력사 하도(I)'!AR37</f>
        <v>0</v>
      </c>
    </row>
    <row r="55" spans="1:19" ht="14.25" thickBot="1" x14ac:dyDescent="0.3">
      <c r="A55">
        <v>6</v>
      </c>
      <c r="B55" s="417"/>
      <c r="C55" s="97" t="s">
        <v>3</v>
      </c>
      <c r="D55" s="103"/>
      <c r="E55" s="146">
        <f>'발전사업(A)'!AD38 + '자가소비(B)'!AD38 + 'PPA 사업(C)'!AD38 + '리스사업(D)'!AD38 + '임대사업(E)'!AD38 + '환경부사업(F)'!AD38 + '프로젝트(G)'!AD38 + '협력사 EPC(H)'!AD38 + '기타(Z)'!AD38</f>
        <v>10065.52</v>
      </c>
      <c r="F55" s="147">
        <f>'발전사업(A)'!AE38 + '자가소비(B)'!AE38 + 'PPA 사업(C)'!AE38 + '리스사업(D)'!AE38 + '임대사업(E)'!AE38 + '환경부사업(F)'!AE38 + '프로젝트(G)'!AE38 + '협력사 EPC(H)'!AE38 + '기타(Z)'!AE38</f>
        <v>6367.36</v>
      </c>
      <c r="G55" s="147">
        <f>'발전사업(A)'!AF38 + '자가소비(B)'!AF38 + 'PPA 사업(C)'!AF38 + '리스사업(D)'!AF38 + '임대사업(E)'!AF38 + '환경부사업(F)'!AF38 + '프로젝트(G)'!AF38 + '협력사 EPC(H)'!AF38 + '기타(Z)'!AF38</f>
        <v>1168.52</v>
      </c>
      <c r="H55" s="147">
        <f>'발전사업(A)'!AG38 + '자가소비(B)'!AG38 + 'PPA 사업(C)'!AG38 + '리스사업(D)'!AG38 + '임대사업(E)'!AG38 + '환경부사업(F)'!AG38 + '프로젝트(G)'!AG38 + '협력사 EPC(H)'!AG38 + '기타(Z)'!AG38</f>
        <v>2529.64</v>
      </c>
      <c r="I55" s="148">
        <f>'발전사업(A)'!AH38 + '자가소비(B)'!AH38 + 'PPA 사업(C)'!AH38 + '리스사업(D)'!AH38 + '임대사업(E)'!AH38 + '환경부사업(F)'!AH38 + '프로젝트(G)'!AH38 + '협력사 EPC(H)'!AH38 + '기타(Z)'!AH38</f>
        <v>0</v>
      </c>
      <c r="J55" s="196">
        <f>'발전사업(A)'!AI38 + '자가소비(B)'!AI38 + 'PPA 사업(C)'!AI38 + '리스사업(D)'!AI38 + '임대사업(E)'!AI38 + '환경부사업(F)'!AI38 + '프로젝트(G)'!AI38 + '협력사 EPC(H)'!AI38 + '기타(Z)'!AI38</f>
        <v>27</v>
      </c>
      <c r="K55" s="197">
        <f>'발전사업(A)'!AJ38 + '자가소비(B)'!AJ38 + 'PPA 사업(C)'!AJ38 + '리스사업(D)'!AJ38 + '임대사업(E)'!AJ38 + '환경부사업(F)'!AJ38 + '프로젝트(G)'!AJ38 + '협력사 EPC(H)'!AJ38 + '기타(Z)'!AJ38</f>
        <v>19</v>
      </c>
      <c r="L55" s="197">
        <f>'발전사업(A)'!AK38 + '자가소비(B)'!AK38 + 'PPA 사업(C)'!AK38 + '리스사업(D)'!AK38 + '임대사업(E)'!AK38 + '환경부사업(F)'!AK38 + '프로젝트(G)'!AK38 + '협력사 EPC(H)'!AK38 + '기타(Z)'!AK38</f>
        <v>6</v>
      </c>
      <c r="M55" s="197">
        <f>'발전사업(A)'!AL38 + '자가소비(B)'!AL38 + 'PPA 사업(C)'!AL38 + '리스사업(D)'!AL38 + '임대사업(E)'!AL38 + '환경부사업(F)'!AL38 + '프로젝트(G)'!AL38 + '협력사 EPC(H)'!AL38 + '기타(Z)'!AL38</f>
        <v>2</v>
      </c>
      <c r="N55" s="198">
        <f>'발전사업(A)'!AM38 + '자가소비(B)'!AM38 + 'PPA 사업(C)'!AM38 + '리스사업(D)'!AM38 + '임대사업(E)'!AM38 + '환경부사업(F)'!AM38 + '프로젝트(G)'!AM38 + '협력사 EPC(H)'!AM38 + '기타(Z)'!AM38</f>
        <v>0</v>
      </c>
      <c r="O55" s="172">
        <f>'발전사업(A)'!AN38 + '자가소비(B)'!AN38 + 'PPA 사업(C)'!AN38 + '리스사업(D)'!AN38 + '임대사업(E)'!AN38 + '환경부사업(F)'!AN38 + '프로젝트(G)'!AN38 + '협력사 EPC(H)'!AN38 + '기타(Z)'!AN38 + '협력사 하도(I)'!AN38</f>
        <v>56.092090909090913</v>
      </c>
      <c r="P55" s="147">
        <f>'발전사업(A)'!AO38 + '자가소비(B)'!AO38 + 'PPA 사업(C)'!AO38 + '리스사업(D)'!AO38 + '임대사업(E)'!AO38 + '환경부사업(F)'!AO38 + '프로젝트(G)'!AO38 + '협력사 EPC(H)'!AO38 + '기타(Z)'!AO38 + '협력사 하도(I)'!AO38</f>
        <v>29.1</v>
      </c>
      <c r="Q55" s="147">
        <f>'발전사업(A)'!AP38 + '자가소비(B)'!AP38 + 'PPA 사업(C)'!AP38 + '리스사업(D)'!AP38 + '임대사업(E)'!AP38 + '환경부사업(F)'!AP38 + '프로젝트(G)'!AP38 + '협력사 EPC(H)'!AP38 + '기타(Z)'!AP38 + '협력사 하도(I)'!AP38</f>
        <v>4.802090909090909</v>
      </c>
      <c r="R55" s="147">
        <f>'발전사업(A)'!AQ38 + '자가소비(B)'!AQ38 + 'PPA 사업(C)'!AQ38 + '리스사업(D)'!AQ38 + '임대사업(E)'!AQ38 + '환경부사업(F)'!AQ38 + '프로젝트(G)'!AQ38 + '협력사 EPC(H)'!AQ38 + '기타(Z)'!AQ38 + '협력사 하도(I)'!AQ38</f>
        <v>22.19</v>
      </c>
      <c r="S55" s="149">
        <f>'발전사업(A)'!AR38 + '자가소비(B)'!AR38 + 'PPA 사업(C)'!AR38 + '리스사업(D)'!AR38 + '임대사업(E)'!AR38 + '환경부사업(F)'!AR38 + '프로젝트(G)'!AR38 + '협력사 EPC(H)'!AR38 + '기타(Z)'!AR38 + '협력사 하도(I)'!AR38</f>
        <v>0</v>
      </c>
    </row>
    <row r="56" spans="1:19" x14ac:dyDescent="0.25">
      <c r="A56">
        <v>7</v>
      </c>
      <c r="B56" s="415">
        <v>7</v>
      </c>
      <c r="C56" s="94">
        <v>1</v>
      </c>
      <c r="D56" s="100" t="s">
        <v>118</v>
      </c>
      <c r="E56" s="41">
        <f>'발전사업(A)'!AD39 + '자가소비(B)'!AD39 + 'PPA 사업(C)'!AD39 + '리스사업(D)'!AD39 + '임대사업(E)'!AD39 + '환경부사업(F)'!AD39 + '프로젝트(G)'!AD39 + '협력사 EPC(H)'!AD39 + '기타(Z)'!AD39</f>
        <v>1463.04</v>
      </c>
      <c r="F56" s="41">
        <f>'발전사업(A)'!AE39 + '자가소비(B)'!AE39 + 'PPA 사업(C)'!AE39 + '리스사업(D)'!AE39 + '임대사업(E)'!AE39 + '환경부사업(F)'!AE39 + '프로젝트(G)'!AE39 + '협력사 EPC(H)'!AE39 + '기타(Z)'!AE39</f>
        <v>510.08000000000004</v>
      </c>
      <c r="G56" s="41">
        <f>'발전사업(A)'!AF39 + '자가소비(B)'!AF39 + 'PPA 사업(C)'!AF39 + '리스사업(D)'!AF39 + '임대사업(E)'!AF39 + '환경부사업(F)'!AF39 + '프로젝트(G)'!AF39 + '협력사 EPC(H)'!AF39 + '기타(Z)'!AF39</f>
        <v>952.95999999999992</v>
      </c>
      <c r="H56" s="41">
        <f>'발전사업(A)'!AG39 + '자가소비(B)'!AG39 + 'PPA 사업(C)'!AG39 + '리스사업(D)'!AG39 + '임대사업(E)'!AG39 + '환경부사업(F)'!AG39 + '프로젝트(G)'!AG39 + '협력사 EPC(H)'!AG39 + '기타(Z)'!AG39</f>
        <v>0</v>
      </c>
      <c r="I56" s="130">
        <f>'발전사업(A)'!AH39 + '자가소비(B)'!AH39 + 'PPA 사업(C)'!AH39 + '리스사업(D)'!AH39 + '임대사업(E)'!AH39 + '환경부사업(F)'!AH39 + '프로젝트(G)'!AH39 + '협력사 EPC(H)'!AH39 + '기타(Z)'!AH39</f>
        <v>0</v>
      </c>
      <c r="J56" s="120">
        <f>'발전사업(A)'!AI39 + '자가소비(B)'!AI39 + 'PPA 사업(C)'!AI39 + '리스사업(D)'!AI39 + '임대사업(E)'!AI39 + '환경부사업(F)'!AI39 + '프로젝트(G)'!AI39 + '협력사 EPC(H)'!AI39 + '기타(Z)'!AI39</f>
        <v>5</v>
      </c>
      <c r="K56" s="188">
        <f>'발전사업(A)'!AJ39 + '자가소비(B)'!AJ39 + 'PPA 사업(C)'!AJ39 + '리스사업(D)'!AJ39 + '임대사업(E)'!AJ39 + '환경부사업(F)'!AJ39 + '프로젝트(G)'!AJ39 + '협력사 EPC(H)'!AJ39 + '기타(Z)'!AJ39</f>
        <v>2</v>
      </c>
      <c r="L56" s="188">
        <f>'발전사업(A)'!AK39 + '자가소비(B)'!AK39 + 'PPA 사업(C)'!AK39 + '리스사업(D)'!AK39 + '임대사업(E)'!AK39 + '환경부사업(F)'!AK39 + '프로젝트(G)'!AK39 + '협력사 EPC(H)'!AK39 + '기타(Z)'!AK39</f>
        <v>3</v>
      </c>
      <c r="M56" s="188">
        <f>'발전사업(A)'!AL39 + '자가소비(B)'!AL39 + 'PPA 사업(C)'!AL39 + '리스사업(D)'!AL39 + '임대사업(E)'!AL39 + '환경부사업(F)'!AL39 + '프로젝트(G)'!AL39 + '협력사 EPC(H)'!AL39 + '기타(Z)'!AL39</f>
        <v>0</v>
      </c>
      <c r="N56" s="189">
        <f>'발전사업(A)'!AM39 + '자가소비(B)'!AM39 + 'PPA 사업(C)'!AM39 + '리스사업(D)'!AM39 + '임대사업(E)'!AM39 + '환경부사업(F)'!AM39 + '프로젝트(G)'!AM39 + '협력사 EPC(H)'!AM39 + '기타(Z)'!AM39</f>
        <v>0</v>
      </c>
      <c r="O56" s="41">
        <f>'발전사업(A)'!AN39 + '자가소비(B)'!AN39 + 'PPA 사업(C)'!AN39 + '리스사업(D)'!AN39 + '임대사업(E)'!AN39 + '환경부사업(F)'!AN39 + '프로젝트(G)'!AN39 + '협력사 EPC(H)'!AN39 + '기타(Z)'!AN39 + '협력사 하도(I)'!AN39</f>
        <v>7.3100000000000005</v>
      </c>
      <c r="P56" s="41">
        <f>'발전사업(A)'!AO39 + '자가소비(B)'!AO39 + 'PPA 사업(C)'!AO39 + '리스사업(D)'!AO39 + '임대사업(E)'!AO39 + '환경부사업(F)'!AO39 + '프로젝트(G)'!AO39 + '협력사 EPC(H)'!AO39 + '기타(Z)'!AO39 + '협력사 하도(I)'!AO39</f>
        <v>3.7</v>
      </c>
      <c r="Q56" s="41">
        <f>'발전사업(A)'!AP39 + '자가소비(B)'!AP39 + 'PPA 사업(C)'!AP39 + '리스사업(D)'!AP39 + '임대사업(E)'!AP39 + '환경부사업(F)'!AP39 + '프로젝트(G)'!AP39 + '협력사 EPC(H)'!AP39 + '기타(Z)'!AP39 + '협력사 하도(I)'!AP39</f>
        <v>3.61</v>
      </c>
      <c r="R56" s="41">
        <f>'발전사업(A)'!AQ39 + '자가소비(B)'!AQ39 + 'PPA 사업(C)'!AQ39 + '리스사업(D)'!AQ39 + '임대사업(E)'!AQ39 + '환경부사업(F)'!AQ39 + '프로젝트(G)'!AQ39 + '협력사 EPC(H)'!AQ39 + '기타(Z)'!AQ39 + '협력사 하도(I)'!AQ39</f>
        <v>0</v>
      </c>
      <c r="S56" s="135">
        <f>'발전사업(A)'!AR39 + '자가소비(B)'!AR39 + 'PPA 사업(C)'!AR39 + '리스사업(D)'!AR39 + '임대사업(E)'!AR39 + '환경부사업(F)'!AR39 + '프로젝트(G)'!AR39 + '협력사 EPC(H)'!AR39 + '기타(Z)'!AR39 + '협력사 하도(I)'!AR39</f>
        <v>0</v>
      </c>
    </row>
    <row r="57" spans="1:19" x14ac:dyDescent="0.25">
      <c r="A57">
        <v>7</v>
      </c>
      <c r="B57" s="416"/>
      <c r="C57" s="95">
        <v>2</v>
      </c>
      <c r="D57" s="102" t="s">
        <v>68</v>
      </c>
      <c r="E57" s="41">
        <f>'발전사업(A)'!AD40 + '자가소비(B)'!AD40 + 'PPA 사업(C)'!AD40 + '리스사업(D)'!AD40 + '임대사업(E)'!AD40 + '환경부사업(F)'!AD40 + '프로젝트(G)'!AD40 + '협력사 EPC(H)'!AD40 + '기타(Z)'!AD40</f>
        <v>893.44</v>
      </c>
      <c r="F57" s="41">
        <f>'발전사업(A)'!AE40 + '자가소비(B)'!AE40 + 'PPA 사업(C)'!AE40 + '리스사업(D)'!AE40 + '임대사업(E)'!AE40 + '환경부사업(F)'!AE40 + '프로젝트(G)'!AE40 + '협력사 EPC(H)'!AE40 + '기타(Z)'!AE40</f>
        <v>683.52</v>
      </c>
      <c r="G57" s="41">
        <f>'발전사업(A)'!AF40 + '자가소비(B)'!AF40 + 'PPA 사업(C)'!AF40 + '리스사업(D)'!AF40 + '임대사업(E)'!AF40 + '환경부사업(F)'!AF40 + '프로젝트(G)'!AF40 + '협력사 EPC(H)'!AF40 + '기타(Z)'!AF40</f>
        <v>209.92000000000002</v>
      </c>
      <c r="H57" s="41">
        <f>'발전사업(A)'!AG40 + '자가소비(B)'!AG40 + 'PPA 사업(C)'!AG40 + '리스사업(D)'!AG40 + '임대사업(E)'!AG40 + '환경부사업(F)'!AG40 + '프로젝트(G)'!AG40 + '협력사 EPC(H)'!AG40 + '기타(Z)'!AG40</f>
        <v>0</v>
      </c>
      <c r="I57" s="130">
        <f>'발전사업(A)'!AH40 + '자가소비(B)'!AH40 + 'PPA 사업(C)'!AH40 + '리스사업(D)'!AH40 + '임대사업(E)'!AH40 + '환경부사업(F)'!AH40 + '프로젝트(G)'!AH40 + '협력사 EPC(H)'!AH40 + '기타(Z)'!AH40</f>
        <v>0</v>
      </c>
      <c r="J57" s="120">
        <f>'발전사업(A)'!AI40 + '자가소비(B)'!AI40 + 'PPA 사업(C)'!AI40 + '리스사업(D)'!AI40 + '임대사업(E)'!AI40 + '환경부사업(F)'!AI40 + '프로젝트(G)'!AI40 + '협력사 EPC(H)'!AI40 + '기타(Z)'!AI40</f>
        <v>6</v>
      </c>
      <c r="K57" s="188">
        <f>'발전사업(A)'!AJ40 + '자가소비(B)'!AJ40 + 'PPA 사업(C)'!AJ40 + '리스사업(D)'!AJ40 + '임대사업(E)'!AJ40 + '환경부사업(F)'!AJ40 + '프로젝트(G)'!AJ40 + '협력사 EPC(H)'!AJ40 + '기타(Z)'!AJ40</f>
        <v>4</v>
      </c>
      <c r="L57" s="188">
        <f>'발전사업(A)'!AK40 + '자가소비(B)'!AK40 + 'PPA 사업(C)'!AK40 + '리스사업(D)'!AK40 + '임대사업(E)'!AK40 + '환경부사업(F)'!AK40 + '프로젝트(G)'!AK40 + '협력사 EPC(H)'!AK40 + '기타(Z)'!AK40</f>
        <v>2</v>
      </c>
      <c r="M57" s="188">
        <f>'발전사업(A)'!AL40 + '자가소비(B)'!AL40 + 'PPA 사업(C)'!AL40 + '리스사업(D)'!AL40 + '임대사업(E)'!AL40 + '환경부사업(F)'!AL40 + '프로젝트(G)'!AL40 + '협력사 EPC(H)'!AL40 + '기타(Z)'!AL40</f>
        <v>0</v>
      </c>
      <c r="N57" s="189">
        <f>'발전사업(A)'!AM40 + '자가소비(B)'!AM40 + 'PPA 사업(C)'!AM40 + '리스사업(D)'!AM40 + '임대사업(E)'!AM40 + '환경부사업(F)'!AM40 + '프로젝트(G)'!AM40 + '협력사 EPC(H)'!AM40 + '기타(Z)'!AM40</f>
        <v>0</v>
      </c>
      <c r="O57" s="41">
        <f>'발전사업(A)'!AN40 + '자가소비(B)'!AN40 + 'PPA 사업(C)'!AN40 + '리스사업(D)'!AN40 + '임대사업(E)'!AN40 + '환경부사업(F)'!AN40 + '프로젝트(G)'!AN40 + '협력사 EPC(H)'!AN40 + '기타(Z)'!AN40 + '협력사 하도(I)'!AN40</f>
        <v>3.22</v>
      </c>
      <c r="P57" s="41">
        <f>'발전사업(A)'!AO40 + '자가소비(B)'!AO40 + 'PPA 사업(C)'!AO40 + '리스사업(D)'!AO40 + '임대사업(E)'!AO40 + '환경부사업(F)'!AO40 + '프로젝트(G)'!AO40 + '협력사 EPC(H)'!AO40 + '기타(Z)'!AO40 + '협력사 하도(I)'!AO40</f>
        <v>2.4300000000000002</v>
      </c>
      <c r="Q57" s="41">
        <f>'발전사업(A)'!AP40 + '자가소비(B)'!AP40 + 'PPA 사업(C)'!AP40 + '리스사업(D)'!AP40 + '임대사업(E)'!AP40 + '환경부사업(F)'!AP40 + '프로젝트(G)'!AP40 + '협력사 EPC(H)'!AP40 + '기타(Z)'!AP40 + '협력사 하도(I)'!AP40</f>
        <v>0.79</v>
      </c>
      <c r="R57" s="41">
        <f>'발전사업(A)'!AQ40 + '자가소비(B)'!AQ40 + 'PPA 사업(C)'!AQ40 + '리스사업(D)'!AQ40 + '임대사업(E)'!AQ40 + '환경부사업(F)'!AQ40 + '프로젝트(G)'!AQ40 + '협력사 EPC(H)'!AQ40 + '기타(Z)'!AQ40 + '협력사 하도(I)'!AQ40</f>
        <v>0</v>
      </c>
      <c r="S57" s="135">
        <f>'발전사업(A)'!AR40 + '자가소비(B)'!AR40 + 'PPA 사업(C)'!AR40 + '리스사업(D)'!AR40 + '임대사업(E)'!AR40 + '환경부사업(F)'!AR40 + '프로젝트(G)'!AR40 + '협력사 EPC(H)'!AR40 + '기타(Z)'!AR40 + '협력사 하도(I)'!AR40</f>
        <v>0</v>
      </c>
    </row>
    <row r="58" spans="1:19" x14ac:dyDescent="0.25">
      <c r="A58">
        <v>7</v>
      </c>
      <c r="B58" s="416"/>
      <c r="C58" s="95">
        <v>3</v>
      </c>
      <c r="D58" s="102" t="s">
        <v>69</v>
      </c>
      <c r="E58" s="41">
        <f>'발전사업(A)'!AD41 + '자가소비(B)'!AD41 + 'PPA 사업(C)'!AD41 + '리스사업(D)'!AD41 + '임대사업(E)'!AD41 + '환경부사업(F)'!AD41 + '프로젝트(G)'!AD41 + '협력사 EPC(H)'!AD41 + '기타(Z)'!AD41</f>
        <v>800.64</v>
      </c>
      <c r="F58" s="41">
        <f>'발전사업(A)'!AE41 + '자가소비(B)'!AE41 + 'PPA 사업(C)'!AE41 + '리스사업(D)'!AE41 + '임대사업(E)'!AE41 + '환경부사업(F)'!AE41 + '프로젝트(G)'!AE41 + '협력사 EPC(H)'!AE41 + '기타(Z)'!AE41</f>
        <v>375.03999999999996</v>
      </c>
      <c r="G58" s="41">
        <f>'발전사업(A)'!AF41 + '자가소비(B)'!AF41 + 'PPA 사업(C)'!AF41 + '리스사업(D)'!AF41 + '임대사업(E)'!AF41 + '환경부사업(F)'!AF41 + '프로젝트(G)'!AF41 + '협력사 EPC(H)'!AF41 + '기타(Z)'!AF41</f>
        <v>425.6</v>
      </c>
      <c r="H58" s="41">
        <f>'발전사업(A)'!AG41 + '자가소비(B)'!AG41 + 'PPA 사업(C)'!AG41 + '리스사업(D)'!AG41 + '임대사업(E)'!AG41 + '환경부사업(F)'!AG41 + '프로젝트(G)'!AG41 + '협력사 EPC(H)'!AG41 + '기타(Z)'!AG41</f>
        <v>0</v>
      </c>
      <c r="I58" s="130">
        <f>'발전사업(A)'!AH41 + '자가소비(B)'!AH41 + 'PPA 사업(C)'!AH41 + '리스사업(D)'!AH41 + '임대사업(E)'!AH41 + '환경부사업(F)'!AH41 + '프로젝트(G)'!AH41 + '협력사 EPC(H)'!AH41 + '기타(Z)'!AH41</f>
        <v>0</v>
      </c>
      <c r="J58" s="120">
        <f>'발전사업(A)'!AI41 + '자가소비(B)'!AI41 + 'PPA 사업(C)'!AI41 + '리스사업(D)'!AI41 + '임대사업(E)'!AI41 + '환경부사업(F)'!AI41 + '프로젝트(G)'!AI41 + '협력사 EPC(H)'!AI41 + '기타(Z)'!AI41</f>
        <v>6</v>
      </c>
      <c r="K58" s="188">
        <f>'발전사업(A)'!AJ41 + '자가소비(B)'!AJ41 + 'PPA 사업(C)'!AJ41 + '리스사업(D)'!AJ41 + '임대사업(E)'!AJ41 + '환경부사업(F)'!AJ41 + '프로젝트(G)'!AJ41 + '협력사 EPC(H)'!AJ41 + '기타(Z)'!AJ41</f>
        <v>3</v>
      </c>
      <c r="L58" s="188">
        <f>'발전사업(A)'!AK41 + '자가소비(B)'!AK41 + 'PPA 사업(C)'!AK41 + '리스사업(D)'!AK41 + '임대사업(E)'!AK41 + '환경부사업(F)'!AK41 + '프로젝트(G)'!AK41 + '협력사 EPC(H)'!AK41 + '기타(Z)'!AK41</f>
        <v>3</v>
      </c>
      <c r="M58" s="188">
        <f>'발전사업(A)'!AL41 + '자가소비(B)'!AL41 + 'PPA 사업(C)'!AL41 + '리스사업(D)'!AL41 + '임대사업(E)'!AL41 + '환경부사업(F)'!AL41 + '프로젝트(G)'!AL41 + '협력사 EPC(H)'!AL41 + '기타(Z)'!AL41</f>
        <v>0</v>
      </c>
      <c r="N58" s="189">
        <f>'발전사업(A)'!AM41 + '자가소비(B)'!AM41 + 'PPA 사업(C)'!AM41 + '리스사업(D)'!AM41 + '임대사업(E)'!AM41 + '환경부사업(F)'!AM41 + '프로젝트(G)'!AM41 + '협력사 EPC(H)'!AM41 + '기타(Z)'!AM41</f>
        <v>0</v>
      </c>
      <c r="O58" s="41">
        <f>'발전사업(A)'!AN41 + '자가소비(B)'!AN41 + 'PPA 사업(C)'!AN41 + '리스사업(D)'!AN41 + '임대사업(E)'!AN41 + '환경부사업(F)'!AN41 + '프로젝트(G)'!AN41 + '협력사 EPC(H)'!AN41 + '기타(Z)'!AN41 + '협력사 하도(I)'!AN41</f>
        <v>4.0199999999999996</v>
      </c>
      <c r="P58" s="41">
        <f>'발전사업(A)'!AO41 + '자가소비(B)'!AO41 + 'PPA 사업(C)'!AO41 + '리스사업(D)'!AO41 + '임대사업(E)'!AO41 + '환경부사업(F)'!AO41 + '프로젝트(G)'!AO41 + '협력사 EPC(H)'!AO41 + '기타(Z)'!AO41 + '협력사 하도(I)'!AO41</f>
        <v>2.42</v>
      </c>
      <c r="Q58" s="41">
        <f>'발전사업(A)'!AP41 + '자가소비(B)'!AP41 + 'PPA 사업(C)'!AP41 + '리스사업(D)'!AP41 + '임대사업(E)'!AP41 + '환경부사업(F)'!AP41 + '프로젝트(G)'!AP41 + '협력사 EPC(H)'!AP41 + '기타(Z)'!AP41 + '협력사 하도(I)'!AP41</f>
        <v>1.6</v>
      </c>
      <c r="R58" s="41">
        <f>'발전사업(A)'!AQ41 + '자가소비(B)'!AQ41 + 'PPA 사업(C)'!AQ41 + '리스사업(D)'!AQ41 + '임대사업(E)'!AQ41 + '환경부사업(F)'!AQ41 + '프로젝트(G)'!AQ41 + '협력사 EPC(H)'!AQ41 + '기타(Z)'!AQ41 + '협력사 하도(I)'!AQ41</f>
        <v>0</v>
      </c>
      <c r="S58" s="135">
        <f>'발전사업(A)'!AR41 + '자가소비(B)'!AR41 + 'PPA 사업(C)'!AR41 + '리스사업(D)'!AR41 + '임대사업(E)'!AR41 + '환경부사업(F)'!AR41 + '프로젝트(G)'!AR41 + '협력사 EPC(H)'!AR41 + '기타(Z)'!AR41 + '협력사 하도(I)'!AR41</f>
        <v>0</v>
      </c>
    </row>
    <row r="59" spans="1:19" x14ac:dyDescent="0.25">
      <c r="A59">
        <v>7</v>
      </c>
      <c r="B59" s="416"/>
      <c r="C59" s="95">
        <v>4</v>
      </c>
      <c r="D59" s="102" t="s">
        <v>70</v>
      </c>
      <c r="E59" s="41">
        <f>'발전사업(A)'!AD42 + '자가소비(B)'!AD42 + 'PPA 사업(C)'!AD42 + '리스사업(D)'!AD42 + '임대사업(E)'!AD42 + '환경부사업(F)'!AD42 + '프로젝트(G)'!AD42 + '협력사 EPC(H)'!AD42 + '기타(Z)'!AD42</f>
        <v>3342.7200000000003</v>
      </c>
      <c r="F59" s="41">
        <f>'발전사업(A)'!AE42 + '자가소비(B)'!AE42 + 'PPA 사업(C)'!AE42 + '리스사업(D)'!AE42 + '임대사업(E)'!AE42 + '환경부사업(F)'!AE42 + '프로젝트(G)'!AE42 + '협력사 EPC(H)'!AE42 + '기타(Z)'!AE42</f>
        <v>2747.52</v>
      </c>
      <c r="G59" s="41">
        <f>'발전사업(A)'!AF42 + '자가소비(B)'!AF42 + 'PPA 사업(C)'!AF42 + '리스사업(D)'!AF42 + '임대사업(E)'!AF42 + '환경부사업(F)'!AF42 + '프로젝트(G)'!AF42 + '협력사 EPC(H)'!AF42 + '기타(Z)'!AF42</f>
        <v>595.20000000000005</v>
      </c>
      <c r="H59" s="41">
        <f>'발전사업(A)'!AG42 + '자가소비(B)'!AG42 + 'PPA 사업(C)'!AG42 + '리스사업(D)'!AG42 + '임대사업(E)'!AG42 + '환경부사업(F)'!AG42 + '프로젝트(G)'!AG42 + '협력사 EPC(H)'!AG42 + '기타(Z)'!AG42</f>
        <v>0</v>
      </c>
      <c r="I59" s="130">
        <f>'발전사업(A)'!AH42 + '자가소비(B)'!AH42 + 'PPA 사업(C)'!AH42 + '리스사업(D)'!AH42 + '임대사업(E)'!AH42 + '환경부사업(F)'!AH42 + '프로젝트(G)'!AH42 + '협력사 EPC(H)'!AH42 + '기타(Z)'!AH42</f>
        <v>0</v>
      </c>
      <c r="J59" s="120">
        <f>'발전사업(A)'!AI42 + '자가소비(B)'!AI42 + 'PPA 사업(C)'!AI42 + '리스사업(D)'!AI42 + '임대사업(E)'!AI42 + '환경부사업(F)'!AI42 + '프로젝트(G)'!AI42 + '협력사 EPC(H)'!AI42 + '기타(Z)'!AI42</f>
        <v>9</v>
      </c>
      <c r="K59" s="188">
        <f>'발전사업(A)'!AJ42 + '자가소비(B)'!AJ42 + 'PPA 사업(C)'!AJ42 + '리스사업(D)'!AJ42 + '임대사업(E)'!AJ42 + '환경부사업(F)'!AJ42 + '프로젝트(G)'!AJ42 + '협력사 EPC(H)'!AJ42 + '기타(Z)'!AJ42</f>
        <v>7</v>
      </c>
      <c r="L59" s="188">
        <f>'발전사업(A)'!AK42 + '자가소비(B)'!AK42 + 'PPA 사업(C)'!AK42 + '리스사업(D)'!AK42 + '임대사업(E)'!AK42 + '환경부사업(F)'!AK42 + '프로젝트(G)'!AK42 + '협력사 EPC(H)'!AK42 + '기타(Z)'!AK42</f>
        <v>2</v>
      </c>
      <c r="M59" s="188">
        <f>'발전사업(A)'!AL42 + '자가소비(B)'!AL42 + 'PPA 사업(C)'!AL42 + '리스사업(D)'!AL42 + '임대사업(E)'!AL42 + '환경부사업(F)'!AL42 + '프로젝트(G)'!AL42 + '협력사 EPC(H)'!AL42 + '기타(Z)'!AL42</f>
        <v>0</v>
      </c>
      <c r="N59" s="189">
        <f>'발전사업(A)'!AM42 + '자가소비(B)'!AM42 + 'PPA 사업(C)'!AM42 + '리스사업(D)'!AM42 + '임대사업(E)'!AM42 + '환경부사업(F)'!AM42 + '프로젝트(G)'!AM42 + '협력사 EPC(H)'!AM42 + '기타(Z)'!AM42</f>
        <v>0</v>
      </c>
      <c r="O59" s="41">
        <f>'발전사업(A)'!AN42 + '자가소비(B)'!AN42 + 'PPA 사업(C)'!AN42 + '리스사업(D)'!AN42 + '임대사업(E)'!AN42 + '환경부사업(F)'!AN42 + '프로젝트(G)'!AN42 + '협력사 EPC(H)'!AN42 + '기타(Z)'!AN42 + '협력사 하도(I)'!AN42</f>
        <v>26.57</v>
      </c>
      <c r="P59" s="41">
        <f>'발전사업(A)'!AO42 + '자가소비(B)'!AO42 + 'PPA 사업(C)'!AO42 + '리스사업(D)'!AO42 + '임대사업(E)'!AO42 + '환경부사업(F)'!AO42 + '프로젝트(G)'!AO42 + '협력사 EPC(H)'!AO42 + '기타(Z)'!AO42 + '협력사 하도(I)'!AO42</f>
        <v>20.94</v>
      </c>
      <c r="Q59" s="41">
        <f>'발전사업(A)'!AP42 + '자가소비(B)'!AP42 + 'PPA 사업(C)'!AP42 + '리스사업(D)'!AP42 + '임대사업(E)'!AP42 + '환경부사업(F)'!AP42 + '프로젝트(G)'!AP42 + '협력사 EPC(H)'!AP42 + '기타(Z)'!AP42 + '협력사 하도(I)'!AP42</f>
        <v>5.63</v>
      </c>
      <c r="R59" s="41">
        <f>'발전사업(A)'!AQ42 + '자가소비(B)'!AQ42 + 'PPA 사업(C)'!AQ42 + '리스사업(D)'!AQ42 + '임대사업(E)'!AQ42 + '환경부사업(F)'!AQ42 + '프로젝트(G)'!AQ42 + '협력사 EPC(H)'!AQ42 + '기타(Z)'!AQ42 + '협력사 하도(I)'!AQ42</f>
        <v>0</v>
      </c>
      <c r="S59" s="135">
        <f>'발전사업(A)'!AR42 + '자가소비(B)'!AR42 + 'PPA 사업(C)'!AR42 + '리스사업(D)'!AR42 + '임대사업(E)'!AR42 + '환경부사업(F)'!AR42 + '프로젝트(G)'!AR42 + '협력사 EPC(H)'!AR42 + '기타(Z)'!AR42 + '협력사 하도(I)'!AR42</f>
        <v>0</v>
      </c>
    </row>
    <row r="60" spans="1:19" x14ac:dyDescent="0.25">
      <c r="A60">
        <v>7</v>
      </c>
      <c r="B60" s="416"/>
      <c r="C60" s="96">
        <v>5</v>
      </c>
      <c r="D60" s="105" t="s">
        <v>119</v>
      </c>
      <c r="E60" s="41">
        <f>'발전사업(A)'!AD43 + '자가소비(B)'!AD43 + 'PPA 사업(C)'!AD43 + '리스사업(D)'!AD43 + '임대사업(E)'!AD43 + '환경부사업(F)'!AD43 + '프로젝트(G)'!AD43 + '협력사 EPC(H)'!AD43 + '기타(Z)'!AD43</f>
        <v>0</v>
      </c>
      <c r="F60" s="41">
        <f>'발전사업(A)'!AE43 + '자가소비(B)'!AE43 + 'PPA 사업(C)'!AE43 + '리스사업(D)'!AE43 + '임대사업(E)'!AE43 + '환경부사업(F)'!AE43 + '프로젝트(G)'!AE43 + '협력사 EPC(H)'!AE43 + '기타(Z)'!AE43</f>
        <v>0</v>
      </c>
      <c r="G60" s="41">
        <f>'발전사업(A)'!AF43 + '자가소비(B)'!AF43 + 'PPA 사업(C)'!AF43 + '리스사업(D)'!AF43 + '임대사업(E)'!AF43 + '환경부사업(F)'!AF43 + '프로젝트(G)'!AF43 + '협력사 EPC(H)'!AF43 + '기타(Z)'!AF43</f>
        <v>0</v>
      </c>
      <c r="H60" s="41">
        <f>'발전사업(A)'!AG43 + '자가소비(B)'!AG43 + 'PPA 사업(C)'!AG43 + '리스사업(D)'!AG43 + '임대사업(E)'!AG43 + '환경부사업(F)'!AG43 + '프로젝트(G)'!AG43 + '협력사 EPC(H)'!AG43 + '기타(Z)'!AG43</f>
        <v>0</v>
      </c>
      <c r="I60" s="130">
        <f>'발전사업(A)'!AH43 + '자가소비(B)'!AH43 + 'PPA 사업(C)'!AH43 + '리스사업(D)'!AH43 + '임대사업(E)'!AH43 + '환경부사업(F)'!AH43 + '프로젝트(G)'!AH43 + '협력사 EPC(H)'!AH43 + '기타(Z)'!AH43</f>
        <v>0</v>
      </c>
      <c r="J60" s="120">
        <f>'발전사업(A)'!AI43 + '자가소비(B)'!AI43 + 'PPA 사업(C)'!AI43 + '리스사업(D)'!AI43 + '임대사업(E)'!AI43 + '환경부사업(F)'!AI43 + '프로젝트(G)'!AI43 + '협력사 EPC(H)'!AI43 + '기타(Z)'!AI43</f>
        <v>0</v>
      </c>
      <c r="K60" s="188">
        <f>'발전사업(A)'!AJ43 + '자가소비(B)'!AJ43 + 'PPA 사업(C)'!AJ43 + '리스사업(D)'!AJ43 + '임대사업(E)'!AJ43 + '환경부사업(F)'!AJ43 + '프로젝트(G)'!AJ43 + '협력사 EPC(H)'!AJ43 + '기타(Z)'!AJ43</f>
        <v>0</v>
      </c>
      <c r="L60" s="188">
        <f>'발전사업(A)'!AK43 + '자가소비(B)'!AK43 + 'PPA 사업(C)'!AK43 + '리스사업(D)'!AK43 + '임대사업(E)'!AK43 + '환경부사업(F)'!AK43 + '프로젝트(G)'!AK43 + '협력사 EPC(H)'!AK43 + '기타(Z)'!AK43</f>
        <v>0</v>
      </c>
      <c r="M60" s="188">
        <f>'발전사업(A)'!AL43 + '자가소비(B)'!AL43 + 'PPA 사업(C)'!AL43 + '리스사업(D)'!AL43 + '임대사업(E)'!AL43 + '환경부사업(F)'!AL43 + '프로젝트(G)'!AL43 + '협력사 EPC(H)'!AL43 + '기타(Z)'!AL43</f>
        <v>0</v>
      </c>
      <c r="N60" s="189">
        <f>'발전사업(A)'!AM43 + '자가소비(B)'!AM43 + 'PPA 사업(C)'!AM43 + '리스사업(D)'!AM43 + '임대사업(E)'!AM43 + '환경부사업(F)'!AM43 + '프로젝트(G)'!AM43 + '협력사 EPC(H)'!AM43 + '기타(Z)'!AM43</f>
        <v>0</v>
      </c>
      <c r="O60" s="41">
        <f>'발전사업(A)'!AN43 + '자가소비(B)'!AN43 + 'PPA 사업(C)'!AN43 + '리스사업(D)'!AN43 + '임대사업(E)'!AN43 + '환경부사업(F)'!AN43 + '프로젝트(G)'!AN43 + '협력사 EPC(H)'!AN43 + '기타(Z)'!AN43 + '협력사 하도(I)'!AN43</f>
        <v>0</v>
      </c>
      <c r="P60" s="41">
        <f>'발전사업(A)'!AO43 + '자가소비(B)'!AO43 + 'PPA 사업(C)'!AO43 + '리스사업(D)'!AO43 + '임대사업(E)'!AO43 + '환경부사업(F)'!AO43 + '프로젝트(G)'!AO43 + '협력사 EPC(H)'!AO43 + '기타(Z)'!AO43 + '협력사 하도(I)'!AO43</f>
        <v>0</v>
      </c>
      <c r="Q60" s="41">
        <f>'발전사업(A)'!AP43 + '자가소비(B)'!AP43 + 'PPA 사업(C)'!AP43 + '리스사업(D)'!AP43 + '임대사업(E)'!AP43 + '환경부사업(F)'!AP43 + '프로젝트(G)'!AP43 + '협력사 EPC(H)'!AP43 + '기타(Z)'!AP43 + '협력사 하도(I)'!AP43</f>
        <v>0</v>
      </c>
      <c r="R60" s="41">
        <f>'발전사업(A)'!AQ43 + '자가소비(B)'!AQ43 + 'PPA 사업(C)'!AQ43 + '리스사업(D)'!AQ43 + '임대사업(E)'!AQ43 + '환경부사업(F)'!AQ43 + '프로젝트(G)'!AQ43 + '협력사 EPC(H)'!AQ43 + '기타(Z)'!AQ43 + '협력사 하도(I)'!AQ43</f>
        <v>0</v>
      </c>
      <c r="S60" s="135">
        <f>'발전사업(A)'!AR43 + '자가소비(B)'!AR43 + 'PPA 사업(C)'!AR43 + '리스사업(D)'!AR43 + '임대사업(E)'!AR43 + '환경부사업(F)'!AR43 + '프로젝트(G)'!AR43 + '협력사 EPC(H)'!AR43 + '기타(Z)'!AR43 + '협력사 하도(I)'!AR43</f>
        <v>0</v>
      </c>
    </row>
    <row r="61" spans="1:19" ht="14.25" thickBot="1" x14ac:dyDescent="0.3">
      <c r="A61">
        <v>7</v>
      </c>
      <c r="B61" s="417"/>
      <c r="C61" s="97" t="s">
        <v>3</v>
      </c>
      <c r="D61" s="106"/>
      <c r="E61" s="139">
        <f>'발전사업(A)'!AD44 + '자가소비(B)'!AD44 + 'PPA 사업(C)'!AD44 + '리스사업(D)'!AD44 + '임대사업(E)'!AD44 + '환경부사업(F)'!AD44 + '프로젝트(G)'!AD44 + '협력사 EPC(H)'!AD44 + '기타(Z)'!AD44</f>
        <v>6499.84</v>
      </c>
      <c r="F61" s="139">
        <f>'발전사업(A)'!AE44 + '자가소비(B)'!AE44 + 'PPA 사업(C)'!AE44 + '리스사업(D)'!AE44 + '임대사업(E)'!AE44 + '환경부사업(F)'!AE44 + '프로젝트(G)'!AE44 + '협력사 EPC(H)'!AE44 + '기타(Z)'!AE44</f>
        <v>4316.16</v>
      </c>
      <c r="G61" s="139">
        <f>'발전사업(A)'!AF44 + '자가소비(B)'!AF44 + 'PPA 사업(C)'!AF44 + '리스사업(D)'!AF44 + '임대사업(E)'!AF44 + '환경부사업(F)'!AF44 + '프로젝트(G)'!AF44 + '협력사 EPC(H)'!AF44 + '기타(Z)'!AF44</f>
        <v>2183.6800000000003</v>
      </c>
      <c r="H61" s="139">
        <f>'발전사업(A)'!AG44 + '자가소비(B)'!AG44 + 'PPA 사업(C)'!AG44 + '리스사업(D)'!AG44 + '임대사업(E)'!AG44 + '환경부사업(F)'!AG44 + '프로젝트(G)'!AG44 + '협력사 EPC(H)'!AG44 + '기타(Z)'!AG44</f>
        <v>0</v>
      </c>
      <c r="I61" s="140">
        <f>'발전사업(A)'!AH44 + '자가소비(B)'!AH44 + 'PPA 사업(C)'!AH44 + '리스사업(D)'!AH44 + '임대사업(E)'!AH44 + '환경부사업(F)'!AH44 + '프로젝트(G)'!AH44 + '협력사 EPC(H)'!AH44 + '기타(Z)'!AH44</f>
        <v>0</v>
      </c>
      <c r="J61" s="190">
        <f>'발전사업(A)'!AI44 + '자가소비(B)'!AI44 + 'PPA 사업(C)'!AI44 + '리스사업(D)'!AI44 + '임대사업(E)'!AI44 + '환경부사업(F)'!AI44 + '프로젝트(G)'!AI44 + '협력사 EPC(H)'!AI44 + '기타(Z)'!AI44</f>
        <v>26</v>
      </c>
      <c r="K61" s="191">
        <f>'발전사업(A)'!AJ44 + '자가소비(B)'!AJ44 + 'PPA 사업(C)'!AJ44 + '리스사업(D)'!AJ44 + '임대사업(E)'!AJ44 + '환경부사업(F)'!AJ44 + '프로젝트(G)'!AJ44 + '협력사 EPC(H)'!AJ44 + '기타(Z)'!AJ44</f>
        <v>16</v>
      </c>
      <c r="L61" s="191">
        <f>'발전사업(A)'!AK44 + '자가소비(B)'!AK44 + 'PPA 사업(C)'!AK44 + '리스사업(D)'!AK44 + '임대사업(E)'!AK44 + '환경부사업(F)'!AK44 + '프로젝트(G)'!AK44 + '협력사 EPC(H)'!AK44 + '기타(Z)'!AK44</f>
        <v>10</v>
      </c>
      <c r="M61" s="191">
        <f>'발전사업(A)'!AL44 + '자가소비(B)'!AL44 + 'PPA 사업(C)'!AL44 + '리스사업(D)'!AL44 + '임대사업(E)'!AL44 + '환경부사업(F)'!AL44 + '프로젝트(G)'!AL44 + '협력사 EPC(H)'!AL44 + '기타(Z)'!AL44</f>
        <v>0</v>
      </c>
      <c r="N61" s="192">
        <f>'발전사업(A)'!AM44 + '자가소비(B)'!AM44 + 'PPA 사업(C)'!AM44 + '리스사업(D)'!AM44 + '임대사업(E)'!AM44 + '환경부사업(F)'!AM44 + '프로젝트(G)'!AM44 + '협력사 EPC(H)'!AM44 + '기타(Z)'!AM44</f>
        <v>0</v>
      </c>
      <c r="O61" s="172">
        <f>'발전사업(A)'!AN44 + '자가소비(B)'!AN44 + 'PPA 사업(C)'!AN44 + '리스사업(D)'!AN44 + '임대사업(E)'!AN44 + '환경부사업(F)'!AN44 + '프로젝트(G)'!AN44 + '협력사 EPC(H)'!AN44 + '기타(Z)'!AN44 + '협력사 하도(I)'!AN44</f>
        <v>41.120000000000005</v>
      </c>
      <c r="P61" s="139">
        <f>'발전사업(A)'!AO44 + '자가소비(B)'!AO44 + 'PPA 사업(C)'!AO44 + '리스사업(D)'!AO44 + '임대사업(E)'!AO44 + '환경부사업(F)'!AO44 + '프로젝트(G)'!AO44 + '협력사 EPC(H)'!AO44 + '기타(Z)'!AO44 + '협력사 하도(I)'!AO44</f>
        <v>29.490000000000002</v>
      </c>
      <c r="Q61" s="139">
        <f>'발전사업(A)'!AP44 + '자가소비(B)'!AP44 + 'PPA 사업(C)'!AP44 + '리스사업(D)'!AP44 + '임대사업(E)'!AP44 + '환경부사업(F)'!AP44 + '프로젝트(G)'!AP44 + '협력사 EPC(H)'!AP44 + '기타(Z)'!AP44 + '협력사 하도(I)'!AP44</f>
        <v>11.629999999999999</v>
      </c>
      <c r="R61" s="139">
        <f>'발전사업(A)'!AQ44 + '자가소비(B)'!AQ44 + 'PPA 사업(C)'!AQ44 + '리스사업(D)'!AQ44 + '임대사업(E)'!AQ44 + '환경부사업(F)'!AQ44 + '프로젝트(G)'!AQ44 + '협력사 EPC(H)'!AQ44 + '기타(Z)'!AQ44 + '협력사 하도(I)'!AQ44</f>
        <v>0</v>
      </c>
      <c r="S61" s="141">
        <f>'발전사업(A)'!AR44 + '자가소비(B)'!AR44 + 'PPA 사업(C)'!AR44 + '리스사업(D)'!AR44 + '임대사업(E)'!AR44 + '환경부사업(F)'!AR44 + '프로젝트(G)'!AR44 + '협력사 EPC(H)'!AR44 + '기타(Z)'!AR44 + '협력사 하도(I)'!AR44</f>
        <v>0</v>
      </c>
    </row>
    <row r="62" spans="1:19" x14ac:dyDescent="0.25">
      <c r="A62">
        <v>8</v>
      </c>
      <c r="B62" s="415">
        <v>8</v>
      </c>
      <c r="C62" s="94">
        <v>1</v>
      </c>
      <c r="D62" s="100" t="s">
        <v>120</v>
      </c>
      <c r="E62" s="142">
        <f>'발전사업(A)'!AD45 + '자가소비(B)'!AD45 + 'PPA 사업(C)'!AD45 + '리스사업(D)'!AD45 + '임대사업(E)'!AD45 + '환경부사업(F)'!AD45 + '프로젝트(G)'!AD45 + '협력사 EPC(H)'!AD45 + '기타(Z)'!AD45</f>
        <v>1860.4799999999998</v>
      </c>
      <c r="F62" s="143">
        <f>'발전사업(A)'!AE45 + '자가소비(B)'!AE45 + 'PPA 사업(C)'!AE45 + '리스사업(D)'!AE45 + '임대사업(E)'!AE45 + '환경부사업(F)'!AE45 + '프로젝트(G)'!AE45 + '협력사 EPC(H)'!AE45 + '기타(Z)'!AE45</f>
        <v>1342.08</v>
      </c>
      <c r="G62" s="143">
        <f>'발전사업(A)'!AF45 + '자가소비(B)'!AF45 + 'PPA 사업(C)'!AF45 + '리스사업(D)'!AF45 + '임대사업(E)'!AF45 + '환경부사업(F)'!AF45 + '프로젝트(G)'!AF45 + '협력사 EPC(H)'!AF45 + '기타(Z)'!AF45</f>
        <v>518.4</v>
      </c>
      <c r="H62" s="143">
        <f>'발전사업(A)'!AG45 + '자가소비(B)'!AG45 + 'PPA 사업(C)'!AG45 + '리스사업(D)'!AG45 + '임대사업(E)'!AG45 + '환경부사업(F)'!AG45 + '프로젝트(G)'!AG45 + '협력사 EPC(H)'!AG45 + '기타(Z)'!AG45</f>
        <v>0</v>
      </c>
      <c r="I62" s="144">
        <f>'발전사업(A)'!AH45 + '자가소비(B)'!AH45 + 'PPA 사업(C)'!AH45 + '리스사업(D)'!AH45 + '임대사업(E)'!AH45 + '환경부사업(F)'!AH45 + '프로젝트(G)'!AH45 + '협력사 EPC(H)'!AH45 + '기타(Z)'!AH45</f>
        <v>0</v>
      </c>
      <c r="J62" s="193">
        <f>'발전사업(A)'!AI45 + '자가소비(B)'!AI45 + 'PPA 사업(C)'!AI45 + '리스사업(D)'!AI45 + '임대사업(E)'!AI45 + '환경부사업(F)'!AI45 + '프로젝트(G)'!AI45 + '협력사 EPC(H)'!AI45 + '기타(Z)'!AI45</f>
        <v>7</v>
      </c>
      <c r="K62" s="194">
        <f>'발전사업(A)'!AJ45 + '자가소비(B)'!AJ45 + 'PPA 사업(C)'!AJ45 + '리스사업(D)'!AJ45 + '임대사업(E)'!AJ45 + '환경부사업(F)'!AJ45 + '프로젝트(G)'!AJ45 + '협력사 EPC(H)'!AJ45 + '기타(Z)'!AJ45</f>
        <v>5</v>
      </c>
      <c r="L62" s="194">
        <f>'발전사업(A)'!AK45 + '자가소비(B)'!AK45 + 'PPA 사업(C)'!AK45 + '리스사업(D)'!AK45 + '임대사업(E)'!AK45 + '환경부사업(F)'!AK45 + '프로젝트(G)'!AK45 + '협력사 EPC(H)'!AK45 + '기타(Z)'!AK45</f>
        <v>2</v>
      </c>
      <c r="M62" s="194">
        <f>'발전사업(A)'!AL45 + '자가소비(B)'!AL45 + 'PPA 사업(C)'!AL45 + '리스사업(D)'!AL45 + '임대사업(E)'!AL45 + '환경부사업(F)'!AL45 + '프로젝트(G)'!AL45 + '협력사 EPC(H)'!AL45 + '기타(Z)'!AL45</f>
        <v>0</v>
      </c>
      <c r="N62" s="195">
        <f>'발전사업(A)'!AM45 + '자가소비(B)'!AM45 + 'PPA 사업(C)'!AM45 + '리스사업(D)'!AM45 + '임대사업(E)'!AM45 + '환경부사업(F)'!AM45 + '프로젝트(G)'!AM45 + '협력사 EPC(H)'!AM45 + '기타(Z)'!AM45</f>
        <v>0</v>
      </c>
      <c r="O62" s="41">
        <f>'발전사업(A)'!AN45 + '자가소비(B)'!AN45 + 'PPA 사업(C)'!AN45 + '리스사업(D)'!AN45 + '임대사업(E)'!AN45 + '환경부사업(F)'!AN45 + '프로젝트(G)'!AN45 + '협력사 EPC(H)'!AN45 + '기타(Z)'!AN45 + '협력사 하도(I)'!AN45</f>
        <v>16.884</v>
      </c>
      <c r="P62" s="143">
        <f>'발전사업(A)'!AO45 + '자가소비(B)'!AO45 + 'PPA 사업(C)'!AO45 + '리스사업(D)'!AO45 + '임대사업(E)'!AO45 + '환경부사업(F)'!AO45 + '프로젝트(G)'!AO45 + '협력사 EPC(H)'!AO45 + '기타(Z)'!AO45 + '협력사 하도(I)'!AO45</f>
        <v>11.894</v>
      </c>
      <c r="Q62" s="143">
        <f>'발전사업(A)'!AP45 + '자가소비(B)'!AP45 + 'PPA 사업(C)'!AP45 + '리스사업(D)'!AP45 + '임대사업(E)'!AP45 + '환경부사업(F)'!AP45 + '프로젝트(G)'!AP45 + '협력사 EPC(H)'!AP45 + '기타(Z)'!AP45 + '협력사 하도(I)'!AP45</f>
        <v>4.99</v>
      </c>
      <c r="R62" s="143">
        <f>'발전사업(A)'!AQ45 + '자가소비(B)'!AQ45 + 'PPA 사업(C)'!AQ45 + '리스사업(D)'!AQ45 + '임대사업(E)'!AQ45 + '환경부사업(F)'!AQ45 + '프로젝트(G)'!AQ45 + '협력사 EPC(H)'!AQ45 + '기타(Z)'!AQ45 + '협력사 하도(I)'!AQ45</f>
        <v>0</v>
      </c>
      <c r="S62" s="145">
        <f>'발전사업(A)'!AR45 + '자가소비(B)'!AR45 + 'PPA 사업(C)'!AR45 + '리스사업(D)'!AR45 + '임대사업(E)'!AR45 + '환경부사업(F)'!AR45 + '프로젝트(G)'!AR45 + '협력사 EPC(H)'!AR45 + '기타(Z)'!AR45 + '협력사 하도(I)'!AR45</f>
        <v>0</v>
      </c>
    </row>
    <row r="63" spans="1:19" x14ac:dyDescent="0.25">
      <c r="A63">
        <v>8</v>
      </c>
      <c r="B63" s="416"/>
      <c r="C63" s="95">
        <v>2</v>
      </c>
      <c r="D63" s="102" t="s">
        <v>121</v>
      </c>
      <c r="E63" s="134">
        <f>'발전사업(A)'!AD46 + '자가소비(B)'!AD46 + 'PPA 사업(C)'!AD46 + '리스사업(D)'!AD46 + '임대사업(E)'!AD46 + '환경부사업(F)'!AD46 + '프로젝트(G)'!AD46 + '협력사 EPC(H)'!AD46 + '기타(Z)'!AD46</f>
        <v>1622.7750000000001</v>
      </c>
      <c r="F63" s="41">
        <f>'발전사업(A)'!AE46 + '자가소비(B)'!AE46 + 'PPA 사업(C)'!AE46 + '리스사업(D)'!AE46 + '임대사업(E)'!AE46 + '환경부사업(F)'!AE46 + '프로젝트(G)'!AE46 + '협력사 EPC(H)'!AE46 + '기타(Z)'!AE46</f>
        <v>1421.8150000000001</v>
      </c>
      <c r="G63" s="41">
        <f>'발전사업(A)'!AF46 + '자가소비(B)'!AF46 + 'PPA 사업(C)'!AF46 + '리스사업(D)'!AF46 + '임대사업(E)'!AF46 + '환경부사업(F)'!AF46 + '프로젝트(G)'!AF46 + '협력사 EPC(H)'!AF46 + '기타(Z)'!AF46</f>
        <v>200.96</v>
      </c>
      <c r="H63" s="41">
        <f>'발전사업(A)'!AG46 + '자가소비(B)'!AG46 + 'PPA 사업(C)'!AG46 + '리스사업(D)'!AG46 + '임대사업(E)'!AG46 + '환경부사업(F)'!AG46 + '프로젝트(G)'!AG46 + '협력사 EPC(H)'!AG46 + '기타(Z)'!AG46</f>
        <v>0</v>
      </c>
      <c r="I63" s="130">
        <f>'발전사업(A)'!AH46 + '자가소비(B)'!AH46 + 'PPA 사업(C)'!AH46 + '리스사업(D)'!AH46 + '임대사업(E)'!AH46 + '환경부사업(F)'!AH46 + '프로젝트(G)'!AH46 + '협력사 EPC(H)'!AH46 + '기타(Z)'!AH46</f>
        <v>0</v>
      </c>
      <c r="J63" s="120">
        <f>'발전사업(A)'!AI46 + '자가소비(B)'!AI46 + 'PPA 사업(C)'!AI46 + '리스사업(D)'!AI46 + '임대사업(E)'!AI46 + '환경부사업(F)'!AI46 + '프로젝트(G)'!AI46 + '협력사 EPC(H)'!AI46 + '기타(Z)'!AI46</f>
        <v>7</v>
      </c>
      <c r="K63" s="188">
        <f>'발전사업(A)'!AJ46 + '자가소비(B)'!AJ46 + 'PPA 사업(C)'!AJ46 + '리스사업(D)'!AJ46 + '임대사업(E)'!AJ46 + '환경부사업(F)'!AJ46 + '프로젝트(G)'!AJ46 + '협력사 EPC(H)'!AJ46 + '기타(Z)'!AJ46</f>
        <v>5</v>
      </c>
      <c r="L63" s="188">
        <f>'발전사업(A)'!AK46 + '자가소비(B)'!AK46 + 'PPA 사업(C)'!AK46 + '리스사업(D)'!AK46 + '임대사업(E)'!AK46 + '환경부사업(F)'!AK46 + '프로젝트(G)'!AK46 + '협력사 EPC(H)'!AK46 + '기타(Z)'!AK46</f>
        <v>2</v>
      </c>
      <c r="M63" s="188">
        <f>'발전사업(A)'!AL46 + '자가소비(B)'!AL46 + 'PPA 사업(C)'!AL46 + '리스사업(D)'!AL46 + '임대사업(E)'!AL46 + '환경부사업(F)'!AL46 + '프로젝트(G)'!AL46 + '협력사 EPC(H)'!AL46 + '기타(Z)'!AL46</f>
        <v>0</v>
      </c>
      <c r="N63" s="189">
        <f>'발전사업(A)'!AM46 + '자가소비(B)'!AM46 + 'PPA 사업(C)'!AM46 + '리스사업(D)'!AM46 + '임대사업(E)'!AM46 + '환경부사업(F)'!AM46 + '프로젝트(G)'!AM46 + '협력사 EPC(H)'!AM46 + '기타(Z)'!AM46</f>
        <v>0</v>
      </c>
      <c r="O63" s="41">
        <f>'발전사업(A)'!AN46 + '자가소비(B)'!AN46 + 'PPA 사업(C)'!AN46 + '리스사업(D)'!AN46 + '임대사업(E)'!AN46 + '환경부사업(F)'!AN46 + '프로젝트(G)'!AN46 + '협력사 EPC(H)'!AN46 + '기타(Z)'!AN46 + '협력사 하도(I)'!AN46</f>
        <v>15.510000000000002</v>
      </c>
      <c r="P63" s="41">
        <f>'발전사업(A)'!AO46 + '자가소비(B)'!AO46 + 'PPA 사업(C)'!AO46 + '리스사업(D)'!AO46 + '임대사업(E)'!AO46 + '환경부사업(F)'!AO46 + '프로젝트(G)'!AO46 + '협력사 EPC(H)'!AO46 + '기타(Z)'!AO46 + '협력사 하도(I)'!AO46</f>
        <v>13.200000000000001</v>
      </c>
      <c r="Q63" s="41">
        <f>'발전사업(A)'!AP46 + '자가소비(B)'!AP46 + 'PPA 사업(C)'!AP46 + '리스사업(D)'!AP46 + '임대사업(E)'!AP46 + '환경부사업(F)'!AP46 + '프로젝트(G)'!AP46 + '협력사 EPC(H)'!AP46 + '기타(Z)'!AP46 + '협력사 하도(I)'!AP46</f>
        <v>2.31</v>
      </c>
      <c r="R63" s="41">
        <f>'발전사업(A)'!AQ46 + '자가소비(B)'!AQ46 + 'PPA 사업(C)'!AQ46 + '리스사업(D)'!AQ46 + '임대사업(E)'!AQ46 + '환경부사업(F)'!AQ46 + '프로젝트(G)'!AQ46 + '협력사 EPC(H)'!AQ46 + '기타(Z)'!AQ46 + '협력사 하도(I)'!AQ46</f>
        <v>0</v>
      </c>
      <c r="S63" s="135">
        <f>'발전사업(A)'!AR46 + '자가소비(B)'!AR46 + 'PPA 사업(C)'!AR46 + '리스사업(D)'!AR46 + '임대사업(E)'!AR46 + '환경부사업(F)'!AR46 + '프로젝트(G)'!AR46 + '협력사 EPC(H)'!AR46 + '기타(Z)'!AR46 + '협력사 하도(I)'!AR46</f>
        <v>0</v>
      </c>
    </row>
    <row r="64" spans="1:19" x14ac:dyDescent="0.25">
      <c r="A64">
        <v>8</v>
      </c>
      <c r="B64" s="416"/>
      <c r="C64" s="95">
        <v>3</v>
      </c>
      <c r="D64" s="102" t="s">
        <v>122</v>
      </c>
      <c r="E64" s="134">
        <f>'발전사업(A)'!AD47 + '자가소비(B)'!AD47 + 'PPA 사업(C)'!AD47 + '리스사업(D)'!AD47 + '임대사업(E)'!AD47 + '환경부사업(F)'!AD47 + '프로젝트(G)'!AD47 + '협력사 EPC(H)'!AD47 + '기타(Z)'!AD47</f>
        <v>2235.52</v>
      </c>
      <c r="F64" s="41">
        <f>'발전사업(A)'!AE47 + '자가소비(B)'!AE47 + 'PPA 사업(C)'!AE47 + '리스사업(D)'!AE47 + '임대사업(E)'!AE47 + '환경부사업(F)'!AE47 + '프로젝트(G)'!AE47 + '협력사 EPC(H)'!AE47 + '기타(Z)'!AE47</f>
        <v>782.08</v>
      </c>
      <c r="G64" s="41">
        <f>'발전사업(A)'!AF47 + '자가소비(B)'!AF47 + 'PPA 사업(C)'!AF47 + '리스사업(D)'!AF47 + '임대사업(E)'!AF47 + '환경부사업(F)'!AF47 + '프로젝트(G)'!AF47 + '협력사 EPC(H)'!AF47 + '기타(Z)'!AF47</f>
        <v>732.16</v>
      </c>
      <c r="H64" s="41">
        <f>'발전사업(A)'!AG47 + '자가소비(B)'!AG47 + 'PPA 사업(C)'!AG47 + '리스사업(D)'!AG47 + '임대사업(E)'!AG47 + '환경부사업(F)'!AG47 + '프로젝트(G)'!AG47 + '협력사 EPC(H)'!AG47 + '기타(Z)'!AG47</f>
        <v>721.28</v>
      </c>
      <c r="I64" s="130">
        <f>'발전사업(A)'!AH47 + '자가소비(B)'!AH47 + 'PPA 사업(C)'!AH47 + '리스사업(D)'!AH47 + '임대사업(E)'!AH47 + '환경부사업(F)'!AH47 + '프로젝트(G)'!AH47 + '협력사 EPC(H)'!AH47 + '기타(Z)'!AH47</f>
        <v>0</v>
      </c>
      <c r="J64" s="120">
        <f>'발전사업(A)'!AI47 + '자가소비(B)'!AI47 + 'PPA 사업(C)'!AI47 + '리스사업(D)'!AI47 + '임대사업(E)'!AI47 + '환경부사업(F)'!AI47 + '프로젝트(G)'!AI47 + '협력사 EPC(H)'!AI47 + '기타(Z)'!AI47</f>
        <v>5</v>
      </c>
      <c r="K64" s="188">
        <f>'발전사업(A)'!AJ47 + '자가소비(B)'!AJ47 + 'PPA 사업(C)'!AJ47 + '리스사업(D)'!AJ47 + '임대사업(E)'!AJ47 + '환경부사업(F)'!AJ47 + '프로젝트(G)'!AJ47 + '협력사 EPC(H)'!AJ47 + '기타(Z)'!AJ47</f>
        <v>3</v>
      </c>
      <c r="L64" s="188">
        <f>'발전사업(A)'!AK47 + '자가소비(B)'!AK47 + 'PPA 사업(C)'!AK47 + '리스사업(D)'!AK47 + '임대사업(E)'!AK47 + '환경부사업(F)'!AK47 + '프로젝트(G)'!AK47 + '협력사 EPC(H)'!AK47 + '기타(Z)'!AK47</f>
        <v>1</v>
      </c>
      <c r="M64" s="188">
        <f>'발전사업(A)'!AL47 + '자가소비(B)'!AL47 + 'PPA 사업(C)'!AL47 + '리스사업(D)'!AL47 + '임대사업(E)'!AL47 + '환경부사업(F)'!AL47 + '프로젝트(G)'!AL47 + '협력사 EPC(H)'!AL47 + '기타(Z)'!AL47</f>
        <v>1</v>
      </c>
      <c r="N64" s="189">
        <f>'발전사업(A)'!AM47 + '자가소비(B)'!AM47 + 'PPA 사업(C)'!AM47 + '리스사업(D)'!AM47 + '임대사업(E)'!AM47 + '환경부사업(F)'!AM47 + '프로젝트(G)'!AM47 + '협력사 EPC(H)'!AM47 + '기타(Z)'!AM47</f>
        <v>0</v>
      </c>
      <c r="O64" s="41">
        <f>'발전사업(A)'!AN47 + '자가소비(B)'!AN47 + 'PPA 사업(C)'!AN47 + '리스사업(D)'!AN47 + '임대사업(E)'!AN47 + '환경부사업(F)'!AN47 + '프로젝트(G)'!AN47 + '협력사 EPC(H)'!AN47 + '기타(Z)'!AN47 + '협력사 하도(I)'!AN47</f>
        <v>20.079999999999998</v>
      </c>
      <c r="P64" s="41">
        <f>'발전사업(A)'!AO47 + '자가소비(B)'!AO47 + 'PPA 사업(C)'!AO47 + '리스사업(D)'!AO47 + '임대사업(E)'!AO47 + '환경부사업(F)'!AO47 + '프로젝트(G)'!AO47 + '협력사 EPC(H)'!AO47 + '기타(Z)'!AO47 + '협력사 하도(I)'!AO47</f>
        <v>6.88</v>
      </c>
      <c r="Q64" s="41">
        <f>'발전사업(A)'!AP47 + '자가소비(B)'!AP47 + 'PPA 사업(C)'!AP47 + '리스사업(D)'!AP47 + '임대사업(E)'!AP47 + '환경부사업(F)'!AP47 + '프로젝트(G)'!AP47 + '협력사 EPC(H)'!AP47 + '기타(Z)'!AP47 + '협력사 하도(I)'!AP47</f>
        <v>7.3</v>
      </c>
      <c r="R64" s="41">
        <f>'발전사업(A)'!AQ47 + '자가소비(B)'!AQ47 + 'PPA 사업(C)'!AQ47 + '리스사업(D)'!AQ47 + '임대사업(E)'!AQ47 + '환경부사업(F)'!AQ47 + '프로젝트(G)'!AQ47 + '협력사 EPC(H)'!AQ47 + '기타(Z)'!AQ47 + '협력사 하도(I)'!AQ47</f>
        <v>5.9</v>
      </c>
      <c r="S64" s="135">
        <f>'발전사업(A)'!AR47 + '자가소비(B)'!AR47 + 'PPA 사업(C)'!AR47 + '리스사업(D)'!AR47 + '임대사업(E)'!AR47 + '환경부사업(F)'!AR47 + '프로젝트(G)'!AR47 + '협력사 EPC(H)'!AR47 + '기타(Z)'!AR47 + '협력사 하도(I)'!AR47</f>
        <v>0</v>
      </c>
    </row>
    <row r="65" spans="1:19" x14ac:dyDescent="0.25">
      <c r="A65">
        <v>8</v>
      </c>
      <c r="B65" s="416"/>
      <c r="C65" s="95">
        <v>4</v>
      </c>
      <c r="D65" s="102" t="s">
        <v>123</v>
      </c>
      <c r="E65" s="134">
        <f>'발전사업(A)'!AD48 + '자가소비(B)'!AD48 + 'PPA 사업(C)'!AD48 + '리스사업(D)'!AD48 + '임대사업(E)'!AD48 + '환경부사업(F)'!AD48 + '프로젝트(G)'!AD48 + '협력사 EPC(H)'!AD48 + '기타(Z)'!AD48</f>
        <v>3035.74</v>
      </c>
      <c r="F65" s="41">
        <f>'발전사업(A)'!AE48 + '자가소비(B)'!AE48 + 'PPA 사업(C)'!AE48 + '리스사업(D)'!AE48 + '임대사업(E)'!AE48 + '환경부사업(F)'!AE48 + '프로젝트(G)'!AE48 + '협력사 EPC(H)'!AE48 + '기타(Z)'!AE48</f>
        <v>909.44</v>
      </c>
      <c r="G65" s="41">
        <f>'발전사업(A)'!AF48 + '자가소비(B)'!AF48 + 'PPA 사업(C)'!AF48 + '리스사업(D)'!AF48 + '임대사업(E)'!AF48 + '환경부사업(F)'!AF48 + '프로젝트(G)'!AF48 + '협력사 EPC(H)'!AF48 + '기타(Z)'!AF48</f>
        <v>530.55999999999995</v>
      </c>
      <c r="H65" s="41">
        <f>'발전사업(A)'!AG48 + '자가소비(B)'!AG48 + 'PPA 사업(C)'!AG48 + '리스사업(D)'!AG48 + '임대사업(E)'!AG48 + '환경부사업(F)'!AG48 + '프로젝트(G)'!AG48 + '협력사 EPC(H)'!AG48 + '기타(Z)'!AG48</f>
        <v>1595.74</v>
      </c>
      <c r="I65" s="130">
        <f>'발전사업(A)'!AH48 + '자가소비(B)'!AH48 + 'PPA 사업(C)'!AH48 + '리스사업(D)'!AH48 + '임대사업(E)'!AH48 + '환경부사업(F)'!AH48 + '프로젝트(G)'!AH48 + '협력사 EPC(H)'!AH48 + '기타(Z)'!AH48</f>
        <v>0</v>
      </c>
      <c r="J65" s="120">
        <f>'발전사업(A)'!AI48 + '자가소비(B)'!AI48 + 'PPA 사업(C)'!AI48 + '리스사업(D)'!AI48 + '임대사업(E)'!AI48 + '환경부사업(F)'!AI48 + '프로젝트(G)'!AI48 + '협력사 EPC(H)'!AI48 + '기타(Z)'!AI48</f>
        <v>8</v>
      </c>
      <c r="K65" s="188">
        <f>'발전사업(A)'!AJ48 + '자가소비(B)'!AJ48 + 'PPA 사업(C)'!AJ48 + '리스사업(D)'!AJ48 + '임대사업(E)'!AJ48 + '환경부사업(F)'!AJ48 + '프로젝트(G)'!AJ48 + '협력사 EPC(H)'!AJ48 + '기타(Z)'!AJ48</f>
        <v>3</v>
      </c>
      <c r="L65" s="188">
        <f>'발전사업(A)'!AK48 + '자가소비(B)'!AK48 + 'PPA 사업(C)'!AK48 + '리스사업(D)'!AK48 + '임대사업(E)'!AK48 + '환경부사업(F)'!AK48 + '프로젝트(G)'!AK48 + '협력사 EPC(H)'!AK48 + '기타(Z)'!AK48</f>
        <v>2</v>
      </c>
      <c r="M65" s="188">
        <f>'발전사업(A)'!AL48 + '자가소비(B)'!AL48 + 'PPA 사업(C)'!AL48 + '리스사업(D)'!AL48 + '임대사업(E)'!AL48 + '환경부사업(F)'!AL48 + '프로젝트(G)'!AL48 + '협력사 EPC(H)'!AL48 + '기타(Z)'!AL48</f>
        <v>3</v>
      </c>
      <c r="N65" s="189">
        <f>'발전사업(A)'!AM48 + '자가소비(B)'!AM48 + 'PPA 사업(C)'!AM48 + '리스사업(D)'!AM48 + '임대사업(E)'!AM48 + '환경부사업(F)'!AM48 + '프로젝트(G)'!AM48 + '협력사 EPC(H)'!AM48 + '기타(Z)'!AM48</f>
        <v>0</v>
      </c>
      <c r="O65" s="41">
        <f>'발전사업(A)'!AN48 + '자가소비(B)'!AN48 + 'PPA 사업(C)'!AN48 + '리스사업(D)'!AN48 + '임대사업(E)'!AN48 + '환경부사업(F)'!AN48 + '프로젝트(G)'!AN48 + '협력사 EPC(H)'!AN48 + '기타(Z)'!AN48 + '협력사 하도(I)'!AN48</f>
        <v>32.144999999999996</v>
      </c>
      <c r="P65" s="41">
        <f>'발전사업(A)'!AO48 + '자가소비(B)'!AO48 + 'PPA 사업(C)'!AO48 + '리스사업(D)'!AO48 + '임대사업(E)'!AO48 + '환경부사업(F)'!AO48 + '프로젝트(G)'!AO48 + '협력사 EPC(H)'!AO48 + '기타(Z)'!AO48 + '협력사 하도(I)'!AO48</f>
        <v>8.0399999999999991</v>
      </c>
      <c r="Q65" s="41">
        <f>'발전사업(A)'!AP48 + '자가소비(B)'!AP48 + 'PPA 사업(C)'!AP48 + '리스사업(D)'!AP48 + '임대사업(E)'!AP48 + '환경부사업(F)'!AP48 + '프로젝트(G)'!AP48 + '협력사 EPC(H)'!AP48 + '기타(Z)'!AP48 + '협력사 하도(I)'!AP48</f>
        <v>5.3000000000000007</v>
      </c>
      <c r="R65" s="41">
        <f>'발전사업(A)'!AQ48 + '자가소비(B)'!AQ48 + 'PPA 사업(C)'!AQ48 + '리스사업(D)'!AQ48 + '임대사업(E)'!AQ48 + '환경부사업(F)'!AQ48 + '프로젝트(G)'!AQ48 + '협력사 EPC(H)'!AQ48 + '기타(Z)'!AQ48 + '협력사 하도(I)'!AQ48</f>
        <v>18.805</v>
      </c>
      <c r="S65" s="135">
        <f>'발전사업(A)'!AR48 + '자가소비(B)'!AR48 + 'PPA 사업(C)'!AR48 + '리스사업(D)'!AR48 + '임대사업(E)'!AR48 + '환경부사업(F)'!AR48 + '프로젝트(G)'!AR48 + '협력사 EPC(H)'!AR48 + '기타(Z)'!AR48 + '협력사 하도(I)'!AR48</f>
        <v>0</v>
      </c>
    </row>
    <row r="66" spans="1:19" x14ac:dyDescent="0.25">
      <c r="A66">
        <v>8</v>
      </c>
      <c r="B66" s="416"/>
      <c r="C66" s="96">
        <v>5</v>
      </c>
      <c r="D66" s="105"/>
      <c r="E66" s="134">
        <f>'발전사업(A)'!AD49 + '자가소비(B)'!AD49 + 'PPA 사업(C)'!AD49 + '리스사업(D)'!AD49 + '임대사업(E)'!AD49 + '환경부사업(F)'!AD49 + '프로젝트(G)'!AD49 + '협력사 EPC(H)'!AD49 + '기타(Z)'!AD49</f>
        <v>0</v>
      </c>
      <c r="F66" s="41">
        <f>'발전사업(A)'!AE49 + '자가소비(B)'!AE49 + 'PPA 사업(C)'!AE49 + '리스사업(D)'!AE49 + '임대사업(E)'!AE49 + '환경부사업(F)'!AE49 + '프로젝트(G)'!AE49 + '협력사 EPC(H)'!AE49 + '기타(Z)'!AE49</f>
        <v>0</v>
      </c>
      <c r="G66" s="41">
        <f>'발전사업(A)'!AF49 + '자가소비(B)'!AF49 + 'PPA 사업(C)'!AF49 + '리스사업(D)'!AF49 + '임대사업(E)'!AF49 + '환경부사업(F)'!AF49 + '프로젝트(G)'!AF49 + '협력사 EPC(H)'!AF49 + '기타(Z)'!AF49</f>
        <v>0</v>
      </c>
      <c r="H66" s="41">
        <f>'발전사업(A)'!AG49 + '자가소비(B)'!AG49 + 'PPA 사업(C)'!AG49 + '리스사업(D)'!AG49 + '임대사업(E)'!AG49 + '환경부사업(F)'!AG49 + '프로젝트(G)'!AG49 + '협력사 EPC(H)'!AG49 + '기타(Z)'!AG49</f>
        <v>0</v>
      </c>
      <c r="I66" s="130">
        <f>'발전사업(A)'!AH49 + '자가소비(B)'!AH49 + 'PPA 사업(C)'!AH49 + '리스사업(D)'!AH49 + '임대사업(E)'!AH49 + '환경부사업(F)'!AH49 + '프로젝트(G)'!AH49 + '협력사 EPC(H)'!AH49 + '기타(Z)'!AH49</f>
        <v>0</v>
      </c>
      <c r="J66" s="120">
        <f>'발전사업(A)'!AI49 + '자가소비(B)'!AI49 + 'PPA 사업(C)'!AI49 + '리스사업(D)'!AI49 + '임대사업(E)'!AI49 + '환경부사업(F)'!AI49 + '프로젝트(G)'!AI49 + '협력사 EPC(H)'!AI49 + '기타(Z)'!AI49</f>
        <v>0</v>
      </c>
      <c r="K66" s="188">
        <f>'발전사업(A)'!AJ49 + '자가소비(B)'!AJ49 + 'PPA 사업(C)'!AJ49 + '리스사업(D)'!AJ49 + '임대사업(E)'!AJ49 + '환경부사업(F)'!AJ49 + '프로젝트(G)'!AJ49 + '협력사 EPC(H)'!AJ49 + '기타(Z)'!AJ49</f>
        <v>0</v>
      </c>
      <c r="L66" s="188">
        <f>'발전사업(A)'!AK49 + '자가소비(B)'!AK49 + 'PPA 사업(C)'!AK49 + '리스사업(D)'!AK49 + '임대사업(E)'!AK49 + '환경부사업(F)'!AK49 + '프로젝트(G)'!AK49 + '협력사 EPC(H)'!AK49 + '기타(Z)'!AK49</f>
        <v>0</v>
      </c>
      <c r="M66" s="188">
        <f>'발전사업(A)'!AL49 + '자가소비(B)'!AL49 + 'PPA 사업(C)'!AL49 + '리스사업(D)'!AL49 + '임대사업(E)'!AL49 + '환경부사업(F)'!AL49 + '프로젝트(G)'!AL49 + '협력사 EPC(H)'!AL49 + '기타(Z)'!AL49</f>
        <v>0</v>
      </c>
      <c r="N66" s="189">
        <f>'발전사업(A)'!AM49 + '자가소비(B)'!AM49 + 'PPA 사업(C)'!AM49 + '리스사업(D)'!AM49 + '임대사업(E)'!AM49 + '환경부사업(F)'!AM49 + '프로젝트(G)'!AM49 + '협력사 EPC(H)'!AM49 + '기타(Z)'!AM49</f>
        <v>0</v>
      </c>
      <c r="O66" s="41">
        <f>'발전사업(A)'!AN49 + '자가소비(B)'!AN49 + 'PPA 사업(C)'!AN49 + '리스사업(D)'!AN49 + '임대사업(E)'!AN49 + '환경부사업(F)'!AN49 + '프로젝트(G)'!AN49 + '협력사 EPC(H)'!AN49 + '기타(Z)'!AN49 + '협력사 하도(I)'!AN49</f>
        <v>0</v>
      </c>
      <c r="P66" s="41">
        <f>'발전사업(A)'!AO49 + '자가소비(B)'!AO49 + 'PPA 사업(C)'!AO49 + '리스사업(D)'!AO49 + '임대사업(E)'!AO49 + '환경부사업(F)'!AO49 + '프로젝트(G)'!AO49 + '협력사 EPC(H)'!AO49 + '기타(Z)'!AO49 + '협력사 하도(I)'!AO49</f>
        <v>0</v>
      </c>
      <c r="Q66" s="41">
        <f>'발전사업(A)'!AP49 + '자가소비(B)'!AP49 + 'PPA 사업(C)'!AP49 + '리스사업(D)'!AP49 + '임대사업(E)'!AP49 + '환경부사업(F)'!AP49 + '프로젝트(G)'!AP49 + '협력사 EPC(H)'!AP49 + '기타(Z)'!AP49 + '협력사 하도(I)'!AP49</f>
        <v>0</v>
      </c>
      <c r="R66" s="41">
        <f>'발전사업(A)'!AQ49 + '자가소비(B)'!AQ49 + 'PPA 사업(C)'!AQ49 + '리스사업(D)'!AQ49 + '임대사업(E)'!AQ49 + '환경부사업(F)'!AQ49 + '프로젝트(G)'!AQ49 + '협력사 EPC(H)'!AQ49 + '기타(Z)'!AQ49 + '협력사 하도(I)'!AQ49</f>
        <v>0</v>
      </c>
      <c r="S66" s="135">
        <f>'발전사업(A)'!AR49 + '자가소비(B)'!AR49 + 'PPA 사업(C)'!AR49 + '리스사업(D)'!AR49 + '임대사업(E)'!AR49 + '환경부사업(F)'!AR49 + '프로젝트(G)'!AR49 + '협력사 EPC(H)'!AR49 + '기타(Z)'!AR49 + '협력사 하도(I)'!AR49</f>
        <v>0</v>
      </c>
    </row>
    <row r="67" spans="1:19" ht="14.25" thickBot="1" x14ac:dyDescent="0.3">
      <c r="A67">
        <v>8</v>
      </c>
      <c r="B67" s="417"/>
      <c r="C67" s="97" t="s">
        <v>3</v>
      </c>
      <c r="D67" s="106"/>
      <c r="E67" s="146">
        <f>'발전사업(A)'!AD50 + '자가소비(B)'!AD50 + 'PPA 사업(C)'!AD50 + '리스사업(D)'!AD50 + '임대사업(E)'!AD50 + '환경부사업(F)'!AD50 + '프로젝트(G)'!AD50 + '협력사 EPC(H)'!AD50 + '기타(Z)'!AD50</f>
        <v>8754.5149999999994</v>
      </c>
      <c r="F67" s="147">
        <f>'발전사업(A)'!AE50 + '자가소비(B)'!AE50 + 'PPA 사업(C)'!AE50 + '리스사업(D)'!AE50 + '임대사업(E)'!AE50 + '환경부사업(F)'!AE50 + '프로젝트(G)'!AE50 + '협력사 EPC(H)'!AE50 + '기타(Z)'!AE50</f>
        <v>4455.415</v>
      </c>
      <c r="G67" s="147">
        <f>'발전사업(A)'!AF50 + '자가소비(B)'!AF50 + 'PPA 사업(C)'!AF50 + '리스사업(D)'!AF50 + '임대사업(E)'!AF50 + '환경부사업(F)'!AF50 + '프로젝트(G)'!AF50 + '협력사 EPC(H)'!AF50 + '기타(Z)'!AF50</f>
        <v>1982.08</v>
      </c>
      <c r="H67" s="147">
        <f>'발전사업(A)'!AG50 + '자가소비(B)'!AG50 + 'PPA 사업(C)'!AG50 + '리스사업(D)'!AG50 + '임대사업(E)'!AG50 + '환경부사업(F)'!AG50 + '프로젝트(G)'!AG50 + '협력사 EPC(H)'!AG50 + '기타(Z)'!AG50</f>
        <v>2317.02</v>
      </c>
      <c r="I67" s="148">
        <f>'발전사업(A)'!AH50 + '자가소비(B)'!AH50 + 'PPA 사업(C)'!AH50 + '리스사업(D)'!AH50 + '임대사업(E)'!AH50 + '환경부사업(F)'!AH50 + '프로젝트(G)'!AH50 + '협력사 EPC(H)'!AH50 + '기타(Z)'!AH50</f>
        <v>0</v>
      </c>
      <c r="J67" s="196">
        <f>'발전사업(A)'!AI50 + '자가소비(B)'!AI50 + 'PPA 사업(C)'!AI50 + '리스사업(D)'!AI50 + '임대사업(E)'!AI50 + '환경부사업(F)'!AI50 + '프로젝트(G)'!AI50 + '협력사 EPC(H)'!AI50 + '기타(Z)'!AI50</f>
        <v>27</v>
      </c>
      <c r="K67" s="197">
        <f>'발전사업(A)'!AJ50 + '자가소비(B)'!AJ50 + 'PPA 사업(C)'!AJ50 + '리스사업(D)'!AJ50 + '임대사업(E)'!AJ50 + '환경부사업(F)'!AJ50 + '프로젝트(G)'!AJ50 + '협력사 EPC(H)'!AJ50 + '기타(Z)'!AJ50</f>
        <v>16</v>
      </c>
      <c r="L67" s="197">
        <f>'발전사업(A)'!AK50 + '자가소비(B)'!AK50 + 'PPA 사업(C)'!AK50 + '리스사업(D)'!AK50 + '임대사업(E)'!AK50 + '환경부사업(F)'!AK50 + '프로젝트(G)'!AK50 + '협력사 EPC(H)'!AK50 + '기타(Z)'!AK50</f>
        <v>7</v>
      </c>
      <c r="M67" s="197">
        <f>'발전사업(A)'!AL50 + '자가소비(B)'!AL50 + 'PPA 사업(C)'!AL50 + '리스사업(D)'!AL50 + '임대사업(E)'!AL50 + '환경부사업(F)'!AL50 + '프로젝트(G)'!AL50 + '협력사 EPC(H)'!AL50 + '기타(Z)'!AL50</f>
        <v>4</v>
      </c>
      <c r="N67" s="198">
        <f>'발전사업(A)'!AM50 + '자가소비(B)'!AM50 + 'PPA 사업(C)'!AM50 + '리스사업(D)'!AM50 + '임대사업(E)'!AM50 + '환경부사업(F)'!AM50 + '프로젝트(G)'!AM50 + '협력사 EPC(H)'!AM50 + '기타(Z)'!AM50</f>
        <v>0</v>
      </c>
      <c r="O67" s="172">
        <f>'발전사업(A)'!AN50 + '자가소비(B)'!AN50 + 'PPA 사업(C)'!AN50 + '리스사업(D)'!AN50 + '임대사업(E)'!AN50 + '환경부사업(F)'!AN50 + '프로젝트(G)'!AN50 + '협력사 EPC(H)'!AN50 + '기타(Z)'!AN50 + '협력사 하도(I)'!AN50</f>
        <v>84.619</v>
      </c>
      <c r="P67" s="147">
        <f>'발전사업(A)'!AO50 + '자가소비(B)'!AO50 + 'PPA 사업(C)'!AO50 + '리스사업(D)'!AO50 + '임대사업(E)'!AO50 + '환경부사업(F)'!AO50 + '프로젝트(G)'!AO50 + '협력사 EPC(H)'!AO50 + '기타(Z)'!AO50 + '협력사 하도(I)'!AO50</f>
        <v>40.013999999999996</v>
      </c>
      <c r="Q67" s="147">
        <f>'발전사업(A)'!AP50 + '자가소비(B)'!AP50 + 'PPA 사업(C)'!AP50 + '리스사업(D)'!AP50 + '임대사업(E)'!AP50 + '환경부사업(F)'!AP50 + '프로젝트(G)'!AP50 + '협력사 EPC(H)'!AP50 + '기타(Z)'!AP50 + '협력사 하도(I)'!AP50</f>
        <v>19.900000000000002</v>
      </c>
      <c r="R67" s="147">
        <f>'발전사업(A)'!AQ50 + '자가소비(B)'!AQ50 + 'PPA 사업(C)'!AQ50 + '리스사업(D)'!AQ50 + '임대사업(E)'!AQ50 + '환경부사업(F)'!AQ50 + '프로젝트(G)'!AQ50 + '협력사 EPC(H)'!AQ50 + '기타(Z)'!AQ50 + '협력사 하도(I)'!AQ50</f>
        <v>24.704999999999998</v>
      </c>
      <c r="S67" s="149">
        <f>'발전사업(A)'!AR50 + '자가소비(B)'!AR50 + 'PPA 사업(C)'!AR50 + '리스사업(D)'!AR50 + '임대사업(E)'!AR50 + '환경부사업(F)'!AR50 + '프로젝트(G)'!AR50 + '협력사 EPC(H)'!AR50 + '기타(Z)'!AR50 + '협력사 하도(I)'!AR50</f>
        <v>0</v>
      </c>
    </row>
    <row r="68" spans="1:19" x14ac:dyDescent="0.25">
      <c r="A68">
        <v>9</v>
      </c>
      <c r="B68" s="415">
        <v>9</v>
      </c>
      <c r="C68" s="94">
        <v>1</v>
      </c>
      <c r="D68" s="100" t="s">
        <v>124</v>
      </c>
      <c r="E68" s="41">
        <f>'발전사업(A)'!AD51 + '자가소비(B)'!AD51 + 'PPA 사업(C)'!AD51 + '리스사업(D)'!AD51 + '임대사업(E)'!AD51 + '환경부사업(F)'!AD51 + '프로젝트(G)'!AD51 + '협력사 EPC(H)'!AD51 + '기타(Z)'!AD51</f>
        <v>1804.16</v>
      </c>
      <c r="F68" s="41">
        <f>'발전사업(A)'!AE51 + '자가소비(B)'!AE51 + 'PPA 사업(C)'!AE51 + '리스사업(D)'!AE51 + '임대사업(E)'!AE51 + '환경부사업(F)'!AE51 + '프로젝트(G)'!AE51 + '협력사 EPC(H)'!AE51 + '기타(Z)'!AE51</f>
        <v>886.40000000000009</v>
      </c>
      <c r="G68" s="41">
        <f>'발전사업(A)'!AF51 + '자가소비(B)'!AF51 + 'PPA 사업(C)'!AF51 + '리스사업(D)'!AF51 + '임대사업(E)'!AF51 + '환경부사업(F)'!AF51 + '프로젝트(G)'!AF51 + '협력사 EPC(H)'!AF51 + '기타(Z)'!AF51</f>
        <v>468.48</v>
      </c>
      <c r="H68" s="41">
        <f>'발전사업(A)'!AG51 + '자가소비(B)'!AG51 + 'PPA 사업(C)'!AG51 + '리스사업(D)'!AG51 + '임대사업(E)'!AG51 + '환경부사업(F)'!AG51 + '프로젝트(G)'!AG51 + '협력사 EPC(H)'!AG51 + '기타(Z)'!AG51</f>
        <v>449.28</v>
      </c>
      <c r="I68" s="130">
        <f>'발전사업(A)'!AH51 + '자가소비(B)'!AH51 + 'PPA 사업(C)'!AH51 + '리스사업(D)'!AH51 + '임대사업(E)'!AH51 + '환경부사업(F)'!AH51 + '프로젝트(G)'!AH51 + '협력사 EPC(H)'!AH51 + '기타(Z)'!AH51</f>
        <v>0</v>
      </c>
      <c r="J68" s="120">
        <f>'발전사업(A)'!AI51 + '자가소비(B)'!AI51 + 'PPA 사업(C)'!AI51 + '리스사업(D)'!AI51 + '임대사업(E)'!AI51 + '환경부사업(F)'!AI51 + '프로젝트(G)'!AI51 + '협력사 EPC(H)'!AI51 + '기타(Z)'!AI51</f>
        <v>9</v>
      </c>
      <c r="K68" s="188">
        <f>'발전사업(A)'!AJ51 + '자가소비(B)'!AJ51 + 'PPA 사업(C)'!AJ51 + '리스사업(D)'!AJ51 + '임대사업(E)'!AJ51 + '환경부사업(F)'!AJ51 + '프로젝트(G)'!AJ51 + '협력사 EPC(H)'!AJ51 + '기타(Z)'!AJ51</f>
        <v>6</v>
      </c>
      <c r="L68" s="188">
        <f>'발전사업(A)'!AK51 + '자가소비(B)'!AK51 + 'PPA 사업(C)'!AK51 + '리스사업(D)'!AK51 + '임대사업(E)'!AK51 + '환경부사업(F)'!AK51 + '프로젝트(G)'!AK51 + '협력사 EPC(H)'!AK51 + '기타(Z)'!AK51</f>
        <v>2</v>
      </c>
      <c r="M68" s="188">
        <f>'발전사업(A)'!AL51 + '자가소비(B)'!AL51 + 'PPA 사업(C)'!AL51 + '리스사업(D)'!AL51 + '임대사업(E)'!AL51 + '환경부사업(F)'!AL51 + '프로젝트(G)'!AL51 + '협력사 EPC(H)'!AL51 + '기타(Z)'!AL51</f>
        <v>1</v>
      </c>
      <c r="N68" s="189">
        <f>'발전사업(A)'!AM51 + '자가소비(B)'!AM51 + 'PPA 사업(C)'!AM51 + '리스사업(D)'!AM51 + '임대사업(E)'!AM51 + '환경부사업(F)'!AM51 + '프로젝트(G)'!AM51 + '협력사 EPC(H)'!AM51 + '기타(Z)'!AM51</f>
        <v>0</v>
      </c>
      <c r="O68" s="41">
        <f>'발전사업(A)'!AN51 + '자가소비(B)'!AN51 + 'PPA 사업(C)'!AN51 + '리스사업(D)'!AN51 + '임대사업(E)'!AN51 + '환경부사업(F)'!AN51 + '프로젝트(G)'!AN51 + '협력사 EPC(H)'!AN51 + '기타(Z)'!AN51 + '협력사 하도(I)'!AN51</f>
        <v>16.05</v>
      </c>
      <c r="P68" s="41">
        <f>'발전사업(A)'!AO51 + '자가소비(B)'!AO51 + 'PPA 사업(C)'!AO51 + '리스사업(D)'!AO51 + '임대사업(E)'!AO51 + '환경부사업(F)'!AO51 + '프로젝트(G)'!AO51 + '협력사 EPC(H)'!AO51 + '기타(Z)'!AO51 + '협력사 하도(I)'!AO51</f>
        <v>7.93</v>
      </c>
      <c r="Q68" s="41">
        <f>'발전사업(A)'!AP51 + '자가소비(B)'!AP51 + 'PPA 사업(C)'!AP51 + '리스사업(D)'!AP51 + '임대사업(E)'!AP51 + '환경부사업(F)'!AP51 + '프로젝트(G)'!AP51 + '협력사 EPC(H)'!AP51 + '기타(Z)'!AP51 + '협력사 하도(I)'!AP51</f>
        <v>4.34</v>
      </c>
      <c r="R68" s="41">
        <f>'발전사업(A)'!AQ51 + '자가소비(B)'!AQ51 + 'PPA 사업(C)'!AQ51 + '리스사업(D)'!AQ51 + '임대사업(E)'!AQ51 + '환경부사업(F)'!AQ51 + '프로젝트(G)'!AQ51 + '협력사 EPC(H)'!AQ51 + '기타(Z)'!AQ51 + '협력사 하도(I)'!AQ51</f>
        <v>3.7800000000000002</v>
      </c>
      <c r="S68" s="135">
        <f>'발전사업(A)'!AR51 + '자가소비(B)'!AR51 + 'PPA 사업(C)'!AR51 + '리스사업(D)'!AR51 + '임대사업(E)'!AR51 + '환경부사업(F)'!AR51 + '프로젝트(G)'!AR51 + '협력사 EPC(H)'!AR51 + '기타(Z)'!AR51 + '협력사 하도(I)'!AR51</f>
        <v>0</v>
      </c>
    </row>
    <row r="69" spans="1:19" x14ac:dyDescent="0.25">
      <c r="A69">
        <v>9</v>
      </c>
      <c r="B69" s="416"/>
      <c r="C69" s="95">
        <v>2</v>
      </c>
      <c r="D69" s="102" t="s">
        <v>125</v>
      </c>
      <c r="E69" s="41">
        <f>'발전사업(A)'!AD52 + '자가소비(B)'!AD52 + 'PPA 사업(C)'!AD52 + '리스사업(D)'!AD52 + '임대사업(E)'!AD52 + '환경부사업(F)'!AD52 + '프로젝트(G)'!AD52 + '협력사 EPC(H)'!AD52 + '기타(Z)'!AD52</f>
        <v>2063.06</v>
      </c>
      <c r="F69" s="41">
        <f>'발전사업(A)'!AE52 + '자가소비(B)'!AE52 + 'PPA 사업(C)'!AE52 + '리스사업(D)'!AE52 + '임대사업(E)'!AE52 + '환경부사업(F)'!AE52 + '프로젝트(G)'!AE52 + '협력사 EPC(H)'!AE52 + '기타(Z)'!AE52</f>
        <v>1279.3600000000001</v>
      </c>
      <c r="G69" s="41">
        <f>'발전사업(A)'!AF52 + '자가소비(B)'!AF52 + 'PPA 사업(C)'!AF52 + '리스사업(D)'!AF52 + '임대사업(E)'!AF52 + '환경부사업(F)'!AF52 + '프로젝트(G)'!AF52 + '협력사 EPC(H)'!AF52 + '기타(Z)'!AF52</f>
        <v>783.7</v>
      </c>
      <c r="H69" s="41">
        <f>'발전사업(A)'!AG52 + '자가소비(B)'!AG52 + 'PPA 사업(C)'!AG52 + '리스사업(D)'!AG52 + '임대사업(E)'!AG52 + '환경부사업(F)'!AG52 + '프로젝트(G)'!AG52 + '협력사 EPC(H)'!AG52 + '기타(Z)'!AG52</f>
        <v>0</v>
      </c>
      <c r="I69" s="130">
        <f>'발전사업(A)'!AH52 + '자가소비(B)'!AH52 + 'PPA 사업(C)'!AH52 + '리스사업(D)'!AH52 + '임대사업(E)'!AH52 + '환경부사업(F)'!AH52 + '프로젝트(G)'!AH52 + '협력사 EPC(H)'!AH52 + '기타(Z)'!AH52</f>
        <v>0</v>
      </c>
      <c r="J69" s="120">
        <f>'발전사업(A)'!AI52 + '자가소비(B)'!AI52 + 'PPA 사업(C)'!AI52 + '리스사업(D)'!AI52 + '임대사업(E)'!AI52 + '환경부사업(F)'!AI52 + '프로젝트(G)'!AI52 + '협력사 EPC(H)'!AI52 + '기타(Z)'!AI52</f>
        <v>12</v>
      </c>
      <c r="K69" s="188">
        <f>'발전사업(A)'!AJ52 + '자가소비(B)'!AJ52 + 'PPA 사업(C)'!AJ52 + '리스사업(D)'!AJ52 + '임대사업(E)'!AJ52 + '환경부사업(F)'!AJ52 + '프로젝트(G)'!AJ52 + '협력사 EPC(H)'!AJ52 + '기타(Z)'!AJ52</f>
        <v>8</v>
      </c>
      <c r="L69" s="188">
        <f>'발전사업(A)'!AK52 + '자가소비(B)'!AK52 + 'PPA 사업(C)'!AK52 + '리스사업(D)'!AK52 + '임대사업(E)'!AK52 + '환경부사업(F)'!AK52 + '프로젝트(G)'!AK52 + '협력사 EPC(H)'!AK52 + '기타(Z)'!AK52</f>
        <v>4</v>
      </c>
      <c r="M69" s="188">
        <f>'발전사업(A)'!AL52 + '자가소비(B)'!AL52 + 'PPA 사업(C)'!AL52 + '리스사업(D)'!AL52 + '임대사업(E)'!AL52 + '환경부사업(F)'!AL52 + '프로젝트(G)'!AL52 + '협력사 EPC(H)'!AL52 + '기타(Z)'!AL52</f>
        <v>0</v>
      </c>
      <c r="N69" s="189">
        <f>'발전사업(A)'!AM52 + '자가소비(B)'!AM52 + 'PPA 사업(C)'!AM52 + '리스사업(D)'!AM52 + '임대사업(E)'!AM52 + '환경부사업(F)'!AM52 + '프로젝트(G)'!AM52 + '협력사 EPC(H)'!AM52 + '기타(Z)'!AM52</f>
        <v>0</v>
      </c>
      <c r="O69" s="41">
        <f>'발전사업(A)'!AN52 + '자가소비(B)'!AN52 + 'PPA 사업(C)'!AN52 + '리스사업(D)'!AN52 + '임대사업(E)'!AN52 + '환경부사업(F)'!AN52 + '프로젝트(G)'!AN52 + '협력사 EPC(H)'!AN52 + '기타(Z)'!AN52 + '협력사 하도(I)'!AN52</f>
        <v>19.350000000000001</v>
      </c>
      <c r="P69" s="41">
        <f>'발전사업(A)'!AO52 + '자가소비(B)'!AO52 + 'PPA 사업(C)'!AO52 + '리스사업(D)'!AO52 + '임대사업(E)'!AO52 + '환경부사업(F)'!AO52 + '프로젝트(G)'!AO52 + '협력사 EPC(H)'!AO52 + '기타(Z)'!AO52 + '협력사 하도(I)'!AO52</f>
        <v>12.06</v>
      </c>
      <c r="Q69" s="41">
        <f>'발전사업(A)'!AP52 + '자가소비(B)'!AP52 + 'PPA 사업(C)'!AP52 + '리스사업(D)'!AP52 + '임대사업(E)'!AP52 + '환경부사업(F)'!AP52 + '프로젝트(G)'!AP52 + '협력사 EPC(H)'!AP52 + '기타(Z)'!AP52 + '협력사 하도(I)'!AP52</f>
        <v>7.2899999999999991</v>
      </c>
      <c r="R69" s="41">
        <f>'발전사업(A)'!AQ52 + '자가소비(B)'!AQ52 + 'PPA 사업(C)'!AQ52 + '리스사업(D)'!AQ52 + '임대사업(E)'!AQ52 + '환경부사업(F)'!AQ52 + '프로젝트(G)'!AQ52 + '협력사 EPC(H)'!AQ52 + '기타(Z)'!AQ52 + '협력사 하도(I)'!AQ52</f>
        <v>0</v>
      </c>
      <c r="S69" s="135">
        <f>'발전사업(A)'!AR52 + '자가소비(B)'!AR52 + 'PPA 사업(C)'!AR52 + '리스사업(D)'!AR52 + '임대사업(E)'!AR52 + '환경부사업(F)'!AR52 + '프로젝트(G)'!AR52 + '협력사 EPC(H)'!AR52 + '기타(Z)'!AR52 + '협력사 하도(I)'!AR52</f>
        <v>0</v>
      </c>
    </row>
    <row r="70" spans="1:19" x14ac:dyDescent="0.25">
      <c r="A70">
        <v>9</v>
      </c>
      <c r="B70" s="416"/>
      <c r="C70" s="95">
        <v>3</v>
      </c>
      <c r="D70" s="102" t="s">
        <v>126</v>
      </c>
      <c r="E70" s="41">
        <f>'발전사업(A)'!AD53 + '자가소비(B)'!AD53 + 'PPA 사업(C)'!AD53 + '리스사업(D)'!AD53 + '임대사업(E)'!AD53 + '환경부사업(F)'!AD53 + '프로젝트(G)'!AD53 + '협력사 EPC(H)'!AD53 + '기타(Z)'!AD53</f>
        <v>2878.6400000000003</v>
      </c>
      <c r="F70" s="41">
        <f>'발전사업(A)'!AE53 + '자가소비(B)'!AE53 + 'PPA 사업(C)'!AE53 + '리스사업(D)'!AE53 + '임대사업(E)'!AE53 + '환경부사업(F)'!AE53 + '프로젝트(G)'!AE53 + '협력사 EPC(H)'!AE53 + '기타(Z)'!AE53</f>
        <v>1900.8000000000002</v>
      </c>
      <c r="G70" s="41">
        <f>'발전사업(A)'!AF53 + '자가소비(B)'!AF53 + 'PPA 사업(C)'!AF53 + '리스사업(D)'!AF53 + '임대사업(E)'!AF53 + '환경부사업(F)'!AF53 + '프로젝트(G)'!AF53 + '협력사 EPC(H)'!AF53 + '기타(Z)'!AF53</f>
        <v>901.04</v>
      </c>
      <c r="H70" s="41">
        <f>'발전사업(A)'!AG53 + '자가소비(B)'!AG53 + 'PPA 사업(C)'!AG53 + '리스사업(D)'!AG53 + '임대사업(E)'!AG53 + '환경부사업(F)'!AG53 + '프로젝트(G)'!AG53 + '협력사 EPC(H)'!AG53 + '기타(Z)'!AG53</f>
        <v>76.8</v>
      </c>
      <c r="I70" s="130">
        <f>'발전사업(A)'!AH53 + '자가소비(B)'!AH53 + 'PPA 사업(C)'!AH53 + '리스사업(D)'!AH53 + '임대사업(E)'!AH53 + '환경부사업(F)'!AH53 + '프로젝트(G)'!AH53 + '협력사 EPC(H)'!AH53 + '기타(Z)'!AH53</f>
        <v>0</v>
      </c>
      <c r="J70" s="120">
        <f>'발전사업(A)'!AI53 + '자가소비(B)'!AI53 + 'PPA 사업(C)'!AI53 + '리스사업(D)'!AI53 + '임대사업(E)'!AI53 + '환경부사업(F)'!AI53 + '프로젝트(G)'!AI53 + '협력사 EPC(H)'!AI53 + '기타(Z)'!AI53</f>
        <v>10</v>
      </c>
      <c r="K70" s="188">
        <f>'발전사업(A)'!AJ53 + '자가소비(B)'!AJ53 + 'PPA 사업(C)'!AJ53 + '리스사업(D)'!AJ53 + '임대사업(E)'!AJ53 + '환경부사업(F)'!AJ53 + '프로젝트(G)'!AJ53 + '협력사 EPC(H)'!AJ53 + '기타(Z)'!AJ53</f>
        <v>6</v>
      </c>
      <c r="L70" s="188">
        <f>'발전사업(A)'!AK53 + '자가소비(B)'!AK53 + 'PPA 사업(C)'!AK53 + '리스사업(D)'!AK53 + '임대사업(E)'!AK53 + '환경부사업(F)'!AK53 + '프로젝트(G)'!AK53 + '협력사 EPC(H)'!AK53 + '기타(Z)'!AK53</f>
        <v>3</v>
      </c>
      <c r="M70" s="188">
        <f>'발전사업(A)'!AL53 + '자가소비(B)'!AL53 + 'PPA 사업(C)'!AL53 + '리스사업(D)'!AL53 + '임대사업(E)'!AL53 + '환경부사업(F)'!AL53 + '프로젝트(G)'!AL53 + '협력사 EPC(H)'!AL53 + '기타(Z)'!AL53</f>
        <v>1</v>
      </c>
      <c r="N70" s="189">
        <f>'발전사업(A)'!AM53 + '자가소비(B)'!AM53 + 'PPA 사업(C)'!AM53 + '리스사업(D)'!AM53 + '임대사업(E)'!AM53 + '환경부사업(F)'!AM53 + '프로젝트(G)'!AM53 + '협력사 EPC(H)'!AM53 + '기타(Z)'!AM53</f>
        <v>0</v>
      </c>
      <c r="O70" s="41">
        <f>'발전사업(A)'!AN53 + '자가소비(B)'!AN53 + 'PPA 사업(C)'!AN53 + '리스사업(D)'!AN53 + '임대사업(E)'!AN53 + '환경부사업(F)'!AN53 + '프로젝트(G)'!AN53 + '협력사 EPC(H)'!AN53 + '기타(Z)'!AN53 + '협력사 하도(I)'!AN53</f>
        <v>26.755000000000003</v>
      </c>
      <c r="P70" s="41">
        <f>'발전사업(A)'!AO53 + '자가소비(B)'!AO53 + 'PPA 사업(C)'!AO53 + '리스사업(D)'!AO53 + '임대사업(E)'!AO53 + '환경부사업(F)'!AO53 + '프로젝트(G)'!AO53 + '협력사 EPC(H)'!AO53 + '기타(Z)'!AO53 + '협력사 하도(I)'!AO53</f>
        <v>17.470000000000002</v>
      </c>
      <c r="Q70" s="41">
        <f>'발전사업(A)'!AP53 + '자가소비(B)'!AP53 + 'PPA 사업(C)'!AP53 + '리스사업(D)'!AP53 + '임대사업(E)'!AP53 + '환경부사업(F)'!AP53 + '프로젝트(G)'!AP53 + '협력사 EPC(H)'!AP53 + '기타(Z)'!AP53 + '협력사 하도(I)'!AP53</f>
        <v>8.379999999999999</v>
      </c>
      <c r="R70" s="41">
        <f>'발전사업(A)'!AQ53 + '자가소비(B)'!AQ53 + 'PPA 사업(C)'!AQ53 + '리스사업(D)'!AQ53 + '임대사업(E)'!AQ53 + '환경부사업(F)'!AQ53 + '프로젝트(G)'!AQ53 + '협력사 EPC(H)'!AQ53 + '기타(Z)'!AQ53 + '협력사 하도(I)'!AQ53</f>
        <v>0.90500000000000003</v>
      </c>
      <c r="S70" s="135">
        <f>'발전사업(A)'!AR53 + '자가소비(B)'!AR53 + 'PPA 사업(C)'!AR53 + '리스사업(D)'!AR53 + '임대사업(E)'!AR53 + '환경부사업(F)'!AR53 + '프로젝트(G)'!AR53 + '협력사 EPC(H)'!AR53 + '기타(Z)'!AR53 + '협력사 하도(I)'!AR53</f>
        <v>0</v>
      </c>
    </row>
    <row r="71" spans="1:19" x14ac:dyDescent="0.25">
      <c r="A71">
        <v>9</v>
      </c>
      <c r="B71" s="416"/>
      <c r="C71" s="95">
        <v>4</v>
      </c>
      <c r="D71" s="102" t="s">
        <v>127</v>
      </c>
      <c r="E71" s="41">
        <f>'발전사업(A)'!AD54 + '자가소비(B)'!AD54 + 'PPA 사업(C)'!AD54 + '리스사업(D)'!AD54 + '임대사업(E)'!AD54 + '환경부사업(F)'!AD54 + '프로젝트(G)'!AD54 + '협력사 EPC(H)'!AD54 + '기타(Z)'!AD54</f>
        <v>3482.88</v>
      </c>
      <c r="F71" s="41">
        <f>'발전사업(A)'!AE54 + '자가소비(B)'!AE54 + 'PPA 사업(C)'!AE54 + '리스사업(D)'!AE54 + '임대사업(E)'!AE54 + '환경부사업(F)'!AE54 + '프로젝트(G)'!AE54 + '협력사 EPC(H)'!AE54 + '기타(Z)'!AE54</f>
        <v>3197.44</v>
      </c>
      <c r="G71" s="41">
        <f>'발전사업(A)'!AF54 + '자가소비(B)'!AF54 + 'PPA 사업(C)'!AF54 + '리스사업(D)'!AF54 + '임대사업(E)'!AF54 + '환경부사업(F)'!AF54 + '프로젝트(G)'!AF54 + '협력사 EPC(H)'!AF54 + '기타(Z)'!AF54</f>
        <v>285.44</v>
      </c>
      <c r="H71" s="41">
        <f>'발전사업(A)'!AG54 + '자가소비(B)'!AG54 + 'PPA 사업(C)'!AG54 + '리스사업(D)'!AG54 + '임대사업(E)'!AG54 + '환경부사업(F)'!AG54 + '프로젝트(G)'!AG54 + '협력사 EPC(H)'!AG54 + '기타(Z)'!AG54</f>
        <v>0</v>
      </c>
      <c r="I71" s="130">
        <f>'발전사업(A)'!AH54 + '자가소비(B)'!AH54 + 'PPA 사업(C)'!AH54 + '리스사업(D)'!AH54 + '임대사업(E)'!AH54 + '환경부사업(F)'!AH54 + '프로젝트(G)'!AH54 + '협력사 EPC(H)'!AH54 + '기타(Z)'!AH54</f>
        <v>0</v>
      </c>
      <c r="J71" s="120">
        <f>'발전사업(A)'!AI54 + '자가소비(B)'!AI54 + 'PPA 사업(C)'!AI54 + '리스사업(D)'!AI54 + '임대사업(E)'!AI54 + '환경부사업(F)'!AI54 + '프로젝트(G)'!AI54 + '협력사 EPC(H)'!AI54 + '기타(Z)'!AI54</f>
        <v>8</v>
      </c>
      <c r="K71" s="188">
        <f>'발전사업(A)'!AJ54 + '자가소비(B)'!AJ54 + 'PPA 사업(C)'!AJ54 + '리스사업(D)'!AJ54 + '임대사업(E)'!AJ54 + '환경부사업(F)'!AJ54 + '프로젝트(G)'!AJ54 + '협력사 EPC(H)'!AJ54 + '기타(Z)'!AJ54</f>
        <v>6</v>
      </c>
      <c r="L71" s="188">
        <f>'발전사업(A)'!AK54 + '자가소비(B)'!AK54 + 'PPA 사업(C)'!AK54 + '리스사업(D)'!AK54 + '임대사업(E)'!AK54 + '환경부사업(F)'!AK54 + '프로젝트(G)'!AK54 + '협력사 EPC(H)'!AK54 + '기타(Z)'!AK54</f>
        <v>2</v>
      </c>
      <c r="M71" s="188">
        <f>'발전사업(A)'!AL54 + '자가소비(B)'!AL54 + 'PPA 사업(C)'!AL54 + '리스사업(D)'!AL54 + '임대사업(E)'!AL54 + '환경부사업(F)'!AL54 + '프로젝트(G)'!AL54 + '협력사 EPC(H)'!AL54 + '기타(Z)'!AL54</f>
        <v>0</v>
      </c>
      <c r="N71" s="189">
        <f>'발전사업(A)'!AM54 + '자가소비(B)'!AM54 + 'PPA 사업(C)'!AM54 + '리스사업(D)'!AM54 + '임대사업(E)'!AM54 + '환경부사업(F)'!AM54 + '프로젝트(G)'!AM54 + '협력사 EPC(H)'!AM54 + '기타(Z)'!AM54</f>
        <v>0</v>
      </c>
      <c r="O71" s="41">
        <f>'발전사업(A)'!AN54 + '자가소비(B)'!AN54 + 'PPA 사업(C)'!AN54 + '리스사업(D)'!AN54 + '임대사업(E)'!AN54 + '환경부사업(F)'!AN54 + '프로젝트(G)'!AN54 + '협력사 EPC(H)'!AN54 + '기타(Z)'!AN54 + '협력사 하도(I)'!AN54</f>
        <v>30.54</v>
      </c>
      <c r="P71" s="41">
        <f>'발전사업(A)'!AO54 + '자가소비(B)'!AO54 + 'PPA 사업(C)'!AO54 + '리스사업(D)'!AO54 + '임대사업(E)'!AO54 + '환경부사업(F)'!AO54 + '프로젝트(G)'!AO54 + '협력사 EPC(H)'!AO54 + '기타(Z)'!AO54 + '협력사 하도(I)'!AO54</f>
        <v>29.59</v>
      </c>
      <c r="Q71" s="41">
        <f>'발전사업(A)'!AP54 + '자가소비(B)'!AP54 + 'PPA 사업(C)'!AP54 + '리스사업(D)'!AP54 + '임대사업(E)'!AP54 + '환경부사업(F)'!AP54 + '프로젝트(G)'!AP54 + '협력사 EPC(H)'!AP54 + '기타(Z)'!AP54 + '협력사 하도(I)'!AP54</f>
        <v>0.95000000000000007</v>
      </c>
      <c r="R71" s="41">
        <f>'발전사업(A)'!AQ54 + '자가소비(B)'!AQ54 + 'PPA 사업(C)'!AQ54 + '리스사업(D)'!AQ54 + '임대사업(E)'!AQ54 + '환경부사업(F)'!AQ54 + '프로젝트(G)'!AQ54 + '협력사 EPC(H)'!AQ54 + '기타(Z)'!AQ54 + '협력사 하도(I)'!AQ54</f>
        <v>0</v>
      </c>
      <c r="S71" s="135">
        <f>'발전사업(A)'!AR54 + '자가소비(B)'!AR54 + 'PPA 사업(C)'!AR54 + '리스사업(D)'!AR54 + '임대사업(E)'!AR54 + '환경부사업(F)'!AR54 + '프로젝트(G)'!AR54 + '협력사 EPC(H)'!AR54 + '기타(Z)'!AR54 + '협력사 하도(I)'!AR54</f>
        <v>0</v>
      </c>
    </row>
    <row r="72" spans="1:19" x14ac:dyDescent="0.25">
      <c r="A72">
        <v>9</v>
      </c>
      <c r="B72" s="416"/>
      <c r="C72" s="96">
        <v>5</v>
      </c>
      <c r="D72" s="105"/>
      <c r="E72" s="41">
        <f>'발전사업(A)'!AD55 + '자가소비(B)'!AD55 + 'PPA 사업(C)'!AD55 + '리스사업(D)'!AD55 + '임대사업(E)'!AD55 + '환경부사업(F)'!AD55 + '프로젝트(G)'!AD55 + '협력사 EPC(H)'!AD55 + '기타(Z)'!AD55</f>
        <v>0</v>
      </c>
      <c r="F72" s="41">
        <f>'발전사업(A)'!AE55 + '자가소비(B)'!AE55 + 'PPA 사업(C)'!AE55 + '리스사업(D)'!AE55 + '임대사업(E)'!AE55 + '환경부사업(F)'!AE55 + '프로젝트(G)'!AE55 + '협력사 EPC(H)'!AE55 + '기타(Z)'!AE55</f>
        <v>0</v>
      </c>
      <c r="G72" s="41">
        <f>'발전사업(A)'!AF55 + '자가소비(B)'!AF55 + 'PPA 사업(C)'!AF55 + '리스사업(D)'!AF55 + '임대사업(E)'!AF55 + '환경부사업(F)'!AF55 + '프로젝트(G)'!AF55 + '협력사 EPC(H)'!AF55 + '기타(Z)'!AF55</f>
        <v>0</v>
      </c>
      <c r="H72" s="41">
        <f>'발전사업(A)'!AG55 + '자가소비(B)'!AG55 + 'PPA 사업(C)'!AG55 + '리스사업(D)'!AG55 + '임대사업(E)'!AG55 + '환경부사업(F)'!AG55 + '프로젝트(G)'!AG55 + '협력사 EPC(H)'!AG55 + '기타(Z)'!AG55</f>
        <v>0</v>
      </c>
      <c r="I72" s="130">
        <f>'발전사업(A)'!AH55 + '자가소비(B)'!AH55 + 'PPA 사업(C)'!AH55 + '리스사업(D)'!AH55 + '임대사업(E)'!AH55 + '환경부사업(F)'!AH55 + '프로젝트(G)'!AH55 + '협력사 EPC(H)'!AH55 + '기타(Z)'!AH55</f>
        <v>0</v>
      </c>
      <c r="J72" s="120">
        <f>'발전사업(A)'!AI55 + '자가소비(B)'!AI55 + 'PPA 사업(C)'!AI55 + '리스사업(D)'!AI55 + '임대사업(E)'!AI55 + '환경부사업(F)'!AI55 + '프로젝트(G)'!AI55 + '협력사 EPC(H)'!AI55 + '기타(Z)'!AI55</f>
        <v>0</v>
      </c>
      <c r="K72" s="188">
        <f>'발전사업(A)'!AJ55 + '자가소비(B)'!AJ55 + 'PPA 사업(C)'!AJ55 + '리스사업(D)'!AJ55 + '임대사업(E)'!AJ55 + '환경부사업(F)'!AJ55 + '프로젝트(G)'!AJ55 + '협력사 EPC(H)'!AJ55 + '기타(Z)'!AJ55</f>
        <v>0</v>
      </c>
      <c r="L72" s="188">
        <f>'발전사업(A)'!AK55 + '자가소비(B)'!AK55 + 'PPA 사업(C)'!AK55 + '리스사업(D)'!AK55 + '임대사업(E)'!AK55 + '환경부사업(F)'!AK55 + '프로젝트(G)'!AK55 + '협력사 EPC(H)'!AK55 + '기타(Z)'!AK55</f>
        <v>0</v>
      </c>
      <c r="M72" s="188">
        <f>'발전사업(A)'!AL55 + '자가소비(B)'!AL55 + 'PPA 사업(C)'!AL55 + '리스사업(D)'!AL55 + '임대사업(E)'!AL55 + '환경부사업(F)'!AL55 + '프로젝트(G)'!AL55 + '협력사 EPC(H)'!AL55 + '기타(Z)'!AL55</f>
        <v>0</v>
      </c>
      <c r="N72" s="189">
        <f>'발전사업(A)'!AM55 + '자가소비(B)'!AM55 + 'PPA 사업(C)'!AM55 + '리스사업(D)'!AM55 + '임대사업(E)'!AM55 + '환경부사업(F)'!AM55 + '프로젝트(G)'!AM55 + '협력사 EPC(H)'!AM55 + '기타(Z)'!AM55</f>
        <v>0</v>
      </c>
      <c r="O72" s="41">
        <f>'발전사업(A)'!AN55 + '자가소비(B)'!AN55 + 'PPA 사업(C)'!AN55 + '리스사업(D)'!AN55 + '임대사업(E)'!AN55 + '환경부사업(F)'!AN55 + '프로젝트(G)'!AN55 + '협력사 EPC(H)'!AN55 + '기타(Z)'!AN55 + '협력사 하도(I)'!AN55</f>
        <v>0</v>
      </c>
      <c r="P72" s="41">
        <f>'발전사업(A)'!AO55 + '자가소비(B)'!AO55 + 'PPA 사업(C)'!AO55 + '리스사업(D)'!AO55 + '임대사업(E)'!AO55 + '환경부사업(F)'!AO55 + '프로젝트(G)'!AO55 + '협력사 EPC(H)'!AO55 + '기타(Z)'!AO55 + '협력사 하도(I)'!AO55</f>
        <v>0</v>
      </c>
      <c r="Q72" s="41">
        <f>'발전사업(A)'!AP55 + '자가소비(B)'!AP55 + 'PPA 사업(C)'!AP55 + '리스사업(D)'!AP55 + '임대사업(E)'!AP55 + '환경부사업(F)'!AP55 + '프로젝트(G)'!AP55 + '협력사 EPC(H)'!AP55 + '기타(Z)'!AP55 + '협력사 하도(I)'!AP55</f>
        <v>0</v>
      </c>
      <c r="R72" s="41">
        <f>'발전사업(A)'!AQ55 + '자가소비(B)'!AQ55 + 'PPA 사업(C)'!AQ55 + '리스사업(D)'!AQ55 + '임대사업(E)'!AQ55 + '환경부사업(F)'!AQ55 + '프로젝트(G)'!AQ55 + '협력사 EPC(H)'!AQ55 + '기타(Z)'!AQ55 + '협력사 하도(I)'!AQ55</f>
        <v>0</v>
      </c>
      <c r="S72" s="135">
        <f>'발전사업(A)'!AR55 + '자가소비(B)'!AR55 + 'PPA 사업(C)'!AR55 + '리스사업(D)'!AR55 + '임대사업(E)'!AR55 + '환경부사업(F)'!AR55 + '프로젝트(G)'!AR55 + '협력사 EPC(H)'!AR55 + '기타(Z)'!AR55 + '협력사 하도(I)'!AR55</f>
        <v>0</v>
      </c>
    </row>
    <row r="73" spans="1:19" ht="14.25" thickBot="1" x14ac:dyDescent="0.3">
      <c r="A73">
        <v>9</v>
      </c>
      <c r="B73" s="417"/>
      <c r="C73" s="97" t="s">
        <v>3</v>
      </c>
      <c r="D73" s="106"/>
      <c r="E73" s="139">
        <f>'발전사업(A)'!AD56 + '자가소비(B)'!AD56 + 'PPA 사업(C)'!AD56 + '리스사업(D)'!AD56 + '임대사업(E)'!AD56 + '환경부사업(F)'!AD56 + '프로젝트(G)'!AD56 + '협력사 EPC(H)'!AD56 + '기타(Z)'!AD56</f>
        <v>10228.74</v>
      </c>
      <c r="F73" s="139">
        <f>'발전사업(A)'!AE56 + '자가소비(B)'!AE56 + 'PPA 사업(C)'!AE56 + '리스사업(D)'!AE56 + '임대사업(E)'!AE56 + '환경부사업(F)'!AE56 + '프로젝트(G)'!AE56 + '협력사 EPC(H)'!AE56 + '기타(Z)'!AE56</f>
        <v>7264</v>
      </c>
      <c r="G73" s="139">
        <f>'발전사업(A)'!AF56 + '자가소비(B)'!AF56 + 'PPA 사업(C)'!AF56 + '리스사업(D)'!AF56 + '임대사업(E)'!AF56 + '환경부사업(F)'!AF56 + '프로젝트(G)'!AF56 + '협력사 EPC(H)'!AF56 + '기타(Z)'!AF56</f>
        <v>2438.66</v>
      </c>
      <c r="H73" s="139">
        <f>'발전사업(A)'!AG56 + '자가소비(B)'!AG56 + 'PPA 사업(C)'!AG56 + '리스사업(D)'!AG56 + '임대사업(E)'!AG56 + '환경부사업(F)'!AG56 + '프로젝트(G)'!AG56 + '협력사 EPC(H)'!AG56 + '기타(Z)'!AG56</f>
        <v>526.07999999999993</v>
      </c>
      <c r="I73" s="140">
        <f>'발전사업(A)'!AH56 + '자가소비(B)'!AH56 + 'PPA 사업(C)'!AH56 + '리스사업(D)'!AH56 + '임대사업(E)'!AH56 + '환경부사업(F)'!AH56 + '프로젝트(G)'!AH56 + '협력사 EPC(H)'!AH56 + '기타(Z)'!AH56</f>
        <v>0</v>
      </c>
      <c r="J73" s="190">
        <f>'발전사업(A)'!AI56 + '자가소비(B)'!AI56 + 'PPA 사업(C)'!AI56 + '리스사업(D)'!AI56 + '임대사업(E)'!AI56 + '환경부사업(F)'!AI56 + '프로젝트(G)'!AI56 + '협력사 EPC(H)'!AI56 + '기타(Z)'!AI56</f>
        <v>39</v>
      </c>
      <c r="K73" s="191">
        <f>'발전사업(A)'!AJ56 + '자가소비(B)'!AJ56 + 'PPA 사업(C)'!AJ56 + '리스사업(D)'!AJ56 + '임대사업(E)'!AJ56 + '환경부사업(F)'!AJ56 + '프로젝트(G)'!AJ56 + '협력사 EPC(H)'!AJ56 + '기타(Z)'!AJ56</f>
        <v>26</v>
      </c>
      <c r="L73" s="191">
        <f>'발전사업(A)'!AK56 + '자가소비(B)'!AK56 + 'PPA 사업(C)'!AK56 + '리스사업(D)'!AK56 + '임대사업(E)'!AK56 + '환경부사업(F)'!AK56 + '프로젝트(G)'!AK56 + '협력사 EPC(H)'!AK56 + '기타(Z)'!AK56</f>
        <v>11</v>
      </c>
      <c r="M73" s="191">
        <f>'발전사업(A)'!AL56 + '자가소비(B)'!AL56 + 'PPA 사업(C)'!AL56 + '리스사업(D)'!AL56 + '임대사업(E)'!AL56 + '환경부사업(F)'!AL56 + '프로젝트(G)'!AL56 + '협력사 EPC(H)'!AL56 + '기타(Z)'!AL56</f>
        <v>2</v>
      </c>
      <c r="N73" s="192">
        <f>'발전사업(A)'!AM56 + '자가소비(B)'!AM56 + 'PPA 사업(C)'!AM56 + '리스사업(D)'!AM56 + '임대사업(E)'!AM56 + '환경부사업(F)'!AM56 + '프로젝트(G)'!AM56 + '협력사 EPC(H)'!AM56 + '기타(Z)'!AM56</f>
        <v>0</v>
      </c>
      <c r="O73" s="172">
        <f>'발전사업(A)'!AN56 + '자가소비(B)'!AN56 + 'PPA 사업(C)'!AN56 + '리스사업(D)'!AN56 + '임대사업(E)'!AN56 + '환경부사업(F)'!AN56 + '프로젝트(G)'!AN56 + '협력사 EPC(H)'!AN56 + '기타(Z)'!AN56 + '협력사 하도(I)'!AN56</f>
        <v>92.694999999999993</v>
      </c>
      <c r="P73" s="139">
        <f>'발전사업(A)'!AO56 + '자가소비(B)'!AO56 + 'PPA 사업(C)'!AO56 + '리스사업(D)'!AO56 + '임대사업(E)'!AO56 + '환경부사업(F)'!AO56 + '프로젝트(G)'!AO56 + '협력사 EPC(H)'!AO56 + '기타(Z)'!AO56 + '협력사 하도(I)'!AO56</f>
        <v>67.050000000000011</v>
      </c>
      <c r="Q73" s="139">
        <f>'발전사업(A)'!AP56 + '자가소비(B)'!AP56 + 'PPA 사업(C)'!AP56 + '리스사업(D)'!AP56 + '임대사업(E)'!AP56 + '환경부사업(F)'!AP56 + '프로젝트(G)'!AP56 + '협력사 EPC(H)'!AP56 + '기타(Z)'!AP56 + '협력사 하도(I)'!AP56</f>
        <v>20.96</v>
      </c>
      <c r="R73" s="139">
        <f>'발전사업(A)'!AQ56 + '자가소비(B)'!AQ56 + 'PPA 사업(C)'!AQ56 + '리스사업(D)'!AQ56 + '임대사업(E)'!AQ56 + '환경부사업(F)'!AQ56 + '프로젝트(G)'!AQ56 + '협력사 EPC(H)'!AQ56 + '기타(Z)'!AQ56 + '협력사 하도(I)'!AQ56</f>
        <v>4.6850000000000005</v>
      </c>
      <c r="S73" s="141">
        <f>'발전사업(A)'!AR56 + '자가소비(B)'!AR56 + 'PPA 사업(C)'!AR56 + '리스사업(D)'!AR56 + '임대사업(E)'!AR56 + '환경부사업(F)'!AR56 + '프로젝트(G)'!AR56 + '협력사 EPC(H)'!AR56 + '기타(Z)'!AR56 + '협력사 하도(I)'!AR56</f>
        <v>0</v>
      </c>
    </row>
    <row r="74" spans="1:19" x14ac:dyDescent="0.25">
      <c r="A74">
        <v>10</v>
      </c>
      <c r="B74" s="415">
        <v>10</v>
      </c>
      <c r="C74" s="94">
        <v>1</v>
      </c>
      <c r="D74" s="100" t="s">
        <v>128</v>
      </c>
      <c r="E74" s="142">
        <f>'발전사업(A)'!AD57 + '자가소비(B)'!AD57 + 'PPA 사업(C)'!AD57 + '리스사업(D)'!AD57 + '임대사업(E)'!AD57 + '환경부사업(F)'!AD57 + '프로젝트(G)'!AD57 + '협력사 EPC(H)'!AD57 + '기타(Z)'!AD57</f>
        <v>3505.92</v>
      </c>
      <c r="F74" s="143">
        <f>'발전사업(A)'!AE57 + '자가소비(B)'!AE57 + 'PPA 사업(C)'!AE57 + '리스사업(D)'!AE57 + '임대사업(E)'!AE57 + '환경부사업(F)'!AE57 + '프로젝트(G)'!AE57 + '협력사 EPC(H)'!AE57 + '기타(Z)'!AE57</f>
        <v>1981.44</v>
      </c>
      <c r="G74" s="143">
        <f>'발전사업(A)'!AF57 + '자가소비(B)'!AF57 + 'PPA 사업(C)'!AF57 + '리스사업(D)'!AF57 + '임대사업(E)'!AF57 + '환경부사업(F)'!AF57 + '프로젝트(G)'!AF57 + '협력사 EPC(H)'!AF57 + '기타(Z)'!AF57</f>
        <v>1524.48</v>
      </c>
      <c r="H74" s="143">
        <f>'발전사업(A)'!AG57 + '자가소비(B)'!AG57 + 'PPA 사업(C)'!AG57 + '리스사업(D)'!AG57 + '임대사업(E)'!AG57 + '환경부사업(F)'!AG57 + '프로젝트(G)'!AG57 + '협력사 EPC(H)'!AG57 + '기타(Z)'!AG57</f>
        <v>0</v>
      </c>
      <c r="I74" s="144">
        <f>'발전사업(A)'!AH57 + '자가소비(B)'!AH57 + 'PPA 사업(C)'!AH57 + '리스사업(D)'!AH57 + '임대사업(E)'!AH57 + '환경부사업(F)'!AH57 + '프로젝트(G)'!AH57 + '협력사 EPC(H)'!AH57 + '기타(Z)'!AH57</f>
        <v>0</v>
      </c>
      <c r="J74" s="193">
        <f>'발전사업(A)'!AI57 + '자가소비(B)'!AI57 + 'PPA 사업(C)'!AI57 + '리스사업(D)'!AI57 + '임대사업(E)'!AI57 + '환경부사업(F)'!AI57 + '프로젝트(G)'!AI57 + '협력사 EPC(H)'!AI57 + '기타(Z)'!AI57</f>
        <v>13</v>
      </c>
      <c r="K74" s="194">
        <f>'발전사업(A)'!AJ57 + '자가소비(B)'!AJ57 + 'PPA 사업(C)'!AJ57 + '리스사업(D)'!AJ57 + '임대사업(E)'!AJ57 + '환경부사업(F)'!AJ57 + '프로젝트(G)'!AJ57 + '협력사 EPC(H)'!AJ57 + '기타(Z)'!AJ57</f>
        <v>6</v>
      </c>
      <c r="L74" s="194">
        <f>'발전사업(A)'!AK57 + '자가소비(B)'!AK57 + 'PPA 사업(C)'!AK57 + '리스사업(D)'!AK57 + '임대사업(E)'!AK57 + '환경부사업(F)'!AK57 + '프로젝트(G)'!AK57 + '협력사 EPC(H)'!AK57 + '기타(Z)'!AK57</f>
        <v>7</v>
      </c>
      <c r="M74" s="194">
        <f>'발전사업(A)'!AL57 + '자가소비(B)'!AL57 + 'PPA 사업(C)'!AL57 + '리스사업(D)'!AL57 + '임대사업(E)'!AL57 + '환경부사업(F)'!AL57 + '프로젝트(G)'!AL57 + '협력사 EPC(H)'!AL57 + '기타(Z)'!AL57</f>
        <v>0</v>
      </c>
      <c r="N74" s="195">
        <f>'발전사업(A)'!AM57 + '자가소비(B)'!AM57 + 'PPA 사업(C)'!AM57 + '리스사업(D)'!AM57 + '임대사업(E)'!AM57 + '환경부사업(F)'!AM57 + '프로젝트(G)'!AM57 + '협력사 EPC(H)'!AM57 + '기타(Z)'!AM57</f>
        <v>0</v>
      </c>
      <c r="O74" s="41">
        <f>'발전사업(A)'!AN57 + '자가소비(B)'!AN57 + 'PPA 사업(C)'!AN57 + '리스사업(D)'!AN57 + '임대사업(E)'!AN57 + '환경부사업(F)'!AN57 + '프로젝트(G)'!AN57 + '협력사 EPC(H)'!AN57 + '기타(Z)'!AN57 + '협력사 하도(I)'!AN57</f>
        <v>30.066000000000003</v>
      </c>
      <c r="P74" s="143">
        <f>'발전사업(A)'!AO57 + '자가소비(B)'!AO57 + 'PPA 사업(C)'!AO57 + '리스사업(D)'!AO57 + '임대사업(E)'!AO57 + '환경부사업(F)'!AO57 + '프로젝트(G)'!AO57 + '협력사 EPC(H)'!AO57 + '기타(Z)'!AO57 + '협력사 하도(I)'!AO57</f>
        <v>17.295999999999999</v>
      </c>
      <c r="Q74" s="143">
        <f>'발전사업(A)'!AP57 + '자가소비(B)'!AP57 + 'PPA 사업(C)'!AP57 + '리스사업(D)'!AP57 + '임대사업(E)'!AP57 + '환경부사업(F)'!AP57 + '프로젝트(G)'!AP57 + '협력사 EPC(H)'!AP57 + '기타(Z)'!AP57 + '협력사 하도(I)'!AP57</f>
        <v>12.770000000000001</v>
      </c>
      <c r="R74" s="143">
        <f>'발전사업(A)'!AQ57 + '자가소비(B)'!AQ57 + 'PPA 사업(C)'!AQ57 + '리스사업(D)'!AQ57 + '임대사업(E)'!AQ57 + '환경부사업(F)'!AQ57 + '프로젝트(G)'!AQ57 + '협력사 EPC(H)'!AQ57 + '기타(Z)'!AQ57 + '협력사 하도(I)'!AQ57</f>
        <v>0</v>
      </c>
      <c r="S74" s="145">
        <f>'발전사업(A)'!AR57 + '자가소비(B)'!AR57 + 'PPA 사업(C)'!AR57 + '리스사업(D)'!AR57 + '임대사업(E)'!AR57 + '환경부사업(F)'!AR57 + '프로젝트(G)'!AR57 + '협력사 EPC(H)'!AR57 + '기타(Z)'!AR57 + '협력사 하도(I)'!AR57</f>
        <v>0</v>
      </c>
    </row>
    <row r="75" spans="1:19" x14ac:dyDescent="0.25">
      <c r="A75">
        <v>10</v>
      </c>
      <c r="B75" s="416"/>
      <c r="C75" s="95">
        <v>2</v>
      </c>
      <c r="D75" s="101" t="s">
        <v>61</v>
      </c>
      <c r="E75" s="134">
        <f>'발전사업(A)'!AD58 + '자가소비(B)'!AD58 + 'PPA 사업(C)'!AD58 + '리스사업(D)'!AD58 + '임대사업(E)'!AD58 + '환경부사업(F)'!AD58 + '프로젝트(G)'!AD58 + '협력사 EPC(H)'!AD58 + '기타(Z)'!AD58</f>
        <v>0</v>
      </c>
      <c r="F75" s="41">
        <f>'발전사업(A)'!AE58 + '자가소비(B)'!AE58 + 'PPA 사업(C)'!AE58 + '리스사업(D)'!AE58 + '임대사업(E)'!AE58 + '환경부사업(F)'!AE58 + '프로젝트(G)'!AE58 + '협력사 EPC(H)'!AE58 + '기타(Z)'!AE58</f>
        <v>0</v>
      </c>
      <c r="G75" s="41">
        <f>'발전사업(A)'!AF58 + '자가소비(B)'!AF58 + 'PPA 사업(C)'!AF58 + '리스사업(D)'!AF58 + '임대사업(E)'!AF58 + '환경부사업(F)'!AF58 + '프로젝트(G)'!AF58 + '협력사 EPC(H)'!AF58 + '기타(Z)'!AF58</f>
        <v>0</v>
      </c>
      <c r="H75" s="41">
        <f>'발전사업(A)'!AG58 + '자가소비(B)'!AG58 + 'PPA 사업(C)'!AG58 + '리스사업(D)'!AG58 + '임대사업(E)'!AG58 + '환경부사업(F)'!AG58 + '프로젝트(G)'!AG58 + '협력사 EPC(H)'!AG58 + '기타(Z)'!AG58</f>
        <v>0</v>
      </c>
      <c r="I75" s="130">
        <f>'발전사업(A)'!AH58 + '자가소비(B)'!AH58 + 'PPA 사업(C)'!AH58 + '리스사업(D)'!AH58 + '임대사업(E)'!AH58 + '환경부사업(F)'!AH58 + '프로젝트(G)'!AH58 + '협력사 EPC(H)'!AH58 + '기타(Z)'!AH58</f>
        <v>0</v>
      </c>
      <c r="J75" s="120">
        <f>'발전사업(A)'!AI58 + '자가소비(B)'!AI58 + 'PPA 사업(C)'!AI58 + '리스사업(D)'!AI58 + '임대사업(E)'!AI58 + '환경부사업(F)'!AI58 + '프로젝트(G)'!AI58 + '협력사 EPC(H)'!AI58 + '기타(Z)'!AI58</f>
        <v>0</v>
      </c>
      <c r="K75" s="188">
        <f>'발전사업(A)'!AJ58 + '자가소비(B)'!AJ58 + 'PPA 사업(C)'!AJ58 + '리스사업(D)'!AJ58 + '임대사업(E)'!AJ58 + '환경부사업(F)'!AJ58 + '프로젝트(G)'!AJ58 + '협력사 EPC(H)'!AJ58 + '기타(Z)'!AJ58</f>
        <v>0</v>
      </c>
      <c r="L75" s="188">
        <f>'발전사업(A)'!AK58 + '자가소비(B)'!AK58 + 'PPA 사업(C)'!AK58 + '리스사업(D)'!AK58 + '임대사업(E)'!AK58 + '환경부사업(F)'!AK58 + '프로젝트(G)'!AK58 + '협력사 EPC(H)'!AK58 + '기타(Z)'!AK58</f>
        <v>0</v>
      </c>
      <c r="M75" s="188">
        <f>'발전사업(A)'!AL58 + '자가소비(B)'!AL58 + 'PPA 사업(C)'!AL58 + '리스사업(D)'!AL58 + '임대사업(E)'!AL58 + '환경부사업(F)'!AL58 + '프로젝트(G)'!AL58 + '협력사 EPC(H)'!AL58 + '기타(Z)'!AL58</f>
        <v>0</v>
      </c>
      <c r="N75" s="189">
        <f>'발전사업(A)'!AM58 + '자가소비(B)'!AM58 + 'PPA 사업(C)'!AM58 + '리스사업(D)'!AM58 + '임대사업(E)'!AM58 + '환경부사업(F)'!AM58 + '프로젝트(G)'!AM58 + '협력사 EPC(H)'!AM58 + '기타(Z)'!AM58</f>
        <v>0</v>
      </c>
      <c r="O75" s="41">
        <f>'발전사업(A)'!AN58 + '자가소비(B)'!AN58 + 'PPA 사업(C)'!AN58 + '리스사업(D)'!AN58 + '임대사업(E)'!AN58 + '환경부사업(F)'!AN58 + '프로젝트(G)'!AN58 + '협력사 EPC(H)'!AN58 + '기타(Z)'!AN58 + '협력사 하도(I)'!AN58</f>
        <v>0</v>
      </c>
      <c r="P75" s="41">
        <f>'발전사업(A)'!AO58 + '자가소비(B)'!AO58 + 'PPA 사업(C)'!AO58 + '리스사업(D)'!AO58 + '임대사업(E)'!AO58 + '환경부사업(F)'!AO58 + '프로젝트(G)'!AO58 + '협력사 EPC(H)'!AO58 + '기타(Z)'!AO58 + '협력사 하도(I)'!AO58</f>
        <v>0</v>
      </c>
      <c r="Q75" s="41">
        <f>'발전사업(A)'!AP58 + '자가소비(B)'!AP58 + 'PPA 사업(C)'!AP58 + '리스사업(D)'!AP58 + '임대사업(E)'!AP58 + '환경부사업(F)'!AP58 + '프로젝트(G)'!AP58 + '협력사 EPC(H)'!AP58 + '기타(Z)'!AP58 + '협력사 하도(I)'!AP58</f>
        <v>0</v>
      </c>
      <c r="R75" s="41">
        <f>'발전사업(A)'!AQ58 + '자가소비(B)'!AQ58 + 'PPA 사업(C)'!AQ58 + '리스사업(D)'!AQ58 + '임대사업(E)'!AQ58 + '환경부사업(F)'!AQ58 + '프로젝트(G)'!AQ58 + '협력사 EPC(H)'!AQ58 + '기타(Z)'!AQ58 + '협력사 하도(I)'!AQ58</f>
        <v>0</v>
      </c>
      <c r="S75" s="135">
        <f>'발전사업(A)'!AR58 + '자가소비(B)'!AR58 + 'PPA 사업(C)'!AR58 + '리스사업(D)'!AR58 + '임대사업(E)'!AR58 + '환경부사업(F)'!AR58 + '프로젝트(G)'!AR58 + '협력사 EPC(H)'!AR58 + '기타(Z)'!AR58 + '협력사 하도(I)'!AR58</f>
        <v>0</v>
      </c>
    </row>
    <row r="76" spans="1:19" x14ac:dyDescent="0.25">
      <c r="A76">
        <v>10</v>
      </c>
      <c r="B76" s="416"/>
      <c r="C76" s="95">
        <v>3</v>
      </c>
      <c r="D76" s="102" t="s">
        <v>62</v>
      </c>
      <c r="E76" s="134">
        <f>'발전사업(A)'!AD59 + '자가소비(B)'!AD59 + 'PPA 사업(C)'!AD59 + '리스사업(D)'!AD59 + '임대사업(E)'!AD59 + '환경부사업(F)'!AD59 + '프로젝트(G)'!AD59 + '협력사 EPC(H)'!AD59 + '기타(Z)'!AD59</f>
        <v>3472.64</v>
      </c>
      <c r="F76" s="41">
        <f>'발전사업(A)'!AE59 + '자가소비(B)'!AE59 + 'PPA 사업(C)'!AE59 + '리스사업(D)'!AE59 + '임대사업(E)'!AE59 + '환경부사업(F)'!AE59 + '프로젝트(G)'!AE59 + '협력사 EPC(H)'!AE59 + '기타(Z)'!AE59</f>
        <v>2274.56</v>
      </c>
      <c r="G76" s="41">
        <f>'발전사업(A)'!AF59 + '자가소비(B)'!AF59 + 'PPA 사업(C)'!AF59 + '리스사업(D)'!AF59 + '임대사업(E)'!AF59 + '환경부사업(F)'!AF59 + '프로젝트(G)'!AF59 + '협력사 EPC(H)'!AF59 + '기타(Z)'!AF59</f>
        <v>697.6</v>
      </c>
      <c r="H76" s="41">
        <f>'발전사업(A)'!AG59 + '자가소비(B)'!AG59 + 'PPA 사업(C)'!AG59 + '리스사업(D)'!AG59 + '임대사업(E)'!AG59 + '환경부사업(F)'!AG59 + '프로젝트(G)'!AG59 + '협력사 EPC(H)'!AG59 + '기타(Z)'!AG59</f>
        <v>500.48</v>
      </c>
      <c r="I76" s="130">
        <f>'발전사업(A)'!AH59 + '자가소비(B)'!AH59 + 'PPA 사업(C)'!AH59 + '리스사업(D)'!AH59 + '임대사업(E)'!AH59 + '환경부사업(F)'!AH59 + '프로젝트(G)'!AH59 + '협력사 EPC(H)'!AH59 + '기타(Z)'!AH59</f>
        <v>0</v>
      </c>
      <c r="J76" s="120">
        <f>'발전사업(A)'!AI59 + '자가소비(B)'!AI59 + 'PPA 사업(C)'!AI59 + '리스사업(D)'!AI59 + '임대사업(E)'!AI59 + '환경부사업(F)'!AI59 + '프로젝트(G)'!AI59 + '협력사 EPC(H)'!AI59 + '기타(Z)'!AI59</f>
        <v>17</v>
      </c>
      <c r="K76" s="188">
        <f>'발전사업(A)'!AJ59 + '자가소비(B)'!AJ59 + 'PPA 사업(C)'!AJ59 + '리스사업(D)'!AJ59 + '임대사업(E)'!AJ59 + '환경부사업(F)'!AJ59 + '프로젝트(G)'!AJ59 + '협력사 EPC(H)'!AJ59 + '기타(Z)'!AJ59</f>
        <v>13</v>
      </c>
      <c r="L76" s="188">
        <f>'발전사업(A)'!AK59 + '자가소비(B)'!AK59 + 'PPA 사업(C)'!AK59 + '리스사업(D)'!AK59 + '임대사업(E)'!AK59 + '환경부사업(F)'!AK59 + '프로젝트(G)'!AK59 + '협력사 EPC(H)'!AK59 + '기타(Z)'!AK59</f>
        <v>3</v>
      </c>
      <c r="M76" s="188">
        <f>'발전사업(A)'!AL59 + '자가소비(B)'!AL59 + 'PPA 사업(C)'!AL59 + '리스사업(D)'!AL59 + '임대사업(E)'!AL59 + '환경부사업(F)'!AL59 + '프로젝트(G)'!AL59 + '협력사 EPC(H)'!AL59 + '기타(Z)'!AL59</f>
        <v>1</v>
      </c>
      <c r="N76" s="189">
        <f>'발전사업(A)'!AM59 + '자가소비(B)'!AM59 + 'PPA 사업(C)'!AM59 + '리스사업(D)'!AM59 + '임대사업(E)'!AM59 + '환경부사업(F)'!AM59 + '프로젝트(G)'!AM59 + '협력사 EPC(H)'!AM59 + '기타(Z)'!AM59</f>
        <v>0</v>
      </c>
      <c r="O76" s="41">
        <f>'발전사업(A)'!AN59 + '자가소비(B)'!AN59 + 'PPA 사업(C)'!AN59 + '리스사업(D)'!AN59 + '임대사업(E)'!AN59 + '환경부사업(F)'!AN59 + '프로젝트(G)'!AN59 + '협력사 EPC(H)'!AN59 + '기타(Z)'!AN59 + '협력사 하도(I)'!AN59</f>
        <v>31.575749999999999</v>
      </c>
      <c r="P76" s="41">
        <f>'발전사업(A)'!AO59 + '자가소비(B)'!AO59 + 'PPA 사업(C)'!AO59 + '리스사업(D)'!AO59 + '임대사업(E)'!AO59 + '환경부사업(F)'!AO59 + '프로젝트(G)'!AO59 + '협력사 EPC(H)'!AO59 + '기타(Z)'!AO59 + '협력사 하도(I)'!AO59</f>
        <v>19.66</v>
      </c>
      <c r="Q76" s="41">
        <f>'발전사업(A)'!AP59 + '자가소비(B)'!AP59 + 'PPA 사업(C)'!AP59 + '리스사업(D)'!AP59 + '임대사업(E)'!AP59 + '환경부사업(F)'!AP59 + '프로젝트(G)'!AP59 + '협력사 EPC(H)'!AP59 + '기타(Z)'!AP59 + '협력사 하도(I)'!AP59</f>
        <v>6.7099999999999991</v>
      </c>
      <c r="R76" s="41">
        <f>'발전사업(A)'!AQ59 + '자가소비(B)'!AQ59 + 'PPA 사업(C)'!AQ59 + '리스사업(D)'!AQ59 + '임대사업(E)'!AQ59 + '환경부사업(F)'!AQ59 + '프로젝트(G)'!AQ59 + '협력사 EPC(H)'!AQ59 + '기타(Z)'!AQ59 + '협력사 하도(I)'!AQ59</f>
        <v>5.2057500000000001</v>
      </c>
      <c r="S76" s="135">
        <f>'발전사업(A)'!AR59 + '자가소비(B)'!AR59 + 'PPA 사업(C)'!AR59 + '리스사업(D)'!AR59 + '임대사업(E)'!AR59 + '환경부사업(F)'!AR59 + '프로젝트(G)'!AR59 + '협력사 EPC(H)'!AR59 + '기타(Z)'!AR59 + '협력사 하도(I)'!AR59</f>
        <v>0</v>
      </c>
    </row>
    <row r="77" spans="1:19" x14ac:dyDescent="0.25">
      <c r="A77">
        <v>10</v>
      </c>
      <c r="B77" s="416"/>
      <c r="C77" s="95">
        <v>4</v>
      </c>
      <c r="D77" s="102" t="s">
        <v>63</v>
      </c>
      <c r="E77" s="134">
        <f>'발전사업(A)'!AD60 + '자가소비(B)'!AD60 + 'PPA 사업(C)'!AD60 + '리스사업(D)'!AD60 + '임대사업(E)'!AD60 + '환경부사업(F)'!AD60 + '프로젝트(G)'!AD60 + '협력사 EPC(H)'!AD60 + '기타(Z)'!AD60</f>
        <v>5544.32</v>
      </c>
      <c r="F77" s="41">
        <f>'발전사업(A)'!AE60 + '자가소비(B)'!AE60 + 'PPA 사업(C)'!AE60 + '리스사업(D)'!AE60 + '임대사업(E)'!AE60 + '환경부사업(F)'!AE60 + '프로젝트(G)'!AE60 + '협력사 EPC(H)'!AE60 + '기타(Z)'!AE60</f>
        <v>1449.6</v>
      </c>
      <c r="G77" s="41">
        <f>'발전사업(A)'!AF60 + '자가소비(B)'!AF60 + 'PPA 사업(C)'!AF60 + '리스사업(D)'!AF60 + '임대사업(E)'!AF60 + '환경부사업(F)'!AF60 + '프로젝트(G)'!AF60 + '협력사 EPC(H)'!AF60 + '기타(Z)'!AF60</f>
        <v>408.96</v>
      </c>
      <c r="H77" s="41">
        <f>'발전사업(A)'!AG60 + '자가소비(B)'!AG60 + 'PPA 사업(C)'!AG60 + '리스사업(D)'!AG60 + '임대사업(E)'!AG60 + '환경부사업(F)'!AG60 + '프로젝트(G)'!AG60 + '협력사 EPC(H)'!AG60 + '기타(Z)'!AG60</f>
        <v>3685.76</v>
      </c>
      <c r="I77" s="130">
        <f>'발전사업(A)'!AH60 + '자가소비(B)'!AH60 + 'PPA 사업(C)'!AH60 + '리스사업(D)'!AH60 + '임대사업(E)'!AH60 + '환경부사업(F)'!AH60 + '프로젝트(G)'!AH60 + '협력사 EPC(H)'!AH60 + '기타(Z)'!AH60</f>
        <v>0</v>
      </c>
      <c r="J77" s="120">
        <f>'발전사업(A)'!AI60 + '자가소비(B)'!AI60 + 'PPA 사업(C)'!AI60 + '리스사업(D)'!AI60 + '임대사업(E)'!AI60 + '환경부사업(F)'!AI60 + '프로젝트(G)'!AI60 + '협력사 EPC(H)'!AI60 + '기타(Z)'!AI60</f>
        <v>11</v>
      </c>
      <c r="K77" s="188">
        <f>'발전사업(A)'!AJ60 + '자가소비(B)'!AJ60 + 'PPA 사업(C)'!AJ60 + '리스사업(D)'!AJ60 + '임대사업(E)'!AJ60 + '환경부사업(F)'!AJ60 + '프로젝트(G)'!AJ60 + '협력사 EPC(H)'!AJ60 + '기타(Z)'!AJ60</f>
        <v>7</v>
      </c>
      <c r="L77" s="188">
        <f>'발전사업(A)'!AK60 + '자가소비(B)'!AK60 + 'PPA 사업(C)'!AK60 + '리스사업(D)'!AK60 + '임대사업(E)'!AK60 + '환경부사업(F)'!AK60 + '프로젝트(G)'!AK60 + '협력사 EPC(H)'!AK60 + '기타(Z)'!AK60</f>
        <v>2</v>
      </c>
      <c r="M77" s="188">
        <f>'발전사업(A)'!AL60 + '자가소비(B)'!AL60 + 'PPA 사업(C)'!AL60 + '리스사업(D)'!AL60 + '임대사업(E)'!AL60 + '환경부사업(F)'!AL60 + '프로젝트(G)'!AL60 + '협력사 EPC(H)'!AL60 + '기타(Z)'!AL60</f>
        <v>2</v>
      </c>
      <c r="N77" s="189">
        <f>'발전사업(A)'!AM60 + '자가소비(B)'!AM60 + 'PPA 사업(C)'!AM60 + '리스사업(D)'!AM60 + '임대사업(E)'!AM60 + '환경부사업(F)'!AM60 + '프로젝트(G)'!AM60 + '협력사 EPC(H)'!AM60 + '기타(Z)'!AM60</f>
        <v>0</v>
      </c>
      <c r="O77" s="41">
        <f>'발전사업(A)'!AN60 + '자가소비(B)'!AN60 + 'PPA 사업(C)'!AN60 + '리스사업(D)'!AN60 + '임대사업(E)'!AN60 + '환경부사업(F)'!AN60 + '프로젝트(G)'!AN60 + '협력사 EPC(H)'!AN60 + '기타(Z)'!AN60 + '협력사 하도(I)'!AN60</f>
        <v>59.929140269999998</v>
      </c>
      <c r="P77" s="41">
        <f>'발전사업(A)'!AO60 + '자가소비(B)'!AO60 + 'PPA 사업(C)'!AO60 + '리스사업(D)'!AO60 + '임대사업(E)'!AO60 + '환경부사업(F)'!AO60 + '프로젝트(G)'!AO60 + '협력사 EPC(H)'!AO60 + '기타(Z)'!AO60 + '협력사 하도(I)'!AO60</f>
        <v>9.9499999999999993</v>
      </c>
      <c r="Q77" s="41">
        <f>'발전사업(A)'!AP60 + '자가소비(B)'!AP60 + 'PPA 사업(C)'!AP60 + '리스사업(D)'!AP60 + '임대사업(E)'!AP60 + '환경부사업(F)'!AP60 + '프로젝트(G)'!AP60 + '협력사 EPC(H)'!AP60 + '기타(Z)'!AP60 + '협력사 하도(I)'!AP60</f>
        <v>3.87</v>
      </c>
      <c r="R77" s="41">
        <f>'발전사업(A)'!AQ60 + '자가소비(B)'!AQ60 + 'PPA 사업(C)'!AQ60 + '리스사업(D)'!AQ60 + '임대사업(E)'!AQ60 + '환경부사업(F)'!AQ60 + '프로젝트(G)'!AQ60 + '협력사 EPC(H)'!AQ60 + '기타(Z)'!AQ60 + '협력사 하도(I)'!AQ60</f>
        <v>46.109140269999997</v>
      </c>
      <c r="S77" s="135">
        <f>'발전사업(A)'!AR60 + '자가소비(B)'!AR60 + 'PPA 사업(C)'!AR60 + '리스사업(D)'!AR60 + '임대사업(E)'!AR60 + '환경부사업(F)'!AR60 + '프로젝트(G)'!AR60 + '협력사 EPC(H)'!AR60 + '기타(Z)'!AR60 + '협력사 하도(I)'!AR60</f>
        <v>0</v>
      </c>
    </row>
    <row r="78" spans="1:19" x14ac:dyDescent="0.25">
      <c r="A78">
        <v>10</v>
      </c>
      <c r="B78" s="416"/>
      <c r="C78" s="96">
        <v>5</v>
      </c>
      <c r="D78" s="56" t="s">
        <v>64</v>
      </c>
      <c r="E78" s="134">
        <f>'발전사업(A)'!AD61 + '자가소비(B)'!AD61 + 'PPA 사업(C)'!AD61 + '리스사업(D)'!AD61 + '임대사업(E)'!AD61 + '환경부사업(F)'!AD61 + '프로젝트(G)'!AD61 + '협력사 EPC(H)'!AD61 + '기타(Z)'!AD61</f>
        <v>1454.7799999999997</v>
      </c>
      <c r="F78" s="41">
        <f>'발전사업(A)'!AE61 + '자가소비(B)'!AE61 + 'PPA 사업(C)'!AE61 + '리스사업(D)'!AE61 + '임대사업(E)'!AE61 + '환경부사업(F)'!AE61 + '프로젝트(G)'!AE61 + '협력사 EPC(H)'!AE61 + '기타(Z)'!AE61</f>
        <v>1086.1399999999999</v>
      </c>
      <c r="G78" s="41">
        <f>'발전사업(A)'!AF61 + '자가소비(B)'!AF61 + 'PPA 사업(C)'!AF61 + '리스사업(D)'!AF61 + '임대사업(E)'!AF61 + '환경부사업(F)'!AF61 + '프로젝트(G)'!AF61 + '협력사 EPC(H)'!AF61 + '기타(Z)'!AF61</f>
        <v>368.64</v>
      </c>
      <c r="H78" s="41">
        <f>'발전사업(A)'!AG61 + '자가소비(B)'!AG61 + 'PPA 사업(C)'!AG61 + '리스사업(D)'!AG61 + '임대사업(E)'!AG61 + '환경부사업(F)'!AG61 + '프로젝트(G)'!AG61 + '협력사 EPC(H)'!AG61 + '기타(Z)'!AG61</f>
        <v>0</v>
      </c>
      <c r="I78" s="130">
        <f>'발전사업(A)'!AH61 + '자가소비(B)'!AH61 + 'PPA 사업(C)'!AH61 + '리스사업(D)'!AH61 + '임대사업(E)'!AH61 + '환경부사업(F)'!AH61 + '프로젝트(G)'!AH61 + '협력사 EPC(H)'!AH61 + '기타(Z)'!AH61</f>
        <v>0</v>
      </c>
      <c r="J78" s="120">
        <f>'발전사업(A)'!AI61 + '자가소비(B)'!AI61 + 'PPA 사업(C)'!AI61 + '리스사업(D)'!AI61 + '임대사업(E)'!AI61 + '환경부사업(F)'!AI61 + '프로젝트(G)'!AI61 + '협력사 EPC(H)'!AI61 + '기타(Z)'!AI61</f>
        <v>6</v>
      </c>
      <c r="K78" s="188">
        <f>'발전사업(A)'!AJ61 + '자가소비(B)'!AJ61 + 'PPA 사업(C)'!AJ61 + '리스사업(D)'!AJ61 + '임대사업(E)'!AJ61 + '환경부사업(F)'!AJ61 + '프로젝트(G)'!AJ61 + '협력사 EPC(H)'!AJ61 + '기타(Z)'!AJ61</f>
        <v>5</v>
      </c>
      <c r="L78" s="188">
        <f>'발전사업(A)'!AK61 + '자가소비(B)'!AK61 + 'PPA 사업(C)'!AK61 + '리스사업(D)'!AK61 + '임대사업(E)'!AK61 + '환경부사업(F)'!AK61 + '프로젝트(G)'!AK61 + '협력사 EPC(H)'!AK61 + '기타(Z)'!AK61</f>
        <v>1</v>
      </c>
      <c r="M78" s="188">
        <f>'발전사업(A)'!AL61 + '자가소비(B)'!AL61 + 'PPA 사업(C)'!AL61 + '리스사업(D)'!AL61 + '임대사업(E)'!AL61 + '환경부사업(F)'!AL61 + '프로젝트(G)'!AL61 + '협력사 EPC(H)'!AL61 + '기타(Z)'!AL61</f>
        <v>0</v>
      </c>
      <c r="N78" s="189">
        <f>'발전사업(A)'!AM61 + '자가소비(B)'!AM61 + 'PPA 사업(C)'!AM61 + '리스사업(D)'!AM61 + '임대사업(E)'!AM61 + '환경부사업(F)'!AM61 + '프로젝트(G)'!AM61 + '협력사 EPC(H)'!AM61 + '기타(Z)'!AM61</f>
        <v>0</v>
      </c>
      <c r="O78" s="41">
        <f>'발전사업(A)'!AN61 + '자가소비(B)'!AN61 + 'PPA 사업(C)'!AN61 + '리스사업(D)'!AN61 + '임대사업(E)'!AN61 + '환경부사업(F)'!AN61 + '프로젝트(G)'!AN61 + '협력사 EPC(H)'!AN61 + '기타(Z)'!AN61 + '협력사 하도(I)'!AN61</f>
        <v>13.510000000000002</v>
      </c>
      <c r="P78" s="41">
        <f>'발전사업(A)'!AO61 + '자가소비(B)'!AO61 + 'PPA 사업(C)'!AO61 + '리스사업(D)'!AO61 + '임대사업(E)'!AO61 + '환경부사업(F)'!AO61 + '프로젝트(G)'!AO61 + '협력사 EPC(H)'!AO61 + '기타(Z)'!AO61 + '협력사 하도(I)'!AO61</f>
        <v>9.8800000000000008</v>
      </c>
      <c r="Q78" s="41">
        <f>'발전사업(A)'!AP61 + '자가소비(B)'!AP61 + 'PPA 사업(C)'!AP61 + '리스사업(D)'!AP61 + '임대사업(E)'!AP61 + '환경부사업(F)'!AP61 + '프로젝트(G)'!AP61 + '협력사 EPC(H)'!AP61 + '기타(Z)'!AP61 + '협력사 하도(I)'!AP61</f>
        <v>3.63</v>
      </c>
      <c r="R78" s="41">
        <f>'발전사업(A)'!AQ61 + '자가소비(B)'!AQ61 + 'PPA 사업(C)'!AQ61 + '리스사업(D)'!AQ61 + '임대사업(E)'!AQ61 + '환경부사업(F)'!AQ61 + '프로젝트(G)'!AQ61 + '협력사 EPC(H)'!AQ61 + '기타(Z)'!AQ61 + '협력사 하도(I)'!AQ61</f>
        <v>0</v>
      </c>
      <c r="S78" s="135">
        <f>'발전사업(A)'!AR61 + '자가소비(B)'!AR61 + 'PPA 사업(C)'!AR61 + '리스사업(D)'!AR61 + '임대사업(E)'!AR61 + '환경부사업(F)'!AR61 + '프로젝트(G)'!AR61 + '협력사 EPC(H)'!AR61 + '기타(Z)'!AR61 + '협력사 하도(I)'!AR61</f>
        <v>0</v>
      </c>
    </row>
    <row r="79" spans="1:19" ht="14.25" thickBot="1" x14ac:dyDescent="0.3">
      <c r="A79">
        <v>10</v>
      </c>
      <c r="B79" s="417"/>
      <c r="C79" s="97" t="s">
        <v>3</v>
      </c>
      <c r="D79" s="106"/>
      <c r="E79" s="146">
        <f>'발전사업(A)'!AD62 + '자가소비(B)'!AD62 + 'PPA 사업(C)'!AD62 + '리스사업(D)'!AD62 + '임대사업(E)'!AD62 + '환경부사업(F)'!AD62 + '프로젝트(G)'!AD62 + '협력사 EPC(H)'!AD62 + '기타(Z)'!AD62</f>
        <v>13977.66</v>
      </c>
      <c r="F79" s="147">
        <f>'발전사업(A)'!AE62 + '자가소비(B)'!AE62 + 'PPA 사업(C)'!AE62 + '리스사업(D)'!AE62 + '임대사업(E)'!AE62 + '환경부사업(F)'!AE62 + '프로젝트(G)'!AE62 + '협력사 EPC(H)'!AE62 + '기타(Z)'!AE62</f>
        <v>6791.74</v>
      </c>
      <c r="G79" s="147">
        <f>'발전사업(A)'!AF62 + '자가소비(B)'!AF62 + 'PPA 사업(C)'!AF62 + '리스사업(D)'!AF62 + '임대사업(E)'!AF62 + '환경부사업(F)'!AF62 + '프로젝트(G)'!AF62 + '협력사 EPC(H)'!AF62 + '기타(Z)'!AF62</f>
        <v>2999.68</v>
      </c>
      <c r="H79" s="147">
        <f>'발전사업(A)'!AG62 + '자가소비(B)'!AG62 + 'PPA 사업(C)'!AG62 + '리스사업(D)'!AG62 + '임대사업(E)'!AG62 + '환경부사업(F)'!AG62 + '프로젝트(G)'!AG62 + '협력사 EPC(H)'!AG62 + '기타(Z)'!AG62</f>
        <v>4186.24</v>
      </c>
      <c r="I79" s="148">
        <f>'발전사업(A)'!AH62 + '자가소비(B)'!AH62 + 'PPA 사업(C)'!AH62 + '리스사업(D)'!AH62 + '임대사업(E)'!AH62 + '환경부사업(F)'!AH62 + '프로젝트(G)'!AH62 + '협력사 EPC(H)'!AH62 + '기타(Z)'!AH62</f>
        <v>0</v>
      </c>
      <c r="J79" s="196">
        <f>'발전사업(A)'!AI62 + '자가소비(B)'!AI62 + 'PPA 사업(C)'!AI62 + '리스사업(D)'!AI62 + '임대사업(E)'!AI62 + '환경부사업(F)'!AI62 + '프로젝트(G)'!AI62 + '협력사 EPC(H)'!AI62 + '기타(Z)'!AI62</f>
        <v>47</v>
      </c>
      <c r="K79" s="197">
        <f>'발전사업(A)'!AJ62 + '자가소비(B)'!AJ62 + 'PPA 사업(C)'!AJ62 + '리스사업(D)'!AJ62 + '임대사업(E)'!AJ62 + '환경부사업(F)'!AJ62 + '프로젝트(G)'!AJ62 + '협력사 EPC(H)'!AJ62 + '기타(Z)'!AJ62</f>
        <v>31</v>
      </c>
      <c r="L79" s="197">
        <f>'발전사업(A)'!AK62 + '자가소비(B)'!AK62 + 'PPA 사업(C)'!AK62 + '리스사업(D)'!AK62 + '임대사업(E)'!AK62 + '환경부사업(F)'!AK62 + '프로젝트(G)'!AK62 + '협력사 EPC(H)'!AK62 + '기타(Z)'!AK62</f>
        <v>13</v>
      </c>
      <c r="M79" s="197">
        <f>'발전사업(A)'!AL62 + '자가소비(B)'!AL62 + 'PPA 사업(C)'!AL62 + '리스사업(D)'!AL62 + '임대사업(E)'!AL62 + '환경부사업(F)'!AL62 + '프로젝트(G)'!AL62 + '협력사 EPC(H)'!AL62 + '기타(Z)'!AL62</f>
        <v>3</v>
      </c>
      <c r="N79" s="198">
        <f>'발전사업(A)'!AM62 + '자가소비(B)'!AM62 + 'PPA 사업(C)'!AM62 + '리스사업(D)'!AM62 + '임대사업(E)'!AM62 + '환경부사업(F)'!AM62 + '프로젝트(G)'!AM62 + '협력사 EPC(H)'!AM62 + '기타(Z)'!AM62</f>
        <v>0</v>
      </c>
      <c r="O79" s="172">
        <f>'발전사업(A)'!AN62 + '자가소비(B)'!AN62 + 'PPA 사업(C)'!AN62 + '리스사업(D)'!AN62 + '임대사업(E)'!AN62 + '환경부사업(F)'!AN62 + '프로젝트(G)'!AN62 + '협력사 EPC(H)'!AN62 + '기타(Z)'!AN62 + '협력사 하도(I)'!AN62</f>
        <v>135.08089027</v>
      </c>
      <c r="P79" s="147">
        <f>'발전사업(A)'!AO62 + '자가소비(B)'!AO62 + 'PPA 사업(C)'!AO62 + '리스사업(D)'!AO62 + '임대사업(E)'!AO62 + '환경부사업(F)'!AO62 + '프로젝트(G)'!AO62 + '협력사 EPC(H)'!AO62 + '기타(Z)'!AO62 + '협력사 하도(I)'!AO62</f>
        <v>56.786000000000008</v>
      </c>
      <c r="Q79" s="147">
        <f>'발전사업(A)'!AP62 + '자가소비(B)'!AP62 + 'PPA 사업(C)'!AP62 + '리스사업(D)'!AP62 + '임대사업(E)'!AP62 + '환경부사업(F)'!AP62 + '프로젝트(G)'!AP62 + '협력사 EPC(H)'!AP62 + '기타(Z)'!AP62 + '협력사 하도(I)'!AP62</f>
        <v>26.98</v>
      </c>
      <c r="R79" s="147">
        <f>'발전사업(A)'!AQ62 + '자가소비(B)'!AQ62 + 'PPA 사업(C)'!AQ62 + '리스사업(D)'!AQ62 + '임대사업(E)'!AQ62 + '환경부사업(F)'!AQ62 + '프로젝트(G)'!AQ62 + '협력사 EPC(H)'!AQ62 + '기타(Z)'!AQ62 + '협력사 하도(I)'!AQ62</f>
        <v>51.314890269999999</v>
      </c>
      <c r="S79" s="149">
        <f>'발전사업(A)'!AR62 + '자가소비(B)'!AR62 + 'PPA 사업(C)'!AR62 + '리스사업(D)'!AR62 + '임대사업(E)'!AR62 + '환경부사업(F)'!AR62 + '프로젝트(G)'!AR62 + '협력사 EPC(H)'!AR62 + '기타(Z)'!AR62 + '협력사 하도(I)'!AR62</f>
        <v>0</v>
      </c>
    </row>
    <row r="80" spans="1:19" x14ac:dyDescent="0.25">
      <c r="A80">
        <v>11</v>
      </c>
      <c r="B80" s="415">
        <v>11</v>
      </c>
      <c r="C80" s="94">
        <v>1</v>
      </c>
      <c r="D80" s="100" t="s">
        <v>129</v>
      </c>
      <c r="E80" s="41">
        <f>'발전사업(A)'!AD63 + '자가소비(B)'!AD63 + 'PPA 사업(C)'!AD63 + '리스사업(D)'!AD63 + '임대사업(E)'!AD63 + '환경부사업(F)'!AD63 + '프로젝트(G)'!AD63 + '협력사 EPC(H)'!AD63 + '기타(Z)'!AD63</f>
        <v>6683.1200000000008</v>
      </c>
      <c r="F80" s="41">
        <f>'발전사업(A)'!AE63 + '자가소비(B)'!AE63 + 'PPA 사업(C)'!AE63 + '리스사업(D)'!AE63 + '임대사업(E)'!AE63 + '환경부사업(F)'!AE63 + '프로젝트(G)'!AE63 + '협력사 EPC(H)'!AE63 + '기타(Z)'!AE63</f>
        <v>2996.7450000000003</v>
      </c>
      <c r="G80" s="41">
        <f>'발전사업(A)'!AF63 + '자가소비(B)'!AF63 + 'PPA 사업(C)'!AF63 + '리스사업(D)'!AF63 + '임대사업(E)'!AF63 + '환경부사업(F)'!AF63 + '프로젝트(G)'!AF63 + '협력사 EPC(H)'!AF63 + '기타(Z)'!AF63</f>
        <v>553.57500000000005</v>
      </c>
      <c r="H80" s="41">
        <f>'발전사업(A)'!AG63 + '자가소비(B)'!AG63 + 'PPA 사업(C)'!AG63 + '리스사업(D)'!AG63 + '임대사업(E)'!AG63 + '환경부사업(F)'!AG63 + '프로젝트(G)'!AG63 + '협력사 EPC(H)'!AG63 + '기타(Z)'!AG63</f>
        <v>3132.8</v>
      </c>
      <c r="I80" s="130">
        <f>'발전사업(A)'!AH63 + '자가소비(B)'!AH63 + 'PPA 사업(C)'!AH63 + '리스사업(D)'!AH63 + '임대사업(E)'!AH63 + '환경부사업(F)'!AH63 + '프로젝트(G)'!AH63 + '협력사 EPC(H)'!AH63 + '기타(Z)'!AH63</f>
        <v>0</v>
      </c>
      <c r="J80" s="120">
        <f>'발전사업(A)'!AI63 + '자가소비(B)'!AI63 + 'PPA 사업(C)'!AI63 + '리스사업(D)'!AI63 + '임대사업(E)'!AI63 + '환경부사업(F)'!AI63 + '프로젝트(G)'!AI63 + '협력사 EPC(H)'!AI63 + '기타(Z)'!AI63</f>
        <v>14</v>
      </c>
      <c r="K80" s="188">
        <f>'발전사업(A)'!AJ63 + '자가소비(B)'!AJ63 + 'PPA 사업(C)'!AJ63 + '리스사업(D)'!AJ63 + '임대사업(E)'!AJ63 + '환경부사업(F)'!AJ63 + '프로젝트(G)'!AJ63 + '협력사 EPC(H)'!AJ63 + '기타(Z)'!AJ63</f>
        <v>10</v>
      </c>
      <c r="L80" s="188">
        <f>'발전사업(A)'!AK63 + '자가소비(B)'!AK63 + 'PPA 사업(C)'!AK63 + '리스사업(D)'!AK63 + '임대사업(E)'!AK63 + '환경부사업(F)'!AK63 + '프로젝트(G)'!AK63 + '협력사 EPC(H)'!AK63 + '기타(Z)'!AK63</f>
        <v>2</v>
      </c>
      <c r="M80" s="188">
        <f>'발전사업(A)'!AL63 + '자가소비(B)'!AL63 + 'PPA 사업(C)'!AL63 + '리스사업(D)'!AL63 + '임대사업(E)'!AL63 + '환경부사업(F)'!AL63 + '프로젝트(G)'!AL63 + '협력사 EPC(H)'!AL63 + '기타(Z)'!AL63</f>
        <v>2</v>
      </c>
      <c r="N80" s="189">
        <f>'발전사업(A)'!AM63 + '자가소비(B)'!AM63 + 'PPA 사업(C)'!AM63 + '리스사업(D)'!AM63 + '임대사업(E)'!AM63 + '환경부사업(F)'!AM63 + '프로젝트(G)'!AM63 + '협력사 EPC(H)'!AM63 + '기타(Z)'!AM63</f>
        <v>0</v>
      </c>
      <c r="O80" s="41">
        <f>'발전사업(A)'!AN63 + '자가소비(B)'!AN63 + 'PPA 사업(C)'!AN63 + '리스사업(D)'!AN63 + '임대사업(E)'!AN63 + '환경부사업(F)'!AN63 + '프로젝트(G)'!AN63 + '협력사 EPC(H)'!AN63 + '기타(Z)'!AN63 + '협력사 하도(I)'!AN63</f>
        <v>79.180000000000007</v>
      </c>
      <c r="P80" s="41">
        <f>'발전사업(A)'!AO63 + '자가소비(B)'!AO63 + 'PPA 사업(C)'!AO63 + '리스사업(D)'!AO63 + '임대사업(E)'!AO63 + '환경부사업(F)'!AO63 + '프로젝트(G)'!AO63 + '협력사 EPC(H)'!AO63 + '기타(Z)'!AO63 + '협력사 하도(I)'!AO63</f>
        <v>26.640000000000004</v>
      </c>
      <c r="Q80" s="41">
        <f>'발전사업(A)'!AP63 + '자가소비(B)'!AP63 + 'PPA 사업(C)'!AP63 + '리스사업(D)'!AP63 + '임대사업(E)'!AP63 + '환경부사업(F)'!AP63 + '프로젝트(G)'!AP63 + '협력사 EPC(H)'!AP63 + '기타(Z)'!AP63 + '협력사 하도(I)'!AP63</f>
        <v>5.1400000000000006</v>
      </c>
      <c r="R80" s="41">
        <f>'발전사업(A)'!AQ63 + '자가소비(B)'!AQ63 + 'PPA 사업(C)'!AQ63 + '리스사업(D)'!AQ63 + '임대사업(E)'!AQ63 + '환경부사업(F)'!AQ63 + '프로젝트(G)'!AQ63 + '협력사 EPC(H)'!AQ63 + '기타(Z)'!AQ63 + '협력사 하도(I)'!AQ63</f>
        <v>47.400000000000006</v>
      </c>
      <c r="S80" s="135">
        <f>'발전사업(A)'!AR63 + '자가소비(B)'!AR63 + 'PPA 사업(C)'!AR63 + '리스사업(D)'!AR63 + '임대사업(E)'!AR63 + '환경부사업(F)'!AR63 + '프로젝트(G)'!AR63 + '협력사 EPC(H)'!AR63 + '기타(Z)'!AR63 + '협력사 하도(I)'!AR63</f>
        <v>0</v>
      </c>
    </row>
    <row r="81" spans="1:19" x14ac:dyDescent="0.25">
      <c r="A81">
        <v>11</v>
      </c>
      <c r="B81" s="416"/>
      <c r="C81" s="95">
        <v>2</v>
      </c>
      <c r="D81" s="102" t="s">
        <v>65</v>
      </c>
      <c r="E81" s="41">
        <f>'발전사업(A)'!AD64 + '자가소비(B)'!AD64 + 'PPA 사업(C)'!AD64 + '리스사업(D)'!AD64 + '임대사업(E)'!AD64 + '환경부사업(F)'!AD64 + '프로젝트(G)'!AD64 + '협력사 EPC(H)'!AD64 + '기타(Z)'!AD64</f>
        <v>1914.1750000000002</v>
      </c>
      <c r="F81" s="41">
        <f>'발전사업(A)'!AE64 + '자가소비(B)'!AE64 + 'PPA 사업(C)'!AE64 + '리스사업(D)'!AE64 + '임대사업(E)'!AE64 + '환경부사업(F)'!AE64 + '프로젝트(G)'!AE64 + '협력사 EPC(H)'!AE64 + '기타(Z)'!AE64</f>
        <v>1028.5550000000001</v>
      </c>
      <c r="G81" s="41">
        <f>'발전사업(A)'!AF64 + '자가소비(B)'!AF64 + 'PPA 사업(C)'!AF64 + '리스사업(D)'!AF64 + '임대사업(E)'!AF64 + '환경부사업(F)'!AF64 + '프로젝트(G)'!AF64 + '협력사 EPC(H)'!AF64 + '기타(Z)'!AF64</f>
        <v>885.62</v>
      </c>
      <c r="H81" s="41">
        <f>'발전사업(A)'!AG64 + '자가소비(B)'!AG64 + 'PPA 사업(C)'!AG64 + '리스사업(D)'!AG64 + '임대사업(E)'!AG64 + '환경부사업(F)'!AG64 + '프로젝트(G)'!AG64 + '협력사 EPC(H)'!AG64 + '기타(Z)'!AG64</f>
        <v>0</v>
      </c>
      <c r="I81" s="130">
        <f>'발전사업(A)'!AH64 + '자가소비(B)'!AH64 + 'PPA 사업(C)'!AH64 + '리스사업(D)'!AH64 + '임대사업(E)'!AH64 + '환경부사업(F)'!AH64 + '프로젝트(G)'!AH64 + '협력사 EPC(H)'!AH64 + '기타(Z)'!AH64</f>
        <v>0</v>
      </c>
      <c r="J81" s="120">
        <f>'발전사업(A)'!AI64 + '자가소비(B)'!AI64 + 'PPA 사업(C)'!AI64 + '리스사업(D)'!AI64 + '임대사업(E)'!AI64 + '환경부사업(F)'!AI64 + '프로젝트(G)'!AI64 + '협력사 EPC(H)'!AI64 + '기타(Z)'!AI64</f>
        <v>8</v>
      </c>
      <c r="K81" s="188">
        <f>'발전사업(A)'!AJ64 + '자가소비(B)'!AJ64 + 'PPA 사업(C)'!AJ64 + '리스사업(D)'!AJ64 + '임대사업(E)'!AJ64 + '환경부사업(F)'!AJ64 + '프로젝트(G)'!AJ64 + '협력사 EPC(H)'!AJ64 + '기타(Z)'!AJ64</f>
        <v>5</v>
      </c>
      <c r="L81" s="188">
        <f>'발전사업(A)'!AK64 + '자가소비(B)'!AK64 + 'PPA 사업(C)'!AK64 + '리스사업(D)'!AK64 + '임대사업(E)'!AK64 + '환경부사업(F)'!AK64 + '프로젝트(G)'!AK64 + '협력사 EPC(H)'!AK64 + '기타(Z)'!AK64</f>
        <v>3</v>
      </c>
      <c r="M81" s="188">
        <f>'발전사업(A)'!AL64 + '자가소비(B)'!AL64 + 'PPA 사업(C)'!AL64 + '리스사업(D)'!AL64 + '임대사업(E)'!AL64 + '환경부사업(F)'!AL64 + '프로젝트(G)'!AL64 + '협력사 EPC(H)'!AL64 + '기타(Z)'!AL64</f>
        <v>0</v>
      </c>
      <c r="N81" s="189">
        <f>'발전사업(A)'!AM64 + '자가소비(B)'!AM64 + 'PPA 사업(C)'!AM64 + '리스사업(D)'!AM64 + '임대사업(E)'!AM64 + '환경부사업(F)'!AM64 + '프로젝트(G)'!AM64 + '협력사 EPC(H)'!AM64 + '기타(Z)'!AM64</f>
        <v>0</v>
      </c>
      <c r="O81" s="41">
        <f>'발전사업(A)'!AN64 + '자가소비(B)'!AN64 + 'PPA 사업(C)'!AN64 + '리스사업(D)'!AN64 + '임대사업(E)'!AN64 + '환경부사업(F)'!AN64 + '프로젝트(G)'!AN64 + '협력사 EPC(H)'!AN64 + '기타(Z)'!AN64 + '협력사 하도(I)'!AN64</f>
        <v>17.73</v>
      </c>
      <c r="P81" s="41">
        <f>'발전사업(A)'!AO64 + '자가소비(B)'!AO64 + 'PPA 사업(C)'!AO64 + '리스사업(D)'!AO64 + '임대사업(E)'!AO64 + '환경부사업(F)'!AO64 + '프로젝트(G)'!AO64 + '협력사 EPC(H)'!AO64 + '기타(Z)'!AO64 + '협력사 하도(I)'!AO64</f>
        <v>9.370000000000001</v>
      </c>
      <c r="Q81" s="41">
        <f>'발전사업(A)'!AP64 + '자가소비(B)'!AP64 + 'PPA 사업(C)'!AP64 + '리스사업(D)'!AP64 + '임대사업(E)'!AP64 + '환경부사업(F)'!AP64 + '프로젝트(G)'!AP64 + '협력사 EPC(H)'!AP64 + '기타(Z)'!AP64 + '협력사 하도(I)'!AP64</f>
        <v>8.36</v>
      </c>
      <c r="R81" s="41">
        <f>'발전사업(A)'!AQ64 + '자가소비(B)'!AQ64 + 'PPA 사업(C)'!AQ64 + '리스사업(D)'!AQ64 + '임대사업(E)'!AQ64 + '환경부사업(F)'!AQ64 + '프로젝트(G)'!AQ64 + '협력사 EPC(H)'!AQ64 + '기타(Z)'!AQ64 + '협력사 하도(I)'!AQ64</f>
        <v>0</v>
      </c>
      <c r="S81" s="135">
        <f>'발전사업(A)'!AR64 + '자가소비(B)'!AR64 + 'PPA 사업(C)'!AR64 + '리스사업(D)'!AR64 + '임대사업(E)'!AR64 + '환경부사업(F)'!AR64 + '프로젝트(G)'!AR64 + '협력사 EPC(H)'!AR64 + '기타(Z)'!AR64 + '협력사 하도(I)'!AR64</f>
        <v>0</v>
      </c>
    </row>
    <row r="82" spans="1:19" x14ac:dyDescent="0.25">
      <c r="A82">
        <v>11</v>
      </c>
      <c r="B82" s="416"/>
      <c r="C82" s="95">
        <v>3</v>
      </c>
      <c r="D82" s="102" t="s">
        <v>66</v>
      </c>
      <c r="E82" s="41">
        <f>'발전사업(A)'!AD65 + '자가소비(B)'!AD65 + 'PPA 사업(C)'!AD65 + '리스사업(D)'!AD65 + '임대사업(E)'!AD65 + '환경부사업(F)'!AD65 + '프로젝트(G)'!AD65 + '협력사 EPC(H)'!AD65 + '기타(Z)'!AD65</f>
        <v>2657.75</v>
      </c>
      <c r="F82" s="41">
        <f>'발전사업(A)'!AE65 + '자가소비(B)'!AE65 + 'PPA 사업(C)'!AE65 + '리스사업(D)'!AE65 + '임대사업(E)'!AE65 + '환경부사업(F)'!AE65 + '프로젝트(G)'!AE65 + '협력사 EPC(H)'!AE65 + '기타(Z)'!AE65</f>
        <v>2013.32</v>
      </c>
      <c r="G82" s="41">
        <f>'발전사업(A)'!AF65 + '자가소비(B)'!AF65 + 'PPA 사업(C)'!AF65 + '리스사업(D)'!AF65 + '임대사업(E)'!AF65 + '환경부사업(F)'!AF65 + '프로젝트(G)'!AF65 + '협력사 EPC(H)'!AF65 + '기타(Z)'!AF65</f>
        <v>644.43000000000006</v>
      </c>
      <c r="H82" s="41">
        <f>'발전사업(A)'!AG65 + '자가소비(B)'!AG65 + 'PPA 사업(C)'!AG65 + '리스사업(D)'!AG65 + '임대사업(E)'!AG65 + '환경부사업(F)'!AG65 + '프로젝트(G)'!AG65 + '협력사 EPC(H)'!AG65 + '기타(Z)'!AG65</f>
        <v>0</v>
      </c>
      <c r="I82" s="130">
        <f>'발전사업(A)'!AH65 + '자가소비(B)'!AH65 + 'PPA 사업(C)'!AH65 + '리스사업(D)'!AH65 + '임대사업(E)'!AH65 + '환경부사업(F)'!AH65 + '프로젝트(G)'!AH65 + '협력사 EPC(H)'!AH65 + '기타(Z)'!AH65</f>
        <v>0</v>
      </c>
      <c r="J82" s="120">
        <f>'발전사업(A)'!AI65 + '자가소비(B)'!AI65 + 'PPA 사업(C)'!AI65 + '리스사업(D)'!AI65 + '임대사업(E)'!AI65 + '환경부사업(F)'!AI65 + '프로젝트(G)'!AI65 + '협력사 EPC(H)'!AI65 + '기타(Z)'!AI65</f>
        <v>10</v>
      </c>
      <c r="K82" s="188">
        <f>'발전사업(A)'!AJ65 + '자가소비(B)'!AJ65 + 'PPA 사업(C)'!AJ65 + '리스사업(D)'!AJ65 + '임대사업(E)'!AJ65 + '환경부사업(F)'!AJ65 + '프로젝트(G)'!AJ65 + '협력사 EPC(H)'!AJ65 + '기타(Z)'!AJ65</f>
        <v>7</v>
      </c>
      <c r="L82" s="188">
        <f>'발전사업(A)'!AK65 + '자가소비(B)'!AK65 + 'PPA 사업(C)'!AK65 + '리스사업(D)'!AK65 + '임대사업(E)'!AK65 + '환경부사업(F)'!AK65 + '프로젝트(G)'!AK65 + '협력사 EPC(H)'!AK65 + '기타(Z)'!AK65</f>
        <v>3</v>
      </c>
      <c r="M82" s="188">
        <f>'발전사업(A)'!AL65 + '자가소비(B)'!AL65 + 'PPA 사업(C)'!AL65 + '리스사업(D)'!AL65 + '임대사업(E)'!AL65 + '환경부사업(F)'!AL65 + '프로젝트(G)'!AL65 + '협력사 EPC(H)'!AL65 + '기타(Z)'!AL65</f>
        <v>0</v>
      </c>
      <c r="N82" s="189">
        <f>'발전사업(A)'!AM65 + '자가소비(B)'!AM65 + 'PPA 사업(C)'!AM65 + '리스사업(D)'!AM65 + '임대사업(E)'!AM65 + '환경부사업(F)'!AM65 + '프로젝트(G)'!AM65 + '협력사 EPC(H)'!AM65 + '기타(Z)'!AM65</f>
        <v>0</v>
      </c>
      <c r="O82" s="41">
        <f>'발전사업(A)'!AN65 + '자가소비(B)'!AN65 + 'PPA 사업(C)'!AN65 + '리스사업(D)'!AN65 + '임대사업(E)'!AN65 + '환경부사업(F)'!AN65 + '프로젝트(G)'!AN65 + '협력사 EPC(H)'!AN65 + '기타(Z)'!AN65 + '협력사 하도(I)'!AN65</f>
        <v>21.39</v>
      </c>
      <c r="P82" s="41">
        <f>'발전사업(A)'!AO65 + '자가소비(B)'!AO65 + 'PPA 사업(C)'!AO65 + '리스사업(D)'!AO65 + '임대사업(E)'!AO65 + '환경부사업(F)'!AO65 + '프로젝트(G)'!AO65 + '협력사 EPC(H)'!AO65 + '기타(Z)'!AO65 + '협력사 하도(I)'!AO65</f>
        <v>19.11</v>
      </c>
      <c r="Q82" s="41">
        <f>'발전사업(A)'!AP65 + '자가소비(B)'!AP65 + 'PPA 사업(C)'!AP65 + '리스사업(D)'!AP65 + '임대사업(E)'!AP65 + '환경부사업(F)'!AP65 + '프로젝트(G)'!AP65 + '협력사 EPC(H)'!AP65 + '기타(Z)'!AP65 + '협력사 하도(I)'!AP65</f>
        <v>2.2800000000000002</v>
      </c>
      <c r="R82" s="41">
        <f>'발전사업(A)'!AQ65 + '자가소비(B)'!AQ65 + 'PPA 사업(C)'!AQ65 + '리스사업(D)'!AQ65 + '임대사업(E)'!AQ65 + '환경부사업(F)'!AQ65 + '프로젝트(G)'!AQ65 + '협력사 EPC(H)'!AQ65 + '기타(Z)'!AQ65 + '협력사 하도(I)'!AQ65</f>
        <v>0</v>
      </c>
      <c r="S82" s="135">
        <f>'발전사업(A)'!AR65 + '자가소비(B)'!AR65 + 'PPA 사업(C)'!AR65 + '리스사업(D)'!AR65 + '임대사업(E)'!AR65 + '환경부사업(F)'!AR65 + '프로젝트(G)'!AR65 + '협력사 EPC(H)'!AR65 + '기타(Z)'!AR65 + '협력사 하도(I)'!AR65</f>
        <v>0</v>
      </c>
    </row>
    <row r="83" spans="1:19" x14ac:dyDescent="0.25">
      <c r="A83">
        <v>11</v>
      </c>
      <c r="B83" s="416"/>
      <c r="C83" s="95">
        <v>4</v>
      </c>
      <c r="D83" s="102" t="s">
        <v>67</v>
      </c>
      <c r="E83" s="41">
        <f>'발전사업(A)'!AD66 + '자가소비(B)'!AD66 + 'PPA 사업(C)'!AD66 + '리스사업(D)'!AD66 + '임대사업(E)'!AD66 + '환경부사업(F)'!AD66 + '프로젝트(G)'!AD66 + '협력사 EPC(H)'!AD66 + '기타(Z)'!AD66</f>
        <v>1904.1200000000001</v>
      </c>
      <c r="F83" s="41">
        <f>'발전사업(A)'!AE66 + '자가소비(B)'!AE66 + 'PPA 사업(C)'!AE66 + '리스사업(D)'!AE66 + '임대사업(E)'!AE66 + '환경부사업(F)'!AE66 + '프로젝트(G)'!AE66 + '협력사 EPC(H)'!AE66 + '기타(Z)'!AE66</f>
        <v>1849.94</v>
      </c>
      <c r="G83" s="41">
        <f>'발전사업(A)'!AF66 + '자가소비(B)'!AF66 + 'PPA 사업(C)'!AF66 + '리스사업(D)'!AF66 + '임대사업(E)'!AF66 + '환경부사업(F)'!AF66 + '프로젝트(G)'!AF66 + '협력사 EPC(H)'!AF66 + '기타(Z)'!AF66</f>
        <v>54.18</v>
      </c>
      <c r="H83" s="41">
        <f>'발전사업(A)'!AG66 + '자가소비(B)'!AG66 + 'PPA 사업(C)'!AG66 + '리스사업(D)'!AG66 + '임대사업(E)'!AG66 + '환경부사업(F)'!AG66 + '프로젝트(G)'!AG66 + '협력사 EPC(H)'!AG66 + '기타(Z)'!AG66</f>
        <v>0</v>
      </c>
      <c r="I83" s="130">
        <f>'발전사업(A)'!AH66 + '자가소비(B)'!AH66 + 'PPA 사업(C)'!AH66 + '리스사업(D)'!AH66 + '임대사업(E)'!AH66 + '환경부사업(F)'!AH66 + '프로젝트(G)'!AH66 + '협력사 EPC(H)'!AH66 + '기타(Z)'!AH66</f>
        <v>0</v>
      </c>
      <c r="J83" s="120">
        <f>'발전사업(A)'!AI66 + '자가소비(B)'!AI66 + 'PPA 사업(C)'!AI66 + '리스사업(D)'!AI66 + '임대사업(E)'!AI66 + '환경부사업(F)'!AI66 + '프로젝트(G)'!AI66 + '협력사 EPC(H)'!AI66 + '기타(Z)'!AI66</f>
        <v>5</v>
      </c>
      <c r="K83" s="188">
        <f>'발전사업(A)'!AJ66 + '자가소비(B)'!AJ66 + 'PPA 사업(C)'!AJ66 + '리스사업(D)'!AJ66 + '임대사업(E)'!AJ66 + '환경부사업(F)'!AJ66 + '프로젝트(G)'!AJ66 + '협력사 EPC(H)'!AJ66 + '기타(Z)'!AJ66</f>
        <v>4</v>
      </c>
      <c r="L83" s="188">
        <f>'발전사업(A)'!AK66 + '자가소비(B)'!AK66 + 'PPA 사업(C)'!AK66 + '리스사업(D)'!AK66 + '임대사업(E)'!AK66 + '환경부사업(F)'!AK66 + '프로젝트(G)'!AK66 + '협력사 EPC(H)'!AK66 + '기타(Z)'!AK66</f>
        <v>1</v>
      </c>
      <c r="M83" s="188">
        <f>'발전사업(A)'!AL66 + '자가소비(B)'!AL66 + 'PPA 사업(C)'!AL66 + '리스사업(D)'!AL66 + '임대사업(E)'!AL66 + '환경부사업(F)'!AL66 + '프로젝트(G)'!AL66 + '협력사 EPC(H)'!AL66 + '기타(Z)'!AL66</f>
        <v>0</v>
      </c>
      <c r="N83" s="189">
        <f>'발전사업(A)'!AM66 + '자가소비(B)'!AM66 + 'PPA 사업(C)'!AM66 + '리스사업(D)'!AM66 + '임대사업(E)'!AM66 + '환경부사업(F)'!AM66 + '프로젝트(G)'!AM66 + '협력사 EPC(H)'!AM66 + '기타(Z)'!AM66</f>
        <v>0</v>
      </c>
      <c r="O83" s="41">
        <f>'발전사업(A)'!AN66 + '자가소비(B)'!AN66 + 'PPA 사업(C)'!AN66 + '리스사업(D)'!AN66 + '임대사업(E)'!AN66 + '환경부사업(F)'!AN66 + '프로젝트(G)'!AN66 + '협력사 EPC(H)'!AN66 + '기타(Z)'!AN66 + '협력사 하도(I)'!AN66</f>
        <v>16.814800000000002</v>
      </c>
      <c r="P83" s="41">
        <f>'발전사업(A)'!AO66 + '자가소비(B)'!AO66 + 'PPA 사업(C)'!AO66 + '리스사업(D)'!AO66 + '임대사업(E)'!AO66 + '환경부사업(F)'!AO66 + '프로젝트(G)'!AO66 + '협력사 EPC(H)'!AO66 + '기타(Z)'!AO66 + '협력사 하도(I)'!AO66</f>
        <v>16.2148</v>
      </c>
      <c r="Q83" s="41">
        <f>'발전사업(A)'!AP66 + '자가소비(B)'!AP66 + 'PPA 사업(C)'!AP66 + '리스사업(D)'!AP66 + '임대사업(E)'!AP66 + '환경부사업(F)'!AP66 + '프로젝트(G)'!AP66 + '협력사 EPC(H)'!AP66 + '기타(Z)'!AP66 + '협력사 하도(I)'!AP66</f>
        <v>0.6</v>
      </c>
      <c r="R83" s="41">
        <f>'발전사업(A)'!AQ66 + '자가소비(B)'!AQ66 + 'PPA 사업(C)'!AQ66 + '리스사업(D)'!AQ66 + '임대사업(E)'!AQ66 + '환경부사업(F)'!AQ66 + '프로젝트(G)'!AQ66 + '협력사 EPC(H)'!AQ66 + '기타(Z)'!AQ66 + '협력사 하도(I)'!AQ66</f>
        <v>0</v>
      </c>
      <c r="S83" s="135">
        <f>'발전사업(A)'!AR66 + '자가소비(B)'!AR66 + 'PPA 사업(C)'!AR66 + '리스사업(D)'!AR66 + '임대사업(E)'!AR66 + '환경부사업(F)'!AR66 + '프로젝트(G)'!AR66 + '협력사 EPC(H)'!AR66 + '기타(Z)'!AR66 + '협력사 하도(I)'!AR66</f>
        <v>0</v>
      </c>
    </row>
    <row r="84" spans="1:19" x14ac:dyDescent="0.25">
      <c r="A84">
        <v>11</v>
      </c>
      <c r="B84" s="416"/>
      <c r="C84" s="96">
        <v>5</v>
      </c>
      <c r="D84" s="105"/>
      <c r="E84" s="41">
        <f>'발전사업(A)'!AD67 + '자가소비(B)'!AD67 + 'PPA 사업(C)'!AD67 + '리스사업(D)'!AD67 + '임대사업(E)'!AD67 + '환경부사업(F)'!AD67 + '프로젝트(G)'!AD67 + '협력사 EPC(H)'!AD67 + '기타(Z)'!AD67</f>
        <v>0</v>
      </c>
      <c r="F84" s="41">
        <f>'발전사업(A)'!AE67 + '자가소비(B)'!AE67 + 'PPA 사업(C)'!AE67 + '리스사업(D)'!AE67 + '임대사업(E)'!AE67 + '환경부사업(F)'!AE67 + '프로젝트(G)'!AE67 + '협력사 EPC(H)'!AE67 + '기타(Z)'!AE67</f>
        <v>0</v>
      </c>
      <c r="G84" s="41">
        <f>'발전사업(A)'!AF67 + '자가소비(B)'!AF67 + 'PPA 사업(C)'!AF67 + '리스사업(D)'!AF67 + '임대사업(E)'!AF67 + '환경부사업(F)'!AF67 + '프로젝트(G)'!AF67 + '협력사 EPC(H)'!AF67 + '기타(Z)'!AF67</f>
        <v>0</v>
      </c>
      <c r="H84" s="41">
        <f>'발전사업(A)'!AG67 + '자가소비(B)'!AG67 + 'PPA 사업(C)'!AG67 + '리스사업(D)'!AG67 + '임대사업(E)'!AG67 + '환경부사업(F)'!AG67 + '프로젝트(G)'!AG67 + '협력사 EPC(H)'!AG67 + '기타(Z)'!AG67</f>
        <v>0</v>
      </c>
      <c r="I84" s="130">
        <f>'발전사업(A)'!AH67 + '자가소비(B)'!AH67 + 'PPA 사업(C)'!AH67 + '리스사업(D)'!AH67 + '임대사업(E)'!AH67 + '환경부사업(F)'!AH67 + '프로젝트(G)'!AH67 + '협력사 EPC(H)'!AH67 + '기타(Z)'!AH67</f>
        <v>0</v>
      </c>
      <c r="J84" s="120">
        <f>'발전사업(A)'!AI67 + '자가소비(B)'!AI67 + 'PPA 사업(C)'!AI67 + '리스사업(D)'!AI67 + '임대사업(E)'!AI67 + '환경부사업(F)'!AI67 + '프로젝트(G)'!AI67 + '협력사 EPC(H)'!AI67 + '기타(Z)'!AI67</f>
        <v>0</v>
      </c>
      <c r="K84" s="188">
        <f>'발전사업(A)'!AJ67 + '자가소비(B)'!AJ67 + 'PPA 사업(C)'!AJ67 + '리스사업(D)'!AJ67 + '임대사업(E)'!AJ67 + '환경부사업(F)'!AJ67 + '프로젝트(G)'!AJ67 + '협력사 EPC(H)'!AJ67 + '기타(Z)'!AJ67</f>
        <v>0</v>
      </c>
      <c r="L84" s="188">
        <f>'발전사업(A)'!AK67 + '자가소비(B)'!AK67 + 'PPA 사업(C)'!AK67 + '리스사업(D)'!AK67 + '임대사업(E)'!AK67 + '환경부사업(F)'!AK67 + '프로젝트(G)'!AK67 + '협력사 EPC(H)'!AK67 + '기타(Z)'!AK67</f>
        <v>0</v>
      </c>
      <c r="M84" s="188">
        <f>'발전사업(A)'!AL67 + '자가소비(B)'!AL67 + 'PPA 사업(C)'!AL67 + '리스사업(D)'!AL67 + '임대사업(E)'!AL67 + '환경부사업(F)'!AL67 + '프로젝트(G)'!AL67 + '협력사 EPC(H)'!AL67 + '기타(Z)'!AL67</f>
        <v>0</v>
      </c>
      <c r="N84" s="189">
        <f>'발전사업(A)'!AM67 + '자가소비(B)'!AM67 + 'PPA 사업(C)'!AM67 + '리스사업(D)'!AM67 + '임대사업(E)'!AM67 + '환경부사업(F)'!AM67 + '프로젝트(G)'!AM67 + '협력사 EPC(H)'!AM67 + '기타(Z)'!AM67</f>
        <v>0</v>
      </c>
      <c r="O84" s="41">
        <f>'발전사업(A)'!AN67 + '자가소비(B)'!AN67 + 'PPA 사업(C)'!AN67 + '리스사업(D)'!AN67 + '임대사업(E)'!AN67 + '환경부사업(F)'!AN67 + '프로젝트(G)'!AN67 + '협력사 EPC(H)'!AN67 + '기타(Z)'!AN67 + '협력사 하도(I)'!AN67</f>
        <v>0</v>
      </c>
      <c r="P84" s="41">
        <f>'발전사업(A)'!AO67 + '자가소비(B)'!AO67 + 'PPA 사업(C)'!AO67 + '리스사업(D)'!AO67 + '임대사업(E)'!AO67 + '환경부사업(F)'!AO67 + '프로젝트(G)'!AO67 + '협력사 EPC(H)'!AO67 + '기타(Z)'!AO67 + '협력사 하도(I)'!AO67</f>
        <v>0</v>
      </c>
      <c r="Q84" s="41">
        <f>'발전사업(A)'!AP67 + '자가소비(B)'!AP67 + 'PPA 사업(C)'!AP67 + '리스사업(D)'!AP67 + '임대사업(E)'!AP67 + '환경부사업(F)'!AP67 + '프로젝트(G)'!AP67 + '협력사 EPC(H)'!AP67 + '기타(Z)'!AP67 + '협력사 하도(I)'!AP67</f>
        <v>0</v>
      </c>
      <c r="R84" s="41">
        <f>'발전사업(A)'!AQ67 + '자가소비(B)'!AQ67 + 'PPA 사업(C)'!AQ67 + '리스사업(D)'!AQ67 + '임대사업(E)'!AQ67 + '환경부사업(F)'!AQ67 + '프로젝트(G)'!AQ67 + '협력사 EPC(H)'!AQ67 + '기타(Z)'!AQ67 + '협력사 하도(I)'!AQ67</f>
        <v>0</v>
      </c>
      <c r="S84" s="135">
        <f>'발전사업(A)'!AR67 + '자가소비(B)'!AR67 + 'PPA 사업(C)'!AR67 + '리스사업(D)'!AR67 + '임대사업(E)'!AR67 + '환경부사업(F)'!AR67 + '프로젝트(G)'!AR67 + '협력사 EPC(H)'!AR67 + '기타(Z)'!AR67 + '협력사 하도(I)'!AR67</f>
        <v>0</v>
      </c>
    </row>
    <row r="85" spans="1:19" ht="14.25" thickBot="1" x14ac:dyDescent="0.3">
      <c r="A85">
        <v>11</v>
      </c>
      <c r="B85" s="417"/>
      <c r="C85" s="97" t="s">
        <v>3</v>
      </c>
      <c r="D85" s="106"/>
      <c r="E85" s="139">
        <f>'발전사업(A)'!AD68 + '자가소비(B)'!AD68 + 'PPA 사업(C)'!AD68 + '리스사업(D)'!AD68 + '임대사업(E)'!AD68 + '환경부사업(F)'!AD68 + '프로젝트(G)'!AD68 + '협력사 EPC(H)'!AD68 + '기타(Z)'!AD68</f>
        <v>13159.165000000005</v>
      </c>
      <c r="F85" s="139">
        <f>'발전사업(A)'!AE68 + '자가소비(B)'!AE68 + 'PPA 사업(C)'!AE68 + '리스사업(D)'!AE68 + '임대사업(E)'!AE68 + '환경부사업(F)'!AE68 + '프로젝트(G)'!AE68 + '협력사 EPC(H)'!AE68 + '기타(Z)'!AE68</f>
        <v>7888.56</v>
      </c>
      <c r="G85" s="139">
        <f>'발전사업(A)'!AF68 + '자가소비(B)'!AF68 + 'PPA 사업(C)'!AF68 + '리스사업(D)'!AF68 + '임대사업(E)'!AF68 + '환경부사업(F)'!AF68 + '프로젝트(G)'!AF68 + '협력사 EPC(H)'!AF68 + '기타(Z)'!AF68</f>
        <v>2137.8050000000003</v>
      </c>
      <c r="H85" s="139">
        <f>'발전사업(A)'!AG68 + '자가소비(B)'!AG68 + 'PPA 사업(C)'!AG68 + '리스사업(D)'!AG68 + '임대사업(E)'!AG68 + '환경부사업(F)'!AG68 + '프로젝트(G)'!AG68 + '협력사 EPC(H)'!AG68 + '기타(Z)'!AG68</f>
        <v>3132.8</v>
      </c>
      <c r="I85" s="140">
        <f>'발전사업(A)'!AH68 + '자가소비(B)'!AH68 + 'PPA 사업(C)'!AH68 + '리스사업(D)'!AH68 + '임대사업(E)'!AH68 + '환경부사업(F)'!AH68 + '프로젝트(G)'!AH68 + '협력사 EPC(H)'!AH68 + '기타(Z)'!AH68</f>
        <v>0</v>
      </c>
      <c r="J85" s="190">
        <f>'발전사업(A)'!AI68 + '자가소비(B)'!AI68 + 'PPA 사업(C)'!AI68 + '리스사업(D)'!AI68 + '임대사업(E)'!AI68 + '환경부사업(F)'!AI68 + '프로젝트(G)'!AI68 + '협력사 EPC(H)'!AI68 + '기타(Z)'!AI68</f>
        <v>37</v>
      </c>
      <c r="K85" s="191">
        <f>'발전사업(A)'!AJ68 + '자가소비(B)'!AJ68 + 'PPA 사업(C)'!AJ68 + '리스사업(D)'!AJ68 + '임대사업(E)'!AJ68 + '환경부사업(F)'!AJ68 + '프로젝트(G)'!AJ68 + '협력사 EPC(H)'!AJ68 + '기타(Z)'!AJ68</f>
        <v>26</v>
      </c>
      <c r="L85" s="191">
        <f>'발전사업(A)'!AK68 + '자가소비(B)'!AK68 + 'PPA 사업(C)'!AK68 + '리스사업(D)'!AK68 + '임대사업(E)'!AK68 + '환경부사업(F)'!AK68 + '프로젝트(G)'!AK68 + '협력사 EPC(H)'!AK68 + '기타(Z)'!AK68</f>
        <v>9</v>
      </c>
      <c r="M85" s="191">
        <f>'발전사업(A)'!AL68 + '자가소비(B)'!AL68 + 'PPA 사업(C)'!AL68 + '리스사업(D)'!AL68 + '임대사업(E)'!AL68 + '환경부사업(F)'!AL68 + '프로젝트(G)'!AL68 + '협력사 EPC(H)'!AL68 + '기타(Z)'!AL68</f>
        <v>2</v>
      </c>
      <c r="N85" s="192">
        <f>'발전사업(A)'!AM68 + '자가소비(B)'!AM68 + 'PPA 사업(C)'!AM68 + '리스사업(D)'!AM68 + '임대사업(E)'!AM68 + '환경부사업(F)'!AM68 + '프로젝트(G)'!AM68 + '협력사 EPC(H)'!AM68 + '기타(Z)'!AM68</f>
        <v>0</v>
      </c>
      <c r="O85" s="172">
        <f>'발전사업(A)'!AN68 + '자가소비(B)'!AN68 + 'PPA 사업(C)'!AN68 + '리스사업(D)'!AN68 + '임대사업(E)'!AN68 + '환경부사업(F)'!AN68 + '프로젝트(G)'!AN68 + '협력사 EPC(H)'!AN68 + '기타(Z)'!AN68 + '협력사 하도(I)'!AN68</f>
        <v>135.1148</v>
      </c>
      <c r="P85" s="139">
        <f>'발전사업(A)'!AO68 + '자가소비(B)'!AO68 + 'PPA 사업(C)'!AO68 + '리스사업(D)'!AO68 + '임대사업(E)'!AO68 + '환경부사업(F)'!AO68 + '프로젝트(G)'!AO68 + '협력사 EPC(H)'!AO68 + '기타(Z)'!AO68 + '협력사 하도(I)'!AO68</f>
        <v>71.334800000000016</v>
      </c>
      <c r="Q85" s="139">
        <f>'발전사업(A)'!AP68 + '자가소비(B)'!AP68 + 'PPA 사업(C)'!AP68 + '리스사업(D)'!AP68 + '임대사업(E)'!AP68 + '환경부사업(F)'!AP68 + '프로젝트(G)'!AP68 + '협력사 EPC(H)'!AP68 + '기타(Z)'!AP68 + '협력사 하도(I)'!AP68</f>
        <v>16.380000000000003</v>
      </c>
      <c r="R85" s="139">
        <f>'발전사업(A)'!AQ68 + '자가소비(B)'!AQ68 + 'PPA 사업(C)'!AQ68 + '리스사업(D)'!AQ68 + '임대사업(E)'!AQ68 + '환경부사업(F)'!AQ68 + '프로젝트(G)'!AQ68 + '협력사 EPC(H)'!AQ68 + '기타(Z)'!AQ68 + '협력사 하도(I)'!AQ68</f>
        <v>47.400000000000006</v>
      </c>
      <c r="S85" s="141">
        <f>'발전사업(A)'!AR68 + '자가소비(B)'!AR68 + 'PPA 사업(C)'!AR68 + '리스사업(D)'!AR68 + '임대사업(E)'!AR68 + '환경부사업(F)'!AR68 + '프로젝트(G)'!AR68 + '협력사 EPC(H)'!AR68 + '기타(Z)'!AR68 + '협력사 하도(I)'!AR68</f>
        <v>0</v>
      </c>
    </row>
    <row r="86" spans="1:19" x14ac:dyDescent="0.25">
      <c r="A86">
        <v>12</v>
      </c>
      <c r="B86" s="422">
        <v>12</v>
      </c>
      <c r="C86" s="98">
        <v>1</v>
      </c>
      <c r="D86" s="107" t="s">
        <v>130</v>
      </c>
      <c r="E86" s="142">
        <f>'발전사업(A)'!AD69 + '자가소비(B)'!AD69 + 'PPA 사업(C)'!AD69 + '리스사업(D)'!AD69 + '임대사업(E)'!AD69 + '환경부사업(F)'!AD69 + '프로젝트(G)'!AD69 + '협력사 EPC(H)'!AD69 + '기타(Z)'!AD69</f>
        <v>1800.84</v>
      </c>
      <c r="F86" s="143">
        <f>'발전사업(A)'!AE69 + '자가소비(B)'!AE69 + 'PPA 사업(C)'!AE69 + '리스사업(D)'!AE69 + '임대사업(E)'!AE69 + '환경부사업(F)'!AE69 + '프로젝트(G)'!AE69 + '협력사 EPC(H)'!AE69 + '기타(Z)'!AE69</f>
        <v>1367.92</v>
      </c>
      <c r="G86" s="143">
        <f>'발전사업(A)'!AF69 + '자가소비(B)'!AF69 + 'PPA 사업(C)'!AF69 + '리스사업(D)'!AF69 + '임대사업(E)'!AF69 + '환경부사업(F)'!AF69 + '프로젝트(G)'!AF69 + '협력사 EPC(H)'!AF69 + '기타(Z)'!AF69</f>
        <v>432.92</v>
      </c>
      <c r="H86" s="143">
        <f>'발전사업(A)'!AG69 + '자가소비(B)'!AG69 + 'PPA 사업(C)'!AG69 + '리스사업(D)'!AG69 + '임대사업(E)'!AG69 + '환경부사업(F)'!AG69 + '프로젝트(G)'!AG69 + '협력사 EPC(H)'!AG69 + '기타(Z)'!AG69</f>
        <v>0</v>
      </c>
      <c r="I86" s="144">
        <f>'발전사업(A)'!AH69 + '자가소비(B)'!AH69 + 'PPA 사업(C)'!AH69 + '리스사업(D)'!AH69 + '임대사업(E)'!AH69 + '환경부사업(F)'!AH69 + '프로젝트(G)'!AH69 + '협력사 EPC(H)'!AH69 + '기타(Z)'!AH69</f>
        <v>0</v>
      </c>
      <c r="J86" s="193">
        <f>'발전사업(A)'!AI69 + '자가소비(B)'!AI69 + 'PPA 사업(C)'!AI69 + '리스사업(D)'!AI69 + '임대사업(E)'!AI69 + '환경부사업(F)'!AI69 + '프로젝트(G)'!AI69 + '협력사 EPC(H)'!AI69 + '기타(Z)'!AI69</f>
        <v>8</v>
      </c>
      <c r="K86" s="194">
        <f>'발전사업(A)'!AJ69 + '자가소비(B)'!AJ69 + 'PPA 사업(C)'!AJ69 + '리스사업(D)'!AJ69 + '임대사업(E)'!AJ69 + '환경부사업(F)'!AJ69 + '프로젝트(G)'!AJ69 + '협력사 EPC(H)'!AJ69 + '기타(Z)'!AJ69</f>
        <v>6</v>
      </c>
      <c r="L86" s="194">
        <f>'발전사업(A)'!AK69 + '자가소비(B)'!AK69 + 'PPA 사업(C)'!AK69 + '리스사업(D)'!AK69 + '임대사업(E)'!AK69 + '환경부사업(F)'!AK69 + '프로젝트(G)'!AK69 + '협력사 EPC(H)'!AK69 + '기타(Z)'!AK69</f>
        <v>2</v>
      </c>
      <c r="M86" s="194">
        <f>'발전사업(A)'!AL69 + '자가소비(B)'!AL69 + 'PPA 사업(C)'!AL69 + '리스사업(D)'!AL69 + '임대사업(E)'!AL69 + '환경부사업(F)'!AL69 + '프로젝트(G)'!AL69 + '협력사 EPC(H)'!AL69 + '기타(Z)'!AL69</f>
        <v>0</v>
      </c>
      <c r="N86" s="195">
        <f>'발전사업(A)'!AM69 + '자가소비(B)'!AM69 + 'PPA 사업(C)'!AM69 + '리스사업(D)'!AM69 + '임대사업(E)'!AM69 + '환경부사업(F)'!AM69 + '프로젝트(G)'!AM69 + '협력사 EPC(H)'!AM69 + '기타(Z)'!AM69</f>
        <v>0</v>
      </c>
      <c r="O86" s="41">
        <f>'발전사업(A)'!AN69 + '자가소비(B)'!AN69 + 'PPA 사업(C)'!AN69 + '리스사업(D)'!AN69 + '임대사업(E)'!AN69 + '환경부사업(F)'!AN69 + '프로젝트(G)'!AN69 + '협력사 EPC(H)'!AN69 + '기타(Z)'!AN69 + '협력사 하도(I)'!AN69</f>
        <v>16.600000000000001</v>
      </c>
      <c r="P86" s="143">
        <f>'발전사업(A)'!AO69 + '자가소비(B)'!AO69 + 'PPA 사업(C)'!AO69 + '리스사업(D)'!AO69 + '임대사업(E)'!AO69 + '환경부사업(F)'!AO69 + '프로젝트(G)'!AO69 + '협력사 EPC(H)'!AO69 + '기타(Z)'!AO69 + '협력사 하도(I)'!AO69</f>
        <v>12.49</v>
      </c>
      <c r="Q86" s="143">
        <f>'발전사업(A)'!AP69 + '자가소비(B)'!AP69 + 'PPA 사업(C)'!AP69 + '리스사업(D)'!AP69 + '임대사업(E)'!AP69 + '환경부사업(F)'!AP69 + '프로젝트(G)'!AP69 + '협력사 EPC(H)'!AP69 + '기타(Z)'!AP69 + '협력사 하도(I)'!AP69</f>
        <v>4.1100000000000003</v>
      </c>
      <c r="R86" s="143">
        <f>'발전사업(A)'!AQ69 + '자가소비(B)'!AQ69 + 'PPA 사업(C)'!AQ69 + '리스사업(D)'!AQ69 + '임대사업(E)'!AQ69 + '환경부사업(F)'!AQ69 + '프로젝트(G)'!AQ69 + '협력사 EPC(H)'!AQ69 + '기타(Z)'!AQ69 + '협력사 하도(I)'!AQ69</f>
        <v>0</v>
      </c>
      <c r="S86" s="145">
        <f>'발전사업(A)'!AR69 + '자가소비(B)'!AR69 + 'PPA 사업(C)'!AR69 + '리스사업(D)'!AR69 + '임대사업(E)'!AR69 + '환경부사업(F)'!AR69 + '프로젝트(G)'!AR69 + '협력사 EPC(H)'!AR69 + '기타(Z)'!AR69 + '협력사 하도(I)'!AR69</f>
        <v>0</v>
      </c>
    </row>
    <row r="87" spans="1:19" x14ac:dyDescent="0.25">
      <c r="A87">
        <v>12</v>
      </c>
      <c r="B87" s="416"/>
      <c r="C87" s="95">
        <v>2</v>
      </c>
      <c r="D87" s="102" t="s">
        <v>125</v>
      </c>
      <c r="E87" s="134">
        <f>'발전사업(A)'!AD70 + '자가소비(B)'!AD70 + 'PPA 사업(C)'!AD70 + '리스사업(D)'!AD70 + '임대사업(E)'!AD70 + '환경부사업(F)'!AD70 + '프로젝트(G)'!AD70 + '협력사 EPC(H)'!AD70 + '기타(Z)'!AD70</f>
        <v>1359.07</v>
      </c>
      <c r="F87" s="41">
        <f>'발전사업(A)'!AE70 + '자가소비(B)'!AE70 + 'PPA 사업(C)'!AE70 + '리스사업(D)'!AE70 + '임대사업(E)'!AE70 + '환경부사업(F)'!AE70 + '프로젝트(G)'!AE70 + '협력사 EPC(H)'!AE70 + '기타(Z)'!AE70</f>
        <v>288.95999999999998</v>
      </c>
      <c r="G87" s="41">
        <f>'발전사업(A)'!AF70 + '자가소비(B)'!AF70 + 'PPA 사업(C)'!AF70 + '리스사업(D)'!AF70 + '임대사업(E)'!AF70 + '환경부사업(F)'!AF70 + '프로젝트(G)'!AF70 + '협력사 EPC(H)'!AF70 + '기타(Z)'!AF70</f>
        <v>1070.1099999999999</v>
      </c>
      <c r="H87" s="41">
        <f>'발전사업(A)'!AG70 + '자가소비(B)'!AG70 + 'PPA 사업(C)'!AG70 + '리스사업(D)'!AG70 + '임대사업(E)'!AG70 + '환경부사업(F)'!AG70 + '프로젝트(G)'!AG70 + '협력사 EPC(H)'!AG70 + '기타(Z)'!AG70</f>
        <v>0</v>
      </c>
      <c r="I87" s="130">
        <f>'발전사업(A)'!AH70 + '자가소비(B)'!AH70 + 'PPA 사업(C)'!AH70 + '리스사업(D)'!AH70 + '임대사업(E)'!AH70 + '환경부사업(F)'!AH70 + '프로젝트(G)'!AH70 + '협력사 EPC(H)'!AH70 + '기타(Z)'!AH70</f>
        <v>0</v>
      </c>
      <c r="J87" s="120">
        <f>'발전사업(A)'!AI70 + '자가소비(B)'!AI70 + 'PPA 사업(C)'!AI70 + '리스사업(D)'!AI70 + '임대사업(E)'!AI70 + '환경부사업(F)'!AI70 + '프로젝트(G)'!AI70 + '협력사 EPC(H)'!AI70 + '기타(Z)'!AI70</f>
        <v>5</v>
      </c>
      <c r="K87" s="188">
        <f>'발전사업(A)'!AJ70 + '자가소비(B)'!AJ70 + 'PPA 사업(C)'!AJ70 + '리스사업(D)'!AJ70 + '임대사업(E)'!AJ70 + '환경부사업(F)'!AJ70 + '프로젝트(G)'!AJ70 + '협력사 EPC(H)'!AJ70 + '기타(Z)'!AJ70</f>
        <v>2</v>
      </c>
      <c r="L87" s="188">
        <f>'발전사업(A)'!AK70 + '자가소비(B)'!AK70 + 'PPA 사업(C)'!AK70 + '리스사업(D)'!AK70 + '임대사업(E)'!AK70 + '환경부사업(F)'!AK70 + '프로젝트(G)'!AK70 + '협력사 EPC(H)'!AK70 + '기타(Z)'!AK70</f>
        <v>3</v>
      </c>
      <c r="M87" s="188">
        <f>'발전사업(A)'!AL70 + '자가소비(B)'!AL70 + 'PPA 사업(C)'!AL70 + '리스사업(D)'!AL70 + '임대사업(E)'!AL70 + '환경부사업(F)'!AL70 + '프로젝트(G)'!AL70 + '협력사 EPC(H)'!AL70 + '기타(Z)'!AL70</f>
        <v>0</v>
      </c>
      <c r="N87" s="189">
        <f>'발전사업(A)'!AM70 + '자가소비(B)'!AM70 + 'PPA 사업(C)'!AM70 + '리스사업(D)'!AM70 + '임대사업(E)'!AM70 + '환경부사업(F)'!AM70 + '프로젝트(G)'!AM70 + '협력사 EPC(H)'!AM70 + '기타(Z)'!AM70</f>
        <v>0</v>
      </c>
      <c r="O87" s="41">
        <f>'발전사업(A)'!AN70 + '자가소비(B)'!AN70 + 'PPA 사업(C)'!AN70 + '리스사업(D)'!AN70 + '임대사업(E)'!AN70 + '환경부사업(F)'!AN70 + '프로젝트(G)'!AN70 + '협력사 EPC(H)'!AN70 + '기타(Z)'!AN70 + '협력사 하도(I)'!AN70</f>
        <v>12.590000000000002</v>
      </c>
      <c r="P87" s="41">
        <f>'발전사업(A)'!AO70 + '자가소비(B)'!AO70 + 'PPA 사업(C)'!AO70 + '리스사업(D)'!AO70 + '임대사업(E)'!AO70 + '환경부사업(F)'!AO70 + '프로젝트(G)'!AO70 + '협력사 EPC(H)'!AO70 + '기타(Z)'!AO70 + '협력사 하도(I)'!AO70</f>
        <v>3.1500000000000004</v>
      </c>
      <c r="Q87" s="41">
        <f>'발전사업(A)'!AP70 + '자가소비(B)'!AP70 + 'PPA 사업(C)'!AP70 + '리스사업(D)'!AP70 + '임대사업(E)'!AP70 + '환경부사업(F)'!AP70 + '프로젝트(G)'!AP70 + '협력사 EPC(H)'!AP70 + '기타(Z)'!AP70 + '협력사 하도(I)'!AP70</f>
        <v>9.4400000000000013</v>
      </c>
      <c r="R87" s="41">
        <f>'발전사업(A)'!AQ70 + '자가소비(B)'!AQ70 + 'PPA 사업(C)'!AQ70 + '리스사업(D)'!AQ70 + '임대사업(E)'!AQ70 + '환경부사업(F)'!AQ70 + '프로젝트(G)'!AQ70 + '협력사 EPC(H)'!AQ70 + '기타(Z)'!AQ70 + '협력사 하도(I)'!AQ70</f>
        <v>0</v>
      </c>
      <c r="S87" s="135">
        <f>'발전사업(A)'!AR70 + '자가소비(B)'!AR70 + 'PPA 사업(C)'!AR70 + '리스사업(D)'!AR70 + '임대사업(E)'!AR70 + '환경부사업(F)'!AR70 + '프로젝트(G)'!AR70 + '협력사 EPC(H)'!AR70 + '기타(Z)'!AR70 + '협력사 하도(I)'!AR70</f>
        <v>0</v>
      </c>
    </row>
    <row r="88" spans="1:19" x14ac:dyDescent="0.25">
      <c r="A88">
        <v>12</v>
      </c>
      <c r="B88" s="416"/>
      <c r="C88" s="95">
        <v>3</v>
      </c>
      <c r="D88" s="102" t="s">
        <v>126</v>
      </c>
      <c r="E88" s="134">
        <f>'발전사업(A)'!AD71 + '자가소비(B)'!AD71 + 'PPA 사업(C)'!AD71 + '리스사업(D)'!AD71 + '임대사업(E)'!AD71 + '환경부사업(F)'!AD71 + '프로젝트(G)'!AD71 + '협력사 EPC(H)'!AD71 + '기타(Z)'!AD71</f>
        <v>1657.65</v>
      </c>
      <c r="F88" s="41">
        <f>'발전사업(A)'!AE71 + '자가소비(B)'!AE71 + 'PPA 사업(C)'!AE71 + '리스사업(D)'!AE71 + '임대사업(E)'!AE71 + '환경부사업(F)'!AE71 + '프로젝트(G)'!AE71 + '협력사 EPC(H)'!AE71 + '기타(Z)'!AE71</f>
        <v>1282.905</v>
      </c>
      <c r="G88" s="41">
        <f>'발전사업(A)'!AF71 + '자가소비(B)'!AF71 + 'PPA 사업(C)'!AF71 + '리스사업(D)'!AF71 + '임대사업(E)'!AF71 + '환경부사업(F)'!AF71 + '프로젝트(G)'!AF71 + '협력사 EPC(H)'!AF71 + '기타(Z)'!AF71</f>
        <v>374.745</v>
      </c>
      <c r="H88" s="41">
        <f>'발전사업(A)'!AG71 + '자가소비(B)'!AG71 + 'PPA 사업(C)'!AG71 + '리스사업(D)'!AG71 + '임대사업(E)'!AG71 + '환경부사업(F)'!AG71 + '프로젝트(G)'!AG71 + '협력사 EPC(H)'!AG71 + '기타(Z)'!AG71</f>
        <v>0</v>
      </c>
      <c r="I88" s="130">
        <f>'발전사업(A)'!AH71 + '자가소비(B)'!AH71 + 'PPA 사업(C)'!AH71 + '리스사업(D)'!AH71 + '임대사업(E)'!AH71 + '환경부사업(F)'!AH71 + '프로젝트(G)'!AH71 + '협력사 EPC(H)'!AH71 + '기타(Z)'!AH71</f>
        <v>0</v>
      </c>
      <c r="J88" s="120">
        <f>'발전사업(A)'!AI71 + '자가소비(B)'!AI71 + 'PPA 사업(C)'!AI71 + '리스사업(D)'!AI71 + '임대사업(E)'!AI71 + '환경부사업(F)'!AI71 + '프로젝트(G)'!AI71 + '협력사 EPC(H)'!AI71 + '기타(Z)'!AI71</f>
        <v>6</v>
      </c>
      <c r="K88" s="188">
        <f>'발전사업(A)'!AJ71 + '자가소비(B)'!AJ71 + 'PPA 사업(C)'!AJ71 + '리스사업(D)'!AJ71 + '임대사업(E)'!AJ71 + '환경부사업(F)'!AJ71 + '프로젝트(G)'!AJ71 + '협력사 EPC(H)'!AJ71 + '기타(Z)'!AJ71</f>
        <v>4</v>
      </c>
      <c r="L88" s="188">
        <f>'발전사업(A)'!AK71 + '자가소비(B)'!AK71 + 'PPA 사업(C)'!AK71 + '리스사업(D)'!AK71 + '임대사업(E)'!AK71 + '환경부사업(F)'!AK71 + '프로젝트(G)'!AK71 + '협력사 EPC(H)'!AK71 + '기타(Z)'!AK71</f>
        <v>2</v>
      </c>
      <c r="M88" s="188">
        <f>'발전사업(A)'!AL71 + '자가소비(B)'!AL71 + 'PPA 사업(C)'!AL71 + '리스사업(D)'!AL71 + '임대사업(E)'!AL71 + '환경부사업(F)'!AL71 + '프로젝트(G)'!AL71 + '협력사 EPC(H)'!AL71 + '기타(Z)'!AL71</f>
        <v>0</v>
      </c>
      <c r="N88" s="189">
        <f>'발전사업(A)'!AM71 + '자가소비(B)'!AM71 + 'PPA 사업(C)'!AM71 + '리스사업(D)'!AM71 + '임대사업(E)'!AM71 + '환경부사업(F)'!AM71 + '프로젝트(G)'!AM71 + '협력사 EPC(H)'!AM71 + '기타(Z)'!AM71</f>
        <v>0</v>
      </c>
      <c r="O88" s="41">
        <f>'발전사업(A)'!AN71 + '자가소비(B)'!AN71 + 'PPA 사업(C)'!AN71 + '리스사업(D)'!AN71 + '임대사업(E)'!AN71 + '환경부사업(F)'!AN71 + '프로젝트(G)'!AN71 + '협력사 EPC(H)'!AN71 + '기타(Z)'!AN71 + '협력사 하도(I)'!AN71</f>
        <v>14.57</v>
      </c>
      <c r="P88" s="41">
        <f>'발전사업(A)'!AO71 + '자가소비(B)'!AO71 + 'PPA 사업(C)'!AO71 + '리스사업(D)'!AO71 + '임대사업(E)'!AO71 + '환경부사업(F)'!AO71 + '프로젝트(G)'!AO71 + '협력사 EPC(H)'!AO71 + '기타(Z)'!AO71 + '협력사 하도(I)'!AO71</f>
        <v>12.67</v>
      </c>
      <c r="Q88" s="41">
        <f>'발전사업(A)'!AP71 + '자가소비(B)'!AP71 + 'PPA 사업(C)'!AP71 + '리스사업(D)'!AP71 + '임대사업(E)'!AP71 + '환경부사업(F)'!AP71 + '프로젝트(G)'!AP71 + '협력사 EPC(H)'!AP71 + '기타(Z)'!AP71 + '협력사 하도(I)'!AP71</f>
        <v>1.9000000000000001</v>
      </c>
      <c r="R88" s="41">
        <f>'발전사업(A)'!AQ71 + '자가소비(B)'!AQ71 + 'PPA 사업(C)'!AQ71 + '리스사업(D)'!AQ71 + '임대사업(E)'!AQ71 + '환경부사업(F)'!AQ71 + '프로젝트(G)'!AQ71 + '협력사 EPC(H)'!AQ71 + '기타(Z)'!AQ71 + '협력사 하도(I)'!AQ71</f>
        <v>0</v>
      </c>
      <c r="S88" s="135">
        <f>'발전사업(A)'!AR71 + '자가소비(B)'!AR71 + 'PPA 사업(C)'!AR71 + '리스사업(D)'!AR71 + '임대사업(E)'!AR71 + '환경부사업(F)'!AR71 + '프로젝트(G)'!AR71 + '협력사 EPC(H)'!AR71 + '기타(Z)'!AR71 + '협력사 하도(I)'!AR71</f>
        <v>0</v>
      </c>
    </row>
    <row r="89" spans="1:19" x14ac:dyDescent="0.25">
      <c r="A89">
        <v>12</v>
      </c>
      <c r="B89" s="416"/>
      <c r="C89" s="95">
        <v>4</v>
      </c>
      <c r="D89" s="102" t="s">
        <v>127</v>
      </c>
      <c r="E89" s="134">
        <f>'발전사업(A)'!AD72 + '자가소비(B)'!AD72 + 'PPA 사업(C)'!AD72 + '리스사업(D)'!AD72 + '임대사업(E)'!AD72 + '환경부사업(F)'!AD72 + '프로젝트(G)'!AD72 + '협력사 EPC(H)'!AD72 + '기타(Z)'!AD72</f>
        <v>1622.3999999999999</v>
      </c>
      <c r="F89" s="41">
        <f>'발전사업(A)'!AE72 + '자가소비(B)'!AE72 + 'PPA 사업(C)'!AE72 + '리스사업(D)'!AE72 + '임대사업(E)'!AE72 + '환경부사업(F)'!AE72 + '프로젝트(G)'!AE72 + '협력사 EPC(H)'!AE72 + '기타(Z)'!AE72</f>
        <v>0</v>
      </c>
      <c r="G89" s="41">
        <f>'발전사업(A)'!AF72 + '자가소비(B)'!AF72 + 'PPA 사업(C)'!AF72 + '리스사업(D)'!AF72 + '임대사업(E)'!AF72 + '환경부사업(F)'!AF72 + '프로젝트(G)'!AF72 + '협력사 EPC(H)'!AF72 + '기타(Z)'!AF72</f>
        <v>0</v>
      </c>
      <c r="H89" s="41">
        <f>'발전사업(A)'!AG72 + '자가소비(B)'!AG72 + 'PPA 사업(C)'!AG72 + '리스사업(D)'!AG72 + '임대사업(E)'!AG72 + '환경부사업(F)'!AG72 + '프로젝트(G)'!AG72 + '협력사 EPC(H)'!AG72 + '기타(Z)'!AG72</f>
        <v>1622.3999999999999</v>
      </c>
      <c r="I89" s="130">
        <f>'발전사업(A)'!AH72 + '자가소비(B)'!AH72 + 'PPA 사업(C)'!AH72 + '리스사업(D)'!AH72 + '임대사업(E)'!AH72 + '환경부사업(F)'!AH72 + '프로젝트(G)'!AH72 + '협력사 EPC(H)'!AH72 + '기타(Z)'!AH72</f>
        <v>0</v>
      </c>
      <c r="J89" s="120">
        <f>'발전사업(A)'!AI72 + '자가소비(B)'!AI72 + 'PPA 사업(C)'!AI72 + '리스사업(D)'!AI72 + '임대사업(E)'!AI72 + '환경부사업(F)'!AI72 + '프로젝트(G)'!AI72 + '협력사 EPC(H)'!AI72 + '기타(Z)'!AI72</f>
        <v>3</v>
      </c>
      <c r="K89" s="188">
        <f>'발전사업(A)'!AJ72 + '자가소비(B)'!AJ72 + 'PPA 사업(C)'!AJ72 + '리스사업(D)'!AJ72 + '임대사업(E)'!AJ72 + '환경부사업(F)'!AJ72 + '프로젝트(G)'!AJ72 + '협력사 EPC(H)'!AJ72 + '기타(Z)'!AJ72</f>
        <v>0</v>
      </c>
      <c r="L89" s="188">
        <f>'발전사업(A)'!AK72 + '자가소비(B)'!AK72 + 'PPA 사업(C)'!AK72 + '리스사업(D)'!AK72 + '임대사업(E)'!AK72 + '환경부사업(F)'!AK72 + '프로젝트(G)'!AK72 + '협력사 EPC(H)'!AK72 + '기타(Z)'!AK72</f>
        <v>0</v>
      </c>
      <c r="M89" s="188">
        <f>'발전사업(A)'!AL72 + '자가소비(B)'!AL72 + 'PPA 사업(C)'!AL72 + '리스사업(D)'!AL72 + '임대사업(E)'!AL72 + '환경부사업(F)'!AL72 + '프로젝트(G)'!AL72 + '협력사 EPC(H)'!AL72 + '기타(Z)'!AL72</f>
        <v>3</v>
      </c>
      <c r="N89" s="189">
        <f>'발전사업(A)'!AM72 + '자가소비(B)'!AM72 + 'PPA 사업(C)'!AM72 + '리스사업(D)'!AM72 + '임대사업(E)'!AM72 + '환경부사업(F)'!AM72 + '프로젝트(G)'!AM72 + '협력사 EPC(H)'!AM72 + '기타(Z)'!AM72</f>
        <v>0</v>
      </c>
      <c r="O89" s="41">
        <f>'발전사업(A)'!AN72 + '자가소비(B)'!AN72 + 'PPA 사업(C)'!AN72 + '리스사업(D)'!AN72 + '임대사업(E)'!AN72 + '환경부사업(F)'!AN72 + '프로젝트(G)'!AN72 + '협력사 EPC(H)'!AN72 + '기타(Z)'!AN72 + '협력사 하도(I)'!AN72</f>
        <v>17.78</v>
      </c>
      <c r="P89" s="41">
        <f>'발전사업(A)'!AO72 + '자가소비(B)'!AO72 + 'PPA 사업(C)'!AO72 + '리스사업(D)'!AO72 + '임대사업(E)'!AO72 + '환경부사업(F)'!AO72 + '프로젝트(G)'!AO72 + '협력사 EPC(H)'!AO72 + '기타(Z)'!AO72 + '협력사 하도(I)'!AO72</f>
        <v>0</v>
      </c>
      <c r="Q89" s="41">
        <f>'발전사업(A)'!AP72 + '자가소비(B)'!AP72 + 'PPA 사업(C)'!AP72 + '리스사업(D)'!AP72 + '임대사업(E)'!AP72 + '환경부사업(F)'!AP72 + '프로젝트(G)'!AP72 + '협력사 EPC(H)'!AP72 + '기타(Z)'!AP72 + '협력사 하도(I)'!AP72</f>
        <v>0</v>
      </c>
      <c r="R89" s="41">
        <f>'발전사업(A)'!AQ72 + '자가소비(B)'!AQ72 + 'PPA 사업(C)'!AQ72 + '리스사업(D)'!AQ72 + '임대사업(E)'!AQ72 + '환경부사업(F)'!AQ72 + '프로젝트(G)'!AQ72 + '협력사 EPC(H)'!AQ72 + '기타(Z)'!AQ72 + '협력사 하도(I)'!AQ72</f>
        <v>17.78</v>
      </c>
      <c r="S89" s="135">
        <f>'발전사업(A)'!AR72 + '자가소비(B)'!AR72 + 'PPA 사업(C)'!AR72 + '리스사업(D)'!AR72 + '임대사업(E)'!AR72 + '환경부사업(F)'!AR72 + '프로젝트(G)'!AR72 + '협력사 EPC(H)'!AR72 + '기타(Z)'!AR72 + '협력사 하도(I)'!AR72</f>
        <v>0</v>
      </c>
    </row>
    <row r="90" spans="1:19" x14ac:dyDescent="0.25">
      <c r="A90">
        <v>12</v>
      </c>
      <c r="B90" s="416"/>
      <c r="C90" s="96">
        <v>5</v>
      </c>
      <c r="D90" s="105" t="s">
        <v>131</v>
      </c>
      <c r="E90" s="134">
        <f>'발전사업(A)'!AD73 + '자가소비(B)'!AD73 + 'PPA 사업(C)'!AD73 + '리스사업(D)'!AD73 + '임대사업(E)'!AD73 + '환경부사업(F)'!AD73 + '프로젝트(G)'!AD73 + '협력사 EPC(H)'!AD73 + '기타(Z)'!AD73</f>
        <v>0</v>
      </c>
      <c r="F90" s="41">
        <f>'발전사업(A)'!AE73 + '자가소비(B)'!AE73 + 'PPA 사업(C)'!AE73 + '리스사업(D)'!AE73 + '임대사업(E)'!AE73 + '환경부사업(F)'!AE73 + '프로젝트(G)'!AE73 + '협력사 EPC(H)'!AE73 + '기타(Z)'!AE73</f>
        <v>0</v>
      </c>
      <c r="G90" s="41">
        <f>'발전사업(A)'!AF73 + '자가소비(B)'!AF73 + 'PPA 사업(C)'!AF73 + '리스사업(D)'!AF73 + '임대사업(E)'!AF73 + '환경부사업(F)'!AF73 + '프로젝트(G)'!AF73 + '협력사 EPC(H)'!AF73 + '기타(Z)'!AF73</f>
        <v>0</v>
      </c>
      <c r="H90" s="41">
        <f>'발전사업(A)'!AG73 + '자가소비(B)'!AG73 + 'PPA 사업(C)'!AG73 + '리스사업(D)'!AG73 + '임대사업(E)'!AG73 + '환경부사업(F)'!AG73 + '프로젝트(G)'!AG73 + '협력사 EPC(H)'!AG73 + '기타(Z)'!AG73</f>
        <v>0</v>
      </c>
      <c r="I90" s="130">
        <f>'발전사업(A)'!AH73 + '자가소비(B)'!AH73 + 'PPA 사업(C)'!AH73 + '리스사업(D)'!AH73 + '임대사업(E)'!AH73 + '환경부사업(F)'!AH73 + '프로젝트(G)'!AH73 + '협력사 EPC(H)'!AH73 + '기타(Z)'!AH73</f>
        <v>0</v>
      </c>
      <c r="J90" s="120">
        <f>'발전사업(A)'!AI73 + '자가소비(B)'!AI73 + 'PPA 사업(C)'!AI73 + '리스사업(D)'!AI73 + '임대사업(E)'!AI73 + '환경부사업(F)'!AI73 + '프로젝트(G)'!AI73 + '협력사 EPC(H)'!AI73 + '기타(Z)'!AI73</f>
        <v>0</v>
      </c>
      <c r="K90" s="188">
        <f>'발전사업(A)'!AJ73 + '자가소비(B)'!AJ73 + 'PPA 사업(C)'!AJ73 + '리스사업(D)'!AJ73 + '임대사업(E)'!AJ73 + '환경부사업(F)'!AJ73 + '프로젝트(G)'!AJ73 + '협력사 EPC(H)'!AJ73 + '기타(Z)'!AJ73</f>
        <v>0</v>
      </c>
      <c r="L90" s="188">
        <f>'발전사업(A)'!AK73 + '자가소비(B)'!AK73 + 'PPA 사업(C)'!AK73 + '리스사업(D)'!AK73 + '임대사업(E)'!AK73 + '환경부사업(F)'!AK73 + '프로젝트(G)'!AK73 + '협력사 EPC(H)'!AK73 + '기타(Z)'!AK73</f>
        <v>0</v>
      </c>
      <c r="M90" s="188">
        <f>'발전사업(A)'!AL73 + '자가소비(B)'!AL73 + 'PPA 사업(C)'!AL73 + '리스사업(D)'!AL73 + '임대사업(E)'!AL73 + '환경부사업(F)'!AL73 + '프로젝트(G)'!AL73 + '협력사 EPC(H)'!AL73 + '기타(Z)'!AL73</f>
        <v>0</v>
      </c>
      <c r="N90" s="189">
        <f>'발전사업(A)'!AM73 + '자가소비(B)'!AM73 + 'PPA 사업(C)'!AM73 + '리스사업(D)'!AM73 + '임대사업(E)'!AM73 + '환경부사업(F)'!AM73 + '프로젝트(G)'!AM73 + '협력사 EPC(H)'!AM73 + '기타(Z)'!AM73</f>
        <v>0</v>
      </c>
      <c r="O90" s="41">
        <f>'발전사업(A)'!AN73 + '자가소비(B)'!AN73 + 'PPA 사업(C)'!AN73 + '리스사업(D)'!AN73 + '임대사업(E)'!AN73 + '환경부사업(F)'!AN73 + '프로젝트(G)'!AN73 + '협력사 EPC(H)'!AN73 + '기타(Z)'!AN73 + '협력사 하도(I)'!AN73</f>
        <v>0</v>
      </c>
      <c r="P90" s="41">
        <f>'발전사업(A)'!AO73 + '자가소비(B)'!AO73 + 'PPA 사업(C)'!AO73 + '리스사업(D)'!AO73 + '임대사업(E)'!AO73 + '환경부사업(F)'!AO73 + '프로젝트(G)'!AO73 + '협력사 EPC(H)'!AO73 + '기타(Z)'!AO73 + '협력사 하도(I)'!AO73</f>
        <v>0</v>
      </c>
      <c r="Q90" s="41">
        <f>'발전사업(A)'!AP73 + '자가소비(B)'!AP73 + 'PPA 사업(C)'!AP73 + '리스사업(D)'!AP73 + '임대사업(E)'!AP73 + '환경부사업(F)'!AP73 + '프로젝트(G)'!AP73 + '협력사 EPC(H)'!AP73 + '기타(Z)'!AP73 + '협력사 하도(I)'!AP73</f>
        <v>0</v>
      </c>
      <c r="R90" s="41">
        <f>'발전사업(A)'!AQ73 + '자가소비(B)'!AQ73 + 'PPA 사업(C)'!AQ73 + '리스사업(D)'!AQ73 + '임대사업(E)'!AQ73 + '환경부사업(F)'!AQ73 + '프로젝트(G)'!AQ73 + '협력사 EPC(H)'!AQ73 + '기타(Z)'!AQ73 + '협력사 하도(I)'!AQ73</f>
        <v>0</v>
      </c>
      <c r="S90" s="135">
        <f>'발전사업(A)'!AR73 + '자가소비(B)'!AR73 + 'PPA 사업(C)'!AR73 + '리스사업(D)'!AR73 + '임대사업(E)'!AR73 + '환경부사업(F)'!AR73 + '프로젝트(G)'!AR73 + '협력사 EPC(H)'!AR73 + '기타(Z)'!AR73 + '협력사 하도(I)'!AR73</f>
        <v>0</v>
      </c>
    </row>
    <row r="91" spans="1:19" ht="14.25" thickBot="1" x14ac:dyDescent="0.3">
      <c r="A91">
        <v>12</v>
      </c>
      <c r="B91" s="417"/>
      <c r="C91" s="97" t="s">
        <v>3</v>
      </c>
      <c r="D91" s="106"/>
      <c r="E91" s="146">
        <f>'발전사업(A)'!AD74 + '자가소비(B)'!AD74 + 'PPA 사업(C)'!AD74 + '리스사업(D)'!AD74 + '임대사업(E)'!AD74 + '환경부사업(F)'!AD74 + '프로젝트(G)'!AD74 + '협력사 EPC(H)'!AD74 + '기타(Z)'!AD74</f>
        <v>6439.96</v>
      </c>
      <c r="F91" s="147">
        <f>'발전사업(A)'!AE74 + '자가소비(B)'!AE74 + 'PPA 사업(C)'!AE74 + '리스사업(D)'!AE74 + '임대사업(E)'!AE74 + '환경부사업(F)'!AE74 + '프로젝트(G)'!AE74 + '협력사 EPC(H)'!AE74 + '기타(Z)'!AE74</f>
        <v>2939.7849999999999</v>
      </c>
      <c r="G91" s="147">
        <f>'발전사업(A)'!AF74 + '자가소비(B)'!AF74 + 'PPA 사업(C)'!AF74 + '리스사업(D)'!AF74 + '임대사업(E)'!AF74 + '환경부사업(F)'!AF74 + '프로젝트(G)'!AF74 + '협력사 EPC(H)'!AF74 + '기타(Z)'!AF74</f>
        <v>1877.7750000000001</v>
      </c>
      <c r="H91" s="147">
        <f>'발전사업(A)'!AG74 + '자가소비(B)'!AG74 + 'PPA 사업(C)'!AG74 + '리스사업(D)'!AG74 + '임대사업(E)'!AG74 + '환경부사업(F)'!AG74 + '프로젝트(G)'!AG74 + '협력사 EPC(H)'!AG74 + '기타(Z)'!AG74</f>
        <v>1622.3999999999999</v>
      </c>
      <c r="I91" s="148">
        <f>'발전사업(A)'!AH74 + '자가소비(B)'!AH74 + 'PPA 사업(C)'!AH74 + '리스사업(D)'!AH74 + '임대사업(E)'!AH74 + '환경부사업(F)'!AH74 + '프로젝트(G)'!AH74 + '협력사 EPC(H)'!AH74 + '기타(Z)'!AH74</f>
        <v>0</v>
      </c>
      <c r="J91" s="196">
        <f>'발전사업(A)'!AI74 + '자가소비(B)'!AI74 + 'PPA 사업(C)'!AI74 + '리스사업(D)'!AI74 + '임대사업(E)'!AI74 + '환경부사업(F)'!AI74 + '프로젝트(G)'!AI74 + '협력사 EPC(H)'!AI74 + '기타(Z)'!AI74</f>
        <v>22</v>
      </c>
      <c r="K91" s="197">
        <f>'발전사업(A)'!AJ74 + '자가소비(B)'!AJ74 + 'PPA 사업(C)'!AJ74 + '리스사업(D)'!AJ74 + '임대사업(E)'!AJ74 + '환경부사업(F)'!AJ74 + '프로젝트(G)'!AJ74 + '협력사 EPC(H)'!AJ74 + '기타(Z)'!AJ74</f>
        <v>12</v>
      </c>
      <c r="L91" s="197">
        <f>'발전사업(A)'!AK74 + '자가소비(B)'!AK74 + 'PPA 사업(C)'!AK74 + '리스사업(D)'!AK74 + '임대사업(E)'!AK74 + '환경부사업(F)'!AK74 + '프로젝트(G)'!AK74 + '협력사 EPC(H)'!AK74 + '기타(Z)'!AK74</f>
        <v>7</v>
      </c>
      <c r="M91" s="197">
        <f>'발전사업(A)'!AL74 + '자가소비(B)'!AL74 + 'PPA 사업(C)'!AL74 + '리스사업(D)'!AL74 + '임대사업(E)'!AL74 + '환경부사업(F)'!AL74 + '프로젝트(G)'!AL74 + '협력사 EPC(H)'!AL74 + '기타(Z)'!AL74</f>
        <v>3</v>
      </c>
      <c r="N91" s="198">
        <f>'발전사업(A)'!AM74 + '자가소비(B)'!AM74 + 'PPA 사업(C)'!AM74 + '리스사업(D)'!AM74 + '임대사업(E)'!AM74 + '환경부사업(F)'!AM74 + '프로젝트(G)'!AM74 + '협력사 EPC(H)'!AM74 + '기타(Z)'!AM74</f>
        <v>0</v>
      </c>
      <c r="O91" s="172">
        <f>'발전사업(A)'!AN74 + '자가소비(B)'!AN74 + 'PPA 사업(C)'!AN74 + '리스사업(D)'!AN74 + '임대사업(E)'!AN74 + '환경부사업(F)'!AN74 + '프로젝트(G)'!AN74 + '협력사 EPC(H)'!AN74 + '기타(Z)'!AN74 + '협력사 하도(I)'!AN74</f>
        <v>61.540000000000006</v>
      </c>
      <c r="P91" s="147">
        <f>'발전사업(A)'!AO74 + '자가소비(B)'!AO74 + 'PPA 사업(C)'!AO74 + '리스사업(D)'!AO74 + '임대사업(E)'!AO74 + '환경부사업(F)'!AO74 + '프로젝트(G)'!AO74 + '협력사 EPC(H)'!AO74 + '기타(Z)'!AO74 + '협력사 하도(I)'!AO74</f>
        <v>28.310000000000002</v>
      </c>
      <c r="Q91" s="147">
        <f>'발전사업(A)'!AP74 + '자가소비(B)'!AP74 + 'PPA 사업(C)'!AP74 + '리스사업(D)'!AP74 + '임대사업(E)'!AP74 + '환경부사업(F)'!AP74 + '프로젝트(G)'!AP74 + '협력사 EPC(H)'!AP74 + '기타(Z)'!AP74 + '협력사 하도(I)'!AP74</f>
        <v>15.450000000000001</v>
      </c>
      <c r="R91" s="147">
        <f>'발전사업(A)'!AQ74 + '자가소비(B)'!AQ74 + 'PPA 사업(C)'!AQ74 + '리스사업(D)'!AQ74 + '임대사업(E)'!AQ74 + '환경부사업(F)'!AQ74 + '프로젝트(G)'!AQ74 + '협력사 EPC(H)'!AQ74 + '기타(Z)'!AQ74 + '협력사 하도(I)'!AQ74</f>
        <v>17.78</v>
      </c>
      <c r="S91" s="149">
        <f>'발전사업(A)'!AR74 + '자가소비(B)'!AR74 + 'PPA 사업(C)'!AR74 + '리스사업(D)'!AR74 + '임대사업(E)'!AR74 + '환경부사업(F)'!AR74 + '프로젝트(G)'!AR74 + '협력사 EPC(H)'!AR74 + '기타(Z)'!AR74 + '협력사 하도(I)'!AR74</f>
        <v>0</v>
      </c>
    </row>
    <row r="92" spans="1:19" ht="17.25" thickBot="1" x14ac:dyDescent="0.3">
      <c r="B92" s="418" t="s">
        <v>36</v>
      </c>
      <c r="C92" s="419"/>
      <c r="D92" s="108"/>
      <c r="E92" s="90">
        <f>E25+E31+E37+E43+E49+E55+E61+E67+E73+E79+E85+E91</f>
        <v>101659.90500000003</v>
      </c>
      <c r="F92" s="90">
        <f>F25+F31+F37+F43+F49+F55+F61+F67+F73+F79+F85+F91</f>
        <v>59234.829999999987</v>
      </c>
      <c r="G92" s="90">
        <f>G25+G31+G37+G43+G49+G55+G61+G67+G73+G79+G85+G91</f>
        <v>18498.57</v>
      </c>
      <c r="H92" s="237">
        <f t="shared" ref="H92:J92" si="6">H25+H31+H37+H43+H49+H55+H61+H67+H73+H79+H85+H91</f>
        <v>23926.505000000001</v>
      </c>
      <c r="I92" s="91">
        <f t="shared" si="6"/>
        <v>0</v>
      </c>
      <c r="J92" s="126">
        <f t="shared" si="6"/>
        <v>317</v>
      </c>
      <c r="K92" s="127">
        <f>K25+K31+K37+K43+K49+K55+K61+K67+K73+K79+K85+K91</f>
        <v>212</v>
      </c>
      <c r="L92" s="127">
        <f t="shared" ref="L92:S92" si="7">L25+L31+L37+L43+L49+L55+L61+L67+L73+L79+L85+L91</f>
        <v>83</v>
      </c>
      <c r="M92" s="127">
        <f t="shared" si="7"/>
        <v>22</v>
      </c>
      <c r="N92" s="127">
        <f t="shared" si="7"/>
        <v>0</v>
      </c>
      <c r="O92" s="236">
        <f t="shared" si="7"/>
        <v>901.13898117909093</v>
      </c>
      <c r="P92" s="236">
        <f t="shared" si="7"/>
        <v>511.99300000000005</v>
      </c>
      <c r="Q92" s="236">
        <f t="shared" si="7"/>
        <v>143.5150909090909</v>
      </c>
      <c r="R92" s="236">
        <f t="shared" si="7"/>
        <v>245.63089027000001</v>
      </c>
      <c r="S92" s="236">
        <f t="shared" si="7"/>
        <v>0</v>
      </c>
    </row>
    <row r="95" spans="1:19" x14ac:dyDescent="0.25">
      <c r="E95" s="5"/>
    </row>
    <row r="101" spans="5:17" x14ac:dyDescent="0.25">
      <c r="E101" s="171">
        <v>13</v>
      </c>
      <c r="F101" s="171">
        <v>8</v>
      </c>
      <c r="G101" s="171">
        <v>9</v>
      </c>
      <c r="H101" s="171">
        <v>12</v>
      </c>
      <c r="I101" s="171">
        <v>14</v>
      </c>
      <c r="J101" s="171">
        <v>8</v>
      </c>
      <c r="K101" s="171">
        <v>8</v>
      </c>
      <c r="L101" s="171">
        <v>8</v>
      </c>
      <c r="M101" s="171">
        <v>17</v>
      </c>
      <c r="N101" s="171">
        <v>17</v>
      </c>
      <c r="O101" s="171">
        <v>8</v>
      </c>
      <c r="P101" s="171">
        <v>8</v>
      </c>
      <c r="Q101" s="171">
        <f>SUM(E101:P101)</f>
        <v>130</v>
      </c>
    </row>
    <row r="103" spans="5:17" x14ac:dyDescent="0.25">
      <c r="E103">
        <f>E101*100</f>
        <v>1300</v>
      </c>
      <c r="F103">
        <f t="shared" ref="F103:Q103" si="8">F101*100</f>
        <v>800</v>
      </c>
      <c r="G103">
        <f t="shared" si="8"/>
        <v>900</v>
      </c>
      <c r="H103">
        <f t="shared" si="8"/>
        <v>1200</v>
      </c>
      <c r="I103">
        <f t="shared" si="8"/>
        <v>1400</v>
      </c>
      <c r="J103">
        <f t="shared" si="8"/>
        <v>800</v>
      </c>
      <c r="K103">
        <f t="shared" si="8"/>
        <v>800</v>
      </c>
      <c r="L103">
        <f t="shared" si="8"/>
        <v>800</v>
      </c>
      <c r="M103">
        <f t="shared" si="8"/>
        <v>1700</v>
      </c>
      <c r="N103">
        <f t="shared" si="8"/>
        <v>1700</v>
      </c>
      <c r="O103">
        <f t="shared" si="8"/>
        <v>800</v>
      </c>
      <c r="P103">
        <f t="shared" si="8"/>
        <v>800</v>
      </c>
      <c r="Q103">
        <f t="shared" si="8"/>
        <v>13000</v>
      </c>
    </row>
  </sheetData>
  <mergeCells count="16">
    <mergeCell ref="D8:D9"/>
    <mergeCell ref="B18:S18"/>
    <mergeCell ref="B20:B25"/>
    <mergeCell ref="B92:C92"/>
    <mergeCell ref="B19:C19"/>
    <mergeCell ref="B26:B31"/>
    <mergeCell ref="B32:B37"/>
    <mergeCell ref="B38:B43"/>
    <mergeCell ref="B44:B49"/>
    <mergeCell ref="B50:B55"/>
    <mergeCell ref="B86:B91"/>
    <mergeCell ref="B56:B61"/>
    <mergeCell ref="B62:B67"/>
    <mergeCell ref="B68:B73"/>
    <mergeCell ref="B74:B79"/>
    <mergeCell ref="B80:B85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B1:AV354"/>
  <sheetViews>
    <sheetView zoomScale="85" zoomScaleNormal="85" workbookViewId="0">
      <pane ySplit="2" topLeftCell="A246" activePane="bottomLeft" state="frozen"/>
      <selection activeCell="Q3" sqref="Q3"/>
      <selection pane="bottomLeft" activeCell="L259" sqref="L259"/>
    </sheetView>
  </sheetViews>
  <sheetFormatPr defaultRowHeight="13.5" x14ac:dyDescent="0.25"/>
  <cols>
    <col min="1" max="1" width="3.7109375" customWidth="1"/>
    <col min="2" max="3" width="10.7109375" customWidth="1"/>
    <col min="4" max="4" width="10.7109375" style="7" customWidth="1"/>
    <col min="5" max="5" width="10.7109375" style="75" customWidth="1"/>
    <col min="6" max="6" width="12.7109375" style="19" customWidth="1"/>
    <col min="7" max="8" width="10.7109375" customWidth="1"/>
    <col min="9" max="9" width="11.85546875" customWidth="1"/>
    <col min="10" max="11" width="15.7109375" style="6" customWidth="1"/>
    <col min="12" max="12" width="15.7109375" style="38" customWidth="1"/>
    <col min="13" max="13" width="15.7109375" style="6" customWidth="1"/>
    <col min="14" max="14" width="15.7109375" customWidth="1"/>
    <col min="15" max="15" width="21.42578125" customWidth="1"/>
    <col min="16" max="17" width="6" customWidth="1"/>
    <col min="18" max="18" width="38.42578125" style="22" customWidth="1"/>
    <col min="19" max="19" width="20.7109375" customWidth="1"/>
    <col min="20" max="20" width="13.42578125" customWidth="1"/>
    <col min="21" max="21" width="9.140625" style="34" customWidth="1"/>
    <col min="22" max="22" width="47" style="7" customWidth="1"/>
    <col min="23" max="23" width="9.140625" style="34"/>
    <col min="29" max="29" width="11.140625" customWidth="1"/>
    <col min="30" max="34" width="11.7109375" customWidth="1"/>
    <col min="35" max="39" width="11.7109375" style="129" customWidth="1"/>
    <col min="40" max="44" width="11.7109375" customWidth="1"/>
  </cols>
  <sheetData>
    <row r="1" spans="2:48" ht="27" thickBot="1" x14ac:dyDescent="0.3">
      <c r="B1" s="33"/>
      <c r="C1" s="33"/>
      <c r="D1" s="266"/>
      <c r="E1" s="73"/>
      <c r="G1" s="8"/>
      <c r="H1" s="8"/>
      <c r="I1" s="24"/>
      <c r="J1" s="9"/>
      <c r="K1" s="9"/>
      <c r="L1" s="35"/>
      <c r="M1" s="9"/>
      <c r="N1" s="9"/>
      <c r="U1" s="45"/>
      <c r="W1" s="45"/>
      <c r="AA1" s="423" t="s">
        <v>3</v>
      </c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5"/>
    </row>
    <row r="2" spans="2:48" ht="43.5" customHeight="1" thickTop="1" thickBot="1" x14ac:dyDescent="0.3">
      <c r="B2" s="16" t="s">
        <v>0</v>
      </c>
      <c r="C2" s="71" t="s">
        <v>90</v>
      </c>
      <c r="D2" s="71" t="s">
        <v>91</v>
      </c>
      <c r="E2" s="74" t="s">
        <v>92</v>
      </c>
      <c r="F2" s="20" t="s">
        <v>1</v>
      </c>
      <c r="G2" s="12" t="s">
        <v>22</v>
      </c>
      <c r="H2" s="12" t="s">
        <v>21</v>
      </c>
      <c r="I2" s="13" t="s">
        <v>2</v>
      </c>
      <c r="J2" s="14" t="s">
        <v>20</v>
      </c>
      <c r="K2" s="14" t="s">
        <v>25</v>
      </c>
      <c r="L2" s="36" t="s">
        <v>50</v>
      </c>
      <c r="M2" s="39" t="s">
        <v>29</v>
      </c>
      <c r="N2" s="12" t="s">
        <v>26</v>
      </c>
      <c r="O2" s="12" t="s">
        <v>28</v>
      </c>
      <c r="P2" s="12" t="s">
        <v>48</v>
      </c>
      <c r="Q2" s="12" t="s">
        <v>2158</v>
      </c>
      <c r="R2" s="12" t="s">
        <v>27</v>
      </c>
      <c r="S2" s="15" t="s">
        <v>5</v>
      </c>
      <c r="T2" s="25" t="s">
        <v>38</v>
      </c>
      <c r="U2" s="205" t="s">
        <v>54</v>
      </c>
      <c r="V2" s="16" t="s">
        <v>37</v>
      </c>
      <c r="W2" s="205" t="s">
        <v>256</v>
      </c>
      <c r="X2" s="108" t="s">
        <v>271</v>
      </c>
      <c r="AA2" s="420" t="s">
        <v>132</v>
      </c>
      <c r="AB2" s="421"/>
      <c r="AC2" s="111" t="s">
        <v>1</v>
      </c>
      <c r="AD2" s="112" t="s">
        <v>133</v>
      </c>
      <c r="AE2" s="113" t="s">
        <v>102</v>
      </c>
      <c r="AF2" s="113" t="s">
        <v>101</v>
      </c>
      <c r="AG2" s="113" t="s">
        <v>103</v>
      </c>
      <c r="AH2" s="114" t="s">
        <v>104</v>
      </c>
      <c r="AI2" s="117" t="s">
        <v>134</v>
      </c>
      <c r="AJ2" s="118" t="s">
        <v>102</v>
      </c>
      <c r="AK2" s="118" t="s">
        <v>101</v>
      </c>
      <c r="AL2" s="118" t="s">
        <v>103</v>
      </c>
      <c r="AM2" s="119" t="s">
        <v>104</v>
      </c>
      <c r="AN2" s="115" t="s">
        <v>135</v>
      </c>
      <c r="AO2" s="116" t="s">
        <v>102</v>
      </c>
      <c r="AP2" s="116" t="s">
        <v>101</v>
      </c>
      <c r="AQ2" s="116" t="s">
        <v>103</v>
      </c>
      <c r="AR2" s="116" t="s">
        <v>104</v>
      </c>
      <c r="AT2" s="151"/>
      <c r="AU2" s="152" t="s">
        <v>148</v>
      </c>
      <c r="AV2" s="153"/>
    </row>
    <row r="3" spans="2:48" s="10" customFormat="1" ht="13.5" customHeight="1" x14ac:dyDescent="0.25">
      <c r="B3" s="17">
        <v>1</v>
      </c>
      <c r="C3" s="10" t="s">
        <v>136</v>
      </c>
      <c r="D3" s="7" t="s">
        <v>140</v>
      </c>
      <c r="E3" s="72" t="s">
        <v>141</v>
      </c>
      <c r="F3" s="18" t="s">
        <v>73</v>
      </c>
      <c r="G3" s="10">
        <v>1</v>
      </c>
      <c r="H3" s="10">
        <v>1</v>
      </c>
      <c r="I3" s="10">
        <v>183.04</v>
      </c>
      <c r="J3" s="11">
        <v>185000000</v>
      </c>
      <c r="K3" s="11">
        <f t="shared" ref="K3" si="0">J3*1.1</f>
        <v>203500000.00000003</v>
      </c>
      <c r="L3" s="37">
        <f t="shared" ref="L3" si="1">J3*0.00000001</f>
        <v>1.85</v>
      </c>
      <c r="M3" s="3" t="s">
        <v>75</v>
      </c>
      <c r="N3" t="s">
        <v>76</v>
      </c>
      <c r="O3" s="21" t="s">
        <v>77</v>
      </c>
      <c r="P3" s="21">
        <v>1</v>
      </c>
      <c r="Q3" s="21" t="s">
        <v>2149</v>
      </c>
      <c r="R3" s="23" t="s">
        <v>267</v>
      </c>
      <c r="S3" s="50" t="s">
        <v>81</v>
      </c>
      <c r="T3" s="86" t="s">
        <v>82</v>
      </c>
      <c r="U3" s="85" t="s">
        <v>85</v>
      </c>
      <c r="V3" s="83" t="s">
        <v>86</v>
      </c>
      <c r="W3" s="199" t="s">
        <v>259</v>
      </c>
      <c r="X3" s="17" t="s">
        <v>272</v>
      </c>
      <c r="Z3">
        <v>1</v>
      </c>
      <c r="AA3" s="415">
        <v>1</v>
      </c>
      <c r="AB3" s="94">
        <v>1</v>
      </c>
      <c r="AC3" s="100" t="s">
        <v>105</v>
      </c>
      <c r="AD3" s="41">
        <f>SUM(AE3:AH3)</f>
        <v>1253.4349999999999</v>
      </c>
      <c r="AE3" s="70">
        <f>SUMIFS($I:$I,$C:$C, $AE$2,$G:$G, $Z3,$H:$H, $AB3)</f>
        <v>1253.4349999999999</v>
      </c>
      <c r="AF3" s="70">
        <f>SUMIFS($I:$I,$C:$C, $AF$2,$G:$G, $Z3,$H:$H, $AB3)</f>
        <v>0</v>
      </c>
      <c r="AG3" s="70">
        <f>SUMIFS($I:$I,$C:$C, $AG$2,$G:$G, $Z3,$H:$H, $AB3)</f>
        <v>0</v>
      </c>
      <c r="AH3" s="109">
        <f>SUMIFS($I:$I,$C:$C, $AH$2,$G:$G, $Z3,$H:$H, $AB3)</f>
        <v>0</v>
      </c>
      <c r="AI3" s="120">
        <f>SUM(AJ3:AM3)</f>
        <v>3</v>
      </c>
      <c r="AJ3" s="121">
        <f>COUNTIFS($C:$C, $AJ$2,$G:$G, $Z3,$H:$H, $AB3)</f>
        <v>3</v>
      </c>
      <c r="AK3" s="121">
        <f>COUNTIFS($C:$C, $AK$2,$G:$G, $Z3,$H:$H, $AB3)</f>
        <v>0</v>
      </c>
      <c r="AL3" s="121">
        <f>COUNTIFS($C:$C, $AL$2,$G:$G, $Z3,$H:$H, $AB3)</f>
        <v>0</v>
      </c>
      <c r="AM3" s="122">
        <f>COUNTIFS($C:$C, $AM$2,$G:$G, $Z3,$H:$H, $AB3)</f>
        <v>0</v>
      </c>
      <c r="AN3" s="41">
        <f>SUM(AO3:AR3)</f>
        <v>12.030000000000001</v>
      </c>
      <c r="AO3" s="70">
        <f>SUMIFS($L:$L,$C:$C, $AO$2,$G:$G, $Z3,$H:$H, $AB3)</f>
        <v>12.030000000000001</v>
      </c>
      <c r="AP3" s="70">
        <f>SUMIFS($L:$L,$C:$C, $AP$2,$G:$G, $Z3,$H:$H, $AB3)</f>
        <v>0</v>
      </c>
      <c r="AQ3" s="70">
        <f>SUMIFS($L:$L,$C:$C, $AQ$2,$G:$G, $Z3,$H:$H, $AB3)</f>
        <v>0</v>
      </c>
      <c r="AR3" s="70">
        <f>SUMIFS($L:$L,$C:$C, $AR$2,$G:$G, $Z3,$H:$H, $AB3)</f>
        <v>0</v>
      </c>
      <c r="AT3" s="154" t="s">
        <v>149</v>
      </c>
      <c r="AU3" s="155" t="s">
        <v>150</v>
      </c>
      <c r="AV3" s="156" t="s">
        <v>151</v>
      </c>
    </row>
    <row r="4" spans="2:48" s="10" customFormat="1" ht="13.5" customHeight="1" x14ac:dyDescent="0.25">
      <c r="B4" s="17">
        <v>2</v>
      </c>
      <c r="C4" s="10" t="s">
        <v>136</v>
      </c>
      <c r="D4" s="7" t="s">
        <v>140</v>
      </c>
      <c r="E4" s="72" t="s">
        <v>146</v>
      </c>
      <c r="F4" s="18" t="s">
        <v>73</v>
      </c>
      <c r="G4" s="10">
        <v>1</v>
      </c>
      <c r="H4" s="10">
        <v>1</v>
      </c>
      <c r="I4" s="10">
        <v>704</v>
      </c>
      <c r="J4" s="11">
        <v>685000000</v>
      </c>
      <c r="K4" s="11">
        <f t="shared" ref="K4:K67" si="2">J4*1.1</f>
        <v>753500000.00000012</v>
      </c>
      <c r="L4" s="37">
        <f t="shared" ref="L4:L67" si="3">J4*0.00000001</f>
        <v>6.8500000000000005</v>
      </c>
      <c r="M4" s="3" t="s">
        <v>75</v>
      </c>
      <c r="N4" t="s">
        <v>76</v>
      </c>
      <c r="O4" s="21" t="s">
        <v>78</v>
      </c>
      <c r="P4" s="21">
        <v>2</v>
      </c>
      <c r="Q4" s="21" t="s">
        <v>2136</v>
      </c>
      <c r="R4" s="23" t="s">
        <v>268</v>
      </c>
      <c r="S4" s="50" t="s">
        <v>81</v>
      </c>
      <c r="T4" s="48" t="s">
        <v>83</v>
      </c>
      <c r="U4" s="81" t="s">
        <v>85</v>
      </c>
      <c r="V4" s="26" t="s">
        <v>87</v>
      </c>
      <c r="W4" s="200" t="s">
        <v>258</v>
      </c>
      <c r="X4" s="17" t="s">
        <v>272</v>
      </c>
      <c r="Z4">
        <v>1</v>
      </c>
      <c r="AA4" s="416"/>
      <c r="AB4" s="95">
        <v>2</v>
      </c>
      <c r="AC4" s="101" t="s">
        <v>61</v>
      </c>
      <c r="AD4" s="41">
        <f t="shared" ref="AD4:AD67" si="4">SUM(AE4:AH4)</f>
        <v>1862.3100000000002</v>
      </c>
      <c r="AE4" s="70">
        <f>SUMIFS($I:$I,$C:$C, $AE$2,$G:$G, $Z4,$H:$H, $AB4)</f>
        <v>1126.4000000000001</v>
      </c>
      <c r="AF4" s="70">
        <f>SUMIFS($I:$I,$C:$C, $AF$2,$G:$G, $Z4,$H:$H, $AB4)</f>
        <v>735.91000000000008</v>
      </c>
      <c r="AG4" s="70">
        <f>SUMIFS($I:$I,$C:$C, $AG$2,$G:$G, $Z4,$H:$H, $AB4)</f>
        <v>0</v>
      </c>
      <c r="AH4" s="109">
        <f>SUMIFS($I:$I,$C:$C, $AH$2,$G:$G, $Z4,$H:$H, $AB4)</f>
        <v>0</v>
      </c>
      <c r="AI4" s="120">
        <f t="shared" ref="AI4:AI67" si="5">SUM(AJ4:AM4)</f>
        <v>3</v>
      </c>
      <c r="AJ4" s="121">
        <f>COUNTIFS($C:$C, $AJ$2,$G:$G, $Z4,$H:$H, $AB4)</f>
        <v>1</v>
      </c>
      <c r="AK4" s="121">
        <f>COUNTIFS($C:$C, $AK$2,$G:$G, $Z4,$H:$H, $AB4)</f>
        <v>2</v>
      </c>
      <c r="AL4" s="121">
        <f>COUNTIFS($C:$C, $AL$2,$G:$G, $Z4,$H:$H, $AB4)</f>
        <v>0</v>
      </c>
      <c r="AM4" s="122">
        <f>COUNTIFS($C:$C, $AM$2,$G:$G, $Z4,$H:$H, $AB4)</f>
        <v>0</v>
      </c>
      <c r="AN4" s="41">
        <f t="shared" ref="AN4:AN67" si="6">SUM(AO4:AR4)</f>
        <v>17.350000000000001</v>
      </c>
      <c r="AO4" s="70">
        <f>SUMIFS($L:$L,$C:$C, $AO$2,$G:$G, $Z4,$H:$H, $AB4)</f>
        <v>10.029999999999999</v>
      </c>
      <c r="AP4" s="70">
        <f>SUMIFS($L:$L,$C:$C, $AP$2,$G:$G, $Z4,$H:$H, $AB4)</f>
        <v>7.32</v>
      </c>
      <c r="AQ4" s="70">
        <f>SUMIFS($L:$L,$C:$C, $AQ$2,$G:$G, $Z4,$H:$H, $AB4)</f>
        <v>0</v>
      </c>
      <c r="AR4" s="70">
        <f>SUMIFS($L:$L,$C:$C, $AR$2,$G:$G, $Z4,$H:$H, $AB4)</f>
        <v>0</v>
      </c>
      <c r="AT4" s="157">
        <v>1</v>
      </c>
      <c r="AU4" s="158">
        <f t="shared" ref="AU4:AU15" si="7">COUNTIFS($U:$U,$AU$3,$G:$G,$AT4)</f>
        <v>4</v>
      </c>
      <c r="AV4" s="159">
        <f t="shared" ref="AV4:AV15" si="8">COUNTIFS($U:$U,$AV$3,$G:$G,$AT4)</f>
        <v>6</v>
      </c>
    </row>
    <row r="5" spans="2:48" s="10" customFormat="1" ht="13.5" customHeight="1" x14ac:dyDescent="0.25">
      <c r="B5" s="17">
        <v>3</v>
      </c>
      <c r="C5" s="10" t="s">
        <v>136</v>
      </c>
      <c r="D5" s="7" t="s">
        <v>140</v>
      </c>
      <c r="E5" s="72" t="s">
        <v>147</v>
      </c>
      <c r="F5" s="18" t="s">
        <v>74</v>
      </c>
      <c r="G5" s="10">
        <v>1</v>
      </c>
      <c r="H5" s="10">
        <v>1</v>
      </c>
      <c r="I5" s="10">
        <v>366.39499999999998</v>
      </c>
      <c r="J5" s="11">
        <v>333000000</v>
      </c>
      <c r="K5" s="11">
        <f t="shared" si="2"/>
        <v>366300000</v>
      </c>
      <c r="L5" s="37">
        <f t="shared" si="3"/>
        <v>3.33</v>
      </c>
      <c r="M5" s="3" t="s">
        <v>75</v>
      </c>
      <c r="N5" t="s">
        <v>76</v>
      </c>
      <c r="O5" s="21" t="s">
        <v>79</v>
      </c>
      <c r="P5" s="21">
        <v>3</v>
      </c>
      <c r="Q5" s="21" t="s">
        <v>2138</v>
      </c>
      <c r="R5" s="23" t="s">
        <v>80</v>
      </c>
      <c r="S5" s="50" t="s">
        <v>81</v>
      </c>
      <c r="T5" s="48" t="s">
        <v>84</v>
      </c>
      <c r="U5" s="81" t="s">
        <v>85</v>
      </c>
      <c r="V5" s="26" t="s">
        <v>88</v>
      </c>
      <c r="W5" s="200" t="s">
        <v>259</v>
      </c>
      <c r="X5" s="17" t="s">
        <v>272</v>
      </c>
      <c r="Z5">
        <v>1</v>
      </c>
      <c r="AA5" s="416"/>
      <c r="AB5" s="95">
        <v>3</v>
      </c>
      <c r="AC5" s="102" t="s">
        <v>62</v>
      </c>
      <c r="AD5" s="41">
        <f t="shared" si="4"/>
        <v>0</v>
      </c>
      <c r="AE5" s="70">
        <f>SUMIFS($I:$I,$C:$C, $AE$2,$G:$G, $Z5,$H:$H, $AB5)</f>
        <v>0</v>
      </c>
      <c r="AF5" s="70">
        <f>SUMIFS($I:$I,$C:$C, $AF$2,$G:$G, $Z5,$H:$H, $AB5)</f>
        <v>0</v>
      </c>
      <c r="AG5" s="70">
        <f>SUMIFS($I:$I,$C:$C, $AG$2,$G:$G, $Z5,$H:$H, $AB5)</f>
        <v>0</v>
      </c>
      <c r="AH5" s="109">
        <f>SUMIFS($I:$I,$C:$C, $AH$2,$G:$G, $Z5,$H:$H, $AB5)</f>
        <v>0</v>
      </c>
      <c r="AI5" s="120">
        <f t="shared" si="5"/>
        <v>0</v>
      </c>
      <c r="AJ5" s="121">
        <f>COUNTIFS($C:$C, $AJ$2,$G:$G, $Z5,$H:$H, $AB5)</f>
        <v>0</v>
      </c>
      <c r="AK5" s="121">
        <f>COUNTIFS($C:$C, $AK$2,$G:$G, $Z5,$H:$H, $AB5)</f>
        <v>0</v>
      </c>
      <c r="AL5" s="121">
        <f>COUNTIFS($C:$C, $AL$2,$G:$G, $Z5,$H:$H, $AB5)</f>
        <v>0</v>
      </c>
      <c r="AM5" s="122">
        <f>COUNTIFS($C:$C, $AM$2,$G:$G, $Z5,$H:$H, $AB5)</f>
        <v>0</v>
      </c>
      <c r="AN5" s="41">
        <f t="shared" si="6"/>
        <v>0</v>
      </c>
      <c r="AO5" s="70">
        <f>SUMIFS($L:$L,$C:$C, $AO$2,$G:$G, $Z5,$H:$H, $AB5)</f>
        <v>0</v>
      </c>
      <c r="AP5" s="70">
        <f>SUMIFS($L:$L,$C:$C, $AP$2,$G:$G, $Z5,$H:$H, $AB5)</f>
        <v>0</v>
      </c>
      <c r="AQ5" s="70">
        <f>SUMIFS($L:$L,$C:$C, $AQ$2,$G:$G, $Z5,$H:$H, $AB5)</f>
        <v>0</v>
      </c>
      <c r="AR5" s="70">
        <f>SUMIFS($L:$L,$C:$C, $AR$2,$G:$G, $Z5,$H:$H, $AB5)</f>
        <v>0</v>
      </c>
      <c r="AT5" s="157">
        <v>2</v>
      </c>
      <c r="AU5" s="158">
        <f t="shared" si="7"/>
        <v>13</v>
      </c>
      <c r="AV5" s="159">
        <f t="shared" si="8"/>
        <v>4</v>
      </c>
    </row>
    <row r="6" spans="2:48" s="10" customFormat="1" ht="13.5" customHeight="1" x14ac:dyDescent="0.25">
      <c r="B6" s="17">
        <v>4</v>
      </c>
      <c r="C6" s="10" t="s">
        <v>137</v>
      </c>
      <c r="D6" s="7" t="s">
        <v>140</v>
      </c>
      <c r="E6" s="72" t="s">
        <v>141</v>
      </c>
      <c r="F6" s="18" t="s">
        <v>192</v>
      </c>
      <c r="G6" s="10">
        <v>1</v>
      </c>
      <c r="H6" s="10">
        <v>2</v>
      </c>
      <c r="I6" s="10">
        <v>236.8</v>
      </c>
      <c r="J6" s="11">
        <v>317000000</v>
      </c>
      <c r="K6" s="11">
        <f t="shared" si="2"/>
        <v>348700000</v>
      </c>
      <c r="L6" s="37">
        <f t="shared" si="3"/>
        <v>3.17</v>
      </c>
      <c r="M6" s="3" t="s">
        <v>193</v>
      </c>
      <c r="N6" s="3" t="s">
        <v>189</v>
      </c>
      <c r="O6" s="21" t="s">
        <v>194</v>
      </c>
      <c r="P6" s="21">
        <v>4</v>
      </c>
      <c r="Q6" s="21" t="s">
        <v>2145</v>
      </c>
      <c r="R6" s="23" t="s">
        <v>195</v>
      </c>
      <c r="S6" s="50" t="s">
        <v>81</v>
      </c>
      <c r="T6" s="48" t="s">
        <v>196</v>
      </c>
      <c r="U6" s="81" t="s">
        <v>197</v>
      </c>
      <c r="V6" s="26" t="s">
        <v>198</v>
      </c>
      <c r="W6" s="200" t="s">
        <v>258</v>
      </c>
      <c r="X6" s="17" t="s">
        <v>272</v>
      </c>
      <c r="Z6">
        <v>1</v>
      </c>
      <c r="AA6" s="416"/>
      <c r="AB6" s="95">
        <v>4</v>
      </c>
      <c r="AC6" s="102" t="s">
        <v>63</v>
      </c>
      <c r="AD6" s="41">
        <f t="shared" si="4"/>
        <v>148.59</v>
      </c>
      <c r="AE6" s="70">
        <f>SUMIFS($I:$I,$C:$C, $AE$2,$G:$G, $Z6,$H:$H, $AB6)</f>
        <v>34.29</v>
      </c>
      <c r="AF6" s="70">
        <f>SUMIFS($I:$I,$C:$C, $AF$2,$G:$G, $Z6,$H:$H, $AB6)</f>
        <v>114.3</v>
      </c>
      <c r="AG6" s="70">
        <f>SUMIFS($I:$I,$C:$C, $AG$2,$G:$G, $Z6,$H:$H, $AB6)</f>
        <v>0</v>
      </c>
      <c r="AH6" s="109">
        <f>SUMIFS($I:$I,$C:$C, $AH$2,$G:$G, $Z6,$H:$H, $AB6)</f>
        <v>0</v>
      </c>
      <c r="AI6" s="120">
        <f t="shared" si="5"/>
        <v>2</v>
      </c>
      <c r="AJ6" s="121">
        <f>COUNTIFS($C:$C, $AJ$2,$G:$G, $Z6,$H:$H, $AB6)</f>
        <v>1</v>
      </c>
      <c r="AK6" s="121">
        <f>COUNTIFS($C:$C, $AK$2,$G:$G, $Z6,$H:$H, $AB6)</f>
        <v>1</v>
      </c>
      <c r="AL6" s="121">
        <f>COUNTIFS($C:$C, $AL$2,$G:$G, $Z6,$H:$H, $AB6)</f>
        <v>0</v>
      </c>
      <c r="AM6" s="122">
        <f>COUNTIFS($C:$C, $AM$2,$G:$G, $Z6,$H:$H, $AB6)</f>
        <v>0</v>
      </c>
      <c r="AN6" s="41">
        <f t="shared" si="6"/>
        <v>1.637</v>
      </c>
      <c r="AO6" s="70">
        <f>SUMIFS($L:$L,$C:$C, $AO$2,$G:$G, $Z6,$H:$H, $AB6)</f>
        <v>0.38</v>
      </c>
      <c r="AP6" s="70">
        <f>SUMIFS($L:$L,$C:$C, $AP$2,$G:$G, $Z6,$H:$H, $AB6)</f>
        <v>1.2570000000000001</v>
      </c>
      <c r="AQ6" s="70">
        <f>SUMIFS($L:$L,$C:$C, $AQ$2,$G:$G, $Z6,$H:$H, $AB6)</f>
        <v>0</v>
      </c>
      <c r="AR6" s="70">
        <f>SUMIFS($L:$L,$C:$C, $AR$2,$G:$G, $Z6,$H:$H, $AB6)</f>
        <v>0</v>
      </c>
      <c r="AT6" s="157">
        <v>3</v>
      </c>
      <c r="AU6" s="158">
        <f t="shared" si="7"/>
        <v>5</v>
      </c>
      <c r="AV6" s="159">
        <f t="shared" si="8"/>
        <v>7</v>
      </c>
    </row>
    <row r="7" spans="2:48" s="10" customFormat="1" ht="13.5" customHeight="1" x14ac:dyDescent="0.25">
      <c r="B7" s="17">
        <v>5</v>
      </c>
      <c r="C7" s="10" t="s">
        <v>136</v>
      </c>
      <c r="D7" s="7" t="s">
        <v>140</v>
      </c>
      <c r="E7" s="72" t="s">
        <v>200</v>
      </c>
      <c r="F7" s="18" t="s">
        <v>201</v>
      </c>
      <c r="G7" s="10">
        <v>1</v>
      </c>
      <c r="H7" s="10">
        <v>2</v>
      </c>
      <c r="I7" s="10">
        <v>1126.4000000000001</v>
      </c>
      <c r="J7" s="11">
        <v>1003000000</v>
      </c>
      <c r="K7" s="11">
        <f t="shared" si="2"/>
        <v>1103300000</v>
      </c>
      <c r="L7" s="37">
        <f t="shared" si="3"/>
        <v>10.029999999999999</v>
      </c>
      <c r="M7" s="3" t="s">
        <v>190</v>
      </c>
      <c r="N7" t="s">
        <v>31</v>
      </c>
      <c r="O7" s="21" t="s">
        <v>210</v>
      </c>
      <c r="P7" s="21">
        <v>5</v>
      </c>
      <c r="Q7" s="21" t="s">
        <v>2136</v>
      </c>
      <c r="R7" s="23" t="s">
        <v>202</v>
      </c>
      <c r="S7" s="50" t="s">
        <v>81</v>
      </c>
      <c r="T7" s="48" t="s">
        <v>203</v>
      </c>
      <c r="U7" s="81" t="s">
        <v>150</v>
      </c>
      <c r="V7" s="26"/>
      <c r="W7" s="200" t="s">
        <v>258</v>
      </c>
      <c r="X7" s="17" t="s">
        <v>272</v>
      </c>
      <c r="Z7">
        <v>1</v>
      </c>
      <c r="AA7" s="416"/>
      <c r="AB7" s="96">
        <v>5</v>
      </c>
      <c r="AC7" s="102" t="s">
        <v>64</v>
      </c>
      <c r="AD7" s="41">
        <f t="shared" si="4"/>
        <v>290.01</v>
      </c>
      <c r="AE7" s="70">
        <f>SUMIFS($I:$I,$C:$C, $AE$2,$G:$G, $Z7,$H:$H, $AB7)</f>
        <v>232.41</v>
      </c>
      <c r="AF7" s="70">
        <f>SUMIFS($I:$I,$C:$C, $AF$2,$G:$G, $Z7,$H:$H, $AB7)</f>
        <v>57.6</v>
      </c>
      <c r="AG7" s="70">
        <f>SUMIFS($I:$I,$C:$C, $AG$2,$G:$G, $Z7,$H:$H, $AB7)</f>
        <v>0</v>
      </c>
      <c r="AH7" s="109">
        <f>SUMIFS($I:$I,$C:$C, $AH$2,$G:$G, $Z7,$H:$H, $AB7)</f>
        <v>0</v>
      </c>
      <c r="AI7" s="120">
        <f t="shared" si="5"/>
        <v>2</v>
      </c>
      <c r="AJ7" s="121">
        <f>COUNTIFS($C:$C, $AJ$2,$G:$G, $Z7,$H:$H, $AB7)</f>
        <v>1</v>
      </c>
      <c r="AK7" s="121">
        <f>COUNTIFS($C:$C, $AK$2,$G:$G, $Z7,$H:$H, $AB7)</f>
        <v>1</v>
      </c>
      <c r="AL7" s="121">
        <f>COUNTIFS($C:$C, $AL$2,$G:$G, $Z7,$H:$H, $AB7)</f>
        <v>0</v>
      </c>
      <c r="AM7" s="122">
        <f>COUNTIFS($C:$C, $AM$2,$G:$G, $Z7,$H:$H, $AB7)</f>
        <v>0</v>
      </c>
      <c r="AN7" s="41">
        <f t="shared" si="6"/>
        <v>2.9160000000000004</v>
      </c>
      <c r="AO7" s="70">
        <f>SUMIFS($L:$L,$C:$C, $AO$2,$G:$G, $Z7,$H:$H, $AB7)</f>
        <v>2.2000000000000002</v>
      </c>
      <c r="AP7" s="70">
        <f>SUMIFS($L:$L,$C:$C, $AP$2,$G:$G, $Z7,$H:$H, $AB7)</f>
        <v>0.71599999999999997</v>
      </c>
      <c r="AQ7" s="70">
        <f>SUMIFS($L:$L,$C:$C, $AQ$2,$G:$G, $Z7,$H:$H, $AB7)</f>
        <v>0</v>
      </c>
      <c r="AR7" s="70">
        <f>SUMIFS($L:$L,$C:$C, $AR$2,$G:$G, $Z7,$H:$H, $AB7)</f>
        <v>0</v>
      </c>
      <c r="AT7" s="157">
        <v>4</v>
      </c>
      <c r="AU7" s="158">
        <f t="shared" si="7"/>
        <v>13</v>
      </c>
      <c r="AV7" s="159">
        <f t="shared" si="8"/>
        <v>6</v>
      </c>
    </row>
    <row r="8" spans="2:48" s="10" customFormat="1" ht="13.5" customHeight="1" thickBot="1" x14ac:dyDescent="0.3">
      <c r="B8" s="17">
        <v>6</v>
      </c>
      <c r="C8" s="10" t="s">
        <v>137</v>
      </c>
      <c r="D8" s="7" t="s">
        <v>140</v>
      </c>
      <c r="E8" s="72" t="s">
        <v>146</v>
      </c>
      <c r="F8" s="18" t="s">
        <v>204</v>
      </c>
      <c r="G8" s="10">
        <v>1</v>
      </c>
      <c r="H8" s="10">
        <v>2</v>
      </c>
      <c r="I8" s="10">
        <v>499.11</v>
      </c>
      <c r="J8" s="11">
        <v>415000000</v>
      </c>
      <c r="K8" s="11">
        <f t="shared" si="2"/>
        <v>456500000.00000006</v>
      </c>
      <c r="L8" s="37">
        <f t="shared" si="3"/>
        <v>4.1500000000000004</v>
      </c>
      <c r="M8" s="3" t="s">
        <v>193</v>
      </c>
      <c r="N8" t="s">
        <v>30</v>
      </c>
      <c r="O8" s="21" t="s">
        <v>205</v>
      </c>
      <c r="P8" s="21">
        <v>6</v>
      </c>
      <c r="Q8" s="21" t="s">
        <v>2149</v>
      </c>
      <c r="R8" s="23" t="s">
        <v>206</v>
      </c>
      <c r="S8" s="50" t="s">
        <v>207</v>
      </c>
      <c r="T8" s="48" t="s">
        <v>208</v>
      </c>
      <c r="U8" s="81" t="s">
        <v>197</v>
      </c>
      <c r="V8" s="26" t="s">
        <v>209</v>
      </c>
      <c r="W8" s="200" t="s">
        <v>258</v>
      </c>
      <c r="X8" s="17" t="s">
        <v>272</v>
      </c>
      <c r="Z8">
        <v>1</v>
      </c>
      <c r="AA8" s="417"/>
      <c r="AB8" s="97" t="s">
        <v>3</v>
      </c>
      <c r="AC8" s="103"/>
      <c r="AD8" s="99">
        <f>SUM(AD3:AD7)</f>
        <v>3554.3450000000003</v>
      </c>
      <c r="AE8" s="99">
        <f t="shared" ref="AE8" si="9">SUM(AE3:AE7)</f>
        <v>2646.5349999999999</v>
      </c>
      <c r="AF8" s="99">
        <f t="shared" ref="AF8" si="10">SUM(AF3:AF7)</f>
        <v>907.81000000000006</v>
      </c>
      <c r="AG8" s="99">
        <f t="shared" ref="AG8" si="11">SUM(AG3:AG7)</f>
        <v>0</v>
      </c>
      <c r="AH8" s="110">
        <f t="shared" ref="AH8" si="12">SUM(AH3:AH7)</f>
        <v>0</v>
      </c>
      <c r="AI8" s="123">
        <f t="shared" ref="AI8" si="13">SUM(AI3:AI7)</f>
        <v>10</v>
      </c>
      <c r="AJ8" s="124">
        <f t="shared" ref="AJ8" si="14">SUM(AJ3:AJ7)</f>
        <v>6</v>
      </c>
      <c r="AK8" s="124">
        <f t="shared" ref="AK8" si="15">SUM(AK3:AK7)</f>
        <v>4</v>
      </c>
      <c r="AL8" s="124">
        <f t="shared" ref="AL8" si="16">SUM(AL3:AL7)</f>
        <v>0</v>
      </c>
      <c r="AM8" s="125">
        <f t="shared" ref="AM8" si="17">SUM(AM3:AM7)</f>
        <v>0</v>
      </c>
      <c r="AN8" s="99">
        <f t="shared" ref="AN8" si="18">SUM(AN3:AN7)</f>
        <v>33.933000000000007</v>
      </c>
      <c r="AO8" s="99">
        <f t="shared" ref="AO8" si="19">SUM(AO3:AO7)</f>
        <v>24.64</v>
      </c>
      <c r="AP8" s="99">
        <f t="shared" ref="AP8" si="20">SUM(AP3:AP7)</f>
        <v>9.2929999999999993</v>
      </c>
      <c r="AQ8" s="99">
        <f t="shared" ref="AQ8" si="21">SUM(AQ3:AQ7)</f>
        <v>0</v>
      </c>
      <c r="AR8" s="99">
        <f t="shared" ref="AR8" si="22">SUM(AR3:AR7)</f>
        <v>0</v>
      </c>
      <c r="AT8" s="157">
        <v>5</v>
      </c>
      <c r="AU8" s="158">
        <f t="shared" si="7"/>
        <v>15</v>
      </c>
      <c r="AV8" s="159">
        <f t="shared" si="8"/>
        <v>5</v>
      </c>
    </row>
    <row r="9" spans="2:48" s="10" customFormat="1" ht="13.5" customHeight="1" x14ac:dyDescent="0.25">
      <c r="B9" s="17">
        <v>7</v>
      </c>
      <c r="C9" s="10" t="s">
        <v>137</v>
      </c>
      <c r="D9" s="7" t="s">
        <v>140</v>
      </c>
      <c r="E9" s="72" t="s">
        <v>147</v>
      </c>
      <c r="F9" s="18" t="s">
        <v>211</v>
      </c>
      <c r="G9" s="10">
        <v>1</v>
      </c>
      <c r="H9" s="10">
        <v>4</v>
      </c>
      <c r="I9" s="10">
        <v>114.3</v>
      </c>
      <c r="J9" s="11">
        <v>125700000</v>
      </c>
      <c r="K9" s="11">
        <f t="shared" si="2"/>
        <v>138270000</v>
      </c>
      <c r="L9" s="37">
        <f t="shared" si="3"/>
        <v>1.2570000000000001</v>
      </c>
      <c r="M9" s="3" t="s">
        <v>193</v>
      </c>
      <c r="N9" t="s">
        <v>189</v>
      </c>
      <c r="O9" s="21" t="s">
        <v>212</v>
      </c>
      <c r="P9" s="21">
        <v>7</v>
      </c>
      <c r="Q9" s="21" t="s">
        <v>2136</v>
      </c>
      <c r="R9" s="23" t="s">
        <v>213</v>
      </c>
      <c r="S9" s="50" t="s">
        <v>81</v>
      </c>
      <c r="T9" s="48" t="s">
        <v>214</v>
      </c>
      <c r="U9" s="81" t="s">
        <v>197</v>
      </c>
      <c r="V9" s="26" t="s">
        <v>215</v>
      </c>
      <c r="W9" s="200" t="s">
        <v>258</v>
      </c>
      <c r="X9" s="17" t="s">
        <v>272</v>
      </c>
      <c r="Z9">
        <v>2</v>
      </c>
      <c r="AA9" s="415">
        <v>2</v>
      </c>
      <c r="AB9" s="94">
        <v>1</v>
      </c>
      <c r="AC9" s="104" t="s">
        <v>106</v>
      </c>
      <c r="AD9" s="41">
        <f t="shared" si="4"/>
        <v>2407.6799999999998</v>
      </c>
      <c r="AE9" s="70">
        <f>SUMIFS($I:$I,$C:$C, $AE$2,$G:$G, $Z9,$H:$H, $AB9)</f>
        <v>2332.16</v>
      </c>
      <c r="AF9" s="70">
        <f>SUMIFS($I:$I,$C:$C, $AF$2,$G:$G, $Z9,$H:$H, $AB9)</f>
        <v>75.52</v>
      </c>
      <c r="AG9" s="70">
        <f>SUMIFS($I:$I,$C:$C, $AG$2,$G:$G, $Z9,$H:$H, $AB9)</f>
        <v>0</v>
      </c>
      <c r="AH9" s="109">
        <f>SUMIFS($I:$I,$C:$C, $AH$2,$G:$G, $Z9,$H:$H, $AB9)</f>
        <v>0</v>
      </c>
      <c r="AI9" s="120">
        <f t="shared" si="5"/>
        <v>2</v>
      </c>
      <c r="AJ9" s="121">
        <f>COUNTIFS($C:$C, $AJ$2,$G:$G, $Z9,$H:$H, $AB9)</f>
        <v>1</v>
      </c>
      <c r="AK9" s="121">
        <f>COUNTIFS($C:$C, $AK$2,$G:$G, $Z9,$H:$H, $AB9)</f>
        <v>1</v>
      </c>
      <c r="AL9" s="121">
        <f>COUNTIFS($C:$C, $AL$2,$G:$G, $Z9,$H:$H, $AB9)</f>
        <v>0</v>
      </c>
      <c r="AM9" s="122">
        <f>COUNTIFS($C:$C, $AM$2,$G:$G, $Z9,$H:$H, $AB9)</f>
        <v>0</v>
      </c>
      <c r="AN9" s="41">
        <f t="shared" si="6"/>
        <v>31.33</v>
      </c>
      <c r="AO9" s="70">
        <f>SUMIFS($L:$L,$C:$C, $AO$2,$G:$G, $Z9,$H:$H, $AB9)</f>
        <v>30.5</v>
      </c>
      <c r="AP9" s="70">
        <f>SUMIFS($L:$L,$C:$C, $AP$2,$G:$G, $Z9,$H:$H, $AB9)</f>
        <v>0.83000000000000007</v>
      </c>
      <c r="AQ9" s="70">
        <f>SUMIFS($L:$L,$C:$C, $AQ$2,$G:$G, $Z9,$H:$H, $AB9)</f>
        <v>0</v>
      </c>
      <c r="AR9" s="70">
        <f>SUMIFS($L:$L,$C:$C, $AR$2,$G:$G, $Z9,$H:$H, $AB9)</f>
        <v>0</v>
      </c>
      <c r="AT9" s="157">
        <v>6</v>
      </c>
      <c r="AU9" s="158">
        <f t="shared" si="7"/>
        <v>8</v>
      </c>
      <c r="AV9" s="159">
        <f t="shared" si="8"/>
        <v>6</v>
      </c>
    </row>
    <row r="10" spans="2:48" s="10" customFormat="1" ht="13.5" customHeight="1" x14ac:dyDescent="0.25">
      <c r="B10" s="17">
        <v>8</v>
      </c>
      <c r="C10" s="10" t="s">
        <v>136</v>
      </c>
      <c r="D10" s="7" t="s">
        <v>140</v>
      </c>
      <c r="E10" s="72" t="s">
        <v>220</v>
      </c>
      <c r="F10" s="18" t="s">
        <v>216</v>
      </c>
      <c r="G10" s="10">
        <v>1</v>
      </c>
      <c r="H10" s="10">
        <v>4</v>
      </c>
      <c r="I10" s="10">
        <v>34.29</v>
      </c>
      <c r="J10" s="11">
        <v>38000000</v>
      </c>
      <c r="K10" s="11">
        <f t="shared" si="2"/>
        <v>41800000</v>
      </c>
      <c r="L10" s="37">
        <f t="shared" si="3"/>
        <v>0.38</v>
      </c>
      <c r="M10" s="3" t="s">
        <v>75</v>
      </c>
      <c r="N10" s="3" t="s">
        <v>31</v>
      </c>
      <c r="O10" s="21" t="s">
        <v>217</v>
      </c>
      <c r="P10" s="21">
        <v>8</v>
      </c>
      <c r="Q10" s="21" t="s">
        <v>2137</v>
      </c>
      <c r="R10" s="23" t="s">
        <v>1238</v>
      </c>
      <c r="S10" s="50" t="s">
        <v>81</v>
      </c>
      <c r="T10" s="87" t="s">
        <v>218</v>
      </c>
      <c r="U10" s="81" t="s">
        <v>151</v>
      </c>
      <c r="V10" s="26" t="s">
        <v>219</v>
      </c>
      <c r="W10" s="200" t="s">
        <v>262</v>
      </c>
      <c r="X10" s="17" t="s">
        <v>272</v>
      </c>
      <c r="Z10">
        <v>2</v>
      </c>
      <c r="AA10" s="416"/>
      <c r="AB10" s="95">
        <v>2</v>
      </c>
      <c r="AC10" s="102" t="s">
        <v>65</v>
      </c>
      <c r="AD10" s="41">
        <f t="shared" si="4"/>
        <v>170.18</v>
      </c>
      <c r="AE10" s="70">
        <f>SUMIFS($I:$I,$C:$C, $AE$2,$G:$G, $Z10,$H:$H, $AB10)</f>
        <v>170.18</v>
      </c>
      <c r="AF10" s="70">
        <f>SUMIFS($I:$I,$C:$C, $AF$2,$G:$G, $Z10,$H:$H, $AB10)</f>
        <v>0</v>
      </c>
      <c r="AG10" s="70">
        <f>SUMIFS($I:$I,$C:$C, $AG$2,$G:$G, $Z10,$H:$H, $AB10)</f>
        <v>0</v>
      </c>
      <c r="AH10" s="109">
        <f>SUMIFS($I:$I,$C:$C, $AH$2,$G:$G, $Z10,$H:$H, $AB10)</f>
        <v>0</v>
      </c>
      <c r="AI10" s="120">
        <f t="shared" si="5"/>
        <v>2</v>
      </c>
      <c r="AJ10" s="121">
        <f>COUNTIFS($C:$C, $AJ$2,$G:$G, $Z10,$H:$H, $AB10)</f>
        <v>2</v>
      </c>
      <c r="AK10" s="121">
        <f>COUNTIFS($C:$C, $AK$2,$G:$G, $Z10,$H:$H, $AB10)</f>
        <v>0</v>
      </c>
      <c r="AL10" s="121">
        <f>COUNTIFS($C:$C, $AL$2,$G:$G, $Z10,$H:$H, $AB10)</f>
        <v>0</v>
      </c>
      <c r="AM10" s="122">
        <f>COUNTIFS($C:$C, $AM$2,$G:$G, $Z10,$H:$H, $AB10)</f>
        <v>0</v>
      </c>
      <c r="AN10" s="41">
        <f t="shared" si="6"/>
        <v>1.7</v>
      </c>
      <c r="AO10" s="70">
        <f>SUMIFS($L:$L,$C:$C, $AO$2,$G:$G, $Z10,$H:$H, $AB10)</f>
        <v>1.7</v>
      </c>
      <c r="AP10" s="70">
        <f>SUMIFS($L:$L,$C:$C, $AP$2,$G:$G, $Z10,$H:$H, $AB10)</f>
        <v>0</v>
      </c>
      <c r="AQ10" s="70">
        <f>SUMIFS($L:$L,$C:$C, $AQ$2,$G:$G, $Z10,$H:$H, $AB10)</f>
        <v>0</v>
      </c>
      <c r="AR10" s="70">
        <f>SUMIFS($L:$L,$C:$C, $AR$2,$G:$G, $Z10,$H:$H, $AB10)</f>
        <v>0</v>
      </c>
      <c r="AT10" s="157">
        <v>7</v>
      </c>
      <c r="AU10" s="158">
        <f t="shared" si="7"/>
        <v>10</v>
      </c>
      <c r="AV10" s="159">
        <f t="shared" si="8"/>
        <v>7</v>
      </c>
    </row>
    <row r="11" spans="2:48" s="10" customFormat="1" ht="13.5" customHeight="1" x14ac:dyDescent="0.25">
      <c r="B11" s="17">
        <v>9</v>
      </c>
      <c r="C11" s="10" t="s">
        <v>137</v>
      </c>
      <c r="D11" s="7" t="s">
        <v>140</v>
      </c>
      <c r="E11" s="72" t="s">
        <v>200</v>
      </c>
      <c r="F11" s="18" t="s">
        <v>221</v>
      </c>
      <c r="G11" s="10">
        <v>1</v>
      </c>
      <c r="H11" s="10">
        <v>5</v>
      </c>
      <c r="I11" s="10">
        <v>57.6</v>
      </c>
      <c r="J11" s="11">
        <v>71600000</v>
      </c>
      <c r="K11" s="11">
        <f t="shared" si="2"/>
        <v>78760000</v>
      </c>
      <c r="L11" s="37">
        <f t="shared" si="3"/>
        <v>0.71599999999999997</v>
      </c>
      <c r="M11" s="3" t="s">
        <v>59</v>
      </c>
      <c r="N11" t="s">
        <v>189</v>
      </c>
      <c r="O11" s="21" t="s">
        <v>222</v>
      </c>
      <c r="P11" s="21">
        <v>9</v>
      </c>
      <c r="Q11" s="21" t="s">
        <v>2136</v>
      </c>
      <c r="R11" s="23" t="s">
        <v>269</v>
      </c>
      <c r="S11" s="50" t="s">
        <v>81</v>
      </c>
      <c r="T11" s="48" t="s">
        <v>223</v>
      </c>
      <c r="U11" s="81" t="s">
        <v>151</v>
      </c>
      <c r="V11" s="26" t="s">
        <v>224</v>
      </c>
      <c r="W11" s="200" t="s">
        <v>262</v>
      </c>
      <c r="X11" s="17" t="s">
        <v>272</v>
      </c>
      <c r="Z11">
        <v>2</v>
      </c>
      <c r="AA11" s="416"/>
      <c r="AB11" s="95">
        <v>3</v>
      </c>
      <c r="AC11" s="102" t="s">
        <v>66</v>
      </c>
      <c r="AD11" s="41">
        <f t="shared" si="4"/>
        <v>892.41</v>
      </c>
      <c r="AE11" s="70">
        <f>SUMIFS($I:$I,$C:$C, $AE$2,$G:$G, $Z11,$H:$H, $AB11)</f>
        <v>393.21</v>
      </c>
      <c r="AF11" s="70">
        <f>SUMIFS($I:$I,$C:$C, $AF$2,$G:$G, $Z11,$H:$H, $AB11)</f>
        <v>499.2</v>
      </c>
      <c r="AG11" s="70">
        <f>SUMIFS($I:$I,$C:$C, $AG$2,$G:$G, $Z11,$H:$H, $AB11)</f>
        <v>0</v>
      </c>
      <c r="AH11" s="109">
        <f>SUMIFS($I:$I,$C:$C, $AH$2,$G:$G, $Z11,$H:$H, $AB11)</f>
        <v>0</v>
      </c>
      <c r="AI11" s="120">
        <f t="shared" si="5"/>
        <v>4</v>
      </c>
      <c r="AJ11" s="121">
        <f>COUNTIFS($C:$C, $AJ$2,$G:$G, $Z11,$H:$H, $AB11)</f>
        <v>3</v>
      </c>
      <c r="AK11" s="121">
        <f>COUNTIFS($C:$C, $AK$2,$G:$G, $Z11,$H:$H, $AB11)</f>
        <v>1</v>
      </c>
      <c r="AL11" s="121">
        <f>COUNTIFS($C:$C, $AL$2,$G:$G, $Z11,$H:$H, $AB11)</f>
        <v>0</v>
      </c>
      <c r="AM11" s="122">
        <f>COUNTIFS($C:$C, $AM$2,$G:$G, $Z11,$H:$H, $AB11)</f>
        <v>0</v>
      </c>
      <c r="AN11" s="41">
        <f t="shared" si="6"/>
        <v>9.2800000000000011</v>
      </c>
      <c r="AO11" s="70">
        <f>SUMIFS($L:$L,$C:$C, $AO$2,$G:$G, $Z11,$H:$H, $AB11)</f>
        <v>4.03</v>
      </c>
      <c r="AP11" s="70">
        <f>SUMIFS($L:$L,$C:$C, $AP$2,$G:$G, $Z11,$H:$H, $AB11)</f>
        <v>5.25</v>
      </c>
      <c r="AQ11" s="70">
        <f>SUMIFS($L:$L,$C:$C, $AQ$2,$G:$G, $Z11,$H:$H, $AB11)</f>
        <v>0</v>
      </c>
      <c r="AR11" s="70">
        <f>SUMIFS($L:$L,$C:$C, $AR$2,$G:$G, $Z11,$H:$H, $AB11)</f>
        <v>0</v>
      </c>
      <c r="AT11" s="157">
        <v>8</v>
      </c>
      <c r="AU11" s="158">
        <f t="shared" si="7"/>
        <v>19</v>
      </c>
      <c r="AV11" s="159">
        <f t="shared" si="8"/>
        <v>4</v>
      </c>
    </row>
    <row r="12" spans="2:48" s="10" customFormat="1" ht="13.5" customHeight="1" x14ac:dyDescent="0.25">
      <c r="B12" s="17">
        <v>10</v>
      </c>
      <c r="C12" s="10" t="s">
        <v>136</v>
      </c>
      <c r="D12" s="7" t="s">
        <v>140</v>
      </c>
      <c r="E12" s="72" t="s">
        <v>225</v>
      </c>
      <c r="F12" s="18" t="s">
        <v>221</v>
      </c>
      <c r="G12" s="10">
        <v>1</v>
      </c>
      <c r="H12" s="10">
        <v>5</v>
      </c>
      <c r="I12" s="10">
        <v>232.41</v>
      </c>
      <c r="J12" s="11">
        <v>220000000</v>
      </c>
      <c r="K12" s="11">
        <f t="shared" si="2"/>
        <v>242000000.00000003</v>
      </c>
      <c r="L12" s="37">
        <f t="shared" si="3"/>
        <v>2.2000000000000002</v>
      </c>
      <c r="M12" s="3" t="s">
        <v>75</v>
      </c>
      <c r="N12" t="s">
        <v>31</v>
      </c>
      <c r="O12" s="21" t="s">
        <v>226</v>
      </c>
      <c r="P12" s="21">
        <v>10</v>
      </c>
      <c r="Q12" s="21" t="s">
        <v>2138</v>
      </c>
      <c r="R12" s="23" t="s">
        <v>227</v>
      </c>
      <c r="S12" s="50" t="s">
        <v>81</v>
      </c>
      <c r="T12" s="48" t="s">
        <v>228</v>
      </c>
      <c r="U12" s="81" t="s">
        <v>151</v>
      </c>
      <c r="V12" s="26" t="s">
        <v>86</v>
      </c>
      <c r="W12" s="200" t="s">
        <v>258</v>
      </c>
      <c r="X12" s="17" t="s">
        <v>272</v>
      </c>
      <c r="Z12">
        <v>2</v>
      </c>
      <c r="AA12" s="416"/>
      <c r="AB12" s="95">
        <v>4</v>
      </c>
      <c r="AC12" s="102" t="s">
        <v>67</v>
      </c>
      <c r="AD12" s="41">
        <f t="shared" si="4"/>
        <v>1249.335</v>
      </c>
      <c r="AE12" s="70">
        <f>SUMIFS($I:$I,$C:$C, $AE$2,$G:$G, $Z12,$H:$H, $AB12)</f>
        <v>796.21499999999992</v>
      </c>
      <c r="AF12" s="70">
        <f>SUMIFS($I:$I,$C:$C, $AF$2,$G:$G, $Z12,$H:$H, $AB12)</f>
        <v>453.12</v>
      </c>
      <c r="AG12" s="70">
        <f>SUMIFS($I:$I,$C:$C, $AG$2,$G:$G, $Z12,$H:$H, $AB12)</f>
        <v>0</v>
      </c>
      <c r="AH12" s="109">
        <f>SUMIFS($I:$I,$C:$C, $AH$2,$G:$G, $Z12,$H:$H, $AB12)</f>
        <v>0</v>
      </c>
      <c r="AI12" s="120">
        <f t="shared" si="5"/>
        <v>9</v>
      </c>
      <c r="AJ12" s="121">
        <f>COUNTIFS($C:$C, $AJ$2,$G:$G, $Z12,$H:$H, $AB12)</f>
        <v>8</v>
      </c>
      <c r="AK12" s="121">
        <f>COUNTIFS($C:$C, $AK$2,$G:$G, $Z12,$H:$H, $AB12)</f>
        <v>1</v>
      </c>
      <c r="AL12" s="121">
        <f>COUNTIFS($C:$C, $AL$2,$G:$G, $Z12,$H:$H, $AB12)</f>
        <v>0</v>
      </c>
      <c r="AM12" s="122">
        <f>COUNTIFS($C:$C, $AM$2,$G:$G, $Z12,$H:$H, $AB12)</f>
        <v>0</v>
      </c>
      <c r="AN12" s="41">
        <f t="shared" si="6"/>
        <v>12.494</v>
      </c>
      <c r="AO12" s="70">
        <f>SUMIFS($L:$L,$C:$C, $AO$2,$G:$G, $Z12,$H:$H, $AB12)</f>
        <v>7.8940000000000001</v>
      </c>
      <c r="AP12" s="70">
        <f>SUMIFS($L:$L,$C:$C, $AP$2,$G:$G, $Z12,$H:$H, $AB12)</f>
        <v>4.6000000000000005</v>
      </c>
      <c r="AQ12" s="70">
        <f>SUMIFS($L:$L,$C:$C, $AQ$2,$G:$G, $Z12,$H:$H, $AB12)</f>
        <v>0</v>
      </c>
      <c r="AR12" s="70">
        <f>SUMIFS($L:$L,$C:$C, $AR$2,$G:$G, $Z12,$H:$H, $AB12)</f>
        <v>0</v>
      </c>
      <c r="AT12" s="157">
        <v>9</v>
      </c>
      <c r="AU12" s="158">
        <f t="shared" si="7"/>
        <v>21</v>
      </c>
      <c r="AV12" s="159">
        <f t="shared" si="8"/>
        <v>15</v>
      </c>
    </row>
    <row r="13" spans="2:48" s="10" customFormat="1" ht="13.5" customHeight="1" x14ac:dyDescent="0.25">
      <c r="B13" s="17">
        <v>11</v>
      </c>
      <c r="C13" s="10" t="s">
        <v>101</v>
      </c>
      <c r="D13" s="7" t="s">
        <v>229</v>
      </c>
      <c r="E13" s="72" t="s">
        <v>220</v>
      </c>
      <c r="F13" s="18" t="s">
        <v>230</v>
      </c>
      <c r="G13" s="10">
        <v>2</v>
      </c>
      <c r="H13" s="10">
        <v>1</v>
      </c>
      <c r="I13" s="10">
        <v>75.52</v>
      </c>
      <c r="J13" s="11">
        <v>83000000</v>
      </c>
      <c r="K13" s="11">
        <f t="shared" si="2"/>
        <v>91300000</v>
      </c>
      <c r="L13" s="37">
        <f t="shared" si="3"/>
        <v>0.83000000000000007</v>
      </c>
      <c r="M13" s="3" t="s">
        <v>142</v>
      </c>
      <c r="N13" t="s">
        <v>189</v>
      </c>
      <c r="O13" s="21" t="s">
        <v>231</v>
      </c>
      <c r="P13" s="21">
        <v>11</v>
      </c>
      <c r="Q13" s="21" t="s">
        <v>2151</v>
      </c>
      <c r="R13" s="23" t="s">
        <v>232</v>
      </c>
      <c r="S13" s="50" t="s">
        <v>81</v>
      </c>
      <c r="T13" s="48" t="s">
        <v>233</v>
      </c>
      <c r="U13" s="81" t="s">
        <v>150</v>
      </c>
      <c r="V13" s="26" t="s">
        <v>234</v>
      </c>
      <c r="W13" s="200" t="s">
        <v>259</v>
      </c>
      <c r="X13" s="17" t="s">
        <v>272</v>
      </c>
      <c r="Z13">
        <v>2</v>
      </c>
      <c r="AA13" s="416"/>
      <c r="AB13" s="96">
        <v>5</v>
      </c>
      <c r="AC13" s="102"/>
      <c r="AD13" s="41">
        <f t="shared" si="4"/>
        <v>0</v>
      </c>
      <c r="AE13" s="70">
        <f>SUMIFS($I:$I,$C:$C, $AE$2,$G:$G, $Z13,$H:$H, $AB13)</f>
        <v>0</v>
      </c>
      <c r="AF13" s="70">
        <f>SUMIFS($I:$I,$C:$C, $AF$2,$G:$G, $Z13,$H:$H, $AB13)</f>
        <v>0</v>
      </c>
      <c r="AG13" s="70">
        <f>SUMIFS($I:$I,$C:$C, $AG$2,$G:$G, $Z13,$H:$H, $AB13)</f>
        <v>0</v>
      </c>
      <c r="AH13" s="109">
        <f>SUMIFS($I:$I,$C:$C, $AH$2,$G:$G, $Z13,$H:$H, $AB13)</f>
        <v>0</v>
      </c>
      <c r="AI13" s="120">
        <f t="shared" si="5"/>
        <v>0</v>
      </c>
      <c r="AJ13" s="121">
        <f>COUNTIFS($C:$C, $AJ$2,$G:$G, $Z13,$H:$H, $AB13)</f>
        <v>0</v>
      </c>
      <c r="AK13" s="121">
        <f>COUNTIFS($C:$C, $AK$2,$G:$G, $Z13,$H:$H, $AB13)</f>
        <v>0</v>
      </c>
      <c r="AL13" s="121">
        <f>COUNTIFS($C:$C, $AL$2,$G:$G, $Z13,$H:$H, $AB13)</f>
        <v>0</v>
      </c>
      <c r="AM13" s="122">
        <f>COUNTIFS($C:$C, $AM$2,$G:$G, $Z13,$H:$H, $AB13)</f>
        <v>0</v>
      </c>
      <c r="AN13" s="41">
        <f t="shared" si="6"/>
        <v>0</v>
      </c>
      <c r="AO13" s="70">
        <f>SUMIFS($L:$L,$C:$C, $AO$2,$G:$G, $Z13,$H:$H, $AB13)</f>
        <v>0</v>
      </c>
      <c r="AP13" s="70">
        <f>SUMIFS($L:$L,$C:$C, $AP$2,$G:$G, $Z13,$H:$H, $AB13)</f>
        <v>0</v>
      </c>
      <c r="AQ13" s="70">
        <f>SUMIFS($L:$L,$C:$C, $AQ$2,$G:$G, $Z13,$H:$H, $AB13)</f>
        <v>0</v>
      </c>
      <c r="AR13" s="70">
        <f>SUMIFS($L:$L,$C:$C, $AR$2,$G:$G, $Z13,$H:$H, $AB13)</f>
        <v>0</v>
      </c>
      <c r="AT13" s="157">
        <v>10</v>
      </c>
      <c r="AU13" s="158">
        <f t="shared" si="7"/>
        <v>31</v>
      </c>
      <c r="AV13" s="159">
        <f t="shared" si="8"/>
        <v>11</v>
      </c>
    </row>
    <row r="14" spans="2:48" s="10" customFormat="1" ht="13.5" customHeight="1" thickBot="1" x14ac:dyDescent="0.3">
      <c r="B14" s="17">
        <v>12</v>
      </c>
      <c r="C14" s="10" t="s">
        <v>136</v>
      </c>
      <c r="D14" s="7" t="s">
        <v>140</v>
      </c>
      <c r="E14" s="72" t="s">
        <v>235</v>
      </c>
      <c r="F14" s="18" t="s">
        <v>236</v>
      </c>
      <c r="G14" s="10">
        <v>2</v>
      </c>
      <c r="H14" s="10">
        <v>1</v>
      </c>
      <c r="I14" s="10">
        <v>2332.16</v>
      </c>
      <c r="J14" s="11">
        <v>3050000000</v>
      </c>
      <c r="K14" s="11">
        <f t="shared" si="2"/>
        <v>3355000000.0000005</v>
      </c>
      <c r="L14" s="37">
        <f t="shared" si="3"/>
        <v>30.5</v>
      </c>
      <c r="M14" s="3" t="s">
        <v>237</v>
      </c>
      <c r="N14" t="s">
        <v>238</v>
      </c>
      <c r="O14" s="21" t="s">
        <v>239</v>
      </c>
      <c r="P14" s="21">
        <v>12</v>
      </c>
      <c r="Q14" s="21" t="s">
        <v>2151</v>
      </c>
      <c r="R14" s="23" t="s">
        <v>1239</v>
      </c>
      <c r="S14" s="50" t="s">
        <v>81</v>
      </c>
      <c r="T14" s="48" t="s">
        <v>240</v>
      </c>
      <c r="U14" s="81" t="s">
        <v>197</v>
      </c>
      <c r="V14" s="31"/>
      <c r="W14" s="200" t="s">
        <v>258</v>
      </c>
      <c r="X14" s="17" t="s">
        <v>272</v>
      </c>
      <c r="Z14">
        <v>2</v>
      </c>
      <c r="AA14" s="417"/>
      <c r="AB14" s="97" t="s">
        <v>3</v>
      </c>
      <c r="AC14" s="103"/>
      <c r="AD14" s="99">
        <f>SUM(AD9:AD13)</f>
        <v>4719.6049999999996</v>
      </c>
      <c r="AE14" s="99">
        <f t="shared" ref="AE14" si="23">SUM(AE9:AE13)</f>
        <v>3691.7649999999994</v>
      </c>
      <c r="AF14" s="99">
        <f t="shared" ref="AF14" si="24">SUM(AF9:AF13)</f>
        <v>1027.8400000000001</v>
      </c>
      <c r="AG14" s="99">
        <f t="shared" ref="AG14" si="25">SUM(AG9:AG13)</f>
        <v>0</v>
      </c>
      <c r="AH14" s="110">
        <f t="shared" ref="AH14" si="26">SUM(AH9:AH13)</f>
        <v>0</v>
      </c>
      <c r="AI14" s="123">
        <f t="shared" ref="AI14" si="27">SUM(AI9:AI13)</f>
        <v>17</v>
      </c>
      <c r="AJ14" s="124">
        <f t="shared" ref="AJ14" si="28">SUM(AJ9:AJ13)</f>
        <v>14</v>
      </c>
      <c r="AK14" s="124">
        <f t="shared" ref="AK14" si="29">SUM(AK9:AK13)</f>
        <v>3</v>
      </c>
      <c r="AL14" s="124">
        <f t="shared" ref="AL14" si="30">SUM(AL9:AL13)</f>
        <v>0</v>
      </c>
      <c r="AM14" s="125">
        <f t="shared" ref="AM14" si="31">SUM(AM9:AM13)</f>
        <v>0</v>
      </c>
      <c r="AN14" s="99">
        <f t="shared" ref="AN14" si="32">SUM(AN9:AN13)</f>
        <v>54.804000000000002</v>
      </c>
      <c r="AO14" s="99">
        <f t="shared" ref="AO14" si="33">SUM(AO9:AO13)</f>
        <v>44.124000000000002</v>
      </c>
      <c r="AP14" s="99">
        <f t="shared" ref="AP14" si="34">SUM(AP9:AP13)</f>
        <v>10.68</v>
      </c>
      <c r="AQ14" s="99">
        <f t="shared" ref="AQ14" si="35">SUM(AQ9:AQ13)</f>
        <v>0</v>
      </c>
      <c r="AR14" s="99">
        <f t="shared" ref="AR14" si="36">SUM(AR9:AR13)</f>
        <v>0</v>
      </c>
      <c r="AT14" s="157">
        <v>11</v>
      </c>
      <c r="AU14" s="158">
        <f t="shared" si="7"/>
        <v>24</v>
      </c>
      <c r="AV14" s="159">
        <f t="shared" si="8"/>
        <v>7</v>
      </c>
    </row>
    <row r="15" spans="2:48" s="10" customFormat="1" ht="13.5" customHeight="1" thickBot="1" x14ac:dyDescent="0.3">
      <c r="B15" s="17">
        <v>13</v>
      </c>
      <c r="C15" s="10" t="s">
        <v>136</v>
      </c>
      <c r="D15" s="7" t="s">
        <v>140</v>
      </c>
      <c r="E15" s="72" t="s">
        <v>241</v>
      </c>
      <c r="F15" s="18" t="s">
        <v>242</v>
      </c>
      <c r="G15" s="10">
        <v>2</v>
      </c>
      <c r="H15" s="10">
        <v>2</v>
      </c>
      <c r="I15" s="10">
        <v>85.09</v>
      </c>
      <c r="J15" s="11">
        <v>85000000</v>
      </c>
      <c r="K15" s="11">
        <f t="shared" si="2"/>
        <v>93500000.000000015</v>
      </c>
      <c r="L15" s="37">
        <f t="shared" si="3"/>
        <v>0.85</v>
      </c>
      <c r="M15" s="3" t="s">
        <v>243</v>
      </c>
      <c r="N15" t="s">
        <v>31</v>
      </c>
      <c r="O15" s="21" t="s">
        <v>244</v>
      </c>
      <c r="P15" s="21">
        <v>13</v>
      </c>
      <c r="Q15" s="21" t="s">
        <v>2151</v>
      </c>
      <c r="R15" s="23" t="s">
        <v>245</v>
      </c>
      <c r="S15" s="50" t="s">
        <v>81</v>
      </c>
      <c r="T15" s="48" t="s">
        <v>246</v>
      </c>
      <c r="U15" s="81" t="s">
        <v>151</v>
      </c>
      <c r="V15" s="32" t="s">
        <v>247</v>
      </c>
      <c r="W15" s="200" t="s">
        <v>258</v>
      </c>
      <c r="X15" s="17" t="s">
        <v>272</v>
      </c>
      <c r="Z15">
        <v>3</v>
      </c>
      <c r="AA15" s="415">
        <v>3</v>
      </c>
      <c r="AB15" s="94">
        <v>1</v>
      </c>
      <c r="AC15" s="100" t="s">
        <v>107</v>
      </c>
      <c r="AD15" s="41">
        <f t="shared" si="4"/>
        <v>1452.0150000000001</v>
      </c>
      <c r="AE15" s="70">
        <f>SUMIFS($I:$I,$C:$C, $AE$2,$G:$G, $Z15,$H:$H, $AB15)</f>
        <v>1400.8150000000001</v>
      </c>
      <c r="AF15" s="70">
        <f>SUMIFS($I:$I,$C:$C, $AF$2,$G:$G, $Z15,$H:$H, $AB15)</f>
        <v>51.2</v>
      </c>
      <c r="AG15" s="70">
        <f>SUMIFS($I:$I,$C:$C, $AG$2,$G:$G, $Z15,$H:$H, $AB15)</f>
        <v>0</v>
      </c>
      <c r="AH15" s="109">
        <f>SUMIFS($I:$I,$C:$C, $AH$2,$G:$G, $Z15,$H:$H, $AB15)</f>
        <v>0</v>
      </c>
      <c r="AI15" s="120">
        <f t="shared" si="5"/>
        <v>5</v>
      </c>
      <c r="AJ15" s="121">
        <f>COUNTIFS($C:$C, $AJ$2,$G:$G, $Z15,$H:$H, $AB15)</f>
        <v>4</v>
      </c>
      <c r="AK15" s="121">
        <f>COUNTIFS($C:$C, $AK$2,$G:$G, $Z15,$H:$H, $AB15)</f>
        <v>1</v>
      </c>
      <c r="AL15" s="121">
        <f>COUNTIFS($C:$C, $AL$2,$G:$G, $Z15,$H:$H, $AB15)</f>
        <v>0</v>
      </c>
      <c r="AM15" s="122">
        <f>COUNTIFS($C:$C, $AM$2,$G:$G, $Z15,$H:$H, $AB15)</f>
        <v>0</v>
      </c>
      <c r="AN15" s="41">
        <f t="shared" si="6"/>
        <v>12.810200000000002</v>
      </c>
      <c r="AO15" s="70">
        <f>SUMIFS($L:$L,$C:$C, $AO$2,$G:$G, $Z15,$H:$H, $AB15)</f>
        <v>12.240200000000002</v>
      </c>
      <c r="AP15" s="70">
        <f>SUMIFS($L:$L,$C:$C, $AP$2,$G:$G, $Z15,$H:$H, $AB15)</f>
        <v>0.57000000000000006</v>
      </c>
      <c r="AQ15" s="70">
        <f>SUMIFS($L:$L,$C:$C, $AQ$2,$G:$G, $Z15,$H:$H, $AB15)</f>
        <v>0</v>
      </c>
      <c r="AR15" s="70">
        <f>SUMIFS($L:$L,$C:$C, $AR$2,$G:$G, $Z15,$H:$H, $AB15)</f>
        <v>0</v>
      </c>
      <c r="AT15" s="160">
        <v>12</v>
      </c>
      <c r="AU15" s="158">
        <f t="shared" si="7"/>
        <v>16</v>
      </c>
      <c r="AV15" s="159">
        <f t="shared" si="8"/>
        <v>1</v>
      </c>
    </row>
    <row r="16" spans="2:48" s="10" customFormat="1" ht="13.5" customHeight="1" thickBot="1" x14ac:dyDescent="0.3">
      <c r="B16" s="17">
        <v>14</v>
      </c>
      <c r="C16" s="10" t="s">
        <v>136</v>
      </c>
      <c r="D16" s="7" t="s">
        <v>140</v>
      </c>
      <c r="E16" s="72" t="s">
        <v>248</v>
      </c>
      <c r="F16" s="18" t="s">
        <v>242</v>
      </c>
      <c r="G16" s="10">
        <v>2</v>
      </c>
      <c r="H16" s="10">
        <v>2</v>
      </c>
      <c r="I16" s="10">
        <v>85.09</v>
      </c>
      <c r="J16" s="11">
        <v>85000000</v>
      </c>
      <c r="K16" s="11">
        <f t="shared" ref="K16" si="37">J16*1.1</f>
        <v>93500000.000000015</v>
      </c>
      <c r="L16" s="37">
        <f t="shared" ref="L16" si="38">J16*0.00000001</f>
        <v>0.85</v>
      </c>
      <c r="M16" s="3" t="s">
        <v>243</v>
      </c>
      <c r="N16" t="s">
        <v>31</v>
      </c>
      <c r="O16" s="21" t="s">
        <v>249</v>
      </c>
      <c r="P16" s="21"/>
      <c r="Q16" s="21" t="s">
        <v>2151</v>
      </c>
      <c r="R16" s="23" t="s">
        <v>245</v>
      </c>
      <c r="S16" s="50" t="s">
        <v>81</v>
      </c>
      <c r="T16" s="48" t="s">
        <v>246</v>
      </c>
      <c r="U16" s="81" t="s">
        <v>151</v>
      </c>
      <c r="V16" s="32" t="s">
        <v>247</v>
      </c>
      <c r="W16" s="200" t="s">
        <v>258</v>
      </c>
      <c r="X16" s="17" t="s">
        <v>272</v>
      </c>
      <c r="Z16">
        <v>3</v>
      </c>
      <c r="AA16" s="416"/>
      <c r="AB16" s="95">
        <v>2</v>
      </c>
      <c r="AC16" s="101" t="s">
        <v>65</v>
      </c>
      <c r="AD16" s="41">
        <f t="shared" si="4"/>
        <v>53.76</v>
      </c>
      <c r="AE16" s="70">
        <f>SUMIFS($I:$I,$C:$C, $AE$2,$G:$G, $Z16,$H:$H, $AB16)</f>
        <v>0</v>
      </c>
      <c r="AF16" s="70">
        <f>SUMIFS($I:$I,$C:$C, $AF$2,$G:$G, $Z16,$H:$H, $AB16)</f>
        <v>53.76</v>
      </c>
      <c r="AG16" s="70">
        <f>SUMIFS($I:$I,$C:$C, $AG$2,$G:$G, $Z16,$H:$H, $AB16)</f>
        <v>0</v>
      </c>
      <c r="AH16" s="109">
        <f>SUMIFS($I:$I,$C:$C, $AH$2,$G:$G, $Z16,$H:$H, $AB16)</f>
        <v>0</v>
      </c>
      <c r="AI16" s="120">
        <f t="shared" si="5"/>
        <v>1</v>
      </c>
      <c r="AJ16" s="121">
        <f>COUNTIFS($C:$C, $AJ$2,$G:$G, $Z16,$H:$H, $AB16)</f>
        <v>0</v>
      </c>
      <c r="AK16" s="121">
        <f>COUNTIFS($C:$C, $AK$2,$G:$G, $Z16,$H:$H, $AB16)</f>
        <v>1</v>
      </c>
      <c r="AL16" s="121">
        <f>COUNTIFS($C:$C, $AL$2,$G:$G, $Z16,$H:$H, $AB16)</f>
        <v>0</v>
      </c>
      <c r="AM16" s="122">
        <f>COUNTIFS($C:$C, $AM$2,$G:$G, $Z16,$H:$H, $AB16)</f>
        <v>0</v>
      </c>
      <c r="AN16" s="41">
        <f t="shared" si="6"/>
        <v>0.54</v>
      </c>
      <c r="AO16" s="70">
        <f>SUMIFS($L:$L,$C:$C, $AO$2,$G:$G, $Z16,$H:$H, $AB16)</f>
        <v>0</v>
      </c>
      <c r="AP16" s="70">
        <f>SUMIFS($L:$L,$C:$C, $AP$2,$G:$G, $Z16,$H:$H, $AB16)</f>
        <v>0.54</v>
      </c>
      <c r="AQ16" s="70">
        <f>SUMIFS($L:$L,$C:$C, $AQ$2,$G:$G, $Z16,$H:$H, $AB16)</f>
        <v>0</v>
      </c>
      <c r="AR16" s="70">
        <f>SUMIFS($L:$L,$C:$C, $AR$2,$G:$G, $Z16,$H:$H, $AB16)</f>
        <v>0</v>
      </c>
      <c r="AT16" s="161" t="s">
        <v>3</v>
      </c>
      <c r="AU16" s="162">
        <f>SUM(AU4:AU15)</f>
        <v>179</v>
      </c>
      <c r="AV16" s="162">
        <f>SUM(AV4:AV15)</f>
        <v>79</v>
      </c>
    </row>
    <row r="17" spans="2:48" s="10" customFormat="1" ht="13.5" customHeight="1" thickBot="1" x14ac:dyDescent="0.3">
      <c r="B17" s="17">
        <v>15</v>
      </c>
      <c r="C17" s="10" t="s">
        <v>136</v>
      </c>
      <c r="D17" s="7" t="s">
        <v>140</v>
      </c>
      <c r="E17" s="72" t="s">
        <v>250</v>
      </c>
      <c r="F17" s="18" t="s">
        <v>251</v>
      </c>
      <c r="G17" s="10">
        <v>2</v>
      </c>
      <c r="H17" s="10">
        <v>3</v>
      </c>
      <c r="I17" s="10">
        <v>212.09</v>
      </c>
      <c r="J17" s="11">
        <v>210000000</v>
      </c>
      <c r="K17" s="11">
        <f t="shared" si="2"/>
        <v>231000000.00000003</v>
      </c>
      <c r="L17" s="37">
        <f t="shared" si="3"/>
        <v>2.1</v>
      </c>
      <c r="M17" s="3" t="s">
        <v>190</v>
      </c>
      <c r="N17" t="s">
        <v>31</v>
      </c>
      <c r="O17" s="21" t="s">
        <v>252</v>
      </c>
      <c r="P17" s="21">
        <v>14</v>
      </c>
      <c r="Q17" s="21" t="s">
        <v>2149</v>
      </c>
      <c r="R17" s="23" t="s">
        <v>253</v>
      </c>
      <c r="S17" s="50" t="s">
        <v>81</v>
      </c>
      <c r="T17" s="88" t="s">
        <v>254</v>
      </c>
      <c r="U17" s="81" t="s">
        <v>85</v>
      </c>
      <c r="V17" s="32" t="s">
        <v>255</v>
      </c>
      <c r="W17" s="200" t="s">
        <v>258</v>
      </c>
      <c r="X17" s="17" t="s">
        <v>272</v>
      </c>
      <c r="Z17">
        <v>3</v>
      </c>
      <c r="AA17" s="416"/>
      <c r="AB17" s="95">
        <v>3</v>
      </c>
      <c r="AC17" s="102" t="s">
        <v>66</v>
      </c>
      <c r="AD17" s="41">
        <f t="shared" si="4"/>
        <v>1146.24</v>
      </c>
      <c r="AE17" s="70">
        <f>SUMIFS($I:$I,$C:$C, $AE$2,$G:$G, $Z17,$H:$H, $AB17)</f>
        <v>1097.5999999999999</v>
      </c>
      <c r="AF17" s="70">
        <f>SUMIFS($I:$I,$C:$C, $AF$2,$G:$G, $Z17,$H:$H, $AB17)</f>
        <v>48.64</v>
      </c>
      <c r="AG17" s="70">
        <f>SUMIFS($I:$I,$C:$C, $AG$2,$G:$G, $Z17,$H:$H, $AB17)</f>
        <v>0</v>
      </c>
      <c r="AH17" s="109">
        <f>SUMIFS($I:$I,$C:$C, $AH$2,$G:$G, $Z17,$H:$H, $AB17)</f>
        <v>0</v>
      </c>
      <c r="AI17" s="120">
        <f t="shared" si="5"/>
        <v>4</v>
      </c>
      <c r="AJ17" s="121">
        <f>COUNTIFS($C:$C, $AJ$2,$G:$G, $Z17,$H:$H, $AB17)</f>
        <v>3</v>
      </c>
      <c r="AK17" s="121">
        <f>COUNTIFS($C:$C, $AK$2,$G:$G, $Z17,$H:$H, $AB17)</f>
        <v>1</v>
      </c>
      <c r="AL17" s="121">
        <f>COUNTIFS($C:$C, $AL$2,$G:$G, $Z17,$H:$H, $AB17)</f>
        <v>0</v>
      </c>
      <c r="AM17" s="122">
        <f>COUNTIFS($C:$C, $AM$2,$G:$G, $Z17,$H:$H, $AB17)</f>
        <v>0</v>
      </c>
      <c r="AN17" s="41">
        <f t="shared" si="6"/>
        <v>10.77</v>
      </c>
      <c r="AO17" s="70">
        <f>SUMIFS($L:$L,$C:$C, $AO$2,$G:$G, $Z17,$H:$H, $AB17)</f>
        <v>10.19</v>
      </c>
      <c r="AP17" s="70">
        <f>SUMIFS($L:$L,$C:$C, $AP$2,$G:$G, $Z17,$H:$H, $AB17)</f>
        <v>0.57999999999999996</v>
      </c>
      <c r="AQ17" s="70">
        <f>SUMIFS($L:$L,$C:$C, $AQ$2,$G:$G, $Z17,$H:$H, $AB17)</f>
        <v>0</v>
      </c>
      <c r="AR17" s="70">
        <f>SUMIFS($L:$L,$C:$C, $AR$2,$G:$G, $Z17,$H:$H, $AB17)</f>
        <v>0</v>
      </c>
      <c r="AT17" s="161" t="s">
        <v>152</v>
      </c>
      <c r="AU17" s="163">
        <f>AU16/($AU$16+$AV$16)</f>
        <v>0.69379844961240311</v>
      </c>
      <c r="AV17" s="164">
        <f>AV16/($AV$16+$AU$16)</f>
        <v>0.30620155038759689</v>
      </c>
    </row>
    <row r="18" spans="2:48" s="10" customFormat="1" ht="13.5" customHeight="1" x14ac:dyDescent="0.25">
      <c r="B18" s="17">
        <v>16</v>
      </c>
      <c r="C18" s="10" t="s">
        <v>137</v>
      </c>
      <c r="D18" s="7" t="s">
        <v>140</v>
      </c>
      <c r="E18" s="72" t="s">
        <v>225</v>
      </c>
      <c r="F18" s="18" t="s">
        <v>282</v>
      </c>
      <c r="G18" s="10">
        <v>2</v>
      </c>
      <c r="H18" s="10">
        <v>3</v>
      </c>
      <c r="I18" s="10">
        <v>499.2</v>
      </c>
      <c r="J18" s="11">
        <v>525000000</v>
      </c>
      <c r="K18" s="11">
        <f t="shared" si="2"/>
        <v>577500000</v>
      </c>
      <c r="L18" s="37">
        <f t="shared" si="3"/>
        <v>5.25</v>
      </c>
      <c r="M18" s="3" t="s">
        <v>142</v>
      </c>
      <c r="N18" t="s">
        <v>189</v>
      </c>
      <c r="O18" s="21" t="s">
        <v>286</v>
      </c>
      <c r="P18" s="21">
        <v>15</v>
      </c>
      <c r="Q18" s="21" t="s">
        <v>2151</v>
      </c>
      <c r="R18" s="23" t="s">
        <v>283</v>
      </c>
      <c r="S18" s="50" t="s">
        <v>81</v>
      </c>
      <c r="T18" s="48" t="s">
        <v>284</v>
      </c>
      <c r="U18" s="81" t="s">
        <v>197</v>
      </c>
      <c r="V18" s="26" t="s">
        <v>285</v>
      </c>
      <c r="W18" s="200" t="s">
        <v>258</v>
      </c>
      <c r="X18" s="17" t="s">
        <v>272</v>
      </c>
      <c r="Z18">
        <v>3</v>
      </c>
      <c r="AA18" s="416"/>
      <c r="AB18" s="95">
        <v>4</v>
      </c>
      <c r="AC18" s="102" t="s">
        <v>67</v>
      </c>
      <c r="AD18" s="41">
        <f t="shared" si="4"/>
        <v>506.88</v>
      </c>
      <c r="AE18" s="70">
        <f>SUMIFS($I:$I,$C:$C, $AE$2,$G:$G, $Z18,$H:$H, $AB18)</f>
        <v>445.44</v>
      </c>
      <c r="AF18" s="70">
        <f>SUMIFS($I:$I,$C:$C, $AF$2,$G:$G, $Z18,$H:$H, $AB18)</f>
        <v>61.44</v>
      </c>
      <c r="AG18" s="70">
        <f>SUMIFS($I:$I,$C:$C, $AG$2,$G:$G, $Z18,$H:$H, $AB18)</f>
        <v>0</v>
      </c>
      <c r="AH18" s="109">
        <f>SUMIFS($I:$I,$C:$C, $AH$2,$G:$G, $Z18,$H:$H, $AB18)</f>
        <v>0</v>
      </c>
      <c r="AI18" s="120">
        <f t="shared" si="5"/>
        <v>2</v>
      </c>
      <c r="AJ18" s="121">
        <f>COUNTIFS($C:$C, $AJ$2,$G:$G, $Z18,$H:$H, $AB18)</f>
        <v>1</v>
      </c>
      <c r="AK18" s="121">
        <f>COUNTIFS($C:$C, $AK$2,$G:$G, $Z18,$H:$H, $AB18)</f>
        <v>1</v>
      </c>
      <c r="AL18" s="121">
        <f>COUNTIFS($C:$C, $AL$2,$G:$G, $Z18,$H:$H, $AB18)</f>
        <v>0</v>
      </c>
      <c r="AM18" s="122">
        <f>COUNTIFS($C:$C, $AM$2,$G:$G, $Z18,$H:$H, $AB18)</f>
        <v>0</v>
      </c>
      <c r="AN18" s="41">
        <f t="shared" si="6"/>
        <v>4.6470000000000002</v>
      </c>
      <c r="AO18" s="70">
        <f>SUMIFS($L:$L,$C:$C, $AO$2,$G:$G, $Z18,$H:$H, $AB18)</f>
        <v>4</v>
      </c>
      <c r="AP18" s="70">
        <f>SUMIFS($L:$L,$C:$C, $AP$2,$G:$G, $Z18,$H:$H, $AB18)</f>
        <v>0.64700000000000002</v>
      </c>
      <c r="AQ18" s="70">
        <f>SUMIFS($L:$L,$C:$C, $AQ$2,$G:$G, $Z18,$H:$H, $AB18)</f>
        <v>0</v>
      </c>
      <c r="AR18" s="70">
        <f>SUMIFS($L:$L,$C:$C, $AR$2,$G:$G, $Z18,$H:$H, $AB18)</f>
        <v>0</v>
      </c>
    </row>
    <row r="19" spans="2:48" s="10" customFormat="1" ht="13.5" customHeight="1" x14ac:dyDescent="0.25">
      <c r="B19" s="17">
        <v>17</v>
      </c>
      <c r="C19" s="10" t="s">
        <v>136</v>
      </c>
      <c r="D19" s="7" t="s">
        <v>140</v>
      </c>
      <c r="E19" s="72" t="s">
        <v>288</v>
      </c>
      <c r="F19" s="18" t="s">
        <v>318</v>
      </c>
      <c r="G19" s="10">
        <v>2</v>
      </c>
      <c r="H19" s="10">
        <v>3</v>
      </c>
      <c r="I19" s="10">
        <v>81.92</v>
      </c>
      <c r="J19" s="11">
        <v>87000000</v>
      </c>
      <c r="K19" s="11">
        <f t="shared" si="2"/>
        <v>95700000.000000015</v>
      </c>
      <c r="L19" s="37">
        <f t="shared" si="3"/>
        <v>0.87</v>
      </c>
      <c r="M19" s="3" t="s">
        <v>75</v>
      </c>
      <c r="N19" t="s">
        <v>319</v>
      </c>
      <c r="O19" s="21" t="s">
        <v>320</v>
      </c>
      <c r="P19" s="21">
        <v>16</v>
      </c>
      <c r="Q19" s="21" t="s">
        <v>2142</v>
      </c>
      <c r="R19" s="23" t="s">
        <v>321</v>
      </c>
      <c r="S19" s="50" t="s">
        <v>81</v>
      </c>
      <c r="T19" s="48" t="s">
        <v>322</v>
      </c>
      <c r="U19" s="81" t="s">
        <v>197</v>
      </c>
      <c r="V19" s="26" t="s">
        <v>255</v>
      </c>
      <c r="W19" s="200" t="s">
        <v>262</v>
      </c>
      <c r="X19" s="17" t="s">
        <v>272</v>
      </c>
      <c r="Z19">
        <v>3</v>
      </c>
      <c r="AA19" s="416"/>
      <c r="AB19" s="96">
        <v>5</v>
      </c>
      <c r="AC19" s="102"/>
      <c r="AD19" s="41">
        <f t="shared" si="4"/>
        <v>0</v>
      </c>
      <c r="AE19" s="70">
        <f>SUMIFS($I:$I,$C:$C, $AE$2,$G:$G, $Z19,$H:$H, $AB19)</f>
        <v>0</v>
      </c>
      <c r="AF19" s="70">
        <f>SUMIFS($I:$I,$C:$C, $AF$2,$G:$G, $Z19,$H:$H, $AB19)</f>
        <v>0</v>
      </c>
      <c r="AG19" s="70">
        <f>SUMIFS($I:$I,$C:$C, $AG$2,$G:$G, $Z19,$H:$H, $AB19)</f>
        <v>0</v>
      </c>
      <c r="AH19" s="109">
        <f>SUMIFS($I:$I,$C:$C, $AH$2,$G:$G, $Z19,$H:$H, $AB19)</f>
        <v>0</v>
      </c>
      <c r="AI19" s="120">
        <f t="shared" si="5"/>
        <v>0</v>
      </c>
      <c r="AJ19" s="121">
        <f>COUNTIFS($C:$C, $AJ$2,$G:$G, $Z19,$H:$H, $AB19)</f>
        <v>0</v>
      </c>
      <c r="AK19" s="121">
        <f>COUNTIFS($C:$C, $AK$2,$G:$G, $Z19,$H:$H, $AB19)</f>
        <v>0</v>
      </c>
      <c r="AL19" s="121">
        <f>COUNTIFS($C:$C, $AL$2,$G:$G, $Z19,$H:$H, $AB19)</f>
        <v>0</v>
      </c>
      <c r="AM19" s="122">
        <f>COUNTIFS($C:$C, $AM$2,$G:$G, $Z19,$H:$H, $AB19)</f>
        <v>0</v>
      </c>
      <c r="AN19" s="41">
        <f t="shared" si="6"/>
        <v>0</v>
      </c>
      <c r="AO19" s="70">
        <f>SUMIFS($L:$L,$C:$C, $AO$2,$G:$G, $Z19,$H:$H, $AB19)</f>
        <v>0</v>
      </c>
      <c r="AP19" s="70">
        <f>SUMIFS($L:$L,$C:$C, $AP$2,$G:$G, $Z19,$H:$H, $AB19)</f>
        <v>0</v>
      </c>
      <c r="AQ19" s="70">
        <f>SUMIFS($L:$L,$C:$C, $AQ$2,$G:$G, $Z19,$H:$H, $AB19)</f>
        <v>0</v>
      </c>
      <c r="AR19" s="70">
        <f>SUMIFS($L:$L,$C:$C, $AR$2,$G:$G, $Z19,$H:$H, $AB19)</f>
        <v>0</v>
      </c>
    </row>
    <row r="20" spans="2:48" s="10" customFormat="1" ht="13.5" customHeight="1" thickBot="1" x14ac:dyDescent="0.3">
      <c r="B20" s="17">
        <v>18</v>
      </c>
      <c r="C20" s="10" t="s">
        <v>136</v>
      </c>
      <c r="D20" s="7" t="s">
        <v>140</v>
      </c>
      <c r="E20" s="72" t="s">
        <v>289</v>
      </c>
      <c r="F20" s="18" t="s">
        <v>282</v>
      </c>
      <c r="G20" s="10">
        <v>2</v>
      </c>
      <c r="H20" s="10">
        <v>3</v>
      </c>
      <c r="I20" s="10">
        <v>99.2</v>
      </c>
      <c r="J20" s="11">
        <v>106000000</v>
      </c>
      <c r="K20" s="11">
        <f t="shared" si="2"/>
        <v>116600000.00000001</v>
      </c>
      <c r="L20" s="37">
        <f t="shared" si="3"/>
        <v>1.06</v>
      </c>
      <c r="M20" s="3" t="s">
        <v>75</v>
      </c>
      <c r="N20" t="s">
        <v>319</v>
      </c>
      <c r="O20" s="21" t="s">
        <v>323</v>
      </c>
      <c r="P20" s="21">
        <v>17</v>
      </c>
      <c r="Q20" s="21" t="s">
        <v>2142</v>
      </c>
      <c r="R20" s="23" t="s">
        <v>325</v>
      </c>
      <c r="S20" s="50" t="s">
        <v>81</v>
      </c>
      <c r="T20" s="48" t="s">
        <v>324</v>
      </c>
      <c r="U20" s="81" t="s">
        <v>197</v>
      </c>
      <c r="V20" s="26" t="s">
        <v>255</v>
      </c>
      <c r="W20" s="200" t="s">
        <v>259</v>
      </c>
      <c r="X20" s="17" t="s">
        <v>272</v>
      </c>
      <c r="Z20">
        <v>3</v>
      </c>
      <c r="AA20" s="417"/>
      <c r="AB20" s="97" t="s">
        <v>3</v>
      </c>
      <c r="AC20" s="103"/>
      <c r="AD20" s="99">
        <f>SUM(AD15:AD19)</f>
        <v>3158.8950000000004</v>
      </c>
      <c r="AE20" s="99">
        <f t="shared" ref="AE20" si="39">SUM(AE15:AE19)</f>
        <v>2943.855</v>
      </c>
      <c r="AF20" s="99">
        <f t="shared" ref="AF20" si="40">SUM(AF15:AF19)</f>
        <v>215.04000000000002</v>
      </c>
      <c r="AG20" s="99">
        <f t="shared" ref="AG20" si="41">SUM(AG15:AG19)</f>
        <v>0</v>
      </c>
      <c r="AH20" s="110">
        <f t="shared" ref="AH20" si="42">SUM(AH15:AH19)</f>
        <v>0</v>
      </c>
      <c r="AI20" s="123">
        <f t="shared" ref="AI20" si="43">SUM(AI15:AI19)</f>
        <v>12</v>
      </c>
      <c r="AJ20" s="124">
        <f t="shared" ref="AJ20" si="44">SUM(AJ15:AJ19)</f>
        <v>8</v>
      </c>
      <c r="AK20" s="124">
        <f t="shared" ref="AK20" si="45">SUM(AK15:AK19)</f>
        <v>4</v>
      </c>
      <c r="AL20" s="124">
        <f t="shared" ref="AL20" si="46">SUM(AL15:AL19)</f>
        <v>0</v>
      </c>
      <c r="AM20" s="125">
        <f t="shared" ref="AM20" si="47">SUM(AM15:AM19)</f>
        <v>0</v>
      </c>
      <c r="AN20" s="99">
        <f t="shared" ref="AN20" si="48">SUM(AN15:AN19)</f>
        <v>28.767200000000003</v>
      </c>
      <c r="AO20" s="99">
        <f t="shared" ref="AO20" si="49">SUM(AO15:AO19)</f>
        <v>26.430199999999999</v>
      </c>
      <c r="AP20" s="99">
        <f t="shared" ref="AP20" si="50">SUM(AP15:AP19)</f>
        <v>2.3369999999999997</v>
      </c>
      <c r="AQ20" s="99">
        <f t="shared" ref="AQ20" si="51">SUM(AQ15:AQ19)</f>
        <v>0</v>
      </c>
      <c r="AR20" s="99">
        <f t="shared" ref="AR20" si="52">SUM(AR15:AR19)</f>
        <v>0</v>
      </c>
    </row>
    <row r="21" spans="2:48" s="10" customFormat="1" ht="13.5" customHeight="1" x14ac:dyDescent="0.25">
      <c r="B21" s="17">
        <v>19</v>
      </c>
      <c r="C21" s="10" t="s">
        <v>136</v>
      </c>
      <c r="D21" s="7" t="s">
        <v>140</v>
      </c>
      <c r="E21" s="72" t="s">
        <v>290</v>
      </c>
      <c r="F21" s="18" t="s">
        <v>326</v>
      </c>
      <c r="G21" s="10">
        <v>2</v>
      </c>
      <c r="H21" s="10">
        <v>4</v>
      </c>
      <c r="I21" s="10">
        <v>99.84</v>
      </c>
      <c r="J21" s="11">
        <v>105000000</v>
      </c>
      <c r="K21" s="11">
        <f t="shared" si="2"/>
        <v>115500000.00000001</v>
      </c>
      <c r="L21" s="37">
        <f t="shared" si="3"/>
        <v>1.05</v>
      </c>
      <c r="M21" s="3" t="s">
        <v>327</v>
      </c>
      <c r="N21" t="s">
        <v>319</v>
      </c>
      <c r="O21" s="21" t="s">
        <v>328</v>
      </c>
      <c r="P21" s="21">
        <v>18</v>
      </c>
      <c r="Q21" s="21" t="s">
        <v>2142</v>
      </c>
      <c r="R21" s="23" t="s">
        <v>330</v>
      </c>
      <c r="S21" s="50" t="s">
        <v>81</v>
      </c>
      <c r="T21" s="48" t="s">
        <v>329</v>
      </c>
      <c r="U21" s="81" t="s">
        <v>197</v>
      </c>
      <c r="V21" s="26" t="s">
        <v>331</v>
      </c>
      <c r="W21" s="200" t="s">
        <v>259</v>
      </c>
      <c r="X21" s="17" t="s">
        <v>272</v>
      </c>
      <c r="Z21">
        <v>4</v>
      </c>
      <c r="AA21" s="415">
        <v>4</v>
      </c>
      <c r="AB21" s="94">
        <v>1</v>
      </c>
      <c r="AC21" s="100" t="s">
        <v>108</v>
      </c>
      <c r="AD21" s="41">
        <f t="shared" si="4"/>
        <v>680.31999999999994</v>
      </c>
      <c r="AE21" s="70">
        <f>SUMIFS($I:$I,$C:$C, $AE$2,$G:$G, $Z21,$H:$H, $AB21)</f>
        <v>680.31999999999994</v>
      </c>
      <c r="AF21" s="70">
        <f>SUMIFS($I:$I,$C:$C, $AF$2,$G:$G, $Z21,$H:$H, $AB21)</f>
        <v>0</v>
      </c>
      <c r="AG21" s="70">
        <f>SUMIFS($I:$I,$C:$C, $AG$2,$G:$G, $Z21,$H:$H, $AB21)</f>
        <v>0</v>
      </c>
      <c r="AH21" s="109">
        <f>SUMIFS($I:$I,$C:$C, $AH$2,$G:$G, $Z21,$H:$H, $AB21)</f>
        <v>0</v>
      </c>
      <c r="AI21" s="120">
        <f t="shared" si="5"/>
        <v>4</v>
      </c>
      <c r="AJ21" s="121">
        <f>COUNTIFS($C:$C, $AJ$2,$G:$G, $Z21,$H:$H, $AB21)</f>
        <v>4</v>
      </c>
      <c r="AK21" s="121">
        <f>COUNTIFS($C:$C, $AK$2,$G:$G, $Z21,$H:$H, $AB21)</f>
        <v>0</v>
      </c>
      <c r="AL21" s="121">
        <f>COUNTIFS($C:$C, $AL$2,$G:$G, $Z21,$H:$H, $AB21)</f>
        <v>0</v>
      </c>
      <c r="AM21" s="122">
        <f>COUNTIFS($C:$C, $AM$2,$G:$G, $Z21,$H:$H, $AB21)</f>
        <v>0</v>
      </c>
      <c r="AN21" s="41">
        <f t="shared" si="6"/>
        <v>6.97</v>
      </c>
      <c r="AO21" s="70">
        <f>SUMIFS($L:$L,$C:$C, $AO$2,$G:$G, $Z21,$H:$H, $AB21)</f>
        <v>6.97</v>
      </c>
      <c r="AP21" s="70">
        <f>SUMIFS($L:$L,$C:$C, $AP$2,$G:$G, $Z21,$H:$H, $AB21)</f>
        <v>0</v>
      </c>
      <c r="AQ21" s="70">
        <f>SUMIFS($L:$L,$C:$C, $AQ$2,$G:$G, $Z21,$H:$H, $AB21)</f>
        <v>0</v>
      </c>
      <c r="AR21" s="70">
        <f>SUMIFS($L:$L,$C:$C, $AR$2,$G:$G, $Z21,$H:$H, $AB21)</f>
        <v>0</v>
      </c>
    </row>
    <row r="22" spans="2:48" s="10" customFormat="1" ht="13.5" customHeight="1" x14ac:dyDescent="0.25">
      <c r="B22" s="17">
        <v>20</v>
      </c>
      <c r="C22" s="10" t="s">
        <v>136</v>
      </c>
      <c r="D22" s="7" t="s">
        <v>140</v>
      </c>
      <c r="E22" s="72" t="s">
        <v>291</v>
      </c>
      <c r="F22" s="18" t="s">
        <v>292</v>
      </c>
      <c r="G22" s="10">
        <v>2</v>
      </c>
      <c r="H22" s="10">
        <v>4</v>
      </c>
      <c r="I22" s="10">
        <v>110.08</v>
      </c>
      <c r="J22" s="11">
        <v>107000000</v>
      </c>
      <c r="K22" s="11">
        <f t="shared" si="2"/>
        <v>117700000.00000001</v>
      </c>
      <c r="L22" s="37">
        <f t="shared" si="3"/>
        <v>1.07</v>
      </c>
      <c r="M22" s="3" t="s">
        <v>75</v>
      </c>
      <c r="N22" t="s">
        <v>31</v>
      </c>
      <c r="O22" s="21" t="s">
        <v>294</v>
      </c>
      <c r="P22" s="21">
        <v>19</v>
      </c>
      <c r="Q22" s="21" t="s">
        <v>2151</v>
      </c>
      <c r="R22" s="23" t="s">
        <v>297</v>
      </c>
      <c r="S22" s="50" t="s">
        <v>81</v>
      </c>
      <c r="T22" s="48" t="s">
        <v>300</v>
      </c>
      <c r="U22" s="81" t="s">
        <v>151</v>
      </c>
      <c r="V22" s="26" t="s">
        <v>302</v>
      </c>
      <c r="W22" s="200" t="s">
        <v>258</v>
      </c>
      <c r="X22" s="17" t="s">
        <v>272</v>
      </c>
      <c r="Z22">
        <v>4</v>
      </c>
      <c r="AA22" s="416"/>
      <c r="AB22" s="95">
        <v>2</v>
      </c>
      <c r="AC22" s="102" t="s">
        <v>68</v>
      </c>
      <c r="AD22" s="41">
        <f t="shared" si="4"/>
        <v>1405.7599999999998</v>
      </c>
      <c r="AE22" s="70">
        <f>SUMIFS($I:$I,$C:$C, $AE$2,$G:$G, $Z22,$H:$H, $AB22)</f>
        <v>1405.7599999999998</v>
      </c>
      <c r="AF22" s="70">
        <f>SUMIFS($I:$I,$C:$C, $AF$2,$G:$G, $Z22,$H:$H, $AB22)</f>
        <v>0</v>
      </c>
      <c r="AG22" s="70">
        <f>SUMIFS($I:$I,$C:$C, $AG$2,$G:$G, $Z22,$H:$H, $AB22)</f>
        <v>0</v>
      </c>
      <c r="AH22" s="109">
        <f>SUMIFS($I:$I,$C:$C, $AH$2,$G:$G, $Z22,$H:$H, $AB22)</f>
        <v>0</v>
      </c>
      <c r="AI22" s="120">
        <f t="shared" si="5"/>
        <v>6</v>
      </c>
      <c r="AJ22" s="121">
        <f>COUNTIFS($C:$C, $AJ$2,$G:$G, $Z22,$H:$H, $AB22)</f>
        <v>6</v>
      </c>
      <c r="AK22" s="121">
        <f>COUNTIFS($C:$C, $AK$2,$G:$G, $Z22,$H:$H, $AB22)</f>
        <v>0</v>
      </c>
      <c r="AL22" s="121">
        <f>COUNTIFS($C:$C, $AL$2,$G:$G, $Z22,$H:$H, $AB22)</f>
        <v>0</v>
      </c>
      <c r="AM22" s="122">
        <f>COUNTIFS($C:$C, $AM$2,$G:$G, $Z22,$H:$H, $AB22)</f>
        <v>0</v>
      </c>
      <c r="AN22" s="41">
        <f t="shared" si="6"/>
        <v>14.57</v>
      </c>
      <c r="AO22" s="70">
        <f>SUMIFS($L:$L,$C:$C, $AO$2,$G:$G, $Z22,$H:$H, $AB22)</f>
        <v>14.57</v>
      </c>
      <c r="AP22" s="70">
        <f>SUMIFS($L:$L,$C:$C, $AP$2,$G:$G, $Z22,$H:$H, $AB22)</f>
        <v>0</v>
      </c>
      <c r="AQ22" s="70">
        <f>SUMIFS($L:$L,$C:$C, $AQ$2,$G:$G, $Z22,$H:$H, $AB22)</f>
        <v>0</v>
      </c>
      <c r="AR22" s="70">
        <f>SUMIFS($L:$L,$C:$C, $AR$2,$G:$G, $Z22,$H:$H, $AB22)</f>
        <v>0</v>
      </c>
    </row>
    <row r="23" spans="2:48" s="10" customFormat="1" ht="13.5" customHeight="1" x14ac:dyDescent="0.25">
      <c r="B23" s="17">
        <v>21</v>
      </c>
      <c r="C23" s="10" t="s">
        <v>136</v>
      </c>
      <c r="D23" s="7" t="s">
        <v>140</v>
      </c>
      <c r="E23" s="72" t="s">
        <v>287</v>
      </c>
      <c r="F23" s="18" t="s">
        <v>292</v>
      </c>
      <c r="G23" s="10">
        <v>2</v>
      </c>
      <c r="H23" s="10">
        <v>4</v>
      </c>
      <c r="I23" s="10">
        <v>89.6</v>
      </c>
      <c r="J23" s="11">
        <v>85000000</v>
      </c>
      <c r="K23" s="11">
        <f t="shared" ref="K23" si="53">J23*1.1</f>
        <v>93500000.000000015</v>
      </c>
      <c r="L23" s="37">
        <f t="shared" ref="L23" si="54">J23*0.00000001</f>
        <v>0.85</v>
      </c>
      <c r="M23" s="3" t="s">
        <v>75</v>
      </c>
      <c r="N23" s="3" t="s">
        <v>31</v>
      </c>
      <c r="O23" s="21" t="s">
        <v>295</v>
      </c>
      <c r="P23" s="21">
        <v>20</v>
      </c>
      <c r="Q23" s="21" t="s">
        <v>2149</v>
      </c>
      <c r="R23" s="23" t="s">
        <v>298</v>
      </c>
      <c r="S23" s="50" t="s">
        <v>81</v>
      </c>
      <c r="T23" s="48" t="s">
        <v>299</v>
      </c>
      <c r="U23" s="81" t="s">
        <v>150</v>
      </c>
      <c r="V23" s="26" t="s">
        <v>301</v>
      </c>
      <c r="W23" s="200" t="s">
        <v>258</v>
      </c>
      <c r="X23" s="17" t="s">
        <v>272</v>
      </c>
      <c r="Z23">
        <v>4</v>
      </c>
      <c r="AA23" s="416"/>
      <c r="AB23" s="95">
        <v>3</v>
      </c>
      <c r="AC23" s="102" t="s">
        <v>69</v>
      </c>
      <c r="AD23" s="41">
        <f t="shared" si="4"/>
        <v>211.84</v>
      </c>
      <c r="AE23" s="70">
        <f>SUMIFS($I:$I,$C:$C, $AE$2,$G:$G, $Z23,$H:$H, $AB23)</f>
        <v>211.84</v>
      </c>
      <c r="AF23" s="70">
        <f>SUMIFS($I:$I,$C:$C, $AF$2,$G:$G, $Z23,$H:$H, $AB23)</f>
        <v>0</v>
      </c>
      <c r="AG23" s="70">
        <f>SUMIFS($I:$I,$C:$C, $AG$2,$G:$G, $Z23,$H:$H, $AB23)</f>
        <v>0</v>
      </c>
      <c r="AH23" s="109">
        <f>SUMIFS($I:$I,$C:$C, $AH$2,$G:$G, $Z23,$H:$H, $AB23)</f>
        <v>0</v>
      </c>
      <c r="AI23" s="120">
        <f t="shared" si="5"/>
        <v>2</v>
      </c>
      <c r="AJ23" s="121">
        <f>COUNTIFS($C:$C, $AJ$2,$G:$G, $Z23,$H:$H, $AB23)</f>
        <v>2</v>
      </c>
      <c r="AK23" s="121">
        <f>COUNTIFS($C:$C, $AK$2,$G:$G, $Z23,$H:$H, $AB23)</f>
        <v>0</v>
      </c>
      <c r="AL23" s="121">
        <f>COUNTIFS($C:$C, $AL$2,$G:$G, $Z23,$H:$H, $AB23)</f>
        <v>0</v>
      </c>
      <c r="AM23" s="122">
        <f>COUNTIFS($C:$C, $AM$2,$G:$G, $Z23,$H:$H, $AB23)</f>
        <v>0</v>
      </c>
      <c r="AN23" s="41">
        <f t="shared" si="6"/>
        <v>2.8940000000000001</v>
      </c>
      <c r="AO23" s="70">
        <f>SUMIFS($L:$L,$C:$C, $AO$2,$G:$G, $Z23,$H:$H, $AB23)</f>
        <v>2.8940000000000001</v>
      </c>
      <c r="AP23" s="70">
        <f>SUMIFS($L:$L,$C:$C, $AP$2,$G:$G, $Z23,$H:$H, $AB23)</f>
        <v>0</v>
      </c>
      <c r="AQ23" s="70">
        <f>SUMIFS($L:$L,$C:$C, $AQ$2,$G:$G, $Z23,$H:$H, $AB23)</f>
        <v>0</v>
      </c>
      <c r="AR23" s="70">
        <f>SUMIFS($L:$L,$C:$C, $AR$2,$G:$G, $Z23,$H:$H, $AB23)</f>
        <v>0</v>
      </c>
    </row>
    <row r="24" spans="2:48" s="10" customFormat="1" ht="13.5" customHeight="1" x14ac:dyDescent="0.25">
      <c r="B24" s="17">
        <v>22</v>
      </c>
      <c r="C24" s="10" t="s">
        <v>136</v>
      </c>
      <c r="D24" s="7" t="s">
        <v>140</v>
      </c>
      <c r="E24" s="72" t="s">
        <v>293</v>
      </c>
      <c r="F24" s="18" t="s">
        <v>292</v>
      </c>
      <c r="G24" s="10">
        <v>2</v>
      </c>
      <c r="H24" s="10">
        <v>4</v>
      </c>
      <c r="I24" s="10">
        <v>54.4</v>
      </c>
      <c r="J24" s="11">
        <v>55000000</v>
      </c>
      <c r="K24" s="11">
        <f t="shared" si="2"/>
        <v>60500000.000000007</v>
      </c>
      <c r="L24" s="37">
        <f t="shared" si="3"/>
        <v>0.55000000000000004</v>
      </c>
      <c r="M24" s="3" t="s">
        <v>75</v>
      </c>
      <c r="N24" s="3" t="s">
        <v>31</v>
      </c>
      <c r="O24" s="21" t="s">
        <v>296</v>
      </c>
      <c r="P24" s="21"/>
      <c r="Q24" s="21" t="s">
        <v>2149</v>
      </c>
      <c r="R24" s="23" t="s">
        <v>298</v>
      </c>
      <c r="S24" s="50" t="s">
        <v>81</v>
      </c>
      <c r="T24" s="48" t="s">
        <v>299</v>
      </c>
      <c r="U24" s="81" t="s">
        <v>150</v>
      </c>
      <c r="V24" s="26" t="s">
        <v>301</v>
      </c>
      <c r="W24" s="200" t="s">
        <v>258</v>
      </c>
      <c r="X24" s="17" t="s">
        <v>272</v>
      </c>
      <c r="Z24">
        <v>4</v>
      </c>
      <c r="AA24" s="416"/>
      <c r="AB24" s="95">
        <v>4</v>
      </c>
      <c r="AC24" s="102" t="s">
        <v>70</v>
      </c>
      <c r="AD24" s="41">
        <f t="shared" si="4"/>
        <v>2506.64</v>
      </c>
      <c r="AE24" s="70">
        <f>SUMIFS($I:$I,$C:$C, $AE$2,$G:$G, $Z24,$H:$H, $AB24)</f>
        <v>1355.92</v>
      </c>
      <c r="AF24" s="70">
        <f>SUMIFS($I:$I,$C:$C, $AF$2,$G:$G, $Z24,$H:$H, $AB24)</f>
        <v>220.8</v>
      </c>
      <c r="AG24" s="70">
        <f>SUMIFS($I:$I,$C:$C, $AG$2,$G:$G, $Z24,$H:$H, $AB24)</f>
        <v>929.92</v>
      </c>
      <c r="AH24" s="109">
        <f>SUMIFS($I:$I,$C:$C, $AH$2,$G:$G, $Z24,$H:$H, $AB24)</f>
        <v>0</v>
      </c>
      <c r="AI24" s="120">
        <f t="shared" si="5"/>
        <v>7</v>
      </c>
      <c r="AJ24" s="121">
        <f>COUNTIFS($C:$C, $AJ$2,$G:$G, $Z24,$H:$H, $AB24)</f>
        <v>4</v>
      </c>
      <c r="AK24" s="121">
        <f>COUNTIFS($C:$C, $AK$2,$G:$G, $Z24,$H:$H, $AB24)</f>
        <v>2</v>
      </c>
      <c r="AL24" s="121">
        <f>COUNTIFS($C:$C, $AL$2,$G:$G, $Z24,$H:$H, $AB24)</f>
        <v>1</v>
      </c>
      <c r="AM24" s="122">
        <f>COUNTIFS($C:$C, $AM$2,$G:$G, $Z24,$H:$H, $AB24)</f>
        <v>0</v>
      </c>
      <c r="AN24" s="41">
        <f t="shared" si="6"/>
        <v>24.150000000000002</v>
      </c>
      <c r="AO24" s="70">
        <f>SUMIFS($L:$L,$C:$C, $AO$2,$G:$G, $Z24,$H:$H, $AB24)</f>
        <v>13.450000000000003</v>
      </c>
      <c r="AP24" s="70">
        <f>SUMIFS($L:$L,$C:$C, $AP$2,$G:$G, $Z24,$H:$H, $AB24)</f>
        <v>2.2199999999999998</v>
      </c>
      <c r="AQ24" s="70">
        <f>SUMIFS($L:$L,$C:$C, $AQ$2,$G:$G, $Z24,$H:$H, $AB24)</f>
        <v>8.48</v>
      </c>
      <c r="AR24" s="70">
        <f>SUMIFS($L:$L,$C:$C, $AR$2,$G:$G, $Z24,$H:$H, $AB24)</f>
        <v>0</v>
      </c>
      <c r="AT24" s="201" t="s">
        <v>256</v>
      </c>
      <c r="AU24" s="201" t="s">
        <v>257</v>
      </c>
      <c r="AV24" s="201" t="s">
        <v>152</v>
      </c>
    </row>
    <row r="25" spans="2:48" s="10" customFormat="1" ht="13.5" customHeight="1" x14ac:dyDescent="0.25">
      <c r="B25" s="17">
        <v>23</v>
      </c>
      <c r="C25" s="10" t="s">
        <v>136</v>
      </c>
      <c r="D25" s="7" t="s">
        <v>303</v>
      </c>
      <c r="E25" s="72" t="s">
        <v>304</v>
      </c>
      <c r="F25" s="18" t="s">
        <v>307</v>
      </c>
      <c r="G25" s="10">
        <v>2</v>
      </c>
      <c r="H25" s="10">
        <v>4</v>
      </c>
      <c r="I25" s="10">
        <v>98.7</v>
      </c>
      <c r="J25" s="11">
        <v>84900000</v>
      </c>
      <c r="K25" s="11">
        <f t="shared" si="2"/>
        <v>93390000.000000015</v>
      </c>
      <c r="L25" s="37">
        <f t="shared" si="3"/>
        <v>0.84899999999999998</v>
      </c>
      <c r="M25" s="3" t="s">
        <v>237</v>
      </c>
      <c r="N25" t="s">
        <v>32</v>
      </c>
      <c r="O25" s="21" t="s">
        <v>308</v>
      </c>
      <c r="P25" s="21">
        <v>21</v>
      </c>
      <c r="Q25" s="21" t="s">
        <v>2151</v>
      </c>
      <c r="R25" s="23" t="s">
        <v>311</v>
      </c>
      <c r="S25" s="50" t="s">
        <v>81</v>
      </c>
      <c r="T25" s="48" t="s">
        <v>314</v>
      </c>
      <c r="U25" s="81" t="s">
        <v>197</v>
      </c>
      <c r="V25" s="26" t="s">
        <v>316</v>
      </c>
      <c r="W25" s="200" t="s">
        <v>315</v>
      </c>
      <c r="X25" s="17" t="s">
        <v>272</v>
      </c>
      <c r="Z25">
        <v>4</v>
      </c>
      <c r="AA25" s="416"/>
      <c r="AB25" s="96">
        <v>5</v>
      </c>
      <c r="AC25" s="102" t="s">
        <v>109</v>
      </c>
      <c r="AD25" s="41">
        <f t="shared" si="4"/>
        <v>0</v>
      </c>
      <c r="AE25" s="70">
        <f>SUMIFS($I:$I,$C:$C, $AE$2,$G:$G, $Z25,$H:$H, $AB25)</f>
        <v>0</v>
      </c>
      <c r="AF25" s="70">
        <f>SUMIFS($I:$I,$C:$C, $AF$2,$G:$G, $Z25,$H:$H, $AB25)</f>
        <v>0</v>
      </c>
      <c r="AG25" s="70">
        <f>SUMIFS($I:$I,$C:$C, $AG$2,$G:$G, $Z25,$H:$H, $AB25)</f>
        <v>0</v>
      </c>
      <c r="AH25" s="109">
        <f>SUMIFS($I:$I,$C:$C, $AH$2,$G:$G, $Z25,$H:$H, $AB25)</f>
        <v>0</v>
      </c>
      <c r="AI25" s="120">
        <f t="shared" si="5"/>
        <v>0</v>
      </c>
      <c r="AJ25" s="121">
        <f>COUNTIFS($C:$C, $AJ$2,$G:$G, $Z25,$H:$H, $AB25)</f>
        <v>0</v>
      </c>
      <c r="AK25" s="121">
        <f>COUNTIFS($C:$C, $AK$2,$G:$G, $Z25,$H:$H, $AB25)</f>
        <v>0</v>
      </c>
      <c r="AL25" s="121">
        <f>COUNTIFS($C:$C, $AL$2,$G:$G, $Z25,$H:$H, $AB25)</f>
        <v>0</v>
      </c>
      <c r="AM25" s="122">
        <f>COUNTIFS($C:$C, $AM$2,$G:$G, $Z25,$H:$H, $AB25)</f>
        <v>0</v>
      </c>
      <c r="AN25" s="41">
        <f t="shared" si="6"/>
        <v>0</v>
      </c>
      <c r="AO25" s="70">
        <f>SUMIFS($L:$L,$C:$C, $AO$2,$G:$G, $Z25,$H:$H, $AB25)</f>
        <v>0</v>
      </c>
      <c r="AP25" s="70">
        <f>SUMIFS($L:$L,$C:$C, $AP$2,$G:$G, $Z25,$H:$H, $AB25)</f>
        <v>0</v>
      </c>
      <c r="AQ25" s="70">
        <f>SUMIFS($L:$L,$C:$C, $AQ$2,$G:$G, $Z25,$H:$H, $AB25)</f>
        <v>0</v>
      </c>
      <c r="AR25" s="70">
        <f>SUMIFS($L:$L,$C:$C, $AR$2,$G:$G, $Z25,$H:$H, $AB25)</f>
        <v>0</v>
      </c>
      <c r="AT25" s="202" t="s">
        <v>270</v>
      </c>
      <c r="AU25" s="202">
        <f t="shared" ref="AU25:AU32" si="55">COUNTIF($W:$W, AT25)</f>
        <v>63</v>
      </c>
      <c r="AV25" s="203">
        <f>AU25/$AU$33</f>
        <v>0.25714285714285712</v>
      </c>
    </row>
    <row r="26" spans="2:48" s="10" customFormat="1" ht="13.5" customHeight="1" thickBot="1" x14ac:dyDescent="0.3">
      <c r="B26" s="17">
        <v>24</v>
      </c>
      <c r="C26" s="10" t="s">
        <v>136</v>
      </c>
      <c r="D26" s="7" t="s">
        <v>303</v>
      </c>
      <c r="E26" s="72" t="s">
        <v>305</v>
      </c>
      <c r="F26" s="18" t="s">
        <v>307</v>
      </c>
      <c r="G26" s="10">
        <v>2</v>
      </c>
      <c r="H26" s="10">
        <v>4</v>
      </c>
      <c r="I26" s="10">
        <v>66.974999999999994</v>
      </c>
      <c r="J26" s="11">
        <v>57600000</v>
      </c>
      <c r="K26" s="11">
        <f t="shared" si="2"/>
        <v>63360000.000000007</v>
      </c>
      <c r="L26" s="37">
        <f t="shared" si="3"/>
        <v>0.57600000000000007</v>
      </c>
      <c r="M26" s="3" t="s">
        <v>237</v>
      </c>
      <c r="N26" t="s">
        <v>32</v>
      </c>
      <c r="O26" s="21" t="s">
        <v>309</v>
      </c>
      <c r="P26" s="21"/>
      <c r="Q26" s="21" t="s">
        <v>2151</v>
      </c>
      <c r="R26" s="23" t="s">
        <v>312</v>
      </c>
      <c r="S26" s="50" t="s">
        <v>81</v>
      </c>
      <c r="T26" s="48" t="s">
        <v>314</v>
      </c>
      <c r="U26" s="81" t="s">
        <v>197</v>
      </c>
      <c r="V26" s="26" t="s">
        <v>317</v>
      </c>
      <c r="W26" s="200" t="s">
        <v>315</v>
      </c>
      <c r="X26" s="17" t="s">
        <v>272</v>
      </c>
      <c r="Z26">
        <v>4</v>
      </c>
      <c r="AA26" s="417"/>
      <c r="AB26" s="97" t="s">
        <v>3</v>
      </c>
      <c r="AC26" s="103"/>
      <c r="AD26" s="99">
        <f>SUM(AD21:AD25)</f>
        <v>4804.5599999999995</v>
      </c>
      <c r="AE26" s="99">
        <f t="shared" ref="AE26" si="56">SUM(AE21:AE25)</f>
        <v>3653.84</v>
      </c>
      <c r="AF26" s="99">
        <f t="shared" ref="AF26" si="57">SUM(AF21:AF25)</f>
        <v>220.8</v>
      </c>
      <c r="AG26" s="99">
        <f t="shared" ref="AG26" si="58">SUM(AG21:AG25)</f>
        <v>929.92</v>
      </c>
      <c r="AH26" s="110">
        <f t="shared" ref="AH26" si="59">SUM(AH21:AH25)</f>
        <v>0</v>
      </c>
      <c r="AI26" s="123">
        <f t="shared" ref="AI26" si="60">SUM(AI21:AI25)</f>
        <v>19</v>
      </c>
      <c r="AJ26" s="124">
        <f t="shared" ref="AJ26" si="61">SUM(AJ21:AJ25)</f>
        <v>16</v>
      </c>
      <c r="AK26" s="124">
        <f t="shared" ref="AK26" si="62">SUM(AK21:AK25)</f>
        <v>2</v>
      </c>
      <c r="AL26" s="124">
        <f t="shared" ref="AL26" si="63">SUM(AL21:AL25)</f>
        <v>1</v>
      </c>
      <c r="AM26" s="125">
        <f t="shared" ref="AM26" si="64">SUM(AM21:AM25)</f>
        <v>0</v>
      </c>
      <c r="AN26" s="99">
        <f t="shared" ref="AN26" si="65">SUM(AN21:AN25)</f>
        <v>48.584000000000003</v>
      </c>
      <c r="AO26" s="99">
        <f t="shared" ref="AO26" si="66">SUM(AO21:AO25)</f>
        <v>37.884</v>
      </c>
      <c r="AP26" s="99">
        <f t="shared" ref="AP26" si="67">SUM(AP21:AP25)</f>
        <v>2.2199999999999998</v>
      </c>
      <c r="AQ26" s="99">
        <f t="shared" ref="AQ26" si="68">SUM(AQ21:AQ25)</f>
        <v>8.48</v>
      </c>
      <c r="AR26" s="99">
        <f t="shared" ref="AR26" si="69">SUM(AR21:AR25)</f>
        <v>0</v>
      </c>
      <c r="AT26" s="202" t="s">
        <v>259</v>
      </c>
      <c r="AU26" s="202">
        <f t="shared" si="55"/>
        <v>124</v>
      </c>
      <c r="AV26" s="203">
        <f t="shared" ref="AV26:AV33" si="70">AU26/$AU$33</f>
        <v>0.5061224489795918</v>
      </c>
    </row>
    <row r="27" spans="2:48" s="10" customFormat="1" ht="13.5" customHeight="1" x14ac:dyDescent="0.25">
      <c r="B27" s="17">
        <v>25</v>
      </c>
      <c r="C27" s="10" t="s">
        <v>136</v>
      </c>
      <c r="D27" s="7" t="s">
        <v>303</v>
      </c>
      <c r="E27" s="72" t="s">
        <v>306</v>
      </c>
      <c r="F27" s="18" t="s">
        <v>307</v>
      </c>
      <c r="G27" s="10">
        <v>2</v>
      </c>
      <c r="H27" s="10">
        <v>4</v>
      </c>
      <c r="I27" s="10">
        <v>98.7</v>
      </c>
      <c r="J27" s="11">
        <v>84900000</v>
      </c>
      <c r="K27" s="11">
        <f t="shared" si="2"/>
        <v>93390000.000000015</v>
      </c>
      <c r="L27" s="37">
        <f t="shared" si="3"/>
        <v>0.84899999999999998</v>
      </c>
      <c r="M27" s="3" t="s">
        <v>237</v>
      </c>
      <c r="N27" t="s">
        <v>32</v>
      </c>
      <c r="O27" s="21" t="s">
        <v>310</v>
      </c>
      <c r="P27" s="21"/>
      <c r="Q27" s="21" t="s">
        <v>2151</v>
      </c>
      <c r="R27" s="23" t="s">
        <v>313</v>
      </c>
      <c r="S27" s="50" t="s">
        <v>81</v>
      </c>
      <c r="T27" s="48" t="s">
        <v>314</v>
      </c>
      <c r="U27" s="81" t="s">
        <v>197</v>
      </c>
      <c r="V27" s="26" t="s">
        <v>317</v>
      </c>
      <c r="W27" s="200" t="s">
        <v>315</v>
      </c>
      <c r="X27" s="17" t="s">
        <v>272</v>
      </c>
      <c r="Z27">
        <v>5</v>
      </c>
      <c r="AA27" s="415">
        <v>5</v>
      </c>
      <c r="AB27" s="94">
        <v>1</v>
      </c>
      <c r="AC27" s="100" t="s">
        <v>110</v>
      </c>
      <c r="AD27" s="41">
        <f t="shared" si="4"/>
        <v>4243.2</v>
      </c>
      <c r="AE27" s="70">
        <f>SUMIFS($I:$I,$C:$C, $AE$2,$G:$G, $Z27,$H:$H, $AB27)</f>
        <v>3756.7999999999997</v>
      </c>
      <c r="AF27" s="70">
        <f>SUMIFS($I:$I,$C:$C, $AF$2,$G:$G, $Z27,$H:$H, $AB27)</f>
        <v>486.4</v>
      </c>
      <c r="AG27" s="70">
        <f>SUMIFS($I:$I,$C:$C, $AG$2,$G:$G, $Z27,$H:$H, $AB27)</f>
        <v>0</v>
      </c>
      <c r="AH27" s="109">
        <f>SUMIFS($I:$I,$C:$C, $AH$2,$G:$G, $Z27,$H:$H, $AB27)</f>
        <v>0</v>
      </c>
      <c r="AI27" s="120">
        <f t="shared" si="5"/>
        <v>10</v>
      </c>
      <c r="AJ27" s="121">
        <f>COUNTIFS($C:$C, $AJ$2,$G:$G, $Z27,$H:$H, $AB27)</f>
        <v>8</v>
      </c>
      <c r="AK27" s="121">
        <f>COUNTIFS($C:$C, $AK$2,$G:$G, $Z27,$H:$H, $AB27)</f>
        <v>2</v>
      </c>
      <c r="AL27" s="121">
        <f>COUNTIFS($C:$C, $AL$2,$G:$G, $Z27,$H:$H, $AB27)</f>
        <v>0</v>
      </c>
      <c r="AM27" s="122">
        <f>COUNTIFS($C:$C, $AM$2,$G:$G, $Z27,$H:$H, $AB27)</f>
        <v>0</v>
      </c>
      <c r="AN27" s="41">
        <f t="shared" si="6"/>
        <v>41.343000000000011</v>
      </c>
      <c r="AO27" s="70">
        <f>SUMIFS($L:$L,$C:$C, $AO$2,$G:$G, $Z27,$H:$H, $AB27)</f>
        <v>38.460000000000008</v>
      </c>
      <c r="AP27" s="70">
        <f>SUMIFS($L:$L,$C:$C, $AP$2,$G:$G, $Z27,$H:$H, $AB27)</f>
        <v>2.883</v>
      </c>
      <c r="AQ27" s="70">
        <f>SUMIFS($L:$L,$C:$C, $AQ$2,$G:$G, $Z27,$H:$H, $AB27)</f>
        <v>0</v>
      </c>
      <c r="AR27" s="70">
        <f>SUMIFS($L:$L,$C:$C, $AR$2,$G:$G, $Z27,$H:$H, $AB27)</f>
        <v>0</v>
      </c>
      <c r="AT27" s="202" t="s">
        <v>260</v>
      </c>
      <c r="AU27" s="202">
        <f t="shared" si="55"/>
        <v>15</v>
      </c>
      <c r="AV27" s="203">
        <f t="shared" si="70"/>
        <v>6.1224489795918366E-2</v>
      </c>
    </row>
    <row r="28" spans="2:48" s="10" customFormat="1" ht="13.5" customHeight="1" x14ac:dyDescent="0.25">
      <c r="B28" s="17">
        <v>26</v>
      </c>
      <c r="C28" s="10" t="s">
        <v>136</v>
      </c>
      <c r="D28" s="7" t="s">
        <v>140</v>
      </c>
      <c r="E28" s="72" t="s">
        <v>338</v>
      </c>
      <c r="F28" s="18" t="s">
        <v>307</v>
      </c>
      <c r="G28" s="10">
        <v>2</v>
      </c>
      <c r="H28" s="10">
        <v>4</v>
      </c>
      <c r="I28" s="10">
        <v>177.92</v>
      </c>
      <c r="J28" s="11">
        <v>210000000</v>
      </c>
      <c r="K28" s="11">
        <f t="shared" si="2"/>
        <v>231000000.00000003</v>
      </c>
      <c r="L28" s="37">
        <f t="shared" si="3"/>
        <v>2.1</v>
      </c>
      <c r="M28" s="3" t="s">
        <v>327</v>
      </c>
      <c r="N28" t="s">
        <v>339</v>
      </c>
      <c r="O28" s="21" t="s">
        <v>340</v>
      </c>
      <c r="P28" s="21">
        <v>22</v>
      </c>
      <c r="Q28" s="21" t="s">
        <v>2142</v>
      </c>
      <c r="R28" s="23" t="s">
        <v>341</v>
      </c>
      <c r="S28" s="50" t="s">
        <v>81</v>
      </c>
      <c r="T28" s="48" t="s">
        <v>342</v>
      </c>
      <c r="U28" s="81" t="s">
        <v>197</v>
      </c>
      <c r="V28" s="26" t="s">
        <v>343</v>
      </c>
      <c r="W28" s="200" t="s">
        <v>259</v>
      </c>
      <c r="X28" s="17" t="s">
        <v>272</v>
      </c>
      <c r="Z28">
        <v>5</v>
      </c>
      <c r="AA28" s="416"/>
      <c r="AB28" s="95">
        <v>2</v>
      </c>
      <c r="AC28" s="102" t="s">
        <v>111</v>
      </c>
      <c r="AD28" s="41">
        <f t="shared" si="4"/>
        <v>348.8</v>
      </c>
      <c r="AE28" s="70">
        <f>SUMIFS($I:$I,$C:$C, $AE$2,$G:$G, $Z28,$H:$H, $AB28)</f>
        <v>348.8</v>
      </c>
      <c r="AF28" s="70">
        <f>SUMIFS($I:$I,$C:$C, $AF$2,$G:$G, $Z28,$H:$H, $AB28)</f>
        <v>0</v>
      </c>
      <c r="AG28" s="70">
        <f>SUMIFS($I:$I,$C:$C, $AG$2,$G:$G, $Z28,$H:$H, $AB28)</f>
        <v>0</v>
      </c>
      <c r="AH28" s="109">
        <f>SUMIFS($I:$I,$C:$C, $AH$2,$G:$G, $Z28,$H:$H, $AB28)</f>
        <v>0</v>
      </c>
      <c r="AI28" s="120">
        <f t="shared" si="5"/>
        <v>2</v>
      </c>
      <c r="AJ28" s="121">
        <f>COUNTIFS($C:$C, $AJ$2,$G:$G, $Z28,$H:$H, $AB28)</f>
        <v>2</v>
      </c>
      <c r="AK28" s="121">
        <f>COUNTIFS($C:$C, $AK$2,$G:$G, $Z28,$H:$H, $AB28)</f>
        <v>0</v>
      </c>
      <c r="AL28" s="121">
        <f>COUNTIFS($C:$C, $AL$2,$G:$G, $Z28,$H:$H, $AB28)</f>
        <v>0</v>
      </c>
      <c r="AM28" s="122">
        <f>COUNTIFS($C:$C, $AM$2,$G:$G, $Z28,$H:$H, $AB28)</f>
        <v>0</v>
      </c>
      <c r="AN28" s="41">
        <f t="shared" si="6"/>
        <v>3.99</v>
      </c>
      <c r="AO28" s="70">
        <f>SUMIFS($L:$L,$C:$C, $AO$2,$G:$G, $Z28,$H:$H, $AB28)</f>
        <v>3.99</v>
      </c>
      <c r="AP28" s="70">
        <f>SUMIFS($L:$L,$C:$C, $AP$2,$G:$G, $Z28,$H:$H, $AB28)</f>
        <v>0</v>
      </c>
      <c r="AQ28" s="70">
        <f>SUMIFS($L:$L,$C:$C, $AQ$2,$G:$G, $Z28,$H:$H, $AB28)</f>
        <v>0</v>
      </c>
      <c r="AR28" s="70">
        <f>SUMIFS($L:$L,$C:$C, $AR$2,$G:$G, $Z28,$H:$H, $AB28)</f>
        <v>0</v>
      </c>
      <c r="AT28" s="202" t="s">
        <v>261</v>
      </c>
      <c r="AU28" s="202">
        <f t="shared" si="55"/>
        <v>11</v>
      </c>
      <c r="AV28" s="203">
        <f t="shared" si="70"/>
        <v>4.4897959183673466E-2</v>
      </c>
    </row>
    <row r="29" spans="2:48" s="10" customFormat="1" ht="13.5" customHeight="1" x14ac:dyDescent="0.25">
      <c r="B29" s="17">
        <v>27</v>
      </c>
      <c r="C29" s="10" t="s">
        <v>137</v>
      </c>
      <c r="D29" s="7" t="s">
        <v>140</v>
      </c>
      <c r="E29" s="72" t="s">
        <v>235</v>
      </c>
      <c r="F29" s="18" t="s">
        <v>345</v>
      </c>
      <c r="G29" s="10">
        <v>2</v>
      </c>
      <c r="H29" s="10">
        <v>4</v>
      </c>
      <c r="I29" s="10">
        <v>453.12</v>
      </c>
      <c r="J29" s="11">
        <v>460000000</v>
      </c>
      <c r="K29" s="11">
        <f t="shared" si="2"/>
        <v>506000000.00000006</v>
      </c>
      <c r="L29" s="37">
        <f t="shared" si="3"/>
        <v>4.6000000000000005</v>
      </c>
      <c r="M29" s="3" t="s">
        <v>142</v>
      </c>
      <c r="N29" t="s">
        <v>189</v>
      </c>
      <c r="O29" s="21" t="s">
        <v>346</v>
      </c>
      <c r="P29" s="21">
        <v>23</v>
      </c>
      <c r="Q29" s="21" t="s">
        <v>2149</v>
      </c>
      <c r="R29" s="23" t="s">
        <v>347</v>
      </c>
      <c r="S29" s="50" t="s">
        <v>81</v>
      </c>
      <c r="T29" s="48" t="s">
        <v>348</v>
      </c>
      <c r="U29" s="81" t="s">
        <v>197</v>
      </c>
      <c r="V29" s="26" t="s">
        <v>349</v>
      </c>
      <c r="W29" s="200" t="s">
        <v>350</v>
      </c>
      <c r="X29" s="17" t="s">
        <v>279</v>
      </c>
      <c r="Z29">
        <v>5</v>
      </c>
      <c r="AA29" s="416"/>
      <c r="AB29" s="95">
        <v>3</v>
      </c>
      <c r="AC29" s="102" t="s">
        <v>112</v>
      </c>
      <c r="AD29" s="41">
        <f t="shared" si="4"/>
        <v>494.08000000000004</v>
      </c>
      <c r="AE29" s="70">
        <f>SUMIFS($I:$I,$C:$C, $AE$2,$G:$G, $Z29,$H:$H, $AB29)</f>
        <v>494.08000000000004</v>
      </c>
      <c r="AF29" s="70">
        <f>SUMIFS($I:$I,$C:$C, $AF$2,$G:$G, $Z29,$H:$H, $AB29)</f>
        <v>0</v>
      </c>
      <c r="AG29" s="70">
        <f>SUMIFS($I:$I,$C:$C, $AG$2,$G:$G, $Z29,$H:$H, $AB29)</f>
        <v>0</v>
      </c>
      <c r="AH29" s="109">
        <f>SUMIFS($I:$I,$C:$C, $AH$2,$G:$G, $Z29,$H:$H, $AB29)</f>
        <v>0</v>
      </c>
      <c r="AI29" s="120">
        <f t="shared" si="5"/>
        <v>4</v>
      </c>
      <c r="AJ29" s="121">
        <f>COUNTIFS($C:$C, $AJ$2,$G:$G, $Z29,$H:$H, $AB29)</f>
        <v>4</v>
      </c>
      <c r="AK29" s="121">
        <f>COUNTIFS($C:$C, $AK$2,$G:$G, $Z29,$H:$H, $AB29)</f>
        <v>0</v>
      </c>
      <c r="AL29" s="121">
        <f>COUNTIFS($C:$C, $AL$2,$G:$G, $Z29,$H:$H, $AB29)</f>
        <v>0</v>
      </c>
      <c r="AM29" s="122">
        <f>COUNTIFS($C:$C, $AM$2,$G:$G, $Z29,$H:$H, $AB29)</f>
        <v>0</v>
      </c>
      <c r="AN29" s="41">
        <f t="shared" si="6"/>
        <v>4.83</v>
      </c>
      <c r="AO29" s="70">
        <f>SUMIFS($L:$L,$C:$C, $AO$2,$G:$G, $Z29,$H:$H, $AB29)</f>
        <v>4.83</v>
      </c>
      <c r="AP29" s="70">
        <f>SUMIFS($L:$L,$C:$C, $AP$2,$G:$G, $Z29,$H:$H, $AB29)</f>
        <v>0</v>
      </c>
      <c r="AQ29" s="70">
        <f>SUMIFS($L:$L,$C:$C, $AQ$2,$G:$G, $Z29,$H:$H, $AB29)</f>
        <v>0</v>
      </c>
      <c r="AR29" s="70">
        <f>SUMIFS($L:$L,$C:$C, $AR$2,$G:$G, $Z29,$H:$H, $AB29)</f>
        <v>0</v>
      </c>
      <c r="AT29" s="202" t="s">
        <v>262</v>
      </c>
      <c r="AU29" s="202">
        <f t="shared" si="55"/>
        <v>21</v>
      </c>
      <c r="AV29" s="203">
        <f t="shared" si="70"/>
        <v>8.5714285714285715E-2</v>
      </c>
    </row>
    <row r="30" spans="2:48" s="10" customFormat="1" ht="13.5" customHeight="1" x14ac:dyDescent="0.25">
      <c r="B30" s="17">
        <v>28</v>
      </c>
      <c r="C30" s="10" t="s">
        <v>137</v>
      </c>
      <c r="D30" s="7" t="s">
        <v>140</v>
      </c>
      <c r="E30" s="72" t="s">
        <v>241</v>
      </c>
      <c r="F30" s="18" t="s">
        <v>355</v>
      </c>
      <c r="G30" s="10">
        <v>3</v>
      </c>
      <c r="H30" s="10">
        <v>1</v>
      </c>
      <c r="I30" s="10">
        <v>51.2</v>
      </c>
      <c r="J30" s="11">
        <v>57000000</v>
      </c>
      <c r="K30" s="11">
        <f t="shared" si="2"/>
        <v>62700000.000000007</v>
      </c>
      <c r="L30" s="37">
        <f t="shared" si="3"/>
        <v>0.57000000000000006</v>
      </c>
      <c r="M30" s="3" t="s">
        <v>142</v>
      </c>
      <c r="N30" t="s">
        <v>189</v>
      </c>
      <c r="O30" s="21" t="s">
        <v>356</v>
      </c>
      <c r="P30" s="21">
        <v>24</v>
      </c>
      <c r="Q30" s="21" t="s">
        <v>2149</v>
      </c>
      <c r="R30" s="23" t="s">
        <v>357</v>
      </c>
      <c r="S30" s="50" t="s">
        <v>81</v>
      </c>
      <c r="T30" s="48" t="s">
        <v>358</v>
      </c>
      <c r="U30" s="81" t="s">
        <v>150</v>
      </c>
      <c r="V30" s="26" t="s">
        <v>359</v>
      </c>
      <c r="W30" s="200" t="s">
        <v>360</v>
      </c>
      <c r="X30" s="17" t="s">
        <v>279</v>
      </c>
      <c r="Z30">
        <v>5</v>
      </c>
      <c r="AA30" s="416"/>
      <c r="AB30" s="95">
        <v>4</v>
      </c>
      <c r="AC30" s="102" t="s">
        <v>113</v>
      </c>
      <c r="AD30" s="41">
        <f t="shared" si="4"/>
        <v>1027.8399999999999</v>
      </c>
      <c r="AE30" s="70">
        <f>SUMIFS($I:$I,$C:$C, $AE$2,$G:$G, $Z30,$H:$H, $AB30)</f>
        <v>1027.8399999999999</v>
      </c>
      <c r="AF30" s="70">
        <f>SUMIFS($I:$I,$C:$C, $AF$2,$G:$G, $Z30,$H:$H, $AB30)</f>
        <v>0</v>
      </c>
      <c r="AG30" s="70">
        <f>SUMIFS($I:$I,$C:$C, $AG$2,$G:$G, $Z30,$H:$H, $AB30)</f>
        <v>0</v>
      </c>
      <c r="AH30" s="109">
        <f>SUMIFS($I:$I,$C:$C, $AH$2,$G:$G, $Z30,$H:$H, $AB30)</f>
        <v>0</v>
      </c>
      <c r="AI30" s="120">
        <f t="shared" si="5"/>
        <v>4</v>
      </c>
      <c r="AJ30" s="121">
        <f>COUNTIFS($C:$C, $AJ$2,$G:$G, $Z30,$H:$H, $AB30)</f>
        <v>4</v>
      </c>
      <c r="AK30" s="121">
        <f>COUNTIFS($C:$C, $AK$2,$G:$G, $Z30,$H:$H, $AB30)</f>
        <v>0</v>
      </c>
      <c r="AL30" s="121">
        <f>COUNTIFS($C:$C, $AL$2,$G:$G, $Z30,$H:$H, $AB30)</f>
        <v>0</v>
      </c>
      <c r="AM30" s="122">
        <f>COUNTIFS($C:$C, $AM$2,$G:$G, $Z30,$H:$H, $AB30)</f>
        <v>0</v>
      </c>
      <c r="AN30" s="41">
        <f t="shared" si="6"/>
        <v>9.5500000000000007</v>
      </c>
      <c r="AO30" s="70">
        <f>SUMIFS($L:$L,$C:$C, $AO$2,$G:$G, $Z30,$H:$H, $AB30)</f>
        <v>9.5500000000000007</v>
      </c>
      <c r="AP30" s="70">
        <f>SUMIFS($L:$L,$C:$C, $AP$2,$G:$G, $Z30,$H:$H, $AB30)</f>
        <v>0</v>
      </c>
      <c r="AQ30" s="70">
        <f>SUMIFS($L:$L,$C:$C, $AQ$2,$G:$G, $Z30,$H:$H, $AB30)</f>
        <v>0</v>
      </c>
      <c r="AR30" s="70">
        <f>SUMIFS($L:$L,$C:$C, $AR$2,$G:$G, $Z30,$H:$H, $AB30)</f>
        <v>0</v>
      </c>
      <c r="AT30" s="202" t="s">
        <v>263</v>
      </c>
      <c r="AU30" s="202">
        <f t="shared" si="55"/>
        <v>3</v>
      </c>
      <c r="AV30" s="203">
        <f t="shared" si="70"/>
        <v>1.2244897959183673E-2</v>
      </c>
    </row>
    <row r="31" spans="2:48" s="10" customFormat="1" ht="13.5" customHeight="1" x14ac:dyDescent="0.25">
      <c r="B31" s="17">
        <v>29</v>
      </c>
      <c r="C31" s="10" t="s">
        <v>136</v>
      </c>
      <c r="D31" s="7" t="s">
        <v>140</v>
      </c>
      <c r="E31" s="72" t="s">
        <v>361</v>
      </c>
      <c r="F31" s="18" t="s">
        <v>345</v>
      </c>
      <c r="G31" s="10">
        <v>3</v>
      </c>
      <c r="H31" s="10">
        <v>1</v>
      </c>
      <c r="I31" s="10">
        <v>133.12</v>
      </c>
      <c r="J31" s="11">
        <v>123000000</v>
      </c>
      <c r="K31" s="11">
        <f t="shared" si="2"/>
        <v>135300000</v>
      </c>
      <c r="L31" s="37">
        <f t="shared" si="3"/>
        <v>1.23</v>
      </c>
      <c r="M31" s="3" t="s">
        <v>190</v>
      </c>
      <c r="N31" t="s">
        <v>31</v>
      </c>
      <c r="O31" s="21" t="s">
        <v>362</v>
      </c>
      <c r="P31" s="21">
        <v>25</v>
      </c>
      <c r="Q31" s="21" t="s">
        <v>2136</v>
      </c>
      <c r="R31" s="23" t="s">
        <v>363</v>
      </c>
      <c r="S31" s="50" t="s">
        <v>81</v>
      </c>
      <c r="T31" s="48" t="s">
        <v>364</v>
      </c>
      <c r="U31" s="81" t="s">
        <v>151</v>
      </c>
      <c r="V31" s="26" t="s">
        <v>365</v>
      </c>
      <c r="W31" s="200" t="s">
        <v>259</v>
      </c>
      <c r="X31" s="17" t="s">
        <v>272</v>
      </c>
      <c r="Z31">
        <v>5</v>
      </c>
      <c r="AA31" s="416"/>
      <c r="AB31" s="96">
        <v>5</v>
      </c>
      <c r="AC31" s="102"/>
      <c r="AD31" s="41">
        <f t="shared" si="4"/>
        <v>0</v>
      </c>
      <c r="AE31" s="70">
        <f>SUMIFS($I:$I,$C:$C, $AE$2,$G:$G, $Z31,$H:$H, $AB31)</f>
        <v>0</v>
      </c>
      <c r="AF31" s="70">
        <f>SUMIFS($I:$I,$C:$C, $AF$2,$G:$G, $Z31,$H:$H, $AB31)</f>
        <v>0</v>
      </c>
      <c r="AG31" s="70">
        <f>SUMIFS($I:$I,$C:$C, $AG$2,$G:$G, $Z31,$H:$H, $AB31)</f>
        <v>0</v>
      </c>
      <c r="AH31" s="109">
        <f>SUMIFS($I:$I,$C:$C, $AH$2,$G:$G, $Z31,$H:$H, $AB31)</f>
        <v>0</v>
      </c>
      <c r="AI31" s="120">
        <f t="shared" si="5"/>
        <v>0</v>
      </c>
      <c r="AJ31" s="121">
        <f>COUNTIFS($C:$C, $AJ$2,$G:$G, $Z31,$H:$H, $AB31)</f>
        <v>0</v>
      </c>
      <c r="AK31" s="121">
        <f>COUNTIFS($C:$C, $AK$2,$G:$G, $Z31,$H:$H, $AB31)</f>
        <v>0</v>
      </c>
      <c r="AL31" s="121">
        <f>COUNTIFS($C:$C, $AL$2,$G:$G, $Z31,$H:$H, $AB31)</f>
        <v>0</v>
      </c>
      <c r="AM31" s="122">
        <f>COUNTIFS($C:$C, $AM$2,$G:$G, $Z31,$H:$H, $AB31)</f>
        <v>0</v>
      </c>
      <c r="AN31" s="41">
        <f t="shared" si="6"/>
        <v>0</v>
      </c>
      <c r="AO31" s="70">
        <f>SUMIFS($L:$L,$C:$C, $AO$2,$G:$G, $Z31,$H:$H, $AB31)</f>
        <v>0</v>
      </c>
      <c r="AP31" s="70">
        <f>SUMIFS($L:$L,$C:$C, $AP$2,$G:$G, $Z31,$H:$H, $AB31)</f>
        <v>0</v>
      </c>
      <c r="AQ31" s="70">
        <f>SUMIFS($L:$L,$C:$C, $AQ$2,$G:$G, $Z31,$H:$H, $AB31)</f>
        <v>0</v>
      </c>
      <c r="AR31" s="70">
        <f>SUMIFS($L:$L,$C:$C, $AR$2,$G:$G, $Z31,$H:$H, $AB31)</f>
        <v>0</v>
      </c>
      <c r="AT31" s="202" t="s">
        <v>264</v>
      </c>
      <c r="AU31" s="202">
        <f t="shared" si="55"/>
        <v>4</v>
      </c>
      <c r="AV31" s="203">
        <f t="shared" si="70"/>
        <v>1.6326530612244899E-2</v>
      </c>
    </row>
    <row r="32" spans="2:48" s="10" customFormat="1" ht="13.5" customHeight="1" thickBot="1" x14ac:dyDescent="0.3">
      <c r="B32" s="17">
        <v>30</v>
      </c>
      <c r="C32" s="10" t="s">
        <v>136</v>
      </c>
      <c r="D32" s="7" t="s">
        <v>140</v>
      </c>
      <c r="E32" s="72" t="s">
        <v>370</v>
      </c>
      <c r="F32" s="18" t="s">
        <v>375</v>
      </c>
      <c r="G32" s="10">
        <v>3</v>
      </c>
      <c r="H32" s="10">
        <v>1</v>
      </c>
      <c r="I32" s="10">
        <v>906.63</v>
      </c>
      <c r="J32" s="11">
        <v>780020000</v>
      </c>
      <c r="K32" s="11">
        <f t="shared" si="2"/>
        <v>858022000.00000012</v>
      </c>
      <c r="L32" s="37">
        <f t="shared" si="3"/>
        <v>7.8002000000000002</v>
      </c>
      <c r="M32" s="3" t="s">
        <v>327</v>
      </c>
      <c r="N32" t="s">
        <v>30</v>
      </c>
      <c r="O32" s="21" t="s">
        <v>371</v>
      </c>
      <c r="P32" s="21">
        <v>26</v>
      </c>
      <c r="Q32" s="21" t="s">
        <v>2138</v>
      </c>
      <c r="R32" s="23" t="s">
        <v>1240</v>
      </c>
      <c r="S32" s="50" t="s">
        <v>207</v>
      </c>
      <c r="T32" s="48" t="s">
        <v>372</v>
      </c>
      <c r="U32" s="81" t="s">
        <v>151</v>
      </c>
      <c r="V32" s="26" t="s">
        <v>373</v>
      </c>
      <c r="W32" s="200" t="s">
        <v>350</v>
      </c>
      <c r="X32" s="17" t="s">
        <v>279</v>
      </c>
      <c r="Z32">
        <v>5</v>
      </c>
      <c r="AA32" s="417"/>
      <c r="AB32" s="97" t="s">
        <v>3</v>
      </c>
      <c r="AC32" s="103"/>
      <c r="AD32" s="99">
        <f>SUM(AD27:AD31)</f>
        <v>6113.92</v>
      </c>
      <c r="AE32" s="99">
        <f t="shared" ref="AE32" si="71">SUM(AE27:AE31)</f>
        <v>5627.5199999999995</v>
      </c>
      <c r="AF32" s="99">
        <f t="shared" ref="AF32" si="72">SUM(AF27:AF31)</f>
        <v>486.4</v>
      </c>
      <c r="AG32" s="99">
        <f t="shared" ref="AG32" si="73">SUM(AG27:AG31)</f>
        <v>0</v>
      </c>
      <c r="AH32" s="110">
        <f t="shared" ref="AH32" si="74">SUM(AH27:AH31)</f>
        <v>0</v>
      </c>
      <c r="AI32" s="123">
        <f t="shared" ref="AI32" si="75">SUM(AI27:AI31)</f>
        <v>20</v>
      </c>
      <c r="AJ32" s="124">
        <f t="shared" ref="AJ32" si="76">SUM(AJ27:AJ31)</f>
        <v>18</v>
      </c>
      <c r="AK32" s="124">
        <f t="shared" ref="AK32" si="77">SUM(AK27:AK31)</f>
        <v>2</v>
      </c>
      <c r="AL32" s="124">
        <f t="shared" ref="AL32" si="78">SUM(AL27:AL31)</f>
        <v>0</v>
      </c>
      <c r="AM32" s="125">
        <f t="shared" ref="AM32" si="79">SUM(AM27:AM31)</f>
        <v>0</v>
      </c>
      <c r="AN32" s="99">
        <f t="shared" ref="AN32" si="80">SUM(AN27:AN31)</f>
        <v>59.713000000000008</v>
      </c>
      <c r="AO32" s="99">
        <f t="shared" ref="AO32" si="81">SUM(AO27:AO31)</f>
        <v>56.830000000000013</v>
      </c>
      <c r="AP32" s="99">
        <f t="shared" ref="AP32" si="82">SUM(AP27:AP31)</f>
        <v>2.883</v>
      </c>
      <c r="AQ32" s="99">
        <f t="shared" ref="AQ32" si="83">SUM(AQ27:AQ31)</f>
        <v>0</v>
      </c>
      <c r="AR32" s="99">
        <f t="shared" ref="AR32" si="84">SUM(AR27:AR31)</f>
        <v>0</v>
      </c>
      <c r="AT32" s="202" t="s">
        <v>265</v>
      </c>
      <c r="AU32" s="202">
        <f t="shared" si="55"/>
        <v>4</v>
      </c>
      <c r="AV32" s="203">
        <f t="shared" si="70"/>
        <v>1.6326530612244899E-2</v>
      </c>
    </row>
    <row r="33" spans="2:48" s="10" customFormat="1" ht="13.5" customHeight="1" x14ac:dyDescent="0.25">
      <c r="B33" s="17">
        <v>31</v>
      </c>
      <c r="C33" s="10" t="s">
        <v>102</v>
      </c>
      <c r="D33" s="7" t="s">
        <v>229</v>
      </c>
      <c r="E33" s="72" t="s">
        <v>374</v>
      </c>
      <c r="F33" s="18" t="s">
        <v>375</v>
      </c>
      <c r="G33" s="10">
        <v>3</v>
      </c>
      <c r="H33" s="10">
        <v>1</v>
      </c>
      <c r="I33" s="10">
        <v>299.625</v>
      </c>
      <c r="J33" s="11">
        <v>258000000</v>
      </c>
      <c r="K33" s="11">
        <f t="shared" si="2"/>
        <v>283800000</v>
      </c>
      <c r="L33" s="37">
        <f t="shared" si="3"/>
        <v>2.58</v>
      </c>
      <c r="M33" s="3" t="s">
        <v>327</v>
      </c>
      <c r="N33" t="s">
        <v>30</v>
      </c>
      <c r="O33" s="21" t="s">
        <v>376</v>
      </c>
      <c r="P33" s="21"/>
      <c r="Q33" s="21" t="s">
        <v>2138</v>
      </c>
      <c r="R33" s="23" t="s">
        <v>1241</v>
      </c>
      <c r="S33" s="50" t="s">
        <v>207</v>
      </c>
      <c r="T33" s="48" t="s">
        <v>372</v>
      </c>
      <c r="U33" s="81" t="s">
        <v>151</v>
      </c>
      <c r="V33" s="26" t="s">
        <v>373</v>
      </c>
      <c r="W33" s="200" t="s">
        <v>350</v>
      </c>
      <c r="X33" s="17" t="s">
        <v>279</v>
      </c>
      <c r="Z33">
        <v>6</v>
      </c>
      <c r="AA33" s="415">
        <v>6</v>
      </c>
      <c r="AB33" s="94">
        <v>1</v>
      </c>
      <c r="AC33" s="100" t="s">
        <v>114</v>
      </c>
      <c r="AD33" s="41">
        <f t="shared" si="4"/>
        <v>570.24</v>
      </c>
      <c r="AE33" s="70">
        <f>SUMIFS($I:$I,$C:$C, $AE$2,$G:$G, $Z33,$H:$H, $AB33)</f>
        <v>421.76</v>
      </c>
      <c r="AF33" s="70">
        <f>SUMIFS($I:$I,$C:$C, $AF$2,$G:$G, $Z33,$H:$H, $AB33)</f>
        <v>148.47999999999999</v>
      </c>
      <c r="AG33" s="70">
        <f>SUMIFS($I:$I,$C:$C, $AG$2,$G:$G, $Z33,$H:$H, $AB33)</f>
        <v>0</v>
      </c>
      <c r="AH33" s="109">
        <f>SUMIFS($I:$I,$C:$C, $AH$2,$G:$G, $Z33,$H:$H, $AB33)</f>
        <v>0</v>
      </c>
      <c r="AI33" s="120">
        <f t="shared" si="5"/>
        <v>3</v>
      </c>
      <c r="AJ33" s="121">
        <f>COUNTIFS($C:$C, $AJ$2,$G:$G, $Z33,$H:$H, $AB33)</f>
        <v>2</v>
      </c>
      <c r="AK33" s="121">
        <f>COUNTIFS($C:$C, $AK$2,$G:$G, $Z33,$H:$H, $AB33)</f>
        <v>1</v>
      </c>
      <c r="AL33" s="121">
        <f>COUNTIFS($C:$C, $AL$2,$G:$G, $Z33,$H:$H, $AB33)</f>
        <v>0</v>
      </c>
      <c r="AM33" s="122">
        <f>COUNTIFS($C:$C, $AM$2,$G:$G, $Z33,$H:$H, $AB33)</f>
        <v>0</v>
      </c>
      <c r="AN33" s="41">
        <f t="shared" si="6"/>
        <v>5.3</v>
      </c>
      <c r="AO33" s="70">
        <f>SUMIFS($L:$L,$C:$C, $AO$2,$G:$G, $Z33,$H:$H, $AB33)</f>
        <v>3.75</v>
      </c>
      <c r="AP33" s="70">
        <f>SUMIFS($L:$L,$C:$C, $AP$2,$G:$G, $Z33,$H:$H, $AB33)</f>
        <v>1.55</v>
      </c>
      <c r="AQ33" s="70">
        <f>SUMIFS($L:$L,$C:$C, $AQ$2,$G:$G, $Z33,$H:$H, $AB33)</f>
        <v>0</v>
      </c>
      <c r="AR33" s="70">
        <f>SUMIFS($L:$L,$C:$C, $AR$2,$G:$G, $Z33,$H:$H, $AB33)</f>
        <v>0</v>
      </c>
      <c r="AT33" s="201" t="s">
        <v>266</v>
      </c>
      <c r="AU33" s="201">
        <f>SUM(AU25:AU32)</f>
        <v>245</v>
      </c>
      <c r="AV33" s="204">
        <f t="shared" si="70"/>
        <v>1</v>
      </c>
    </row>
    <row r="34" spans="2:48" s="10" customFormat="1" ht="13.5" customHeight="1" x14ac:dyDescent="0.25">
      <c r="B34" s="17">
        <v>32</v>
      </c>
      <c r="C34" s="10" t="s">
        <v>136</v>
      </c>
      <c r="D34" s="7" t="s">
        <v>140</v>
      </c>
      <c r="E34" s="72" t="s">
        <v>377</v>
      </c>
      <c r="F34" s="18" t="s">
        <v>378</v>
      </c>
      <c r="G34" s="10">
        <v>3</v>
      </c>
      <c r="H34" s="10">
        <v>1</v>
      </c>
      <c r="I34" s="10">
        <v>61.44</v>
      </c>
      <c r="J34" s="11">
        <v>63000000</v>
      </c>
      <c r="K34" s="11">
        <f t="shared" si="2"/>
        <v>69300000</v>
      </c>
      <c r="L34" s="37">
        <f t="shared" si="3"/>
        <v>0.63</v>
      </c>
      <c r="M34" s="3" t="s">
        <v>75</v>
      </c>
      <c r="N34" t="s">
        <v>31</v>
      </c>
      <c r="O34" s="21" t="s">
        <v>379</v>
      </c>
      <c r="P34" s="21">
        <v>27</v>
      </c>
      <c r="Q34" s="21" t="s">
        <v>2149</v>
      </c>
      <c r="R34" s="23" t="s">
        <v>380</v>
      </c>
      <c r="S34" s="50" t="s">
        <v>81</v>
      </c>
      <c r="T34" s="48" t="s">
        <v>381</v>
      </c>
      <c r="U34" s="81" t="s">
        <v>85</v>
      </c>
      <c r="V34" s="26"/>
      <c r="W34" s="200" t="s">
        <v>259</v>
      </c>
      <c r="X34" s="17" t="s">
        <v>272</v>
      </c>
      <c r="Z34">
        <v>6</v>
      </c>
      <c r="AA34" s="416"/>
      <c r="AB34" s="95">
        <v>2</v>
      </c>
      <c r="AC34" s="102" t="s">
        <v>115</v>
      </c>
      <c r="AD34" s="41">
        <f t="shared" si="4"/>
        <v>123.52</v>
      </c>
      <c r="AE34" s="70">
        <f>SUMIFS($I:$I,$C:$C, $AE$2,$G:$G, $Z34,$H:$H, $AB34)</f>
        <v>123.52</v>
      </c>
      <c r="AF34" s="70">
        <f>SUMIFS($I:$I,$C:$C, $AF$2,$G:$G, $Z34,$H:$H, $AB34)</f>
        <v>0</v>
      </c>
      <c r="AG34" s="70">
        <f>SUMIFS($I:$I,$C:$C, $AG$2,$G:$G, $Z34,$H:$H, $AB34)</f>
        <v>0</v>
      </c>
      <c r="AH34" s="109">
        <f>SUMIFS($I:$I,$C:$C, $AH$2,$G:$G, $Z34,$H:$H, $AB34)</f>
        <v>0</v>
      </c>
      <c r="AI34" s="120">
        <f t="shared" si="5"/>
        <v>1</v>
      </c>
      <c r="AJ34" s="121">
        <f>COUNTIFS($C:$C, $AJ$2,$G:$G, $Z34,$H:$H, $AB34)</f>
        <v>1</v>
      </c>
      <c r="AK34" s="121">
        <f>COUNTIFS($C:$C, $AK$2,$G:$G, $Z34,$H:$H, $AB34)</f>
        <v>0</v>
      </c>
      <c r="AL34" s="121">
        <f>COUNTIFS($C:$C, $AL$2,$G:$G, $Z34,$H:$H, $AB34)</f>
        <v>0</v>
      </c>
      <c r="AM34" s="122">
        <f>COUNTIFS($C:$C, $AM$2,$G:$G, $Z34,$H:$H, $AB34)</f>
        <v>0</v>
      </c>
      <c r="AN34" s="41">
        <f t="shared" si="6"/>
        <v>1.27</v>
      </c>
      <c r="AO34" s="70">
        <f>SUMIFS($L:$L,$C:$C, $AO$2,$G:$G, $Z34,$H:$H, $AB34)</f>
        <v>1.27</v>
      </c>
      <c r="AP34" s="70">
        <f>SUMIFS($L:$L,$C:$C, $AP$2,$G:$G, $Z34,$H:$H, $AB34)</f>
        <v>0</v>
      </c>
      <c r="AQ34" s="70">
        <f>SUMIFS($L:$L,$C:$C, $AQ$2,$G:$G, $Z34,$H:$H, $AB34)</f>
        <v>0</v>
      </c>
      <c r="AR34" s="70">
        <f>SUMIFS($L:$L,$C:$C, $AR$2,$G:$G, $Z34,$H:$H, $AB34)</f>
        <v>0</v>
      </c>
    </row>
    <row r="35" spans="2:48" s="10" customFormat="1" ht="13.5" customHeight="1" x14ac:dyDescent="0.25">
      <c r="B35" s="17">
        <v>33</v>
      </c>
      <c r="C35" s="10" t="s">
        <v>137</v>
      </c>
      <c r="D35" s="7" t="s">
        <v>140</v>
      </c>
      <c r="E35" s="72" t="s">
        <v>248</v>
      </c>
      <c r="F35" s="18" t="s">
        <v>382</v>
      </c>
      <c r="G35" s="10">
        <v>3</v>
      </c>
      <c r="H35" s="10">
        <v>2</v>
      </c>
      <c r="I35" s="10">
        <v>53.76</v>
      </c>
      <c r="J35" s="11">
        <v>54000000</v>
      </c>
      <c r="K35" s="11">
        <f t="shared" si="2"/>
        <v>59400000.000000007</v>
      </c>
      <c r="L35" s="37">
        <f t="shared" si="3"/>
        <v>0.54</v>
      </c>
      <c r="M35" s="3" t="s">
        <v>142</v>
      </c>
      <c r="N35" t="s">
        <v>189</v>
      </c>
      <c r="O35" s="21" t="s">
        <v>383</v>
      </c>
      <c r="P35" s="21">
        <v>28</v>
      </c>
      <c r="Q35" s="21" t="s">
        <v>2149</v>
      </c>
      <c r="R35" s="23" t="s">
        <v>384</v>
      </c>
      <c r="S35" s="50" t="s">
        <v>81</v>
      </c>
      <c r="T35" s="48" t="s">
        <v>385</v>
      </c>
      <c r="U35" s="81" t="s">
        <v>150</v>
      </c>
      <c r="V35" s="26" t="s">
        <v>386</v>
      </c>
      <c r="W35" s="200" t="s">
        <v>350</v>
      </c>
      <c r="X35" s="17" t="s">
        <v>279</v>
      </c>
      <c r="Z35">
        <v>6</v>
      </c>
      <c r="AA35" s="416"/>
      <c r="AB35" s="95">
        <v>3</v>
      </c>
      <c r="AC35" s="102" t="s">
        <v>116</v>
      </c>
      <c r="AD35" s="41">
        <f t="shared" si="4"/>
        <v>1312.64</v>
      </c>
      <c r="AE35" s="70">
        <f>SUMIFS($I:$I,$C:$C, $AE$2,$G:$G, $Z35,$H:$H, $AB35)</f>
        <v>1087.3600000000001</v>
      </c>
      <c r="AF35" s="70">
        <f>SUMIFS($I:$I,$C:$C, $AF$2,$G:$G, $Z35,$H:$H, $AB35)</f>
        <v>225.28</v>
      </c>
      <c r="AG35" s="70">
        <f>SUMIFS($I:$I,$C:$C, $AG$2,$G:$G, $Z35,$H:$H, $AB35)</f>
        <v>0</v>
      </c>
      <c r="AH35" s="109">
        <f>SUMIFS($I:$I,$C:$C, $AH$2,$G:$G, $Z35,$H:$H, $AB35)</f>
        <v>0</v>
      </c>
      <c r="AI35" s="120">
        <f t="shared" si="5"/>
        <v>5</v>
      </c>
      <c r="AJ35" s="121">
        <f>COUNTIFS($C:$C, $AJ$2,$G:$G, $Z35,$H:$H, $AB35)</f>
        <v>4</v>
      </c>
      <c r="AK35" s="121">
        <f>COUNTIFS($C:$C, $AK$2,$G:$G, $Z35,$H:$H, $AB35)</f>
        <v>1</v>
      </c>
      <c r="AL35" s="121">
        <f>COUNTIFS($C:$C, $AL$2,$G:$G, $Z35,$H:$H, $AB35)</f>
        <v>0</v>
      </c>
      <c r="AM35" s="122">
        <f>COUNTIFS($C:$C, $AM$2,$G:$G, $Z35,$H:$H, $AB35)</f>
        <v>0</v>
      </c>
      <c r="AN35" s="41">
        <f t="shared" si="6"/>
        <v>12.97</v>
      </c>
      <c r="AO35" s="70">
        <f>SUMIFS($L:$L,$C:$C, $AO$2,$G:$G, $Z35,$H:$H, $AB35)</f>
        <v>10.780000000000001</v>
      </c>
      <c r="AP35" s="70">
        <f>SUMIFS($L:$L,$C:$C, $AP$2,$G:$G, $Z35,$H:$H, $AB35)</f>
        <v>2.19</v>
      </c>
      <c r="AQ35" s="70">
        <f>SUMIFS($L:$L,$C:$C, $AQ$2,$G:$G, $Z35,$H:$H, $AB35)</f>
        <v>0</v>
      </c>
      <c r="AR35" s="70">
        <f>SUMIFS($L:$L,$C:$C, $AR$2,$G:$G, $Z35,$H:$H, $AB35)</f>
        <v>0</v>
      </c>
    </row>
    <row r="36" spans="2:48" s="10" customFormat="1" ht="13.5" customHeight="1" x14ac:dyDescent="0.25">
      <c r="B36" s="17">
        <v>34</v>
      </c>
      <c r="C36" s="10" t="s">
        <v>136</v>
      </c>
      <c r="D36" s="7" t="s">
        <v>140</v>
      </c>
      <c r="E36" s="72" t="s">
        <v>387</v>
      </c>
      <c r="F36" s="18" t="s">
        <v>388</v>
      </c>
      <c r="G36" s="10">
        <v>3</v>
      </c>
      <c r="H36" s="10">
        <v>3</v>
      </c>
      <c r="I36" s="10">
        <v>734.72</v>
      </c>
      <c r="J36" s="11">
        <v>655000000</v>
      </c>
      <c r="K36" s="11">
        <f t="shared" si="2"/>
        <v>720500000</v>
      </c>
      <c r="L36" s="37">
        <f t="shared" si="3"/>
        <v>6.55</v>
      </c>
      <c r="M36" s="3" t="s">
        <v>243</v>
      </c>
      <c r="N36" t="s">
        <v>31</v>
      </c>
      <c r="O36" s="21" t="s">
        <v>389</v>
      </c>
      <c r="P36" s="21">
        <v>29</v>
      </c>
      <c r="Q36" s="21" t="s">
        <v>2149</v>
      </c>
      <c r="R36" s="23" t="s">
        <v>390</v>
      </c>
      <c r="S36" s="50" t="s">
        <v>81</v>
      </c>
      <c r="T36" s="48" t="s">
        <v>391</v>
      </c>
      <c r="U36" s="81" t="s">
        <v>151</v>
      </c>
      <c r="V36" s="26" t="s">
        <v>396</v>
      </c>
      <c r="W36" s="200" t="s">
        <v>258</v>
      </c>
      <c r="X36" s="17" t="s">
        <v>272</v>
      </c>
      <c r="Z36">
        <v>6</v>
      </c>
      <c r="AA36" s="416"/>
      <c r="AB36" s="95">
        <v>4</v>
      </c>
      <c r="AC36" s="102" t="s">
        <v>117</v>
      </c>
      <c r="AD36" s="41">
        <f t="shared" si="4"/>
        <v>1885.44</v>
      </c>
      <c r="AE36" s="70">
        <f>SUMIFS($I:$I,$C:$C, $AE$2,$G:$G, $Z36,$H:$H, $AB36)</f>
        <v>1885.44</v>
      </c>
      <c r="AF36" s="70">
        <f>SUMIFS($I:$I,$C:$C, $AF$2,$G:$G, $Z36,$H:$H, $AB36)</f>
        <v>0</v>
      </c>
      <c r="AG36" s="70">
        <f>SUMIFS($I:$I,$C:$C, $AG$2,$G:$G, $Z36,$H:$H, $AB36)</f>
        <v>0</v>
      </c>
      <c r="AH36" s="109">
        <f>SUMIFS($I:$I,$C:$C, $AH$2,$G:$G, $Z36,$H:$H, $AB36)</f>
        <v>0</v>
      </c>
      <c r="AI36" s="120">
        <f t="shared" si="5"/>
        <v>5</v>
      </c>
      <c r="AJ36" s="121">
        <f>COUNTIFS($C:$C, $AJ$2,$G:$G, $Z36,$H:$H, $AB36)</f>
        <v>5</v>
      </c>
      <c r="AK36" s="121">
        <f>COUNTIFS($C:$C, $AK$2,$G:$G, $Z36,$H:$H, $AB36)</f>
        <v>0</v>
      </c>
      <c r="AL36" s="121">
        <f>COUNTIFS($C:$C, $AL$2,$G:$G, $Z36,$H:$H, $AB36)</f>
        <v>0</v>
      </c>
      <c r="AM36" s="122">
        <f>COUNTIFS($C:$C, $AM$2,$G:$G, $Z36,$H:$H, $AB36)</f>
        <v>0</v>
      </c>
      <c r="AN36" s="41">
        <f t="shared" si="6"/>
        <v>13.3</v>
      </c>
      <c r="AO36" s="70">
        <f>SUMIFS($L:$L,$C:$C, $AO$2,$G:$G, $Z36,$H:$H, $AB36)</f>
        <v>13.3</v>
      </c>
      <c r="AP36" s="70">
        <f>SUMIFS($L:$L,$C:$C, $AP$2,$G:$G, $Z36,$H:$H, $AB36)</f>
        <v>0</v>
      </c>
      <c r="AQ36" s="70">
        <f>SUMIFS($L:$L,$C:$C, $AQ$2,$G:$G, $Z36,$H:$H, $AB36)</f>
        <v>0</v>
      </c>
      <c r="AR36" s="70">
        <f>SUMIFS($L:$L,$C:$C, $AR$2,$G:$G, $Z36,$H:$H, $AB36)</f>
        <v>0</v>
      </c>
    </row>
    <row r="37" spans="2:48" s="10" customFormat="1" ht="13.5" customHeight="1" x14ac:dyDescent="0.25">
      <c r="B37" s="17">
        <v>35</v>
      </c>
      <c r="C37" s="10" t="s">
        <v>136</v>
      </c>
      <c r="D37" s="7" t="s">
        <v>140</v>
      </c>
      <c r="E37" s="72" t="s">
        <v>392</v>
      </c>
      <c r="F37" s="18" t="s">
        <v>393</v>
      </c>
      <c r="G37" s="10">
        <v>3</v>
      </c>
      <c r="H37" s="10">
        <v>3</v>
      </c>
      <c r="I37" s="10">
        <v>74.239999999999995</v>
      </c>
      <c r="J37" s="11">
        <v>75000000</v>
      </c>
      <c r="K37" s="11">
        <f t="shared" si="2"/>
        <v>82500000</v>
      </c>
      <c r="L37" s="37">
        <f t="shared" si="3"/>
        <v>0.75</v>
      </c>
      <c r="M37" s="3" t="s">
        <v>75</v>
      </c>
      <c r="N37" t="s">
        <v>31</v>
      </c>
      <c r="O37" s="21" t="s">
        <v>394</v>
      </c>
      <c r="P37" s="21">
        <v>30</v>
      </c>
      <c r="Q37" s="21" t="s">
        <v>2149</v>
      </c>
      <c r="R37" s="23" t="s">
        <v>395</v>
      </c>
      <c r="S37" s="50" t="s">
        <v>81</v>
      </c>
      <c r="T37" s="260" t="s">
        <v>979</v>
      </c>
      <c r="U37" s="81" t="s">
        <v>151</v>
      </c>
      <c r="V37" s="26" t="s">
        <v>397</v>
      </c>
      <c r="W37" s="200" t="s">
        <v>261</v>
      </c>
      <c r="X37" s="17" t="s">
        <v>272</v>
      </c>
      <c r="Z37">
        <v>6</v>
      </c>
      <c r="AA37" s="416"/>
      <c r="AB37" s="96">
        <v>5</v>
      </c>
      <c r="AC37" s="102"/>
      <c r="AD37" s="41">
        <f t="shared" si="4"/>
        <v>0</v>
      </c>
      <c r="AE37" s="70">
        <f>SUMIFS($I:$I,$C:$C, $AE$2,$G:$G, $Z37,$H:$H, $AB37)</f>
        <v>0</v>
      </c>
      <c r="AF37" s="70">
        <f>SUMIFS($I:$I,$C:$C, $AF$2,$G:$G, $Z37,$H:$H, $AB37)</f>
        <v>0</v>
      </c>
      <c r="AG37" s="70">
        <f>SUMIFS($I:$I,$C:$C, $AG$2,$G:$G, $Z37,$H:$H, $AB37)</f>
        <v>0</v>
      </c>
      <c r="AH37" s="109">
        <f>SUMIFS($I:$I,$C:$C, $AH$2,$G:$G, $Z37,$H:$H, $AB37)</f>
        <v>0</v>
      </c>
      <c r="AI37" s="120">
        <f t="shared" si="5"/>
        <v>0</v>
      </c>
      <c r="AJ37" s="121">
        <f>COUNTIFS($C:$C, $AJ$2,$G:$G, $Z37,$H:$H, $AB37)</f>
        <v>0</v>
      </c>
      <c r="AK37" s="121">
        <f>COUNTIFS($C:$C, $AK$2,$G:$G, $Z37,$H:$H, $AB37)</f>
        <v>0</v>
      </c>
      <c r="AL37" s="121">
        <f>COUNTIFS($C:$C, $AL$2,$G:$G, $Z37,$H:$H, $AB37)</f>
        <v>0</v>
      </c>
      <c r="AM37" s="122">
        <f>COUNTIFS($C:$C, $AM$2,$G:$G, $Z37,$H:$H, $AB37)</f>
        <v>0</v>
      </c>
      <c r="AN37" s="41">
        <f t="shared" si="6"/>
        <v>0</v>
      </c>
      <c r="AO37" s="70">
        <f>SUMIFS($L:$L,$C:$C, $AO$2,$G:$G, $Z37,$H:$H, $AB37)</f>
        <v>0</v>
      </c>
      <c r="AP37" s="70">
        <f>SUMIFS($L:$L,$C:$C, $AP$2,$G:$G, $Z37,$H:$H, $AB37)</f>
        <v>0</v>
      </c>
      <c r="AQ37" s="70">
        <f>SUMIFS($L:$L,$C:$C, $AQ$2,$G:$G, $Z37,$H:$H, $AB37)</f>
        <v>0</v>
      </c>
      <c r="AR37" s="70">
        <f>SUMIFS($L:$L,$C:$C, $AR$2,$G:$G, $Z37,$H:$H, $AB37)</f>
        <v>0</v>
      </c>
      <c r="AT37" s="201" t="s">
        <v>256</v>
      </c>
      <c r="AU37" s="201" t="s">
        <v>257</v>
      </c>
      <c r="AV37" s="201" t="s">
        <v>152</v>
      </c>
    </row>
    <row r="38" spans="2:48" s="10" customFormat="1" ht="13.5" customHeight="1" thickBot="1" x14ac:dyDescent="0.3">
      <c r="B38" s="17">
        <v>36</v>
      </c>
      <c r="C38" s="10" t="s">
        <v>137</v>
      </c>
      <c r="D38" s="7" t="s">
        <v>140</v>
      </c>
      <c r="E38" s="72" t="s">
        <v>250</v>
      </c>
      <c r="F38" s="18" t="s">
        <v>398</v>
      </c>
      <c r="G38" s="10">
        <v>3</v>
      </c>
      <c r="H38" s="10">
        <v>3</v>
      </c>
      <c r="I38" s="10">
        <v>48.64</v>
      </c>
      <c r="J38" s="11">
        <v>58000000</v>
      </c>
      <c r="K38" s="11">
        <f t="shared" si="2"/>
        <v>63800000.000000007</v>
      </c>
      <c r="L38" s="37">
        <f t="shared" si="3"/>
        <v>0.57999999999999996</v>
      </c>
      <c r="M38" s="3" t="s">
        <v>142</v>
      </c>
      <c r="N38" t="s">
        <v>189</v>
      </c>
      <c r="O38" s="21" t="s">
        <v>399</v>
      </c>
      <c r="P38" s="21">
        <v>31</v>
      </c>
      <c r="Q38" s="21" t="s">
        <v>2136</v>
      </c>
      <c r="R38" s="23" t="s">
        <v>400</v>
      </c>
      <c r="S38" s="50" t="s">
        <v>81</v>
      </c>
      <c r="T38" s="48" t="s">
        <v>401</v>
      </c>
      <c r="U38" s="81" t="s">
        <v>197</v>
      </c>
      <c r="V38" s="26" t="s">
        <v>402</v>
      </c>
      <c r="W38" s="200" t="s">
        <v>360</v>
      </c>
      <c r="X38" s="17" t="s">
        <v>279</v>
      </c>
      <c r="Z38">
        <v>6</v>
      </c>
      <c r="AA38" s="417"/>
      <c r="AB38" s="97" t="s">
        <v>3</v>
      </c>
      <c r="AC38" s="103"/>
      <c r="AD38" s="99">
        <f>SUM(AD33:AD37)</f>
        <v>3891.84</v>
      </c>
      <c r="AE38" s="99">
        <f t="shared" ref="AE38" si="85">SUM(AE33:AE37)</f>
        <v>3518.08</v>
      </c>
      <c r="AF38" s="99">
        <f t="shared" ref="AF38" si="86">SUM(AF33:AF37)</f>
        <v>373.76</v>
      </c>
      <c r="AG38" s="99">
        <f t="shared" ref="AG38" si="87">SUM(AG33:AG37)</f>
        <v>0</v>
      </c>
      <c r="AH38" s="110">
        <f t="shared" ref="AH38" si="88">SUM(AH33:AH37)</f>
        <v>0</v>
      </c>
      <c r="AI38" s="123">
        <f t="shared" ref="AI38" si="89">SUM(AI33:AI37)</f>
        <v>14</v>
      </c>
      <c r="AJ38" s="124">
        <f t="shared" ref="AJ38" si="90">SUM(AJ33:AJ37)</f>
        <v>12</v>
      </c>
      <c r="AK38" s="124">
        <f t="shared" ref="AK38" si="91">SUM(AK33:AK37)</f>
        <v>2</v>
      </c>
      <c r="AL38" s="124">
        <f t="shared" ref="AL38" si="92">SUM(AL33:AL37)</f>
        <v>0</v>
      </c>
      <c r="AM38" s="125">
        <f t="shared" ref="AM38" si="93">SUM(AM33:AM37)</f>
        <v>0</v>
      </c>
      <c r="AN38" s="99">
        <f t="shared" ref="AN38" si="94">SUM(AN33:AN37)</f>
        <v>32.840000000000003</v>
      </c>
      <c r="AO38" s="99">
        <f t="shared" ref="AO38" si="95">SUM(AO33:AO37)</f>
        <v>29.1</v>
      </c>
      <c r="AP38" s="99">
        <f t="shared" ref="AP38" si="96">SUM(AP33:AP37)</f>
        <v>3.74</v>
      </c>
      <c r="AQ38" s="99">
        <f t="shared" ref="AQ38" si="97">SUM(AQ33:AQ37)</f>
        <v>0</v>
      </c>
      <c r="AR38" s="99">
        <f t="shared" ref="AR38" si="98">SUM(AR33:AR37)</f>
        <v>0</v>
      </c>
      <c r="AT38" s="202" t="s">
        <v>258</v>
      </c>
      <c r="AU38" s="202">
        <f>SUM('발전사업(A):기타(Z)'!AU25)</f>
        <v>90</v>
      </c>
      <c r="AV38" s="203">
        <f>AU38/$AU$46</f>
        <v>0.29900332225913623</v>
      </c>
    </row>
    <row r="39" spans="2:48" s="10" customFormat="1" ht="13.5" customHeight="1" x14ac:dyDescent="0.25">
      <c r="B39" s="17">
        <v>37</v>
      </c>
      <c r="C39" s="10" t="s">
        <v>136</v>
      </c>
      <c r="D39" s="7" t="s">
        <v>140</v>
      </c>
      <c r="E39" s="72" t="s">
        <v>403</v>
      </c>
      <c r="F39" s="18" t="s">
        <v>404</v>
      </c>
      <c r="G39" s="10">
        <v>3</v>
      </c>
      <c r="H39" s="10">
        <v>3</v>
      </c>
      <c r="I39" s="10">
        <v>288.64</v>
      </c>
      <c r="J39" s="11">
        <v>289000000</v>
      </c>
      <c r="K39" s="11">
        <f t="shared" si="2"/>
        <v>317900000</v>
      </c>
      <c r="L39" s="37">
        <f t="shared" si="3"/>
        <v>2.89</v>
      </c>
      <c r="M39" s="3" t="s">
        <v>405</v>
      </c>
      <c r="N39" t="s">
        <v>319</v>
      </c>
      <c r="O39" s="21" t="s">
        <v>406</v>
      </c>
      <c r="P39" s="21">
        <v>32</v>
      </c>
      <c r="Q39" s="21" t="s">
        <v>2142</v>
      </c>
      <c r="R39" s="23" t="s">
        <v>407</v>
      </c>
      <c r="S39" s="50" t="s">
        <v>81</v>
      </c>
      <c r="T39" s="48" t="s">
        <v>408</v>
      </c>
      <c r="U39" s="81" t="s">
        <v>197</v>
      </c>
      <c r="V39" s="26" t="s">
        <v>331</v>
      </c>
      <c r="W39" s="200" t="s">
        <v>259</v>
      </c>
      <c r="X39" s="17" t="s">
        <v>272</v>
      </c>
      <c r="Z39">
        <v>7</v>
      </c>
      <c r="AA39" s="415">
        <v>7</v>
      </c>
      <c r="AB39" s="94">
        <v>1</v>
      </c>
      <c r="AC39" s="100" t="s">
        <v>118</v>
      </c>
      <c r="AD39" s="41">
        <f t="shared" si="4"/>
        <v>746.24</v>
      </c>
      <c r="AE39" s="70">
        <f>SUMIFS($I:$I,$C:$C, $AE$2,$G:$G, $Z39,$H:$H, $AB39)</f>
        <v>377.6</v>
      </c>
      <c r="AF39" s="70">
        <f>SUMIFS($I:$I,$C:$C, $AF$2,$G:$G, $Z39,$H:$H, $AB39)</f>
        <v>368.64</v>
      </c>
      <c r="AG39" s="70">
        <f>SUMIFS($I:$I,$C:$C, $AG$2,$G:$G, $Z39,$H:$H, $AB39)</f>
        <v>0</v>
      </c>
      <c r="AH39" s="109">
        <f>SUMIFS($I:$I,$C:$C, $AH$2,$G:$G, $Z39,$H:$H, $AB39)</f>
        <v>0</v>
      </c>
      <c r="AI39" s="120">
        <f t="shared" si="5"/>
        <v>2</v>
      </c>
      <c r="AJ39" s="121">
        <f>COUNTIFS($C:$C, $AJ$2,$G:$G, $Z39,$H:$H, $AB39)</f>
        <v>1</v>
      </c>
      <c r="AK39" s="121">
        <f>COUNTIFS($C:$C, $AK$2,$G:$G, $Z39,$H:$H, $AB39)</f>
        <v>1</v>
      </c>
      <c r="AL39" s="121">
        <f>COUNTIFS($C:$C, $AL$2,$G:$G, $Z39,$H:$H, $AB39)</f>
        <v>0</v>
      </c>
      <c r="AM39" s="122">
        <f>COUNTIFS($C:$C, $AM$2,$G:$G, $Z39,$H:$H, $AB39)</f>
        <v>0</v>
      </c>
      <c r="AN39" s="41">
        <f t="shared" si="6"/>
        <v>7.3100000000000005</v>
      </c>
      <c r="AO39" s="70">
        <f>SUMIFS($L:$L,$C:$C, $AO$2,$G:$G, $Z39,$H:$H, $AB39)</f>
        <v>3.7</v>
      </c>
      <c r="AP39" s="70">
        <f>SUMIFS($L:$L,$C:$C, $AP$2,$G:$G, $Z39,$H:$H, $AB39)</f>
        <v>3.61</v>
      </c>
      <c r="AQ39" s="70">
        <f>SUMIFS($L:$L,$C:$C, $AQ$2,$G:$G, $Z39,$H:$H, $AB39)</f>
        <v>0</v>
      </c>
      <c r="AR39" s="70">
        <f>SUMIFS($L:$L,$C:$C, $AR$2,$G:$G, $Z39,$H:$H, $AB39)</f>
        <v>0</v>
      </c>
      <c r="AT39" s="202" t="s">
        <v>259</v>
      </c>
      <c r="AU39" s="202">
        <f>SUM('발전사업(A):기타(Z)'!AU26)</f>
        <v>145</v>
      </c>
      <c r="AV39" s="203">
        <f t="shared" ref="AV39:AV46" si="99">AU39/$AU$46</f>
        <v>0.48172757475083056</v>
      </c>
    </row>
    <row r="40" spans="2:48" s="10" customFormat="1" ht="13.5" customHeight="1" x14ac:dyDescent="0.25">
      <c r="B40" s="17">
        <v>38</v>
      </c>
      <c r="C40" s="10" t="s">
        <v>136</v>
      </c>
      <c r="D40" s="7" t="s">
        <v>140</v>
      </c>
      <c r="E40" s="72" t="s">
        <v>409</v>
      </c>
      <c r="F40" s="18" t="s">
        <v>410</v>
      </c>
      <c r="G40" s="10">
        <v>3</v>
      </c>
      <c r="H40" s="10">
        <v>4</v>
      </c>
      <c r="I40" s="10">
        <v>445.44</v>
      </c>
      <c r="J40" s="11">
        <v>400000000</v>
      </c>
      <c r="K40" s="11">
        <f t="shared" si="2"/>
        <v>440000000.00000006</v>
      </c>
      <c r="L40" s="37">
        <f t="shared" si="3"/>
        <v>4</v>
      </c>
      <c r="M40" s="3" t="s">
        <v>243</v>
      </c>
      <c r="N40" t="s">
        <v>31</v>
      </c>
      <c r="O40" s="21" t="s">
        <v>411</v>
      </c>
      <c r="P40" s="21">
        <v>33</v>
      </c>
      <c r="Q40" s="21" t="s">
        <v>2136</v>
      </c>
      <c r="R40" s="23" t="s">
        <v>412</v>
      </c>
      <c r="S40" s="50" t="s">
        <v>81</v>
      </c>
      <c r="T40" s="48" t="s">
        <v>413</v>
      </c>
      <c r="U40" s="81" t="s">
        <v>85</v>
      </c>
      <c r="V40" s="26" t="s">
        <v>414</v>
      </c>
      <c r="W40" s="200" t="s">
        <v>259</v>
      </c>
      <c r="X40" s="17" t="s">
        <v>272</v>
      </c>
      <c r="Z40">
        <v>7</v>
      </c>
      <c r="AA40" s="416"/>
      <c r="AB40" s="95">
        <v>2</v>
      </c>
      <c r="AC40" s="102" t="s">
        <v>68</v>
      </c>
      <c r="AD40" s="41">
        <f t="shared" si="4"/>
        <v>344.32</v>
      </c>
      <c r="AE40" s="70">
        <f>SUMIFS($I:$I,$C:$C, $AE$2,$G:$G, $Z40,$H:$H, $AB40)</f>
        <v>272.64</v>
      </c>
      <c r="AF40" s="70">
        <f>SUMIFS($I:$I,$C:$C, $AF$2,$G:$G, $Z40,$H:$H, $AB40)</f>
        <v>71.680000000000007</v>
      </c>
      <c r="AG40" s="70">
        <f>SUMIFS($I:$I,$C:$C, $AG$2,$G:$G, $Z40,$H:$H, $AB40)</f>
        <v>0</v>
      </c>
      <c r="AH40" s="109">
        <f>SUMIFS($I:$I,$C:$C, $AH$2,$G:$G, $Z40,$H:$H, $AB40)</f>
        <v>0</v>
      </c>
      <c r="AI40" s="120">
        <f t="shared" si="5"/>
        <v>3</v>
      </c>
      <c r="AJ40" s="121">
        <f>COUNTIFS($C:$C, $AJ$2,$G:$G, $Z40,$H:$H, $AB40)</f>
        <v>2</v>
      </c>
      <c r="AK40" s="121">
        <f>COUNTIFS($C:$C, $AK$2,$G:$G, $Z40,$H:$H, $AB40)</f>
        <v>1</v>
      </c>
      <c r="AL40" s="121">
        <f>COUNTIFS($C:$C, $AL$2,$G:$G, $Z40,$H:$H, $AB40)</f>
        <v>0</v>
      </c>
      <c r="AM40" s="122">
        <f>COUNTIFS($C:$C, $AM$2,$G:$G, $Z40,$H:$H, $AB40)</f>
        <v>0</v>
      </c>
      <c r="AN40" s="41">
        <f t="shared" si="6"/>
        <v>3.22</v>
      </c>
      <c r="AO40" s="70">
        <f>SUMIFS($L:$L,$C:$C, $AO$2,$G:$G, $Z40,$H:$H, $AB40)</f>
        <v>2.4300000000000002</v>
      </c>
      <c r="AP40" s="70">
        <f>SUMIFS($L:$L,$C:$C, $AP$2,$G:$G, $Z40,$H:$H, $AB40)</f>
        <v>0.79</v>
      </c>
      <c r="AQ40" s="70">
        <f>SUMIFS($L:$L,$C:$C, $AQ$2,$G:$G, $Z40,$H:$H, $AB40)</f>
        <v>0</v>
      </c>
      <c r="AR40" s="70">
        <f>SUMIFS($L:$L,$C:$C, $AR$2,$G:$G, $Z40,$H:$H, $AB40)</f>
        <v>0</v>
      </c>
      <c r="AT40" s="202" t="s">
        <v>260</v>
      </c>
      <c r="AU40" s="202">
        <f>SUM('발전사업(A):기타(Z)'!AU27)</f>
        <v>20</v>
      </c>
      <c r="AV40" s="203">
        <f t="shared" si="99"/>
        <v>6.6445182724252497E-2</v>
      </c>
    </row>
    <row r="41" spans="2:48" s="10" customFormat="1" ht="13.5" customHeight="1" x14ac:dyDescent="0.25">
      <c r="B41" s="17">
        <v>39</v>
      </c>
      <c r="C41" s="10" t="s">
        <v>137</v>
      </c>
      <c r="D41" s="7" t="s">
        <v>140</v>
      </c>
      <c r="E41" s="72" t="s">
        <v>288</v>
      </c>
      <c r="F41" s="18" t="s">
        <v>415</v>
      </c>
      <c r="G41" s="10">
        <v>3</v>
      </c>
      <c r="H41" s="10">
        <v>4</v>
      </c>
      <c r="I41" s="10">
        <v>61.44</v>
      </c>
      <c r="J41" s="11">
        <v>64700000</v>
      </c>
      <c r="K41" s="11">
        <f t="shared" si="2"/>
        <v>71170000</v>
      </c>
      <c r="L41" s="37">
        <f t="shared" si="3"/>
        <v>0.64700000000000002</v>
      </c>
      <c r="M41" s="3" t="s">
        <v>193</v>
      </c>
      <c r="N41" t="s">
        <v>189</v>
      </c>
      <c r="O41" s="21" t="s">
        <v>416</v>
      </c>
      <c r="P41" s="21">
        <v>34</v>
      </c>
      <c r="Q41" s="21" t="s">
        <v>2149</v>
      </c>
      <c r="R41" s="23" t="s">
        <v>417</v>
      </c>
      <c r="S41" s="50" t="s">
        <v>81</v>
      </c>
      <c r="T41" s="48" t="s">
        <v>418</v>
      </c>
      <c r="U41" s="81" t="s">
        <v>197</v>
      </c>
      <c r="V41" s="26" t="s">
        <v>365</v>
      </c>
      <c r="W41" s="200" t="s">
        <v>259</v>
      </c>
      <c r="X41" s="17" t="s">
        <v>272</v>
      </c>
      <c r="Z41">
        <v>7</v>
      </c>
      <c r="AA41" s="416"/>
      <c r="AB41" s="95">
        <v>3</v>
      </c>
      <c r="AC41" s="102" t="s">
        <v>69</v>
      </c>
      <c r="AD41" s="41">
        <f t="shared" si="4"/>
        <v>355.84</v>
      </c>
      <c r="AE41" s="70">
        <f>SUMIFS($I:$I,$C:$C, $AE$2,$G:$G, $Z41,$H:$H, $AB41)</f>
        <v>177.92</v>
      </c>
      <c r="AF41" s="70">
        <f>SUMIFS($I:$I,$C:$C, $AF$2,$G:$G, $Z41,$H:$H, $AB41)</f>
        <v>177.92</v>
      </c>
      <c r="AG41" s="70">
        <f>SUMIFS($I:$I,$C:$C, $AG$2,$G:$G, $Z41,$H:$H, $AB41)</f>
        <v>0</v>
      </c>
      <c r="AH41" s="109">
        <f>SUMIFS($I:$I,$C:$C, $AH$2,$G:$G, $Z41,$H:$H, $AB41)</f>
        <v>0</v>
      </c>
      <c r="AI41" s="120">
        <f t="shared" si="5"/>
        <v>3</v>
      </c>
      <c r="AJ41" s="121">
        <f>COUNTIFS($C:$C, $AJ$2,$G:$G, $Z41,$H:$H, $AB41)</f>
        <v>2</v>
      </c>
      <c r="AK41" s="121">
        <f>COUNTIFS($C:$C, $AK$2,$G:$G, $Z41,$H:$H, $AB41)</f>
        <v>1</v>
      </c>
      <c r="AL41" s="121">
        <f>COUNTIFS($C:$C, $AL$2,$G:$G, $Z41,$H:$H, $AB41)</f>
        <v>0</v>
      </c>
      <c r="AM41" s="122">
        <f>COUNTIFS($C:$C, $AM$2,$G:$G, $Z41,$H:$H, $AB41)</f>
        <v>0</v>
      </c>
      <c r="AN41" s="41">
        <f t="shared" si="6"/>
        <v>4.0199999999999996</v>
      </c>
      <c r="AO41" s="70">
        <f>SUMIFS($L:$L,$C:$C, $AO$2,$G:$G, $Z41,$H:$H, $AB41)</f>
        <v>2.42</v>
      </c>
      <c r="AP41" s="70">
        <f>SUMIFS($L:$L,$C:$C, $AP$2,$G:$G, $Z41,$H:$H, $AB41)</f>
        <v>1.6</v>
      </c>
      <c r="AQ41" s="70">
        <f>SUMIFS($L:$L,$C:$C, $AQ$2,$G:$G, $Z41,$H:$H, $AB41)</f>
        <v>0</v>
      </c>
      <c r="AR41" s="70">
        <f>SUMIFS($L:$L,$C:$C, $AR$2,$G:$G, $Z41,$H:$H, $AB41)</f>
        <v>0</v>
      </c>
      <c r="AT41" s="202" t="s">
        <v>261</v>
      </c>
      <c r="AU41" s="202">
        <f>SUM('발전사업(A):기타(Z)'!AU28)</f>
        <v>12</v>
      </c>
      <c r="AV41" s="203">
        <f t="shared" si="99"/>
        <v>3.9867109634551492E-2</v>
      </c>
    </row>
    <row r="42" spans="2:48" s="10" customFormat="1" ht="13.5" customHeight="1" x14ac:dyDescent="0.25">
      <c r="B42" s="17">
        <v>40</v>
      </c>
      <c r="C42" s="10" t="s">
        <v>136</v>
      </c>
      <c r="D42" s="7" t="s">
        <v>140</v>
      </c>
      <c r="E42" s="72" t="s">
        <v>419</v>
      </c>
      <c r="F42" s="18" t="s">
        <v>420</v>
      </c>
      <c r="G42" s="10">
        <v>4</v>
      </c>
      <c r="H42" s="10">
        <v>1</v>
      </c>
      <c r="I42" s="10">
        <v>143.36000000000001</v>
      </c>
      <c r="J42" s="11">
        <v>149000000</v>
      </c>
      <c r="K42" s="11">
        <f t="shared" si="2"/>
        <v>163900000</v>
      </c>
      <c r="L42" s="37">
        <f t="shared" si="3"/>
        <v>1.49</v>
      </c>
      <c r="M42" s="3" t="s">
        <v>75</v>
      </c>
      <c r="N42" t="s">
        <v>31</v>
      </c>
      <c r="O42" s="21" t="s">
        <v>421</v>
      </c>
      <c r="P42" s="21">
        <v>35</v>
      </c>
      <c r="Q42" s="21" t="s">
        <v>2149</v>
      </c>
      <c r="R42" s="23" t="s">
        <v>422</v>
      </c>
      <c r="S42" s="50" t="s">
        <v>81</v>
      </c>
      <c r="T42" s="48" t="s">
        <v>423</v>
      </c>
      <c r="U42" s="81" t="s">
        <v>150</v>
      </c>
      <c r="V42" s="26" t="s">
        <v>316</v>
      </c>
      <c r="W42" s="200" t="s">
        <v>261</v>
      </c>
      <c r="X42" s="17" t="s">
        <v>272</v>
      </c>
      <c r="Z42">
        <v>7</v>
      </c>
      <c r="AA42" s="416"/>
      <c r="AB42" s="95">
        <v>4</v>
      </c>
      <c r="AC42" s="102" t="s">
        <v>70</v>
      </c>
      <c r="AD42" s="41">
        <f t="shared" si="4"/>
        <v>3342.7200000000003</v>
      </c>
      <c r="AE42" s="70">
        <f>SUMIFS($I:$I,$C:$C, $AE$2,$G:$G, $Z42,$H:$H, $AB42)</f>
        <v>2747.52</v>
      </c>
      <c r="AF42" s="70">
        <f>SUMIFS($I:$I,$C:$C, $AF$2,$G:$G, $Z42,$H:$H, $AB42)</f>
        <v>595.20000000000005</v>
      </c>
      <c r="AG42" s="70">
        <f>SUMIFS($I:$I,$C:$C, $AG$2,$G:$G, $Z42,$H:$H, $AB42)</f>
        <v>0</v>
      </c>
      <c r="AH42" s="109">
        <f>SUMIFS($I:$I,$C:$C, $AH$2,$G:$G, $Z42,$H:$H, $AB42)</f>
        <v>0</v>
      </c>
      <c r="AI42" s="120">
        <f t="shared" si="5"/>
        <v>9</v>
      </c>
      <c r="AJ42" s="121">
        <f>COUNTIFS($C:$C, $AJ$2,$G:$G, $Z42,$H:$H, $AB42)</f>
        <v>7</v>
      </c>
      <c r="AK42" s="121">
        <f>COUNTIFS($C:$C, $AK$2,$G:$G, $Z42,$H:$H, $AB42)</f>
        <v>2</v>
      </c>
      <c r="AL42" s="121">
        <f>COUNTIFS($C:$C, $AL$2,$G:$G, $Z42,$H:$H, $AB42)</f>
        <v>0</v>
      </c>
      <c r="AM42" s="122">
        <f>COUNTIFS($C:$C, $AM$2,$G:$G, $Z42,$H:$H, $AB42)</f>
        <v>0</v>
      </c>
      <c r="AN42" s="41">
        <f t="shared" si="6"/>
        <v>26.57</v>
      </c>
      <c r="AO42" s="70">
        <f>SUMIFS($L:$L,$C:$C, $AO$2,$G:$G, $Z42,$H:$H, $AB42)</f>
        <v>20.94</v>
      </c>
      <c r="AP42" s="70">
        <f>SUMIFS($L:$L,$C:$C, $AP$2,$G:$G, $Z42,$H:$H, $AB42)</f>
        <v>5.63</v>
      </c>
      <c r="AQ42" s="70">
        <f>SUMIFS($L:$L,$C:$C, $AQ$2,$G:$G, $Z42,$H:$H, $AB42)</f>
        <v>0</v>
      </c>
      <c r="AR42" s="70">
        <f>SUMIFS($L:$L,$C:$C, $AR$2,$G:$G, $Z42,$H:$H, $AB42)</f>
        <v>0</v>
      </c>
      <c r="AT42" s="202" t="s">
        <v>262</v>
      </c>
      <c r="AU42" s="202">
        <f>SUM('발전사업(A):기타(Z)'!AU29)</f>
        <v>22</v>
      </c>
      <c r="AV42" s="203">
        <f t="shared" si="99"/>
        <v>7.3089700996677748E-2</v>
      </c>
    </row>
    <row r="43" spans="2:48" x14ac:dyDescent="0.25">
      <c r="B43" s="17">
        <v>41</v>
      </c>
      <c r="C43" s="10" t="s">
        <v>136</v>
      </c>
      <c r="D43" s="7" t="s">
        <v>140</v>
      </c>
      <c r="E43" s="72" t="s">
        <v>433</v>
      </c>
      <c r="F43" s="18" t="s">
        <v>434</v>
      </c>
      <c r="G43" s="10">
        <v>4</v>
      </c>
      <c r="H43" s="10">
        <v>1</v>
      </c>
      <c r="I43" s="10">
        <v>122.88</v>
      </c>
      <c r="J43" s="11">
        <v>114000000</v>
      </c>
      <c r="K43" s="11">
        <f t="shared" si="2"/>
        <v>125400000.00000001</v>
      </c>
      <c r="L43" s="37">
        <f t="shared" si="3"/>
        <v>1.1400000000000001</v>
      </c>
      <c r="M43" s="3" t="s">
        <v>75</v>
      </c>
      <c r="N43" t="s">
        <v>319</v>
      </c>
      <c r="O43" s="21" t="s">
        <v>424</v>
      </c>
      <c r="P43" s="21">
        <v>36</v>
      </c>
      <c r="Q43" s="21" t="s">
        <v>2132</v>
      </c>
      <c r="R43" s="23" t="s">
        <v>425</v>
      </c>
      <c r="S43" s="50" t="s">
        <v>81</v>
      </c>
      <c r="T43" s="48" t="s">
        <v>426</v>
      </c>
      <c r="U43" s="82" t="s">
        <v>85</v>
      </c>
      <c r="V43" s="32" t="s">
        <v>427</v>
      </c>
      <c r="W43" s="200" t="s">
        <v>259</v>
      </c>
      <c r="X43" s="17" t="s">
        <v>272</v>
      </c>
      <c r="Z43">
        <v>7</v>
      </c>
      <c r="AA43" s="416"/>
      <c r="AB43" s="96">
        <v>5</v>
      </c>
      <c r="AC43" s="105" t="s">
        <v>119</v>
      </c>
      <c r="AD43" s="41">
        <f t="shared" si="4"/>
        <v>0</v>
      </c>
      <c r="AE43" s="70">
        <f>SUMIFS($I:$I,$C:$C, $AE$2,$G:$G, $Z43,$H:$H, $AB43)</f>
        <v>0</v>
      </c>
      <c r="AF43" s="70">
        <f>SUMIFS($I:$I,$C:$C, $AF$2,$G:$G, $Z43,$H:$H, $AB43)</f>
        <v>0</v>
      </c>
      <c r="AG43" s="70">
        <f>SUMIFS($I:$I,$C:$C, $AG$2,$G:$G, $Z43,$H:$H, $AB43)</f>
        <v>0</v>
      </c>
      <c r="AH43" s="109">
        <f>SUMIFS($I:$I,$C:$C, $AH$2,$G:$G, $Z43,$H:$H, $AB43)</f>
        <v>0</v>
      </c>
      <c r="AI43" s="120">
        <f t="shared" si="5"/>
        <v>0</v>
      </c>
      <c r="AJ43" s="121">
        <f>COUNTIFS($C:$C, $AJ$2,$G:$G, $Z43,$H:$H, $AB43)</f>
        <v>0</v>
      </c>
      <c r="AK43" s="121">
        <f>COUNTIFS($C:$C, $AK$2,$G:$G, $Z43,$H:$H, $AB43)</f>
        <v>0</v>
      </c>
      <c r="AL43" s="121">
        <f>COUNTIFS($C:$C, $AL$2,$G:$G, $Z43,$H:$H, $AB43)</f>
        <v>0</v>
      </c>
      <c r="AM43" s="122">
        <f>COUNTIFS($C:$C, $AM$2,$G:$G, $Z43,$H:$H, $AB43)</f>
        <v>0</v>
      </c>
      <c r="AN43" s="41">
        <f t="shared" si="6"/>
        <v>0</v>
      </c>
      <c r="AO43" s="70">
        <f>SUMIFS($L:$L,$C:$C, $AO$2,$G:$G, $Z43,$H:$H, $AB43)</f>
        <v>0</v>
      </c>
      <c r="AP43" s="70">
        <f>SUMIFS($L:$L,$C:$C, $AP$2,$G:$G, $Z43,$H:$H, $AB43)</f>
        <v>0</v>
      </c>
      <c r="AQ43" s="70">
        <f>SUMIFS($L:$L,$C:$C, $AQ$2,$G:$G, $Z43,$H:$H, $AB43)</f>
        <v>0</v>
      </c>
      <c r="AR43" s="70">
        <f>SUMIFS($L:$L,$C:$C, $AR$2,$G:$G, $Z43,$H:$H, $AB43)</f>
        <v>0</v>
      </c>
      <c r="AT43" s="202" t="s">
        <v>263</v>
      </c>
      <c r="AU43" s="202">
        <f>SUM('발전사업(A):기타(Z)'!AU30)</f>
        <v>3</v>
      </c>
      <c r="AV43" s="203">
        <f t="shared" si="99"/>
        <v>9.9667774086378731E-3</v>
      </c>
    </row>
    <row r="44" spans="2:48" ht="14.25" thickBot="1" x14ac:dyDescent="0.3">
      <c r="B44" s="17">
        <v>42</v>
      </c>
      <c r="C44" s="10" t="s">
        <v>136</v>
      </c>
      <c r="D44" s="7" t="s">
        <v>140</v>
      </c>
      <c r="E44" s="72" t="s">
        <v>428</v>
      </c>
      <c r="F44" s="18" t="s">
        <v>429</v>
      </c>
      <c r="G44" s="10">
        <v>4</v>
      </c>
      <c r="H44" s="10">
        <v>1</v>
      </c>
      <c r="I44" s="10">
        <v>229.76</v>
      </c>
      <c r="J44" s="11">
        <v>234000000</v>
      </c>
      <c r="K44" s="11">
        <f t="shared" si="2"/>
        <v>257400000.00000003</v>
      </c>
      <c r="L44" s="37">
        <f t="shared" si="3"/>
        <v>2.34</v>
      </c>
      <c r="M44" s="3" t="s">
        <v>243</v>
      </c>
      <c r="N44" t="s">
        <v>31</v>
      </c>
      <c r="O44" s="21" t="s">
        <v>430</v>
      </c>
      <c r="P44" s="21">
        <v>37</v>
      </c>
      <c r="Q44" s="21" t="s">
        <v>2149</v>
      </c>
      <c r="R44" s="23" t="s">
        <v>431</v>
      </c>
      <c r="S44" s="50" t="s">
        <v>81</v>
      </c>
      <c r="T44" s="48" t="s">
        <v>432</v>
      </c>
      <c r="U44" s="82" t="s">
        <v>150</v>
      </c>
      <c r="V44" s="32" t="s">
        <v>316</v>
      </c>
      <c r="W44" s="200" t="s">
        <v>350</v>
      </c>
      <c r="X44" s="17" t="s">
        <v>279</v>
      </c>
      <c r="Z44">
        <v>7</v>
      </c>
      <c r="AA44" s="417"/>
      <c r="AB44" s="97" t="s">
        <v>3</v>
      </c>
      <c r="AC44" s="106"/>
      <c r="AD44" s="99">
        <f>SUM(AD39:AD43)</f>
        <v>4789.12</v>
      </c>
      <c r="AE44" s="99">
        <f t="shared" ref="AE44" si="100">SUM(AE39:AE43)</f>
        <v>3575.68</v>
      </c>
      <c r="AF44" s="99">
        <f t="shared" ref="AF44" si="101">SUM(AF39:AF43)</f>
        <v>1213.44</v>
      </c>
      <c r="AG44" s="99">
        <f t="shared" ref="AG44" si="102">SUM(AG39:AG43)</f>
        <v>0</v>
      </c>
      <c r="AH44" s="110">
        <f t="shared" ref="AH44" si="103">SUM(AH39:AH43)</f>
        <v>0</v>
      </c>
      <c r="AI44" s="123">
        <f t="shared" ref="AI44" si="104">SUM(AI39:AI43)</f>
        <v>17</v>
      </c>
      <c r="AJ44" s="124">
        <f t="shared" ref="AJ44" si="105">SUM(AJ39:AJ43)</f>
        <v>12</v>
      </c>
      <c r="AK44" s="124">
        <f t="shared" ref="AK44" si="106">SUM(AK39:AK43)</f>
        <v>5</v>
      </c>
      <c r="AL44" s="124">
        <f t="shared" ref="AL44" si="107">SUM(AL39:AL43)</f>
        <v>0</v>
      </c>
      <c r="AM44" s="125">
        <f t="shared" ref="AM44" si="108">SUM(AM39:AM43)</f>
        <v>0</v>
      </c>
      <c r="AN44" s="99">
        <f t="shared" ref="AN44" si="109">SUM(AN39:AN43)</f>
        <v>41.120000000000005</v>
      </c>
      <c r="AO44" s="99">
        <f t="shared" ref="AO44" si="110">SUM(AO39:AO43)</f>
        <v>29.490000000000002</v>
      </c>
      <c r="AP44" s="99">
        <f t="shared" ref="AP44" si="111">SUM(AP39:AP43)</f>
        <v>11.629999999999999</v>
      </c>
      <c r="AQ44" s="99">
        <f t="shared" ref="AQ44" si="112">SUM(AQ39:AQ43)</f>
        <v>0</v>
      </c>
      <c r="AR44" s="99">
        <f t="shared" ref="AR44" si="113">SUM(AR39:AR43)</f>
        <v>0</v>
      </c>
      <c r="AT44" s="202" t="s">
        <v>264</v>
      </c>
      <c r="AU44" s="202">
        <f>SUM('발전사업(A):기타(Z)'!AU31)</f>
        <v>4</v>
      </c>
      <c r="AV44" s="203">
        <f t="shared" si="99"/>
        <v>1.3289036544850499E-2</v>
      </c>
    </row>
    <row r="45" spans="2:48" x14ac:dyDescent="0.25">
      <c r="B45" s="17">
        <v>43</v>
      </c>
      <c r="C45" s="10" t="s">
        <v>136</v>
      </c>
      <c r="D45" s="7" t="s">
        <v>229</v>
      </c>
      <c r="E45" s="72" t="s">
        <v>435</v>
      </c>
      <c r="F45" s="18" t="s">
        <v>436</v>
      </c>
      <c r="G45" s="10">
        <v>4</v>
      </c>
      <c r="H45" s="10">
        <v>1</v>
      </c>
      <c r="I45" s="10">
        <v>184.32</v>
      </c>
      <c r="J45" s="11">
        <v>200000000</v>
      </c>
      <c r="K45" s="11">
        <f t="shared" si="2"/>
        <v>220000000.00000003</v>
      </c>
      <c r="L45" s="37">
        <f t="shared" si="3"/>
        <v>2</v>
      </c>
      <c r="M45" s="3" t="s">
        <v>327</v>
      </c>
      <c r="N45" t="s">
        <v>30</v>
      </c>
      <c r="O45" s="21" t="s">
        <v>437</v>
      </c>
      <c r="P45" s="21">
        <v>38</v>
      </c>
      <c r="Q45" s="21" t="s">
        <v>2149</v>
      </c>
      <c r="R45" s="23" t="s">
        <v>438</v>
      </c>
      <c r="S45" s="50" t="s">
        <v>81</v>
      </c>
      <c r="T45" s="48" t="s">
        <v>439</v>
      </c>
      <c r="U45" s="82" t="s">
        <v>197</v>
      </c>
      <c r="V45" s="32" t="s">
        <v>331</v>
      </c>
      <c r="W45" s="200" t="s">
        <v>350</v>
      </c>
      <c r="X45" s="17" t="s">
        <v>279</v>
      </c>
      <c r="Z45">
        <v>8</v>
      </c>
      <c r="AA45" s="415">
        <v>8</v>
      </c>
      <c r="AB45" s="94">
        <v>1</v>
      </c>
      <c r="AC45" s="100" t="s">
        <v>120</v>
      </c>
      <c r="AD45" s="41">
        <f t="shared" si="4"/>
        <v>1749.12</v>
      </c>
      <c r="AE45" s="70">
        <f>SUMIFS($I:$I,$C:$C, $AE$2,$G:$G, $Z45,$H:$H, $AB45)</f>
        <v>1230.72</v>
      </c>
      <c r="AF45" s="70">
        <f>SUMIFS($I:$I,$C:$C, $AF$2,$G:$G, $Z45,$H:$H, $AB45)</f>
        <v>518.4</v>
      </c>
      <c r="AG45" s="70">
        <f>SUMIFS($I:$I,$C:$C, $AG$2,$G:$G, $Z45,$H:$H, $AB45)</f>
        <v>0</v>
      </c>
      <c r="AH45" s="109">
        <f>SUMIFS($I:$I,$C:$C, $AH$2,$G:$G, $Z45,$H:$H, $AB45)</f>
        <v>0</v>
      </c>
      <c r="AI45" s="120">
        <f t="shared" si="5"/>
        <v>6</v>
      </c>
      <c r="AJ45" s="121">
        <f>COUNTIFS($C:$C, $AJ$2,$G:$G, $Z45,$H:$H, $AB45)</f>
        <v>4</v>
      </c>
      <c r="AK45" s="121">
        <f>COUNTIFS($C:$C, $AK$2,$G:$G, $Z45,$H:$H, $AB45)</f>
        <v>2</v>
      </c>
      <c r="AL45" s="121">
        <f>COUNTIFS($C:$C, $AL$2,$G:$G, $Z45,$H:$H, $AB45)</f>
        <v>0</v>
      </c>
      <c r="AM45" s="122">
        <f>COUNTIFS($C:$C, $AM$2,$G:$G, $Z45,$H:$H, $AB45)</f>
        <v>0</v>
      </c>
      <c r="AN45" s="41">
        <f t="shared" si="6"/>
        <v>16.884</v>
      </c>
      <c r="AO45" s="70">
        <f>SUMIFS($L:$L,$C:$C, $AO$2,$G:$G, $Z45,$H:$H, $AB45)</f>
        <v>11.894</v>
      </c>
      <c r="AP45" s="70">
        <f>SUMIFS($L:$L,$C:$C, $AP$2,$G:$G, $Z45,$H:$H, $AB45)</f>
        <v>4.99</v>
      </c>
      <c r="AQ45" s="70">
        <f>SUMIFS($L:$L,$C:$C, $AQ$2,$G:$G, $Z45,$H:$H, $AB45)</f>
        <v>0</v>
      </c>
      <c r="AR45" s="70">
        <f>SUMIFS($L:$L,$C:$C, $AR$2,$G:$G, $Z45,$H:$H, $AB45)</f>
        <v>0</v>
      </c>
      <c r="AT45" s="202" t="s">
        <v>265</v>
      </c>
      <c r="AU45" s="202">
        <f>SUM('발전사업(A):기타(Z)'!AU32)</f>
        <v>5</v>
      </c>
      <c r="AV45" s="203">
        <f t="shared" si="99"/>
        <v>1.6611295681063124E-2</v>
      </c>
    </row>
    <row r="46" spans="2:48" x14ac:dyDescent="0.25">
      <c r="B46" s="17">
        <v>44</v>
      </c>
      <c r="C46" s="10" t="s">
        <v>136</v>
      </c>
      <c r="D46" s="7" t="s">
        <v>229</v>
      </c>
      <c r="E46" s="72" t="s">
        <v>440</v>
      </c>
      <c r="F46" s="18" t="s">
        <v>444</v>
      </c>
      <c r="G46" s="10">
        <v>4</v>
      </c>
      <c r="H46" s="10">
        <v>2</v>
      </c>
      <c r="I46" s="10">
        <v>163.84</v>
      </c>
      <c r="J46" s="11">
        <v>155000000</v>
      </c>
      <c r="K46" s="11">
        <f t="shared" si="2"/>
        <v>170500000</v>
      </c>
      <c r="L46" s="37">
        <f t="shared" si="3"/>
        <v>1.55</v>
      </c>
      <c r="M46" s="3" t="s">
        <v>190</v>
      </c>
      <c r="N46" t="s">
        <v>31</v>
      </c>
      <c r="O46" s="21" t="s">
        <v>446</v>
      </c>
      <c r="P46" s="21">
        <v>39</v>
      </c>
      <c r="Q46" s="21" t="s">
        <v>2149</v>
      </c>
      <c r="R46" s="23" t="s">
        <v>450</v>
      </c>
      <c r="S46" s="50" t="s">
        <v>81</v>
      </c>
      <c r="T46" s="48" t="s">
        <v>454</v>
      </c>
      <c r="U46" s="82" t="s">
        <v>197</v>
      </c>
      <c r="V46" s="26"/>
      <c r="W46" s="200" t="s">
        <v>259</v>
      </c>
      <c r="X46" s="17" t="s">
        <v>272</v>
      </c>
      <c r="Z46">
        <v>8</v>
      </c>
      <c r="AA46" s="416"/>
      <c r="AB46" s="95">
        <v>2</v>
      </c>
      <c r="AC46" s="102" t="s">
        <v>121</v>
      </c>
      <c r="AD46" s="41">
        <f t="shared" si="4"/>
        <v>1622.7750000000001</v>
      </c>
      <c r="AE46" s="70">
        <f>SUMIFS($I:$I,$C:$C, $AE$2,$G:$G, $Z46,$H:$H, $AB46)</f>
        <v>1421.8150000000001</v>
      </c>
      <c r="AF46" s="70">
        <f>SUMIFS($I:$I,$C:$C, $AF$2,$G:$G, $Z46,$H:$H, $AB46)</f>
        <v>200.96</v>
      </c>
      <c r="AG46" s="70">
        <f>SUMIFS($I:$I,$C:$C, $AG$2,$G:$G, $Z46,$H:$H, $AB46)</f>
        <v>0</v>
      </c>
      <c r="AH46" s="109">
        <f>SUMIFS($I:$I,$C:$C, $AH$2,$G:$G, $Z46,$H:$H, $AB46)</f>
        <v>0</v>
      </c>
      <c r="AI46" s="120">
        <f t="shared" si="5"/>
        <v>7</v>
      </c>
      <c r="AJ46" s="121">
        <f>COUNTIFS($C:$C, $AJ$2,$G:$G, $Z46,$H:$H, $AB46)</f>
        <v>5</v>
      </c>
      <c r="AK46" s="121">
        <f>COUNTIFS($C:$C, $AK$2,$G:$G, $Z46,$H:$H, $AB46)</f>
        <v>2</v>
      </c>
      <c r="AL46" s="121">
        <f>COUNTIFS($C:$C, $AL$2,$G:$G, $Z46,$H:$H, $AB46)</f>
        <v>0</v>
      </c>
      <c r="AM46" s="122">
        <f>COUNTIFS($C:$C, $AM$2,$G:$G, $Z46,$H:$H, $AB46)</f>
        <v>0</v>
      </c>
      <c r="AN46" s="41">
        <f t="shared" si="6"/>
        <v>15.510000000000002</v>
      </c>
      <c r="AO46" s="70">
        <f>SUMIFS($L:$L,$C:$C, $AO$2,$G:$G, $Z46,$H:$H, $AB46)</f>
        <v>13.200000000000001</v>
      </c>
      <c r="AP46" s="70">
        <f>SUMIFS($L:$L,$C:$C, $AP$2,$G:$G, $Z46,$H:$H, $AB46)</f>
        <v>2.31</v>
      </c>
      <c r="AQ46" s="70">
        <f>SUMIFS($L:$L,$C:$C, $AQ$2,$G:$G, $Z46,$H:$H, $AB46)</f>
        <v>0</v>
      </c>
      <c r="AR46" s="70">
        <f>SUMIFS($L:$L,$C:$C, $AR$2,$G:$G, $Z46,$H:$H, $AB46)</f>
        <v>0</v>
      </c>
      <c r="AT46" s="201" t="s">
        <v>266</v>
      </c>
      <c r="AU46" s="201">
        <f>SUM(AU38:AU45)</f>
        <v>301</v>
      </c>
      <c r="AV46" s="204">
        <f t="shared" si="99"/>
        <v>1</v>
      </c>
    </row>
    <row r="47" spans="2:48" x14ac:dyDescent="0.25">
      <c r="B47" s="17">
        <v>45</v>
      </c>
      <c r="C47" s="10" t="s">
        <v>136</v>
      </c>
      <c r="D47" s="7" t="s">
        <v>229</v>
      </c>
      <c r="E47" s="72" t="s">
        <v>441</v>
      </c>
      <c r="F47" s="18" t="s">
        <v>445</v>
      </c>
      <c r="G47" s="10">
        <v>4</v>
      </c>
      <c r="H47" s="10">
        <v>2</v>
      </c>
      <c r="I47" s="10">
        <v>42.24</v>
      </c>
      <c r="J47" s="11">
        <v>45000000</v>
      </c>
      <c r="K47" s="11">
        <f t="shared" si="2"/>
        <v>49500000.000000007</v>
      </c>
      <c r="L47" s="37">
        <f t="shared" si="3"/>
        <v>0.45</v>
      </c>
      <c r="M47" s="3" t="s">
        <v>190</v>
      </c>
      <c r="N47" t="s">
        <v>31</v>
      </c>
      <c r="O47" s="21" t="s">
        <v>447</v>
      </c>
      <c r="P47" s="21">
        <v>40</v>
      </c>
      <c r="Q47" s="21" t="s">
        <v>2137</v>
      </c>
      <c r="R47" s="23" t="s">
        <v>451</v>
      </c>
      <c r="S47" s="50" t="s">
        <v>81</v>
      </c>
      <c r="T47" s="48" t="s">
        <v>455</v>
      </c>
      <c r="U47" s="82" t="s">
        <v>85</v>
      </c>
      <c r="V47" s="26" t="s">
        <v>456</v>
      </c>
      <c r="W47" s="200" t="s">
        <v>258</v>
      </c>
      <c r="X47" s="17" t="s">
        <v>272</v>
      </c>
      <c r="Z47">
        <v>8</v>
      </c>
      <c r="AA47" s="416"/>
      <c r="AB47" s="95">
        <v>3</v>
      </c>
      <c r="AC47" s="102" t="s">
        <v>122</v>
      </c>
      <c r="AD47" s="41">
        <f t="shared" si="4"/>
        <v>2235.52</v>
      </c>
      <c r="AE47" s="70">
        <f>SUMIFS($I:$I,$C:$C, $AE$2,$G:$G, $Z47,$H:$H, $AB47)</f>
        <v>782.08</v>
      </c>
      <c r="AF47" s="70">
        <f>SUMIFS($I:$I,$C:$C, $AF$2,$G:$G, $Z47,$H:$H, $AB47)</f>
        <v>732.16</v>
      </c>
      <c r="AG47" s="70">
        <f>SUMIFS($I:$I,$C:$C, $AG$2,$G:$G, $Z47,$H:$H, $AB47)</f>
        <v>721.28</v>
      </c>
      <c r="AH47" s="109">
        <f>SUMIFS($I:$I,$C:$C, $AH$2,$G:$G, $Z47,$H:$H, $AB47)</f>
        <v>0</v>
      </c>
      <c r="AI47" s="120">
        <f t="shared" si="5"/>
        <v>5</v>
      </c>
      <c r="AJ47" s="121">
        <f>COUNTIFS($C:$C, $AJ$2,$G:$G, $Z47,$H:$H, $AB47)</f>
        <v>3</v>
      </c>
      <c r="AK47" s="121">
        <f>COUNTIFS($C:$C, $AK$2,$G:$G, $Z47,$H:$H, $AB47)</f>
        <v>1</v>
      </c>
      <c r="AL47" s="121">
        <f>COUNTIFS($C:$C, $AL$2,$G:$G, $Z47,$H:$H, $AB47)</f>
        <v>1</v>
      </c>
      <c r="AM47" s="122">
        <f>COUNTIFS($C:$C, $AM$2,$G:$G, $Z47,$H:$H, $AB47)</f>
        <v>0</v>
      </c>
      <c r="AN47" s="41">
        <f t="shared" si="6"/>
        <v>20.079999999999998</v>
      </c>
      <c r="AO47" s="70">
        <f>SUMIFS($L:$L,$C:$C, $AO$2,$G:$G, $Z47,$H:$H, $AB47)</f>
        <v>6.88</v>
      </c>
      <c r="AP47" s="70">
        <f>SUMIFS($L:$L,$C:$C, $AP$2,$G:$G, $Z47,$H:$H, $AB47)</f>
        <v>7.3</v>
      </c>
      <c r="AQ47" s="70">
        <f>SUMIFS($L:$L,$C:$C, $AQ$2,$G:$G, $Z47,$H:$H, $AB47)</f>
        <v>5.9</v>
      </c>
      <c r="AR47" s="70">
        <f>SUMIFS($L:$L,$C:$C, $AR$2,$G:$G, $Z47,$H:$H, $AB47)</f>
        <v>0</v>
      </c>
    </row>
    <row r="48" spans="2:48" x14ac:dyDescent="0.25">
      <c r="B48" s="17">
        <v>46</v>
      </c>
      <c r="C48" s="10" t="s">
        <v>136</v>
      </c>
      <c r="D48" s="7" t="s">
        <v>229</v>
      </c>
      <c r="E48" s="72" t="s">
        <v>442</v>
      </c>
      <c r="F48" s="18" t="s">
        <v>445</v>
      </c>
      <c r="G48" s="10">
        <v>4</v>
      </c>
      <c r="H48" s="10">
        <v>2</v>
      </c>
      <c r="I48" s="10">
        <v>131.84</v>
      </c>
      <c r="J48" s="11">
        <v>130000000</v>
      </c>
      <c r="K48" s="11">
        <f t="shared" si="2"/>
        <v>143000000</v>
      </c>
      <c r="L48" s="37">
        <f t="shared" si="3"/>
        <v>1.3</v>
      </c>
      <c r="M48" s="3" t="s">
        <v>75</v>
      </c>
      <c r="N48" t="s">
        <v>31</v>
      </c>
      <c r="O48" s="21" t="s">
        <v>448</v>
      </c>
      <c r="P48" s="21">
        <v>41</v>
      </c>
      <c r="Q48" s="21" t="s">
        <v>2149</v>
      </c>
      <c r="R48" s="23" t="s">
        <v>452</v>
      </c>
      <c r="S48" s="50" t="s">
        <v>81</v>
      </c>
      <c r="T48" s="48" t="s">
        <v>459</v>
      </c>
      <c r="U48" s="82" t="s">
        <v>85</v>
      </c>
      <c r="V48" s="26" t="s">
        <v>457</v>
      </c>
      <c r="W48" s="200" t="s">
        <v>258</v>
      </c>
      <c r="X48" s="17" t="s">
        <v>272</v>
      </c>
      <c r="Z48">
        <v>8</v>
      </c>
      <c r="AA48" s="416"/>
      <c r="AB48" s="95">
        <v>4</v>
      </c>
      <c r="AC48" s="102" t="s">
        <v>123</v>
      </c>
      <c r="AD48" s="41">
        <f t="shared" si="4"/>
        <v>1440</v>
      </c>
      <c r="AE48" s="70">
        <f>SUMIFS($I:$I,$C:$C, $AE$2,$G:$G, $Z48,$H:$H, $AB48)</f>
        <v>909.44</v>
      </c>
      <c r="AF48" s="70">
        <f>SUMIFS($I:$I,$C:$C, $AF$2,$G:$G, $Z48,$H:$H, $AB48)</f>
        <v>530.55999999999995</v>
      </c>
      <c r="AG48" s="70">
        <f>SUMIFS($I:$I,$C:$C, $AG$2,$G:$G, $Z48,$H:$H, $AB48)</f>
        <v>0</v>
      </c>
      <c r="AH48" s="109">
        <f>SUMIFS($I:$I,$C:$C, $AH$2,$G:$G, $Z48,$H:$H, $AB48)</f>
        <v>0</v>
      </c>
      <c r="AI48" s="120">
        <f t="shared" si="5"/>
        <v>5</v>
      </c>
      <c r="AJ48" s="121">
        <f>COUNTIFS($C:$C, $AJ$2,$G:$G, $Z48,$H:$H, $AB48)</f>
        <v>3</v>
      </c>
      <c r="AK48" s="121">
        <f>COUNTIFS($C:$C, $AK$2,$G:$G, $Z48,$H:$H, $AB48)</f>
        <v>2</v>
      </c>
      <c r="AL48" s="121">
        <f>COUNTIFS($C:$C, $AL$2,$G:$G, $Z48,$H:$H, $AB48)</f>
        <v>0</v>
      </c>
      <c r="AM48" s="122">
        <f>COUNTIFS($C:$C, $AM$2,$G:$G, $Z48,$H:$H, $AB48)</f>
        <v>0</v>
      </c>
      <c r="AN48" s="41">
        <f t="shared" si="6"/>
        <v>13.34</v>
      </c>
      <c r="AO48" s="70">
        <f>SUMIFS($L:$L,$C:$C, $AO$2,$G:$G, $Z48,$H:$H, $AB48)</f>
        <v>8.0399999999999991</v>
      </c>
      <c r="AP48" s="70">
        <f>SUMIFS($L:$L,$C:$C, $AP$2,$G:$G, $Z48,$H:$H, $AB48)</f>
        <v>5.3000000000000007</v>
      </c>
      <c r="AQ48" s="70">
        <f>SUMIFS($L:$L,$C:$C, $AQ$2,$G:$G, $Z48,$H:$H, $AB48)</f>
        <v>0</v>
      </c>
      <c r="AR48" s="70">
        <f>SUMIFS($L:$L,$C:$C, $AR$2,$G:$G, $Z48,$H:$H, $AB48)</f>
        <v>0</v>
      </c>
    </row>
    <row r="49" spans="2:44" x14ac:dyDescent="0.25">
      <c r="B49" s="17">
        <v>47</v>
      </c>
      <c r="C49" s="10" t="s">
        <v>136</v>
      </c>
      <c r="D49" s="7" t="s">
        <v>229</v>
      </c>
      <c r="E49" s="72" t="s">
        <v>443</v>
      </c>
      <c r="F49" s="18" t="s">
        <v>445</v>
      </c>
      <c r="G49" s="10">
        <v>4</v>
      </c>
      <c r="H49" s="10">
        <v>2</v>
      </c>
      <c r="I49" s="10">
        <v>132.47999999999999</v>
      </c>
      <c r="J49" s="6">
        <v>132000000</v>
      </c>
      <c r="K49" s="11">
        <f t="shared" si="2"/>
        <v>145200000</v>
      </c>
      <c r="L49" s="37">
        <f t="shared" si="3"/>
        <v>1.32</v>
      </c>
      <c r="M49" s="3" t="s">
        <v>75</v>
      </c>
      <c r="N49" t="s">
        <v>31</v>
      </c>
      <c r="O49" s="21" t="s">
        <v>449</v>
      </c>
      <c r="P49" s="21">
        <v>42</v>
      </c>
      <c r="Q49" s="21" t="s">
        <v>2149</v>
      </c>
      <c r="R49" s="23" t="s">
        <v>453</v>
      </c>
      <c r="S49" s="50" t="s">
        <v>207</v>
      </c>
      <c r="T49" s="48" t="s">
        <v>460</v>
      </c>
      <c r="U49" s="82" t="s">
        <v>85</v>
      </c>
      <c r="V49" s="32" t="s">
        <v>458</v>
      </c>
      <c r="W49" s="200" t="s">
        <v>258</v>
      </c>
      <c r="X49" s="17" t="s">
        <v>272</v>
      </c>
      <c r="Z49">
        <v>8</v>
      </c>
      <c r="AA49" s="416"/>
      <c r="AB49" s="96">
        <v>5</v>
      </c>
      <c r="AC49" s="105"/>
      <c r="AD49" s="41">
        <f t="shared" si="4"/>
        <v>0</v>
      </c>
      <c r="AE49" s="70">
        <f>SUMIFS($I:$I,$C:$C, $AE$2,$G:$G, $Z49,$H:$H, $AB49)</f>
        <v>0</v>
      </c>
      <c r="AF49" s="70">
        <f>SUMIFS($I:$I,$C:$C, $AF$2,$G:$G, $Z49,$H:$H, $AB49)</f>
        <v>0</v>
      </c>
      <c r="AG49" s="70">
        <f>SUMIFS($I:$I,$C:$C, $AG$2,$G:$G, $Z49,$H:$H, $AB49)</f>
        <v>0</v>
      </c>
      <c r="AH49" s="109">
        <f>SUMIFS($I:$I,$C:$C, $AH$2,$G:$G, $Z49,$H:$H, $AB49)</f>
        <v>0</v>
      </c>
      <c r="AI49" s="120">
        <f t="shared" si="5"/>
        <v>0</v>
      </c>
      <c r="AJ49" s="121">
        <f>COUNTIFS($C:$C, $AJ$2,$G:$G, $Z49,$H:$H, $AB49)</f>
        <v>0</v>
      </c>
      <c r="AK49" s="121">
        <f>COUNTIFS($C:$C, $AK$2,$G:$G, $Z49,$H:$H, $AB49)</f>
        <v>0</v>
      </c>
      <c r="AL49" s="121">
        <f>COUNTIFS($C:$C, $AL$2,$G:$G, $Z49,$H:$H, $AB49)</f>
        <v>0</v>
      </c>
      <c r="AM49" s="122">
        <f>COUNTIFS($C:$C, $AM$2,$G:$G, $Z49,$H:$H, $AB49)</f>
        <v>0</v>
      </c>
      <c r="AN49" s="41">
        <f t="shared" si="6"/>
        <v>0</v>
      </c>
      <c r="AO49" s="70">
        <f>SUMIFS($L:$L,$C:$C, $AO$2,$G:$G, $Z49,$H:$H, $AB49)</f>
        <v>0</v>
      </c>
      <c r="AP49" s="70">
        <f>SUMIFS($L:$L,$C:$C, $AP$2,$G:$G, $Z49,$H:$H, $AB49)</f>
        <v>0</v>
      </c>
      <c r="AQ49" s="70">
        <f>SUMIFS($L:$L,$C:$C, $AQ$2,$G:$G, $Z49,$H:$H, $AB49)</f>
        <v>0</v>
      </c>
      <c r="AR49" s="70">
        <f>SUMIFS($L:$L,$C:$C, $AR$2,$G:$G, $Z49,$H:$H, $AB49)</f>
        <v>0</v>
      </c>
    </row>
    <row r="50" spans="2:44" ht="14.25" thickBot="1" x14ac:dyDescent="0.3">
      <c r="B50" s="17">
        <v>48</v>
      </c>
      <c r="C50" s="10" t="s">
        <v>136</v>
      </c>
      <c r="D50" s="7" t="s">
        <v>140</v>
      </c>
      <c r="E50" s="72" t="s">
        <v>461</v>
      </c>
      <c r="F50" s="18" t="s">
        <v>462</v>
      </c>
      <c r="G50" s="10">
        <v>4</v>
      </c>
      <c r="H50" s="10">
        <v>2</v>
      </c>
      <c r="I50" s="10">
        <v>706.24</v>
      </c>
      <c r="J50" s="11">
        <v>770000000</v>
      </c>
      <c r="K50" s="11">
        <f t="shared" si="2"/>
        <v>847000000.00000012</v>
      </c>
      <c r="L50" s="37">
        <f t="shared" si="3"/>
        <v>7.7</v>
      </c>
      <c r="M50" s="3" t="s">
        <v>75</v>
      </c>
      <c r="N50" t="s">
        <v>31</v>
      </c>
      <c r="O50" s="21" t="s">
        <v>463</v>
      </c>
      <c r="P50" s="21">
        <v>43</v>
      </c>
      <c r="Q50" s="21" t="s">
        <v>2149</v>
      </c>
      <c r="R50" s="23" t="s">
        <v>464</v>
      </c>
      <c r="S50" s="50" t="s">
        <v>81</v>
      </c>
      <c r="T50" s="48" t="s">
        <v>465</v>
      </c>
      <c r="U50" s="82" t="s">
        <v>151</v>
      </c>
      <c r="V50" s="32" t="s">
        <v>466</v>
      </c>
      <c r="W50" s="200" t="s">
        <v>258</v>
      </c>
      <c r="X50" s="17" t="s">
        <v>272</v>
      </c>
      <c r="Z50">
        <v>8</v>
      </c>
      <c r="AA50" s="417"/>
      <c r="AB50" s="97" t="s">
        <v>3</v>
      </c>
      <c r="AC50" s="106"/>
      <c r="AD50" s="99">
        <f>SUM(AD45:AD49)</f>
        <v>7047.415</v>
      </c>
      <c r="AE50" s="99">
        <f t="shared" ref="AE50" si="114">SUM(AE45:AE49)</f>
        <v>4344.0550000000003</v>
      </c>
      <c r="AF50" s="99">
        <f t="shared" ref="AF50" si="115">SUM(AF45:AF49)</f>
        <v>1982.08</v>
      </c>
      <c r="AG50" s="99">
        <f t="shared" ref="AG50" si="116">SUM(AG45:AG49)</f>
        <v>721.28</v>
      </c>
      <c r="AH50" s="110">
        <f t="shared" ref="AH50" si="117">SUM(AH45:AH49)</f>
        <v>0</v>
      </c>
      <c r="AI50" s="123">
        <f t="shared" ref="AI50" si="118">SUM(AI45:AI49)</f>
        <v>23</v>
      </c>
      <c r="AJ50" s="124">
        <f t="shared" ref="AJ50" si="119">SUM(AJ45:AJ49)</f>
        <v>15</v>
      </c>
      <c r="AK50" s="124">
        <f t="shared" ref="AK50" si="120">SUM(AK45:AK49)</f>
        <v>7</v>
      </c>
      <c r="AL50" s="124">
        <f t="shared" ref="AL50" si="121">SUM(AL45:AL49)</f>
        <v>1</v>
      </c>
      <c r="AM50" s="125">
        <f t="shared" ref="AM50" si="122">SUM(AM45:AM49)</f>
        <v>0</v>
      </c>
      <c r="AN50" s="99">
        <f t="shared" ref="AN50" si="123">SUM(AN45:AN49)</f>
        <v>65.814000000000007</v>
      </c>
      <c r="AO50" s="99">
        <f t="shared" ref="AO50" si="124">SUM(AO45:AO49)</f>
        <v>40.013999999999996</v>
      </c>
      <c r="AP50" s="99">
        <f t="shared" ref="AP50" si="125">SUM(AP45:AP49)</f>
        <v>19.900000000000002</v>
      </c>
      <c r="AQ50" s="99">
        <f t="shared" ref="AQ50" si="126">SUM(AQ45:AQ49)</f>
        <v>5.9</v>
      </c>
      <c r="AR50" s="99">
        <f t="shared" ref="AR50" si="127">SUM(AR45:AR49)</f>
        <v>0</v>
      </c>
    </row>
    <row r="51" spans="2:44" x14ac:dyDescent="0.25">
      <c r="B51" s="17">
        <v>49</v>
      </c>
      <c r="C51" s="10" t="s">
        <v>136</v>
      </c>
      <c r="D51" s="7" t="s">
        <v>140</v>
      </c>
      <c r="E51" s="72" t="s">
        <v>467</v>
      </c>
      <c r="F51" s="18" t="s">
        <v>468</v>
      </c>
      <c r="G51" s="10">
        <v>4</v>
      </c>
      <c r="H51" s="10">
        <v>2</v>
      </c>
      <c r="I51" s="10">
        <v>229.12</v>
      </c>
      <c r="J51" s="11">
        <v>225000000</v>
      </c>
      <c r="K51" s="11">
        <f t="shared" si="2"/>
        <v>247500000.00000003</v>
      </c>
      <c r="L51" s="37">
        <f t="shared" si="3"/>
        <v>2.25</v>
      </c>
      <c r="M51" s="3" t="s">
        <v>190</v>
      </c>
      <c r="N51" t="s">
        <v>31</v>
      </c>
      <c r="O51" s="21" t="s">
        <v>469</v>
      </c>
      <c r="P51" s="21">
        <v>44</v>
      </c>
      <c r="Q51" s="21" t="s">
        <v>2149</v>
      </c>
      <c r="R51" s="23" t="s">
        <v>470</v>
      </c>
      <c r="S51" s="50" t="s">
        <v>81</v>
      </c>
      <c r="T51" s="48" t="s">
        <v>471</v>
      </c>
      <c r="U51" s="82" t="s">
        <v>151</v>
      </c>
      <c r="V51" s="32" t="s">
        <v>472</v>
      </c>
      <c r="W51" s="200" t="s">
        <v>258</v>
      </c>
      <c r="X51" s="17" t="s">
        <v>272</v>
      </c>
      <c r="Z51">
        <v>9</v>
      </c>
      <c r="AA51" s="415">
        <v>9</v>
      </c>
      <c r="AB51" s="94">
        <v>1</v>
      </c>
      <c r="AC51" s="100" t="s">
        <v>124</v>
      </c>
      <c r="AD51" s="41">
        <f t="shared" si="4"/>
        <v>1804.16</v>
      </c>
      <c r="AE51" s="70">
        <f>SUMIFS($I:$I,$C:$C, $AE$2,$G:$G, $Z51,$H:$H, $AB51)</f>
        <v>886.40000000000009</v>
      </c>
      <c r="AF51" s="70">
        <f>SUMIFS($I:$I,$C:$C, $AF$2,$G:$G, $Z51,$H:$H, $AB51)</f>
        <v>468.48</v>
      </c>
      <c r="AG51" s="70">
        <f>SUMIFS($I:$I,$C:$C, $AG$2,$G:$G, $Z51,$H:$H, $AB51)</f>
        <v>449.28</v>
      </c>
      <c r="AH51" s="109">
        <f>SUMIFS($I:$I,$C:$C, $AH$2,$G:$G, $Z51,$H:$H, $AB51)</f>
        <v>0</v>
      </c>
      <c r="AI51" s="120">
        <f t="shared" si="5"/>
        <v>9</v>
      </c>
      <c r="AJ51" s="121">
        <f>COUNTIFS($C:$C, $AJ$2,$G:$G, $Z51,$H:$H, $AB51)</f>
        <v>6</v>
      </c>
      <c r="AK51" s="121">
        <f>COUNTIFS($C:$C, $AK$2,$G:$G, $Z51,$H:$H, $AB51)</f>
        <v>2</v>
      </c>
      <c r="AL51" s="121">
        <f>COUNTIFS($C:$C, $AL$2,$G:$G, $Z51,$H:$H, $AB51)</f>
        <v>1</v>
      </c>
      <c r="AM51" s="122">
        <f>COUNTIFS($C:$C, $AM$2,$G:$G, $Z51,$H:$H, $AB51)</f>
        <v>0</v>
      </c>
      <c r="AN51" s="41">
        <f t="shared" si="6"/>
        <v>16.05</v>
      </c>
      <c r="AO51" s="70">
        <f>SUMIFS($L:$L,$C:$C, $AO$2,$G:$G, $Z51,$H:$H, $AB51)</f>
        <v>7.93</v>
      </c>
      <c r="AP51" s="70">
        <f>SUMIFS($L:$L,$C:$C, $AP$2,$G:$G, $Z51,$H:$H, $AB51)</f>
        <v>4.34</v>
      </c>
      <c r="AQ51" s="70">
        <f>SUMIFS($L:$L,$C:$C, $AQ$2,$G:$G, $Z51,$H:$H, $AB51)</f>
        <v>3.7800000000000002</v>
      </c>
      <c r="AR51" s="70">
        <f>SUMIFS($L:$L,$C:$C, $AR$2,$G:$G, $Z51,$H:$H, $AB51)</f>
        <v>0</v>
      </c>
    </row>
    <row r="52" spans="2:44" ht="13.5" customHeight="1" x14ac:dyDescent="0.25">
      <c r="B52" s="17">
        <v>50</v>
      </c>
      <c r="C52" s="10" t="s">
        <v>136</v>
      </c>
      <c r="D52" s="7" t="s">
        <v>140</v>
      </c>
      <c r="E52" s="72" t="s">
        <v>473</v>
      </c>
      <c r="F52" s="18" t="s">
        <v>474</v>
      </c>
      <c r="G52" s="10">
        <v>4</v>
      </c>
      <c r="H52" s="10">
        <v>3</v>
      </c>
      <c r="I52" s="10">
        <v>86.4</v>
      </c>
      <c r="J52" s="11">
        <v>90000000</v>
      </c>
      <c r="K52" s="11">
        <f t="shared" si="2"/>
        <v>99000000.000000015</v>
      </c>
      <c r="L52" s="37">
        <f t="shared" si="3"/>
        <v>0.9</v>
      </c>
      <c r="M52" s="3" t="s">
        <v>327</v>
      </c>
      <c r="N52" t="s">
        <v>31</v>
      </c>
      <c r="O52" s="21" t="s">
        <v>475</v>
      </c>
      <c r="P52" s="21">
        <v>45</v>
      </c>
      <c r="Q52" s="21" t="s">
        <v>2151</v>
      </c>
      <c r="R52" s="23" t="s">
        <v>476</v>
      </c>
      <c r="S52" s="50" t="s">
        <v>81</v>
      </c>
      <c r="T52" s="48" t="s">
        <v>477</v>
      </c>
      <c r="U52" s="82" t="s">
        <v>150</v>
      </c>
      <c r="V52" s="32" t="s">
        <v>316</v>
      </c>
      <c r="W52" s="200" t="s">
        <v>260</v>
      </c>
      <c r="X52" s="17" t="s">
        <v>279</v>
      </c>
      <c r="Z52">
        <v>9</v>
      </c>
      <c r="AA52" s="416"/>
      <c r="AB52" s="95">
        <v>2</v>
      </c>
      <c r="AC52" s="102" t="s">
        <v>125</v>
      </c>
      <c r="AD52" s="41">
        <f t="shared" si="4"/>
        <v>1941.46</v>
      </c>
      <c r="AE52" s="70">
        <f>SUMIFS($I:$I,$C:$C, $AE$2,$G:$G, $Z52,$H:$H, $AB52)</f>
        <v>1279.3600000000001</v>
      </c>
      <c r="AF52" s="70">
        <f>SUMIFS($I:$I,$C:$C, $AF$2,$G:$G, $Z52,$H:$H, $AB52)</f>
        <v>662.1</v>
      </c>
      <c r="AG52" s="70">
        <f>SUMIFS($I:$I,$C:$C, $AG$2,$G:$G, $Z52,$H:$H, $AB52)</f>
        <v>0</v>
      </c>
      <c r="AH52" s="109">
        <f>SUMIFS($I:$I,$C:$C, $AH$2,$G:$G, $Z52,$H:$H, $AB52)</f>
        <v>0</v>
      </c>
      <c r="AI52" s="120">
        <f t="shared" si="5"/>
        <v>11</v>
      </c>
      <c r="AJ52" s="121">
        <f>COUNTIFS($C:$C, $AJ$2,$G:$G, $Z52,$H:$H, $AB52)</f>
        <v>8</v>
      </c>
      <c r="AK52" s="121">
        <f>COUNTIFS($C:$C, $AK$2,$G:$G, $Z52,$H:$H, $AB52)</f>
        <v>3</v>
      </c>
      <c r="AL52" s="121">
        <f>COUNTIFS($C:$C, $AL$2,$G:$G, $Z52,$H:$H, $AB52)</f>
        <v>0</v>
      </c>
      <c r="AM52" s="122">
        <f>COUNTIFS($C:$C, $AM$2,$G:$G, $Z52,$H:$H, $AB52)</f>
        <v>0</v>
      </c>
      <c r="AN52" s="41">
        <f t="shared" si="6"/>
        <v>18.16</v>
      </c>
      <c r="AO52" s="70">
        <f>SUMIFS($L:$L,$C:$C, $AO$2,$G:$G, $Z52,$H:$H, $AB52)</f>
        <v>12.06</v>
      </c>
      <c r="AP52" s="70">
        <f>SUMIFS($L:$L,$C:$C, $AP$2,$G:$G, $Z52,$H:$H, $AB52)</f>
        <v>6.1</v>
      </c>
      <c r="AQ52" s="70">
        <f>SUMIFS($L:$L,$C:$C, $AQ$2,$G:$G, $Z52,$H:$H, $AB52)</f>
        <v>0</v>
      </c>
      <c r="AR52" s="70">
        <f>SUMIFS($L:$L,$C:$C, $AR$2,$G:$G, $Z52,$H:$H, $AB52)</f>
        <v>0</v>
      </c>
    </row>
    <row r="53" spans="2:44" x14ac:dyDescent="0.25">
      <c r="B53" s="17">
        <v>51</v>
      </c>
      <c r="C53" s="10" t="s">
        <v>136</v>
      </c>
      <c r="D53" s="7" t="s">
        <v>140</v>
      </c>
      <c r="E53" s="72" t="s">
        <v>484</v>
      </c>
      <c r="F53" s="18" t="s">
        <v>485</v>
      </c>
      <c r="G53" s="10">
        <v>4</v>
      </c>
      <c r="H53" s="10">
        <v>4</v>
      </c>
      <c r="I53" s="10">
        <v>704.4</v>
      </c>
      <c r="J53" s="11">
        <v>660000000</v>
      </c>
      <c r="K53" s="11">
        <f t="shared" si="2"/>
        <v>726000000</v>
      </c>
      <c r="L53" s="37">
        <f t="shared" si="3"/>
        <v>6.6000000000000005</v>
      </c>
      <c r="M53" s="3" t="s">
        <v>243</v>
      </c>
      <c r="N53" t="s">
        <v>31</v>
      </c>
      <c r="O53" s="21" t="s">
        <v>486</v>
      </c>
      <c r="P53" s="21">
        <v>46</v>
      </c>
      <c r="Q53" s="21" t="s">
        <v>2149</v>
      </c>
      <c r="R53" s="23" t="s">
        <v>487</v>
      </c>
      <c r="S53" s="50" t="s">
        <v>81</v>
      </c>
      <c r="T53" s="48" t="s">
        <v>488</v>
      </c>
      <c r="U53" s="82" t="s">
        <v>150</v>
      </c>
      <c r="V53" s="32"/>
      <c r="W53" s="200" t="s">
        <v>259</v>
      </c>
      <c r="X53" s="17" t="s">
        <v>272</v>
      </c>
      <c r="Z53">
        <v>9</v>
      </c>
      <c r="AA53" s="416"/>
      <c r="AB53" s="95">
        <v>3</v>
      </c>
      <c r="AC53" s="102" t="s">
        <v>126</v>
      </c>
      <c r="AD53" s="41">
        <f t="shared" si="4"/>
        <v>2801.84</v>
      </c>
      <c r="AE53" s="70">
        <f>SUMIFS($I:$I,$C:$C, $AE$2,$G:$G, $Z53,$H:$H, $AB53)</f>
        <v>1900.8000000000002</v>
      </c>
      <c r="AF53" s="70">
        <f>SUMIFS($I:$I,$C:$C, $AF$2,$G:$G, $Z53,$H:$H, $AB53)</f>
        <v>901.04</v>
      </c>
      <c r="AG53" s="70">
        <f>SUMIFS($I:$I,$C:$C, $AG$2,$G:$G, $Z53,$H:$H, $AB53)</f>
        <v>0</v>
      </c>
      <c r="AH53" s="109">
        <f>SUMIFS($I:$I,$C:$C, $AH$2,$G:$G, $Z53,$H:$H, $AB53)</f>
        <v>0</v>
      </c>
      <c r="AI53" s="120">
        <f t="shared" si="5"/>
        <v>9</v>
      </c>
      <c r="AJ53" s="121">
        <f>COUNTIFS($C:$C, $AJ$2,$G:$G, $Z53,$H:$H, $AB53)</f>
        <v>6</v>
      </c>
      <c r="AK53" s="121">
        <f>COUNTIFS($C:$C, $AK$2,$G:$G, $Z53,$H:$H, $AB53)</f>
        <v>3</v>
      </c>
      <c r="AL53" s="121">
        <f>COUNTIFS($C:$C, $AL$2,$G:$G, $Z53,$H:$H, $AB53)</f>
        <v>0</v>
      </c>
      <c r="AM53" s="122">
        <f>COUNTIFS($C:$C, $AM$2,$G:$G, $Z53,$H:$H, $AB53)</f>
        <v>0</v>
      </c>
      <c r="AN53" s="41">
        <f t="shared" si="6"/>
        <v>25.85</v>
      </c>
      <c r="AO53" s="70">
        <f>SUMIFS($L:$L,$C:$C, $AO$2,$G:$G, $Z53,$H:$H, $AB53)</f>
        <v>17.470000000000002</v>
      </c>
      <c r="AP53" s="70">
        <f>SUMIFS($L:$L,$C:$C, $AP$2,$G:$G, $Z53,$H:$H, $AB53)</f>
        <v>8.379999999999999</v>
      </c>
      <c r="AQ53" s="70">
        <f>SUMIFS($L:$L,$C:$C, $AQ$2,$G:$G, $Z53,$H:$H, $AB53)</f>
        <v>0</v>
      </c>
      <c r="AR53" s="70">
        <f>SUMIFS($L:$L,$C:$C, $AR$2,$G:$G, $Z53,$H:$H, $AB53)</f>
        <v>0</v>
      </c>
    </row>
    <row r="54" spans="2:44" x14ac:dyDescent="0.25">
      <c r="B54" s="17">
        <v>52</v>
      </c>
      <c r="C54" s="10" t="s">
        <v>136</v>
      </c>
      <c r="D54" s="7" t="s">
        <v>140</v>
      </c>
      <c r="E54" s="72" t="s">
        <v>489</v>
      </c>
      <c r="F54" s="18" t="s">
        <v>485</v>
      </c>
      <c r="G54" s="10">
        <v>4</v>
      </c>
      <c r="H54" s="10">
        <v>4</v>
      </c>
      <c r="I54" s="10">
        <v>353.92</v>
      </c>
      <c r="J54" s="11">
        <v>300000000</v>
      </c>
      <c r="K54" s="11">
        <f t="shared" ref="K54" si="128">J54*1.1</f>
        <v>330000000</v>
      </c>
      <c r="L54" s="37">
        <f t="shared" ref="L54" si="129">J54*0.00000001</f>
        <v>3</v>
      </c>
      <c r="M54" s="3" t="s">
        <v>243</v>
      </c>
      <c r="N54" t="s">
        <v>31</v>
      </c>
      <c r="O54" s="21" t="s">
        <v>490</v>
      </c>
      <c r="P54" s="21">
        <v>46</v>
      </c>
      <c r="Q54" s="21" t="s">
        <v>2149</v>
      </c>
      <c r="R54" s="23" t="s">
        <v>491</v>
      </c>
      <c r="S54" s="50" t="s">
        <v>81</v>
      </c>
      <c r="T54" s="48" t="s">
        <v>488</v>
      </c>
      <c r="U54" s="82" t="s">
        <v>150</v>
      </c>
      <c r="V54" s="32"/>
      <c r="W54" s="200" t="s">
        <v>259</v>
      </c>
      <c r="X54" s="17" t="s">
        <v>272</v>
      </c>
      <c r="Z54">
        <v>9</v>
      </c>
      <c r="AA54" s="416"/>
      <c r="AB54" s="95">
        <v>4</v>
      </c>
      <c r="AC54" s="102" t="s">
        <v>127</v>
      </c>
      <c r="AD54" s="41">
        <f t="shared" si="4"/>
        <v>3296.64</v>
      </c>
      <c r="AE54" s="70">
        <f>SUMIFS($I:$I,$C:$C, $AE$2,$G:$G, $Z54,$H:$H, $AB54)</f>
        <v>3197.44</v>
      </c>
      <c r="AF54" s="70">
        <f>SUMIFS($I:$I,$C:$C, $AF$2,$G:$G, $Z54,$H:$H, $AB54)</f>
        <v>99.2</v>
      </c>
      <c r="AG54" s="70">
        <f>SUMIFS($I:$I,$C:$C, $AG$2,$G:$G, $Z54,$H:$H, $AB54)</f>
        <v>0</v>
      </c>
      <c r="AH54" s="109">
        <f>SUMIFS($I:$I,$C:$C, $AH$2,$G:$G, $Z54,$H:$H, $AB54)</f>
        <v>0</v>
      </c>
      <c r="AI54" s="120">
        <f t="shared" si="5"/>
        <v>7</v>
      </c>
      <c r="AJ54" s="121">
        <f>COUNTIFS($C:$C, $AJ$2,$G:$G, $Z54,$H:$H, $AB54)</f>
        <v>6</v>
      </c>
      <c r="AK54" s="121">
        <f>COUNTIFS($C:$C, $AK$2,$G:$G, $Z54,$H:$H, $AB54)</f>
        <v>1</v>
      </c>
      <c r="AL54" s="121">
        <f>COUNTIFS($C:$C, $AL$2,$G:$G, $Z54,$H:$H, $AB54)</f>
        <v>0</v>
      </c>
      <c r="AM54" s="122">
        <f>COUNTIFS($C:$C, $AM$2,$G:$G, $Z54,$H:$H, $AB54)</f>
        <v>0</v>
      </c>
      <c r="AN54" s="41">
        <f t="shared" si="6"/>
        <v>30.54</v>
      </c>
      <c r="AO54" s="70">
        <f>SUMIFS($L:$L,$C:$C, $AO$2,$G:$G, $Z54,$H:$H, $AB54)</f>
        <v>29.59</v>
      </c>
      <c r="AP54" s="70">
        <f>SUMIFS($L:$L,$C:$C, $AP$2,$G:$G, $Z54,$H:$H, $AB54)</f>
        <v>0.95000000000000007</v>
      </c>
      <c r="AQ54" s="70">
        <f>SUMIFS($L:$L,$C:$C, $AQ$2,$G:$G, $Z54,$H:$H, $AB54)</f>
        <v>0</v>
      </c>
      <c r="AR54" s="70">
        <f>SUMIFS($L:$L,$C:$C, $AR$2,$G:$G, $Z54,$H:$H, $AB54)</f>
        <v>0</v>
      </c>
    </row>
    <row r="55" spans="2:44" x14ac:dyDescent="0.25">
      <c r="B55" s="17">
        <v>53</v>
      </c>
      <c r="C55" s="10" t="s">
        <v>136</v>
      </c>
      <c r="D55" s="7" t="s">
        <v>140</v>
      </c>
      <c r="E55" s="72" t="s">
        <v>514</v>
      </c>
      <c r="F55" s="18" t="s">
        <v>485</v>
      </c>
      <c r="G55" s="10">
        <v>4</v>
      </c>
      <c r="H55" s="10">
        <v>4</v>
      </c>
      <c r="I55" s="10">
        <v>81.92</v>
      </c>
      <c r="J55" s="11">
        <v>90000000</v>
      </c>
      <c r="K55" s="11">
        <f t="shared" si="2"/>
        <v>99000000.000000015</v>
      </c>
      <c r="L55" s="37">
        <f t="shared" si="3"/>
        <v>0.9</v>
      </c>
      <c r="M55" s="3" t="s">
        <v>495</v>
      </c>
      <c r="N55" t="s">
        <v>319</v>
      </c>
      <c r="O55" s="21" t="s">
        <v>496</v>
      </c>
      <c r="P55" s="21">
        <v>47</v>
      </c>
      <c r="Q55" s="21" t="s">
        <v>2134</v>
      </c>
      <c r="R55" s="23" t="s">
        <v>497</v>
      </c>
      <c r="S55" s="50" t="s">
        <v>81</v>
      </c>
      <c r="T55" s="48" t="s">
        <v>498</v>
      </c>
      <c r="U55" s="82" t="s">
        <v>197</v>
      </c>
      <c r="V55" s="26" t="s">
        <v>331</v>
      </c>
      <c r="W55" s="200" t="s">
        <v>259</v>
      </c>
      <c r="X55" s="17" t="s">
        <v>272</v>
      </c>
      <c r="Z55">
        <v>9</v>
      </c>
      <c r="AA55" s="416"/>
      <c r="AB55" s="96">
        <v>5</v>
      </c>
      <c r="AC55" s="105"/>
      <c r="AD55" s="41">
        <f t="shared" si="4"/>
        <v>0</v>
      </c>
      <c r="AE55" s="70">
        <f>SUMIFS($I:$I,$C:$C, $AE$2,$G:$G, $Z55,$H:$H, $AB55)</f>
        <v>0</v>
      </c>
      <c r="AF55" s="70">
        <f>SUMIFS($I:$I,$C:$C, $AF$2,$G:$G, $Z55,$H:$H, $AB55)</f>
        <v>0</v>
      </c>
      <c r="AG55" s="70">
        <f>SUMIFS($I:$I,$C:$C, $AG$2,$G:$G, $Z55,$H:$H, $AB55)</f>
        <v>0</v>
      </c>
      <c r="AH55" s="109">
        <f>SUMIFS($I:$I,$C:$C, $AH$2,$G:$G, $Z55,$H:$H, $AB55)</f>
        <v>0</v>
      </c>
      <c r="AI55" s="120">
        <f t="shared" si="5"/>
        <v>0</v>
      </c>
      <c r="AJ55" s="121">
        <f>COUNTIFS($C:$C, $AJ$2,$G:$G, $Z55,$H:$H, $AB55)</f>
        <v>0</v>
      </c>
      <c r="AK55" s="121">
        <f>COUNTIFS($C:$C, $AK$2,$G:$G, $Z55,$H:$H, $AB55)</f>
        <v>0</v>
      </c>
      <c r="AL55" s="121">
        <f>COUNTIFS($C:$C, $AL$2,$G:$G, $Z55,$H:$H, $AB55)</f>
        <v>0</v>
      </c>
      <c r="AM55" s="122">
        <f>COUNTIFS($C:$C, $AM$2,$G:$G, $Z55,$H:$H, $AB55)</f>
        <v>0</v>
      </c>
      <c r="AN55" s="41">
        <f t="shared" si="6"/>
        <v>0</v>
      </c>
      <c r="AO55" s="70">
        <f>SUMIFS($L:$L,$C:$C, $AO$2,$G:$G, $Z55,$H:$H, $AB55)</f>
        <v>0</v>
      </c>
      <c r="AP55" s="70">
        <f>SUMIFS($L:$L,$C:$C, $AP$2,$G:$G, $Z55,$H:$H, $AB55)</f>
        <v>0</v>
      </c>
      <c r="AQ55" s="70">
        <f>SUMIFS($L:$L,$C:$C, $AQ$2,$G:$G, $Z55,$H:$H, $AB55)</f>
        <v>0</v>
      </c>
      <c r="AR55" s="70">
        <f>SUMIFS($L:$L,$C:$C, $AR$2,$G:$G, $Z55,$H:$H, $AB55)</f>
        <v>0</v>
      </c>
    </row>
    <row r="56" spans="2:44" ht="14.25" thickBot="1" x14ac:dyDescent="0.3">
      <c r="B56" s="17">
        <v>54</v>
      </c>
      <c r="C56" s="10" t="s">
        <v>136</v>
      </c>
      <c r="D56" s="7" t="s">
        <v>140</v>
      </c>
      <c r="E56" s="72" t="s">
        <v>515</v>
      </c>
      <c r="F56" s="18" t="s">
        <v>521</v>
      </c>
      <c r="G56" s="10">
        <v>4</v>
      </c>
      <c r="H56" s="10">
        <v>3</v>
      </c>
      <c r="I56" s="10">
        <v>125.44</v>
      </c>
      <c r="J56" s="11">
        <v>199400000</v>
      </c>
      <c r="K56" s="11">
        <f t="shared" si="2"/>
        <v>219340000.00000003</v>
      </c>
      <c r="L56" s="37">
        <f t="shared" si="3"/>
        <v>1.994</v>
      </c>
      <c r="M56" s="6" t="s">
        <v>75</v>
      </c>
      <c r="N56" t="s">
        <v>339</v>
      </c>
      <c r="O56" s="21" t="s">
        <v>499</v>
      </c>
      <c r="P56" s="21">
        <v>48</v>
      </c>
      <c r="Q56" s="21" t="s">
        <v>2160</v>
      </c>
      <c r="R56" s="23" t="s">
        <v>500</v>
      </c>
      <c r="S56" s="50" t="s">
        <v>81</v>
      </c>
      <c r="T56" s="48" t="s">
        <v>501</v>
      </c>
      <c r="U56" s="81" t="s">
        <v>197</v>
      </c>
      <c r="V56" s="26" t="s">
        <v>502</v>
      </c>
      <c r="W56" s="200" t="s">
        <v>259</v>
      </c>
      <c r="X56" s="17" t="s">
        <v>272</v>
      </c>
      <c r="Z56">
        <v>9</v>
      </c>
      <c r="AA56" s="417"/>
      <c r="AB56" s="97" t="s">
        <v>3</v>
      </c>
      <c r="AC56" s="106"/>
      <c r="AD56" s="99">
        <f>SUM(AD51:AD55)</f>
        <v>9844.1</v>
      </c>
      <c r="AE56" s="99">
        <f t="shared" ref="AE56" si="130">SUM(AE51:AE55)</f>
        <v>7264</v>
      </c>
      <c r="AF56" s="99">
        <f t="shared" ref="AF56" si="131">SUM(AF51:AF55)</f>
        <v>2130.8199999999997</v>
      </c>
      <c r="AG56" s="99">
        <f t="shared" ref="AG56" si="132">SUM(AG51:AG55)</f>
        <v>449.28</v>
      </c>
      <c r="AH56" s="110">
        <f t="shared" ref="AH56" si="133">SUM(AH51:AH55)</f>
        <v>0</v>
      </c>
      <c r="AI56" s="123">
        <f t="shared" ref="AI56" si="134">SUM(AI51:AI55)</f>
        <v>36</v>
      </c>
      <c r="AJ56" s="124">
        <f t="shared" ref="AJ56" si="135">SUM(AJ51:AJ55)</f>
        <v>26</v>
      </c>
      <c r="AK56" s="124">
        <f t="shared" ref="AK56" si="136">SUM(AK51:AK55)</f>
        <v>9</v>
      </c>
      <c r="AL56" s="124">
        <f t="shared" ref="AL56" si="137">SUM(AL51:AL55)</f>
        <v>1</v>
      </c>
      <c r="AM56" s="125">
        <f t="shared" ref="AM56" si="138">SUM(AM51:AM55)</f>
        <v>0</v>
      </c>
      <c r="AN56" s="99">
        <f t="shared" ref="AN56" si="139">SUM(AN51:AN55)</f>
        <v>90.6</v>
      </c>
      <c r="AO56" s="99">
        <f t="shared" ref="AO56" si="140">SUM(AO51:AO55)</f>
        <v>67.050000000000011</v>
      </c>
      <c r="AP56" s="99">
        <f t="shared" ref="AP56" si="141">SUM(AP51:AP55)</f>
        <v>19.77</v>
      </c>
      <c r="AQ56" s="99">
        <f t="shared" ref="AQ56" si="142">SUM(AQ51:AQ55)</f>
        <v>3.7800000000000002</v>
      </c>
      <c r="AR56" s="99">
        <f t="shared" ref="AR56" si="143">SUM(AR51:AR55)</f>
        <v>0</v>
      </c>
    </row>
    <row r="57" spans="2:44" x14ac:dyDescent="0.25">
      <c r="B57" s="17">
        <v>55</v>
      </c>
      <c r="C57" s="10" t="s">
        <v>136</v>
      </c>
      <c r="D57" s="7" t="s">
        <v>140</v>
      </c>
      <c r="E57" s="72" t="s">
        <v>516</v>
      </c>
      <c r="F57" s="18" t="s">
        <v>587</v>
      </c>
      <c r="G57" s="10">
        <v>4</v>
      </c>
      <c r="H57" s="10">
        <v>4</v>
      </c>
      <c r="I57" s="10">
        <v>215.68</v>
      </c>
      <c r="J57" s="11">
        <v>295000000</v>
      </c>
      <c r="K57" s="11">
        <f t="shared" si="2"/>
        <v>324500000</v>
      </c>
      <c r="L57" s="37">
        <f t="shared" si="3"/>
        <v>2.95</v>
      </c>
      <c r="M57" s="3" t="s">
        <v>327</v>
      </c>
      <c r="N57" t="s">
        <v>339</v>
      </c>
      <c r="O57" s="21" t="s">
        <v>503</v>
      </c>
      <c r="P57" s="21">
        <v>49</v>
      </c>
      <c r="Q57" s="21" t="s">
        <v>2160</v>
      </c>
      <c r="R57" s="23" t="s">
        <v>504</v>
      </c>
      <c r="S57" s="50" t="s">
        <v>81</v>
      </c>
      <c r="T57" s="48" t="s">
        <v>505</v>
      </c>
      <c r="U57" s="82" t="s">
        <v>197</v>
      </c>
      <c r="V57" s="32" t="s">
        <v>502</v>
      </c>
      <c r="W57" s="200" t="s">
        <v>259</v>
      </c>
      <c r="X57" s="17" t="s">
        <v>272</v>
      </c>
      <c r="Z57">
        <v>10</v>
      </c>
      <c r="AA57" s="415">
        <v>10</v>
      </c>
      <c r="AB57" s="94">
        <v>1</v>
      </c>
      <c r="AC57" s="100" t="s">
        <v>128</v>
      </c>
      <c r="AD57" s="41">
        <f t="shared" si="4"/>
        <v>3368.96</v>
      </c>
      <c r="AE57" s="70">
        <f>SUMIFS($I:$I,$C:$C, $AE$2,$G:$G, $Z57,$H:$H, $AB57)</f>
        <v>1981.44</v>
      </c>
      <c r="AF57" s="70">
        <f>SUMIFS($I:$I,$C:$C, $AF$2,$G:$G, $Z57,$H:$H, $AB57)</f>
        <v>1387.52</v>
      </c>
      <c r="AG57" s="70">
        <f>SUMIFS($I:$I,$C:$C, $AG$2,$G:$G, $Z57,$H:$H, $AB57)</f>
        <v>0</v>
      </c>
      <c r="AH57" s="109">
        <f>SUMIFS($I:$I,$C:$C, $AH$2,$G:$G, $Z57,$H:$H, $AB57)</f>
        <v>0</v>
      </c>
      <c r="AI57" s="120">
        <f t="shared" si="5"/>
        <v>12</v>
      </c>
      <c r="AJ57" s="121">
        <f>COUNTIFS($C:$C, $AJ$2,$G:$G, $Z57,$H:$H, $AB57)</f>
        <v>6</v>
      </c>
      <c r="AK57" s="121">
        <f>COUNTIFS($C:$C, $AK$2,$G:$G, $Z57,$H:$H, $AB57)</f>
        <v>6</v>
      </c>
      <c r="AL57" s="121">
        <f>COUNTIFS($C:$C, $AL$2,$G:$G, $Z57,$H:$H, $AB57)</f>
        <v>0</v>
      </c>
      <c r="AM57" s="122">
        <f>COUNTIFS($C:$C, $AM$2,$G:$G, $Z57,$H:$H, $AB57)</f>
        <v>0</v>
      </c>
      <c r="AN57" s="41">
        <f t="shared" si="6"/>
        <v>30.066000000000003</v>
      </c>
      <c r="AO57" s="70">
        <f>SUMIFS($L:$L,$C:$C, $AO$2,$G:$G, $Z57,$H:$H, $AB57)</f>
        <v>17.295999999999999</v>
      </c>
      <c r="AP57" s="70">
        <f>SUMIFS($L:$L,$C:$C, $AP$2,$G:$G, $Z57,$H:$H, $AB57)</f>
        <v>12.770000000000001</v>
      </c>
      <c r="AQ57" s="70">
        <f>SUMIFS($L:$L,$C:$C, $AQ$2,$G:$G, $Z57,$H:$H, $AB57)</f>
        <v>0</v>
      </c>
      <c r="AR57" s="70">
        <f>SUMIFS($L:$L,$C:$C, $AR$2,$G:$G, $Z57,$H:$H, $AB57)</f>
        <v>0</v>
      </c>
    </row>
    <row r="58" spans="2:44" x14ac:dyDescent="0.25">
      <c r="B58" s="17">
        <v>56</v>
      </c>
      <c r="C58" s="10" t="s">
        <v>137</v>
      </c>
      <c r="D58" s="7" t="s">
        <v>140</v>
      </c>
      <c r="E58" s="72" t="s">
        <v>289</v>
      </c>
      <c r="F58" s="18" t="s">
        <v>506</v>
      </c>
      <c r="G58" s="10">
        <v>4</v>
      </c>
      <c r="H58" s="10">
        <v>4</v>
      </c>
      <c r="I58" s="10">
        <v>71.680000000000007</v>
      </c>
      <c r="J58" s="11">
        <v>78000000</v>
      </c>
      <c r="K58" s="11">
        <f t="shared" si="2"/>
        <v>85800000</v>
      </c>
      <c r="L58" s="37">
        <f t="shared" si="3"/>
        <v>0.78</v>
      </c>
      <c r="M58" s="3" t="s">
        <v>193</v>
      </c>
      <c r="N58" t="s">
        <v>189</v>
      </c>
      <c r="O58" s="21" t="s">
        <v>508</v>
      </c>
      <c r="P58" s="21">
        <v>50</v>
      </c>
      <c r="Q58" s="21" t="s">
        <v>2160</v>
      </c>
      <c r="R58" s="23" t="s">
        <v>510</v>
      </c>
      <c r="S58" s="50" t="s">
        <v>81</v>
      </c>
      <c r="T58" s="48" t="s">
        <v>512</v>
      </c>
      <c r="U58" s="82" t="s">
        <v>197</v>
      </c>
      <c r="V58" s="32" t="s">
        <v>224</v>
      </c>
      <c r="W58" s="200" t="s">
        <v>259</v>
      </c>
      <c r="X58" s="17" t="s">
        <v>272</v>
      </c>
      <c r="Z58">
        <v>10</v>
      </c>
      <c r="AA58" s="416"/>
      <c r="AB58" s="95">
        <v>2</v>
      </c>
      <c r="AC58" s="101" t="s">
        <v>61</v>
      </c>
      <c r="AD58" s="41">
        <f t="shared" si="4"/>
        <v>0</v>
      </c>
      <c r="AE58" s="70">
        <f>SUMIFS($I:$I,$C:$C, $AE$2,$G:$G, $Z58,$H:$H, $AB58)</f>
        <v>0</v>
      </c>
      <c r="AF58" s="70">
        <f>SUMIFS($I:$I,$C:$C, $AF$2,$G:$G, $Z58,$H:$H, $AB58)</f>
        <v>0</v>
      </c>
      <c r="AG58" s="70">
        <f>SUMIFS($I:$I,$C:$C, $AG$2,$G:$G, $Z58,$H:$H, $AB58)</f>
        <v>0</v>
      </c>
      <c r="AH58" s="109">
        <f>SUMIFS($I:$I,$C:$C, $AH$2,$G:$G, $Z58,$H:$H, $AB58)</f>
        <v>0</v>
      </c>
      <c r="AI58" s="120">
        <f t="shared" si="5"/>
        <v>0</v>
      </c>
      <c r="AJ58" s="121">
        <f>COUNTIFS($C:$C, $AJ$2,$G:$G, $Z58,$H:$H, $AB58)</f>
        <v>0</v>
      </c>
      <c r="AK58" s="121">
        <f>COUNTIFS($C:$C, $AK$2,$G:$G, $Z58,$H:$H, $AB58)</f>
        <v>0</v>
      </c>
      <c r="AL58" s="121">
        <f>COUNTIFS($C:$C, $AL$2,$G:$G, $Z58,$H:$H, $AB58)</f>
        <v>0</v>
      </c>
      <c r="AM58" s="122">
        <f>COUNTIFS($C:$C, $AM$2,$G:$G, $Z58,$H:$H, $AB58)</f>
        <v>0</v>
      </c>
      <c r="AN58" s="41">
        <f t="shared" si="6"/>
        <v>0</v>
      </c>
      <c r="AO58" s="70">
        <f>SUMIFS($L:$L,$C:$C, $AO$2,$G:$G, $Z58,$H:$H, $AB58)</f>
        <v>0</v>
      </c>
      <c r="AP58" s="70">
        <f>SUMIFS($L:$L,$C:$C, $AP$2,$G:$G, $Z58,$H:$H, $AB58)</f>
        <v>0</v>
      </c>
      <c r="AQ58" s="70">
        <f>SUMIFS($L:$L,$C:$C, $AQ$2,$G:$G, $Z58,$H:$H, $AB58)</f>
        <v>0</v>
      </c>
      <c r="AR58" s="70">
        <f>SUMIFS($L:$L,$C:$C, $AR$2,$G:$G, $Z58,$H:$H, $AB58)</f>
        <v>0</v>
      </c>
    </row>
    <row r="59" spans="2:44" x14ac:dyDescent="0.25">
      <c r="B59" s="17">
        <v>57</v>
      </c>
      <c r="C59" s="10" t="s">
        <v>137</v>
      </c>
      <c r="D59" s="7" t="s">
        <v>140</v>
      </c>
      <c r="E59" s="72" t="s">
        <v>290</v>
      </c>
      <c r="F59" s="18" t="s">
        <v>507</v>
      </c>
      <c r="G59" s="10">
        <v>4</v>
      </c>
      <c r="H59" s="10">
        <v>4</v>
      </c>
      <c r="I59" s="10">
        <v>149.12</v>
      </c>
      <c r="J59" s="11">
        <v>144000000</v>
      </c>
      <c r="K59" s="11">
        <f t="shared" si="2"/>
        <v>158400000</v>
      </c>
      <c r="L59" s="37">
        <f t="shared" si="3"/>
        <v>1.44</v>
      </c>
      <c r="M59" s="3" t="s">
        <v>193</v>
      </c>
      <c r="N59" t="s">
        <v>189</v>
      </c>
      <c r="O59" s="21" t="s">
        <v>509</v>
      </c>
      <c r="P59" s="21">
        <v>51</v>
      </c>
      <c r="Q59" s="21" t="s">
        <v>2161</v>
      </c>
      <c r="R59" s="23" t="s">
        <v>1242</v>
      </c>
      <c r="S59" s="50" t="s">
        <v>81</v>
      </c>
      <c r="T59" s="48" t="s">
        <v>511</v>
      </c>
      <c r="U59" s="82" t="s">
        <v>197</v>
      </c>
      <c r="V59" s="32" t="s">
        <v>513</v>
      </c>
      <c r="W59" s="200" t="s">
        <v>259</v>
      </c>
      <c r="X59" s="17" t="s">
        <v>272</v>
      </c>
      <c r="Z59">
        <v>10</v>
      </c>
      <c r="AA59" s="416"/>
      <c r="AB59" s="95">
        <v>3</v>
      </c>
      <c r="AC59" s="102" t="s">
        <v>62</v>
      </c>
      <c r="AD59" s="41">
        <f t="shared" si="4"/>
        <v>2915.8399999999997</v>
      </c>
      <c r="AE59" s="70">
        <f>SUMIFS($I:$I,$C:$C, $AE$2,$G:$G, $Z59,$H:$H, $AB59)</f>
        <v>2218.2399999999998</v>
      </c>
      <c r="AF59" s="70">
        <f>SUMIFS($I:$I,$C:$C, $AF$2,$G:$G, $Z59,$H:$H, $AB59)</f>
        <v>697.6</v>
      </c>
      <c r="AG59" s="70">
        <f>SUMIFS($I:$I,$C:$C, $AG$2,$G:$G, $Z59,$H:$H, $AB59)</f>
        <v>0</v>
      </c>
      <c r="AH59" s="109">
        <f>SUMIFS($I:$I,$C:$C, $AH$2,$G:$G, $Z59,$H:$H, $AB59)</f>
        <v>0</v>
      </c>
      <c r="AI59" s="120">
        <f t="shared" si="5"/>
        <v>15</v>
      </c>
      <c r="AJ59" s="121">
        <f>COUNTIFS($C:$C, $AJ$2,$G:$G, $Z59,$H:$H, $AB59)</f>
        <v>12</v>
      </c>
      <c r="AK59" s="121">
        <f>COUNTIFS($C:$C, $AK$2,$G:$G, $Z59,$H:$H, $AB59)</f>
        <v>3</v>
      </c>
      <c r="AL59" s="121">
        <f>COUNTIFS($C:$C, $AL$2,$G:$G, $Z59,$H:$H, $AB59)</f>
        <v>0</v>
      </c>
      <c r="AM59" s="122">
        <f>COUNTIFS($C:$C, $AM$2,$G:$G, $Z59,$H:$H, $AB59)</f>
        <v>0</v>
      </c>
      <c r="AN59" s="41">
        <f t="shared" si="6"/>
        <v>26.369999999999997</v>
      </c>
      <c r="AO59" s="70">
        <f>SUMIFS($L:$L,$C:$C, $AO$2,$G:$G, $Z59,$H:$H, $AB59)</f>
        <v>19.66</v>
      </c>
      <c r="AP59" s="70">
        <f>SUMIFS($L:$L,$C:$C, $AP$2,$G:$G, $Z59,$H:$H, $AB59)</f>
        <v>6.7099999999999991</v>
      </c>
      <c r="AQ59" s="70">
        <f>SUMIFS($L:$L,$C:$C, $AQ$2,$G:$G, $Z59,$H:$H, $AB59)</f>
        <v>0</v>
      </c>
      <c r="AR59" s="70">
        <f>SUMIFS($L:$L,$C:$C, $AR$2,$G:$G, $Z59,$H:$H, $AB59)</f>
        <v>0</v>
      </c>
    </row>
    <row r="60" spans="2:44" x14ac:dyDescent="0.25">
      <c r="B60" s="17">
        <v>58</v>
      </c>
      <c r="C60" s="10" t="s">
        <v>351</v>
      </c>
      <c r="D60" s="7" t="s">
        <v>140</v>
      </c>
      <c r="E60" s="72" t="s">
        <v>141</v>
      </c>
      <c r="F60" s="18" t="s">
        <v>517</v>
      </c>
      <c r="G60" s="10">
        <v>4</v>
      </c>
      <c r="H60" s="10">
        <v>4</v>
      </c>
      <c r="I60" s="10">
        <v>929.92</v>
      </c>
      <c r="J60" s="11">
        <v>848000000</v>
      </c>
      <c r="K60" s="11">
        <f t="shared" si="2"/>
        <v>932800000.00000012</v>
      </c>
      <c r="L60" s="37">
        <f t="shared" si="3"/>
        <v>8.48</v>
      </c>
      <c r="M60" s="3" t="s">
        <v>518</v>
      </c>
      <c r="N60" t="s">
        <v>53</v>
      </c>
      <c r="O60" s="21" t="s">
        <v>519</v>
      </c>
      <c r="P60" s="21"/>
      <c r="Q60" s="21" t="s">
        <v>2162</v>
      </c>
      <c r="R60" s="23" t="s">
        <v>520</v>
      </c>
      <c r="S60" s="50" t="s">
        <v>81</v>
      </c>
      <c r="T60" s="48"/>
      <c r="U60" s="82" t="s">
        <v>197</v>
      </c>
      <c r="V60" s="32"/>
      <c r="W60" s="200" t="s">
        <v>258</v>
      </c>
      <c r="X60" s="17" t="s">
        <v>272</v>
      </c>
      <c r="Z60">
        <v>10</v>
      </c>
      <c r="AA60" s="416"/>
      <c r="AB60" s="95">
        <v>4</v>
      </c>
      <c r="AC60" s="102" t="s">
        <v>63</v>
      </c>
      <c r="AD60" s="41">
        <f t="shared" si="4"/>
        <v>1858.56</v>
      </c>
      <c r="AE60" s="70">
        <f>SUMIFS($I:$I,$C:$C, $AE$2,$G:$G, $Z60,$H:$H, $AB60)</f>
        <v>1449.6</v>
      </c>
      <c r="AF60" s="70">
        <f>SUMIFS($I:$I,$C:$C, $AF$2,$G:$G, $Z60,$H:$H, $AB60)</f>
        <v>408.96</v>
      </c>
      <c r="AG60" s="70">
        <f>SUMIFS($I:$I,$C:$C, $AG$2,$G:$G, $Z60,$H:$H, $AB60)</f>
        <v>0</v>
      </c>
      <c r="AH60" s="109">
        <f>SUMIFS($I:$I,$C:$C, $AH$2,$G:$G, $Z60,$H:$H, $AB60)</f>
        <v>0</v>
      </c>
      <c r="AI60" s="120">
        <f t="shared" si="5"/>
        <v>9</v>
      </c>
      <c r="AJ60" s="121">
        <f>COUNTIFS($C:$C, $AJ$2,$G:$G, $Z60,$H:$H, $AB60)</f>
        <v>7</v>
      </c>
      <c r="AK60" s="121">
        <f>COUNTIFS($C:$C, $AK$2,$G:$G, $Z60,$H:$H, $AB60)</f>
        <v>2</v>
      </c>
      <c r="AL60" s="121">
        <f>COUNTIFS($C:$C, $AL$2,$G:$G, $Z60,$H:$H, $AB60)</f>
        <v>0</v>
      </c>
      <c r="AM60" s="122">
        <f>COUNTIFS($C:$C, $AM$2,$G:$G, $Z60,$H:$H, $AB60)</f>
        <v>0</v>
      </c>
      <c r="AN60" s="41">
        <f t="shared" si="6"/>
        <v>13.82</v>
      </c>
      <c r="AO60" s="70">
        <f>SUMIFS($L:$L,$C:$C, $AO$2,$G:$G, $Z60,$H:$H, $AB60)</f>
        <v>9.9499999999999993</v>
      </c>
      <c r="AP60" s="70">
        <f>SUMIFS($L:$L,$C:$C, $AP$2,$G:$G, $Z60,$H:$H, $AB60)</f>
        <v>3.87</v>
      </c>
      <c r="AQ60" s="70">
        <f>SUMIFS($L:$L,$C:$C, $AQ$2,$G:$G, $Z60,$H:$H, $AB60)</f>
        <v>0</v>
      </c>
      <c r="AR60" s="70">
        <f>SUMIFS($L:$L,$C:$C, $AR$2,$G:$G, $Z60,$H:$H, $AB60)</f>
        <v>0</v>
      </c>
    </row>
    <row r="61" spans="2:44" x14ac:dyDescent="0.25">
      <c r="B61" s="17">
        <v>59</v>
      </c>
      <c r="C61" s="10" t="s">
        <v>136</v>
      </c>
      <c r="D61" s="7" t="s">
        <v>140</v>
      </c>
      <c r="E61" s="72" t="s">
        <v>530</v>
      </c>
      <c r="F61" s="18" t="s">
        <v>523</v>
      </c>
      <c r="G61" s="10">
        <v>5</v>
      </c>
      <c r="H61" s="10">
        <v>1</v>
      </c>
      <c r="I61" s="10">
        <v>1236.48</v>
      </c>
      <c r="J61" s="11">
        <v>1200000000</v>
      </c>
      <c r="K61" s="11">
        <f t="shared" si="2"/>
        <v>1320000000</v>
      </c>
      <c r="L61" s="37">
        <f t="shared" si="3"/>
        <v>12</v>
      </c>
      <c r="M61" s="3" t="s">
        <v>190</v>
      </c>
      <c r="N61" t="s">
        <v>524</v>
      </c>
      <c r="O61" s="21" t="s">
        <v>525</v>
      </c>
      <c r="P61" s="21">
        <v>52</v>
      </c>
      <c r="Q61" s="21" t="s">
        <v>2160</v>
      </c>
      <c r="R61" s="23" t="s">
        <v>526</v>
      </c>
      <c r="S61" s="50" t="s">
        <v>81</v>
      </c>
      <c r="T61" s="48" t="s">
        <v>527</v>
      </c>
      <c r="U61" s="82" t="s">
        <v>197</v>
      </c>
      <c r="V61" s="32"/>
      <c r="W61" s="200" t="s">
        <v>528</v>
      </c>
      <c r="X61" s="17" t="s">
        <v>529</v>
      </c>
      <c r="Z61">
        <v>10</v>
      </c>
      <c r="AA61" s="416"/>
      <c r="AB61" s="96">
        <v>5</v>
      </c>
      <c r="AC61" s="56" t="s">
        <v>64</v>
      </c>
      <c r="AD61" s="41">
        <f t="shared" si="4"/>
        <v>1454.7799999999997</v>
      </c>
      <c r="AE61" s="70">
        <f>SUMIFS($I:$I,$C:$C, $AE$2,$G:$G, $Z61,$H:$H, $AB61)</f>
        <v>1086.1399999999999</v>
      </c>
      <c r="AF61" s="70">
        <f>SUMIFS($I:$I,$C:$C, $AF$2,$G:$G, $Z61,$H:$H, $AB61)</f>
        <v>368.64</v>
      </c>
      <c r="AG61" s="70">
        <f>SUMIFS($I:$I,$C:$C, $AG$2,$G:$G, $Z61,$H:$H, $AB61)</f>
        <v>0</v>
      </c>
      <c r="AH61" s="109">
        <f>SUMIFS($I:$I,$C:$C, $AH$2,$G:$G, $Z61,$H:$H, $AB61)</f>
        <v>0</v>
      </c>
      <c r="AI61" s="120">
        <f t="shared" si="5"/>
        <v>6</v>
      </c>
      <c r="AJ61" s="121">
        <f>COUNTIFS($C:$C, $AJ$2,$G:$G, $Z61,$H:$H, $AB61)</f>
        <v>5</v>
      </c>
      <c r="AK61" s="121">
        <f>COUNTIFS($C:$C, $AK$2,$G:$G, $Z61,$H:$H, $AB61)</f>
        <v>1</v>
      </c>
      <c r="AL61" s="121">
        <f>COUNTIFS($C:$C, $AL$2,$G:$G, $Z61,$H:$H, $AB61)</f>
        <v>0</v>
      </c>
      <c r="AM61" s="122">
        <f>COUNTIFS($C:$C, $AM$2,$G:$G, $Z61,$H:$H, $AB61)</f>
        <v>0</v>
      </c>
      <c r="AN61" s="41">
        <f t="shared" si="6"/>
        <v>13.510000000000002</v>
      </c>
      <c r="AO61" s="70">
        <f>SUMIFS($L:$L,$C:$C, $AO$2,$G:$G, $Z61,$H:$H, $AB61)</f>
        <v>9.8800000000000008</v>
      </c>
      <c r="AP61" s="70">
        <f>SUMIFS($L:$L,$C:$C, $AP$2,$G:$G, $Z61,$H:$H, $AB61)</f>
        <v>3.63</v>
      </c>
      <c r="AQ61" s="70">
        <f>SUMIFS($L:$L,$C:$C, $AQ$2,$G:$G, $Z61,$H:$H, $AB61)</f>
        <v>0</v>
      </c>
      <c r="AR61" s="70">
        <f>SUMIFS($L:$L,$C:$C, $AR$2,$G:$G, $Z61,$H:$H, $AB61)</f>
        <v>0</v>
      </c>
    </row>
    <row r="62" spans="2:44" ht="14.25" thickBot="1" x14ac:dyDescent="0.3">
      <c r="B62" s="17">
        <v>60</v>
      </c>
      <c r="C62" s="10" t="s">
        <v>136</v>
      </c>
      <c r="D62" s="7" t="s">
        <v>140</v>
      </c>
      <c r="E62" s="72" t="s">
        <v>575</v>
      </c>
      <c r="F62" s="18" t="s">
        <v>531</v>
      </c>
      <c r="G62" s="10">
        <v>5</v>
      </c>
      <c r="H62" s="10">
        <v>1</v>
      </c>
      <c r="I62" s="10">
        <v>332.16</v>
      </c>
      <c r="J62" s="11">
        <v>340000000</v>
      </c>
      <c r="K62" s="11">
        <f t="shared" si="2"/>
        <v>374000000.00000006</v>
      </c>
      <c r="L62" s="37">
        <f t="shared" si="3"/>
        <v>3.4</v>
      </c>
      <c r="M62" s="3" t="s">
        <v>532</v>
      </c>
      <c r="N62" t="s">
        <v>533</v>
      </c>
      <c r="O62" s="21" t="s">
        <v>534</v>
      </c>
      <c r="P62" s="21">
        <v>53</v>
      </c>
      <c r="Q62" s="21" t="s">
        <v>2160</v>
      </c>
      <c r="R62" s="23" t="s">
        <v>535</v>
      </c>
      <c r="S62" s="50" t="s">
        <v>81</v>
      </c>
      <c r="T62" s="48" t="s">
        <v>978</v>
      </c>
      <c r="U62" s="82" t="s">
        <v>197</v>
      </c>
      <c r="V62" s="32" t="s">
        <v>536</v>
      </c>
      <c r="W62" s="200" t="s">
        <v>258</v>
      </c>
      <c r="X62" s="17" t="s">
        <v>272</v>
      </c>
      <c r="Z62">
        <v>10</v>
      </c>
      <c r="AA62" s="417"/>
      <c r="AB62" s="97" t="s">
        <v>3</v>
      </c>
      <c r="AC62" s="106"/>
      <c r="AD62" s="99">
        <f>SUM(AD57:AD61)</f>
        <v>9598.14</v>
      </c>
      <c r="AE62" s="99">
        <f t="shared" ref="AE62" si="144">SUM(AE57:AE61)</f>
        <v>6735.42</v>
      </c>
      <c r="AF62" s="99">
        <f t="shared" ref="AF62" si="145">SUM(AF57:AF61)</f>
        <v>2862.72</v>
      </c>
      <c r="AG62" s="99">
        <f t="shared" ref="AG62" si="146">SUM(AG57:AG61)</f>
        <v>0</v>
      </c>
      <c r="AH62" s="110">
        <f t="shared" ref="AH62" si="147">SUM(AH57:AH61)</f>
        <v>0</v>
      </c>
      <c r="AI62" s="123">
        <f t="shared" ref="AI62" si="148">SUM(AI57:AI61)</f>
        <v>42</v>
      </c>
      <c r="AJ62" s="124">
        <f t="shared" ref="AJ62" si="149">SUM(AJ57:AJ61)</f>
        <v>30</v>
      </c>
      <c r="AK62" s="124">
        <f t="shared" ref="AK62" si="150">SUM(AK57:AK61)</f>
        <v>12</v>
      </c>
      <c r="AL62" s="124">
        <f t="shared" ref="AL62" si="151">SUM(AL57:AL61)</f>
        <v>0</v>
      </c>
      <c r="AM62" s="125">
        <f t="shared" ref="AM62" si="152">SUM(AM57:AM61)</f>
        <v>0</v>
      </c>
      <c r="AN62" s="99">
        <f t="shared" ref="AN62" si="153">SUM(AN57:AN61)</f>
        <v>83.766000000000005</v>
      </c>
      <c r="AO62" s="99">
        <f t="shared" ref="AO62" si="154">SUM(AO57:AO61)</f>
        <v>56.786000000000008</v>
      </c>
      <c r="AP62" s="99">
        <f t="shared" ref="AP62" si="155">SUM(AP57:AP61)</f>
        <v>26.98</v>
      </c>
      <c r="AQ62" s="99">
        <f t="shared" ref="AQ62" si="156">SUM(AQ57:AQ61)</f>
        <v>0</v>
      </c>
      <c r="AR62" s="99">
        <f t="shared" ref="AR62" si="157">SUM(AR57:AR61)</f>
        <v>0</v>
      </c>
    </row>
    <row r="63" spans="2:44" x14ac:dyDescent="0.25">
      <c r="B63" s="17">
        <v>61</v>
      </c>
      <c r="C63" s="10" t="s">
        <v>136</v>
      </c>
      <c r="D63" s="7" t="s">
        <v>140</v>
      </c>
      <c r="E63" s="72" t="s">
        <v>576</v>
      </c>
      <c r="F63" s="18" t="s">
        <v>537</v>
      </c>
      <c r="G63" s="10">
        <v>5</v>
      </c>
      <c r="H63" s="10">
        <v>1</v>
      </c>
      <c r="I63" s="10">
        <v>1212.8</v>
      </c>
      <c r="J63" s="11">
        <v>1405000000</v>
      </c>
      <c r="K63" s="11">
        <f t="shared" si="2"/>
        <v>1545500000.0000002</v>
      </c>
      <c r="L63" s="37">
        <f t="shared" si="3"/>
        <v>14.05</v>
      </c>
      <c r="M63" s="3" t="s">
        <v>538</v>
      </c>
      <c r="N63" t="s">
        <v>539</v>
      </c>
      <c r="O63" s="21" t="s">
        <v>540</v>
      </c>
      <c r="P63" s="21">
        <v>54</v>
      </c>
      <c r="Q63" s="21" t="s">
        <v>2163</v>
      </c>
      <c r="R63" s="23" t="s">
        <v>541</v>
      </c>
      <c r="S63" s="50" t="s">
        <v>81</v>
      </c>
      <c r="T63" s="48" t="s">
        <v>542</v>
      </c>
      <c r="U63" s="82" t="s">
        <v>150</v>
      </c>
      <c r="V63" s="32" t="s">
        <v>543</v>
      </c>
      <c r="W63" s="200" t="s">
        <v>259</v>
      </c>
      <c r="X63" s="17" t="s">
        <v>272</v>
      </c>
      <c r="Z63">
        <v>11</v>
      </c>
      <c r="AA63" s="415">
        <v>11</v>
      </c>
      <c r="AB63" s="94">
        <v>1</v>
      </c>
      <c r="AC63" s="100" t="s">
        <v>129</v>
      </c>
      <c r="AD63" s="41">
        <f t="shared" si="4"/>
        <v>3550.3200000000006</v>
      </c>
      <c r="AE63" s="70">
        <f>SUMIFS($I:$I,$C:$C, $AE$2,$G:$G, $Z63,$H:$H, $AB63)</f>
        <v>2996.7450000000003</v>
      </c>
      <c r="AF63" s="70">
        <f>SUMIFS($I:$I,$C:$C, $AF$2,$G:$G, $Z63,$H:$H, $AB63)</f>
        <v>553.57500000000005</v>
      </c>
      <c r="AG63" s="70">
        <f>SUMIFS($I:$I,$C:$C, $AG$2,$G:$G, $Z63,$H:$H, $AB63)</f>
        <v>0</v>
      </c>
      <c r="AH63" s="109">
        <f>SUMIFS($I:$I,$C:$C, $AH$2,$G:$G, $Z63,$H:$H, $AB63)</f>
        <v>0</v>
      </c>
      <c r="AI63" s="120">
        <f t="shared" si="5"/>
        <v>12</v>
      </c>
      <c r="AJ63" s="121">
        <f>COUNTIFS($C:$C, $AJ$2,$G:$G, $Z63,$H:$H, $AB63)</f>
        <v>10</v>
      </c>
      <c r="AK63" s="121">
        <f>COUNTIFS($C:$C, $AK$2,$G:$G, $Z63,$H:$H, $AB63)</f>
        <v>2</v>
      </c>
      <c r="AL63" s="121">
        <f>COUNTIFS($C:$C, $AL$2,$G:$G, $Z63,$H:$H, $AB63)</f>
        <v>0</v>
      </c>
      <c r="AM63" s="122">
        <f>COUNTIFS($C:$C, $AM$2,$G:$G, $Z63,$H:$H, $AB63)</f>
        <v>0</v>
      </c>
      <c r="AN63" s="41">
        <f t="shared" si="6"/>
        <v>31.780000000000005</v>
      </c>
      <c r="AO63" s="70">
        <f>SUMIFS($L:$L,$C:$C, $AO$2,$G:$G, $Z63,$H:$H, $AB63)</f>
        <v>26.640000000000004</v>
      </c>
      <c r="AP63" s="70">
        <f>SUMIFS($L:$L,$C:$C, $AP$2,$G:$G, $Z63,$H:$H, $AB63)</f>
        <v>5.1400000000000006</v>
      </c>
      <c r="AQ63" s="70">
        <f>SUMIFS($L:$L,$C:$C, $AQ$2,$G:$G, $Z63,$H:$H, $AB63)</f>
        <v>0</v>
      </c>
      <c r="AR63" s="70">
        <f>SUMIFS($L:$L,$C:$C, $AR$2,$G:$G, $Z63,$H:$H, $AB63)</f>
        <v>0</v>
      </c>
    </row>
    <row r="64" spans="2:44" x14ac:dyDescent="0.25">
      <c r="B64" s="17">
        <v>62</v>
      </c>
      <c r="C64" s="10" t="s">
        <v>136</v>
      </c>
      <c r="D64" s="7" t="s">
        <v>140</v>
      </c>
      <c r="E64" s="72" t="s">
        <v>577</v>
      </c>
      <c r="F64" s="18" t="s">
        <v>545</v>
      </c>
      <c r="G64" s="10">
        <v>5</v>
      </c>
      <c r="H64" s="10">
        <v>1</v>
      </c>
      <c r="I64" s="10">
        <v>209.92</v>
      </c>
      <c r="J64" s="11">
        <v>207000000</v>
      </c>
      <c r="K64" s="11">
        <f t="shared" si="2"/>
        <v>227700000.00000003</v>
      </c>
      <c r="L64" s="37">
        <f t="shared" si="3"/>
        <v>2.0699999999999998</v>
      </c>
      <c r="M64" s="3" t="s">
        <v>546</v>
      </c>
      <c r="N64" t="s">
        <v>547</v>
      </c>
      <c r="O64" s="21" t="s">
        <v>548</v>
      </c>
      <c r="P64" s="21">
        <v>55</v>
      </c>
      <c r="Q64" s="21" t="s">
        <v>2163</v>
      </c>
      <c r="R64" s="23" t="s">
        <v>549</v>
      </c>
      <c r="S64" s="50" t="s">
        <v>550</v>
      </c>
      <c r="T64" s="48" t="s">
        <v>551</v>
      </c>
      <c r="U64" s="82" t="s">
        <v>552</v>
      </c>
      <c r="V64" s="32" t="s">
        <v>553</v>
      </c>
      <c r="W64" s="200" t="s">
        <v>258</v>
      </c>
      <c r="X64" s="17" t="s">
        <v>272</v>
      </c>
      <c r="Z64">
        <v>11</v>
      </c>
      <c r="AA64" s="416"/>
      <c r="AB64" s="95">
        <v>2</v>
      </c>
      <c r="AC64" s="102" t="s">
        <v>65</v>
      </c>
      <c r="AD64" s="41">
        <f t="shared" si="4"/>
        <v>1914.1750000000002</v>
      </c>
      <c r="AE64" s="70">
        <f>SUMIFS($I:$I,$C:$C, $AE$2,$G:$G, $Z64,$H:$H, $AB64)</f>
        <v>1028.5550000000001</v>
      </c>
      <c r="AF64" s="70">
        <f>SUMIFS($I:$I,$C:$C, $AF$2,$G:$G, $Z64,$H:$H, $AB64)</f>
        <v>885.62</v>
      </c>
      <c r="AG64" s="70">
        <f>SUMIFS($I:$I,$C:$C, $AG$2,$G:$G, $Z64,$H:$H, $AB64)</f>
        <v>0</v>
      </c>
      <c r="AH64" s="109">
        <f>SUMIFS($I:$I,$C:$C, $AH$2,$G:$G, $Z64,$H:$H, $AB64)</f>
        <v>0</v>
      </c>
      <c r="AI64" s="120">
        <f t="shared" si="5"/>
        <v>8</v>
      </c>
      <c r="AJ64" s="121">
        <f>COUNTIFS($C:$C, $AJ$2,$G:$G, $Z64,$H:$H, $AB64)</f>
        <v>5</v>
      </c>
      <c r="AK64" s="121">
        <f>COUNTIFS($C:$C, $AK$2,$G:$G, $Z64,$H:$H, $AB64)</f>
        <v>3</v>
      </c>
      <c r="AL64" s="121">
        <f>COUNTIFS($C:$C, $AL$2,$G:$G, $Z64,$H:$H, $AB64)</f>
        <v>0</v>
      </c>
      <c r="AM64" s="122">
        <f>COUNTIFS($C:$C, $AM$2,$G:$G, $Z64,$H:$H, $AB64)</f>
        <v>0</v>
      </c>
      <c r="AN64" s="41">
        <f t="shared" si="6"/>
        <v>17.73</v>
      </c>
      <c r="AO64" s="70">
        <f>SUMIFS($L:$L,$C:$C, $AO$2,$G:$G, $Z64,$H:$H, $AB64)</f>
        <v>9.370000000000001</v>
      </c>
      <c r="AP64" s="70">
        <f>SUMIFS($L:$L,$C:$C, $AP$2,$G:$G, $Z64,$H:$H, $AB64)</f>
        <v>8.36</v>
      </c>
      <c r="AQ64" s="70">
        <f>SUMIFS($L:$L,$C:$C, $AQ$2,$G:$G, $Z64,$H:$H, $AB64)</f>
        <v>0</v>
      </c>
      <c r="AR64" s="70">
        <f>SUMIFS($L:$L,$C:$C, $AR$2,$G:$G, $Z64,$H:$H, $AB64)</f>
        <v>0</v>
      </c>
    </row>
    <row r="65" spans="2:44" x14ac:dyDescent="0.25">
      <c r="B65" s="17">
        <v>63</v>
      </c>
      <c r="C65" s="10" t="s">
        <v>136</v>
      </c>
      <c r="D65" s="7" t="s">
        <v>544</v>
      </c>
      <c r="E65" s="72" t="s">
        <v>578</v>
      </c>
      <c r="F65" s="18" t="s">
        <v>545</v>
      </c>
      <c r="G65" s="10">
        <v>5</v>
      </c>
      <c r="H65" s="10">
        <v>1</v>
      </c>
      <c r="I65" s="10">
        <v>60.16</v>
      </c>
      <c r="J65" s="11">
        <v>63000000</v>
      </c>
      <c r="K65" s="11">
        <f t="shared" ref="K65" si="158">J65*1.1</f>
        <v>69300000</v>
      </c>
      <c r="L65" s="37">
        <f t="shared" ref="L65" si="159">J65*0.00000001</f>
        <v>0.63</v>
      </c>
      <c r="M65" s="3" t="s">
        <v>546</v>
      </c>
      <c r="N65" t="s">
        <v>547</v>
      </c>
      <c r="O65" s="21" t="s">
        <v>554</v>
      </c>
      <c r="P65" s="21">
        <v>55</v>
      </c>
      <c r="Q65" s="21" t="s">
        <v>2163</v>
      </c>
      <c r="R65" s="23" t="s">
        <v>549</v>
      </c>
      <c r="S65" s="50" t="s">
        <v>550</v>
      </c>
      <c r="T65" s="48" t="s">
        <v>551</v>
      </c>
      <c r="U65" s="82" t="s">
        <v>552</v>
      </c>
      <c r="V65" s="32" t="s">
        <v>553</v>
      </c>
      <c r="W65" s="200" t="s">
        <v>258</v>
      </c>
      <c r="X65" s="17" t="s">
        <v>272</v>
      </c>
      <c r="Z65">
        <v>11</v>
      </c>
      <c r="AA65" s="416"/>
      <c r="AB65" s="95">
        <v>3</v>
      </c>
      <c r="AC65" s="102" t="s">
        <v>66</v>
      </c>
      <c r="AD65" s="41">
        <f t="shared" si="4"/>
        <v>1629.27</v>
      </c>
      <c r="AE65" s="70">
        <f>SUMIFS($I:$I,$C:$C, $AE$2,$G:$G, $Z65,$H:$H, $AB65)</f>
        <v>1388.04</v>
      </c>
      <c r="AF65" s="70">
        <f>SUMIFS($I:$I,$C:$C, $AF$2,$G:$G, $Z65,$H:$H, $AB65)</f>
        <v>241.23</v>
      </c>
      <c r="AG65" s="70">
        <f>SUMIFS($I:$I,$C:$C, $AG$2,$G:$G, $Z65,$H:$H, $AB65)</f>
        <v>0</v>
      </c>
      <c r="AH65" s="109">
        <f>SUMIFS($I:$I,$C:$C, $AH$2,$G:$G, $Z65,$H:$H, $AB65)</f>
        <v>0</v>
      </c>
      <c r="AI65" s="120">
        <f t="shared" si="5"/>
        <v>6</v>
      </c>
      <c r="AJ65" s="121">
        <f>COUNTIFS($C:$C, $AJ$2,$G:$G, $Z65,$H:$H, $AB65)</f>
        <v>5</v>
      </c>
      <c r="AK65" s="121">
        <f>COUNTIFS($C:$C, $AK$2,$G:$G, $Z65,$H:$H, $AB65)</f>
        <v>1</v>
      </c>
      <c r="AL65" s="121">
        <f>COUNTIFS($C:$C, $AL$2,$G:$G, $Z65,$H:$H, $AB65)</f>
        <v>0</v>
      </c>
      <c r="AM65" s="122">
        <f>COUNTIFS($C:$C, $AM$2,$G:$G, $Z65,$H:$H, $AB65)</f>
        <v>0</v>
      </c>
      <c r="AN65" s="41">
        <f t="shared" si="6"/>
        <v>15.490000000000002</v>
      </c>
      <c r="AO65" s="70">
        <f>SUMIFS($L:$L,$C:$C, $AO$2,$G:$G, $Z65,$H:$H, $AB65)</f>
        <v>13.21</v>
      </c>
      <c r="AP65" s="70">
        <f>SUMIFS($L:$L,$C:$C, $AP$2,$G:$G, $Z65,$H:$H, $AB65)</f>
        <v>2.2800000000000002</v>
      </c>
      <c r="AQ65" s="70">
        <f>SUMIFS($L:$L,$C:$C, $AQ$2,$G:$G, $Z65,$H:$H, $AB65)</f>
        <v>0</v>
      </c>
      <c r="AR65" s="70">
        <f>SUMIFS($L:$L,$C:$C, $AR$2,$G:$G, $Z65,$H:$H, $AB65)</f>
        <v>0</v>
      </c>
    </row>
    <row r="66" spans="2:44" x14ac:dyDescent="0.25">
      <c r="B66" s="17">
        <v>64</v>
      </c>
      <c r="C66" s="10" t="s">
        <v>136</v>
      </c>
      <c r="D66" s="7" t="s">
        <v>140</v>
      </c>
      <c r="E66" s="72" t="s">
        <v>579</v>
      </c>
      <c r="F66" s="18" t="s">
        <v>555</v>
      </c>
      <c r="G66" s="10">
        <v>5</v>
      </c>
      <c r="H66" s="10">
        <v>1</v>
      </c>
      <c r="I66" s="10">
        <v>117.12</v>
      </c>
      <c r="J66" s="11">
        <v>120000000</v>
      </c>
      <c r="K66" s="11">
        <f t="shared" si="2"/>
        <v>132000000.00000001</v>
      </c>
      <c r="L66" s="37">
        <f t="shared" si="3"/>
        <v>1.2</v>
      </c>
      <c r="M66" s="3" t="s">
        <v>556</v>
      </c>
      <c r="N66" t="s">
        <v>557</v>
      </c>
      <c r="O66" s="21" t="s">
        <v>558</v>
      </c>
      <c r="P66" s="21">
        <v>56</v>
      </c>
      <c r="Q66" s="21" t="s">
        <v>2160</v>
      </c>
      <c r="R66" s="23" t="s">
        <v>559</v>
      </c>
      <c r="S66" s="50" t="s">
        <v>81</v>
      </c>
      <c r="T66" s="48" t="s">
        <v>560</v>
      </c>
      <c r="U66" s="82" t="s">
        <v>197</v>
      </c>
      <c r="V66" s="32" t="s">
        <v>561</v>
      </c>
      <c r="W66" s="200" t="s">
        <v>259</v>
      </c>
      <c r="X66" s="17" t="s">
        <v>272</v>
      </c>
      <c r="Z66">
        <v>11</v>
      </c>
      <c r="AA66" s="416"/>
      <c r="AB66" s="95">
        <v>4</v>
      </c>
      <c r="AC66" s="102" t="s">
        <v>67</v>
      </c>
      <c r="AD66" s="41">
        <f t="shared" si="4"/>
        <v>1904.1200000000001</v>
      </c>
      <c r="AE66" s="70">
        <f>SUMIFS($I:$I,$C:$C, $AE$2,$G:$G, $Z66,$H:$H, $AB66)</f>
        <v>1849.94</v>
      </c>
      <c r="AF66" s="70">
        <f>SUMIFS($I:$I,$C:$C, $AF$2,$G:$G, $Z66,$H:$H, $AB66)</f>
        <v>54.18</v>
      </c>
      <c r="AG66" s="70">
        <f>SUMIFS($I:$I,$C:$C, $AG$2,$G:$G, $Z66,$H:$H, $AB66)</f>
        <v>0</v>
      </c>
      <c r="AH66" s="109">
        <f>SUMIFS($I:$I,$C:$C, $AH$2,$G:$G, $Z66,$H:$H, $AB66)</f>
        <v>0</v>
      </c>
      <c r="AI66" s="120">
        <f t="shared" si="5"/>
        <v>5</v>
      </c>
      <c r="AJ66" s="121">
        <f>COUNTIFS($C:$C, $AJ$2,$G:$G, $Z66,$H:$H, $AB66)</f>
        <v>4</v>
      </c>
      <c r="AK66" s="121">
        <f>COUNTIFS($C:$C, $AK$2,$G:$G, $Z66,$H:$H, $AB66)</f>
        <v>1</v>
      </c>
      <c r="AL66" s="121">
        <f>COUNTIFS($C:$C, $AL$2,$G:$G, $Z66,$H:$H, $AB66)</f>
        <v>0</v>
      </c>
      <c r="AM66" s="122">
        <f>COUNTIFS($C:$C, $AM$2,$G:$G, $Z66,$H:$H, $AB66)</f>
        <v>0</v>
      </c>
      <c r="AN66" s="41">
        <f t="shared" si="6"/>
        <v>16.814800000000002</v>
      </c>
      <c r="AO66" s="70">
        <f>SUMIFS($L:$L,$C:$C, $AO$2,$G:$G, $Z66,$H:$H, $AB66)</f>
        <v>16.2148</v>
      </c>
      <c r="AP66" s="70">
        <f>SUMIFS($L:$L,$C:$C, $AP$2,$G:$G, $Z66,$H:$H, $AB66)</f>
        <v>0.6</v>
      </c>
      <c r="AQ66" s="70">
        <f>SUMIFS($L:$L,$C:$C, $AQ$2,$G:$G, $Z66,$H:$H, $AB66)</f>
        <v>0</v>
      </c>
      <c r="AR66" s="70">
        <f>SUMIFS($L:$L,$C:$C, $AR$2,$G:$G, $Z66,$H:$H, $AB66)</f>
        <v>0</v>
      </c>
    </row>
    <row r="67" spans="2:44" x14ac:dyDescent="0.25">
      <c r="B67" s="17">
        <v>65</v>
      </c>
      <c r="C67" s="10" t="s">
        <v>137</v>
      </c>
      <c r="D67" s="7" t="s">
        <v>140</v>
      </c>
      <c r="E67" s="72" t="s">
        <v>291</v>
      </c>
      <c r="F67" s="18" t="s">
        <v>562</v>
      </c>
      <c r="G67" s="10">
        <v>5</v>
      </c>
      <c r="H67" s="10">
        <v>1</v>
      </c>
      <c r="I67" s="10">
        <v>216.32</v>
      </c>
      <c r="J67" s="11">
        <v>23300000</v>
      </c>
      <c r="K67" s="11">
        <f t="shared" si="2"/>
        <v>25630000.000000004</v>
      </c>
      <c r="L67" s="37">
        <f t="shared" si="3"/>
        <v>0.23300000000000001</v>
      </c>
      <c r="M67" s="3" t="s">
        <v>563</v>
      </c>
      <c r="N67" t="s">
        <v>189</v>
      </c>
      <c r="O67" s="21" t="s">
        <v>564</v>
      </c>
      <c r="P67" s="21">
        <v>57</v>
      </c>
      <c r="Q67" s="21" t="s">
        <v>2138</v>
      </c>
      <c r="R67" s="23" t="s">
        <v>565</v>
      </c>
      <c r="S67" s="50" t="s">
        <v>81</v>
      </c>
      <c r="T67" s="48" t="s">
        <v>566</v>
      </c>
      <c r="U67" s="82" t="s">
        <v>197</v>
      </c>
      <c r="V67" s="32" t="s">
        <v>567</v>
      </c>
      <c r="W67" s="200" t="s">
        <v>259</v>
      </c>
      <c r="X67" s="17" t="s">
        <v>272</v>
      </c>
      <c r="Z67">
        <v>11</v>
      </c>
      <c r="AA67" s="416"/>
      <c r="AB67" s="96">
        <v>5</v>
      </c>
      <c r="AC67" s="105"/>
      <c r="AD67" s="41">
        <f t="shared" si="4"/>
        <v>0</v>
      </c>
      <c r="AE67" s="70">
        <f>SUMIFS($I:$I,$C:$C, $AE$2,$G:$G, $Z67,$H:$H, $AB67)</f>
        <v>0</v>
      </c>
      <c r="AF67" s="70">
        <f>SUMIFS($I:$I,$C:$C, $AF$2,$G:$G, $Z67,$H:$H, $AB67)</f>
        <v>0</v>
      </c>
      <c r="AG67" s="70">
        <f>SUMIFS($I:$I,$C:$C, $AG$2,$G:$G, $Z67,$H:$H, $AB67)</f>
        <v>0</v>
      </c>
      <c r="AH67" s="109">
        <f>SUMIFS($I:$I,$C:$C, $AH$2,$G:$G, $Z67,$H:$H, $AB67)</f>
        <v>0</v>
      </c>
      <c r="AI67" s="120">
        <f t="shared" si="5"/>
        <v>0</v>
      </c>
      <c r="AJ67" s="121">
        <f>COUNTIFS($C:$C, $AJ$2,$G:$G, $Z67,$H:$H, $AB67)</f>
        <v>0</v>
      </c>
      <c r="AK67" s="121">
        <f>COUNTIFS($C:$C, $AK$2,$G:$G, $Z67,$H:$H, $AB67)</f>
        <v>0</v>
      </c>
      <c r="AL67" s="121">
        <f>COUNTIFS($C:$C, $AL$2,$G:$G, $Z67,$H:$H, $AB67)</f>
        <v>0</v>
      </c>
      <c r="AM67" s="122">
        <f>COUNTIFS($C:$C, $AM$2,$G:$G, $Z67,$H:$H, $AB67)</f>
        <v>0</v>
      </c>
      <c r="AN67" s="41">
        <f t="shared" si="6"/>
        <v>0</v>
      </c>
      <c r="AO67" s="70">
        <f>SUMIFS($L:$L,$C:$C, $AO$2,$G:$G, $Z67,$H:$H, $AB67)</f>
        <v>0</v>
      </c>
      <c r="AP67" s="70">
        <f>SUMIFS($L:$L,$C:$C, $AP$2,$G:$G, $Z67,$H:$H, $AB67)</f>
        <v>0</v>
      </c>
      <c r="AQ67" s="70">
        <f>SUMIFS($L:$L,$C:$C, $AQ$2,$G:$G, $Z67,$H:$H, $AB67)</f>
        <v>0</v>
      </c>
      <c r="AR67" s="70">
        <f>SUMIFS($L:$L,$C:$C, $AR$2,$G:$G, $Z67,$H:$H, $AB67)</f>
        <v>0</v>
      </c>
    </row>
    <row r="68" spans="2:44" ht="14.25" thickBot="1" x14ac:dyDescent="0.3">
      <c r="B68" s="17">
        <v>66</v>
      </c>
      <c r="C68" s="10" t="s">
        <v>136</v>
      </c>
      <c r="D68" s="7" t="s">
        <v>140</v>
      </c>
      <c r="E68" s="72" t="s">
        <v>580</v>
      </c>
      <c r="F68" s="18" t="s">
        <v>568</v>
      </c>
      <c r="G68" s="10">
        <v>5</v>
      </c>
      <c r="H68" s="10">
        <v>1</v>
      </c>
      <c r="I68" s="10">
        <v>89.6</v>
      </c>
      <c r="J68" s="11">
        <v>81000000</v>
      </c>
      <c r="K68" s="11">
        <f t="shared" ref="K68:K130" si="160">J68*1.1</f>
        <v>89100000</v>
      </c>
      <c r="L68" s="37">
        <f t="shared" ref="L68:L130" si="161">J68*0.00000001</f>
        <v>0.81</v>
      </c>
      <c r="M68" s="3" t="s">
        <v>327</v>
      </c>
      <c r="N68" t="s">
        <v>30</v>
      </c>
      <c r="O68" s="21" t="s">
        <v>569</v>
      </c>
      <c r="P68" s="21">
        <v>58</v>
      </c>
      <c r="Q68" s="21" t="s">
        <v>2161</v>
      </c>
      <c r="R68" s="23" t="s">
        <v>570</v>
      </c>
      <c r="S68" s="50" t="s">
        <v>81</v>
      </c>
      <c r="T68" s="48" t="s">
        <v>571</v>
      </c>
      <c r="U68" s="82" t="s">
        <v>85</v>
      </c>
      <c r="V68" s="32" t="s">
        <v>572</v>
      </c>
      <c r="W68" s="200" t="s">
        <v>573</v>
      </c>
      <c r="X68" s="17" t="s">
        <v>272</v>
      </c>
      <c r="Z68">
        <v>11</v>
      </c>
      <c r="AA68" s="417"/>
      <c r="AB68" s="97" t="s">
        <v>3</v>
      </c>
      <c r="AC68" s="106"/>
      <c r="AD68" s="99">
        <f>SUM(AD63:AD67)</f>
        <v>8997.885000000002</v>
      </c>
      <c r="AE68" s="99">
        <f t="shared" ref="AE68" si="162">SUM(AE63:AE67)</f>
        <v>7263.2800000000007</v>
      </c>
      <c r="AF68" s="99">
        <f t="shared" ref="AF68" si="163">SUM(AF63:AF67)</f>
        <v>1734.6050000000002</v>
      </c>
      <c r="AG68" s="99">
        <f t="shared" ref="AG68" si="164">SUM(AG63:AG67)</f>
        <v>0</v>
      </c>
      <c r="AH68" s="110">
        <f t="shared" ref="AH68" si="165">SUM(AH63:AH67)</f>
        <v>0</v>
      </c>
      <c r="AI68" s="123">
        <f t="shared" ref="AI68" si="166">SUM(AI63:AI67)</f>
        <v>31</v>
      </c>
      <c r="AJ68" s="124">
        <f t="shared" ref="AJ68" si="167">SUM(AJ63:AJ67)</f>
        <v>24</v>
      </c>
      <c r="AK68" s="124">
        <f t="shared" ref="AK68" si="168">SUM(AK63:AK67)</f>
        <v>7</v>
      </c>
      <c r="AL68" s="124">
        <f t="shared" ref="AL68" si="169">SUM(AL63:AL67)</f>
        <v>0</v>
      </c>
      <c r="AM68" s="125">
        <f t="shared" ref="AM68" si="170">SUM(AM63:AM67)</f>
        <v>0</v>
      </c>
      <c r="AN68" s="99">
        <f t="shared" ref="AN68" si="171">SUM(AN63:AN67)</f>
        <v>81.814800000000005</v>
      </c>
      <c r="AO68" s="99">
        <f t="shared" ref="AO68" si="172">SUM(AO63:AO67)</f>
        <v>65.43480000000001</v>
      </c>
      <c r="AP68" s="99">
        <f t="shared" ref="AP68" si="173">SUM(AP63:AP67)</f>
        <v>16.380000000000003</v>
      </c>
      <c r="AQ68" s="99">
        <f t="shared" ref="AQ68" si="174">SUM(AQ63:AQ67)</f>
        <v>0</v>
      </c>
      <c r="AR68" s="99">
        <f t="shared" ref="AR68" si="175">SUM(AR63:AR67)</f>
        <v>0</v>
      </c>
    </row>
    <row r="69" spans="2:44" x14ac:dyDescent="0.25">
      <c r="B69" s="17">
        <v>67</v>
      </c>
      <c r="C69" s="10" t="s">
        <v>136</v>
      </c>
      <c r="D69" s="7" t="s">
        <v>140</v>
      </c>
      <c r="E69" s="72" t="s">
        <v>574</v>
      </c>
      <c r="F69" s="18" t="s">
        <v>581</v>
      </c>
      <c r="G69" s="10">
        <v>5</v>
      </c>
      <c r="H69" s="10">
        <v>1</v>
      </c>
      <c r="I69" s="10">
        <v>498.56</v>
      </c>
      <c r="J69" s="11">
        <v>430000000</v>
      </c>
      <c r="K69" s="11">
        <f t="shared" si="160"/>
        <v>473000000.00000006</v>
      </c>
      <c r="L69" s="37">
        <f t="shared" si="161"/>
        <v>4.3</v>
      </c>
      <c r="M69" s="3" t="s">
        <v>582</v>
      </c>
      <c r="N69" t="s">
        <v>583</v>
      </c>
      <c r="O69" s="21" t="s">
        <v>584</v>
      </c>
      <c r="P69" s="21">
        <v>59</v>
      </c>
      <c r="Q69" s="21" t="s">
        <v>2163</v>
      </c>
      <c r="R69" s="23" t="s">
        <v>585</v>
      </c>
      <c r="S69" s="50" t="s">
        <v>81</v>
      </c>
      <c r="T69" s="48" t="s">
        <v>586</v>
      </c>
      <c r="U69" s="82" t="s">
        <v>197</v>
      </c>
      <c r="V69" s="32"/>
      <c r="W69" s="200" t="s">
        <v>258</v>
      </c>
      <c r="X69" s="17" t="s">
        <v>272</v>
      </c>
      <c r="Z69">
        <v>12</v>
      </c>
      <c r="AA69" s="422">
        <v>12</v>
      </c>
      <c r="AB69" s="98">
        <v>1</v>
      </c>
      <c r="AC69" s="107" t="s">
        <v>130</v>
      </c>
      <c r="AD69" s="41">
        <f t="shared" ref="AD69:AD73" si="176">SUM(AE69:AH69)</f>
        <v>1372.04</v>
      </c>
      <c r="AE69" s="70">
        <f>SUMIFS($I:$I,$C:$C, $AE$2,$G:$G, $Z69,$H:$H, $AB69)</f>
        <v>939.12</v>
      </c>
      <c r="AF69" s="70">
        <f>SUMIFS($I:$I,$C:$C, $AF$2,$G:$G, $Z69,$H:$H, $AB69)</f>
        <v>432.92</v>
      </c>
      <c r="AG69" s="70">
        <f>SUMIFS($I:$I,$C:$C, $AG$2,$G:$G, $Z69,$H:$H, $AB69)</f>
        <v>0</v>
      </c>
      <c r="AH69" s="109">
        <f>SUMIFS($I:$I,$C:$C, $AH$2,$G:$G, $Z69,$H:$H, $AB69)</f>
        <v>0</v>
      </c>
      <c r="AI69" s="120">
        <f t="shared" ref="AI69:AI73" si="177">SUM(AJ69:AM69)</f>
        <v>7</v>
      </c>
      <c r="AJ69" s="121">
        <f>COUNTIFS($C:$C, $AJ$2,$G:$G, $Z69,$H:$H, $AB69)</f>
        <v>5</v>
      </c>
      <c r="AK69" s="121">
        <f>COUNTIFS($C:$C, $AK$2,$G:$G, $Z69,$H:$H, $AB69)</f>
        <v>2</v>
      </c>
      <c r="AL69" s="121">
        <f>COUNTIFS($C:$C, $AL$2,$G:$G, $Z69,$H:$H, $AB69)</f>
        <v>0</v>
      </c>
      <c r="AM69" s="122">
        <f>COUNTIFS($C:$C, $AM$2,$G:$G, $Z69,$H:$H, $AB69)</f>
        <v>0</v>
      </c>
      <c r="AN69" s="41">
        <f t="shared" ref="AN69:AN73" si="178">SUM(AO69:AR69)</f>
        <v>12.530000000000001</v>
      </c>
      <c r="AO69" s="70">
        <f>SUMIFS($L:$L,$C:$C, $AO$2,$G:$G, $Z69,$H:$H, $AB69)</f>
        <v>8.42</v>
      </c>
      <c r="AP69" s="70">
        <f>SUMIFS($L:$L,$C:$C, $AP$2,$G:$G, $Z69,$H:$H, $AB69)</f>
        <v>4.1100000000000003</v>
      </c>
      <c r="AQ69" s="70">
        <f>SUMIFS($L:$L,$C:$C, $AQ$2,$G:$G, $Z69,$H:$H, $AB69)</f>
        <v>0</v>
      </c>
      <c r="AR69" s="70">
        <f>SUMIFS($L:$L,$C:$C, $AR$2,$G:$G, $Z69,$H:$H, $AB69)</f>
        <v>0</v>
      </c>
    </row>
    <row r="70" spans="2:44" x14ac:dyDescent="0.25">
      <c r="B70" s="17">
        <v>68</v>
      </c>
      <c r="C70" s="10" t="s">
        <v>137</v>
      </c>
      <c r="D70" s="7" t="s">
        <v>140</v>
      </c>
      <c r="E70" s="72" t="s">
        <v>588</v>
      </c>
      <c r="F70" s="18" t="s">
        <v>589</v>
      </c>
      <c r="G70" s="10">
        <v>5</v>
      </c>
      <c r="H70" s="10">
        <v>1</v>
      </c>
      <c r="I70" s="10">
        <v>270.08</v>
      </c>
      <c r="J70" s="11">
        <v>265000000</v>
      </c>
      <c r="K70" s="11">
        <f t="shared" si="160"/>
        <v>291500000</v>
      </c>
      <c r="L70" s="37">
        <f t="shared" si="161"/>
        <v>2.65</v>
      </c>
      <c r="M70" s="3" t="s">
        <v>590</v>
      </c>
      <c r="N70" t="s">
        <v>591</v>
      </c>
      <c r="O70" s="21" t="s">
        <v>592</v>
      </c>
      <c r="P70" s="21">
        <v>60</v>
      </c>
      <c r="Q70" s="21" t="s">
        <v>2163</v>
      </c>
      <c r="R70" s="23" t="s">
        <v>593</v>
      </c>
      <c r="S70" s="50" t="s">
        <v>81</v>
      </c>
      <c r="T70" s="48" t="s">
        <v>594</v>
      </c>
      <c r="U70" s="82" t="s">
        <v>197</v>
      </c>
      <c r="V70" s="32" t="s">
        <v>595</v>
      </c>
      <c r="W70" s="200" t="s">
        <v>258</v>
      </c>
      <c r="X70" s="17" t="s">
        <v>272</v>
      </c>
      <c r="Z70">
        <v>12</v>
      </c>
      <c r="AA70" s="416"/>
      <c r="AB70" s="95">
        <v>2</v>
      </c>
      <c r="AC70" s="102" t="s">
        <v>125</v>
      </c>
      <c r="AD70" s="41">
        <f t="shared" si="176"/>
        <v>1359.07</v>
      </c>
      <c r="AE70" s="70">
        <f>SUMIFS($I:$I,$C:$C, $AE$2,$G:$G, $Z70,$H:$H, $AB70)</f>
        <v>288.95999999999998</v>
      </c>
      <c r="AF70" s="70">
        <f>SUMIFS($I:$I,$C:$C, $AF$2,$G:$G, $Z70,$H:$H, $AB70)</f>
        <v>1070.1099999999999</v>
      </c>
      <c r="AG70" s="70">
        <f>SUMIFS($I:$I,$C:$C, $AG$2,$G:$G, $Z70,$H:$H, $AB70)</f>
        <v>0</v>
      </c>
      <c r="AH70" s="109">
        <f>SUMIFS($I:$I,$C:$C, $AH$2,$G:$G, $Z70,$H:$H, $AB70)</f>
        <v>0</v>
      </c>
      <c r="AI70" s="120">
        <f t="shared" si="177"/>
        <v>5</v>
      </c>
      <c r="AJ70" s="121">
        <f>COUNTIFS($C:$C, $AJ$2,$G:$G, $Z70,$H:$H, $AB70)</f>
        <v>2</v>
      </c>
      <c r="AK70" s="121">
        <f>COUNTIFS($C:$C, $AK$2,$G:$G, $Z70,$H:$H, $AB70)</f>
        <v>3</v>
      </c>
      <c r="AL70" s="121">
        <f>COUNTIFS($C:$C, $AL$2,$G:$G, $Z70,$H:$H, $AB70)</f>
        <v>0</v>
      </c>
      <c r="AM70" s="122">
        <f>COUNTIFS($C:$C, $AM$2,$G:$G, $Z70,$H:$H, $AB70)</f>
        <v>0</v>
      </c>
      <c r="AN70" s="41">
        <f t="shared" si="178"/>
        <v>12.590000000000002</v>
      </c>
      <c r="AO70" s="70">
        <f>SUMIFS($L:$L,$C:$C, $AO$2,$G:$G, $Z70,$H:$H, $AB70)</f>
        <v>3.1500000000000004</v>
      </c>
      <c r="AP70" s="70">
        <f>SUMIFS($L:$L,$C:$C, $AP$2,$G:$G, $Z70,$H:$H, $AB70)</f>
        <v>9.4400000000000013</v>
      </c>
      <c r="AQ70" s="70">
        <f>SUMIFS($L:$L,$C:$C, $AQ$2,$G:$G, $Z70,$H:$H, $AB70)</f>
        <v>0</v>
      </c>
      <c r="AR70" s="70">
        <f>SUMIFS($L:$L,$C:$C, $AR$2,$G:$G, $Z70,$H:$H, $AB70)</f>
        <v>0</v>
      </c>
    </row>
    <row r="71" spans="2:44" x14ac:dyDescent="0.25">
      <c r="B71" s="17">
        <v>69</v>
      </c>
      <c r="C71" s="10" t="s">
        <v>136</v>
      </c>
      <c r="D71" s="7" t="s">
        <v>140</v>
      </c>
      <c r="E71" s="72" t="s">
        <v>596</v>
      </c>
      <c r="F71" s="18" t="s">
        <v>597</v>
      </c>
      <c r="G71" s="10">
        <v>5</v>
      </c>
      <c r="H71" s="10">
        <v>2</v>
      </c>
      <c r="I71" s="10">
        <v>154.24</v>
      </c>
      <c r="J71" s="11">
        <v>164000000</v>
      </c>
      <c r="K71" s="11">
        <f t="shared" si="160"/>
        <v>180400000</v>
      </c>
      <c r="L71" s="37">
        <f t="shared" si="161"/>
        <v>1.6400000000000001</v>
      </c>
      <c r="M71" s="3" t="s">
        <v>598</v>
      </c>
      <c r="N71" t="s">
        <v>599</v>
      </c>
      <c r="O71" s="21" t="s">
        <v>600</v>
      </c>
      <c r="P71" s="21">
        <v>61</v>
      </c>
      <c r="Q71" s="21" t="s">
        <v>2161</v>
      </c>
      <c r="R71" s="23" t="s">
        <v>601</v>
      </c>
      <c r="S71" s="50" t="s">
        <v>602</v>
      </c>
      <c r="T71" s="48" t="s">
        <v>603</v>
      </c>
      <c r="U71" s="82" t="s">
        <v>197</v>
      </c>
      <c r="V71" s="32" t="s">
        <v>606</v>
      </c>
      <c r="W71" s="200" t="s">
        <v>604</v>
      </c>
      <c r="X71" s="17" t="s">
        <v>605</v>
      </c>
      <c r="Z71">
        <v>12</v>
      </c>
      <c r="AA71" s="416"/>
      <c r="AB71" s="95">
        <v>3</v>
      </c>
      <c r="AC71" s="102" t="s">
        <v>126</v>
      </c>
      <c r="AD71" s="41">
        <f t="shared" si="176"/>
        <v>1480.2750000000001</v>
      </c>
      <c r="AE71" s="70">
        <f>SUMIFS($I:$I,$C:$C, $AE$2,$G:$G, $Z71,$H:$H, $AB71)</f>
        <v>1282.905</v>
      </c>
      <c r="AF71" s="70">
        <f>SUMIFS($I:$I,$C:$C, $AF$2,$G:$G, $Z71,$H:$H, $AB71)</f>
        <v>197.37</v>
      </c>
      <c r="AG71" s="70">
        <f>SUMIFS($I:$I,$C:$C, $AG$2,$G:$G, $Z71,$H:$H, $AB71)</f>
        <v>0</v>
      </c>
      <c r="AH71" s="109">
        <f>SUMIFS($I:$I,$C:$C, $AH$2,$G:$G, $Z71,$H:$H, $AB71)</f>
        <v>0</v>
      </c>
      <c r="AI71" s="120">
        <f t="shared" si="177"/>
        <v>5</v>
      </c>
      <c r="AJ71" s="121">
        <f>COUNTIFS($C:$C, $AJ$2,$G:$G, $Z71,$H:$H, $AB71)</f>
        <v>4</v>
      </c>
      <c r="AK71" s="121">
        <f>COUNTIFS($C:$C, $AK$2,$G:$G, $Z71,$H:$H, $AB71)</f>
        <v>1</v>
      </c>
      <c r="AL71" s="121">
        <f>COUNTIFS($C:$C, $AL$2,$G:$G, $Z71,$H:$H, $AB71)</f>
        <v>0</v>
      </c>
      <c r="AM71" s="122">
        <f>COUNTIFS($C:$C, $AM$2,$G:$G, $Z71,$H:$H, $AB71)</f>
        <v>0</v>
      </c>
      <c r="AN71" s="41">
        <f t="shared" si="178"/>
        <v>14.57</v>
      </c>
      <c r="AO71" s="70">
        <f>SUMIFS($L:$L,$C:$C, $AO$2,$G:$G, $Z71,$H:$H, $AB71)</f>
        <v>12.67</v>
      </c>
      <c r="AP71" s="70">
        <f>SUMIFS($L:$L,$C:$C, $AP$2,$G:$G, $Z71,$H:$H, $AB71)</f>
        <v>1.9000000000000001</v>
      </c>
      <c r="AQ71" s="70">
        <f>SUMIFS($L:$L,$C:$C, $AQ$2,$G:$G, $Z71,$H:$H, $AB71)</f>
        <v>0</v>
      </c>
      <c r="AR71" s="70">
        <f>SUMIFS($L:$L,$C:$C, $AR$2,$G:$G, $Z71,$H:$H, $AB71)</f>
        <v>0</v>
      </c>
    </row>
    <row r="72" spans="2:44" x14ac:dyDescent="0.25">
      <c r="B72" s="17">
        <v>70</v>
      </c>
      <c r="C72" s="10" t="s">
        <v>136</v>
      </c>
      <c r="D72" s="7" t="s">
        <v>140</v>
      </c>
      <c r="E72" s="72" t="s">
        <v>607</v>
      </c>
      <c r="F72" s="18" t="s">
        <v>608</v>
      </c>
      <c r="G72" s="10">
        <v>5</v>
      </c>
      <c r="H72" s="10">
        <v>2</v>
      </c>
      <c r="I72" s="10">
        <v>194.56</v>
      </c>
      <c r="J72" s="11">
        <v>235000000</v>
      </c>
      <c r="K72" s="11">
        <f t="shared" si="160"/>
        <v>258500000.00000003</v>
      </c>
      <c r="L72" s="37">
        <f t="shared" si="161"/>
        <v>2.35</v>
      </c>
      <c r="M72" s="3" t="s">
        <v>609</v>
      </c>
      <c r="N72" t="s">
        <v>610</v>
      </c>
      <c r="O72" s="21" t="s">
        <v>611</v>
      </c>
      <c r="P72" s="21">
        <v>62</v>
      </c>
      <c r="Q72" s="21" t="s">
        <v>2142</v>
      </c>
      <c r="R72" s="23" t="s">
        <v>1243</v>
      </c>
      <c r="S72" s="50" t="s">
        <v>81</v>
      </c>
      <c r="T72" s="48" t="s">
        <v>612</v>
      </c>
      <c r="U72" s="82" t="s">
        <v>197</v>
      </c>
      <c r="V72" s="32" t="s">
        <v>613</v>
      </c>
      <c r="W72" s="200" t="s">
        <v>259</v>
      </c>
      <c r="X72" s="17" t="s">
        <v>272</v>
      </c>
      <c r="Z72">
        <v>12</v>
      </c>
      <c r="AA72" s="416"/>
      <c r="AB72" s="95">
        <v>4</v>
      </c>
      <c r="AC72" s="102" t="s">
        <v>127</v>
      </c>
      <c r="AD72" s="41">
        <f t="shared" si="176"/>
        <v>0</v>
      </c>
      <c r="AE72" s="70">
        <f>SUMIFS($I:$I,$C:$C, $AE$2,$G:$G, $Z72,$H:$H, $AB72)</f>
        <v>0</v>
      </c>
      <c r="AF72" s="70">
        <f>SUMIFS($I:$I,$C:$C, $AF$2,$G:$G, $Z72,$H:$H, $AB72)</f>
        <v>0</v>
      </c>
      <c r="AG72" s="70">
        <f>SUMIFS($I:$I,$C:$C, $AG$2,$G:$G, $Z72,$H:$H, $AB72)</f>
        <v>0</v>
      </c>
      <c r="AH72" s="109">
        <f>SUMIFS($I:$I,$C:$C, $AH$2,$G:$G, $Z72,$H:$H, $AB72)</f>
        <v>0</v>
      </c>
      <c r="AI72" s="120">
        <f t="shared" si="177"/>
        <v>0</v>
      </c>
      <c r="AJ72" s="121">
        <f>COUNTIFS($C:$C, $AJ$2,$G:$G, $Z72,$H:$H, $AB72)</f>
        <v>0</v>
      </c>
      <c r="AK72" s="121">
        <f>COUNTIFS($C:$C, $AK$2,$G:$G, $Z72,$H:$H, $AB72)</f>
        <v>0</v>
      </c>
      <c r="AL72" s="121">
        <f>COUNTIFS($C:$C, $AL$2,$G:$G, $Z72,$H:$H, $AB72)</f>
        <v>0</v>
      </c>
      <c r="AM72" s="122">
        <f>COUNTIFS($C:$C, $AM$2,$G:$G, $Z72,$H:$H, $AB72)</f>
        <v>0</v>
      </c>
      <c r="AN72" s="41">
        <f t="shared" si="178"/>
        <v>0</v>
      </c>
      <c r="AO72" s="70">
        <f>SUMIFS($L:$L,$C:$C, $AO$2,$G:$G, $Z72,$H:$H, $AB72)</f>
        <v>0</v>
      </c>
      <c r="AP72" s="70">
        <f>SUMIFS($L:$L,$C:$C, $AP$2,$G:$G, $Z72,$H:$H, $AB72)</f>
        <v>0</v>
      </c>
      <c r="AQ72" s="70">
        <f>SUMIFS($L:$L,$C:$C, $AQ$2,$G:$G, $Z72,$H:$H, $AB72)</f>
        <v>0</v>
      </c>
      <c r="AR72" s="70">
        <f>SUMIFS($L:$L,$C:$C, $AR$2,$G:$G, $Z72,$H:$H, $AB72)</f>
        <v>0</v>
      </c>
    </row>
    <row r="73" spans="2:44" x14ac:dyDescent="0.25">
      <c r="B73" s="17">
        <v>71</v>
      </c>
      <c r="C73" s="10" t="s">
        <v>136</v>
      </c>
      <c r="D73" s="7" t="s">
        <v>140</v>
      </c>
      <c r="E73" s="72" t="s">
        <v>620</v>
      </c>
      <c r="F73" s="18" t="s">
        <v>621</v>
      </c>
      <c r="G73" s="10">
        <v>5</v>
      </c>
      <c r="H73" s="10">
        <v>3</v>
      </c>
      <c r="I73" s="10">
        <v>89.6</v>
      </c>
      <c r="J73" s="11">
        <v>90000000</v>
      </c>
      <c r="K73" s="11">
        <f t="shared" si="160"/>
        <v>99000000.000000015</v>
      </c>
      <c r="L73" s="37">
        <f t="shared" si="161"/>
        <v>0.9</v>
      </c>
      <c r="M73" s="3" t="s">
        <v>622</v>
      </c>
      <c r="N73" t="s">
        <v>623</v>
      </c>
      <c r="O73" s="21" t="s">
        <v>624</v>
      </c>
      <c r="P73" s="21">
        <v>63</v>
      </c>
      <c r="Q73" s="21" t="s">
        <v>2142</v>
      </c>
      <c r="R73" s="23" t="s">
        <v>1244</v>
      </c>
      <c r="S73" s="50" t="s">
        <v>81</v>
      </c>
      <c r="T73" s="48" t="s">
        <v>977</v>
      </c>
      <c r="U73" s="82" t="s">
        <v>85</v>
      </c>
      <c r="V73" s="26" t="s">
        <v>625</v>
      </c>
      <c r="W73" s="200" t="s">
        <v>261</v>
      </c>
      <c r="X73" s="17" t="s">
        <v>272</v>
      </c>
      <c r="Z73">
        <v>12</v>
      </c>
      <c r="AA73" s="416"/>
      <c r="AB73" s="96">
        <v>5</v>
      </c>
      <c r="AC73" s="105" t="s">
        <v>131</v>
      </c>
      <c r="AD73" s="41">
        <f t="shared" si="176"/>
        <v>0</v>
      </c>
      <c r="AE73" s="70">
        <f>SUMIFS($I:$I,$C:$C, $AE$2,$G:$G, $Z73,$H:$H, $AB73)</f>
        <v>0</v>
      </c>
      <c r="AF73" s="70">
        <f>SUMIFS($I:$I,$C:$C, $AF$2,$G:$G, $Z73,$H:$H, $AB73)</f>
        <v>0</v>
      </c>
      <c r="AG73" s="70">
        <f>SUMIFS($I:$I,$C:$C, $AG$2,$G:$G, $Z73,$H:$H, $AB73)</f>
        <v>0</v>
      </c>
      <c r="AH73" s="109">
        <f>SUMIFS($I:$I,$C:$C, $AH$2,$G:$G, $Z73,$H:$H, $AB73)</f>
        <v>0</v>
      </c>
      <c r="AI73" s="120">
        <f t="shared" si="177"/>
        <v>0</v>
      </c>
      <c r="AJ73" s="121">
        <f>COUNTIFS($C:$C, $AJ$2,$G:$G, $Z73,$H:$H, $AB73)</f>
        <v>0</v>
      </c>
      <c r="AK73" s="121">
        <f>COUNTIFS($C:$C, $AK$2,$G:$G, $Z73,$H:$H, $AB73)</f>
        <v>0</v>
      </c>
      <c r="AL73" s="121">
        <f>COUNTIFS($C:$C, $AL$2,$G:$G, $Z73,$H:$H, $AB73)</f>
        <v>0</v>
      </c>
      <c r="AM73" s="122">
        <f>COUNTIFS($C:$C, $AM$2,$G:$G, $Z73,$H:$H, $AB73)</f>
        <v>0</v>
      </c>
      <c r="AN73" s="41">
        <f t="shared" si="178"/>
        <v>0</v>
      </c>
      <c r="AO73" s="70">
        <f>SUMIFS($L:$L,$C:$C, $AO$2,$G:$G, $Z73,$H:$H, $AB73)</f>
        <v>0</v>
      </c>
      <c r="AP73" s="70">
        <f>SUMIFS($L:$L,$C:$C, $AP$2,$G:$G, $Z73,$H:$H, $AB73)</f>
        <v>0</v>
      </c>
      <c r="AQ73" s="70">
        <f>SUMIFS($L:$L,$C:$C, $AQ$2,$G:$G, $Z73,$H:$H, $AB73)</f>
        <v>0</v>
      </c>
      <c r="AR73" s="70">
        <f>SUMIFS($L:$L,$C:$C, $AR$2,$G:$G, $Z73,$H:$H, $AB73)</f>
        <v>0</v>
      </c>
    </row>
    <row r="74" spans="2:44" ht="14.25" thickBot="1" x14ac:dyDescent="0.3">
      <c r="B74" s="17">
        <v>72</v>
      </c>
      <c r="C74" s="10" t="s">
        <v>136</v>
      </c>
      <c r="D74" s="7" t="s">
        <v>140</v>
      </c>
      <c r="E74" s="72" t="s">
        <v>626</v>
      </c>
      <c r="F74" s="18" t="s">
        <v>627</v>
      </c>
      <c r="G74" s="10">
        <v>5</v>
      </c>
      <c r="H74" s="10">
        <v>3</v>
      </c>
      <c r="I74" s="10">
        <v>87.04</v>
      </c>
      <c r="J74" s="11">
        <v>89000000</v>
      </c>
      <c r="K74" s="11">
        <f t="shared" si="160"/>
        <v>97900000.000000015</v>
      </c>
      <c r="L74" s="37">
        <f t="shared" si="161"/>
        <v>0.89</v>
      </c>
      <c r="M74" s="3" t="s">
        <v>628</v>
      </c>
      <c r="N74" t="s">
        <v>629</v>
      </c>
      <c r="O74" s="21" t="s">
        <v>630</v>
      </c>
      <c r="P74" s="21"/>
      <c r="Q74" s="21" t="s">
        <v>2142</v>
      </c>
      <c r="R74" s="23" t="s">
        <v>1245</v>
      </c>
      <c r="S74" s="50" t="s">
        <v>81</v>
      </c>
      <c r="T74" s="48" t="s">
        <v>631</v>
      </c>
      <c r="U74" s="82" t="s">
        <v>85</v>
      </c>
      <c r="V74" s="26" t="s">
        <v>632</v>
      </c>
      <c r="W74" s="200" t="s">
        <v>259</v>
      </c>
      <c r="X74" s="17" t="s">
        <v>272</v>
      </c>
      <c r="Z74">
        <v>12</v>
      </c>
      <c r="AA74" s="417"/>
      <c r="AB74" s="97" t="s">
        <v>3</v>
      </c>
      <c r="AC74" s="106"/>
      <c r="AD74" s="99">
        <f>SUM(AD69:AD73)</f>
        <v>4211.3850000000002</v>
      </c>
      <c r="AE74" s="99">
        <f t="shared" ref="AE74:AR74" si="179">SUM(AE69:AE73)</f>
        <v>2510.9849999999997</v>
      </c>
      <c r="AF74" s="99">
        <f t="shared" si="179"/>
        <v>1700.4</v>
      </c>
      <c r="AG74" s="99">
        <f t="shared" si="179"/>
        <v>0</v>
      </c>
      <c r="AH74" s="110">
        <f t="shared" si="179"/>
        <v>0</v>
      </c>
      <c r="AI74" s="123">
        <f t="shared" si="179"/>
        <v>17</v>
      </c>
      <c r="AJ74" s="124">
        <f t="shared" si="179"/>
        <v>11</v>
      </c>
      <c r="AK74" s="124">
        <f t="shared" si="179"/>
        <v>6</v>
      </c>
      <c r="AL74" s="124">
        <f t="shared" si="179"/>
        <v>0</v>
      </c>
      <c r="AM74" s="125">
        <f t="shared" si="179"/>
        <v>0</v>
      </c>
      <c r="AN74" s="99">
        <f t="shared" si="179"/>
        <v>39.690000000000005</v>
      </c>
      <c r="AO74" s="99">
        <f t="shared" si="179"/>
        <v>24.240000000000002</v>
      </c>
      <c r="AP74" s="99">
        <f t="shared" si="179"/>
        <v>15.450000000000001</v>
      </c>
      <c r="AQ74" s="99">
        <f t="shared" si="179"/>
        <v>0</v>
      </c>
      <c r="AR74" s="99">
        <f t="shared" si="179"/>
        <v>0</v>
      </c>
    </row>
    <row r="75" spans="2:44" ht="17.25" thickBot="1" x14ac:dyDescent="0.3">
      <c r="B75" s="17">
        <v>73</v>
      </c>
      <c r="C75" s="10" t="s">
        <v>136</v>
      </c>
      <c r="D75" s="7" t="s">
        <v>140</v>
      </c>
      <c r="E75" s="72" t="s">
        <v>633</v>
      </c>
      <c r="F75" s="18" t="s">
        <v>634</v>
      </c>
      <c r="G75" s="10">
        <v>5</v>
      </c>
      <c r="H75" s="10">
        <v>3</v>
      </c>
      <c r="I75" s="10">
        <v>87.04</v>
      </c>
      <c r="J75" s="11">
        <v>89000000</v>
      </c>
      <c r="K75" s="11">
        <f t="shared" si="160"/>
        <v>97900000.000000015</v>
      </c>
      <c r="L75" s="37">
        <f t="shared" si="161"/>
        <v>0.89</v>
      </c>
      <c r="M75" s="3" t="s">
        <v>635</v>
      </c>
      <c r="N75" t="s">
        <v>636</v>
      </c>
      <c r="O75" s="21" t="s">
        <v>637</v>
      </c>
      <c r="P75" s="21">
        <v>64</v>
      </c>
      <c r="Q75" s="21" t="s">
        <v>2142</v>
      </c>
      <c r="R75" s="23" t="s">
        <v>1246</v>
      </c>
      <c r="S75" s="50" t="s">
        <v>81</v>
      </c>
      <c r="T75" s="48" t="s">
        <v>638</v>
      </c>
      <c r="U75" s="82" t="s">
        <v>85</v>
      </c>
      <c r="V75" s="26" t="s">
        <v>639</v>
      </c>
      <c r="W75" s="200" t="s">
        <v>259</v>
      </c>
      <c r="X75" s="17" t="s">
        <v>272</v>
      </c>
      <c r="AA75" s="418" t="s">
        <v>36</v>
      </c>
      <c r="AB75" s="419"/>
      <c r="AC75" s="108"/>
      <c r="AD75" s="90">
        <f>SUM(AD8,AD14,AD20,AD26,AD32,AD38,AD44,AD50,AD56,AD62,AD68,AD74)</f>
        <v>70731.209999999992</v>
      </c>
      <c r="AE75" s="90"/>
      <c r="AF75" s="90"/>
      <c r="AG75" s="91"/>
      <c r="AH75" s="91"/>
      <c r="AI75" s="126"/>
      <c r="AJ75" s="127"/>
      <c r="AK75" s="127"/>
      <c r="AL75" s="127"/>
      <c r="AM75" s="128"/>
      <c r="AN75" s="92"/>
      <c r="AO75" s="92"/>
      <c r="AP75" s="92"/>
      <c r="AQ75" s="92"/>
      <c r="AR75" s="93"/>
    </row>
    <row r="76" spans="2:44" x14ac:dyDescent="0.25">
      <c r="B76" s="17">
        <v>74</v>
      </c>
      <c r="C76" s="10" t="s">
        <v>136</v>
      </c>
      <c r="D76" s="7" t="s">
        <v>140</v>
      </c>
      <c r="E76" s="72" t="s">
        <v>640</v>
      </c>
      <c r="F76" s="18" t="s">
        <v>641</v>
      </c>
      <c r="G76" s="10">
        <v>5</v>
      </c>
      <c r="H76" s="10">
        <v>3</v>
      </c>
      <c r="I76" s="10">
        <v>230.4</v>
      </c>
      <c r="J76" s="11">
        <v>215000000</v>
      </c>
      <c r="K76" s="11">
        <f t="shared" si="160"/>
        <v>236500000.00000003</v>
      </c>
      <c r="L76" s="37">
        <f t="shared" si="161"/>
        <v>2.15</v>
      </c>
      <c r="M76" s="3" t="s">
        <v>642</v>
      </c>
      <c r="N76" t="s">
        <v>643</v>
      </c>
      <c r="O76" s="21" t="s">
        <v>644</v>
      </c>
      <c r="P76" s="21">
        <v>65</v>
      </c>
      <c r="Q76" s="21" t="s">
        <v>2161</v>
      </c>
      <c r="R76" s="23" t="s">
        <v>645</v>
      </c>
      <c r="S76" s="50" t="s">
        <v>81</v>
      </c>
      <c r="T76" s="48" t="s">
        <v>646</v>
      </c>
      <c r="U76" s="82" t="s">
        <v>647</v>
      </c>
      <c r="V76" s="32" t="s">
        <v>648</v>
      </c>
      <c r="W76" s="200" t="s">
        <v>649</v>
      </c>
      <c r="X76" s="17" t="s">
        <v>650</v>
      </c>
    </row>
    <row r="77" spans="2:44" x14ac:dyDescent="0.25">
      <c r="B77" s="17">
        <v>75</v>
      </c>
      <c r="C77" s="10" t="s">
        <v>136</v>
      </c>
      <c r="D77" s="7" t="s">
        <v>140</v>
      </c>
      <c r="E77" s="72" t="s">
        <v>654</v>
      </c>
      <c r="F77" s="18" t="s">
        <v>655</v>
      </c>
      <c r="G77" s="10">
        <v>5</v>
      </c>
      <c r="H77" s="10">
        <v>4</v>
      </c>
      <c r="I77" s="10">
        <v>259.2</v>
      </c>
      <c r="J77" s="11">
        <v>230000000</v>
      </c>
      <c r="K77" s="11">
        <f t="shared" si="160"/>
        <v>253000000.00000003</v>
      </c>
      <c r="L77" s="37">
        <f t="shared" si="161"/>
        <v>2.3000000000000003</v>
      </c>
      <c r="M77" s="3" t="s">
        <v>657</v>
      </c>
      <c r="N77" t="s">
        <v>31</v>
      </c>
      <c r="O77" s="21" t="s">
        <v>659</v>
      </c>
      <c r="P77" s="21">
        <v>66</v>
      </c>
      <c r="Q77" s="21" t="s">
        <v>2163</v>
      </c>
      <c r="R77" s="23" t="s">
        <v>661</v>
      </c>
      <c r="S77" s="50" t="s">
        <v>81</v>
      </c>
      <c r="T77" s="48" t="s">
        <v>664</v>
      </c>
      <c r="U77" s="82" t="s">
        <v>665</v>
      </c>
      <c r="V77" s="26"/>
      <c r="W77" s="200" t="s">
        <v>666</v>
      </c>
      <c r="X77" s="17" t="s">
        <v>667</v>
      </c>
    </row>
    <row r="78" spans="2:44" x14ac:dyDescent="0.25">
      <c r="B78" s="17">
        <v>76</v>
      </c>
      <c r="C78" s="10" t="s">
        <v>136</v>
      </c>
      <c r="D78" s="7" t="s">
        <v>140</v>
      </c>
      <c r="E78" s="72" t="s">
        <v>656</v>
      </c>
      <c r="F78" s="18" t="s">
        <v>670</v>
      </c>
      <c r="G78" s="10">
        <v>5</v>
      </c>
      <c r="H78" s="10">
        <v>4</v>
      </c>
      <c r="I78" s="10">
        <v>402.56</v>
      </c>
      <c r="J78" s="11">
        <v>410000000</v>
      </c>
      <c r="K78" s="11">
        <f t="shared" si="160"/>
        <v>451000000.00000006</v>
      </c>
      <c r="L78" s="37">
        <f t="shared" si="161"/>
        <v>4.0999999999999996</v>
      </c>
      <c r="M78" s="3" t="s">
        <v>658</v>
      </c>
      <c r="N78" t="s">
        <v>31</v>
      </c>
      <c r="O78" s="21" t="s">
        <v>660</v>
      </c>
      <c r="P78" s="21">
        <v>67</v>
      </c>
      <c r="Q78" s="21" t="s">
        <v>2164</v>
      </c>
      <c r="R78" s="23" t="s">
        <v>662</v>
      </c>
      <c r="S78" s="50" t="s">
        <v>81</v>
      </c>
      <c r="T78" s="48" t="s">
        <v>663</v>
      </c>
      <c r="U78" s="82" t="s">
        <v>665</v>
      </c>
      <c r="V78" s="26"/>
      <c r="W78" s="200" t="s">
        <v>668</v>
      </c>
      <c r="X78" s="17" t="s">
        <v>667</v>
      </c>
    </row>
    <row r="79" spans="2:44" x14ac:dyDescent="0.25">
      <c r="B79" s="17">
        <v>77</v>
      </c>
      <c r="C79" s="10" t="s">
        <v>136</v>
      </c>
      <c r="D79" s="7" t="s">
        <v>140</v>
      </c>
      <c r="E79" s="72" t="s">
        <v>669</v>
      </c>
      <c r="F79" s="18" t="s">
        <v>671</v>
      </c>
      <c r="G79" s="10">
        <v>5</v>
      </c>
      <c r="H79" s="10">
        <v>4</v>
      </c>
      <c r="I79" s="10">
        <v>183.04</v>
      </c>
      <c r="J79" s="11">
        <v>157500000</v>
      </c>
      <c r="K79" s="11">
        <f t="shared" si="160"/>
        <v>173250000</v>
      </c>
      <c r="L79" s="37">
        <f t="shared" si="161"/>
        <v>1.575</v>
      </c>
      <c r="M79" s="3" t="s">
        <v>672</v>
      </c>
      <c r="N79" t="s">
        <v>673</v>
      </c>
      <c r="O79" s="21" t="s">
        <v>674</v>
      </c>
      <c r="P79" s="21">
        <v>68</v>
      </c>
      <c r="Q79" s="21" t="s">
        <v>2163</v>
      </c>
      <c r="R79" s="23" t="s">
        <v>675</v>
      </c>
      <c r="S79" s="50" t="s">
        <v>81</v>
      </c>
      <c r="T79" s="48" t="s">
        <v>676</v>
      </c>
      <c r="U79" s="82" t="s">
        <v>677</v>
      </c>
      <c r="V79" s="26"/>
      <c r="W79" s="200" t="s">
        <v>678</v>
      </c>
      <c r="X79" s="17" t="s">
        <v>679</v>
      </c>
    </row>
    <row r="80" spans="2:44" x14ac:dyDescent="0.25">
      <c r="B80" s="17">
        <v>78</v>
      </c>
      <c r="C80" s="10" t="s">
        <v>136</v>
      </c>
      <c r="D80" s="7" t="s">
        <v>140</v>
      </c>
      <c r="E80" s="72" t="s">
        <v>680</v>
      </c>
      <c r="F80" s="18" t="s">
        <v>671</v>
      </c>
      <c r="G80" s="10">
        <v>5</v>
      </c>
      <c r="H80" s="10">
        <v>4</v>
      </c>
      <c r="I80" s="10">
        <v>183.04</v>
      </c>
      <c r="J80" s="11">
        <v>157500000</v>
      </c>
      <c r="K80" s="11">
        <f t="shared" ref="K80" si="180">J80*1.1</f>
        <v>173250000</v>
      </c>
      <c r="L80" s="37">
        <f t="shared" ref="L80" si="181">J80*0.00000001</f>
        <v>1.575</v>
      </c>
      <c r="M80" s="3" t="s">
        <v>672</v>
      </c>
      <c r="N80" t="s">
        <v>673</v>
      </c>
      <c r="O80" s="21" t="s">
        <v>681</v>
      </c>
      <c r="P80" s="21"/>
      <c r="Q80" s="21" t="s">
        <v>2163</v>
      </c>
      <c r="R80" s="23" t="s">
        <v>675</v>
      </c>
      <c r="S80" s="50" t="s">
        <v>81</v>
      </c>
      <c r="T80" s="48" t="s">
        <v>676</v>
      </c>
      <c r="U80" s="82" t="s">
        <v>677</v>
      </c>
      <c r="V80" s="26"/>
      <c r="W80" s="200" t="s">
        <v>678</v>
      </c>
      <c r="X80" s="17" t="s">
        <v>679</v>
      </c>
    </row>
    <row r="81" spans="2:24" x14ac:dyDescent="0.25">
      <c r="B81" s="17">
        <v>79</v>
      </c>
      <c r="C81" s="10" t="s">
        <v>136</v>
      </c>
      <c r="D81" s="7" t="s">
        <v>140</v>
      </c>
      <c r="E81" s="72" t="s">
        <v>693</v>
      </c>
      <c r="F81" s="18" t="s">
        <v>695</v>
      </c>
      <c r="G81" s="10">
        <v>6</v>
      </c>
      <c r="H81" s="10">
        <v>1</v>
      </c>
      <c r="I81" s="10">
        <v>156.16</v>
      </c>
      <c r="J81" s="11">
        <v>140000000</v>
      </c>
      <c r="K81" s="11">
        <f t="shared" si="160"/>
        <v>154000000</v>
      </c>
      <c r="L81" s="37">
        <f t="shared" si="161"/>
        <v>1.4000000000000001</v>
      </c>
      <c r="M81" s="3" t="s">
        <v>696</v>
      </c>
      <c r="N81" t="s">
        <v>697</v>
      </c>
      <c r="O81" s="21" t="s">
        <v>698</v>
      </c>
      <c r="P81" s="21">
        <v>69</v>
      </c>
      <c r="Q81" s="21" t="s">
        <v>2163</v>
      </c>
      <c r="R81" s="23" t="s">
        <v>699</v>
      </c>
      <c r="S81" s="50" t="s">
        <v>81</v>
      </c>
      <c r="T81" s="48" t="s">
        <v>700</v>
      </c>
      <c r="U81" s="82" t="s">
        <v>150</v>
      </c>
      <c r="V81" s="26"/>
      <c r="W81" s="200" t="s">
        <v>350</v>
      </c>
      <c r="X81" s="17" t="s">
        <v>279</v>
      </c>
    </row>
    <row r="82" spans="2:24" x14ac:dyDescent="0.25">
      <c r="B82" s="17">
        <v>80</v>
      </c>
      <c r="C82" s="10" t="s">
        <v>136</v>
      </c>
      <c r="D82" s="7" t="s">
        <v>140</v>
      </c>
      <c r="E82" s="72" t="s">
        <v>694</v>
      </c>
      <c r="F82" s="18" t="s">
        <v>695</v>
      </c>
      <c r="G82" s="10">
        <v>6</v>
      </c>
      <c r="H82" s="10">
        <v>1</v>
      </c>
      <c r="I82" s="10">
        <v>265.60000000000002</v>
      </c>
      <c r="J82" s="11">
        <v>235000000</v>
      </c>
      <c r="K82" s="11">
        <f t="shared" si="160"/>
        <v>258500000.00000003</v>
      </c>
      <c r="L82" s="37">
        <f t="shared" si="161"/>
        <v>2.35</v>
      </c>
      <c r="M82" s="3" t="s">
        <v>696</v>
      </c>
      <c r="N82" t="s">
        <v>697</v>
      </c>
      <c r="O82" s="21" t="s">
        <v>702</v>
      </c>
      <c r="P82" s="21"/>
      <c r="Q82" s="21" t="s">
        <v>2163</v>
      </c>
      <c r="R82" s="23" t="s">
        <v>701</v>
      </c>
      <c r="S82" s="50" t="s">
        <v>81</v>
      </c>
      <c r="T82" s="48" t="s">
        <v>700</v>
      </c>
      <c r="U82" s="82" t="s">
        <v>150</v>
      </c>
      <c r="V82" s="32"/>
      <c r="W82" s="200" t="s">
        <v>350</v>
      </c>
      <c r="X82" s="17" t="s">
        <v>279</v>
      </c>
    </row>
    <row r="83" spans="2:24" x14ac:dyDescent="0.25">
      <c r="B83" s="17">
        <v>81</v>
      </c>
      <c r="C83" s="10" t="s">
        <v>137</v>
      </c>
      <c r="D83" s="7" t="s">
        <v>140</v>
      </c>
      <c r="E83" s="72" t="s">
        <v>703</v>
      </c>
      <c r="F83" s="18" t="s">
        <v>704</v>
      </c>
      <c r="G83" s="10">
        <v>6</v>
      </c>
      <c r="H83" s="10">
        <v>1</v>
      </c>
      <c r="I83" s="10">
        <v>148.47999999999999</v>
      </c>
      <c r="J83" s="11">
        <v>155000000</v>
      </c>
      <c r="K83" s="11">
        <v>170500000</v>
      </c>
      <c r="L83" s="37">
        <f t="shared" si="161"/>
        <v>1.55</v>
      </c>
      <c r="M83" s="3" t="s">
        <v>705</v>
      </c>
      <c r="N83" t="s">
        <v>705</v>
      </c>
      <c r="O83" s="21" t="s">
        <v>706</v>
      </c>
      <c r="P83" s="21">
        <v>70</v>
      </c>
      <c r="Q83" s="21" t="s">
        <v>2165</v>
      </c>
      <c r="R83" s="23" t="s">
        <v>707</v>
      </c>
      <c r="S83" s="50" t="s">
        <v>81</v>
      </c>
      <c r="T83" s="48" t="s">
        <v>708</v>
      </c>
      <c r="U83" s="82" t="s">
        <v>197</v>
      </c>
      <c r="V83" s="26" t="s">
        <v>349</v>
      </c>
      <c r="W83" s="200" t="s">
        <v>259</v>
      </c>
      <c r="X83" s="17" t="s">
        <v>272</v>
      </c>
    </row>
    <row r="84" spans="2:24" x14ac:dyDescent="0.25">
      <c r="B84" s="17">
        <v>82</v>
      </c>
      <c r="C84" s="10" t="s">
        <v>136</v>
      </c>
      <c r="D84" s="7" t="s">
        <v>140</v>
      </c>
      <c r="E84" s="72" t="s">
        <v>709</v>
      </c>
      <c r="F84" s="18" t="s">
        <v>710</v>
      </c>
      <c r="G84" s="10">
        <v>6</v>
      </c>
      <c r="H84" s="10">
        <v>2</v>
      </c>
      <c r="I84" s="10">
        <v>123.52</v>
      </c>
      <c r="J84" s="11">
        <v>127000000</v>
      </c>
      <c r="K84" s="11">
        <f t="shared" si="160"/>
        <v>139700000</v>
      </c>
      <c r="L84" s="37">
        <f t="shared" si="161"/>
        <v>1.27</v>
      </c>
      <c r="M84" s="3" t="s">
        <v>711</v>
      </c>
      <c r="N84" t="s">
        <v>712</v>
      </c>
      <c r="O84" s="21" t="s">
        <v>713</v>
      </c>
      <c r="P84" s="21">
        <v>71</v>
      </c>
      <c r="Q84" s="21" t="s">
        <v>2164</v>
      </c>
      <c r="R84" s="23" t="s">
        <v>714</v>
      </c>
      <c r="S84" s="50" t="s">
        <v>81</v>
      </c>
      <c r="T84" s="48" t="s">
        <v>715</v>
      </c>
      <c r="U84" s="82" t="s">
        <v>716</v>
      </c>
      <c r="V84" s="26" t="s">
        <v>717</v>
      </c>
      <c r="W84" s="200" t="s">
        <v>718</v>
      </c>
      <c r="X84" s="17" t="s">
        <v>719</v>
      </c>
    </row>
    <row r="85" spans="2:24" ht="27" x14ac:dyDescent="0.25">
      <c r="B85" s="17">
        <v>83</v>
      </c>
      <c r="C85" s="10" t="s">
        <v>136</v>
      </c>
      <c r="D85" s="7" t="s">
        <v>140</v>
      </c>
      <c r="E85" s="72" t="s">
        <v>729</v>
      </c>
      <c r="F85" s="18" t="s">
        <v>725</v>
      </c>
      <c r="G85" s="10">
        <v>6</v>
      </c>
      <c r="H85" s="10">
        <v>3</v>
      </c>
      <c r="I85" s="10">
        <v>412.16</v>
      </c>
      <c r="J85" s="11">
        <v>442000000</v>
      </c>
      <c r="K85" s="11">
        <f>J85*1.1</f>
        <v>486200000.00000006</v>
      </c>
      <c r="L85" s="37">
        <f>J85*0.00000001</f>
        <v>4.42</v>
      </c>
      <c r="M85" s="3" t="s">
        <v>726</v>
      </c>
      <c r="N85" t="s">
        <v>727</v>
      </c>
      <c r="O85" s="21" t="s">
        <v>732</v>
      </c>
      <c r="P85" s="21">
        <v>72</v>
      </c>
      <c r="Q85" s="21" t="s">
        <v>2147</v>
      </c>
      <c r="R85" s="23" t="s">
        <v>728</v>
      </c>
      <c r="S85" s="50" t="s">
        <v>81</v>
      </c>
      <c r="T85" s="48" t="s">
        <v>733</v>
      </c>
      <c r="U85" s="82" t="s">
        <v>85</v>
      </c>
      <c r="V85" s="26" t="s">
        <v>734</v>
      </c>
      <c r="W85" s="200" t="s">
        <v>261</v>
      </c>
      <c r="X85" s="17" t="s">
        <v>272</v>
      </c>
    </row>
    <row r="86" spans="2:24" ht="27" x14ac:dyDescent="0.25">
      <c r="B86" s="17">
        <v>84</v>
      </c>
      <c r="C86" s="10" t="s">
        <v>136</v>
      </c>
      <c r="D86" s="7" t="s">
        <v>140</v>
      </c>
      <c r="E86" s="72" t="s">
        <v>724</v>
      </c>
      <c r="F86" s="18" t="s">
        <v>735</v>
      </c>
      <c r="G86" s="10">
        <v>6</v>
      </c>
      <c r="H86" s="10">
        <v>3</v>
      </c>
      <c r="I86" s="10">
        <v>229.76</v>
      </c>
      <c r="J86" s="11">
        <v>248000000</v>
      </c>
      <c r="K86" s="11">
        <f t="shared" si="160"/>
        <v>272800000</v>
      </c>
      <c r="L86" s="37">
        <f t="shared" si="161"/>
        <v>2.48</v>
      </c>
      <c r="M86" s="3" t="s">
        <v>726</v>
      </c>
      <c r="N86" t="s">
        <v>727</v>
      </c>
      <c r="O86" s="21" t="s">
        <v>731</v>
      </c>
      <c r="P86" s="21"/>
      <c r="Q86" s="21" t="s">
        <v>2147</v>
      </c>
      <c r="R86" s="23" t="s">
        <v>728</v>
      </c>
      <c r="S86" s="50" t="s">
        <v>81</v>
      </c>
      <c r="T86" s="48" t="s">
        <v>733</v>
      </c>
      <c r="U86" s="82" t="s">
        <v>85</v>
      </c>
      <c r="V86" s="26" t="s">
        <v>734</v>
      </c>
      <c r="W86" s="200" t="s">
        <v>261</v>
      </c>
      <c r="X86" s="17" t="s">
        <v>272</v>
      </c>
    </row>
    <row r="87" spans="2:24" x14ac:dyDescent="0.25">
      <c r="B87" s="17">
        <v>85</v>
      </c>
      <c r="C87" s="10" t="s">
        <v>136</v>
      </c>
      <c r="D87" s="7" t="s">
        <v>140</v>
      </c>
      <c r="E87" s="72" t="s">
        <v>730</v>
      </c>
      <c r="F87" s="18" t="s">
        <v>720</v>
      </c>
      <c r="G87" s="10">
        <v>6</v>
      </c>
      <c r="H87" s="10">
        <v>3</v>
      </c>
      <c r="I87" s="10">
        <v>144.63999999999999</v>
      </c>
      <c r="J87" s="11">
        <v>133000000</v>
      </c>
      <c r="K87" s="11">
        <f>J87*1.1</f>
        <v>146300000</v>
      </c>
      <c r="L87" s="37">
        <f>J87*0.00000001</f>
        <v>1.33</v>
      </c>
      <c r="M87" s="3" t="s">
        <v>495</v>
      </c>
      <c r="N87" t="s">
        <v>31</v>
      </c>
      <c r="O87" s="21" t="s">
        <v>721</v>
      </c>
      <c r="P87" s="21">
        <v>73</v>
      </c>
      <c r="Q87" s="21" t="s">
        <v>2161</v>
      </c>
      <c r="R87" s="23" t="s">
        <v>722</v>
      </c>
      <c r="S87" s="50" t="s">
        <v>81</v>
      </c>
      <c r="T87" s="48" t="s">
        <v>723</v>
      </c>
      <c r="U87" s="82" t="s">
        <v>150</v>
      </c>
      <c r="V87" s="26"/>
      <c r="W87" s="200" t="s">
        <v>258</v>
      </c>
      <c r="X87" s="17" t="s">
        <v>272</v>
      </c>
    </row>
    <row r="88" spans="2:24" x14ac:dyDescent="0.25">
      <c r="B88" s="17">
        <v>86</v>
      </c>
      <c r="C88" s="10" t="s">
        <v>136</v>
      </c>
      <c r="D88" s="7" t="s">
        <v>140</v>
      </c>
      <c r="E88" s="72" t="s">
        <v>748</v>
      </c>
      <c r="F88" s="18" t="s">
        <v>749</v>
      </c>
      <c r="G88" s="10">
        <v>6</v>
      </c>
      <c r="H88" s="10">
        <v>3</v>
      </c>
      <c r="I88" s="10">
        <v>300.8</v>
      </c>
      <c r="J88" s="11">
        <v>255000000</v>
      </c>
      <c r="K88" s="11">
        <f t="shared" si="160"/>
        <v>280500000</v>
      </c>
      <c r="L88" s="37">
        <f t="shared" si="161"/>
        <v>2.5500000000000003</v>
      </c>
      <c r="M88" s="3" t="s">
        <v>750</v>
      </c>
      <c r="N88" t="s">
        <v>751</v>
      </c>
      <c r="O88" s="21" t="s">
        <v>1701</v>
      </c>
      <c r="P88" s="21">
        <v>74</v>
      </c>
      <c r="Q88" s="21" t="s">
        <v>2163</v>
      </c>
      <c r="R88" s="23" t="s">
        <v>752</v>
      </c>
      <c r="S88" s="50" t="s">
        <v>753</v>
      </c>
      <c r="T88" s="48" t="s">
        <v>754</v>
      </c>
      <c r="U88" s="82" t="s">
        <v>755</v>
      </c>
      <c r="V88" s="32" t="s">
        <v>756</v>
      </c>
      <c r="W88" s="200" t="s">
        <v>757</v>
      </c>
      <c r="X88" s="17" t="s">
        <v>758</v>
      </c>
    </row>
    <row r="89" spans="2:24" x14ac:dyDescent="0.25">
      <c r="B89" s="17">
        <v>87</v>
      </c>
      <c r="C89" s="10" t="s">
        <v>137</v>
      </c>
      <c r="D89" s="7" t="s">
        <v>140</v>
      </c>
      <c r="E89" s="72" t="s">
        <v>762</v>
      </c>
      <c r="F89" s="18" t="s">
        <v>763</v>
      </c>
      <c r="G89" s="10">
        <v>6</v>
      </c>
      <c r="H89" s="10">
        <v>3</v>
      </c>
      <c r="I89" s="10">
        <v>225.28</v>
      </c>
      <c r="J89" s="11">
        <v>219000000</v>
      </c>
      <c r="K89" s="11">
        <f t="shared" si="160"/>
        <v>240900000.00000003</v>
      </c>
      <c r="L89" s="37">
        <f t="shared" si="161"/>
        <v>2.19</v>
      </c>
      <c r="M89" s="3" t="s">
        <v>764</v>
      </c>
      <c r="N89" t="s">
        <v>764</v>
      </c>
      <c r="O89" s="21" t="s">
        <v>765</v>
      </c>
      <c r="P89" s="21">
        <v>75</v>
      </c>
      <c r="Q89" s="21" t="s">
        <v>2142</v>
      </c>
      <c r="R89" s="23" t="s">
        <v>1053</v>
      </c>
      <c r="S89" s="50" t="s">
        <v>81</v>
      </c>
      <c r="T89" s="48" t="s">
        <v>767</v>
      </c>
      <c r="U89" s="82" t="s">
        <v>85</v>
      </c>
      <c r="V89" s="32" t="s">
        <v>766</v>
      </c>
      <c r="W89" s="200" t="s">
        <v>259</v>
      </c>
      <c r="X89" s="17" t="s">
        <v>272</v>
      </c>
    </row>
    <row r="90" spans="2:24" x14ac:dyDescent="0.25">
      <c r="B90" s="17">
        <v>88</v>
      </c>
      <c r="C90" s="10" t="s">
        <v>136</v>
      </c>
      <c r="D90" s="7" t="s">
        <v>140</v>
      </c>
      <c r="E90" s="72" t="s">
        <v>776</v>
      </c>
      <c r="F90" s="18" t="s">
        <v>777</v>
      </c>
      <c r="G90" s="10">
        <v>6</v>
      </c>
      <c r="H90" s="10">
        <v>4</v>
      </c>
      <c r="I90" s="10">
        <v>951.04</v>
      </c>
      <c r="J90" s="11">
        <v>920000000</v>
      </c>
      <c r="K90" s="11">
        <f t="shared" si="160"/>
        <v>1012000000.0000001</v>
      </c>
      <c r="L90" s="37">
        <f t="shared" si="161"/>
        <v>9.2000000000000011</v>
      </c>
      <c r="M90" s="3" t="s">
        <v>778</v>
      </c>
      <c r="N90" t="s">
        <v>779</v>
      </c>
      <c r="O90" s="21" t="s">
        <v>780</v>
      </c>
      <c r="P90" s="21">
        <v>76</v>
      </c>
      <c r="Q90" s="21" t="s">
        <v>2163</v>
      </c>
      <c r="R90" s="23" t="s">
        <v>781</v>
      </c>
      <c r="S90" s="50" t="s">
        <v>81</v>
      </c>
      <c r="T90" s="48" t="s">
        <v>782</v>
      </c>
      <c r="U90" s="82" t="s">
        <v>783</v>
      </c>
      <c r="V90" s="26"/>
      <c r="W90" s="200" t="s">
        <v>784</v>
      </c>
      <c r="X90" s="17" t="s">
        <v>785</v>
      </c>
    </row>
    <row r="91" spans="2:24" x14ac:dyDescent="0.25">
      <c r="B91" s="17">
        <v>89</v>
      </c>
      <c r="C91" s="10" t="s">
        <v>136</v>
      </c>
      <c r="D91" s="7" t="s">
        <v>140</v>
      </c>
      <c r="E91" s="72" t="s">
        <v>794</v>
      </c>
      <c r="F91" s="18" t="s">
        <v>795</v>
      </c>
      <c r="G91" s="10">
        <v>6</v>
      </c>
      <c r="H91" s="10">
        <v>4</v>
      </c>
      <c r="I91" s="10">
        <v>243.2</v>
      </c>
      <c r="J91" s="11">
        <v>205000000</v>
      </c>
      <c r="K91" s="11">
        <f t="shared" si="160"/>
        <v>225500000.00000003</v>
      </c>
      <c r="L91" s="37">
        <f t="shared" si="161"/>
        <v>2.0499999999999998</v>
      </c>
      <c r="M91" s="3" t="s">
        <v>796</v>
      </c>
      <c r="N91" t="s">
        <v>797</v>
      </c>
      <c r="O91" s="21" t="s">
        <v>798</v>
      </c>
      <c r="P91" s="21">
        <v>77</v>
      </c>
      <c r="Q91" s="21" t="s">
        <v>2163</v>
      </c>
      <c r="R91" s="23" t="s">
        <v>799</v>
      </c>
      <c r="S91" s="50" t="s">
        <v>81</v>
      </c>
      <c r="T91" s="48" t="s">
        <v>800</v>
      </c>
      <c r="U91" s="82" t="s">
        <v>801</v>
      </c>
      <c r="V91" s="26" t="s">
        <v>802</v>
      </c>
      <c r="W91" s="200" t="s">
        <v>259</v>
      </c>
      <c r="X91" s="17" t="s">
        <v>272</v>
      </c>
    </row>
    <row r="92" spans="2:24" x14ac:dyDescent="0.25">
      <c r="B92" s="17">
        <v>90</v>
      </c>
      <c r="C92" s="10" t="s">
        <v>136</v>
      </c>
      <c r="D92" s="7" t="s">
        <v>140</v>
      </c>
      <c r="E92" s="72" t="s">
        <v>803</v>
      </c>
      <c r="F92" s="18" t="s">
        <v>795</v>
      </c>
      <c r="G92" s="10">
        <v>6</v>
      </c>
      <c r="H92" s="10">
        <v>4</v>
      </c>
      <c r="I92" s="10">
        <v>243.2</v>
      </c>
      <c r="J92" s="11">
        <v>205000000</v>
      </c>
      <c r="K92" s="11">
        <f t="shared" ref="K92" si="182">J92*1.1</f>
        <v>225500000.00000003</v>
      </c>
      <c r="L92" s="37">
        <f t="shared" ref="L92" si="183">J92*0.00000001</f>
        <v>2.0499999999999998</v>
      </c>
      <c r="M92" s="3" t="s">
        <v>796</v>
      </c>
      <c r="N92" t="s">
        <v>797</v>
      </c>
      <c r="O92" s="21" t="s">
        <v>804</v>
      </c>
      <c r="P92" s="21"/>
      <c r="Q92" s="21" t="s">
        <v>2163</v>
      </c>
      <c r="R92" s="23" t="s">
        <v>799</v>
      </c>
      <c r="S92" s="50" t="s">
        <v>81</v>
      </c>
      <c r="T92" s="48" t="s">
        <v>800</v>
      </c>
      <c r="U92" s="82" t="s">
        <v>801</v>
      </c>
      <c r="V92" s="26" t="s">
        <v>802</v>
      </c>
      <c r="W92" s="200" t="s">
        <v>259</v>
      </c>
      <c r="X92" s="17" t="s">
        <v>272</v>
      </c>
    </row>
    <row r="93" spans="2:24" x14ac:dyDescent="0.25">
      <c r="B93" s="17">
        <v>91</v>
      </c>
      <c r="C93" s="10" t="s">
        <v>136</v>
      </c>
      <c r="D93" s="7" t="s">
        <v>140</v>
      </c>
      <c r="E93" s="72" t="s">
        <v>805</v>
      </c>
      <c r="F93" s="18" t="s">
        <v>807</v>
      </c>
      <c r="G93" s="10">
        <v>6</v>
      </c>
      <c r="H93" s="10">
        <v>4</v>
      </c>
      <c r="I93" s="10">
        <v>102.4</v>
      </c>
      <c r="J93" s="11"/>
      <c r="K93" s="11">
        <f t="shared" si="160"/>
        <v>0</v>
      </c>
      <c r="L93" s="37">
        <f t="shared" si="161"/>
        <v>0</v>
      </c>
      <c r="M93" s="3" t="s">
        <v>819</v>
      </c>
      <c r="N93" t="s">
        <v>808</v>
      </c>
      <c r="O93" s="21" t="s">
        <v>809</v>
      </c>
      <c r="P93" s="21">
        <v>78</v>
      </c>
      <c r="Q93" s="21" t="s">
        <v>2142</v>
      </c>
      <c r="R93" s="23" t="s">
        <v>810</v>
      </c>
      <c r="S93" s="50" t="s">
        <v>81</v>
      </c>
      <c r="T93" s="48" t="s">
        <v>817</v>
      </c>
      <c r="U93" s="82" t="s">
        <v>197</v>
      </c>
      <c r="V93" s="26" t="s">
        <v>818</v>
      </c>
      <c r="W93" s="200" t="s">
        <v>259</v>
      </c>
      <c r="X93" s="17" t="s">
        <v>272</v>
      </c>
    </row>
    <row r="94" spans="2:24" x14ac:dyDescent="0.25">
      <c r="B94" s="17">
        <v>92</v>
      </c>
      <c r="C94" s="10" t="s">
        <v>136</v>
      </c>
      <c r="D94" s="7" t="s">
        <v>140</v>
      </c>
      <c r="E94" s="72" t="s">
        <v>806</v>
      </c>
      <c r="F94" s="18" t="s">
        <v>807</v>
      </c>
      <c r="G94" s="10">
        <v>6</v>
      </c>
      <c r="H94" s="10">
        <v>4</v>
      </c>
      <c r="I94" s="10">
        <v>345.6</v>
      </c>
      <c r="J94" s="11"/>
      <c r="K94" s="11">
        <f t="shared" si="160"/>
        <v>0</v>
      </c>
      <c r="L94" s="37">
        <f t="shared" si="161"/>
        <v>0</v>
      </c>
      <c r="M94" s="3" t="s">
        <v>819</v>
      </c>
      <c r="N94" t="s">
        <v>808</v>
      </c>
      <c r="O94" s="21" t="s">
        <v>811</v>
      </c>
      <c r="P94" s="21"/>
      <c r="Q94" s="21" t="s">
        <v>2142</v>
      </c>
      <c r="R94" s="23" t="s">
        <v>812</v>
      </c>
      <c r="S94" s="50" t="s">
        <v>81</v>
      </c>
      <c r="T94" s="48" t="s">
        <v>817</v>
      </c>
      <c r="U94" s="82" t="s">
        <v>197</v>
      </c>
      <c r="V94" s="26" t="s">
        <v>818</v>
      </c>
      <c r="W94" s="200" t="s">
        <v>259</v>
      </c>
      <c r="X94" s="17" t="s">
        <v>272</v>
      </c>
    </row>
    <row r="95" spans="2:24" x14ac:dyDescent="0.25">
      <c r="B95" s="17">
        <v>93</v>
      </c>
      <c r="C95" s="10" t="s">
        <v>137</v>
      </c>
      <c r="D95" s="7" t="s">
        <v>140</v>
      </c>
      <c r="E95" s="72" t="s">
        <v>857</v>
      </c>
      <c r="F95" s="18" t="s">
        <v>1059</v>
      </c>
      <c r="G95" s="10">
        <v>7</v>
      </c>
      <c r="H95" s="10">
        <v>1</v>
      </c>
      <c r="I95" s="10">
        <v>368.64</v>
      </c>
      <c r="J95" s="11">
        <v>361000000</v>
      </c>
      <c r="K95" s="11">
        <f t="shared" si="160"/>
        <v>397100000.00000006</v>
      </c>
      <c r="L95" s="37">
        <f t="shared" si="161"/>
        <v>3.61</v>
      </c>
      <c r="M95" s="3" t="s">
        <v>858</v>
      </c>
      <c r="N95" t="s">
        <v>859</v>
      </c>
      <c r="O95" s="21" t="s">
        <v>860</v>
      </c>
      <c r="P95" s="21">
        <v>79</v>
      </c>
      <c r="Q95" s="21" t="s">
        <v>2163</v>
      </c>
      <c r="R95" s="50" t="s">
        <v>615</v>
      </c>
      <c r="S95" s="50" t="s">
        <v>81</v>
      </c>
      <c r="T95" s="48" t="s">
        <v>861</v>
      </c>
      <c r="U95" s="82" t="s">
        <v>197</v>
      </c>
      <c r="V95" s="32" t="s">
        <v>862</v>
      </c>
      <c r="W95" s="200" t="s">
        <v>259</v>
      </c>
      <c r="X95" s="17" t="s">
        <v>272</v>
      </c>
    </row>
    <row r="96" spans="2:24" x14ac:dyDescent="0.25">
      <c r="B96" s="17">
        <v>94</v>
      </c>
      <c r="C96" s="10" t="s">
        <v>136</v>
      </c>
      <c r="D96" s="7" t="s">
        <v>140</v>
      </c>
      <c r="E96" s="72" t="s">
        <v>864</v>
      </c>
      <c r="F96" s="18" t="s">
        <v>1058</v>
      </c>
      <c r="G96" s="10">
        <v>7</v>
      </c>
      <c r="H96" s="10">
        <v>1</v>
      </c>
      <c r="I96" s="10">
        <v>377.6</v>
      </c>
      <c r="J96" s="11">
        <v>370000000</v>
      </c>
      <c r="K96" s="11">
        <f t="shared" si="160"/>
        <v>407000000.00000006</v>
      </c>
      <c r="L96" s="37">
        <f t="shared" si="161"/>
        <v>3.7</v>
      </c>
      <c r="M96" s="3" t="s">
        <v>865</v>
      </c>
      <c r="N96" t="s">
        <v>866</v>
      </c>
      <c r="O96" s="21" t="s">
        <v>867</v>
      </c>
      <c r="P96" s="21">
        <v>80</v>
      </c>
      <c r="Q96" s="21" t="s">
        <v>2160</v>
      </c>
      <c r="R96" s="272" t="s">
        <v>868</v>
      </c>
      <c r="S96" s="50" t="s">
        <v>81</v>
      </c>
      <c r="T96" s="48" t="s">
        <v>869</v>
      </c>
      <c r="U96" s="82" t="s">
        <v>197</v>
      </c>
      <c r="V96" s="32" t="s">
        <v>870</v>
      </c>
      <c r="W96" s="200" t="s">
        <v>259</v>
      </c>
      <c r="X96" s="17" t="s">
        <v>272</v>
      </c>
    </row>
    <row r="97" spans="2:25" x14ac:dyDescent="0.25">
      <c r="B97" s="17">
        <v>95</v>
      </c>
      <c r="C97" s="10" t="s">
        <v>136</v>
      </c>
      <c r="D97" s="7" t="s">
        <v>140</v>
      </c>
      <c r="E97" s="72" t="s">
        <v>888</v>
      </c>
      <c r="F97" s="18" t="s">
        <v>1058</v>
      </c>
      <c r="G97" s="10">
        <v>7</v>
      </c>
      <c r="H97" s="10">
        <v>2</v>
      </c>
      <c r="I97" s="10">
        <v>163.84</v>
      </c>
      <c r="J97" s="11">
        <v>140000000</v>
      </c>
      <c r="K97" s="11">
        <f t="shared" si="160"/>
        <v>154000000</v>
      </c>
      <c r="L97" s="37">
        <f t="shared" si="161"/>
        <v>1.4000000000000001</v>
      </c>
      <c r="M97" s="3" t="s">
        <v>889</v>
      </c>
      <c r="N97" t="s">
        <v>890</v>
      </c>
      <c r="O97" s="21" t="s">
        <v>891</v>
      </c>
      <c r="P97" s="21">
        <v>81</v>
      </c>
      <c r="Q97" s="21" t="s">
        <v>2163</v>
      </c>
      <c r="R97" s="23" t="s">
        <v>892</v>
      </c>
      <c r="S97" s="50" t="s">
        <v>893</v>
      </c>
      <c r="T97" s="48" t="s">
        <v>894</v>
      </c>
      <c r="U97" s="82" t="s">
        <v>895</v>
      </c>
      <c r="V97" s="32" t="s">
        <v>1006</v>
      </c>
      <c r="W97" s="200" t="s">
        <v>896</v>
      </c>
      <c r="X97" s="17" t="s">
        <v>897</v>
      </c>
    </row>
    <row r="98" spans="2:25" x14ac:dyDescent="0.25">
      <c r="B98" s="17">
        <v>96</v>
      </c>
      <c r="C98" s="10" t="s">
        <v>136</v>
      </c>
      <c r="D98" s="7" t="s">
        <v>140</v>
      </c>
      <c r="E98" s="72" t="s">
        <v>908</v>
      </c>
      <c r="F98" s="18" t="s">
        <v>1057</v>
      </c>
      <c r="G98" s="10">
        <v>7</v>
      </c>
      <c r="H98" s="10">
        <v>2</v>
      </c>
      <c r="I98" s="10">
        <v>108.8</v>
      </c>
      <c r="J98" s="11">
        <v>103000000</v>
      </c>
      <c r="K98" s="11">
        <f t="shared" si="160"/>
        <v>113300000.00000001</v>
      </c>
      <c r="L98" s="37">
        <f t="shared" si="161"/>
        <v>1.03</v>
      </c>
      <c r="M98" s="3" t="s">
        <v>909</v>
      </c>
      <c r="N98" t="s">
        <v>910</v>
      </c>
      <c r="O98" s="21" t="s">
        <v>911</v>
      </c>
      <c r="P98" s="21">
        <v>82</v>
      </c>
      <c r="Q98" s="21" t="s">
        <v>2161</v>
      </c>
      <c r="R98" s="23" t="s">
        <v>1247</v>
      </c>
      <c r="S98" s="50" t="s">
        <v>912</v>
      </c>
      <c r="T98" s="48" t="s">
        <v>913</v>
      </c>
      <c r="U98" s="82" t="s">
        <v>197</v>
      </c>
      <c r="V98" s="26" t="s">
        <v>914</v>
      </c>
      <c r="W98" s="200" t="s">
        <v>915</v>
      </c>
      <c r="X98" s="17" t="s">
        <v>916</v>
      </c>
    </row>
    <row r="99" spans="2:25" x14ac:dyDescent="0.25">
      <c r="B99" s="17">
        <v>97</v>
      </c>
      <c r="C99" s="10" t="s">
        <v>137</v>
      </c>
      <c r="D99" s="7" t="s">
        <v>140</v>
      </c>
      <c r="E99" s="72" t="s">
        <v>921</v>
      </c>
      <c r="F99" s="18" t="s">
        <v>1056</v>
      </c>
      <c r="G99" s="10">
        <v>7</v>
      </c>
      <c r="H99" s="10">
        <v>2</v>
      </c>
      <c r="I99" s="10">
        <v>71.680000000000007</v>
      </c>
      <c r="J99" s="11">
        <v>79000000</v>
      </c>
      <c r="K99" s="11">
        <f t="shared" si="160"/>
        <v>86900000</v>
      </c>
      <c r="L99" s="37">
        <f t="shared" si="161"/>
        <v>0.79</v>
      </c>
      <c r="M99" s="3" t="s">
        <v>917</v>
      </c>
      <c r="N99" t="s">
        <v>918</v>
      </c>
      <c r="O99" s="21" t="s">
        <v>919</v>
      </c>
      <c r="P99" s="21">
        <v>83</v>
      </c>
      <c r="Q99" s="21" t="s">
        <v>2164</v>
      </c>
      <c r="R99" s="23" t="s">
        <v>931</v>
      </c>
      <c r="S99" s="50" t="s">
        <v>207</v>
      </c>
      <c r="T99" s="48" t="s">
        <v>920</v>
      </c>
      <c r="U99" s="82" t="s">
        <v>922</v>
      </c>
      <c r="V99" s="26" t="s">
        <v>923</v>
      </c>
      <c r="W99" s="200" t="s">
        <v>924</v>
      </c>
      <c r="X99" s="17" t="s">
        <v>925</v>
      </c>
    </row>
    <row r="100" spans="2:25" x14ac:dyDescent="0.25">
      <c r="B100" s="17">
        <v>98</v>
      </c>
      <c r="C100" s="10" t="s">
        <v>136</v>
      </c>
      <c r="D100" s="7" t="s">
        <v>140</v>
      </c>
      <c r="E100" s="72" t="s">
        <v>932</v>
      </c>
      <c r="F100" s="18" t="s">
        <v>933</v>
      </c>
      <c r="G100" s="10">
        <v>7</v>
      </c>
      <c r="H100" s="10">
        <v>3</v>
      </c>
      <c r="I100" s="10">
        <v>57.6</v>
      </c>
      <c r="J100" s="11">
        <v>62000000</v>
      </c>
      <c r="K100" s="11">
        <f t="shared" si="160"/>
        <v>68200000</v>
      </c>
      <c r="L100" s="37">
        <f t="shared" si="161"/>
        <v>0.62</v>
      </c>
      <c r="M100" s="3" t="s">
        <v>934</v>
      </c>
      <c r="N100" t="s">
        <v>935</v>
      </c>
      <c r="O100" s="21" t="s">
        <v>936</v>
      </c>
      <c r="P100" s="21">
        <v>84</v>
      </c>
      <c r="Q100" s="21" t="s">
        <v>2163</v>
      </c>
      <c r="R100" s="23" t="s">
        <v>937</v>
      </c>
      <c r="S100" s="50" t="s">
        <v>81</v>
      </c>
      <c r="T100" s="48" t="s">
        <v>938</v>
      </c>
      <c r="U100" s="82" t="s">
        <v>150</v>
      </c>
      <c r="V100" s="26" t="s">
        <v>939</v>
      </c>
      <c r="W100" s="200" t="s">
        <v>940</v>
      </c>
      <c r="X100" s="17" t="s">
        <v>941</v>
      </c>
    </row>
    <row r="101" spans="2:25" x14ac:dyDescent="0.25">
      <c r="B101" s="17">
        <v>99</v>
      </c>
      <c r="C101" s="10" t="s">
        <v>137</v>
      </c>
      <c r="D101" s="7" t="s">
        <v>958</v>
      </c>
      <c r="E101" s="72" t="s">
        <v>959</v>
      </c>
      <c r="F101" s="18" t="s">
        <v>1055</v>
      </c>
      <c r="G101" s="10">
        <v>7</v>
      </c>
      <c r="H101" s="10">
        <v>3</v>
      </c>
      <c r="I101" s="10">
        <v>177.92</v>
      </c>
      <c r="J101" s="11">
        <v>160000000</v>
      </c>
      <c r="K101" s="11">
        <f t="shared" si="160"/>
        <v>176000000</v>
      </c>
      <c r="L101" s="37">
        <f t="shared" si="161"/>
        <v>1.6</v>
      </c>
      <c r="M101" s="3" t="s">
        <v>960</v>
      </c>
      <c r="N101" t="s">
        <v>961</v>
      </c>
      <c r="O101" s="21" t="s">
        <v>962</v>
      </c>
      <c r="P101" s="21">
        <v>85</v>
      </c>
      <c r="Q101" s="21" t="s">
        <v>2163</v>
      </c>
      <c r="R101" s="23" t="s">
        <v>963</v>
      </c>
      <c r="S101" s="50" t="s">
        <v>964</v>
      </c>
      <c r="T101" s="48" t="s">
        <v>965</v>
      </c>
      <c r="U101" s="82" t="s">
        <v>151</v>
      </c>
      <c r="V101" s="26" t="s">
        <v>966</v>
      </c>
      <c r="W101" s="200" t="s">
        <v>967</v>
      </c>
      <c r="X101" s="17" t="s">
        <v>968</v>
      </c>
    </row>
    <row r="102" spans="2:25" x14ac:dyDescent="0.25">
      <c r="B102" s="17">
        <v>100</v>
      </c>
      <c r="C102" s="10" t="s">
        <v>136</v>
      </c>
      <c r="D102" s="7" t="s">
        <v>140</v>
      </c>
      <c r="E102" s="72" t="s">
        <v>969</v>
      </c>
      <c r="F102" s="18" t="s">
        <v>970</v>
      </c>
      <c r="G102" s="10">
        <v>7</v>
      </c>
      <c r="H102" s="10">
        <v>3</v>
      </c>
      <c r="I102" s="10">
        <v>120.32</v>
      </c>
      <c r="J102" s="11">
        <v>180000000</v>
      </c>
      <c r="K102" s="11">
        <f t="shared" si="160"/>
        <v>198000000.00000003</v>
      </c>
      <c r="L102" s="37">
        <f t="shared" si="161"/>
        <v>1.8</v>
      </c>
      <c r="M102" s="3" t="s">
        <v>971</v>
      </c>
      <c r="N102" t="s">
        <v>972</v>
      </c>
      <c r="O102" s="21" t="s">
        <v>976</v>
      </c>
      <c r="P102" s="21">
        <v>86</v>
      </c>
      <c r="Q102" s="21" t="s">
        <v>2166</v>
      </c>
      <c r="R102" s="23" t="s">
        <v>973</v>
      </c>
      <c r="S102" s="50" t="s">
        <v>81</v>
      </c>
      <c r="T102" s="48" t="s">
        <v>974</v>
      </c>
      <c r="U102" s="82" t="s">
        <v>197</v>
      </c>
      <c r="V102" s="26" t="s">
        <v>975</v>
      </c>
      <c r="W102" s="200" t="s">
        <v>262</v>
      </c>
      <c r="X102" s="17" t="s">
        <v>272</v>
      </c>
      <c r="Y102" s="207" t="s">
        <v>980</v>
      </c>
    </row>
    <row r="103" spans="2:25" x14ac:dyDescent="0.25">
      <c r="B103" s="17">
        <v>101</v>
      </c>
      <c r="C103" s="10" t="s">
        <v>136</v>
      </c>
      <c r="D103" s="7" t="s">
        <v>140</v>
      </c>
      <c r="E103" s="72" t="s">
        <v>986</v>
      </c>
      <c r="F103" s="18" t="s">
        <v>987</v>
      </c>
      <c r="G103" s="10">
        <v>7</v>
      </c>
      <c r="H103" s="10">
        <v>4</v>
      </c>
      <c r="I103" s="10">
        <v>320</v>
      </c>
      <c r="J103" s="11">
        <v>260000000</v>
      </c>
      <c r="K103" s="11">
        <f t="shared" si="160"/>
        <v>286000000</v>
      </c>
      <c r="L103" s="37">
        <f t="shared" si="161"/>
        <v>2.6</v>
      </c>
      <c r="M103" s="3" t="s">
        <v>988</v>
      </c>
      <c r="N103" t="s">
        <v>989</v>
      </c>
      <c r="O103" s="21" t="s">
        <v>990</v>
      </c>
      <c r="P103" s="21">
        <v>87</v>
      </c>
      <c r="Q103" s="21" t="s">
        <v>2163</v>
      </c>
      <c r="R103" s="23" t="s">
        <v>991</v>
      </c>
      <c r="S103" s="50" t="s">
        <v>81</v>
      </c>
      <c r="T103" s="48" t="s">
        <v>992</v>
      </c>
      <c r="U103" s="82" t="s">
        <v>993</v>
      </c>
      <c r="V103" s="32" t="s">
        <v>994</v>
      </c>
      <c r="W103" s="200" t="s">
        <v>995</v>
      </c>
      <c r="X103" s="17" t="s">
        <v>996</v>
      </c>
    </row>
    <row r="104" spans="2:25" x14ac:dyDescent="0.25">
      <c r="B104" s="17">
        <v>102</v>
      </c>
      <c r="C104" s="10" t="s">
        <v>136</v>
      </c>
      <c r="D104" s="7" t="s">
        <v>140</v>
      </c>
      <c r="E104" s="72" t="s">
        <v>997</v>
      </c>
      <c r="F104" s="18" t="s">
        <v>998</v>
      </c>
      <c r="G104" s="10">
        <v>7</v>
      </c>
      <c r="H104" s="10">
        <v>4</v>
      </c>
      <c r="I104" s="10">
        <v>224</v>
      </c>
      <c r="J104" s="11">
        <v>199000000</v>
      </c>
      <c r="K104" s="11">
        <f t="shared" si="160"/>
        <v>218900000.00000003</v>
      </c>
      <c r="L104" s="37">
        <f t="shared" si="161"/>
        <v>1.99</v>
      </c>
      <c r="M104" s="3" t="s">
        <v>999</v>
      </c>
      <c r="N104" t="s">
        <v>1000</v>
      </c>
      <c r="O104" s="21" t="s">
        <v>1001</v>
      </c>
      <c r="P104" s="21">
        <v>88</v>
      </c>
      <c r="Q104" s="21" t="s">
        <v>2164</v>
      </c>
      <c r="R104" s="23" t="s">
        <v>1002</v>
      </c>
      <c r="S104" s="50" t="s">
        <v>1003</v>
      </c>
      <c r="T104" s="48" t="s">
        <v>1004</v>
      </c>
      <c r="U104" s="82" t="s">
        <v>1005</v>
      </c>
      <c r="V104" s="26" t="s">
        <v>1007</v>
      </c>
      <c r="W104" s="200" t="s">
        <v>1008</v>
      </c>
      <c r="X104" s="17" t="s">
        <v>1009</v>
      </c>
    </row>
    <row r="105" spans="2:25" x14ac:dyDescent="0.25">
      <c r="B105" s="17">
        <v>103</v>
      </c>
      <c r="C105" s="10" t="s">
        <v>136</v>
      </c>
      <c r="D105" s="7" t="s">
        <v>140</v>
      </c>
      <c r="E105" s="72" t="s">
        <v>1010</v>
      </c>
      <c r="F105" s="18" t="s">
        <v>1011</v>
      </c>
      <c r="G105" s="10">
        <v>7</v>
      </c>
      <c r="H105" s="10">
        <v>4</v>
      </c>
      <c r="I105" s="10">
        <v>1350.4</v>
      </c>
      <c r="J105" s="11">
        <v>1180000000</v>
      </c>
      <c r="K105" s="11">
        <f t="shared" si="160"/>
        <v>1298000000</v>
      </c>
      <c r="L105" s="37">
        <f t="shared" si="161"/>
        <v>11.8</v>
      </c>
      <c r="M105" s="3" t="s">
        <v>1012</v>
      </c>
      <c r="N105" t="s">
        <v>1013</v>
      </c>
      <c r="O105" s="21" t="s">
        <v>1014</v>
      </c>
      <c r="P105" s="21">
        <v>89</v>
      </c>
      <c r="Q105" s="21" t="s">
        <v>2165</v>
      </c>
      <c r="R105" s="23" t="s">
        <v>1015</v>
      </c>
      <c r="S105" s="50" t="s">
        <v>81</v>
      </c>
      <c r="T105" s="48" t="s">
        <v>1016</v>
      </c>
      <c r="U105" s="82" t="s">
        <v>1017</v>
      </c>
      <c r="V105" s="26" t="s">
        <v>1018</v>
      </c>
      <c r="W105" s="200" t="s">
        <v>258</v>
      </c>
      <c r="X105" s="17" t="s">
        <v>272</v>
      </c>
    </row>
    <row r="106" spans="2:25" x14ac:dyDescent="0.25">
      <c r="B106" s="17">
        <v>104</v>
      </c>
      <c r="C106" s="10" t="s">
        <v>136</v>
      </c>
      <c r="D106" s="7" t="s">
        <v>140</v>
      </c>
      <c r="E106" s="72" t="s">
        <v>1019</v>
      </c>
      <c r="F106" s="273" t="s">
        <v>1054</v>
      </c>
      <c r="G106" s="10">
        <v>7</v>
      </c>
      <c r="H106" s="10">
        <v>4</v>
      </c>
      <c r="I106" s="10">
        <v>322.56</v>
      </c>
      <c r="J106" s="11"/>
      <c r="K106" s="11">
        <f t="shared" si="160"/>
        <v>0</v>
      </c>
      <c r="L106" s="37">
        <f t="shared" si="161"/>
        <v>0</v>
      </c>
      <c r="M106" s="3" t="s">
        <v>75</v>
      </c>
      <c r="N106" t="s">
        <v>53</v>
      </c>
      <c r="O106" s="21" t="s">
        <v>1020</v>
      </c>
      <c r="P106" s="21">
        <v>89</v>
      </c>
      <c r="Q106" s="21" t="s">
        <v>2160</v>
      </c>
      <c r="R106" s="23" t="s">
        <v>1021</v>
      </c>
      <c r="S106" s="50" t="s">
        <v>207</v>
      </c>
      <c r="T106" s="48" t="s">
        <v>1022</v>
      </c>
      <c r="U106" s="82" t="s">
        <v>85</v>
      </c>
      <c r="V106" s="26" t="s">
        <v>1023</v>
      </c>
      <c r="W106" s="200" t="s">
        <v>350</v>
      </c>
      <c r="X106" s="17" t="s">
        <v>279</v>
      </c>
    </row>
    <row r="107" spans="2:25" x14ac:dyDescent="0.25">
      <c r="B107" s="17">
        <v>105</v>
      </c>
      <c r="C107" s="10" t="s">
        <v>136</v>
      </c>
      <c r="D107" s="7" t="s">
        <v>140</v>
      </c>
      <c r="E107" s="72" t="s">
        <v>1032</v>
      </c>
      <c r="F107" s="18" t="s">
        <v>1034</v>
      </c>
      <c r="G107" s="10">
        <v>7</v>
      </c>
      <c r="H107" s="10">
        <v>4</v>
      </c>
      <c r="I107" s="10">
        <v>61.44</v>
      </c>
      <c r="J107" s="11">
        <v>55000000</v>
      </c>
      <c r="K107" s="11">
        <f t="shared" si="160"/>
        <v>60500000.000000007</v>
      </c>
      <c r="L107" s="37">
        <f t="shared" si="161"/>
        <v>0.55000000000000004</v>
      </c>
      <c r="M107" s="3" t="s">
        <v>1024</v>
      </c>
      <c r="N107" t="s">
        <v>1025</v>
      </c>
      <c r="O107" s="21" t="s">
        <v>1035</v>
      </c>
      <c r="P107" s="21">
        <v>90</v>
      </c>
      <c r="Q107" s="21" t="s">
        <v>2163</v>
      </c>
      <c r="R107" s="23" t="s">
        <v>1037</v>
      </c>
      <c r="S107" s="50" t="s">
        <v>207</v>
      </c>
      <c r="T107" s="48" t="s">
        <v>1039</v>
      </c>
      <c r="U107" s="82" t="s">
        <v>1041</v>
      </c>
      <c r="V107" s="26" t="s">
        <v>1042</v>
      </c>
      <c r="W107" s="200" t="s">
        <v>259</v>
      </c>
      <c r="X107" s="17" t="s">
        <v>272</v>
      </c>
    </row>
    <row r="108" spans="2:25" x14ac:dyDescent="0.25">
      <c r="B108" s="17">
        <v>106</v>
      </c>
      <c r="C108" s="10" t="s">
        <v>136</v>
      </c>
      <c r="D108" s="7" t="s">
        <v>140</v>
      </c>
      <c r="E108" s="72" t="s">
        <v>1033</v>
      </c>
      <c r="F108" s="18" t="s">
        <v>1034</v>
      </c>
      <c r="G108" s="10">
        <v>7</v>
      </c>
      <c r="H108" s="10">
        <v>4</v>
      </c>
      <c r="I108" s="10">
        <v>241.92</v>
      </c>
      <c r="J108" s="11">
        <v>200000000</v>
      </c>
      <c r="K108" s="11">
        <f t="shared" si="160"/>
        <v>220000000.00000003</v>
      </c>
      <c r="L108" s="37">
        <f t="shared" si="161"/>
        <v>2</v>
      </c>
      <c r="M108" s="3" t="s">
        <v>1024</v>
      </c>
      <c r="N108" t="s">
        <v>1025</v>
      </c>
      <c r="O108" s="21" t="s">
        <v>1036</v>
      </c>
      <c r="P108" s="21">
        <v>91</v>
      </c>
      <c r="Q108" s="21" t="s">
        <v>2163</v>
      </c>
      <c r="R108" s="23" t="s">
        <v>1038</v>
      </c>
      <c r="S108" s="50" t="s">
        <v>207</v>
      </c>
      <c r="T108" s="48" t="s">
        <v>1040</v>
      </c>
      <c r="U108" s="82" t="s">
        <v>1041</v>
      </c>
      <c r="V108" s="26" t="s">
        <v>1042</v>
      </c>
      <c r="W108" s="200" t="s">
        <v>259</v>
      </c>
      <c r="X108" s="17" t="s">
        <v>272</v>
      </c>
    </row>
    <row r="109" spans="2:25" x14ac:dyDescent="0.25">
      <c r="B109" s="17">
        <v>107</v>
      </c>
      <c r="C109" s="10" t="s">
        <v>136</v>
      </c>
      <c r="D109" s="7" t="s">
        <v>140</v>
      </c>
      <c r="E109" s="72" t="s">
        <v>1028</v>
      </c>
      <c r="F109" s="18" t="s">
        <v>1060</v>
      </c>
      <c r="G109" s="10">
        <v>7</v>
      </c>
      <c r="H109" s="10">
        <v>4</v>
      </c>
      <c r="I109" s="10">
        <v>227.2</v>
      </c>
      <c r="J109" s="11">
        <v>200000000</v>
      </c>
      <c r="K109" s="11">
        <f t="shared" si="160"/>
        <v>220000000.00000003</v>
      </c>
      <c r="L109" s="37">
        <f t="shared" si="161"/>
        <v>2</v>
      </c>
      <c r="M109" s="3" t="s">
        <v>1029</v>
      </c>
      <c r="N109" t="s">
        <v>1026</v>
      </c>
      <c r="O109" s="21" t="s">
        <v>1027</v>
      </c>
      <c r="P109" s="21">
        <v>92</v>
      </c>
      <c r="Q109" s="21" t="s">
        <v>2160</v>
      </c>
      <c r="R109" s="23" t="s">
        <v>1367</v>
      </c>
      <c r="S109" s="50" t="s">
        <v>81</v>
      </c>
      <c r="T109" s="48" t="s">
        <v>1030</v>
      </c>
      <c r="U109" s="82" t="s">
        <v>197</v>
      </c>
      <c r="V109" s="32" t="s">
        <v>1031</v>
      </c>
      <c r="W109" s="200" t="s">
        <v>259</v>
      </c>
      <c r="X109" s="17" t="s">
        <v>272</v>
      </c>
    </row>
    <row r="110" spans="2:25" x14ac:dyDescent="0.25">
      <c r="B110" s="17">
        <v>108</v>
      </c>
      <c r="C110" s="10" t="s">
        <v>137</v>
      </c>
      <c r="D110" s="7" t="s">
        <v>140</v>
      </c>
      <c r="E110" s="72" t="s">
        <v>1043</v>
      </c>
      <c r="F110" s="18" t="s">
        <v>1034</v>
      </c>
      <c r="G110" s="10">
        <v>7</v>
      </c>
      <c r="H110" s="10">
        <v>4</v>
      </c>
      <c r="I110" s="10">
        <v>343.04</v>
      </c>
      <c r="J110" s="11">
        <v>323000000</v>
      </c>
      <c r="K110" s="11">
        <f t="shared" si="160"/>
        <v>355300000</v>
      </c>
      <c r="L110" s="37">
        <f t="shared" si="161"/>
        <v>3.23</v>
      </c>
      <c r="M110" s="3" t="s">
        <v>1045</v>
      </c>
      <c r="N110" t="s">
        <v>1046</v>
      </c>
      <c r="O110" s="21" t="s">
        <v>1047</v>
      </c>
      <c r="P110" s="21">
        <v>93</v>
      </c>
      <c r="Q110" s="21" t="s">
        <v>2165</v>
      </c>
      <c r="R110" s="23" t="s">
        <v>1049</v>
      </c>
      <c r="S110" s="50" t="s">
        <v>81</v>
      </c>
      <c r="T110" s="48" t="s">
        <v>1051</v>
      </c>
      <c r="U110" s="82" t="s">
        <v>197</v>
      </c>
      <c r="V110" s="32" t="s">
        <v>567</v>
      </c>
      <c r="W110" s="200" t="s">
        <v>258</v>
      </c>
      <c r="X110" s="17" t="s">
        <v>272</v>
      </c>
    </row>
    <row r="111" spans="2:25" x14ac:dyDescent="0.25">
      <c r="B111" s="17">
        <v>109</v>
      </c>
      <c r="C111" s="10" t="s">
        <v>137</v>
      </c>
      <c r="D111" s="7" t="s">
        <v>140</v>
      </c>
      <c r="E111" s="72" t="s">
        <v>1044</v>
      </c>
      <c r="F111" s="18" t="s">
        <v>1034</v>
      </c>
      <c r="G111" s="10">
        <v>7</v>
      </c>
      <c r="H111" s="10">
        <v>4</v>
      </c>
      <c r="I111" s="10">
        <v>252.16</v>
      </c>
      <c r="J111" s="11">
        <v>240000000</v>
      </c>
      <c r="K111" s="11">
        <f t="shared" si="160"/>
        <v>264000000.00000003</v>
      </c>
      <c r="L111" s="37">
        <f t="shared" si="161"/>
        <v>2.4</v>
      </c>
      <c r="M111" s="3" t="s">
        <v>1045</v>
      </c>
      <c r="N111" t="s">
        <v>1046</v>
      </c>
      <c r="O111" s="21" t="s">
        <v>1048</v>
      </c>
      <c r="P111" s="21">
        <v>94</v>
      </c>
      <c r="Q111" s="21" t="s">
        <v>2165</v>
      </c>
      <c r="R111" s="23" t="s">
        <v>1050</v>
      </c>
      <c r="S111" s="50" t="s">
        <v>81</v>
      </c>
      <c r="T111" s="48" t="s">
        <v>1052</v>
      </c>
      <c r="U111" s="82" t="s">
        <v>197</v>
      </c>
      <c r="V111" s="32" t="s">
        <v>567</v>
      </c>
      <c r="W111" s="200" t="s">
        <v>258</v>
      </c>
      <c r="X111" s="17" t="s">
        <v>272</v>
      </c>
    </row>
    <row r="112" spans="2:25" x14ac:dyDescent="0.25">
      <c r="B112" s="17">
        <v>110</v>
      </c>
      <c r="C112" s="10" t="s">
        <v>136</v>
      </c>
      <c r="D112" s="7" t="s">
        <v>140</v>
      </c>
      <c r="E112" s="72" t="s">
        <v>1070</v>
      </c>
      <c r="F112" s="18" t="s">
        <v>1071</v>
      </c>
      <c r="G112" s="10">
        <v>8</v>
      </c>
      <c r="H112" s="10">
        <v>1</v>
      </c>
      <c r="I112" s="10">
        <v>57.6</v>
      </c>
      <c r="J112" s="11">
        <v>56000000</v>
      </c>
      <c r="K112" s="11">
        <f t="shared" si="160"/>
        <v>61600000.000000007</v>
      </c>
      <c r="L112" s="37">
        <f t="shared" si="161"/>
        <v>0.56000000000000005</v>
      </c>
      <c r="M112" s="3" t="s">
        <v>327</v>
      </c>
      <c r="N112" t="s">
        <v>30</v>
      </c>
      <c r="O112" s="21" t="s">
        <v>1072</v>
      </c>
      <c r="P112" s="21">
        <v>95</v>
      </c>
      <c r="Q112" s="21" t="s">
        <v>2167</v>
      </c>
      <c r="R112" s="23" t="s">
        <v>1073</v>
      </c>
      <c r="S112" s="50" t="s">
        <v>207</v>
      </c>
      <c r="T112" s="48" t="s">
        <v>1074</v>
      </c>
      <c r="U112" s="82" t="s">
        <v>150</v>
      </c>
      <c r="V112" s="26" t="s">
        <v>1075</v>
      </c>
      <c r="W112" s="200" t="s">
        <v>360</v>
      </c>
      <c r="X112" s="17" t="s">
        <v>279</v>
      </c>
    </row>
    <row r="113" spans="2:24" x14ac:dyDescent="0.25">
      <c r="B113" s="17">
        <v>111</v>
      </c>
      <c r="C113" s="10" t="s">
        <v>136</v>
      </c>
      <c r="D113" s="7" t="s">
        <v>140</v>
      </c>
      <c r="E113" s="72" t="s">
        <v>1079</v>
      </c>
      <c r="F113" s="18" t="s">
        <v>1071</v>
      </c>
      <c r="G113" s="10">
        <v>8</v>
      </c>
      <c r="H113" s="10">
        <v>1</v>
      </c>
      <c r="I113" s="10">
        <v>800</v>
      </c>
      <c r="J113" s="11">
        <v>800000000</v>
      </c>
      <c r="K113" s="11">
        <f t="shared" si="160"/>
        <v>880000000.00000012</v>
      </c>
      <c r="L113" s="37">
        <f t="shared" si="161"/>
        <v>8</v>
      </c>
      <c r="M113" s="3" t="s">
        <v>495</v>
      </c>
      <c r="N113" t="s">
        <v>32</v>
      </c>
      <c r="O113" s="21" t="s">
        <v>1081</v>
      </c>
      <c r="P113" s="21">
        <v>96</v>
      </c>
      <c r="Q113" s="21" t="s">
        <v>2166</v>
      </c>
      <c r="R113" s="23" t="s">
        <v>1084</v>
      </c>
      <c r="S113" s="50" t="s">
        <v>207</v>
      </c>
      <c r="T113" s="48" t="s">
        <v>1085</v>
      </c>
      <c r="U113" s="82" t="s">
        <v>150</v>
      </c>
      <c r="V113" s="26" t="s">
        <v>1075</v>
      </c>
      <c r="W113" s="200" t="s">
        <v>350</v>
      </c>
      <c r="X113" s="17" t="s">
        <v>279</v>
      </c>
    </row>
    <row r="114" spans="2:24" x14ac:dyDescent="0.25">
      <c r="B114" s="17">
        <v>112</v>
      </c>
      <c r="C114" s="10" t="s">
        <v>136</v>
      </c>
      <c r="D114" s="7" t="s">
        <v>140</v>
      </c>
      <c r="E114" s="72" t="s">
        <v>1080</v>
      </c>
      <c r="F114" s="18" t="s">
        <v>1071</v>
      </c>
      <c r="G114" s="10">
        <v>8</v>
      </c>
      <c r="H114" s="10">
        <v>1</v>
      </c>
      <c r="I114" s="10">
        <v>209.28</v>
      </c>
      <c r="J114" s="11">
        <v>188400000</v>
      </c>
      <c r="K114" s="11">
        <f t="shared" si="160"/>
        <v>207240000.00000003</v>
      </c>
      <c r="L114" s="37">
        <f t="shared" si="161"/>
        <v>1.8840000000000001</v>
      </c>
      <c r="M114" s="3" t="s">
        <v>495</v>
      </c>
      <c r="N114" t="s">
        <v>32</v>
      </c>
      <c r="O114" s="21" t="s">
        <v>1082</v>
      </c>
      <c r="P114" s="21">
        <v>97</v>
      </c>
      <c r="Q114" s="21" t="s">
        <v>2163</v>
      </c>
      <c r="R114" s="23" t="s">
        <v>1083</v>
      </c>
      <c r="S114" s="50" t="s">
        <v>207</v>
      </c>
      <c r="T114" s="48" t="s">
        <v>1086</v>
      </c>
      <c r="U114" s="82" t="s">
        <v>85</v>
      </c>
      <c r="V114" s="26" t="s">
        <v>151</v>
      </c>
      <c r="W114" s="200" t="s">
        <v>350</v>
      </c>
      <c r="X114" s="17" t="s">
        <v>279</v>
      </c>
    </row>
    <row r="115" spans="2:24" x14ac:dyDescent="0.25">
      <c r="B115" s="17">
        <v>113</v>
      </c>
      <c r="C115" s="10" t="s">
        <v>101</v>
      </c>
      <c r="D115" s="7" t="s">
        <v>229</v>
      </c>
      <c r="E115" s="72" t="s">
        <v>403</v>
      </c>
      <c r="F115" s="18" t="s">
        <v>1087</v>
      </c>
      <c r="G115" s="10">
        <v>8</v>
      </c>
      <c r="H115" s="10">
        <v>1</v>
      </c>
      <c r="I115" s="10">
        <v>19.2</v>
      </c>
      <c r="J115" s="11">
        <v>34000000</v>
      </c>
      <c r="K115" s="11">
        <f t="shared" si="160"/>
        <v>37400000</v>
      </c>
      <c r="L115" s="37">
        <f t="shared" si="161"/>
        <v>0.34</v>
      </c>
      <c r="M115" s="3" t="s">
        <v>142</v>
      </c>
      <c r="N115" t="s">
        <v>189</v>
      </c>
      <c r="O115" s="21" t="s">
        <v>1088</v>
      </c>
      <c r="P115" s="21">
        <v>98</v>
      </c>
      <c r="Q115" s="21" t="s">
        <v>2161</v>
      </c>
      <c r="R115" s="23" t="s">
        <v>1089</v>
      </c>
      <c r="S115" s="50" t="s">
        <v>81</v>
      </c>
      <c r="T115" s="48" t="s">
        <v>1090</v>
      </c>
      <c r="U115" s="82" t="s">
        <v>150</v>
      </c>
      <c r="V115" s="26" t="s">
        <v>215</v>
      </c>
      <c r="W115" s="200" t="s">
        <v>360</v>
      </c>
      <c r="X115" s="17" t="s">
        <v>279</v>
      </c>
    </row>
    <row r="116" spans="2:24" x14ac:dyDescent="0.25">
      <c r="B116" s="17">
        <v>114</v>
      </c>
      <c r="C116" s="10" t="s">
        <v>136</v>
      </c>
      <c r="D116" s="7" t="s">
        <v>140</v>
      </c>
      <c r="E116" s="72" t="s">
        <v>1091</v>
      </c>
      <c r="F116" s="18" t="s">
        <v>1087</v>
      </c>
      <c r="G116" s="10">
        <v>8</v>
      </c>
      <c r="H116" s="10">
        <v>1</v>
      </c>
      <c r="I116" s="10">
        <v>163.84</v>
      </c>
      <c r="J116" s="11">
        <v>145000000</v>
      </c>
      <c r="K116" s="11">
        <f t="shared" si="160"/>
        <v>159500000</v>
      </c>
      <c r="L116" s="37">
        <f t="shared" si="161"/>
        <v>1.45</v>
      </c>
      <c r="M116" s="3" t="s">
        <v>1092</v>
      </c>
      <c r="N116" t="s">
        <v>319</v>
      </c>
      <c r="O116" s="21" t="s">
        <v>1093</v>
      </c>
      <c r="P116" s="21">
        <v>99</v>
      </c>
      <c r="Q116" s="21" t="s">
        <v>2160</v>
      </c>
      <c r="R116" s="23" t="s">
        <v>1248</v>
      </c>
      <c r="S116" s="50" t="s">
        <v>81</v>
      </c>
      <c r="T116" s="48" t="s">
        <v>1094</v>
      </c>
      <c r="U116" s="82" t="s">
        <v>197</v>
      </c>
      <c r="V116" s="32" t="s">
        <v>331</v>
      </c>
      <c r="W116" s="200" t="s">
        <v>259</v>
      </c>
      <c r="X116" s="17" t="s">
        <v>272</v>
      </c>
    </row>
    <row r="117" spans="2:24" x14ac:dyDescent="0.25">
      <c r="B117" s="17">
        <v>115</v>
      </c>
      <c r="C117" s="10" t="s">
        <v>101</v>
      </c>
      <c r="D117" s="7" t="s">
        <v>229</v>
      </c>
      <c r="E117" s="72" t="s">
        <v>409</v>
      </c>
      <c r="F117" s="18" t="s">
        <v>1095</v>
      </c>
      <c r="G117" s="10">
        <v>8</v>
      </c>
      <c r="H117" s="10">
        <v>1</v>
      </c>
      <c r="I117" s="10">
        <v>499.2</v>
      </c>
      <c r="J117" s="11">
        <v>465000000</v>
      </c>
      <c r="K117" s="11">
        <f t="shared" si="160"/>
        <v>511500000.00000006</v>
      </c>
      <c r="L117" s="37">
        <f t="shared" si="161"/>
        <v>4.6500000000000004</v>
      </c>
      <c r="M117" s="3" t="s">
        <v>189</v>
      </c>
      <c r="N117" t="s">
        <v>189</v>
      </c>
      <c r="O117" s="21" t="s">
        <v>1096</v>
      </c>
      <c r="P117" s="21">
        <v>100</v>
      </c>
      <c r="Q117" s="21" t="s">
        <v>2160</v>
      </c>
      <c r="R117" s="23" t="s">
        <v>1249</v>
      </c>
      <c r="S117" s="50" t="s">
        <v>81</v>
      </c>
      <c r="T117" s="48" t="s">
        <v>1097</v>
      </c>
      <c r="U117" s="82" t="s">
        <v>197</v>
      </c>
      <c r="V117" s="32" t="s">
        <v>198</v>
      </c>
      <c r="W117" s="200" t="s">
        <v>350</v>
      </c>
      <c r="X117" s="17" t="s">
        <v>279</v>
      </c>
    </row>
    <row r="118" spans="2:24" x14ac:dyDescent="0.25">
      <c r="B118" s="17">
        <v>116</v>
      </c>
      <c r="C118" s="10" t="s">
        <v>136</v>
      </c>
      <c r="D118" s="7" t="s">
        <v>140</v>
      </c>
      <c r="E118" s="72" t="s">
        <v>1137</v>
      </c>
      <c r="F118" s="18" t="s">
        <v>1098</v>
      </c>
      <c r="G118" s="10">
        <v>8</v>
      </c>
      <c r="H118" s="10">
        <v>2</v>
      </c>
      <c r="I118" s="10">
        <v>51.2</v>
      </c>
      <c r="J118" s="11">
        <v>60000000</v>
      </c>
      <c r="K118" s="11">
        <f t="shared" si="160"/>
        <v>66000000.000000007</v>
      </c>
      <c r="L118" s="37">
        <f t="shared" si="161"/>
        <v>0.6</v>
      </c>
      <c r="M118" s="3" t="s">
        <v>1099</v>
      </c>
      <c r="N118" t="s">
        <v>1100</v>
      </c>
      <c r="O118" s="21" t="s">
        <v>1101</v>
      </c>
      <c r="P118" s="21">
        <v>101</v>
      </c>
      <c r="Q118" s="21" t="s">
        <v>2161</v>
      </c>
      <c r="R118" s="23" t="s">
        <v>1102</v>
      </c>
      <c r="S118" s="50" t="s">
        <v>81</v>
      </c>
      <c r="T118" s="48" t="s">
        <v>1103</v>
      </c>
      <c r="U118" s="82" t="s">
        <v>197</v>
      </c>
      <c r="V118" s="32" t="s">
        <v>1104</v>
      </c>
      <c r="W118" s="200" t="s">
        <v>262</v>
      </c>
      <c r="X118" s="17" t="s">
        <v>272</v>
      </c>
    </row>
    <row r="119" spans="2:24" x14ac:dyDescent="0.25">
      <c r="B119" s="17">
        <v>117</v>
      </c>
      <c r="C119" s="10" t="s">
        <v>136</v>
      </c>
      <c r="D119" s="7" t="s">
        <v>140</v>
      </c>
      <c r="E119" s="72" t="s">
        <v>1105</v>
      </c>
      <c r="F119" s="18" t="s">
        <v>1112</v>
      </c>
      <c r="G119" s="10">
        <v>8</v>
      </c>
      <c r="H119" s="10">
        <v>2</v>
      </c>
      <c r="I119" s="10">
        <v>231.04</v>
      </c>
      <c r="J119" s="11">
        <v>268000000</v>
      </c>
      <c r="K119" s="11">
        <f t="shared" si="160"/>
        <v>294800000</v>
      </c>
      <c r="L119" s="37">
        <f t="shared" si="161"/>
        <v>2.68</v>
      </c>
      <c r="M119" s="3" t="s">
        <v>1106</v>
      </c>
      <c r="N119" t="s">
        <v>1107</v>
      </c>
      <c r="O119" s="21" t="s">
        <v>1108</v>
      </c>
      <c r="P119" s="21">
        <v>102</v>
      </c>
      <c r="Q119" s="21" t="s">
        <v>2166</v>
      </c>
      <c r="R119" s="23" t="s">
        <v>1109</v>
      </c>
      <c r="S119" s="50" t="s">
        <v>81</v>
      </c>
      <c r="T119" s="48" t="s">
        <v>1110</v>
      </c>
      <c r="U119" s="82" t="s">
        <v>197</v>
      </c>
      <c r="V119" s="32" t="s">
        <v>1111</v>
      </c>
      <c r="W119" s="200" t="s">
        <v>259</v>
      </c>
      <c r="X119" s="17" t="s">
        <v>272</v>
      </c>
    </row>
    <row r="120" spans="2:24" x14ac:dyDescent="0.25">
      <c r="B120" s="17">
        <v>118</v>
      </c>
      <c r="C120" s="10" t="s">
        <v>136</v>
      </c>
      <c r="D120" s="7" t="s">
        <v>140</v>
      </c>
      <c r="E120" s="72" t="s">
        <v>1113</v>
      </c>
      <c r="F120" s="19" t="s">
        <v>1114</v>
      </c>
      <c r="G120" s="10">
        <v>8</v>
      </c>
      <c r="H120" s="10">
        <v>2</v>
      </c>
      <c r="I120" s="10">
        <v>926.08</v>
      </c>
      <c r="J120" s="11">
        <v>800000000</v>
      </c>
      <c r="K120" s="11">
        <f t="shared" si="160"/>
        <v>880000000.00000012</v>
      </c>
      <c r="L120" s="37">
        <f t="shared" si="161"/>
        <v>8</v>
      </c>
      <c r="M120" s="3" t="s">
        <v>1115</v>
      </c>
      <c r="N120" t="s">
        <v>1116</v>
      </c>
      <c r="O120" s="21" t="s">
        <v>1117</v>
      </c>
      <c r="P120" s="21">
        <v>103</v>
      </c>
      <c r="Q120" s="21" t="s">
        <v>2163</v>
      </c>
      <c r="R120" s="23" t="s">
        <v>1118</v>
      </c>
      <c r="S120" s="50" t="s">
        <v>1119</v>
      </c>
      <c r="T120" s="48" t="s">
        <v>1120</v>
      </c>
      <c r="U120" s="82" t="s">
        <v>1121</v>
      </c>
      <c r="V120" s="26" t="s">
        <v>1122</v>
      </c>
      <c r="W120" s="200" t="s">
        <v>1123</v>
      </c>
      <c r="X120" s="17" t="s">
        <v>1124</v>
      </c>
    </row>
    <row r="121" spans="2:24" x14ac:dyDescent="0.25">
      <c r="B121" s="17">
        <v>119</v>
      </c>
      <c r="C121" s="10" t="s">
        <v>136</v>
      </c>
      <c r="D121" s="7" t="s">
        <v>140</v>
      </c>
      <c r="E121" s="72" t="s">
        <v>1125</v>
      </c>
      <c r="F121" s="19" t="s">
        <v>1126</v>
      </c>
      <c r="G121" s="10">
        <v>8</v>
      </c>
      <c r="H121" s="10">
        <v>2</v>
      </c>
      <c r="I121" s="10">
        <v>139.32</v>
      </c>
      <c r="J121" s="11">
        <v>125000000</v>
      </c>
      <c r="K121" s="11">
        <f t="shared" si="160"/>
        <v>137500000</v>
      </c>
      <c r="L121" s="37">
        <f t="shared" si="161"/>
        <v>1.25</v>
      </c>
      <c r="M121" s="3" t="s">
        <v>1127</v>
      </c>
      <c r="N121" t="s">
        <v>1128</v>
      </c>
      <c r="O121" s="21" t="s">
        <v>1129</v>
      </c>
      <c r="P121" s="21">
        <v>104</v>
      </c>
      <c r="Q121" s="21" t="s">
        <v>2160</v>
      </c>
      <c r="R121" s="23" t="s">
        <v>1130</v>
      </c>
      <c r="S121" s="50" t="s">
        <v>81</v>
      </c>
      <c r="T121" s="48" t="s">
        <v>1131</v>
      </c>
      <c r="U121" s="82" t="s">
        <v>197</v>
      </c>
      <c r="V121" s="26" t="s">
        <v>1132</v>
      </c>
      <c r="W121" s="200" t="s">
        <v>263</v>
      </c>
      <c r="X121" s="17" t="s">
        <v>272</v>
      </c>
    </row>
    <row r="122" spans="2:24" x14ac:dyDescent="0.25">
      <c r="B122" s="17">
        <v>120</v>
      </c>
      <c r="C122" s="10" t="s">
        <v>136</v>
      </c>
      <c r="D122" s="7" t="s">
        <v>140</v>
      </c>
      <c r="E122" s="72" t="s">
        <v>1133</v>
      </c>
      <c r="F122" s="18" t="s">
        <v>1126</v>
      </c>
      <c r="G122" s="10">
        <v>8</v>
      </c>
      <c r="H122" s="10">
        <v>2</v>
      </c>
      <c r="I122" s="10">
        <v>74.174999999999997</v>
      </c>
      <c r="J122" s="11">
        <v>67000000</v>
      </c>
      <c r="K122" s="11">
        <f t="shared" si="160"/>
        <v>73700000</v>
      </c>
      <c r="L122" s="37">
        <f t="shared" si="161"/>
        <v>0.67</v>
      </c>
      <c r="M122" s="3" t="s">
        <v>1127</v>
      </c>
      <c r="N122" t="s">
        <v>1128</v>
      </c>
      <c r="O122" s="21" t="s">
        <v>1134</v>
      </c>
      <c r="P122" s="21"/>
      <c r="Q122" s="21" t="s">
        <v>2160</v>
      </c>
      <c r="R122" s="23" t="s">
        <v>1135</v>
      </c>
      <c r="S122" s="50" t="s">
        <v>81</v>
      </c>
      <c r="T122" s="48" t="s">
        <v>1136</v>
      </c>
      <c r="U122" s="82" t="s">
        <v>197</v>
      </c>
      <c r="V122" s="26" t="s">
        <v>1132</v>
      </c>
      <c r="W122" s="200" t="s">
        <v>261</v>
      </c>
      <c r="X122" s="17" t="s">
        <v>272</v>
      </c>
    </row>
    <row r="123" spans="2:24" x14ac:dyDescent="0.25">
      <c r="B123" s="17">
        <v>121</v>
      </c>
      <c r="C123" s="10" t="s">
        <v>137</v>
      </c>
      <c r="D123" s="7" t="s">
        <v>140</v>
      </c>
      <c r="E123" s="72" t="s">
        <v>1138</v>
      </c>
      <c r="F123" s="18" t="s">
        <v>1150</v>
      </c>
      <c r="G123" s="10">
        <v>8</v>
      </c>
      <c r="H123" s="10">
        <v>2</v>
      </c>
      <c r="I123" s="10">
        <v>87.68</v>
      </c>
      <c r="J123" s="11">
        <v>95000000</v>
      </c>
      <c r="K123" s="11">
        <f t="shared" si="160"/>
        <v>104500000.00000001</v>
      </c>
      <c r="L123" s="37">
        <f t="shared" si="161"/>
        <v>0.95000000000000007</v>
      </c>
      <c r="M123" s="3" t="s">
        <v>1139</v>
      </c>
      <c r="N123" t="s">
        <v>1140</v>
      </c>
      <c r="O123" s="21" t="s">
        <v>1141</v>
      </c>
      <c r="P123" s="21">
        <v>105</v>
      </c>
      <c r="Q123" s="21" t="s">
        <v>2164</v>
      </c>
      <c r="R123" s="23" t="s">
        <v>1142</v>
      </c>
      <c r="S123" s="50" t="s">
        <v>81</v>
      </c>
      <c r="T123" s="48" t="s">
        <v>1143</v>
      </c>
      <c r="U123" s="82" t="s">
        <v>197</v>
      </c>
      <c r="V123" s="26" t="s">
        <v>1144</v>
      </c>
      <c r="W123" s="200" t="s">
        <v>1146</v>
      </c>
      <c r="X123" s="17" t="s">
        <v>1145</v>
      </c>
    </row>
    <row r="124" spans="2:24" x14ac:dyDescent="0.25">
      <c r="B124" s="17">
        <v>122</v>
      </c>
      <c r="C124" s="10" t="s">
        <v>137</v>
      </c>
      <c r="D124" s="7" t="s">
        <v>140</v>
      </c>
      <c r="E124" s="72" t="s">
        <v>1149</v>
      </c>
      <c r="F124" s="18" t="s">
        <v>1150</v>
      </c>
      <c r="G124" s="10">
        <v>8</v>
      </c>
      <c r="H124" s="10">
        <v>2</v>
      </c>
      <c r="I124" s="10">
        <v>113.28</v>
      </c>
      <c r="J124" s="11">
        <v>136000000</v>
      </c>
      <c r="K124" s="11">
        <f t="shared" si="160"/>
        <v>149600000</v>
      </c>
      <c r="L124" s="37">
        <f t="shared" si="161"/>
        <v>1.36</v>
      </c>
      <c r="M124" s="3" t="s">
        <v>1147</v>
      </c>
      <c r="N124" t="s">
        <v>1148</v>
      </c>
      <c r="O124" s="21" t="s">
        <v>1151</v>
      </c>
      <c r="P124" s="21">
        <v>106</v>
      </c>
      <c r="Q124" s="21" t="s">
        <v>2161</v>
      </c>
      <c r="R124" s="23" t="s">
        <v>1152</v>
      </c>
      <c r="S124" s="50" t="s">
        <v>81</v>
      </c>
      <c r="T124" s="48" t="s">
        <v>1153</v>
      </c>
      <c r="U124" s="82" t="s">
        <v>1154</v>
      </c>
      <c r="V124" s="26" t="s">
        <v>1155</v>
      </c>
      <c r="W124" s="200" t="s">
        <v>1156</v>
      </c>
      <c r="X124" s="17" t="s">
        <v>1157</v>
      </c>
    </row>
    <row r="125" spans="2:24" x14ac:dyDescent="0.25">
      <c r="B125" s="17">
        <v>123</v>
      </c>
      <c r="C125" s="10" t="s">
        <v>136</v>
      </c>
      <c r="D125" s="7" t="s">
        <v>140</v>
      </c>
      <c r="E125" s="72" t="s">
        <v>1162</v>
      </c>
      <c r="F125" s="18" t="s">
        <v>1163</v>
      </c>
      <c r="G125" s="10">
        <v>8</v>
      </c>
      <c r="H125" s="10">
        <v>3</v>
      </c>
      <c r="I125" s="10">
        <v>220.8</v>
      </c>
      <c r="J125" s="11">
        <v>200000000</v>
      </c>
      <c r="K125" s="11">
        <f t="shared" si="160"/>
        <v>220000000.00000003</v>
      </c>
      <c r="L125" s="37">
        <f t="shared" si="161"/>
        <v>2</v>
      </c>
      <c r="M125" s="3" t="s">
        <v>1164</v>
      </c>
      <c r="N125" t="s">
        <v>1165</v>
      </c>
      <c r="O125" s="21" t="s">
        <v>1166</v>
      </c>
      <c r="P125" s="21">
        <v>107</v>
      </c>
      <c r="Q125" s="21" t="s">
        <v>2163</v>
      </c>
      <c r="R125" s="23" t="s">
        <v>1167</v>
      </c>
      <c r="S125" s="50" t="s">
        <v>81</v>
      </c>
      <c r="T125" s="48" t="s">
        <v>1168</v>
      </c>
      <c r="U125" s="82" t="s">
        <v>1169</v>
      </c>
      <c r="V125" s="32" t="s">
        <v>1170</v>
      </c>
      <c r="W125" s="200" t="s">
        <v>1171</v>
      </c>
      <c r="X125" s="17" t="s">
        <v>1172</v>
      </c>
    </row>
    <row r="126" spans="2:24" ht="27" x14ac:dyDescent="0.25">
      <c r="B126" s="17">
        <v>124</v>
      </c>
      <c r="C126" s="10" t="s">
        <v>351</v>
      </c>
      <c r="D126" s="7" t="s">
        <v>140</v>
      </c>
      <c r="E126" s="72" t="s">
        <v>1173</v>
      </c>
      <c r="F126" s="18" t="s">
        <v>1174</v>
      </c>
      <c r="G126" s="10">
        <v>8</v>
      </c>
      <c r="H126" s="10">
        <v>3</v>
      </c>
      <c r="I126" s="10">
        <v>721.28</v>
      </c>
      <c r="J126" s="11">
        <v>590000000</v>
      </c>
      <c r="K126" s="11">
        <f t="shared" si="160"/>
        <v>649000000</v>
      </c>
      <c r="L126" s="37">
        <f t="shared" si="161"/>
        <v>5.9</v>
      </c>
      <c r="M126" s="3" t="s">
        <v>1175</v>
      </c>
      <c r="N126" t="s">
        <v>1176</v>
      </c>
      <c r="O126" s="21" t="s">
        <v>1177</v>
      </c>
      <c r="P126" s="21">
        <v>108</v>
      </c>
      <c r="Q126" s="21" t="s">
        <v>2161</v>
      </c>
      <c r="R126" s="23" t="s">
        <v>1250</v>
      </c>
      <c r="S126" s="50" t="s">
        <v>81</v>
      </c>
      <c r="T126" s="48"/>
      <c r="U126" s="82" t="s">
        <v>197</v>
      </c>
      <c r="V126" s="32" t="s">
        <v>1178</v>
      </c>
      <c r="W126" s="200" t="s">
        <v>1179</v>
      </c>
      <c r="X126" s="17" t="s">
        <v>272</v>
      </c>
    </row>
    <row r="127" spans="2:24" x14ac:dyDescent="0.25">
      <c r="B127" s="17">
        <v>125</v>
      </c>
      <c r="C127" s="10" t="s">
        <v>137</v>
      </c>
      <c r="D127" s="7" t="s">
        <v>303</v>
      </c>
      <c r="E127" s="72" t="s">
        <v>1180</v>
      </c>
      <c r="F127" s="18" t="s">
        <v>1189</v>
      </c>
      <c r="G127" s="10">
        <v>8</v>
      </c>
      <c r="H127" s="10">
        <v>3</v>
      </c>
      <c r="I127" s="10">
        <v>732.16</v>
      </c>
      <c r="J127" s="11">
        <v>730000000</v>
      </c>
      <c r="K127" s="11">
        <f t="shared" si="160"/>
        <v>803000000.00000012</v>
      </c>
      <c r="L127" s="37">
        <f t="shared" si="161"/>
        <v>7.3</v>
      </c>
      <c r="M127" s="3" t="s">
        <v>1181</v>
      </c>
      <c r="N127" t="s">
        <v>1182</v>
      </c>
      <c r="O127" s="21" t="s">
        <v>1183</v>
      </c>
      <c r="P127" s="21">
        <v>109</v>
      </c>
      <c r="Q127" s="21" t="s">
        <v>2161</v>
      </c>
      <c r="R127" s="23" t="s">
        <v>1184</v>
      </c>
      <c r="S127" s="50" t="s">
        <v>81</v>
      </c>
      <c r="T127" s="48" t="s">
        <v>1185</v>
      </c>
      <c r="U127" s="82" t="s">
        <v>197</v>
      </c>
      <c r="V127" s="26" t="s">
        <v>1186</v>
      </c>
      <c r="W127" s="200" t="s">
        <v>1187</v>
      </c>
      <c r="X127" s="17" t="s">
        <v>272</v>
      </c>
    </row>
    <row r="128" spans="2:24" x14ac:dyDescent="0.25">
      <c r="B128" s="17">
        <v>126</v>
      </c>
      <c r="C128" s="10" t="s">
        <v>136</v>
      </c>
      <c r="D128" s="7" t="s">
        <v>140</v>
      </c>
      <c r="E128" s="72" t="s">
        <v>1188</v>
      </c>
      <c r="F128" s="18" t="s">
        <v>1196</v>
      </c>
      <c r="G128" s="10">
        <v>8</v>
      </c>
      <c r="H128" s="10">
        <v>3</v>
      </c>
      <c r="I128" s="10">
        <v>419.2</v>
      </c>
      <c r="J128" s="11">
        <v>370000000</v>
      </c>
      <c r="K128" s="11">
        <f t="shared" si="160"/>
        <v>407000000.00000006</v>
      </c>
      <c r="L128" s="37">
        <f t="shared" si="161"/>
        <v>3.7</v>
      </c>
      <c r="M128" s="3" t="s">
        <v>1190</v>
      </c>
      <c r="N128" t="s">
        <v>1191</v>
      </c>
      <c r="O128" s="21" t="s">
        <v>1192</v>
      </c>
      <c r="P128" s="21">
        <v>110</v>
      </c>
      <c r="Q128" s="21" t="s">
        <v>2163</v>
      </c>
      <c r="R128" s="23" t="s">
        <v>1193</v>
      </c>
      <c r="S128" s="50" t="s">
        <v>81</v>
      </c>
      <c r="T128" s="48" t="s">
        <v>1194</v>
      </c>
      <c r="U128" s="82" t="s">
        <v>85</v>
      </c>
      <c r="V128" s="26" t="s">
        <v>1195</v>
      </c>
      <c r="W128" s="200" t="s">
        <v>259</v>
      </c>
      <c r="X128" s="17" t="s">
        <v>272</v>
      </c>
    </row>
    <row r="129" spans="2:24" x14ac:dyDescent="0.25">
      <c r="B129" s="17">
        <v>127</v>
      </c>
      <c r="C129" s="10" t="s">
        <v>136</v>
      </c>
      <c r="D129" s="7" t="s">
        <v>140</v>
      </c>
      <c r="E129" s="72" t="s">
        <v>1197</v>
      </c>
      <c r="F129" s="18" t="s">
        <v>1198</v>
      </c>
      <c r="G129" s="10">
        <v>8</v>
      </c>
      <c r="H129" s="10">
        <v>3</v>
      </c>
      <c r="I129" s="10">
        <v>142.08000000000001</v>
      </c>
      <c r="J129" s="11">
        <v>118000000</v>
      </c>
      <c r="K129" s="11">
        <f t="shared" si="160"/>
        <v>129800000.00000001</v>
      </c>
      <c r="L129" s="37">
        <f t="shared" si="161"/>
        <v>1.18</v>
      </c>
      <c r="M129" s="3" t="s">
        <v>1199</v>
      </c>
      <c r="N129" t="s">
        <v>32</v>
      </c>
      <c r="O129" s="21" t="s">
        <v>1200</v>
      </c>
      <c r="P129" s="21">
        <v>111</v>
      </c>
      <c r="Q129" s="21" t="s">
        <v>2163</v>
      </c>
      <c r="R129" s="23" t="s">
        <v>1201</v>
      </c>
      <c r="S129" s="50" t="s">
        <v>81</v>
      </c>
      <c r="T129" s="48" t="s">
        <v>1202</v>
      </c>
      <c r="U129" s="82" t="s">
        <v>197</v>
      </c>
      <c r="V129" s="26" t="s">
        <v>1203</v>
      </c>
      <c r="W129" s="200" t="s">
        <v>259</v>
      </c>
      <c r="X129" s="17" t="s">
        <v>272</v>
      </c>
    </row>
    <row r="130" spans="2:24" x14ac:dyDescent="0.25">
      <c r="B130" s="17">
        <v>128</v>
      </c>
      <c r="C130" s="10" t="s">
        <v>136</v>
      </c>
      <c r="D130" s="7" t="s">
        <v>140</v>
      </c>
      <c r="E130" s="72" t="s">
        <v>1204</v>
      </c>
      <c r="F130" s="18" t="s">
        <v>1205</v>
      </c>
      <c r="G130" s="10">
        <v>8</v>
      </c>
      <c r="H130" s="10">
        <v>4</v>
      </c>
      <c r="I130" s="10">
        <v>157.44</v>
      </c>
      <c r="J130" s="11">
        <v>140000000</v>
      </c>
      <c r="K130" s="11">
        <f t="shared" si="160"/>
        <v>154000000</v>
      </c>
      <c r="L130" s="37">
        <f t="shared" si="161"/>
        <v>1.4000000000000001</v>
      </c>
      <c r="M130" s="3" t="s">
        <v>1206</v>
      </c>
      <c r="N130" t="s">
        <v>1207</v>
      </c>
      <c r="O130" s="21" t="s">
        <v>1208</v>
      </c>
      <c r="P130" s="21">
        <v>112</v>
      </c>
      <c r="Q130" s="21" t="s">
        <v>2163</v>
      </c>
      <c r="R130" s="23" t="s">
        <v>1209</v>
      </c>
      <c r="S130" s="50" t="s">
        <v>81</v>
      </c>
      <c r="T130" s="48" t="s">
        <v>1210</v>
      </c>
      <c r="U130" s="82" t="s">
        <v>1211</v>
      </c>
      <c r="V130" s="26" t="s">
        <v>1212</v>
      </c>
      <c r="W130" s="200" t="s">
        <v>1213</v>
      </c>
      <c r="X130" s="17" t="s">
        <v>1214</v>
      </c>
    </row>
    <row r="131" spans="2:24" x14ac:dyDescent="0.25">
      <c r="B131" s="17">
        <v>129</v>
      </c>
      <c r="C131" s="10" t="s">
        <v>137</v>
      </c>
      <c r="D131" s="7" t="s">
        <v>140</v>
      </c>
      <c r="E131" s="72" t="s">
        <v>1215</v>
      </c>
      <c r="F131" s="18" t="s">
        <v>1216</v>
      </c>
      <c r="G131" s="10">
        <v>8</v>
      </c>
      <c r="H131" s="10">
        <v>4</v>
      </c>
      <c r="I131" s="10">
        <v>146.56</v>
      </c>
      <c r="J131" s="11">
        <v>154000000</v>
      </c>
      <c r="K131" s="11">
        <f t="shared" ref="K131:K186" si="184">J131*1.1</f>
        <v>169400000</v>
      </c>
      <c r="L131" s="37">
        <f t="shared" ref="L131:L186" si="185">J131*0.00000001</f>
        <v>1.54</v>
      </c>
      <c r="M131" s="3" t="s">
        <v>1217</v>
      </c>
      <c r="N131" t="s">
        <v>1218</v>
      </c>
      <c r="O131" s="21" t="s">
        <v>1219</v>
      </c>
      <c r="P131" s="21">
        <v>113</v>
      </c>
      <c r="Q131" s="21" t="s">
        <v>2160</v>
      </c>
      <c r="R131" s="23" t="s">
        <v>1220</v>
      </c>
      <c r="S131" s="50" t="s">
        <v>81</v>
      </c>
      <c r="T131" s="48" t="s">
        <v>1221</v>
      </c>
      <c r="U131" s="82" t="s">
        <v>197</v>
      </c>
      <c r="V131" s="26" t="s">
        <v>1222</v>
      </c>
      <c r="W131" s="200" t="s">
        <v>259</v>
      </c>
      <c r="X131" s="17" t="s">
        <v>272</v>
      </c>
    </row>
    <row r="132" spans="2:24" x14ac:dyDescent="0.25">
      <c r="B132" s="17">
        <v>130</v>
      </c>
      <c r="C132" s="10" t="s">
        <v>136</v>
      </c>
      <c r="D132" s="7" t="s">
        <v>140</v>
      </c>
      <c r="E132" s="72" t="s">
        <v>1223</v>
      </c>
      <c r="F132" s="18" t="s">
        <v>1224</v>
      </c>
      <c r="G132" s="10">
        <v>8</v>
      </c>
      <c r="H132" s="10">
        <v>4</v>
      </c>
      <c r="I132" s="10">
        <v>293.76</v>
      </c>
      <c r="J132" s="11">
        <v>265000000</v>
      </c>
      <c r="K132" s="11">
        <f t="shared" si="184"/>
        <v>291500000</v>
      </c>
      <c r="L132" s="37">
        <f t="shared" si="185"/>
        <v>2.65</v>
      </c>
      <c r="M132" s="3" t="s">
        <v>1225</v>
      </c>
      <c r="N132" t="s">
        <v>1226</v>
      </c>
      <c r="O132" s="21" t="s">
        <v>1227</v>
      </c>
      <c r="P132" s="21">
        <v>114</v>
      </c>
      <c r="Q132" s="21" t="s">
        <v>2165</v>
      </c>
      <c r="R132" s="23" t="s">
        <v>1228</v>
      </c>
      <c r="S132" s="50" t="s">
        <v>81</v>
      </c>
      <c r="T132" s="48" t="s">
        <v>1229</v>
      </c>
      <c r="U132" s="82" t="s">
        <v>1230</v>
      </c>
      <c r="V132" s="26" t="s">
        <v>472</v>
      </c>
      <c r="W132" s="200" t="s">
        <v>258</v>
      </c>
      <c r="X132" s="17" t="s">
        <v>272</v>
      </c>
    </row>
    <row r="133" spans="2:24" x14ac:dyDescent="0.25">
      <c r="B133" s="17">
        <v>131</v>
      </c>
      <c r="C133" s="10" t="s">
        <v>136</v>
      </c>
      <c r="D133" s="7" t="s">
        <v>140</v>
      </c>
      <c r="E133" s="72" t="s">
        <v>1231</v>
      </c>
      <c r="F133" s="18" t="s">
        <v>1232</v>
      </c>
      <c r="G133" s="10">
        <v>8</v>
      </c>
      <c r="H133" s="10">
        <v>4</v>
      </c>
      <c r="I133" s="10">
        <v>458.24</v>
      </c>
      <c r="J133" s="11">
        <v>399000000</v>
      </c>
      <c r="K133" s="11">
        <f t="shared" si="184"/>
        <v>438900000.00000006</v>
      </c>
      <c r="L133" s="37">
        <f t="shared" si="185"/>
        <v>3.99</v>
      </c>
      <c r="M133" s="3" t="s">
        <v>327</v>
      </c>
      <c r="N133" t="s">
        <v>32</v>
      </c>
      <c r="O133" s="21" t="s">
        <v>1233</v>
      </c>
      <c r="P133" s="21">
        <v>115</v>
      </c>
      <c r="Q133" s="21" t="s">
        <v>2163</v>
      </c>
      <c r="R133" s="23" t="s">
        <v>1234</v>
      </c>
      <c r="S133" s="50" t="s">
        <v>81</v>
      </c>
      <c r="T133" s="48" t="s">
        <v>1235</v>
      </c>
      <c r="U133" s="82" t="s">
        <v>1236</v>
      </c>
      <c r="V133" s="26" t="s">
        <v>1237</v>
      </c>
      <c r="W133" s="200" t="s">
        <v>258</v>
      </c>
      <c r="X133" s="17" t="s">
        <v>272</v>
      </c>
    </row>
    <row r="134" spans="2:24" x14ac:dyDescent="0.25">
      <c r="B134" s="17">
        <v>132</v>
      </c>
      <c r="C134" s="10" t="s">
        <v>137</v>
      </c>
      <c r="D134" s="7" t="s">
        <v>140</v>
      </c>
      <c r="E134" s="72" t="s">
        <v>1275</v>
      </c>
      <c r="F134" s="18" t="s">
        <v>1270</v>
      </c>
      <c r="G134" s="10">
        <v>8</v>
      </c>
      <c r="H134" s="10">
        <v>4</v>
      </c>
      <c r="I134" s="10">
        <v>384</v>
      </c>
      <c r="J134" s="11">
        <v>376000000</v>
      </c>
      <c r="K134" s="11">
        <v>413600000</v>
      </c>
      <c r="L134" s="37">
        <f t="shared" si="185"/>
        <v>3.7600000000000002</v>
      </c>
      <c r="M134" s="3" t="s">
        <v>189</v>
      </c>
      <c r="N134" t="s">
        <v>189</v>
      </c>
      <c r="O134" s="21" t="s">
        <v>1271</v>
      </c>
      <c r="P134" s="21">
        <v>116</v>
      </c>
      <c r="Q134" s="21" t="s">
        <v>2160</v>
      </c>
      <c r="R134" s="23" t="s">
        <v>1272</v>
      </c>
      <c r="S134" s="50" t="s">
        <v>81</v>
      </c>
      <c r="T134" s="48" t="s">
        <v>1273</v>
      </c>
      <c r="U134" s="82" t="s">
        <v>197</v>
      </c>
      <c r="V134" s="26" t="s">
        <v>1274</v>
      </c>
      <c r="W134" s="200" t="s">
        <v>259</v>
      </c>
      <c r="X134" s="17" t="s">
        <v>272</v>
      </c>
    </row>
    <row r="135" spans="2:24" x14ac:dyDescent="0.25">
      <c r="B135" s="17">
        <v>132</v>
      </c>
      <c r="C135" s="10" t="s">
        <v>136</v>
      </c>
      <c r="D135" s="7" t="s">
        <v>140</v>
      </c>
      <c r="E135" s="72" t="s">
        <v>1252</v>
      </c>
      <c r="F135" s="18" t="s">
        <v>1257</v>
      </c>
      <c r="G135" s="10">
        <v>9</v>
      </c>
      <c r="H135" s="10">
        <v>1</v>
      </c>
      <c r="I135" s="10">
        <v>60.16</v>
      </c>
      <c r="J135" s="11">
        <v>57000000</v>
      </c>
      <c r="K135" s="11">
        <f t="shared" ref="K135:K141" si="186">J135*1.1</f>
        <v>62700000.000000007</v>
      </c>
      <c r="L135" s="37">
        <f t="shared" ref="L135:L141" si="187">J135*0.00000001</f>
        <v>0.57000000000000006</v>
      </c>
      <c r="M135" s="3" t="s">
        <v>75</v>
      </c>
      <c r="N135" t="s">
        <v>31</v>
      </c>
      <c r="O135" s="21" t="s">
        <v>1258</v>
      </c>
      <c r="P135" s="21">
        <v>117</v>
      </c>
      <c r="Q135" s="21" t="s">
        <v>2161</v>
      </c>
      <c r="R135" s="23" t="s">
        <v>1263</v>
      </c>
      <c r="S135" s="50" t="s">
        <v>81</v>
      </c>
      <c r="T135" s="48" t="s">
        <v>1267</v>
      </c>
      <c r="U135" s="82" t="s">
        <v>151</v>
      </c>
      <c r="V135" s="26" t="s">
        <v>1269</v>
      </c>
      <c r="W135" s="200" t="s">
        <v>259</v>
      </c>
      <c r="X135" s="17" t="s">
        <v>272</v>
      </c>
    </row>
    <row r="136" spans="2:24" x14ac:dyDescent="0.25">
      <c r="B136" s="17">
        <v>133</v>
      </c>
      <c r="C136" s="10" t="s">
        <v>136</v>
      </c>
      <c r="D136" s="7" t="s">
        <v>140</v>
      </c>
      <c r="E136" s="72" t="s">
        <v>1256</v>
      </c>
      <c r="F136" s="18" t="s">
        <v>1257</v>
      </c>
      <c r="G136" s="10">
        <v>9</v>
      </c>
      <c r="H136" s="10">
        <v>1</v>
      </c>
      <c r="I136" s="10">
        <v>40.96</v>
      </c>
      <c r="J136" s="11">
        <v>41000000</v>
      </c>
      <c r="K136" s="11">
        <f t="shared" si="186"/>
        <v>45100000</v>
      </c>
      <c r="L136" s="37">
        <f t="shared" si="187"/>
        <v>0.41000000000000003</v>
      </c>
      <c r="M136" s="3" t="s">
        <v>75</v>
      </c>
      <c r="N136" t="s">
        <v>31</v>
      </c>
      <c r="O136" s="21" t="s">
        <v>1259</v>
      </c>
      <c r="P136" s="21"/>
      <c r="Q136" s="21" t="s">
        <v>2163</v>
      </c>
      <c r="R136" s="23" t="s">
        <v>1264</v>
      </c>
      <c r="S136" s="50" t="s">
        <v>81</v>
      </c>
      <c r="T136" s="48" t="s">
        <v>1267</v>
      </c>
      <c r="U136" s="82" t="s">
        <v>151</v>
      </c>
      <c r="V136" s="26" t="s">
        <v>1269</v>
      </c>
      <c r="W136" s="200" t="s">
        <v>260</v>
      </c>
      <c r="X136" s="17" t="s">
        <v>272</v>
      </c>
    </row>
    <row r="137" spans="2:24" x14ac:dyDescent="0.25">
      <c r="B137" s="17">
        <v>134</v>
      </c>
      <c r="C137" s="10" t="s">
        <v>136</v>
      </c>
      <c r="D137" s="7" t="s">
        <v>140</v>
      </c>
      <c r="E137" s="72" t="s">
        <v>1253</v>
      </c>
      <c r="F137" s="18" t="s">
        <v>1257</v>
      </c>
      <c r="G137" s="10">
        <v>9</v>
      </c>
      <c r="H137" s="10">
        <v>1</v>
      </c>
      <c r="I137" s="10">
        <v>66.56</v>
      </c>
      <c r="J137" s="6">
        <v>63000000</v>
      </c>
      <c r="K137" s="11">
        <f t="shared" si="186"/>
        <v>69300000</v>
      </c>
      <c r="L137" s="37">
        <f t="shared" si="187"/>
        <v>0.63</v>
      </c>
      <c r="M137" s="3" t="s">
        <v>75</v>
      </c>
      <c r="N137" t="s">
        <v>31</v>
      </c>
      <c r="O137" s="21" t="s">
        <v>1260</v>
      </c>
      <c r="P137" s="21"/>
      <c r="Q137" s="21" t="s">
        <v>2163</v>
      </c>
      <c r="R137" s="22" t="s">
        <v>1265</v>
      </c>
      <c r="S137" s="50" t="s">
        <v>81</v>
      </c>
      <c r="T137" s="48" t="s">
        <v>1267</v>
      </c>
      <c r="U137" s="82" t="s">
        <v>151</v>
      </c>
      <c r="V137" s="26" t="s">
        <v>1269</v>
      </c>
      <c r="W137" s="200" t="s">
        <v>260</v>
      </c>
      <c r="X137" s="17" t="s">
        <v>272</v>
      </c>
    </row>
    <row r="138" spans="2:24" x14ac:dyDescent="0.25">
      <c r="B138" s="17">
        <v>135</v>
      </c>
      <c r="C138" s="10" t="s">
        <v>136</v>
      </c>
      <c r="D138" s="7" t="s">
        <v>140</v>
      </c>
      <c r="E138" s="72" t="s">
        <v>1254</v>
      </c>
      <c r="F138" s="18" t="s">
        <v>1257</v>
      </c>
      <c r="G138" s="10">
        <v>9</v>
      </c>
      <c r="H138" s="10">
        <v>1</v>
      </c>
      <c r="I138" s="10">
        <v>252.16</v>
      </c>
      <c r="J138" s="6">
        <v>225000000</v>
      </c>
      <c r="K138" s="11">
        <f t="shared" si="186"/>
        <v>247500000.00000003</v>
      </c>
      <c r="L138" s="37">
        <f t="shared" si="187"/>
        <v>2.25</v>
      </c>
      <c r="M138" s="3" t="s">
        <v>75</v>
      </c>
      <c r="N138" t="s">
        <v>31</v>
      </c>
      <c r="O138" s="21" t="s">
        <v>1261</v>
      </c>
      <c r="P138" s="21"/>
      <c r="Q138" s="21" t="s">
        <v>2163</v>
      </c>
      <c r="R138" s="22" t="s">
        <v>1266</v>
      </c>
      <c r="S138" s="50" t="s">
        <v>81</v>
      </c>
      <c r="T138" s="48" t="s">
        <v>1268</v>
      </c>
      <c r="U138" s="82" t="s">
        <v>151</v>
      </c>
      <c r="V138" s="26" t="s">
        <v>1269</v>
      </c>
      <c r="W138" s="200" t="s">
        <v>259</v>
      </c>
      <c r="X138" s="17" t="s">
        <v>272</v>
      </c>
    </row>
    <row r="139" spans="2:24" x14ac:dyDescent="0.25">
      <c r="B139" s="17">
        <v>136</v>
      </c>
      <c r="C139" s="10" t="s">
        <v>136</v>
      </c>
      <c r="D139" s="7" t="s">
        <v>140</v>
      </c>
      <c r="E139" s="72" t="s">
        <v>1255</v>
      </c>
      <c r="F139" s="18" t="s">
        <v>1257</v>
      </c>
      <c r="G139" s="10">
        <v>9</v>
      </c>
      <c r="H139" s="10">
        <v>1</v>
      </c>
      <c r="I139" s="10">
        <v>48</v>
      </c>
      <c r="J139" s="6">
        <v>47000000</v>
      </c>
      <c r="K139" s="11">
        <f t="shared" si="186"/>
        <v>51700000.000000007</v>
      </c>
      <c r="L139" s="37">
        <f t="shared" si="187"/>
        <v>0.47000000000000003</v>
      </c>
      <c r="M139" s="3" t="s">
        <v>75</v>
      </c>
      <c r="N139" t="s">
        <v>31</v>
      </c>
      <c r="O139" s="21" t="s">
        <v>1262</v>
      </c>
      <c r="P139" s="21"/>
      <c r="Q139" s="21" t="s">
        <v>2163</v>
      </c>
      <c r="R139" s="22" t="s">
        <v>2120</v>
      </c>
      <c r="S139" s="50" t="s">
        <v>81</v>
      </c>
      <c r="T139" s="48" t="s">
        <v>1267</v>
      </c>
      <c r="U139" s="82" t="s">
        <v>151</v>
      </c>
      <c r="V139" s="26" t="s">
        <v>1269</v>
      </c>
      <c r="W139" s="200" t="s">
        <v>260</v>
      </c>
      <c r="X139" s="17" t="s">
        <v>272</v>
      </c>
    </row>
    <row r="140" spans="2:24" x14ac:dyDescent="0.25">
      <c r="B140" s="17">
        <v>138</v>
      </c>
      <c r="C140" s="10" t="s">
        <v>136</v>
      </c>
      <c r="D140" s="7" t="s">
        <v>140</v>
      </c>
      <c r="E140" s="72" t="s">
        <v>1283</v>
      </c>
      <c r="F140" s="18" t="s">
        <v>1284</v>
      </c>
      <c r="G140" s="10">
        <v>9</v>
      </c>
      <c r="H140" s="10">
        <v>1</v>
      </c>
      <c r="I140" s="10">
        <v>418.56</v>
      </c>
      <c r="J140" s="11">
        <v>360000000</v>
      </c>
      <c r="K140" s="11">
        <f t="shared" si="186"/>
        <v>396000000.00000006</v>
      </c>
      <c r="L140" s="37">
        <f t="shared" si="187"/>
        <v>3.6</v>
      </c>
      <c r="M140" s="3" t="s">
        <v>1285</v>
      </c>
      <c r="N140" t="s">
        <v>1286</v>
      </c>
      <c r="O140" s="21" t="s">
        <v>1287</v>
      </c>
      <c r="P140" s="21">
        <v>118</v>
      </c>
      <c r="Q140" s="21" t="s">
        <v>2163</v>
      </c>
      <c r="R140" s="23" t="s">
        <v>1288</v>
      </c>
      <c r="S140" s="50" t="s">
        <v>81</v>
      </c>
      <c r="T140" s="48" t="s">
        <v>1289</v>
      </c>
      <c r="U140" s="82" t="s">
        <v>85</v>
      </c>
      <c r="V140" s="26" t="s">
        <v>1290</v>
      </c>
      <c r="W140" s="200" t="s">
        <v>258</v>
      </c>
      <c r="X140" s="17" t="s">
        <v>272</v>
      </c>
    </row>
    <row r="141" spans="2:24" x14ac:dyDescent="0.25">
      <c r="B141" s="17">
        <v>139</v>
      </c>
      <c r="C141" s="10" t="s">
        <v>137</v>
      </c>
      <c r="D141" s="7" t="s">
        <v>140</v>
      </c>
      <c r="E141" s="72" t="s">
        <v>1291</v>
      </c>
      <c r="F141" s="18" t="s">
        <v>1292</v>
      </c>
      <c r="G141" s="10">
        <v>9</v>
      </c>
      <c r="H141" s="10">
        <v>1</v>
      </c>
      <c r="I141" s="10">
        <v>35.840000000000003</v>
      </c>
      <c r="J141" s="11">
        <v>44000000</v>
      </c>
      <c r="K141" s="11">
        <f t="shared" si="186"/>
        <v>48400000.000000007</v>
      </c>
      <c r="L141" s="37">
        <f t="shared" si="187"/>
        <v>0.44</v>
      </c>
      <c r="M141" s="3" t="s">
        <v>1293</v>
      </c>
      <c r="N141" t="s">
        <v>1294</v>
      </c>
      <c r="O141" s="21" t="s">
        <v>1295</v>
      </c>
      <c r="P141" s="21">
        <v>119</v>
      </c>
      <c r="Q141" s="21" t="s">
        <v>2164</v>
      </c>
      <c r="R141" s="23" t="s">
        <v>1296</v>
      </c>
      <c r="S141" s="50" t="s">
        <v>81</v>
      </c>
      <c r="T141" s="48" t="s">
        <v>1297</v>
      </c>
      <c r="U141" s="82" t="s">
        <v>1298</v>
      </c>
      <c r="V141" s="32" t="s">
        <v>1299</v>
      </c>
      <c r="W141" s="200" t="s">
        <v>261</v>
      </c>
      <c r="X141" s="17" t="s">
        <v>272</v>
      </c>
    </row>
    <row r="142" spans="2:24" x14ac:dyDescent="0.25">
      <c r="B142" s="17">
        <v>140</v>
      </c>
      <c r="C142" s="10" t="s">
        <v>137</v>
      </c>
      <c r="D142" s="7" t="s">
        <v>140</v>
      </c>
      <c r="E142" s="72" t="s">
        <v>1300</v>
      </c>
      <c r="F142" s="18" t="s">
        <v>1292</v>
      </c>
      <c r="G142" s="10">
        <v>9</v>
      </c>
      <c r="H142" s="10">
        <v>1</v>
      </c>
      <c r="I142" s="10">
        <v>432.64</v>
      </c>
      <c r="J142" s="11">
        <v>390000000</v>
      </c>
      <c r="K142" s="11">
        <f t="shared" si="184"/>
        <v>429000000.00000006</v>
      </c>
      <c r="L142" s="37">
        <f t="shared" si="185"/>
        <v>3.9</v>
      </c>
      <c r="M142" s="3" t="s">
        <v>1293</v>
      </c>
      <c r="N142" t="s">
        <v>1294</v>
      </c>
      <c r="O142" s="21" t="s">
        <v>1301</v>
      </c>
      <c r="P142" s="21">
        <v>120</v>
      </c>
      <c r="Q142" s="21" t="s">
        <v>2161</v>
      </c>
      <c r="R142" s="23" t="s">
        <v>1302</v>
      </c>
      <c r="S142" s="50" t="s">
        <v>81</v>
      </c>
      <c r="T142" s="48" t="s">
        <v>1303</v>
      </c>
      <c r="U142" s="82" t="s">
        <v>1298</v>
      </c>
      <c r="V142" s="32" t="s">
        <v>1304</v>
      </c>
      <c r="W142" s="200" t="s">
        <v>1305</v>
      </c>
      <c r="X142" s="17" t="s">
        <v>1306</v>
      </c>
    </row>
    <row r="143" spans="2:24" x14ac:dyDescent="0.25">
      <c r="B143" s="17">
        <v>141</v>
      </c>
      <c r="C143" s="10" t="s">
        <v>351</v>
      </c>
      <c r="D143" s="7" t="s">
        <v>140</v>
      </c>
      <c r="E143" s="72" t="s">
        <v>1307</v>
      </c>
      <c r="F143" s="18" t="s">
        <v>1308</v>
      </c>
      <c r="G143" s="10">
        <v>9</v>
      </c>
      <c r="H143" s="10">
        <v>1</v>
      </c>
      <c r="I143" s="10">
        <v>449.28</v>
      </c>
      <c r="J143" s="11">
        <v>378000000</v>
      </c>
      <c r="K143" s="11">
        <f t="shared" si="184"/>
        <v>415800000.00000006</v>
      </c>
      <c r="L143" s="37">
        <f t="shared" si="185"/>
        <v>3.7800000000000002</v>
      </c>
      <c r="M143" s="3" t="s">
        <v>1309</v>
      </c>
      <c r="N143" t="s">
        <v>1310</v>
      </c>
      <c r="O143" s="21" t="s">
        <v>1311</v>
      </c>
      <c r="P143" s="21">
        <v>121</v>
      </c>
      <c r="Q143" s="21" t="s">
        <v>2165</v>
      </c>
      <c r="R143" s="23" t="s">
        <v>1312</v>
      </c>
      <c r="S143" s="50" t="s">
        <v>81</v>
      </c>
      <c r="T143" s="48"/>
      <c r="U143" s="82" t="s">
        <v>150</v>
      </c>
      <c r="V143" s="26" t="s">
        <v>1313</v>
      </c>
      <c r="W143" s="200" t="s">
        <v>259</v>
      </c>
      <c r="X143" s="17" t="s">
        <v>272</v>
      </c>
    </row>
    <row r="144" spans="2:24" x14ac:dyDescent="0.25">
      <c r="B144" s="17">
        <v>142</v>
      </c>
      <c r="C144" s="10" t="s">
        <v>136</v>
      </c>
      <c r="D144" s="7" t="s">
        <v>140</v>
      </c>
      <c r="E144" s="72" t="s">
        <v>1314</v>
      </c>
      <c r="F144" s="18" t="s">
        <v>1315</v>
      </c>
      <c r="G144" s="10">
        <v>9</v>
      </c>
      <c r="H144" s="10">
        <v>2</v>
      </c>
      <c r="I144" s="10">
        <v>89.6</v>
      </c>
      <c r="J144" s="11">
        <v>83000000</v>
      </c>
      <c r="K144" s="11">
        <f t="shared" si="184"/>
        <v>91300000</v>
      </c>
      <c r="L144" s="37">
        <f t="shared" si="185"/>
        <v>0.83000000000000007</v>
      </c>
      <c r="M144" s="3" t="s">
        <v>1316</v>
      </c>
      <c r="N144" t="s">
        <v>1317</v>
      </c>
      <c r="O144" s="21" t="s">
        <v>1318</v>
      </c>
      <c r="P144" s="21">
        <v>122</v>
      </c>
      <c r="Q144" s="21" t="s">
        <v>2160</v>
      </c>
      <c r="R144" s="23" t="s">
        <v>1319</v>
      </c>
      <c r="S144" s="50" t="s">
        <v>81</v>
      </c>
      <c r="T144" s="48" t="s">
        <v>1320</v>
      </c>
      <c r="U144" s="82" t="s">
        <v>197</v>
      </c>
      <c r="V144" s="26" t="s">
        <v>1321</v>
      </c>
      <c r="W144" s="200" t="s">
        <v>262</v>
      </c>
      <c r="X144" s="17" t="s">
        <v>272</v>
      </c>
    </row>
    <row r="145" spans="2:24" x14ac:dyDescent="0.25">
      <c r="B145" s="17">
        <v>143</v>
      </c>
      <c r="C145" s="10" t="s">
        <v>1322</v>
      </c>
      <c r="D145" s="7" t="s">
        <v>1323</v>
      </c>
      <c r="E145" s="72" t="s">
        <v>1324</v>
      </c>
      <c r="F145" s="18" t="s">
        <v>1325</v>
      </c>
      <c r="G145" s="10">
        <v>9</v>
      </c>
      <c r="H145" s="10">
        <v>2</v>
      </c>
      <c r="I145" s="10">
        <v>179.84</v>
      </c>
      <c r="J145" s="11">
        <v>170000000</v>
      </c>
      <c r="K145" s="11">
        <f t="shared" si="184"/>
        <v>187000000.00000003</v>
      </c>
      <c r="L145" s="37">
        <f t="shared" si="185"/>
        <v>1.7</v>
      </c>
      <c r="M145" s="3" t="s">
        <v>1326</v>
      </c>
      <c r="N145" t="s">
        <v>1327</v>
      </c>
      <c r="O145" s="21" t="s">
        <v>1328</v>
      </c>
      <c r="P145" s="21">
        <v>123</v>
      </c>
      <c r="Q145" s="21" t="s">
        <v>2166</v>
      </c>
      <c r="R145" s="23" t="s">
        <v>1329</v>
      </c>
      <c r="S145" s="50" t="s">
        <v>81</v>
      </c>
      <c r="T145" s="48" t="s">
        <v>1330</v>
      </c>
      <c r="U145" s="82" t="s">
        <v>1331</v>
      </c>
      <c r="V145" s="26" t="s">
        <v>1332</v>
      </c>
      <c r="W145" s="200" t="s">
        <v>258</v>
      </c>
      <c r="X145" s="17" t="s">
        <v>1333</v>
      </c>
    </row>
    <row r="146" spans="2:24" x14ac:dyDescent="0.25">
      <c r="B146" s="17">
        <v>144</v>
      </c>
      <c r="C146" s="10" t="s">
        <v>136</v>
      </c>
      <c r="D146" s="7" t="s">
        <v>140</v>
      </c>
      <c r="E146" s="72" t="s">
        <v>1334</v>
      </c>
      <c r="F146" s="18" t="s">
        <v>1335</v>
      </c>
      <c r="G146" s="10">
        <v>9</v>
      </c>
      <c r="H146" s="10">
        <v>2</v>
      </c>
      <c r="I146" s="10">
        <v>272</v>
      </c>
      <c r="J146" s="11">
        <v>260000000</v>
      </c>
      <c r="K146" s="11">
        <f t="shared" si="184"/>
        <v>286000000</v>
      </c>
      <c r="L146" s="37">
        <f t="shared" si="185"/>
        <v>2.6</v>
      </c>
      <c r="M146" s="3" t="s">
        <v>1336</v>
      </c>
      <c r="N146" t="s">
        <v>1337</v>
      </c>
      <c r="O146" s="21" t="s">
        <v>1338</v>
      </c>
      <c r="P146" s="21">
        <v>124</v>
      </c>
      <c r="Q146" s="21" t="s">
        <v>2160</v>
      </c>
      <c r="R146" s="23" t="s">
        <v>1366</v>
      </c>
      <c r="S146" s="50" t="s">
        <v>81</v>
      </c>
      <c r="T146" s="48" t="s">
        <v>1339</v>
      </c>
      <c r="U146" s="82" t="s">
        <v>85</v>
      </c>
      <c r="V146" s="26" t="s">
        <v>1340</v>
      </c>
      <c r="W146" s="200" t="s">
        <v>259</v>
      </c>
      <c r="X146" s="17" t="s">
        <v>272</v>
      </c>
    </row>
    <row r="147" spans="2:24" x14ac:dyDescent="0.25">
      <c r="B147" s="17">
        <v>145</v>
      </c>
      <c r="C147" s="10" t="s">
        <v>136</v>
      </c>
      <c r="D147" s="7" t="s">
        <v>1341</v>
      </c>
      <c r="E147" s="72" t="s">
        <v>1342</v>
      </c>
      <c r="F147" s="18" t="s">
        <v>1343</v>
      </c>
      <c r="G147" s="10">
        <v>9</v>
      </c>
      <c r="H147" s="10">
        <v>2</v>
      </c>
      <c r="I147" s="10">
        <v>110.08</v>
      </c>
      <c r="J147" s="11">
        <v>100000000</v>
      </c>
      <c r="K147" s="11">
        <f t="shared" si="184"/>
        <v>110000000.00000001</v>
      </c>
      <c r="L147" s="37">
        <f t="shared" si="185"/>
        <v>1</v>
      </c>
      <c r="M147" s="3" t="s">
        <v>1344</v>
      </c>
      <c r="N147" t="s">
        <v>1345</v>
      </c>
      <c r="O147" s="21" t="s">
        <v>1346</v>
      </c>
      <c r="P147" s="21">
        <v>125</v>
      </c>
      <c r="Q147" s="21" t="s">
        <v>2161</v>
      </c>
      <c r="R147" s="23" t="s">
        <v>1347</v>
      </c>
      <c r="S147" s="50" t="s">
        <v>207</v>
      </c>
      <c r="T147" s="48" t="s">
        <v>1348</v>
      </c>
      <c r="U147" s="82" t="s">
        <v>1349</v>
      </c>
      <c r="V147" s="26" t="s">
        <v>1350</v>
      </c>
      <c r="W147" s="200" t="s">
        <v>258</v>
      </c>
      <c r="X147" s="17" t="s">
        <v>1351</v>
      </c>
    </row>
    <row r="148" spans="2:24" x14ac:dyDescent="0.25">
      <c r="B148" s="17">
        <v>146</v>
      </c>
      <c r="C148" s="10" t="s">
        <v>136</v>
      </c>
      <c r="D148" s="7" t="s">
        <v>140</v>
      </c>
      <c r="E148" s="72" t="s">
        <v>1352</v>
      </c>
      <c r="F148" s="18" t="s">
        <v>1353</v>
      </c>
      <c r="G148" s="10">
        <v>9</v>
      </c>
      <c r="H148" s="10">
        <v>2</v>
      </c>
      <c r="I148" s="10">
        <v>67.84</v>
      </c>
      <c r="J148" s="11">
        <v>83000000</v>
      </c>
      <c r="K148" s="11">
        <f t="shared" si="184"/>
        <v>91300000</v>
      </c>
      <c r="L148" s="37">
        <f t="shared" si="185"/>
        <v>0.83000000000000007</v>
      </c>
      <c r="M148" s="3" t="s">
        <v>1354</v>
      </c>
      <c r="N148" t="s">
        <v>1355</v>
      </c>
      <c r="O148" s="21" t="s">
        <v>1356</v>
      </c>
      <c r="P148" s="21">
        <v>126</v>
      </c>
      <c r="Q148" s="21" t="s">
        <v>2164</v>
      </c>
      <c r="R148" s="23" t="s">
        <v>1357</v>
      </c>
      <c r="S148" s="50" t="s">
        <v>81</v>
      </c>
      <c r="T148" s="48" t="s">
        <v>1358</v>
      </c>
      <c r="U148" s="82" t="s">
        <v>197</v>
      </c>
      <c r="V148" s="32" t="s">
        <v>1359</v>
      </c>
      <c r="W148" s="200" t="s">
        <v>259</v>
      </c>
      <c r="X148" s="17" t="s">
        <v>272</v>
      </c>
    </row>
    <row r="149" spans="2:24" x14ac:dyDescent="0.25">
      <c r="B149" s="17">
        <v>147</v>
      </c>
      <c r="C149" s="10" t="s">
        <v>136</v>
      </c>
      <c r="D149" s="7" t="s">
        <v>140</v>
      </c>
      <c r="E149" s="72" t="s">
        <v>1360</v>
      </c>
      <c r="F149" s="18" t="s">
        <v>1353</v>
      </c>
      <c r="G149" s="10">
        <v>9</v>
      </c>
      <c r="H149" s="10">
        <v>2</v>
      </c>
      <c r="I149" s="10">
        <v>114.56</v>
      </c>
      <c r="J149" s="6">
        <v>102000000</v>
      </c>
      <c r="K149" s="11">
        <f t="shared" si="184"/>
        <v>112200000.00000001</v>
      </c>
      <c r="L149" s="37">
        <f t="shared" si="185"/>
        <v>1.02</v>
      </c>
      <c r="M149" s="6" t="s">
        <v>1362</v>
      </c>
      <c r="N149" t="s">
        <v>1363</v>
      </c>
      <c r="O149" s="21" t="s">
        <v>1364</v>
      </c>
      <c r="P149" s="21">
        <v>127</v>
      </c>
      <c r="Q149" s="21" t="s">
        <v>2163</v>
      </c>
      <c r="R149" s="22" t="s">
        <v>1365</v>
      </c>
      <c r="S149" s="50" t="s">
        <v>81</v>
      </c>
      <c r="T149" s="48" t="s">
        <v>1368</v>
      </c>
      <c r="U149" s="82" t="s">
        <v>1369</v>
      </c>
      <c r="V149" s="84" t="s">
        <v>1370</v>
      </c>
      <c r="W149" s="200" t="s">
        <v>573</v>
      </c>
      <c r="X149" s="17" t="s">
        <v>1371</v>
      </c>
    </row>
    <row r="150" spans="2:24" x14ac:dyDescent="0.25">
      <c r="B150" s="17">
        <v>148</v>
      </c>
      <c r="C150" s="10" t="s">
        <v>136</v>
      </c>
      <c r="D150" s="7" t="s">
        <v>140</v>
      </c>
      <c r="E150" s="72" t="s">
        <v>1361</v>
      </c>
      <c r="F150" s="18" t="s">
        <v>1353</v>
      </c>
      <c r="G150" s="10">
        <v>9</v>
      </c>
      <c r="H150" s="10">
        <v>2</v>
      </c>
      <c r="I150" s="10">
        <v>89.6</v>
      </c>
      <c r="J150" s="11">
        <v>78000000</v>
      </c>
      <c r="K150" s="11">
        <f t="shared" si="184"/>
        <v>85800000</v>
      </c>
      <c r="L150" s="37">
        <f t="shared" si="185"/>
        <v>0.78</v>
      </c>
      <c r="M150" s="3" t="s">
        <v>1362</v>
      </c>
      <c r="N150" t="s">
        <v>1363</v>
      </c>
      <c r="O150" s="21" t="s">
        <v>1372</v>
      </c>
      <c r="P150" s="21"/>
      <c r="Q150" s="21" t="s">
        <v>2163</v>
      </c>
      <c r="R150" s="23" t="s">
        <v>1373</v>
      </c>
      <c r="S150" s="50" t="s">
        <v>81</v>
      </c>
      <c r="T150" s="48" t="s">
        <v>1368</v>
      </c>
      <c r="U150" s="82" t="s">
        <v>1369</v>
      </c>
      <c r="V150" s="84" t="s">
        <v>1370</v>
      </c>
      <c r="W150" s="200" t="s">
        <v>573</v>
      </c>
      <c r="X150" s="17" t="s">
        <v>1371</v>
      </c>
    </row>
    <row r="151" spans="2:24" x14ac:dyDescent="0.25">
      <c r="B151" s="17">
        <v>149</v>
      </c>
      <c r="C151" s="10" t="s">
        <v>136</v>
      </c>
      <c r="D151" s="7" t="s">
        <v>140</v>
      </c>
      <c r="E151" s="72" t="s">
        <v>1374</v>
      </c>
      <c r="F151" s="18" t="s">
        <v>1375</v>
      </c>
      <c r="G151" s="10">
        <v>9</v>
      </c>
      <c r="H151" s="10">
        <v>2</v>
      </c>
      <c r="I151" s="10">
        <v>355.84</v>
      </c>
      <c r="J151" s="11">
        <v>330000000</v>
      </c>
      <c r="K151" s="11">
        <f t="shared" si="184"/>
        <v>363000000</v>
      </c>
      <c r="L151" s="37">
        <f t="shared" si="185"/>
        <v>3.3000000000000003</v>
      </c>
      <c r="M151" s="3" t="s">
        <v>1376</v>
      </c>
      <c r="N151" t="s">
        <v>1377</v>
      </c>
      <c r="O151" s="21" t="s">
        <v>1378</v>
      </c>
      <c r="P151" s="21">
        <v>128</v>
      </c>
      <c r="Q151" s="21" t="s">
        <v>2160</v>
      </c>
      <c r="R151" s="23" t="s">
        <v>1379</v>
      </c>
      <c r="S151" s="50" t="s">
        <v>81</v>
      </c>
      <c r="T151" s="48" t="s">
        <v>1380</v>
      </c>
      <c r="U151" s="82" t="s">
        <v>85</v>
      </c>
      <c r="V151" s="26" t="s">
        <v>1381</v>
      </c>
      <c r="W151" s="200" t="s">
        <v>259</v>
      </c>
      <c r="X151" s="17" t="s">
        <v>272</v>
      </c>
    </row>
    <row r="152" spans="2:24" x14ac:dyDescent="0.25">
      <c r="B152" s="17">
        <v>150</v>
      </c>
      <c r="C152" s="10" t="s">
        <v>1382</v>
      </c>
      <c r="D152" s="7" t="s">
        <v>1383</v>
      </c>
      <c r="E152" s="72" t="s">
        <v>1384</v>
      </c>
      <c r="F152" s="18" t="s">
        <v>1385</v>
      </c>
      <c r="G152" s="10">
        <v>9</v>
      </c>
      <c r="H152" s="10">
        <v>2</v>
      </c>
      <c r="I152" s="10">
        <v>317.44</v>
      </c>
      <c r="J152" s="11">
        <v>283000000</v>
      </c>
      <c r="K152" s="11">
        <f t="shared" si="184"/>
        <v>311300000</v>
      </c>
      <c r="L152" s="37">
        <f t="shared" si="185"/>
        <v>2.83</v>
      </c>
      <c r="M152" s="3" t="s">
        <v>1386</v>
      </c>
      <c r="N152" t="s">
        <v>190</v>
      </c>
      <c r="O152" s="21" t="s">
        <v>1388</v>
      </c>
      <c r="P152" s="21">
        <v>129</v>
      </c>
      <c r="Q152" s="21" t="s">
        <v>2164</v>
      </c>
      <c r="R152" s="23" t="s">
        <v>1389</v>
      </c>
      <c r="S152" s="50" t="s">
        <v>81</v>
      </c>
      <c r="T152" s="48" t="s">
        <v>1390</v>
      </c>
      <c r="U152" s="82" t="s">
        <v>1391</v>
      </c>
      <c r="V152" s="26" t="s">
        <v>1392</v>
      </c>
      <c r="W152" s="200" t="s">
        <v>258</v>
      </c>
      <c r="X152" s="17" t="s">
        <v>1394</v>
      </c>
    </row>
    <row r="153" spans="2:24" ht="27" x14ac:dyDescent="0.25">
      <c r="B153" s="17">
        <v>151</v>
      </c>
      <c r="C153" s="10" t="s">
        <v>1382</v>
      </c>
      <c r="D153" s="7" t="s">
        <v>1383</v>
      </c>
      <c r="E153" s="72" t="s">
        <v>1395</v>
      </c>
      <c r="F153" s="18" t="s">
        <v>1385</v>
      </c>
      <c r="G153" s="10">
        <v>9</v>
      </c>
      <c r="H153" s="10">
        <v>2</v>
      </c>
      <c r="I153" s="10">
        <v>132.18</v>
      </c>
      <c r="J153" s="11">
        <v>120000000</v>
      </c>
      <c r="K153" s="11">
        <f t="shared" si="184"/>
        <v>132000000.00000001</v>
      </c>
      <c r="L153" s="37">
        <f t="shared" si="185"/>
        <v>1.2</v>
      </c>
      <c r="M153" s="3" t="s">
        <v>1387</v>
      </c>
      <c r="N153" t="s">
        <v>1387</v>
      </c>
      <c r="O153" s="21" t="s">
        <v>1397</v>
      </c>
      <c r="P153" s="21">
        <v>130</v>
      </c>
      <c r="Q153" s="21" t="s">
        <v>2165</v>
      </c>
      <c r="R153" s="23" t="s">
        <v>1402</v>
      </c>
      <c r="S153" s="50" t="s">
        <v>81</v>
      </c>
      <c r="T153" s="48" t="s">
        <v>1403</v>
      </c>
      <c r="U153" s="82" t="s">
        <v>150</v>
      </c>
      <c r="V153" s="26" t="s">
        <v>1392</v>
      </c>
      <c r="W153" s="200" t="s">
        <v>1404</v>
      </c>
      <c r="X153" s="17" t="s">
        <v>1394</v>
      </c>
    </row>
    <row r="154" spans="2:24" x14ac:dyDescent="0.25">
      <c r="B154" s="17">
        <v>152</v>
      </c>
      <c r="C154" s="10" t="s">
        <v>1382</v>
      </c>
      <c r="D154" s="7" t="s">
        <v>1383</v>
      </c>
      <c r="E154" s="72" t="s">
        <v>1396</v>
      </c>
      <c r="F154" s="18" t="s">
        <v>1385</v>
      </c>
      <c r="G154" s="10">
        <v>9</v>
      </c>
      <c r="H154" s="10">
        <v>2</v>
      </c>
      <c r="I154" s="10">
        <v>212.48</v>
      </c>
      <c r="J154" s="11">
        <v>207000000</v>
      </c>
      <c r="K154" s="11">
        <f t="shared" si="184"/>
        <v>227700000.00000003</v>
      </c>
      <c r="L154" s="37">
        <f t="shared" si="185"/>
        <v>2.0699999999999998</v>
      </c>
      <c r="M154" s="3" t="s">
        <v>1386</v>
      </c>
      <c r="N154" t="s">
        <v>1387</v>
      </c>
      <c r="O154" s="21" t="s">
        <v>1398</v>
      </c>
      <c r="P154" s="21">
        <v>131</v>
      </c>
      <c r="Q154" s="21" t="s">
        <v>2164</v>
      </c>
      <c r="R154" s="23" t="s">
        <v>1401</v>
      </c>
      <c r="S154" s="50" t="s">
        <v>81</v>
      </c>
      <c r="T154" s="48" t="s">
        <v>1400</v>
      </c>
      <c r="U154" s="82" t="s">
        <v>150</v>
      </c>
      <c r="V154" s="26" t="s">
        <v>1399</v>
      </c>
      <c r="W154" s="200" t="s">
        <v>1393</v>
      </c>
      <c r="X154" s="17" t="s">
        <v>1394</v>
      </c>
    </row>
    <row r="155" spans="2:24" x14ac:dyDescent="0.25">
      <c r="B155" s="17">
        <v>153</v>
      </c>
      <c r="C155" s="10" t="s">
        <v>101</v>
      </c>
      <c r="D155" s="7" t="s">
        <v>229</v>
      </c>
      <c r="E155" s="72" t="s">
        <v>1411</v>
      </c>
      <c r="F155" s="18" t="s">
        <v>1412</v>
      </c>
      <c r="G155" s="10">
        <v>9</v>
      </c>
      <c r="H155" s="10">
        <v>3</v>
      </c>
      <c r="I155" s="10">
        <v>321.27999999999997</v>
      </c>
      <c r="J155" s="11">
        <v>290000000</v>
      </c>
      <c r="K155" s="11">
        <f t="shared" si="184"/>
        <v>319000000</v>
      </c>
      <c r="L155" s="37">
        <f t="shared" si="185"/>
        <v>2.9</v>
      </c>
      <c r="M155" s="3" t="s">
        <v>1413</v>
      </c>
      <c r="N155" t="s">
        <v>1414</v>
      </c>
      <c r="O155" s="21" t="s">
        <v>1415</v>
      </c>
      <c r="P155" s="21">
        <v>132</v>
      </c>
      <c r="Q155" s="21" t="s">
        <v>2163</v>
      </c>
      <c r="R155" s="23" t="s">
        <v>1416</v>
      </c>
      <c r="S155" s="50" t="s">
        <v>81</v>
      </c>
      <c r="T155" s="48" t="s">
        <v>1417</v>
      </c>
      <c r="U155" s="82" t="s">
        <v>150</v>
      </c>
      <c r="V155" s="32" t="s">
        <v>1418</v>
      </c>
      <c r="W155" s="200" t="s">
        <v>1419</v>
      </c>
      <c r="X155" s="17" t="s">
        <v>1420</v>
      </c>
    </row>
    <row r="156" spans="2:24" ht="27" x14ac:dyDescent="0.25">
      <c r="B156" s="17">
        <v>154</v>
      </c>
      <c r="C156" s="10" t="s">
        <v>136</v>
      </c>
      <c r="D156" s="7" t="s">
        <v>140</v>
      </c>
      <c r="E156" s="72" t="s">
        <v>1423</v>
      </c>
      <c r="F156" s="18" t="s">
        <v>1408</v>
      </c>
      <c r="G156" s="10">
        <v>9</v>
      </c>
      <c r="H156" s="10">
        <v>3</v>
      </c>
      <c r="I156" s="10">
        <v>999.68</v>
      </c>
      <c r="J156" s="11">
        <v>940000000</v>
      </c>
      <c r="K156" s="11">
        <f t="shared" si="184"/>
        <v>1034000000.0000001</v>
      </c>
      <c r="L156" s="37">
        <f t="shared" si="185"/>
        <v>9.4</v>
      </c>
      <c r="M156" s="3" t="s">
        <v>1424</v>
      </c>
      <c r="N156" t="s">
        <v>1425</v>
      </c>
      <c r="O156" s="21" t="s">
        <v>1426</v>
      </c>
      <c r="P156" s="21">
        <v>133</v>
      </c>
      <c r="Q156" s="21" t="s">
        <v>2166</v>
      </c>
      <c r="R156" s="23" t="s">
        <v>1427</v>
      </c>
      <c r="S156" s="50" t="s">
        <v>81</v>
      </c>
      <c r="T156" s="48" t="s">
        <v>1428</v>
      </c>
      <c r="U156" s="82" t="s">
        <v>197</v>
      </c>
      <c r="V156" s="26" t="s">
        <v>331</v>
      </c>
      <c r="W156" s="200" t="s">
        <v>350</v>
      </c>
      <c r="X156" s="17" t="s">
        <v>279</v>
      </c>
    </row>
    <row r="157" spans="2:24" x14ac:dyDescent="0.25">
      <c r="B157" s="17">
        <v>155</v>
      </c>
      <c r="C157" s="10" t="s">
        <v>1429</v>
      </c>
      <c r="D157" s="7" t="s">
        <v>140</v>
      </c>
      <c r="E157" s="72" t="s">
        <v>1430</v>
      </c>
      <c r="F157" s="18" t="s">
        <v>1432</v>
      </c>
      <c r="G157" s="10">
        <v>9</v>
      </c>
      <c r="H157" s="10">
        <v>3</v>
      </c>
      <c r="I157" s="10">
        <v>107.52</v>
      </c>
      <c r="J157" s="11">
        <v>110000000</v>
      </c>
      <c r="K157" s="11">
        <f t="shared" si="184"/>
        <v>121000000.00000001</v>
      </c>
      <c r="L157" s="37">
        <f t="shared" si="185"/>
        <v>1.1000000000000001</v>
      </c>
      <c r="M157" s="3" t="s">
        <v>1445</v>
      </c>
      <c r="N157" t="s">
        <v>1433</v>
      </c>
      <c r="O157" s="21" t="s">
        <v>1434</v>
      </c>
      <c r="P157" s="21">
        <v>134</v>
      </c>
      <c r="Q157" s="21" t="s">
        <v>2161</v>
      </c>
      <c r="R157" s="23" t="s">
        <v>1436</v>
      </c>
      <c r="S157" s="50" t="s">
        <v>81</v>
      </c>
      <c r="T157" s="48" t="s">
        <v>1438</v>
      </c>
      <c r="U157" s="82" t="s">
        <v>150</v>
      </c>
      <c r="V157" s="26" t="s">
        <v>1440</v>
      </c>
      <c r="W157" s="200" t="s">
        <v>1442</v>
      </c>
      <c r="X157" s="17" t="s">
        <v>1443</v>
      </c>
    </row>
    <row r="158" spans="2:24" x14ac:dyDescent="0.25">
      <c r="B158" s="17">
        <v>156</v>
      </c>
      <c r="C158" s="10" t="s">
        <v>1429</v>
      </c>
      <c r="D158" s="7" t="s">
        <v>140</v>
      </c>
      <c r="E158" s="72" t="s">
        <v>1431</v>
      </c>
      <c r="F158" s="18" t="s">
        <v>1432</v>
      </c>
      <c r="G158" s="10">
        <v>9</v>
      </c>
      <c r="H158" s="10">
        <v>3</v>
      </c>
      <c r="I158" s="10">
        <v>472.24</v>
      </c>
      <c r="J158" s="11">
        <v>438000000</v>
      </c>
      <c r="K158" s="11">
        <f t="shared" si="184"/>
        <v>481800000.00000006</v>
      </c>
      <c r="L158" s="37">
        <f t="shared" si="185"/>
        <v>4.38</v>
      </c>
      <c r="M158" s="3" t="s">
        <v>1433</v>
      </c>
      <c r="N158" t="s">
        <v>1433</v>
      </c>
      <c r="O158" s="21" t="s">
        <v>1435</v>
      </c>
      <c r="P158" s="21">
        <v>135</v>
      </c>
      <c r="Q158" s="21" t="s">
        <v>2160</v>
      </c>
      <c r="R158" s="23" t="s">
        <v>1437</v>
      </c>
      <c r="S158" s="50" t="s">
        <v>81</v>
      </c>
      <c r="T158" s="48" t="s">
        <v>1439</v>
      </c>
      <c r="U158" s="82" t="s">
        <v>150</v>
      </c>
      <c r="V158" s="26" t="s">
        <v>1441</v>
      </c>
      <c r="W158" s="200" t="s">
        <v>1444</v>
      </c>
      <c r="X158" s="17" t="s">
        <v>1443</v>
      </c>
    </row>
    <row r="159" spans="2:24" x14ac:dyDescent="0.25">
      <c r="B159" s="17">
        <v>157</v>
      </c>
      <c r="C159" s="10" t="s">
        <v>136</v>
      </c>
      <c r="D159" s="7" t="s">
        <v>140</v>
      </c>
      <c r="E159" s="72" t="s">
        <v>1446</v>
      </c>
      <c r="F159" s="18" t="s">
        <v>1448</v>
      </c>
      <c r="G159" s="10">
        <v>9</v>
      </c>
      <c r="H159" s="10">
        <v>3</v>
      </c>
      <c r="I159" s="10">
        <v>38.4</v>
      </c>
      <c r="J159" s="11">
        <v>42000000</v>
      </c>
      <c r="K159" s="11">
        <f t="shared" si="184"/>
        <v>46200000.000000007</v>
      </c>
      <c r="L159" s="37">
        <f t="shared" si="185"/>
        <v>0.42</v>
      </c>
      <c r="M159" s="3" t="s">
        <v>1449</v>
      </c>
      <c r="N159" t="s">
        <v>1450</v>
      </c>
      <c r="O159" s="21" t="s">
        <v>1451</v>
      </c>
      <c r="P159" s="21">
        <v>136</v>
      </c>
      <c r="Q159" s="21" t="s">
        <v>2160</v>
      </c>
      <c r="R159" s="23" t="s">
        <v>1453</v>
      </c>
      <c r="S159" s="50" t="s">
        <v>81</v>
      </c>
      <c r="T159" s="48" t="s">
        <v>1455</v>
      </c>
      <c r="U159" s="82" t="s">
        <v>197</v>
      </c>
      <c r="V159" s="26" t="s">
        <v>1458</v>
      </c>
      <c r="W159" s="200" t="s">
        <v>263</v>
      </c>
      <c r="X159" s="17" t="s">
        <v>272</v>
      </c>
    </row>
    <row r="160" spans="2:24" x14ac:dyDescent="0.25">
      <c r="B160" s="17">
        <v>158</v>
      </c>
      <c r="C160" s="10" t="s">
        <v>136</v>
      </c>
      <c r="D160" s="7" t="s">
        <v>140</v>
      </c>
      <c r="E160" s="72" t="s">
        <v>1447</v>
      </c>
      <c r="F160" s="18" t="s">
        <v>1448</v>
      </c>
      <c r="G160" s="10">
        <v>9</v>
      </c>
      <c r="H160" s="10">
        <v>3</v>
      </c>
      <c r="I160" s="10">
        <v>81.92</v>
      </c>
      <c r="J160" s="11">
        <v>80000000</v>
      </c>
      <c r="K160" s="11">
        <f t="shared" si="184"/>
        <v>88000000</v>
      </c>
      <c r="L160" s="37">
        <f t="shared" si="185"/>
        <v>0.8</v>
      </c>
      <c r="M160" s="3" t="s">
        <v>1449</v>
      </c>
      <c r="N160" t="s">
        <v>1450</v>
      </c>
      <c r="O160" s="21" t="s">
        <v>1452</v>
      </c>
      <c r="P160" s="21">
        <v>137</v>
      </c>
      <c r="Q160" s="21" t="s">
        <v>2160</v>
      </c>
      <c r="R160" s="23" t="s">
        <v>1454</v>
      </c>
      <c r="S160" s="50" t="s">
        <v>81</v>
      </c>
      <c r="T160" s="48" t="s">
        <v>1456</v>
      </c>
      <c r="U160" s="82" t="s">
        <v>85</v>
      </c>
      <c r="V160" s="26" t="s">
        <v>1457</v>
      </c>
      <c r="W160" s="200" t="s">
        <v>262</v>
      </c>
      <c r="X160" s="17" t="s">
        <v>272</v>
      </c>
    </row>
    <row r="161" spans="2:24" x14ac:dyDescent="0.25">
      <c r="B161" s="17">
        <v>159</v>
      </c>
      <c r="C161" s="10" t="s">
        <v>136</v>
      </c>
      <c r="D161" s="7" t="s">
        <v>140</v>
      </c>
      <c r="E161" s="72" t="s">
        <v>1459</v>
      </c>
      <c r="F161" s="18" t="s">
        <v>1460</v>
      </c>
      <c r="G161" s="10">
        <v>9</v>
      </c>
      <c r="H161" s="10">
        <v>3</v>
      </c>
      <c r="I161" s="10">
        <v>238.72</v>
      </c>
      <c r="J161" s="11">
        <v>200000000</v>
      </c>
      <c r="K161" s="11">
        <f t="shared" si="184"/>
        <v>220000000.00000003</v>
      </c>
      <c r="L161" s="37">
        <f t="shared" si="185"/>
        <v>2</v>
      </c>
      <c r="M161" s="3" t="s">
        <v>1461</v>
      </c>
      <c r="N161" t="s">
        <v>1462</v>
      </c>
      <c r="O161" s="21" t="s">
        <v>1463</v>
      </c>
      <c r="P161" s="21">
        <v>138</v>
      </c>
      <c r="Q161" s="21" t="s">
        <v>2163</v>
      </c>
      <c r="R161" s="23" t="s">
        <v>1464</v>
      </c>
      <c r="S161" s="50" t="s">
        <v>81</v>
      </c>
      <c r="T161" s="48" t="s">
        <v>1465</v>
      </c>
      <c r="U161" s="82" t="s">
        <v>1466</v>
      </c>
      <c r="V161" s="32" t="s">
        <v>247</v>
      </c>
      <c r="W161" s="200" t="s">
        <v>258</v>
      </c>
      <c r="X161" s="17" t="s">
        <v>1467</v>
      </c>
    </row>
    <row r="162" spans="2:24" x14ac:dyDescent="0.25">
      <c r="B162" s="17">
        <v>160</v>
      </c>
      <c r="C162" s="10" t="s">
        <v>136</v>
      </c>
      <c r="D162" s="7" t="s">
        <v>140</v>
      </c>
      <c r="E162" s="72" t="s">
        <v>1475</v>
      </c>
      <c r="F162" s="18" t="s">
        <v>1476</v>
      </c>
      <c r="G162" s="10">
        <v>9</v>
      </c>
      <c r="H162" s="10">
        <v>3</v>
      </c>
      <c r="I162" s="10">
        <v>344.96</v>
      </c>
      <c r="J162" s="11">
        <v>300000000</v>
      </c>
      <c r="K162" s="11">
        <f t="shared" si="184"/>
        <v>330000000</v>
      </c>
      <c r="L162" s="37">
        <f t="shared" si="185"/>
        <v>3</v>
      </c>
      <c r="M162" s="3" t="s">
        <v>1477</v>
      </c>
      <c r="N162" t="s">
        <v>1478</v>
      </c>
      <c r="O162" s="21" t="s">
        <v>1479</v>
      </c>
      <c r="P162" s="21">
        <v>139</v>
      </c>
      <c r="Q162" s="21" t="s">
        <v>2163</v>
      </c>
      <c r="R162" s="23" t="s">
        <v>1480</v>
      </c>
      <c r="S162" s="50" t="s">
        <v>81</v>
      </c>
      <c r="T162" s="48" t="s">
        <v>1481</v>
      </c>
      <c r="U162" s="82" t="s">
        <v>151</v>
      </c>
      <c r="V162" s="32" t="s">
        <v>1482</v>
      </c>
      <c r="W162" s="200" t="s">
        <v>259</v>
      </c>
      <c r="X162" s="17" t="s">
        <v>272</v>
      </c>
    </row>
    <row r="163" spans="2:24" x14ac:dyDescent="0.25">
      <c r="B163" s="17">
        <v>161</v>
      </c>
      <c r="C163" s="10" t="s">
        <v>136</v>
      </c>
      <c r="D163" s="7" t="s">
        <v>140</v>
      </c>
      <c r="E163" s="72" t="s">
        <v>1468</v>
      </c>
      <c r="F163" s="18" t="s">
        <v>1469</v>
      </c>
      <c r="G163" s="10">
        <v>9</v>
      </c>
      <c r="H163" s="10">
        <v>3</v>
      </c>
      <c r="I163" s="10">
        <v>197.12</v>
      </c>
      <c r="J163" s="11">
        <v>185000000</v>
      </c>
      <c r="K163" s="11">
        <f t="shared" si="184"/>
        <v>203500000.00000003</v>
      </c>
      <c r="L163" s="37">
        <f t="shared" si="185"/>
        <v>1.85</v>
      </c>
      <c r="M163" s="3" t="s">
        <v>495</v>
      </c>
      <c r="N163" t="s">
        <v>1470</v>
      </c>
      <c r="O163" s="21" t="s">
        <v>1471</v>
      </c>
      <c r="P163" s="21">
        <v>140</v>
      </c>
      <c r="Q163" s="21" t="s">
        <v>2160</v>
      </c>
      <c r="R163" s="23" t="s">
        <v>1472</v>
      </c>
      <c r="S163" s="50" t="s">
        <v>81</v>
      </c>
      <c r="T163" s="48" t="s">
        <v>1473</v>
      </c>
      <c r="U163" s="82" t="s">
        <v>197</v>
      </c>
      <c r="V163" s="32" t="s">
        <v>1474</v>
      </c>
      <c r="W163" s="200" t="s">
        <v>259</v>
      </c>
      <c r="X163" s="17" t="s">
        <v>272</v>
      </c>
    </row>
    <row r="164" spans="2:24" x14ac:dyDescent="0.25">
      <c r="B164" s="17">
        <v>162</v>
      </c>
      <c r="C164" s="10" t="s">
        <v>136</v>
      </c>
      <c r="D164" s="7" t="s">
        <v>140</v>
      </c>
      <c r="E164" s="72" t="s">
        <v>1483</v>
      </c>
      <c r="F164" s="18" t="s">
        <v>1490</v>
      </c>
      <c r="G164" s="10">
        <v>9</v>
      </c>
      <c r="H164" s="10">
        <v>4</v>
      </c>
      <c r="I164" s="10">
        <v>333.44</v>
      </c>
      <c r="J164" s="11">
        <v>300000000</v>
      </c>
      <c r="K164" s="11">
        <f t="shared" si="184"/>
        <v>330000000</v>
      </c>
      <c r="L164" s="37">
        <f t="shared" si="185"/>
        <v>3</v>
      </c>
      <c r="M164" s="3" t="s">
        <v>1484</v>
      </c>
      <c r="N164" t="s">
        <v>1485</v>
      </c>
      <c r="O164" s="21" t="s">
        <v>1486</v>
      </c>
      <c r="P164" s="21">
        <v>141</v>
      </c>
      <c r="Q164" s="21" t="s">
        <v>2163</v>
      </c>
      <c r="R164" s="23" t="s">
        <v>1487</v>
      </c>
      <c r="S164" s="50" t="s">
        <v>81</v>
      </c>
      <c r="T164" s="48" t="s">
        <v>1488</v>
      </c>
      <c r="U164" s="82" t="s">
        <v>85</v>
      </c>
      <c r="V164" s="32" t="s">
        <v>1489</v>
      </c>
      <c r="W164" s="200" t="s">
        <v>259</v>
      </c>
      <c r="X164" s="17" t="s">
        <v>272</v>
      </c>
    </row>
    <row r="165" spans="2:24" x14ac:dyDescent="0.25">
      <c r="B165" s="17">
        <v>163</v>
      </c>
      <c r="C165" s="10" t="s">
        <v>136</v>
      </c>
      <c r="D165" s="7" t="s">
        <v>140</v>
      </c>
      <c r="E165" s="72" t="s">
        <v>1491</v>
      </c>
      <c r="F165" s="18" t="s">
        <v>1492</v>
      </c>
      <c r="G165" s="10">
        <v>9</v>
      </c>
      <c r="H165" s="10">
        <v>4</v>
      </c>
      <c r="I165" s="10">
        <v>321.27999999999997</v>
      </c>
      <c r="J165" s="11">
        <v>255000000</v>
      </c>
      <c r="K165" s="11">
        <f t="shared" si="184"/>
        <v>280500000</v>
      </c>
      <c r="L165" s="37">
        <f t="shared" si="185"/>
        <v>2.5500000000000003</v>
      </c>
      <c r="M165" s="3" t="s">
        <v>1493</v>
      </c>
      <c r="N165" t="s">
        <v>1494</v>
      </c>
      <c r="O165" s="21" t="s">
        <v>1495</v>
      </c>
      <c r="P165" s="21">
        <v>142</v>
      </c>
      <c r="Q165" s="21" t="s">
        <v>2163</v>
      </c>
      <c r="R165" s="23" t="s">
        <v>1496</v>
      </c>
      <c r="S165" s="50" t="s">
        <v>81</v>
      </c>
      <c r="T165" s="48" t="s">
        <v>1497</v>
      </c>
      <c r="U165" s="82" t="s">
        <v>150</v>
      </c>
      <c r="V165" s="26" t="s">
        <v>1498</v>
      </c>
      <c r="W165" s="200" t="s">
        <v>1499</v>
      </c>
      <c r="X165" s="17" t="s">
        <v>1500</v>
      </c>
    </row>
    <row r="166" spans="2:24" x14ac:dyDescent="0.25">
      <c r="B166" s="17">
        <v>164</v>
      </c>
      <c r="C166" s="10" t="s">
        <v>136</v>
      </c>
      <c r="D166" s="7" t="s">
        <v>140</v>
      </c>
      <c r="E166" s="72" t="s">
        <v>1501</v>
      </c>
      <c r="F166" s="18" t="s">
        <v>1508</v>
      </c>
      <c r="G166" s="10">
        <v>9</v>
      </c>
      <c r="H166" s="10">
        <v>4</v>
      </c>
      <c r="I166" s="10">
        <v>1232</v>
      </c>
      <c r="J166" s="11">
        <v>1134000000</v>
      </c>
      <c r="K166" s="11">
        <f t="shared" si="184"/>
        <v>1247400000</v>
      </c>
      <c r="L166" s="37">
        <f t="shared" si="185"/>
        <v>11.34</v>
      </c>
      <c r="M166" s="3" t="s">
        <v>1502</v>
      </c>
      <c r="N166" t="s">
        <v>1503</v>
      </c>
      <c r="O166" s="21" t="s">
        <v>1504</v>
      </c>
      <c r="P166" s="21">
        <v>143</v>
      </c>
      <c r="Q166" s="21" t="s">
        <v>2163</v>
      </c>
      <c r="R166" s="23" t="s">
        <v>1505</v>
      </c>
      <c r="S166" s="50" t="s">
        <v>81</v>
      </c>
      <c r="T166" s="48" t="s">
        <v>1506</v>
      </c>
      <c r="U166" s="82" t="s">
        <v>85</v>
      </c>
      <c r="V166" s="26" t="s">
        <v>1507</v>
      </c>
      <c r="W166" s="200" t="s">
        <v>258</v>
      </c>
      <c r="X166" s="17" t="s">
        <v>272</v>
      </c>
    </row>
    <row r="167" spans="2:24" x14ac:dyDescent="0.25">
      <c r="B167" s="17">
        <v>165</v>
      </c>
      <c r="C167" s="10" t="s">
        <v>136</v>
      </c>
      <c r="D167" s="7" t="s">
        <v>140</v>
      </c>
      <c r="E167" s="72" t="s">
        <v>1509</v>
      </c>
      <c r="F167" s="18" t="s">
        <v>1510</v>
      </c>
      <c r="G167" s="10">
        <v>9</v>
      </c>
      <c r="H167" s="10">
        <v>4</v>
      </c>
      <c r="I167" s="10">
        <v>277.12</v>
      </c>
      <c r="J167" s="11">
        <v>340000000</v>
      </c>
      <c r="K167" s="11">
        <f t="shared" si="184"/>
        <v>374000000.00000006</v>
      </c>
      <c r="L167" s="37">
        <f t="shared" si="185"/>
        <v>3.4</v>
      </c>
      <c r="M167" s="3" t="s">
        <v>1511</v>
      </c>
      <c r="N167" t="s">
        <v>1512</v>
      </c>
      <c r="O167" s="21" t="s">
        <v>1513</v>
      </c>
      <c r="P167" s="21">
        <v>144</v>
      </c>
      <c r="Q167" s="21" t="s">
        <v>2161</v>
      </c>
      <c r="R167" s="23" t="s">
        <v>1514</v>
      </c>
      <c r="S167" s="50" t="s">
        <v>81</v>
      </c>
      <c r="T167" s="48" t="s">
        <v>1515</v>
      </c>
      <c r="U167" s="82" t="s">
        <v>1516</v>
      </c>
      <c r="V167" s="26" t="s">
        <v>1517</v>
      </c>
      <c r="W167" s="200" t="s">
        <v>258</v>
      </c>
      <c r="X167" s="17" t="s">
        <v>272</v>
      </c>
    </row>
    <row r="168" spans="2:24" x14ac:dyDescent="0.25">
      <c r="B168" s="17">
        <v>166</v>
      </c>
      <c r="C168" s="10" t="s">
        <v>136</v>
      </c>
      <c r="D168" s="7" t="s">
        <v>140</v>
      </c>
      <c r="E168" s="72" t="s">
        <v>1526</v>
      </c>
      <c r="F168" s="18" t="s">
        <v>1527</v>
      </c>
      <c r="G168" s="10">
        <v>9</v>
      </c>
      <c r="H168" s="10">
        <v>4</v>
      </c>
      <c r="I168" s="10">
        <v>890.24</v>
      </c>
      <c r="J168" s="11">
        <v>800000000</v>
      </c>
      <c r="K168" s="11">
        <f t="shared" si="184"/>
        <v>880000000.00000012</v>
      </c>
      <c r="L168" s="37">
        <f t="shared" si="185"/>
        <v>8</v>
      </c>
      <c r="M168" s="3" t="s">
        <v>1533</v>
      </c>
      <c r="N168" t="s">
        <v>1528</v>
      </c>
      <c r="O168" s="21" t="s">
        <v>1529</v>
      </c>
      <c r="P168" s="21">
        <v>145</v>
      </c>
      <c r="Q168" s="21" t="s">
        <v>2163</v>
      </c>
      <c r="R168" s="23" t="s">
        <v>1530</v>
      </c>
      <c r="S168" s="50" t="s">
        <v>81</v>
      </c>
      <c r="T168" s="48" t="s">
        <v>1531</v>
      </c>
      <c r="U168" s="82" t="s">
        <v>150</v>
      </c>
      <c r="V168" s="26" t="s">
        <v>1532</v>
      </c>
      <c r="W168" s="200" t="s">
        <v>258</v>
      </c>
      <c r="X168" s="17" t="s">
        <v>272</v>
      </c>
    </row>
    <row r="169" spans="2:24" x14ac:dyDescent="0.25">
      <c r="B169" s="17">
        <v>167</v>
      </c>
      <c r="C169" s="10" t="s">
        <v>136</v>
      </c>
      <c r="D169" s="7" t="s">
        <v>140</v>
      </c>
      <c r="E169" s="72" t="s">
        <v>1518</v>
      </c>
      <c r="F169" s="18" t="s">
        <v>1519</v>
      </c>
      <c r="G169" s="10">
        <v>9</v>
      </c>
      <c r="H169" s="10">
        <v>4</v>
      </c>
      <c r="I169" s="10">
        <v>143.36000000000001</v>
      </c>
      <c r="J169" s="11">
        <v>130000000</v>
      </c>
      <c r="K169" s="11">
        <f t="shared" si="184"/>
        <v>143000000</v>
      </c>
      <c r="L169" s="37">
        <f t="shared" si="185"/>
        <v>1.3</v>
      </c>
      <c r="M169" s="3" t="s">
        <v>1523</v>
      </c>
      <c r="N169" t="s">
        <v>1524</v>
      </c>
      <c r="O169" s="21" t="s">
        <v>1525</v>
      </c>
      <c r="P169" s="21">
        <v>146</v>
      </c>
      <c r="Q169" s="21" t="s">
        <v>2160</v>
      </c>
      <c r="R169" s="23" t="s">
        <v>1520</v>
      </c>
      <c r="S169" s="50" t="s">
        <v>81</v>
      </c>
      <c r="T169" s="48" t="s">
        <v>1521</v>
      </c>
      <c r="U169" s="82" t="s">
        <v>197</v>
      </c>
      <c r="V169" s="32" t="s">
        <v>1522</v>
      </c>
      <c r="W169" s="200" t="s">
        <v>259</v>
      </c>
      <c r="X169" s="17" t="s">
        <v>272</v>
      </c>
    </row>
    <row r="170" spans="2:24" x14ac:dyDescent="0.25">
      <c r="B170" s="17">
        <v>168</v>
      </c>
      <c r="C170" s="10" t="s">
        <v>101</v>
      </c>
      <c r="D170" s="7" t="s">
        <v>229</v>
      </c>
      <c r="E170" s="72" t="s">
        <v>1538</v>
      </c>
      <c r="F170" s="18" t="s">
        <v>1539</v>
      </c>
      <c r="G170" s="10">
        <v>9</v>
      </c>
      <c r="H170" s="10">
        <v>4</v>
      </c>
      <c r="I170" s="10">
        <v>99.2</v>
      </c>
      <c r="J170" s="11">
        <v>95000000</v>
      </c>
      <c r="K170" s="11">
        <f t="shared" si="184"/>
        <v>104500000.00000001</v>
      </c>
      <c r="L170" s="37">
        <f t="shared" si="185"/>
        <v>0.95000000000000007</v>
      </c>
      <c r="M170" s="3" t="s">
        <v>1540</v>
      </c>
      <c r="N170" t="s">
        <v>1541</v>
      </c>
      <c r="O170" s="21" t="s">
        <v>1556</v>
      </c>
      <c r="P170" s="21">
        <v>147</v>
      </c>
      <c r="Q170" s="21" t="s">
        <v>2160</v>
      </c>
      <c r="R170" s="23" t="s">
        <v>1542</v>
      </c>
      <c r="S170" s="50" t="s">
        <v>81</v>
      </c>
      <c r="T170" s="48" t="s">
        <v>1543</v>
      </c>
      <c r="U170" s="82" t="s">
        <v>197</v>
      </c>
      <c r="V170" s="32" t="s">
        <v>1544</v>
      </c>
      <c r="W170" s="200" t="s">
        <v>1866</v>
      </c>
      <c r="X170" s="17" t="s">
        <v>1867</v>
      </c>
    </row>
    <row r="171" spans="2:24" x14ac:dyDescent="0.25">
      <c r="B171" s="17">
        <v>169</v>
      </c>
      <c r="C171" s="10" t="s">
        <v>137</v>
      </c>
      <c r="D171" s="7" t="s">
        <v>140</v>
      </c>
      <c r="E171" s="72" t="s">
        <v>1545</v>
      </c>
      <c r="F171" s="18" t="s">
        <v>1546</v>
      </c>
      <c r="G171" s="10">
        <v>10</v>
      </c>
      <c r="H171" s="10">
        <v>1</v>
      </c>
      <c r="I171" s="10">
        <v>307.83999999999997</v>
      </c>
      <c r="J171" s="11">
        <v>260000000</v>
      </c>
      <c r="K171" s="11">
        <f t="shared" si="184"/>
        <v>286000000</v>
      </c>
      <c r="L171" s="37">
        <f t="shared" si="185"/>
        <v>2.6</v>
      </c>
      <c r="M171" s="3" t="s">
        <v>1547</v>
      </c>
      <c r="N171" t="s">
        <v>1548</v>
      </c>
      <c r="O171" s="21" t="s">
        <v>1549</v>
      </c>
      <c r="P171" s="21">
        <v>148</v>
      </c>
      <c r="Q171" s="21" t="s">
        <v>2163</v>
      </c>
      <c r="R171" s="23" t="s">
        <v>1550</v>
      </c>
      <c r="S171" s="50" t="s">
        <v>81</v>
      </c>
      <c r="T171" s="48" t="s">
        <v>1551</v>
      </c>
      <c r="U171" s="82" t="s">
        <v>1552</v>
      </c>
      <c r="V171" s="26" t="s">
        <v>1553</v>
      </c>
      <c r="W171" s="200" t="s">
        <v>1554</v>
      </c>
      <c r="X171" s="17" t="s">
        <v>1555</v>
      </c>
    </row>
    <row r="172" spans="2:24" x14ac:dyDescent="0.25">
      <c r="B172" s="17">
        <v>170</v>
      </c>
      <c r="C172" s="10" t="s">
        <v>136</v>
      </c>
      <c r="D172" s="7" t="s">
        <v>140</v>
      </c>
      <c r="E172" s="72" t="s">
        <v>1564</v>
      </c>
      <c r="F172" s="18" t="s">
        <v>1546</v>
      </c>
      <c r="G172" s="10">
        <v>10</v>
      </c>
      <c r="H172" s="10">
        <v>1</v>
      </c>
      <c r="I172" s="10">
        <v>133.12</v>
      </c>
      <c r="J172" s="11">
        <v>130000000</v>
      </c>
      <c r="K172" s="11">
        <f t="shared" si="184"/>
        <v>143000000</v>
      </c>
      <c r="L172" s="37">
        <f t="shared" si="185"/>
        <v>1.3</v>
      </c>
      <c r="M172" s="3" t="s">
        <v>1561</v>
      </c>
      <c r="N172" t="s">
        <v>1560</v>
      </c>
      <c r="O172" s="21" t="s">
        <v>1565</v>
      </c>
      <c r="P172" s="21">
        <v>149</v>
      </c>
      <c r="Q172" s="21" t="s">
        <v>2163</v>
      </c>
      <c r="R172" s="23" t="s">
        <v>1562</v>
      </c>
      <c r="S172" s="50" t="s">
        <v>81</v>
      </c>
      <c r="T172" s="48" t="s">
        <v>1563</v>
      </c>
      <c r="U172" s="82" t="s">
        <v>150</v>
      </c>
      <c r="V172" s="26" t="s">
        <v>1532</v>
      </c>
      <c r="W172" s="200" t="s">
        <v>350</v>
      </c>
      <c r="X172" s="17" t="s">
        <v>279</v>
      </c>
    </row>
    <row r="173" spans="2:24" x14ac:dyDescent="0.25">
      <c r="B173" s="17">
        <v>171</v>
      </c>
      <c r="C173" s="10" t="s">
        <v>137</v>
      </c>
      <c r="D173" s="7" t="s">
        <v>140</v>
      </c>
      <c r="E173" s="72" t="s">
        <v>1566</v>
      </c>
      <c r="F173" s="18" t="s">
        <v>1546</v>
      </c>
      <c r="G173" s="10">
        <v>10</v>
      </c>
      <c r="H173" s="10">
        <v>1</v>
      </c>
      <c r="I173" s="10">
        <v>215.04</v>
      </c>
      <c r="J173" s="11">
        <v>190000000</v>
      </c>
      <c r="K173" s="11">
        <f t="shared" si="184"/>
        <v>209000000.00000003</v>
      </c>
      <c r="L173" s="37">
        <f t="shared" si="185"/>
        <v>1.9000000000000001</v>
      </c>
      <c r="M173" s="3" t="s">
        <v>142</v>
      </c>
      <c r="N173" t="s">
        <v>189</v>
      </c>
      <c r="O173" s="21" t="s">
        <v>1568</v>
      </c>
      <c r="P173" s="21">
        <v>150</v>
      </c>
      <c r="Q173" s="21" t="s">
        <v>2161</v>
      </c>
      <c r="R173" s="23" t="s">
        <v>1570</v>
      </c>
      <c r="S173" s="50" t="s">
        <v>81</v>
      </c>
      <c r="T173" s="48" t="s">
        <v>1574</v>
      </c>
      <c r="U173" s="82" t="s">
        <v>1572</v>
      </c>
      <c r="V173" s="26" t="s">
        <v>1573</v>
      </c>
      <c r="W173" s="200" t="s">
        <v>1868</v>
      </c>
      <c r="X173" s="17" t="s">
        <v>1867</v>
      </c>
    </row>
    <row r="174" spans="2:24" x14ac:dyDescent="0.25">
      <c r="B174" s="17">
        <v>172</v>
      </c>
      <c r="C174" s="10" t="s">
        <v>137</v>
      </c>
      <c r="D174" s="7" t="s">
        <v>140</v>
      </c>
      <c r="E174" s="72" t="s">
        <v>1567</v>
      </c>
      <c r="F174" s="18" t="s">
        <v>1546</v>
      </c>
      <c r="G174" s="10">
        <v>10</v>
      </c>
      <c r="H174" s="10">
        <v>1</v>
      </c>
      <c r="I174" s="10">
        <v>172.8</v>
      </c>
      <c r="J174" s="11">
        <v>170000000</v>
      </c>
      <c r="K174" s="11">
        <f t="shared" si="184"/>
        <v>187000000.00000003</v>
      </c>
      <c r="L174" s="37">
        <f t="shared" si="185"/>
        <v>1.7</v>
      </c>
      <c r="M174" s="3" t="s">
        <v>142</v>
      </c>
      <c r="N174" t="s">
        <v>189</v>
      </c>
      <c r="O174" s="21" t="s">
        <v>1569</v>
      </c>
      <c r="P174" s="21">
        <v>151</v>
      </c>
      <c r="Q174" s="21" t="s">
        <v>2161</v>
      </c>
      <c r="R174" s="23" t="s">
        <v>1571</v>
      </c>
      <c r="S174" s="50" t="s">
        <v>81</v>
      </c>
      <c r="T174" s="48" t="s">
        <v>1575</v>
      </c>
      <c r="U174" s="82" t="s">
        <v>150</v>
      </c>
      <c r="V174" s="26" t="s">
        <v>1573</v>
      </c>
      <c r="W174" s="200" t="s">
        <v>1868</v>
      </c>
      <c r="X174" s="17" t="s">
        <v>1867</v>
      </c>
    </row>
    <row r="175" spans="2:24" x14ac:dyDescent="0.25">
      <c r="B175" s="17">
        <v>173</v>
      </c>
      <c r="C175" s="10" t="s">
        <v>1576</v>
      </c>
      <c r="D175" s="7" t="s">
        <v>1577</v>
      </c>
      <c r="E175" s="72" t="s">
        <v>1578</v>
      </c>
      <c r="F175" s="18" t="s">
        <v>1579</v>
      </c>
      <c r="G175" s="10">
        <v>10</v>
      </c>
      <c r="H175" s="10">
        <v>1</v>
      </c>
      <c r="I175" s="10">
        <v>282.88</v>
      </c>
      <c r="J175" s="11">
        <v>246100000</v>
      </c>
      <c r="K175" s="11">
        <f t="shared" si="184"/>
        <v>270710000</v>
      </c>
      <c r="L175" s="37">
        <f t="shared" si="185"/>
        <v>2.4609999999999999</v>
      </c>
      <c r="M175" s="3" t="s">
        <v>1580</v>
      </c>
      <c r="N175" t="s">
        <v>1581</v>
      </c>
      <c r="O175" s="21" t="s">
        <v>1582</v>
      </c>
      <c r="P175" s="21">
        <v>152</v>
      </c>
      <c r="Q175" s="21" t="s">
        <v>2163</v>
      </c>
      <c r="R175" s="23" t="s">
        <v>1583</v>
      </c>
      <c r="S175" s="50" t="s">
        <v>1584</v>
      </c>
      <c r="T175" s="48" t="s">
        <v>1585</v>
      </c>
      <c r="U175" s="82" t="s">
        <v>150</v>
      </c>
      <c r="V175" s="26" t="s">
        <v>1586</v>
      </c>
      <c r="W175" s="200" t="s">
        <v>259</v>
      </c>
      <c r="X175" s="17" t="s">
        <v>1587</v>
      </c>
    </row>
    <row r="176" spans="2:24" x14ac:dyDescent="0.25">
      <c r="B176" s="17">
        <v>174</v>
      </c>
      <c r="C176" s="10" t="s">
        <v>136</v>
      </c>
      <c r="D176" s="7" t="s">
        <v>140</v>
      </c>
      <c r="E176" s="72" t="s">
        <v>1588</v>
      </c>
      <c r="F176" s="18" t="s">
        <v>1579</v>
      </c>
      <c r="G176" s="10">
        <v>10</v>
      </c>
      <c r="H176" s="10">
        <v>1</v>
      </c>
      <c r="I176" s="10">
        <v>389.12</v>
      </c>
      <c r="J176" s="11">
        <v>338500000</v>
      </c>
      <c r="K176" s="11">
        <f t="shared" si="184"/>
        <v>372350000.00000006</v>
      </c>
      <c r="L176" s="37">
        <f t="shared" si="185"/>
        <v>3.3850000000000002</v>
      </c>
      <c r="M176" s="3" t="s">
        <v>1580</v>
      </c>
      <c r="N176" t="s">
        <v>1581</v>
      </c>
      <c r="O176" s="21" t="s">
        <v>1589</v>
      </c>
      <c r="P176" s="21"/>
      <c r="Q176" s="21" t="s">
        <v>2163</v>
      </c>
      <c r="R176" s="23" t="s">
        <v>1590</v>
      </c>
      <c r="S176" s="50" t="s">
        <v>1584</v>
      </c>
      <c r="T176" s="48" t="s">
        <v>1591</v>
      </c>
      <c r="U176" s="82" t="s">
        <v>1592</v>
      </c>
      <c r="V176" s="32" t="s">
        <v>1586</v>
      </c>
      <c r="W176" s="200" t="s">
        <v>1593</v>
      </c>
      <c r="X176" s="17" t="s">
        <v>1587</v>
      </c>
    </row>
    <row r="177" spans="2:24" x14ac:dyDescent="0.25">
      <c r="B177" s="17">
        <v>175</v>
      </c>
      <c r="C177" s="10" t="s">
        <v>1594</v>
      </c>
      <c r="D177" s="7" t="s">
        <v>1595</v>
      </c>
      <c r="E177" s="72" t="s">
        <v>1596</v>
      </c>
      <c r="F177" s="18" t="s">
        <v>1546</v>
      </c>
      <c r="G177" s="10">
        <v>10</v>
      </c>
      <c r="H177" s="10">
        <v>1</v>
      </c>
      <c r="I177" s="10">
        <v>142.72</v>
      </c>
      <c r="J177" s="11">
        <v>137000000</v>
      </c>
      <c r="K177" s="11">
        <f t="shared" si="184"/>
        <v>150700000</v>
      </c>
      <c r="L177" s="37">
        <f t="shared" si="185"/>
        <v>1.37</v>
      </c>
      <c r="M177" s="3" t="s">
        <v>1597</v>
      </c>
      <c r="N177" t="s">
        <v>1598</v>
      </c>
      <c r="O177" s="21" t="s">
        <v>1599</v>
      </c>
      <c r="P177" s="21">
        <v>153</v>
      </c>
      <c r="Q177" s="21" t="s">
        <v>2164</v>
      </c>
      <c r="R177" s="23" t="s">
        <v>1600</v>
      </c>
      <c r="S177" s="50" t="s">
        <v>207</v>
      </c>
      <c r="T177" s="48" t="s">
        <v>1601</v>
      </c>
      <c r="U177" s="82" t="s">
        <v>1602</v>
      </c>
      <c r="V177" s="32" t="s">
        <v>1603</v>
      </c>
      <c r="W177" s="200" t="s">
        <v>1868</v>
      </c>
      <c r="X177" s="17" t="s">
        <v>1867</v>
      </c>
    </row>
    <row r="178" spans="2:24" x14ac:dyDescent="0.25">
      <c r="B178" s="17">
        <v>176</v>
      </c>
      <c r="C178" s="10" t="s">
        <v>101</v>
      </c>
      <c r="D178" s="7" t="s">
        <v>229</v>
      </c>
      <c r="E178" s="72" t="s">
        <v>1604</v>
      </c>
      <c r="F178" s="18" t="s">
        <v>1605</v>
      </c>
      <c r="G178" s="10">
        <v>10</v>
      </c>
      <c r="H178" s="10">
        <v>1</v>
      </c>
      <c r="I178" s="10">
        <v>54.4</v>
      </c>
      <c r="J178" s="11">
        <v>64000000</v>
      </c>
      <c r="K178" s="11">
        <f t="shared" si="184"/>
        <v>70400000</v>
      </c>
      <c r="L178" s="37">
        <f t="shared" si="185"/>
        <v>0.64</v>
      </c>
      <c r="M178" s="3" t="s">
        <v>1606</v>
      </c>
      <c r="N178" t="s">
        <v>1607</v>
      </c>
      <c r="O178" s="21" t="s">
        <v>1608</v>
      </c>
      <c r="P178" s="21">
        <v>154</v>
      </c>
      <c r="Q178" s="21" t="s">
        <v>2163</v>
      </c>
      <c r="R178" s="23" t="s">
        <v>1609</v>
      </c>
      <c r="S178" s="50" t="s">
        <v>207</v>
      </c>
      <c r="T178" s="48" t="s">
        <v>1610</v>
      </c>
      <c r="U178" s="82" t="s">
        <v>197</v>
      </c>
      <c r="V178" s="26" t="s">
        <v>1611</v>
      </c>
      <c r="W178" s="200" t="s">
        <v>1866</v>
      </c>
      <c r="X178" s="17" t="s">
        <v>1867</v>
      </c>
    </row>
    <row r="179" spans="2:24" x14ac:dyDescent="0.25">
      <c r="B179" s="17">
        <v>177</v>
      </c>
      <c r="C179" s="10" t="s">
        <v>101</v>
      </c>
      <c r="D179" s="7" t="s">
        <v>229</v>
      </c>
      <c r="E179" s="72" t="s">
        <v>1613</v>
      </c>
      <c r="F179" s="18" t="s">
        <v>1605</v>
      </c>
      <c r="G179" s="10">
        <v>10</v>
      </c>
      <c r="H179" s="10">
        <v>1</v>
      </c>
      <c r="I179" s="10">
        <v>494.72</v>
      </c>
      <c r="J179" s="11">
        <v>456000000</v>
      </c>
      <c r="K179" s="11">
        <f t="shared" si="184"/>
        <v>501600000.00000006</v>
      </c>
      <c r="L179" s="37">
        <f t="shared" si="185"/>
        <v>4.5600000000000005</v>
      </c>
      <c r="M179" s="3" t="s">
        <v>1606</v>
      </c>
      <c r="N179" t="s">
        <v>1607</v>
      </c>
      <c r="O179" s="21" t="s">
        <v>1614</v>
      </c>
      <c r="P179" s="21">
        <v>155</v>
      </c>
      <c r="Q179" s="21" t="s">
        <v>2161</v>
      </c>
      <c r="R179" s="23" t="s">
        <v>1615</v>
      </c>
      <c r="S179" s="50" t="s">
        <v>207</v>
      </c>
      <c r="T179" s="48" t="s">
        <v>1612</v>
      </c>
      <c r="U179" s="82" t="s">
        <v>197</v>
      </c>
      <c r="V179" s="26" t="s">
        <v>1611</v>
      </c>
      <c r="W179" s="200" t="s">
        <v>1868</v>
      </c>
      <c r="X179" s="17" t="s">
        <v>1867</v>
      </c>
    </row>
    <row r="180" spans="2:24" x14ac:dyDescent="0.25">
      <c r="B180" s="17">
        <v>178</v>
      </c>
      <c r="C180" s="10" t="s">
        <v>136</v>
      </c>
      <c r="D180" s="7" t="s">
        <v>140</v>
      </c>
      <c r="E180" s="72" t="s">
        <v>1616</v>
      </c>
      <c r="F180" s="18" t="s">
        <v>1617</v>
      </c>
      <c r="G180" s="10">
        <v>10</v>
      </c>
      <c r="H180" s="10">
        <v>1</v>
      </c>
      <c r="I180" s="10">
        <v>27.52</v>
      </c>
      <c r="J180" s="11">
        <v>45000000</v>
      </c>
      <c r="K180" s="11">
        <f t="shared" si="184"/>
        <v>49500000.000000007</v>
      </c>
      <c r="L180" s="37">
        <f t="shared" si="185"/>
        <v>0.45</v>
      </c>
      <c r="M180" s="3" t="s">
        <v>1618</v>
      </c>
      <c r="N180" t="s">
        <v>190</v>
      </c>
      <c r="O180" s="21" t="s">
        <v>1619</v>
      </c>
      <c r="P180" s="21">
        <v>156</v>
      </c>
      <c r="Q180" s="21" t="s">
        <v>2161</v>
      </c>
      <c r="R180" s="23" t="s">
        <v>1620</v>
      </c>
      <c r="S180" s="50" t="s">
        <v>81</v>
      </c>
      <c r="T180" s="48" t="s">
        <v>1621</v>
      </c>
      <c r="U180" s="82" t="s">
        <v>197</v>
      </c>
      <c r="V180" s="26" t="s">
        <v>1622</v>
      </c>
      <c r="W180" s="200" t="s">
        <v>262</v>
      </c>
      <c r="X180" s="17" t="s">
        <v>272</v>
      </c>
    </row>
    <row r="181" spans="2:24" x14ac:dyDescent="0.25">
      <c r="B181" s="17">
        <v>179</v>
      </c>
      <c r="C181" s="10" t="s">
        <v>136</v>
      </c>
      <c r="D181" s="7" t="s">
        <v>140</v>
      </c>
      <c r="E181" s="72" t="s">
        <v>1623</v>
      </c>
      <c r="F181" s="18" t="s">
        <v>1624</v>
      </c>
      <c r="G181" s="10">
        <v>10</v>
      </c>
      <c r="H181" s="10">
        <v>1</v>
      </c>
      <c r="I181" s="10">
        <v>359.68</v>
      </c>
      <c r="J181" s="11">
        <v>290000000</v>
      </c>
      <c r="K181" s="11">
        <f t="shared" si="184"/>
        <v>319000000</v>
      </c>
      <c r="L181" s="37">
        <f t="shared" si="185"/>
        <v>2.9</v>
      </c>
      <c r="M181" s="3" t="s">
        <v>1625</v>
      </c>
      <c r="N181" t="s">
        <v>1626</v>
      </c>
      <c r="O181" s="21" t="s">
        <v>1627</v>
      </c>
      <c r="P181" s="21">
        <v>157</v>
      </c>
      <c r="Q181" s="21" t="s">
        <v>2164</v>
      </c>
      <c r="R181" s="23" t="s">
        <v>1628</v>
      </c>
      <c r="S181" s="50" t="s">
        <v>1629</v>
      </c>
      <c r="T181" s="48" t="s">
        <v>1630</v>
      </c>
      <c r="U181" s="82" t="s">
        <v>151</v>
      </c>
      <c r="V181" s="26" t="s">
        <v>1631</v>
      </c>
      <c r="W181" s="200" t="s">
        <v>258</v>
      </c>
      <c r="X181" s="17" t="s">
        <v>272</v>
      </c>
    </row>
    <row r="182" spans="2:24" x14ac:dyDescent="0.25">
      <c r="B182" s="17">
        <v>180</v>
      </c>
      <c r="C182" s="10" t="s">
        <v>136</v>
      </c>
      <c r="D182" s="7" t="s">
        <v>140</v>
      </c>
      <c r="E182" s="72" t="s">
        <v>1632</v>
      </c>
      <c r="F182" s="18" t="s">
        <v>1624</v>
      </c>
      <c r="G182" s="10">
        <v>10</v>
      </c>
      <c r="H182" s="10">
        <v>1</v>
      </c>
      <c r="I182" s="10">
        <v>789.12</v>
      </c>
      <c r="J182" s="11">
        <v>680000000</v>
      </c>
      <c r="K182" s="11">
        <f t="shared" ref="K182" si="188">J182*1.1</f>
        <v>748000000.00000012</v>
      </c>
      <c r="L182" s="37">
        <f t="shared" ref="L182" si="189">J182*0.00000001</f>
        <v>6.8</v>
      </c>
      <c r="M182" s="3" t="s">
        <v>1625</v>
      </c>
      <c r="N182" t="s">
        <v>1626</v>
      </c>
      <c r="O182" s="21" t="s">
        <v>1633</v>
      </c>
      <c r="P182" s="21"/>
      <c r="Q182" s="21" t="s">
        <v>2164</v>
      </c>
      <c r="R182" s="23" t="s">
        <v>1634</v>
      </c>
      <c r="S182" s="50" t="s">
        <v>1629</v>
      </c>
      <c r="T182" s="48" t="s">
        <v>1630</v>
      </c>
      <c r="U182" s="82" t="s">
        <v>151</v>
      </c>
      <c r="V182" s="26" t="s">
        <v>1631</v>
      </c>
      <c r="W182" s="200" t="s">
        <v>258</v>
      </c>
      <c r="X182" s="17" t="s">
        <v>272</v>
      </c>
    </row>
    <row r="183" spans="2:24" x14ac:dyDescent="0.25">
      <c r="B183" s="17">
        <v>181</v>
      </c>
      <c r="C183" s="10" t="s">
        <v>1635</v>
      </c>
      <c r="D183" s="7" t="s">
        <v>1636</v>
      </c>
      <c r="E183" s="72" t="s">
        <v>1637</v>
      </c>
      <c r="F183" s="18" t="s">
        <v>1638</v>
      </c>
      <c r="G183" s="10">
        <v>10</v>
      </c>
      <c r="H183" s="10">
        <v>3</v>
      </c>
      <c r="I183" s="10">
        <v>249.6</v>
      </c>
      <c r="J183" s="11">
        <v>237000000</v>
      </c>
      <c r="K183" s="11">
        <f t="shared" si="184"/>
        <v>260700000.00000003</v>
      </c>
      <c r="L183" s="37">
        <f t="shared" si="185"/>
        <v>2.37</v>
      </c>
      <c r="M183" s="3" t="s">
        <v>1639</v>
      </c>
      <c r="N183" t="s">
        <v>1640</v>
      </c>
      <c r="O183" s="21" t="s">
        <v>1641</v>
      </c>
      <c r="P183" s="21">
        <v>158</v>
      </c>
      <c r="Q183" s="21" t="s">
        <v>2163</v>
      </c>
      <c r="R183" s="23" t="s">
        <v>1642</v>
      </c>
      <c r="S183" s="50" t="s">
        <v>1643</v>
      </c>
      <c r="T183" s="48" t="s">
        <v>1644</v>
      </c>
      <c r="U183" s="82" t="s">
        <v>1645</v>
      </c>
      <c r="V183" s="32" t="s">
        <v>1646</v>
      </c>
      <c r="W183" s="200" t="s">
        <v>1647</v>
      </c>
      <c r="X183" s="17" t="s">
        <v>1648</v>
      </c>
    </row>
    <row r="184" spans="2:24" x14ac:dyDescent="0.25">
      <c r="B184" s="17">
        <v>182</v>
      </c>
      <c r="C184" s="10" t="s">
        <v>102</v>
      </c>
      <c r="D184" s="7" t="s">
        <v>229</v>
      </c>
      <c r="E184" s="72" t="s">
        <v>1654</v>
      </c>
      <c r="F184" s="18" t="s">
        <v>1638</v>
      </c>
      <c r="G184" s="10">
        <v>10</v>
      </c>
      <c r="H184" s="10">
        <v>3</v>
      </c>
      <c r="I184" s="10">
        <v>193.92</v>
      </c>
      <c r="J184" s="11">
        <v>190000000</v>
      </c>
      <c r="K184" s="11">
        <f t="shared" si="184"/>
        <v>209000000.00000003</v>
      </c>
      <c r="L184" s="37">
        <f t="shared" si="185"/>
        <v>1.9000000000000001</v>
      </c>
      <c r="M184" s="3" t="s">
        <v>1649</v>
      </c>
      <c r="N184" t="s">
        <v>1650</v>
      </c>
      <c r="O184" s="21" t="s">
        <v>1655</v>
      </c>
      <c r="P184" s="21">
        <v>159</v>
      </c>
      <c r="Q184" s="21" t="s">
        <v>2161</v>
      </c>
      <c r="R184" s="23" t="s">
        <v>1651</v>
      </c>
      <c r="S184" s="50" t="s">
        <v>207</v>
      </c>
      <c r="T184" s="48" t="s">
        <v>1652</v>
      </c>
      <c r="U184" s="82" t="s">
        <v>85</v>
      </c>
      <c r="V184" s="32" t="s">
        <v>1653</v>
      </c>
      <c r="W184" s="200" t="s">
        <v>270</v>
      </c>
      <c r="X184" s="17" t="s">
        <v>279</v>
      </c>
    </row>
    <row r="185" spans="2:24" x14ac:dyDescent="0.25">
      <c r="B185" s="17">
        <v>183</v>
      </c>
      <c r="C185" s="10" t="s">
        <v>102</v>
      </c>
      <c r="D185" s="7" t="s">
        <v>229</v>
      </c>
      <c r="E185" s="72" t="s">
        <v>1654</v>
      </c>
      <c r="F185" s="18" t="s">
        <v>1638</v>
      </c>
      <c r="G185" s="10">
        <v>10</v>
      </c>
      <c r="H185" s="10">
        <v>3</v>
      </c>
      <c r="I185" s="10">
        <v>279.04000000000002</v>
      </c>
      <c r="J185" s="11">
        <v>273000000</v>
      </c>
      <c r="K185" s="11">
        <f t="shared" si="184"/>
        <v>300300000</v>
      </c>
      <c r="L185" s="37">
        <f t="shared" si="185"/>
        <v>2.73</v>
      </c>
      <c r="M185" s="3" t="s">
        <v>1649</v>
      </c>
      <c r="N185" t="s">
        <v>1650</v>
      </c>
      <c r="O185" s="21" t="s">
        <v>1656</v>
      </c>
      <c r="P185" s="21"/>
      <c r="Q185" s="21" t="s">
        <v>2161</v>
      </c>
      <c r="R185" s="23" t="s">
        <v>1657</v>
      </c>
      <c r="S185" s="50" t="s">
        <v>207</v>
      </c>
      <c r="T185" s="48" t="s">
        <v>1652</v>
      </c>
      <c r="U185" s="82" t="s">
        <v>85</v>
      </c>
      <c r="V185" s="32" t="s">
        <v>1653</v>
      </c>
      <c r="W185" s="200" t="s">
        <v>270</v>
      </c>
      <c r="X185" s="17" t="s">
        <v>279</v>
      </c>
    </row>
    <row r="186" spans="2:24" x14ac:dyDescent="0.25">
      <c r="B186" s="17">
        <v>184</v>
      </c>
      <c r="C186" s="10" t="s">
        <v>136</v>
      </c>
      <c r="D186" s="7" t="s">
        <v>140</v>
      </c>
      <c r="E186" s="72" t="s">
        <v>1658</v>
      </c>
      <c r="F186" s="18" t="s">
        <v>1659</v>
      </c>
      <c r="G186" s="10">
        <v>10</v>
      </c>
      <c r="H186" s="10">
        <v>3</v>
      </c>
      <c r="I186" s="10">
        <v>257.27999999999997</v>
      </c>
      <c r="J186" s="11">
        <v>210000000</v>
      </c>
      <c r="K186" s="11">
        <f t="shared" si="184"/>
        <v>231000000.00000003</v>
      </c>
      <c r="L186" s="37">
        <f t="shared" si="185"/>
        <v>2.1</v>
      </c>
      <c r="M186" s="3" t="s">
        <v>1660</v>
      </c>
      <c r="N186" t="s">
        <v>1661</v>
      </c>
      <c r="O186" s="21" t="s">
        <v>1662</v>
      </c>
      <c r="P186" s="21">
        <v>160</v>
      </c>
      <c r="Q186" s="21" t="s">
        <v>2163</v>
      </c>
      <c r="R186" s="23" t="s">
        <v>1663</v>
      </c>
      <c r="S186" s="50" t="s">
        <v>1664</v>
      </c>
      <c r="T186" s="48" t="s">
        <v>1665</v>
      </c>
      <c r="U186" s="82" t="s">
        <v>150</v>
      </c>
      <c r="V186" s="32" t="s">
        <v>1666</v>
      </c>
      <c r="W186" s="200" t="s">
        <v>260</v>
      </c>
      <c r="X186" s="17" t="s">
        <v>1667</v>
      </c>
    </row>
    <row r="187" spans="2:24" x14ac:dyDescent="0.25">
      <c r="B187" s="17">
        <v>185</v>
      </c>
      <c r="C187" s="10" t="s">
        <v>1668</v>
      </c>
      <c r="D187" s="7" t="s">
        <v>140</v>
      </c>
      <c r="E187" s="72" t="s">
        <v>1669</v>
      </c>
      <c r="F187" s="18" t="s">
        <v>1670</v>
      </c>
      <c r="G187" s="10">
        <v>10</v>
      </c>
      <c r="H187" s="10">
        <v>3</v>
      </c>
      <c r="I187" s="10">
        <v>180.48</v>
      </c>
      <c r="J187" s="11">
        <v>172000000</v>
      </c>
      <c r="K187" s="11">
        <f t="shared" ref="K187:K194" si="190">J187*1.1</f>
        <v>189200000.00000003</v>
      </c>
      <c r="L187" s="37">
        <f t="shared" ref="L187:L194" si="191">J187*0.00000001</f>
        <v>1.72</v>
      </c>
      <c r="M187" s="3" t="s">
        <v>1671</v>
      </c>
      <c r="N187" t="s">
        <v>1672</v>
      </c>
      <c r="O187" s="21" t="s">
        <v>1673</v>
      </c>
      <c r="P187" s="21">
        <v>161</v>
      </c>
      <c r="Q187" s="21" t="s">
        <v>2163</v>
      </c>
      <c r="R187" s="23" t="s">
        <v>1674</v>
      </c>
      <c r="S187" s="50" t="s">
        <v>207</v>
      </c>
      <c r="T187" s="48" t="s">
        <v>1675</v>
      </c>
      <c r="U187" s="82" t="s">
        <v>1676</v>
      </c>
      <c r="V187" s="26" t="s">
        <v>1677</v>
      </c>
      <c r="W187" s="200" t="s">
        <v>1866</v>
      </c>
      <c r="X187" s="17" t="s">
        <v>1867</v>
      </c>
    </row>
    <row r="188" spans="2:24" x14ac:dyDescent="0.25">
      <c r="B188" s="17">
        <v>186</v>
      </c>
      <c r="C188" s="10" t="s">
        <v>136</v>
      </c>
      <c r="D188" s="7" t="s">
        <v>140</v>
      </c>
      <c r="E188" s="72" t="s">
        <v>1678</v>
      </c>
      <c r="F188" s="18" t="s">
        <v>1679</v>
      </c>
      <c r="G188" s="10">
        <v>10</v>
      </c>
      <c r="H188" s="10">
        <v>3</v>
      </c>
      <c r="I188" s="10">
        <v>16.64</v>
      </c>
      <c r="J188" s="11">
        <v>26000000</v>
      </c>
      <c r="K188" s="11">
        <f t="shared" si="190"/>
        <v>28600000.000000004</v>
      </c>
      <c r="L188" s="37">
        <f t="shared" si="191"/>
        <v>0.26</v>
      </c>
      <c r="M188" s="3" t="s">
        <v>1680</v>
      </c>
      <c r="N188" t="s">
        <v>1681</v>
      </c>
      <c r="O188" s="21" t="s">
        <v>1682</v>
      </c>
      <c r="P188" s="21">
        <v>162</v>
      </c>
      <c r="Q188" s="21" t="s">
        <v>2163</v>
      </c>
      <c r="R188" s="23" t="s">
        <v>1683</v>
      </c>
      <c r="S188" s="50" t="s">
        <v>81</v>
      </c>
      <c r="T188" s="48" t="s">
        <v>1684</v>
      </c>
      <c r="U188" s="82" t="s">
        <v>197</v>
      </c>
      <c r="V188" s="26" t="s">
        <v>1685</v>
      </c>
      <c r="W188" s="200" t="s">
        <v>573</v>
      </c>
      <c r="X188" s="17" t="s">
        <v>272</v>
      </c>
    </row>
    <row r="189" spans="2:24" x14ac:dyDescent="0.25">
      <c r="B189" s="17">
        <v>187</v>
      </c>
      <c r="C189" s="10" t="s">
        <v>136</v>
      </c>
      <c r="D189" s="7" t="s">
        <v>140</v>
      </c>
      <c r="E189" s="72" t="s">
        <v>1688</v>
      </c>
      <c r="F189" s="18" t="s">
        <v>1689</v>
      </c>
      <c r="G189" s="10">
        <v>10</v>
      </c>
      <c r="H189" s="10">
        <v>3</v>
      </c>
      <c r="I189" s="10">
        <v>84.48</v>
      </c>
      <c r="J189" s="11">
        <v>80000000</v>
      </c>
      <c r="K189" s="11">
        <f t="shared" si="190"/>
        <v>88000000</v>
      </c>
      <c r="L189" s="37">
        <f t="shared" si="191"/>
        <v>0.8</v>
      </c>
      <c r="M189" s="3" t="s">
        <v>1691</v>
      </c>
      <c r="N189" t="s">
        <v>1692</v>
      </c>
      <c r="O189" s="21" t="s">
        <v>1693</v>
      </c>
      <c r="P189" s="21">
        <v>163</v>
      </c>
      <c r="Q189" s="21" t="s">
        <v>2160</v>
      </c>
      <c r="R189" s="23" t="s">
        <v>1694</v>
      </c>
      <c r="S189" s="50" t="s">
        <v>81</v>
      </c>
      <c r="T189" s="48" t="s">
        <v>1690</v>
      </c>
      <c r="U189" s="82" t="s">
        <v>85</v>
      </c>
      <c r="V189" s="26" t="s">
        <v>1695</v>
      </c>
      <c r="W189" s="200" t="s">
        <v>261</v>
      </c>
      <c r="X189" s="17" t="s">
        <v>272</v>
      </c>
    </row>
    <row r="190" spans="2:24" x14ac:dyDescent="0.25">
      <c r="B190" s="17">
        <v>188</v>
      </c>
      <c r="C190" s="10" t="s">
        <v>136</v>
      </c>
      <c r="D190" s="7" t="s">
        <v>140</v>
      </c>
      <c r="E190" s="72" t="s">
        <v>1696</v>
      </c>
      <c r="F190" s="18" t="s">
        <v>1689</v>
      </c>
      <c r="G190" s="10">
        <v>10</v>
      </c>
      <c r="H190" s="10">
        <v>3</v>
      </c>
      <c r="I190" s="10">
        <v>172.8</v>
      </c>
      <c r="J190" s="11">
        <v>160000000</v>
      </c>
      <c r="K190" s="11">
        <f t="shared" si="190"/>
        <v>176000000</v>
      </c>
      <c r="L190" s="37">
        <f t="shared" si="191"/>
        <v>1.6</v>
      </c>
      <c r="M190" s="3" t="s">
        <v>1691</v>
      </c>
      <c r="N190" t="s">
        <v>1692</v>
      </c>
      <c r="O190" s="21" t="s">
        <v>1697</v>
      </c>
      <c r="P190" s="21">
        <v>164</v>
      </c>
      <c r="Q190" s="21" t="s">
        <v>2160</v>
      </c>
      <c r="R190" s="298" t="s">
        <v>1698</v>
      </c>
      <c r="S190" s="50" t="s">
        <v>81</v>
      </c>
      <c r="T190" s="48" t="s">
        <v>1699</v>
      </c>
      <c r="U190" s="82" t="s">
        <v>197</v>
      </c>
      <c r="V190" s="26" t="s">
        <v>1700</v>
      </c>
      <c r="W190" s="200" t="s">
        <v>259</v>
      </c>
      <c r="X190" s="17" t="s">
        <v>272</v>
      </c>
    </row>
    <row r="191" spans="2:24" x14ac:dyDescent="0.25">
      <c r="B191" s="17">
        <v>189</v>
      </c>
      <c r="C191" s="10" t="s">
        <v>101</v>
      </c>
      <c r="D191" s="7" t="s">
        <v>140</v>
      </c>
      <c r="E191" s="72" t="s">
        <v>1702</v>
      </c>
      <c r="F191" s="18" t="s">
        <v>1703</v>
      </c>
      <c r="G191" s="10">
        <v>10</v>
      </c>
      <c r="H191" s="10">
        <v>3</v>
      </c>
      <c r="I191" s="10">
        <v>298.24</v>
      </c>
      <c r="J191" s="11">
        <v>284000000</v>
      </c>
      <c r="K191" s="11">
        <f t="shared" si="190"/>
        <v>312400000</v>
      </c>
      <c r="L191" s="37">
        <f t="shared" si="191"/>
        <v>2.84</v>
      </c>
      <c r="M191" s="3" t="s">
        <v>1704</v>
      </c>
      <c r="N191" t="s">
        <v>1705</v>
      </c>
      <c r="O191" s="21" t="s">
        <v>1706</v>
      </c>
      <c r="P191" s="21">
        <v>165</v>
      </c>
      <c r="Q191" s="21" t="s">
        <v>2163</v>
      </c>
      <c r="R191" s="23" t="s">
        <v>1707</v>
      </c>
      <c r="S191" s="50" t="s">
        <v>81</v>
      </c>
      <c r="T191" s="48" t="s">
        <v>1675</v>
      </c>
      <c r="U191" s="82" t="s">
        <v>150</v>
      </c>
      <c r="V191" s="26" t="s">
        <v>1708</v>
      </c>
      <c r="W191" s="200" t="s">
        <v>1866</v>
      </c>
      <c r="X191" s="17" t="s">
        <v>1867</v>
      </c>
    </row>
    <row r="192" spans="2:24" x14ac:dyDescent="0.25">
      <c r="B192" s="17">
        <v>190</v>
      </c>
      <c r="C192" s="10" t="s">
        <v>136</v>
      </c>
      <c r="D192" s="7" t="s">
        <v>140</v>
      </c>
      <c r="E192" s="72" t="s">
        <v>1709</v>
      </c>
      <c r="F192" s="18" t="s">
        <v>1710</v>
      </c>
      <c r="G192" s="10">
        <v>10</v>
      </c>
      <c r="H192" s="10">
        <v>3</v>
      </c>
      <c r="I192" s="10">
        <v>78.72</v>
      </c>
      <c r="J192" s="11">
        <v>80000000</v>
      </c>
      <c r="K192" s="11">
        <f t="shared" si="190"/>
        <v>88000000</v>
      </c>
      <c r="L192" s="37">
        <f t="shared" si="191"/>
        <v>0.8</v>
      </c>
      <c r="M192" s="3" t="s">
        <v>1711</v>
      </c>
      <c r="N192" t="s">
        <v>1712</v>
      </c>
      <c r="O192" s="21" t="s">
        <v>1713</v>
      </c>
      <c r="P192" s="21">
        <v>166</v>
      </c>
      <c r="Q192" s="21" t="s">
        <v>2160</v>
      </c>
      <c r="R192" s="23" t="s">
        <v>1714</v>
      </c>
      <c r="S192" s="50" t="s">
        <v>81</v>
      </c>
      <c r="T192" s="48" t="s">
        <v>1715</v>
      </c>
      <c r="U192" s="82" t="s">
        <v>197</v>
      </c>
      <c r="V192" s="32" t="s">
        <v>1716</v>
      </c>
      <c r="W192" s="200" t="s">
        <v>262</v>
      </c>
      <c r="X192" s="17" t="s">
        <v>272</v>
      </c>
    </row>
    <row r="193" spans="2:24" x14ac:dyDescent="0.25">
      <c r="B193" s="17">
        <v>191</v>
      </c>
      <c r="C193" s="10" t="s">
        <v>136</v>
      </c>
      <c r="D193" s="7" t="s">
        <v>140</v>
      </c>
      <c r="E193" s="72" t="s">
        <v>1749</v>
      </c>
      <c r="F193" s="18" t="s">
        <v>1670</v>
      </c>
      <c r="G193" s="10">
        <v>10</v>
      </c>
      <c r="H193" s="10">
        <v>3</v>
      </c>
      <c r="I193" s="10">
        <v>442.88</v>
      </c>
      <c r="J193" s="11">
        <v>340000000</v>
      </c>
      <c r="K193" s="11">
        <f t="shared" si="190"/>
        <v>374000000.00000006</v>
      </c>
      <c r="L193" s="37">
        <f t="shared" si="191"/>
        <v>3.4</v>
      </c>
      <c r="M193" s="3" t="s">
        <v>1717</v>
      </c>
      <c r="N193" t="s">
        <v>1718</v>
      </c>
      <c r="O193" s="21" t="s">
        <v>1719</v>
      </c>
      <c r="P193" s="21">
        <v>167</v>
      </c>
      <c r="Q193" s="21" t="s">
        <v>2163</v>
      </c>
      <c r="R193" s="23" t="s">
        <v>1720</v>
      </c>
      <c r="S193" s="50" t="s">
        <v>81</v>
      </c>
      <c r="T193" s="48" t="s">
        <v>1721</v>
      </c>
      <c r="U193" s="82" t="s">
        <v>1722</v>
      </c>
      <c r="V193" s="32" t="s">
        <v>1723</v>
      </c>
      <c r="W193" s="200" t="s">
        <v>1724</v>
      </c>
      <c r="X193" s="17" t="s">
        <v>272</v>
      </c>
    </row>
    <row r="194" spans="2:24" x14ac:dyDescent="0.25">
      <c r="B194" s="17">
        <v>192</v>
      </c>
      <c r="C194" s="10" t="s">
        <v>136</v>
      </c>
      <c r="D194" s="7" t="s">
        <v>140</v>
      </c>
      <c r="E194" s="72" t="s">
        <v>1725</v>
      </c>
      <c r="F194" s="18" t="s">
        <v>1726</v>
      </c>
      <c r="G194" s="10">
        <v>10</v>
      </c>
      <c r="H194" s="10">
        <v>4</v>
      </c>
      <c r="I194" s="10">
        <v>364.8</v>
      </c>
      <c r="J194" s="11">
        <v>320000000</v>
      </c>
      <c r="K194" s="11">
        <f t="shared" si="190"/>
        <v>352000000</v>
      </c>
      <c r="L194" s="37">
        <f t="shared" si="191"/>
        <v>3.2</v>
      </c>
      <c r="M194" s="3" t="s">
        <v>1727</v>
      </c>
      <c r="N194" t="s">
        <v>1728</v>
      </c>
      <c r="O194" s="21" t="s">
        <v>1729</v>
      </c>
      <c r="P194" s="21">
        <v>168</v>
      </c>
      <c r="Q194" s="21" t="s">
        <v>2170</v>
      </c>
      <c r="R194" s="23" t="s">
        <v>1730</v>
      </c>
      <c r="S194" s="50" t="s">
        <v>81</v>
      </c>
      <c r="T194" s="48" t="s">
        <v>1731</v>
      </c>
      <c r="U194" s="82" t="s">
        <v>197</v>
      </c>
      <c r="V194" s="26" t="s">
        <v>1732</v>
      </c>
      <c r="W194" s="200" t="s">
        <v>259</v>
      </c>
      <c r="X194" s="17" t="s">
        <v>272</v>
      </c>
    </row>
    <row r="195" spans="2:24" x14ac:dyDescent="0.25">
      <c r="B195" s="17">
        <v>193</v>
      </c>
      <c r="C195" s="10" t="s">
        <v>136</v>
      </c>
      <c r="D195" s="7" t="s">
        <v>140</v>
      </c>
      <c r="E195" s="72" t="s">
        <v>1733</v>
      </c>
      <c r="F195" s="18" t="s">
        <v>1734</v>
      </c>
      <c r="G195" s="10">
        <v>10</v>
      </c>
      <c r="H195" s="10">
        <v>4</v>
      </c>
      <c r="I195" s="10">
        <v>88.32</v>
      </c>
      <c r="J195" s="11">
        <v>90000000</v>
      </c>
      <c r="K195" s="11">
        <f t="shared" ref="K195:K257" si="192">J195*1.1</f>
        <v>99000000.000000015</v>
      </c>
      <c r="L195" s="37">
        <f t="shared" ref="L195:L257" si="193">J195*0.00000001</f>
        <v>0.9</v>
      </c>
      <c r="M195" s="3" t="s">
        <v>1739</v>
      </c>
      <c r="N195" t="s">
        <v>1735</v>
      </c>
      <c r="O195" s="21" t="s">
        <v>1736</v>
      </c>
      <c r="P195" s="21">
        <v>169</v>
      </c>
      <c r="Q195" s="21" t="s">
        <v>2160</v>
      </c>
      <c r="R195" s="23" t="s">
        <v>1737</v>
      </c>
      <c r="S195" s="50" t="s">
        <v>81</v>
      </c>
      <c r="T195" s="48" t="s">
        <v>1738</v>
      </c>
      <c r="U195" s="82" t="s">
        <v>197</v>
      </c>
      <c r="V195" s="26" t="s">
        <v>1740</v>
      </c>
      <c r="W195" s="200" t="s">
        <v>262</v>
      </c>
      <c r="X195" s="17" t="s">
        <v>272</v>
      </c>
    </row>
    <row r="196" spans="2:24" x14ac:dyDescent="0.25">
      <c r="B196" s="17">
        <v>194</v>
      </c>
      <c r="C196" s="10" t="s">
        <v>136</v>
      </c>
      <c r="D196" s="7" t="s">
        <v>140</v>
      </c>
      <c r="E196" s="72" t="s">
        <v>1741</v>
      </c>
      <c r="F196" s="18" t="s">
        <v>1742</v>
      </c>
      <c r="G196" s="10">
        <v>10</v>
      </c>
      <c r="H196" s="10">
        <v>4</v>
      </c>
      <c r="I196" s="10">
        <v>281.60000000000002</v>
      </c>
      <c r="J196" s="11">
        <v>258000000</v>
      </c>
      <c r="K196" s="11">
        <f t="shared" si="192"/>
        <v>283800000</v>
      </c>
      <c r="L196" s="37">
        <f t="shared" si="193"/>
        <v>2.58</v>
      </c>
      <c r="M196" s="3" t="s">
        <v>1743</v>
      </c>
      <c r="N196" t="s">
        <v>1744</v>
      </c>
      <c r="O196" s="21" t="s">
        <v>1745</v>
      </c>
      <c r="P196" s="21">
        <v>170</v>
      </c>
      <c r="Q196" s="21" t="s">
        <v>2160</v>
      </c>
      <c r="R196" s="23" t="s">
        <v>1746</v>
      </c>
      <c r="S196" s="50" t="s">
        <v>81</v>
      </c>
      <c r="T196" s="48" t="s">
        <v>1747</v>
      </c>
      <c r="U196" s="82" t="s">
        <v>197</v>
      </c>
      <c r="V196" s="26" t="s">
        <v>1748</v>
      </c>
      <c r="W196" s="200" t="s">
        <v>259</v>
      </c>
      <c r="X196" s="17" t="s">
        <v>272</v>
      </c>
    </row>
    <row r="197" spans="2:24" x14ac:dyDescent="0.25">
      <c r="B197" s="17">
        <v>195</v>
      </c>
      <c r="C197" s="10" t="s">
        <v>136</v>
      </c>
      <c r="D197" s="7" t="s">
        <v>140</v>
      </c>
      <c r="E197" s="72" t="s">
        <v>1750</v>
      </c>
      <c r="F197" s="18" t="s">
        <v>1753</v>
      </c>
      <c r="G197" s="10">
        <v>10</v>
      </c>
      <c r="H197" s="10">
        <v>3</v>
      </c>
      <c r="I197" s="10">
        <v>149.76</v>
      </c>
      <c r="J197" s="11">
        <v>125000000</v>
      </c>
      <c r="K197" s="11">
        <f t="shared" si="192"/>
        <v>137500000</v>
      </c>
      <c r="L197" s="37">
        <f t="shared" si="193"/>
        <v>1.25</v>
      </c>
      <c r="M197" s="3" t="s">
        <v>1754</v>
      </c>
      <c r="N197" t="s">
        <v>1755</v>
      </c>
      <c r="O197" s="21" t="s">
        <v>1756</v>
      </c>
      <c r="P197" s="21">
        <v>171</v>
      </c>
      <c r="Q197" s="21" t="s">
        <v>2163</v>
      </c>
      <c r="R197" s="23" t="s">
        <v>1757</v>
      </c>
      <c r="S197" s="50" t="s">
        <v>81</v>
      </c>
      <c r="T197" s="48" t="s">
        <v>1760</v>
      </c>
      <c r="U197" s="82" t="s">
        <v>150</v>
      </c>
      <c r="V197" s="26" t="s">
        <v>331</v>
      </c>
      <c r="W197" s="200" t="s">
        <v>1761</v>
      </c>
      <c r="X197" s="17" t="s">
        <v>1762</v>
      </c>
    </row>
    <row r="198" spans="2:24" x14ac:dyDescent="0.25">
      <c r="B198" s="17">
        <v>196</v>
      </c>
      <c r="C198" s="10" t="s">
        <v>136</v>
      </c>
      <c r="D198" s="7" t="s">
        <v>140</v>
      </c>
      <c r="E198" s="72" t="s">
        <v>1751</v>
      </c>
      <c r="F198" s="18" t="s">
        <v>1753</v>
      </c>
      <c r="G198" s="10">
        <v>10</v>
      </c>
      <c r="H198" s="10">
        <v>3</v>
      </c>
      <c r="I198" s="10">
        <v>149.76</v>
      </c>
      <c r="J198" s="11">
        <v>125000000</v>
      </c>
      <c r="K198" s="11">
        <f t="shared" si="192"/>
        <v>137500000</v>
      </c>
      <c r="L198" s="37">
        <f t="shared" si="193"/>
        <v>1.25</v>
      </c>
      <c r="M198" s="3" t="s">
        <v>1754</v>
      </c>
      <c r="N198" t="s">
        <v>1755</v>
      </c>
      <c r="O198" s="21" t="s">
        <v>1763</v>
      </c>
      <c r="P198" s="21"/>
      <c r="Q198" s="21" t="s">
        <v>2163</v>
      </c>
      <c r="R198" s="23" t="s">
        <v>1758</v>
      </c>
      <c r="S198" s="50" t="s">
        <v>81</v>
      </c>
      <c r="T198" s="48" t="s">
        <v>1760</v>
      </c>
      <c r="U198" s="82" t="s">
        <v>150</v>
      </c>
      <c r="V198" s="26" t="s">
        <v>331</v>
      </c>
      <c r="W198" s="200" t="s">
        <v>1761</v>
      </c>
      <c r="X198" s="17" t="s">
        <v>1762</v>
      </c>
    </row>
    <row r="199" spans="2:24" x14ac:dyDescent="0.25">
      <c r="B199" s="17">
        <v>197</v>
      </c>
      <c r="C199" s="10" t="s">
        <v>136</v>
      </c>
      <c r="D199" s="7" t="s">
        <v>140</v>
      </c>
      <c r="E199" s="72" t="s">
        <v>1752</v>
      </c>
      <c r="F199" s="18" t="s">
        <v>1753</v>
      </c>
      <c r="G199" s="10">
        <v>10</v>
      </c>
      <c r="H199" s="10">
        <v>3</v>
      </c>
      <c r="I199" s="10">
        <v>143.36000000000001</v>
      </c>
      <c r="J199" s="11">
        <v>120000000</v>
      </c>
      <c r="K199" s="11">
        <f t="shared" si="192"/>
        <v>132000000.00000001</v>
      </c>
      <c r="L199" s="37">
        <f t="shared" si="193"/>
        <v>1.2</v>
      </c>
      <c r="M199" s="3" t="s">
        <v>1754</v>
      </c>
      <c r="N199" t="s">
        <v>1755</v>
      </c>
      <c r="O199" s="21" t="s">
        <v>1764</v>
      </c>
      <c r="P199" s="21"/>
      <c r="Q199" s="21" t="s">
        <v>2163</v>
      </c>
      <c r="R199" s="23" t="s">
        <v>1759</v>
      </c>
      <c r="S199" s="50" t="s">
        <v>81</v>
      </c>
      <c r="T199" s="48" t="s">
        <v>1760</v>
      </c>
      <c r="U199" s="82" t="s">
        <v>150</v>
      </c>
      <c r="V199" s="26" t="s">
        <v>331</v>
      </c>
      <c r="W199" s="200" t="s">
        <v>1761</v>
      </c>
      <c r="X199" s="17" t="s">
        <v>1762</v>
      </c>
    </row>
    <row r="200" spans="2:24" x14ac:dyDescent="0.25">
      <c r="B200" s="17">
        <v>198</v>
      </c>
      <c r="C200" s="10" t="s">
        <v>137</v>
      </c>
      <c r="D200" s="7" t="s">
        <v>140</v>
      </c>
      <c r="E200" s="72" t="s">
        <v>1765</v>
      </c>
      <c r="F200" s="18" t="s">
        <v>1670</v>
      </c>
      <c r="G200" s="10">
        <v>10</v>
      </c>
      <c r="H200" s="10">
        <v>3</v>
      </c>
      <c r="I200" s="10">
        <v>218.88</v>
      </c>
      <c r="J200" s="11">
        <v>215000000</v>
      </c>
      <c r="K200" s="11">
        <f t="shared" si="192"/>
        <v>236500000.00000003</v>
      </c>
      <c r="L200" s="37">
        <f t="shared" si="193"/>
        <v>2.15</v>
      </c>
      <c r="M200" s="3" t="s">
        <v>1766</v>
      </c>
      <c r="N200" t="s">
        <v>1767</v>
      </c>
      <c r="O200" s="21" t="s">
        <v>1768</v>
      </c>
      <c r="P200" s="21">
        <v>172</v>
      </c>
      <c r="Q200" s="21" t="s">
        <v>2163</v>
      </c>
      <c r="R200" s="23" t="s">
        <v>1771</v>
      </c>
      <c r="S200" s="50" t="s">
        <v>81</v>
      </c>
      <c r="T200" s="48" t="s">
        <v>1769</v>
      </c>
      <c r="U200" s="82" t="s">
        <v>197</v>
      </c>
      <c r="V200" s="32" t="s">
        <v>1770</v>
      </c>
      <c r="W200" s="200" t="s">
        <v>1866</v>
      </c>
      <c r="X200" s="17" t="s">
        <v>272</v>
      </c>
    </row>
    <row r="201" spans="2:24" x14ac:dyDescent="0.25">
      <c r="B201" s="17">
        <v>199</v>
      </c>
      <c r="C201" s="10" t="s">
        <v>136</v>
      </c>
      <c r="D201" s="7" t="s">
        <v>140</v>
      </c>
      <c r="E201" s="72" t="s">
        <v>1776</v>
      </c>
      <c r="F201" s="18" t="s">
        <v>1777</v>
      </c>
      <c r="G201" s="10">
        <v>10</v>
      </c>
      <c r="H201" s="10">
        <v>4</v>
      </c>
      <c r="I201" s="10">
        <v>89.6</v>
      </c>
      <c r="J201" s="11">
        <v>87000000</v>
      </c>
      <c r="K201" s="11">
        <f t="shared" si="192"/>
        <v>95700000.000000015</v>
      </c>
      <c r="L201" s="37">
        <f t="shared" si="193"/>
        <v>0.87</v>
      </c>
      <c r="M201" s="3" t="s">
        <v>1778</v>
      </c>
      <c r="N201" t="s">
        <v>1779</v>
      </c>
      <c r="O201" s="21" t="s">
        <v>1780</v>
      </c>
      <c r="P201" s="21">
        <v>173</v>
      </c>
      <c r="Q201" s="21" t="s">
        <v>2170</v>
      </c>
      <c r="R201" s="23" t="s">
        <v>1781</v>
      </c>
      <c r="S201" s="50" t="s">
        <v>81</v>
      </c>
      <c r="T201" s="48" t="s">
        <v>1782</v>
      </c>
      <c r="U201" s="82" t="s">
        <v>85</v>
      </c>
      <c r="V201" s="32" t="s">
        <v>1783</v>
      </c>
      <c r="W201" s="200"/>
      <c r="X201" s="17"/>
    </row>
    <row r="202" spans="2:24" x14ac:dyDescent="0.25">
      <c r="B202" s="17">
        <v>200</v>
      </c>
      <c r="C202" s="10" t="s">
        <v>136</v>
      </c>
      <c r="D202" s="7" t="s">
        <v>140</v>
      </c>
      <c r="E202" s="72" t="s">
        <v>1784</v>
      </c>
      <c r="F202" s="18" t="s">
        <v>1785</v>
      </c>
      <c r="G202" s="10">
        <v>10</v>
      </c>
      <c r="H202" s="10">
        <v>4</v>
      </c>
      <c r="I202" s="10">
        <v>362.24</v>
      </c>
      <c r="J202" s="11">
        <v>10000000</v>
      </c>
      <c r="K202" s="11">
        <f t="shared" si="192"/>
        <v>11000000</v>
      </c>
      <c r="L202" s="37">
        <f t="shared" si="193"/>
        <v>0.1</v>
      </c>
      <c r="M202" s="3" t="s">
        <v>1786</v>
      </c>
      <c r="N202" t="s">
        <v>1787</v>
      </c>
      <c r="O202" s="21" t="s">
        <v>1788</v>
      </c>
      <c r="P202" s="21">
        <v>174</v>
      </c>
      <c r="Q202" s="21" t="s">
        <v>2162</v>
      </c>
      <c r="R202" s="23" t="s">
        <v>1789</v>
      </c>
      <c r="S202" s="50" t="s">
        <v>81</v>
      </c>
      <c r="T202" s="48" t="s">
        <v>1790</v>
      </c>
      <c r="U202" s="82" t="s">
        <v>150</v>
      </c>
      <c r="V202" s="32" t="s">
        <v>1791</v>
      </c>
      <c r="W202" s="200" t="s">
        <v>260</v>
      </c>
      <c r="X202" s="17" t="s">
        <v>272</v>
      </c>
    </row>
    <row r="203" spans="2:24" ht="27" x14ac:dyDescent="0.25">
      <c r="B203" s="17">
        <v>201</v>
      </c>
      <c r="C203" s="10" t="s">
        <v>137</v>
      </c>
      <c r="D203" s="7" t="s">
        <v>140</v>
      </c>
      <c r="E203" s="72" t="s">
        <v>1792</v>
      </c>
      <c r="F203" s="18" t="s">
        <v>1794</v>
      </c>
      <c r="G203" s="10">
        <v>10</v>
      </c>
      <c r="H203" s="10">
        <v>4</v>
      </c>
      <c r="I203" s="10">
        <v>112.64</v>
      </c>
      <c r="J203" s="11">
        <v>105000000</v>
      </c>
      <c r="K203" s="11">
        <f t="shared" si="192"/>
        <v>115500000.00000001</v>
      </c>
      <c r="L203" s="37">
        <f t="shared" si="193"/>
        <v>1.05</v>
      </c>
      <c r="M203" s="3" t="s">
        <v>1806</v>
      </c>
      <c r="N203" t="s">
        <v>1807</v>
      </c>
      <c r="O203" s="21" t="s">
        <v>1805</v>
      </c>
      <c r="P203" s="21">
        <v>175</v>
      </c>
      <c r="Q203" s="21" t="s">
        <v>2163</v>
      </c>
      <c r="R203" s="23" t="s">
        <v>1808</v>
      </c>
      <c r="S203" s="50" t="s">
        <v>81</v>
      </c>
      <c r="T203" s="48" t="s">
        <v>1809</v>
      </c>
      <c r="U203" s="82" t="s">
        <v>1810</v>
      </c>
      <c r="V203" s="26" t="s">
        <v>1811</v>
      </c>
      <c r="W203" s="200" t="s">
        <v>260</v>
      </c>
      <c r="X203" s="17" t="s">
        <v>1867</v>
      </c>
    </row>
    <row r="204" spans="2:24" x14ac:dyDescent="0.25">
      <c r="B204" s="17">
        <v>202</v>
      </c>
      <c r="C204" s="10" t="s">
        <v>137</v>
      </c>
      <c r="D204" s="7" t="s">
        <v>140</v>
      </c>
      <c r="E204" s="72" t="s">
        <v>1793</v>
      </c>
      <c r="F204" s="18" t="s">
        <v>1794</v>
      </c>
      <c r="G204" s="10">
        <v>10</v>
      </c>
      <c r="H204" s="10">
        <v>4</v>
      </c>
      <c r="I204" s="10">
        <v>296.32</v>
      </c>
      <c r="J204" s="11">
        <v>282000000</v>
      </c>
      <c r="K204" s="11">
        <f t="shared" si="192"/>
        <v>310200000</v>
      </c>
      <c r="L204" s="37">
        <f t="shared" si="193"/>
        <v>2.82</v>
      </c>
      <c r="M204" s="3" t="s">
        <v>1795</v>
      </c>
      <c r="N204" t="s">
        <v>1796</v>
      </c>
      <c r="O204" s="21" t="s">
        <v>1797</v>
      </c>
      <c r="P204" s="21">
        <v>176</v>
      </c>
      <c r="Q204" s="21" t="s">
        <v>2165</v>
      </c>
      <c r="R204" s="23" t="s">
        <v>1869</v>
      </c>
      <c r="S204" s="50" t="s">
        <v>81</v>
      </c>
      <c r="T204" s="48" t="s">
        <v>1798</v>
      </c>
      <c r="U204" s="82" t="s">
        <v>1799</v>
      </c>
      <c r="V204" s="26" t="s">
        <v>1800</v>
      </c>
      <c r="W204" s="200" t="s">
        <v>1868</v>
      </c>
      <c r="X204" s="17" t="s">
        <v>1867</v>
      </c>
    </row>
    <row r="205" spans="2:24" x14ac:dyDescent="0.25">
      <c r="B205" s="17">
        <v>203</v>
      </c>
      <c r="C205" s="10" t="s">
        <v>136</v>
      </c>
      <c r="D205" s="7" t="s">
        <v>140</v>
      </c>
      <c r="E205" s="72" t="s">
        <v>1812</v>
      </c>
      <c r="F205" s="18" t="s">
        <v>1813</v>
      </c>
      <c r="G205" s="10">
        <v>10</v>
      </c>
      <c r="H205" s="10">
        <v>4</v>
      </c>
      <c r="I205" s="10">
        <v>196.48</v>
      </c>
      <c r="J205" s="11">
        <v>160000000</v>
      </c>
      <c r="K205" s="11">
        <f t="shared" si="192"/>
        <v>176000000</v>
      </c>
      <c r="L205" s="37">
        <f t="shared" si="193"/>
        <v>1.6</v>
      </c>
      <c r="M205" s="3" t="s">
        <v>1814</v>
      </c>
      <c r="N205" t="s">
        <v>1815</v>
      </c>
      <c r="O205" s="21" t="s">
        <v>1816</v>
      </c>
      <c r="P205" s="21">
        <v>177</v>
      </c>
      <c r="Q205" s="21" t="s">
        <v>2164</v>
      </c>
      <c r="R205" s="23" t="s">
        <v>1817</v>
      </c>
      <c r="S205" s="50" t="s">
        <v>81</v>
      </c>
      <c r="T205" s="48" t="s">
        <v>1818</v>
      </c>
      <c r="U205" s="82" t="s">
        <v>1819</v>
      </c>
      <c r="V205" s="26" t="s">
        <v>1820</v>
      </c>
      <c r="W205" s="200" t="s">
        <v>258</v>
      </c>
      <c r="X205" s="17" t="s">
        <v>272</v>
      </c>
    </row>
    <row r="206" spans="2:24" x14ac:dyDescent="0.25">
      <c r="B206" s="17">
        <v>204</v>
      </c>
      <c r="C206" s="10" t="s">
        <v>136</v>
      </c>
      <c r="D206" s="7" t="s">
        <v>140</v>
      </c>
      <c r="E206" s="72" t="s">
        <v>1822</v>
      </c>
      <c r="F206" s="18" t="s">
        <v>1823</v>
      </c>
      <c r="G206" s="10">
        <v>10</v>
      </c>
      <c r="H206" s="10">
        <v>4</v>
      </c>
      <c r="I206" s="10">
        <v>66.56</v>
      </c>
      <c r="J206" s="11">
        <v>70000000</v>
      </c>
      <c r="K206" s="11">
        <f t="shared" si="192"/>
        <v>77000000</v>
      </c>
      <c r="L206" s="37">
        <f t="shared" si="193"/>
        <v>0.70000000000000007</v>
      </c>
      <c r="M206" s="3" t="s">
        <v>1824</v>
      </c>
      <c r="N206" t="s">
        <v>1825</v>
      </c>
      <c r="O206" s="21" t="s">
        <v>1826</v>
      </c>
      <c r="P206" s="21">
        <v>178</v>
      </c>
      <c r="Q206" s="21" t="s">
        <v>2164</v>
      </c>
      <c r="R206" s="23" t="s">
        <v>1827</v>
      </c>
      <c r="S206" s="50" t="s">
        <v>1828</v>
      </c>
      <c r="T206" s="48" t="s">
        <v>1829</v>
      </c>
      <c r="U206" s="82" t="s">
        <v>1830</v>
      </c>
      <c r="V206" s="26" t="s">
        <v>1831</v>
      </c>
      <c r="W206" s="200"/>
      <c r="X206" s="17"/>
    </row>
    <row r="207" spans="2:24" x14ac:dyDescent="0.25">
      <c r="B207" s="17">
        <v>205</v>
      </c>
      <c r="C207" s="10" t="s">
        <v>136</v>
      </c>
      <c r="D207" s="7" t="s">
        <v>140</v>
      </c>
      <c r="E207" s="72" t="s">
        <v>1833</v>
      </c>
      <c r="F207" s="18" t="s">
        <v>1834</v>
      </c>
      <c r="G207" s="10">
        <v>10</v>
      </c>
      <c r="H207" s="10">
        <v>5</v>
      </c>
      <c r="I207" s="10">
        <v>341.76</v>
      </c>
      <c r="J207" s="11">
        <v>320000000</v>
      </c>
      <c r="K207" s="11">
        <f t="shared" si="192"/>
        <v>352000000</v>
      </c>
      <c r="L207" s="37">
        <f t="shared" si="193"/>
        <v>3.2</v>
      </c>
      <c r="M207" s="3" t="s">
        <v>1835</v>
      </c>
      <c r="N207" t="s">
        <v>1836</v>
      </c>
      <c r="O207" s="21" t="s">
        <v>1837</v>
      </c>
      <c r="P207" s="21">
        <v>179</v>
      </c>
      <c r="Q207" s="21" t="s">
        <v>2166</v>
      </c>
      <c r="R207" s="23" t="s">
        <v>1838</v>
      </c>
      <c r="S207" s="50" t="s">
        <v>207</v>
      </c>
      <c r="T207" s="48" t="s">
        <v>1839</v>
      </c>
      <c r="U207" s="82" t="s">
        <v>197</v>
      </c>
      <c r="V207" s="26" t="s">
        <v>331</v>
      </c>
      <c r="W207" s="200" t="s">
        <v>260</v>
      </c>
      <c r="X207" s="17" t="s">
        <v>272</v>
      </c>
    </row>
    <row r="208" spans="2:24" x14ac:dyDescent="0.25">
      <c r="B208" s="17">
        <v>206</v>
      </c>
      <c r="C208" s="10" t="s">
        <v>136</v>
      </c>
      <c r="D208" s="7" t="s">
        <v>140</v>
      </c>
      <c r="E208" s="72" t="s">
        <v>1840</v>
      </c>
      <c r="F208" s="18" t="s">
        <v>1841</v>
      </c>
      <c r="G208" s="10">
        <v>10</v>
      </c>
      <c r="H208" s="10">
        <v>5</v>
      </c>
      <c r="I208" s="10">
        <v>80.625</v>
      </c>
      <c r="J208" s="11">
        <v>81000000</v>
      </c>
      <c r="K208" s="11">
        <f t="shared" si="192"/>
        <v>89100000</v>
      </c>
      <c r="L208" s="37">
        <f t="shared" si="193"/>
        <v>0.81</v>
      </c>
      <c r="M208" s="3" t="s">
        <v>1842</v>
      </c>
      <c r="N208" t="s">
        <v>1843</v>
      </c>
      <c r="O208" s="21" t="s">
        <v>1844</v>
      </c>
      <c r="P208" s="21">
        <v>180</v>
      </c>
      <c r="Q208" s="21" t="s">
        <v>2163</v>
      </c>
      <c r="R208" s="23" t="s">
        <v>1845</v>
      </c>
      <c r="S208" s="50" t="s">
        <v>81</v>
      </c>
      <c r="T208" s="48" t="s">
        <v>1846</v>
      </c>
      <c r="U208" s="82" t="s">
        <v>85</v>
      </c>
      <c r="V208" s="32" t="s">
        <v>1847</v>
      </c>
      <c r="W208" s="200" t="s">
        <v>259</v>
      </c>
      <c r="X208" s="17" t="s">
        <v>1870</v>
      </c>
    </row>
    <row r="209" spans="2:24" x14ac:dyDescent="0.25">
      <c r="B209" s="17">
        <v>207</v>
      </c>
      <c r="C209" s="10" t="s">
        <v>137</v>
      </c>
      <c r="D209" s="7" t="s">
        <v>140</v>
      </c>
      <c r="E209" s="72" t="s">
        <v>1848</v>
      </c>
      <c r="F209" s="18" t="s">
        <v>1849</v>
      </c>
      <c r="G209" s="10">
        <v>10</v>
      </c>
      <c r="H209" s="10">
        <v>5</v>
      </c>
      <c r="I209" s="10">
        <v>368.64</v>
      </c>
      <c r="J209" s="11">
        <v>363000000</v>
      </c>
      <c r="K209" s="11">
        <f t="shared" si="192"/>
        <v>399300000.00000006</v>
      </c>
      <c r="L209" s="37">
        <f t="shared" si="193"/>
        <v>3.63</v>
      </c>
      <c r="M209" s="3" t="s">
        <v>1850</v>
      </c>
      <c r="N209" t="s">
        <v>1851</v>
      </c>
      <c r="O209" s="21" t="s">
        <v>1852</v>
      </c>
      <c r="P209" s="21">
        <v>181</v>
      </c>
      <c r="Q209" s="21" t="s">
        <v>2163</v>
      </c>
      <c r="R209" s="23" t="s">
        <v>1853</v>
      </c>
      <c r="S209" s="50" t="s">
        <v>81</v>
      </c>
      <c r="T209" s="48" t="s">
        <v>1854</v>
      </c>
      <c r="U209" s="82" t="s">
        <v>197</v>
      </c>
      <c r="V209" s="32" t="s">
        <v>1855</v>
      </c>
      <c r="W209" s="200" t="s">
        <v>1856</v>
      </c>
      <c r="X209" s="17" t="s">
        <v>1857</v>
      </c>
    </row>
    <row r="210" spans="2:24" x14ac:dyDescent="0.25">
      <c r="B210" s="17">
        <v>208</v>
      </c>
      <c r="C210" s="10" t="s">
        <v>136</v>
      </c>
      <c r="D210" s="7" t="s">
        <v>140</v>
      </c>
      <c r="E210" s="72" t="s">
        <v>1858</v>
      </c>
      <c r="F210" s="18" t="s">
        <v>1859</v>
      </c>
      <c r="G210" s="10">
        <v>10</v>
      </c>
      <c r="H210" s="10">
        <v>5</v>
      </c>
      <c r="I210" s="10">
        <v>174.79499999999999</v>
      </c>
      <c r="J210" s="11">
        <v>150000000</v>
      </c>
      <c r="K210" s="11">
        <f t="shared" si="192"/>
        <v>165000000</v>
      </c>
      <c r="L210" s="37">
        <f t="shared" si="193"/>
        <v>1.5</v>
      </c>
      <c r="M210" s="3" t="s">
        <v>1860</v>
      </c>
      <c r="N210" t="s">
        <v>1861</v>
      </c>
      <c r="O210" s="21" t="s">
        <v>1862</v>
      </c>
      <c r="P210" s="21">
        <v>182</v>
      </c>
      <c r="Q210" s="21" t="s">
        <v>2163</v>
      </c>
      <c r="R210" s="23" t="s">
        <v>1863</v>
      </c>
      <c r="S210" s="50" t="s">
        <v>81</v>
      </c>
      <c r="T210" s="48" t="s">
        <v>1864</v>
      </c>
      <c r="U210" s="82" t="s">
        <v>150</v>
      </c>
      <c r="V210" s="26" t="s">
        <v>1865</v>
      </c>
      <c r="W210" s="200" t="s">
        <v>258</v>
      </c>
      <c r="X210" s="17" t="s">
        <v>272</v>
      </c>
    </row>
    <row r="211" spans="2:24" x14ac:dyDescent="0.25">
      <c r="B211" s="17">
        <v>209</v>
      </c>
      <c r="C211" s="10" t="s">
        <v>136</v>
      </c>
      <c r="D211" s="7" t="s">
        <v>140</v>
      </c>
      <c r="E211" s="72" t="s">
        <v>1871</v>
      </c>
      <c r="F211" s="18" t="s">
        <v>1872</v>
      </c>
      <c r="G211" s="10">
        <v>10</v>
      </c>
      <c r="H211" s="10">
        <v>5</v>
      </c>
      <c r="I211" s="10">
        <v>427.52</v>
      </c>
      <c r="J211" s="11">
        <v>372000000</v>
      </c>
      <c r="K211" s="11">
        <f t="shared" si="192"/>
        <v>409200000.00000006</v>
      </c>
      <c r="L211" s="37">
        <f t="shared" si="193"/>
        <v>3.72</v>
      </c>
      <c r="M211" s="3" t="s">
        <v>1873</v>
      </c>
      <c r="N211" t="s">
        <v>1874</v>
      </c>
      <c r="O211" s="21" t="s">
        <v>1233</v>
      </c>
      <c r="P211" s="21">
        <v>183</v>
      </c>
      <c r="Q211" s="21" t="s">
        <v>2163</v>
      </c>
      <c r="R211" s="23" t="s">
        <v>1875</v>
      </c>
      <c r="S211" s="50" t="s">
        <v>81</v>
      </c>
      <c r="T211" s="48" t="s">
        <v>1876</v>
      </c>
      <c r="U211" s="82" t="s">
        <v>1877</v>
      </c>
      <c r="V211" s="26" t="s">
        <v>247</v>
      </c>
      <c r="W211" s="200" t="s">
        <v>1878</v>
      </c>
      <c r="X211" s="17" t="s">
        <v>1879</v>
      </c>
    </row>
    <row r="212" spans="2:24" x14ac:dyDescent="0.25">
      <c r="B212" s="17">
        <v>210</v>
      </c>
      <c r="C212" s="10" t="s">
        <v>136</v>
      </c>
      <c r="D212" s="7" t="s">
        <v>140</v>
      </c>
      <c r="E212" s="72" t="s">
        <v>1880</v>
      </c>
      <c r="F212" s="18" t="s">
        <v>1881</v>
      </c>
      <c r="G212" s="10">
        <v>10</v>
      </c>
      <c r="H212" s="10">
        <v>5</v>
      </c>
      <c r="I212" s="10">
        <v>61.44</v>
      </c>
      <c r="J212" s="11">
        <v>65000000</v>
      </c>
      <c r="K212" s="11">
        <f t="shared" si="192"/>
        <v>71500000</v>
      </c>
      <c r="L212" s="37">
        <f t="shared" si="193"/>
        <v>0.65</v>
      </c>
      <c r="M212" s="3" t="s">
        <v>1884</v>
      </c>
      <c r="N212" t="s">
        <v>1882</v>
      </c>
      <c r="O212" s="21" t="s">
        <v>1883</v>
      </c>
      <c r="P212" s="21">
        <v>184</v>
      </c>
      <c r="Q212" s="21" t="s">
        <v>2160</v>
      </c>
      <c r="R212" s="23" t="s">
        <v>1885</v>
      </c>
      <c r="S212" s="50" t="s">
        <v>81</v>
      </c>
      <c r="T212" s="48" t="s">
        <v>1886</v>
      </c>
      <c r="U212" s="82" t="s">
        <v>197</v>
      </c>
      <c r="V212" s="26" t="s">
        <v>331</v>
      </c>
      <c r="W212" s="200" t="s">
        <v>259</v>
      </c>
      <c r="X212" s="17" t="s">
        <v>272</v>
      </c>
    </row>
    <row r="213" spans="2:24" x14ac:dyDescent="0.25">
      <c r="B213" s="17">
        <v>211</v>
      </c>
      <c r="C213" s="10" t="s">
        <v>136</v>
      </c>
      <c r="D213" s="7" t="s">
        <v>140</v>
      </c>
      <c r="E213" s="72" t="s">
        <v>1887</v>
      </c>
      <c r="F213" s="18" t="s">
        <v>1888</v>
      </c>
      <c r="G213" s="10">
        <v>11</v>
      </c>
      <c r="H213" s="10">
        <v>1</v>
      </c>
      <c r="I213" s="10">
        <v>83.85</v>
      </c>
      <c r="J213" s="11">
        <v>80000000</v>
      </c>
      <c r="K213" s="11">
        <f t="shared" si="192"/>
        <v>88000000</v>
      </c>
      <c r="L213" s="37">
        <f t="shared" si="193"/>
        <v>0.8</v>
      </c>
      <c r="M213" s="3" t="s">
        <v>1889</v>
      </c>
      <c r="N213" t="s">
        <v>1890</v>
      </c>
      <c r="O213" s="21" t="s">
        <v>1891</v>
      </c>
      <c r="P213" s="21">
        <v>185</v>
      </c>
      <c r="Q213" s="21" t="s">
        <v>2161</v>
      </c>
      <c r="R213" s="23" t="s">
        <v>1892</v>
      </c>
      <c r="S213" s="50" t="s">
        <v>81</v>
      </c>
      <c r="T213" s="48" t="s">
        <v>1893</v>
      </c>
      <c r="U213" s="82" t="s">
        <v>1894</v>
      </c>
      <c r="V213" s="26" t="s">
        <v>1895</v>
      </c>
      <c r="W213" s="200" t="s">
        <v>259</v>
      </c>
      <c r="X213" s="17" t="s">
        <v>1896</v>
      </c>
    </row>
    <row r="214" spans="2:24" x14ac:dyDescent="0.25">
      <c r="B214" s="17">
        <v>212</v>
      </c>
      <c r="C214" s="10" t="s">
        <v>136</v>
      </c>
      <c r="D214" s="7" t="s">
        <v>140</v>
      </c>
      <c r="E214" s="72" t="s">
        <v>1897</v>
      </c>
      <c r="F214" s="18" t="s">
        <v>1898</v>
      </c>
      <c r="G214" s="10">
        <v>11</v>
      </c>
      <c r="H214" s="10">
        <v>1</v>
      </c>
      <c r="I214" s="10">
        <v>229.12</v>
      </c>
      <c r="J214" s="11">
        <v>215000000</v>
      </c>
      <c r="K214" s="11">
        <f t="shared" si="192"/>
        <v>236500000.00000003</v>
      </c>
      <c r="L214" s="37">
        <f t="shared" si="193"/>
        <v>2.15</v>
      </c>
      <c r="M214" s="3" t="s">
        <v>1899</v>
      </c>
      <c r="N214" t="s">
        <v>1900</v>
      </c>
      <c r="O214" s="21" t="s">
        <v>1901</v>
      </c>
      <c r="P214" s="21">
        <v>186</v>
      </c>
      <c r="Q214" s="21" t="s">
        <v>2169</v>
      </c>
      <c r="R214" s="23" t="s">
        <v>1902</v>
      </c>
      <c r="S214" s="50" t="s">
        <v>81</v>
      </c>
      <c r="T214" s="48" t="s">
        <v>1903</v>
      </c>
      <c r="U214" s="82" t="s">
        <v>150</v>
      </c>
      <c r="V214" s="26" t="s">
        <v>1904</v>
      </c>
      <c r="W214" s="200" t="s">
        <v>1905</v>
      </c>
      <c r="X214" s="17" t="s">
        <v>1906</v>
      </c>
    </row>
    <row r="215" spans="2:24" x14ac:dyDescent="0.25">
      <c r="B215" s="17">
        <v>213</v>
      </c>
      <c r="C215" s="10" t="s">
        <v>136</v>
      </c>
      <c r="D215" s="7" t="s">
        <v>140</v>
      </c>
      <c r="E215" s="72" t="s">
        <v>1907</v>
      </c>
      <c r="F215" s="18" t="s">
        <v>1910</v>
      </c>
      <c r="G215" s="10">
        <v>11</v>
      </c>
      <c r="H215" s="10">
        <v>1</v>
      </c>
      <c r="I215" s="10">
        <v>304.64</v>
      </c>
      <c r="J215" s="11">
        <v>235000000</v>
      </c>
      <c r="K215" s="11">
        <f t="shared" si="192"/>
        <v>258500000.00000003</v>
      </c>
      <c r="L215" s="37">
        <f t="shared" si="193"/>
        <v>2.35</v>
      </c>
      <c r="M215" s="3" t="s">
        <v>1912</v>
      </c>
      <c r="N215" t="s">
        <v>1913</v>
      </c>
      <c r="O215" s="21" t="s">
        <v>1915</v>
      </c>
      <c r="P215" s="21">
        <v>187</v>
      </c>
      <c r="Q215" s="21" t="s">
        <v>2163</v>
      </c>
      <c r="R215" s="23" t="s">
        <v>1925</v>
      </c>
      <c r="S215" s="50" t="s">
        <v>81</v>
      </c>
      <c r="T215" s="48" t="s">
        <v>1918</v>
      </c>
      <c r="U215" s="82" t="s">
        <v>85</v>
      </c>
      <c r="V215" s="32" t="s">
        <v>1921</v>
      </c>
      <c r="W215" s="200"/>
      <c r="X215" s="17"/>
    </row>
    <row r="216" spans="2:24" x14ac:dyDescent="0.25">
      <c r="B216" s="17">
        <v>214</v>
      </c>
      <c r="C216" s="10" t="s">
        <v>136</v>
      </c>
      <c r="D216" s="7" t="s">
        <v>140</v>
      </c>
      <c r="E216" s="72" t="s">
        <v>1908</v>
      </c>
      <c r="F216" s="18" t="s">
        <v>1911</v>
      </c>
      <c r="G216" s="10">
        <v>11</v>
      </c>
      <c r="H216" s="10">
        <v>1</v>
      </c>
      <c r="I216" s="10">
        <v>121.26</v>
      </c>
      <c r="J216" s="11">
        <v>118000000</v>
      </c>
      <c r="K216" s="11">
        <f t="shared" si="192"/>
        <v>129800000.00000001</v>
      </c>
      <c r="L216" s="37">
        <f t="shared" si="193"/>
        <v>1.18</v>
      </c>
      <c r="M216" s="3" t="s">
        <v>1914</v>
      </c>
      <c r="N216" t="s">
        <v>1913</v>
      </c>
      <c r="O216" s="21" t="s">
        <v>1916</v>
      </c>
      <c r="P216" s="21">
        <v>188</v>
      </c>
      <c r="Q216" s="21" t="s">
        <v>2163</v>
      </c>
      <c r="R216" s="23" t="s">
        <v>1924</v>
      </c>
      <c r="S216" s="50" t="s">
        <v>81</v>
      </c>
      <c r="T216" s="48" t="s">
        <v>1919</v>
      </c>
      <c r="U216" s="82" t="s">
        <v>85</v>
      </c>
      <c r="V216" s="32" t="s">
        <v>1922</v>
      </c>
      <c r="W216" s="200"/>
      <c r="X216" s="17"/>
    </row>
    <row r="217" spans="2:24" x14ac:dyDescent="0.25">
      <c r="B217" s="17">
        <v>215</v>
      </c>
      <c r="C217" s="10" t="s">
        <v>136</v>
      </c>
      <c r="D217" s="7" t="s">
        <v>140</v>
      </c>
      <c r="E217" s="72" t="s">
        <v>1909</v>
      </c>
      <c r="F217" s="18" t="s">
        <v>1911</v>
      </c>
      <c r="G217" s="10">
        <v>11</v>
      </c>
      <c r="H217" s="10">
        <v>1</v>
      </c>
      <c r="I217" s="10">
        <v>139.32</v>
      </c>
      <c r="J217" s="11">
        <v>135000000</v>
      </c>
      <c r="K217" s="11">
        <f t="shared" si="192"/>
        <v>148500000</v>
      </c>
      <c r="L217" s="37">
        <f t="shared" si="193"/>
        <v>1.35</v>
      </c>
      <c r="M217" s="3" t="s">
        <v>1914</v>
      </c>
      <c r="N217" t="s">
        <v>1913</v>
      </c>
      <c r="O217" s="21" t="s">
        <v>1917</v>
      </c>
      <c r="P217" s="21"/>
      <c r="Q217" s="21" t="s">
        <v>2163</v>
      </c>
      <c r="R217" s="23" t="s">
        <v>1923</v>
      </c>
      <c r="S217" s="50" t="s">
        <v>81</v>
      </c>
      <c r="T217" s="48" t="s">
        <v>1920</v>
      </c>
      <c r="U217" s="82" t="s">
        <v>85</v>
      </c>
      <c r="V217" s="32" t="s">
        <v>1922</v>
      </c>
      <c r="W217" s="200"/>
      <c r="X217" s="17"/>
    </row>
    <row r="218" spans="2:24" x14ac:dyDescent="0.25">
      <c r="B218" s="17">
        <v>216</v>
      </c>
      <c r="C218" s="10" t="s">
        <v>136</v>
      </c>
      <c r="D218" s="7" t="s">
        <v>140</v>
      </c>
      <c r="E218" s="72" t="s">
        <v>1926</v>
      </c>
      <c r="F218" s="18" t="s">
        <v>1929</v>
      </c>
      <c r="G218" s="10">
        <v>11</v>
      </c>
      <c r="H218" s="10">
        <v>1</v>
      </c>
      <c r="I218" s="10">
        <v>1499.355</v>
      </c>
      <c r="J218" s="11">
        <v>1330000000</v>
      </c>
      <c r="K218" s="11">
        <f t="shared" si="192"/>
        <v>1463000000</v>
      </c>
      <c r="L218" s="37">
        <f t="shared" si="193"/>
        <v>13.3</v>
      </c>
      <c r="M218" s="3" t="s">
        <v>1930</v>
      </c>
      <c r="N218" t="s">
        <v>1931</v>
      </c>
      <c r="O218" s="21" t="s">
        <v>1932</v>
      </c>
      <c r="P218" s="21">
        <v>189</v>
      </c>
      <c r="Q218" s="21" t="s">
        <v>2164</v>
      </c>
      <c r="R218" s="23" t="s">
        <v>1935</v>
      </c>
      <c r="S218" s="50" t="s">
        <v>81</v>
      </c>
      <c r="T218" s="48" t="s">
        <v>1939</v>
      </c>
      <c r="U218" s="82" t="s">
        <v>150</v>
      </c>
      <c r="V218" s="32" t="s">
        <v>1940</v>
      </c>
      <c r="W218" s="200" t="s">
        <v>259</v>
      </c>
      <c r="X218" s="17" t="s">
        <v>272</v>
      </c>
    </row>
    <row r="219" spans="2:24" x14ac:dyDescent="0.25">
      <c r="B219" s="17">
        <v>217</v>
      </c>
      <c r="C219" s="10" t="s">
        <v>136</v>
      </c>
      <c r="D219" s="7" t="s">
        <v>140</v>
      </c>
      <c r="E219" s="72" t="s">
        <v>1927</v>
      </c>
      <c r="F219" s="18" t="s">
        <v>1929</v>
      </c>
      <c r="G219" s="10">
        <v>11</v>
      </c>
      <c r="H219" s="10">
        <v>1</v>
      </c>
      <c r="I219" s="10">
        <v>388.29</v>
      </c>
      <c r="J219" s="11">
        <v>325000000</v>
      </c>
      <c r="K219" s="11">
        <f t="shared" si="192"/>
        <v>357500000</v>
      </c>
      <c r="L219" s="37">
        <f t="shared" si="193"/>
        <v>3.25</v>
      </c>
      <c r="M219" s="3" t="s">
        <v>1930</v>
      </c>
      <c r="N219" t="s">
        <v>1931</v>
      </c>
      <c r="O219" s="21" t="s">
        <v>1933</v>
      </c>
      <c r="P219" s="21">
        <v>190</v>
      </c>
      <c r="Q219" s="21" t="s">
        <v>2168</v>
      </c>
      <c r="R219" s="23" t="s">
        <v>1936</v>
      </c>
      <c r="S219" s="50" t="s">
        <v>81</v>
      </c>
      <c r="T219" s="48" t="s">
        <v>1938</v>
      </c>
      <c r="U219" s="82" t="s">
        <v>150</v>
      </c>
      <c r="V219" s="32" t="s">
        <v>1940</v>
      </c>
      <c r="W219" s="200" t="s">
        <v>259</v>
      </c>
      <c r="X219" s="17" t="s">
        <v>279</v>
      </c>
    </row>
    <row r="220" spans="2:24" x14ac:dyDescent="0.25">
      <c r="B220" s="17">
        <v>218</v>
      </c>
      <c r="C220" s="10" t="s">
        <v>136</v>
      </c>
      <c r="D220" s="7" t="s">
        <v>140</v>
      </c>
      <c r="E220" s="72" t="s">
        <v>1928</v>
      </c>
      <c r="F220" s="18" t="s">
        <v>1929</v>
      </c>
      <c r="G220" s="10">
        <v>11</v>
      </c>
      <c r="H220" s="10">
        <v>1</v>
      </c>
      <c r="I220" s="10">
        <v>89.655000000000001</v>
      </c>
      <c r="J220" s="11">
        <v>85000000</v>
      </c>
      <c r="K220" s="11">
        <f t="shared" si="192"/>
        <v>93500000.000000015</v>
      </c>
      <c r="L220" s="37">
        <f t="shared" si="193"/>
        <v>0.85</v>
      </c>
      <c r="M220" s="3" t="s">
        <v>1930</v>
      </c>
      <c r="N220" t="s">
        <v>1931</v>
      </c>
      <c r="O220" s="21" t="s">
        <v>1934</v>
      </c>
      <c r="P220" s="21"/>
      <c r="Q220" s="21" t="s">
        <v>2163</v>
      </c>
      <c r="R220" s="23" t="s">
        <v>1937</v>
      </c>
      <c r="S220" s="50" t="s">
        <v>81</v>
      </c>
      <c r="T220" s="48" t="s">
        <v>1938</v>
      </c>
      <c r="U220" s="82" t="s">
        <v>150</v>
      </c>
      <c r="V220" s="32" t="s">
        <v>1940</v>
      </c>
      <c r="W220" s="200" t="s">
        <v>259</v>
      </c>
      <c r="X220" s="17" t="s">
        <v>279</v>
      </c>
    </row>
    <row r="221" spans="2:24" x14ac:dyDescent="0.25">
      <c r="B221" s="17">
        <v>219</v>
      </c>
      <c r="C221" s="10" t="s">
        <v>136</v>
      </c>
      <c r="D221" s="7" t="s">
        <v>140</v>
      </c>
      <c r="E221" s="72" t="s">
        <v>1942</v>
      </c>
      <c r="F221" s="18" t="s">
        <v>1943</v>
      </c>
      <c r="G221" s="10">
        <v>11</v>
      </c>
      <c r="H221" s="10">
        <v>1</v>
      </c>
      <c r="I221" s="10">
        <v>89.655000000000001</v>
      </c>
      <c r="J221" s="11">
        <v>87000000</v>
      </c>
      <c r="K221" s="11">
        <f t="shared" si="192"/>
        <v>95700000.000000015</v>
      </c>
      <c r="L221" s="37">
        <f t="shared" si="193"/>
        <v>0.87</v>
      </c>
      <c r="M221" s="3" t="s">
        <v>1944</v>
      </c>
      <c r="N221" t="s">
        <v>190</v>
      </c>
      <c r="O221" s="21" t="s">
        <v>1975</v>
      </c>
      <c r="P221" s="21">
        <v>191</v>
      </c>
      <c r="Q221" s="21" t="s">
        <v>2167</v>
      </c>
      <c r="R221" s="23" t="s">
        <v>1945</v>
      </c>
      <c r="S221" s="50" t="s">
        <v>81</v>
      </c>
      <c r="T221" s="48" t="s">
        <v>1946</v>
      </c>
      <c r="U221" s="82" t="s">
        <v>197</v>
      </c>
      <c r="V221" s="26" t="s">
        <v>1947</v>
      </c>
      <c r="W221" s="200" t="s">
        <v>259</v>
      </c>
      <c r="X221" s="17" t="s">
        <v>272</v>
      </c>
    </row>
    <row r="222" spans="2:24" x14ac:dyDescent="0.25">
      <c r="B222" s="17">
        <v>220</v>
      </c>
      <c r="C222" s="10" t="s">
        <v>136</v>
      </c>
      <c r="D222" s="7" t="s">
        <v>140</v>
      </c>
      <c r="E222" s="72" t="s">
        <v>1948</v>
      </c>
      <c r="F222" s="18" t="s">
        <v>1949</v>
      </c>
      <c r="G222" s="10">
        <v>11</v>
      </c>
      <c r="H222" s="10">
        <v>1</v>
      </c>
      <c r="I222" s="10">
        <v>51.6</v>
      </c>
      <c r="J222" s="11">
        <v>54000000</v>
      </c>
      <c r="K222" s="11">
        <f t="shared" si="192"/>
        <v>59400000.000000007</v>
      </c>
      <c r="L222" s="37">
        <f t="shared" si="193"/>
        <v>0.54</v>
      </c>
      <c r="M222" s="3" t="s">
        <v>1950</v>
      </c>
      <c r="N222" t="s">
        <v>1951</v>
      </c>
      <c r="O222" s="21" t="s">
        <v>1952</v>
      </c>
      <c r="P222" s="21">
        <v>192</v>
      </c>
      <c r="Q222" s="21" t="s">
        <v>2163</v>
      </c>
      <c r="R222" s="23" t="s">
        <v>1953</v>
      </c>
      <c r="S222" s="50" t="s">
        <v>81</v>
      </c>
      <c r="T222" s="48" t="s">
        <v>1954</v>
      </c>
      <c r="U222" s="82" t="s">
        <v>85</v>
      </c>
      <c r="V222" s="26" t="s">
        <v>1955</v>
      </c>
      <c r="W222" s="200"/>
      <c r="X222" s="17"/>
    </row>
    <row r="223" spans="2:24" x14ac:dyDescent="0.25">
      <c r="B223" s="17">
        <v>221</v>
      </c>
      <c r="C223" s="10" t="s">
        <v>137</v>
      </c>
      <c r="D223" s="7" t="s">
        <v>140</v>
      </c>
      <c r="E223" s="72" t="s">
        <v>1964</v>
      </c>
      <c r="F223" s="18" t="s">
        <v>1956</v>
      </c>
      <c r="G223" s="10">
        <v>11</v>
      </c>
      <c r="H223" s="10">
        <v>1</v>
      </c>
      <c r="I223" s="10">
        <v>244.45500000000001</v>
      </c>
      <c r="J223" s="11">
        <v>220000000</v>
      </c>
      <c r="K223" s="11">
        <f t="shared" si="192"/>
        <v>242000000.00000003</v>
      </c>
      <c r="L223" s="37">
        <f t="shared" si="193"/>
        <v>2.2000000000000002</v>
      </c>
      <c r="M223" s="3" t="s">
        <v>1957</v>
      </c>
      <c r="N223" t="s">
        <v>1958</v>
      </c>
      <c r="O223" s="21" t="s">
        <v>1959</v>
      </c>
      <c r="P223" s="21">
        <v>193</v>
      </c>
      <c r="Q223" s="21" t="s">
        <v>2163</v>
      </c>
      <c r="R223" s="23" t="s">
        <v>1960</v>
      </c>
      <c r="S223" s="50" t="s">
        <v>81</v>
      </c>
      <c r="T223" s="48" t="s">
        <v>1961</v>
      </c>
      <c r="U223" s="82" t="s">
        <v>150</v>
      </c>
      <c r="V223" s="26" t="s">
        <v>1304</v>
      </c>
      <c r="W223" s="200" t="s">
        <v>1962</v>
      </c>
      <c r="X223" s="17" t="s">
        <v>1963</v>
      </c>
    </row>
    <row r="224" spans="2:24" x14ac:dyDescent="0.25">
      <c r="B224" s="17">
        <v>222</v>
      </c>
      <c r="C224" s="10" t="s">
        <v>137</v>
      </c>
      <c r="D224" s="7" t="s">
        <v>140</v>
      </c>
      <c r="E224" s="72" t="s">
        <v>1965</v>
      </c>
      <c r="F224" s="18" t="s">
        <v>1956</v>
      </c>
      <c r="G224" s="10">
        <v>11</v>
      </c>
      <c r="H224" s="10">
        <v>1</v>
      </c>
      <c r="I224" s="10">
        <v>309.12</v>
      </c>
      <c r="J224" s="11">
        <v>294000000</v>
      </c>
      <c r="K224" s="11">
        <f t="shared" si="192"/>
        <v>323400000</v>
      </c>
      <c r="L224" s="37">
        <f t="shared" si="193"/>
        <v>2.94</v>
      </c>
      <c r="M224" s="3" t="s">
        <v>1966</v>
      </c>
      <c r="N224" t="s">
        <v>1967</v>
      </c>
      <c r="O224" s="21" t="s">
        <v>1968</v>
      </c>
      <c r="P224" s="21">
        <v>194</v>
      </c>
      <c r="Q224" s="21" t="s">
        <v>2167</v>
      </c>
      <c r="R224" s="23" t="s">
        <v>1969</v>
      </c>
      <c r="S224" s="50" t="s">
        <v>81</v>
      </c>
      <c r="T224" s="48" t="s">
        <v>1970</v>
      </c>
      <c r="U224" s="82" t="s">
        <v>1971</v>
      </c>
      <c r="V224" s="32" t="s">
        <v>1972</v>
      </c>
      <c r="W224" s="200" t="s">
        <v>1973</v>
      </c>
      <c r="X224" s="17" t="s">
        <v>1974</v>
      </c>
    </row>
    <row r="225" spans="2:24" x14ac:dyDescent="0.25">
      <c r="B225" s="17">
        <v>223</v>
      </c>
      <c r="C225" s="10" t="s">
        <v>136</v>
      </c>
      <c r="D225" s="7" t="s">
        <v>140</v>
      </c>
      <c r="E225" s="72" t="s">
        <v>1976</v>
      </c>
      <c r="F225" s="18" t="s">
        <v>1986</v>
      </c>
      <c r="G225" s="10">
        <v>11</v>
      </c>
      <c r="H225" s="10">
        <v>2</v>
      </c>
      <c r="I225" s="10">
        <v>397.32</v>
      </c>
      <c r="J225" s="11">
        <v>338000000</v>
      </c>
      <c r="K225" s="11">
        <f t="shared" si="192"/>
        <v>371800000.00000006</v>
      </c>
      <c r="L225" s="37">
        <f t="shared" si="193"/>
        <v>3.38</v>
      </c>
      <c r="M225" s="3" t="s">
        <v>1977</v>
      </c>
      <c r="N225" t="s">
        <v>1978</v>
      </c>
      <c r="O225" s="21" t="s">
        <v>1979</v>
      </c>
      <c r="P225" s="21">
        <v>195</v>
      </c>
      <c r="Q225" s="21" t="s">
        <v>2163</v>
      </c>
      <c r="R225" s="23" t="s">
        <v>1980</v>
      </c>
      <c r="S225" s="50" t="s">
        <v>207</v>
      </c>
      <c r="T225" s="48" t="s">
        <v>1981</v>
      </c>
      <c r="U225" s="82" t="s">
        <v>150</v>
      </c>
      <c r="V225" s="32" t="s">
        <v>1982</v>
      </c>
      <c r="W225" s="200" t="s">
        <v>1983</v>
      </c>
      <c r="X225" s="17" t="s">
        <v>1984</v>
      </c>
    </row>
    <row r="226" spans="2:24" x14ac:dyDescent="0.25">
      <c r="B226" s="17">
        <v>224</v>
      </c>
      <c r="C226" s="10" t="s">
        <v>136</v>
      </c>
      <c r="D226" s="7" t="s">
        <v>140</v>
      </c>
      <c r="E226" s="72" t="s">
        <v>1985</v>
      </c>
      <c r="F226" s="18" t="s">
        <v>1986</v>
      </c>
      <c r="G226" s="10">
        <v>11</v>
      </c>
      <c r="H226" s="10">
        <v>2</v>
      </c>
      <c r="I226" s="10">
        <v>202.53</v>
      </c>
      <c r="J226" s="11">
        <v>190000000</v>
      </c>
      <c r="K226" s="11">
        <f t="shared" si="192"/>
        <v>209000000.00000003</v>
      </c>
      <c r="L226" s="37">
        <f t="shared" si="193"/>
        <v>1.9000000000000001</v>
      </c>
      <c r="M226" s="3" t="s">
        <v>1987</v>
      </c>
      <c r="N226" t="s">
        <v>1988</v>
      </c>
      <c r="O226" s="21" t="s">
        <v>1989</v>
      </c>
      <c r="P226" s="21">
        <v>196</v>
      </c>
      <c r="Q226" s="21" t="s">
        <v>2160</v>
      </c>
      <c r="R226" s="23" t="s">
        <v>1990</v>
      </c>
      <c r="S226" s="50" t="s">
        <v>81</v>
      </c>
      <c r="T226" s="48" t="s">
        <v>1991</v>
      </c>
      <c r="U226" s="82" t="s">
        <v>197</v>
      </c>
      <c r="V226" s="26" t="s">
        <v>1992</v>
      </c>
      <c r="W226" s="200" t="s">
        <v>259</v>
      </c>
      <c r="X226" s="17" t="s">
        <v>272</v>
      </c>
    </row>
    <row r="227" spans="2:24" x14ac:dyDescent="0.25">
      <c r="B227" s="17">
        <v>225</v>
      </c>
      <c r="C227" s="10" t="s">
        <v>136</v>
      </c>
      <c r="D227" s="7" t="s">
        <v>303</v>
      </c>
      <c r="E227" s="72" t="s">
        <v>1998</v>
      </c>
      <c r="F227" s="18" t="s">
        <v>1999</v>
      </c>
      <c r="G227" s="10">
        <v>11</v>
      </c>
      <c r="H227" s="10">
        <v>2</v>
      </c>
      <c r="I227" s="10">
        <v>99.33</v>
      </c>
      <c r="J227" s="11">
        <v>105000000</v>
      </c>
      <c r="K227" s="11">
        <f t="shared" si="192"/>
        <v>115500000.00000001</v>
      </c>
      <c r="L227" s="37">
        <f t="shared" si="193"/>
        <v>1.05</v>
      </c>
      <c r="M227" s="3" t="s">
        <v>2000</v>
      </c>
      <c r="N227" t="s">
        <v>2001</v>
      </c>
      <c r="O227" s="21" t="s">
        <v>2002</v>
      </c>
      <c r="P227" s="21">
        <v>197</v>
      </c>
      <c r="Q227" s="21" t="s">
        <v>2160</v>
      </c>
      <c r="R227" s="23" t="s">
        <v>2003</v>
      </c>
      <c r="S227" s="50" t="s">
        <v>81</v>
      </c>
      <c r="T227" s="48" t="s">
        <v>2004</v>
      </c>
      <c r="U227" s="82" t="s">
        <v>197</v>
      </c>
      <c r="V227" s="26" t="s">
        <v>2005</v>
      </c>
      <c r="W227" s="200" t="s">
        <v>315</v>
      </c>
      <c r="X227" s="17" t="s">
        <v>272</v>
      </c>
    </row>
    <row r="228" spans="2:24" x14ac:dyDescent="0.25">
      <c r="B228" s="17">
        <v>226</v>
      </c>
      <c r="C228" s="10" t="s">
        <v>136</v>
      </c>
      <c r="D228" s="7" t="s">
        <v>140</v>
      </c>
      <c r="E228" s="72" t="s">
        <v>2006</v>
      </c>
      <c r="F228" s="18" t="s">
        <v>2007</v>
      </c>
      <c r="G228" s="10">
        <v>11</v>
      </c>
      <c r="H228" s="10">
        <v>2</v>
      </c>
      <c r="I228" s="10">
        <v>136.095</v>
      </c>
      <c r="J228" s="11">
        <v>123000000</v>
      </c>
      <c r="K228" s="11">
        <f t="shared" si="192"/>
        <v>135300000</v>
      </c>
      <c r="L228" s="37">
        <f t="shared" si="193"/>
        <v>1.23</v>
      </c>
      <c r="M228" s="3" t="s">
        <v>2008</v>
      </c>
      <c r="N228" t="s">
        <v>2009</v>
      </c>
      <c r="O228" s="21" t="s">
        <v>2010</v>
      </c>
      <c r="P228" s="21">
        <v>198</v>
      </c>
      <c r="Q228" s="21" t="s">
        <v>2160</v>
      </c>
      <c r="R228" s="23" t="s">
        <v>2011</v>
      </c>
      <c r="S228" s="50" t="s">
        <v>81</v>
      </c>
      <c r="T228" s="48" t="s">
        <v>2012</v>
      </c>
      <c r="U228" s="82" t="s">
        <v>2013</v>
      </c>
      <c r="V228" s="26" t="s">
        <v>625</v>
      </c>
      <c r="W228" s="200" t="s">
        <v>261</v>
      </c>
      <c r="X228" s="17" t="s">
        <v>272</v>
      </c>
    </row>
    <row r="229" spans="2:24" x14ac:dyDescent="0.25">
      <c r="B229" s="17">
        <v>227</v>
      </c>
      <c r="C229" s="10" t="s">
        <v>137</v>
      </c>
      <c r="D229" s="7" t="s">
        <v>140</v>
      </c>
      <c r="E229" s="72" t="s">
        <v>2017</v>
      </c>
      <c r="F229" s="18" t="s">
        <v>2025</v>
      </c>
      <c r="G229" s="10">
        <v>11</v>
      </c>
      <c r="H229" s="10">
        <v>2</v>
      </c>
      <c r="I229" s="10">
        <v>147.06</v>
      </c>
      <c r="J229" s="11">
        <v>159000000</v>
      </c>
      <c r="K229" s="11">
        <f t="shared" si="192"/>
        <v>174900000</v>
      </c>
      <c r="L229" s="37">
        <f t="shared" si="193"/>
        <v>1.59</v>
      </c>
      <c r="M229" s="3" t="s">
        <v>2021</v>
      </c>
      <c r="N229" t="s">
        <v>2022</v>
      </c>
      <c r="O229" s="21" t="s">
        <v>2014</v>
      </c>
      <c r="P229" s="21">
        <v>199</v>
      </c>
      <c r="Q229" s="21" t="s">
        <v>2160</v>
      </c>
      <c r="R229" s="23" t="s">
        <v>2023</v>
      </c>
      <c r="S229" s="50" t="s">
        <v>81</v>
      </c>
      <c r="T229" s="48" t="s">
        <v>2029</v>
      </c>
      <c r="U229" s="82" t="s">
        <v>150</v>
      </c>
      <c r="V229" s="26" t="s">
        <v>2024</v>
      </c>
      <c r="W229" s="200" t="s">
        <v>259</v>
      </c>
      <c r="X229" s="17" t="s">
        <v>272</v>
      </c>
    </row>
    <row r="230" spans="2:24" x14ac:dyDescent="0.25">
      <c r="B230" s="17">
        <v>228</v>
      </c>
      <c r="C230" s="10" t="s">
        <v>137</v>
      </c>
      <c r="D230" s="7" t="s">
        <v>140</v>
      </c>
      <c r="E230" s="72" t="s">
        <v>2018</v>
      </c>
      <c r="F230" s="18" t="s">
        <v>2025</v>
      </c>
      <c r="G230" s="10">
        <v>11</v>
      </c>
      <c r="H230" s="10">
        <v>2</v>
      </c>
      <c r="I230" s="10">
        <v>247.68</v>
      </c>
      <c r="J230" s="11">
        <v>225000000</v>
      </c>
      <c r="K230" s="11">
        <f t="shared" si="192"/>
        <v>247500000.00000003</v>
      </c>
      <c r="L230" s="37">
        <f t="shared" si="193"/>
        <v>2.25</v>
      </c>
      <c r="M230" s="3" t="s">
        <v>2021</v>
      </c>
      <c r="N230" t="s">
        <v>2022</v>
      </c>
      <c r="O230" s="21" t="s">
        <v>2015</v>
      </c>
      <c r="P230" s="21">
        <v>200</v>
      </c>
      <c r="Q230" s="21" t="s">
        <v>2165</v>
      </c>
      <c r="R230" s="23" t="s">
        <v>2031</v>
      </c>
      <c r="S230" s="50" t="s">
        <v>81</v>
      </c>
      <c r="T230" s="48" t="s">
        <v>2030</v>
      </c>
      <c r="U230" s="82" t="s">
        <v>151</v>
      </c>
      <c r="V230" s="32" t="s">
        <v>2026</v>
      </c>
      <c r="W230" s="200" t="s">
        <v>2033</v>
      </c>
      <c r="X230" s="17" t="s">
        <v>272</v>
      </c>
    </row>
    <row r="231" spans="2:24" x14ac:dyDescent="0.25">
      <c r="B231" s="17">
        <v>229</v>
      </c>
      <c r="C231" s="10" t="s">
        <v>137</v>
      </c>
      <c r="D231" s="7" t="s">
        <v>140</v>
      </c>
      <c r="E231" s="72" t="s">
        <v>2019</v>
      </c>
      <c r="F231" s="18" t="s">
        <v>2020</v>
      </c>
      <c r="G231" s="10">
        <v>11</v>
      </c>
      <c r="H231" s="10">
        <v>2</v>
      </c>
      <c r="I231" s="10">
        <v>490.88</v>
      </c>
      <c r="J231" s="11">
        <v>452000000</v>
      </c>
      <c r="K231" s="11">
        <f t="shared" si="192"/>
        <v>497200000.00000006</v>
      </c>
      <c r="L231" s="37">
        <f t="shared" si="193"/>
        <v>4.5200000000000005</v>
      </c>
      <c r="M231" s="3" t="s">
        <v>2022</v>
      </c>
      <c r="N231" t="s">
        <v>2022</v>
      </c>
      <c r="O231" s="21" t="s">
        <v>2016</v>
      </c>
      <c r="P231" s="21">
        <v>201</v>
      </c>
      <c r="Q231" s="21" t="s">
        <v>2161</v>
      </c>
      <c r="R231" s="23" t="s">
        <v>2032</v>
      </c>
      <c r="S231" s="50" t="s">
        <v>81</v>
      </c>
      <c r="T231" s="48" t="s">
        <v>2028</v>
      </c>
      <c r="U231" s="82" t="s">
        <v>150</v>
      </c>
      <c r="V231" s="32" t="s">
        <v>2027</v>
      </c>
      <c r="W231" s="200" t="s">
        <v>2034</v>
      </c>
      <c r="X231" s="17" t="s">
        <v>272</v>
      </c>
    </row>
    <row r="232" spans="2:24" x14ac:dyDescent="0.25">
      <c r="B232" s="17">
        <v>230</v>
      </c>
      <c r="C232" s="10" t="s">
        <v>2035</v>
      </c>
      <c r="D232" s="7" t="s">
        <v>2036</v>
      </c>
      <c r="E232" s="72" t="s">
        <v>2037</v>
      </c>
      <c r="F232" s="18" t="s">
        <v>2038</v>
      </c>
      <c r="G232" s="10">
        <v>11</v>
      </c>
      <c r="H232" s="10">
        <v>2</v>
      </c>
      <c r="I232" s="10">
        <v>193.28</v>
      </c>
      <c r="J232" s="11">
        <v>181000000</v>
      </c>
      <c r="K232" s="11">
        <f t="shared" si="192"/>
        <v>199100000.00000003</v>
      </c>
      <c r="L232" s="37">
        <f t="shared" si="193"/>
        <v>1.81</v>
      </c>
      <c r="M232" s="3" t="s">
        <v>2039</v>
      </c>
      <c r="N232" t="s">
        <v>2040</v>
      </c>
      <c r="O232" s="21" t="s">
        <v>2041</v>
      </c>
      <c r="P232" s="21">
        <v>202</v>
      </c>
      <c r="Q232" s="21" t="s">
        <v>2163</v>
      </c>
      <c r="R232" s="23" t="s">
        <v>2042</v>
      </c>
      <c r="S232" s="50" t="s">
        <v>207</v>
      </c>
      <c r="T232" s="48" t="s">
        <v>2043</v>
      </c>
      <c r="U232" s="82" t="s">
        <v>150</v>
      </c>
      <c r="V232" s="26" t="s">
        <v>2044</v>
      </c>
      <c r="W232" s="200" t="s">
        <v>262</v>
      </c>
      <c r="X232" s="17" t="s">
        <v>272</v>
      </c>
    </row>
    <row r="233" spans="2:24" x14ac:dyDescent="0.25">
      <c r="B233" s="17">
        <v>231</v>
      </c>
      <c r="C233" s="10" t="s">
        <v>102</v>
      </c>
      <c r="D233" s="7" t="s">
        <v>229</v>
      </c>
      <c r="E233" s="72" t="s">
        <v>2045</v>
      </c>
      <c r="F233" s="18" t="s">
        <v>2046</v>
      </c>
      <c r="G233" s="10">
        <v>11</v>
      </c>
      <c r="H233" s="10">
        <v>3</v>
      </c>
      <c r="I233" s="10">
        <v>850.755</v>
      </c>
      <c r="J233" s="11">
        <v>812000000</v>
      </c>
      <c r="K233" s="11">
        <f t="shared" si="192"/>
        <v>893200000.00000012</v>
      </c>
      <c r="L233" s="37">
        <f t="shared" si="193"/>
        <v>8.120000000000001</v>
      </c>
      <c r="M233" s="3" t="s">
        <v>2047</v>
      </c>
      <c r="N233" t="s">
        <v>2048</v>
      </c>
      <c r="O233" s="21" t="s">
        <v>2049</v>
      </c>
      <c r="P233" s="21">
        <v>203</v>
      </c>
      <c r="Q233" s="21" t="s">
        <v>2160</v>
      </c>
      <c r="R233" s="23" t="s">
        <v>2050</v>
      </c>
      <c r="S233" s="50" t="s">
        <v>207</v>
      </c>
      <c r="T233" s="48" t="s">
        <v>2051</v>
      </c>
      <c r="U233" s="82" t="s">
        <v>150</v>
      </c>
      <c r="V233" s="26" t="s">
        <v>331</v>
      </c>
      <c r="W233" s="200" t="s">
        <v>259</v>
      </c>
      <c r="X233" s="17" t="s">
        <v>272</v>
      </c>
    </row>
    <row r="234" spans="2:24" x14ac:dyDescent="0.25">
      <c r="B234" s="17">
        <v>232</v>
      </c>
      <c r="C234" s="10" t="s">
        <v>102</v>
      </c>
      <c r="D234" s="7" t="s">
        <v>229</v>
      </c>
      <c r="E234" s="72" t="s">
        <v>2052</v>
      </c>
      <c r="F234" s="18" t="s">
        <v>2053</v>
      </c>
      <c r="G234" s="10">
        <v>11</v>
      </c>
      <c r="H234" s="10">
        <v>3</v>
      </c>
      <c r="I234" s="10">
        <v>170.28</v>
      </c>
      <c r="J234" s="11">
        <v>155000000</v>
      </c>
      <c r="K234" s="11">
        <f t="shared" si="192"/>
        <v>170500000</v>
      </c>
      <c r="L234" s="37">
        <f t="shared" si="193"/>
        <v>1.55</v>
      </c>
      <c r="M234" s="3" t="s">
        <v>327</v>
      </c>
      <c r="N234" t="s">
        <v>2054</v>
      </c>
      <c r="O234" s="21" t="s">
        <v>2055</v>
      </c>
      <c r="P234" s="21">
        <v>204</v>
      </c>
      <c r="Q234" s="21" t="s">
        <v>2161</v>
      </c>
      <c r="R234" s="23" t="s">
        <v>2056</v>
      </c>
      <c r="S234" s="50" t="s">
        <v>207</v>
      </c>
      <c r="T234" s="48" t="s">
        <v>2057</v>
      </c>
      <c r="U234" s="82" t="s">
        <v>2058</v>
      </c>
      <c r="V234" s="26" t="s">
        <v>2059</v>
      </c>
      <c r="W234" s="200"/>
      <c r="X234" s="17"/>
    </row>
    <row r="235" spans="2:24" x14ac:dyDescent="0.25">
      <c r="B235" s="17">
        <v>233</v>
      </c>
      <c r="C235" s="10" t="s">
        <v>136</v>
      </c>
      <c r="D235" s="7" t="s">
        <v>140</v>
      </c>
      <c r="E235" s="72" t="s">
        <v>2068</v>
      </c>
      <c r="F235" s="18" t="s">
        <v>2070</v>
      </c>
      <c r="G235" s="10">
        <v>11</v>
      </c>
      <c r="H235" s="10">
        <v>3</v>
      </c>
      <c r="I235" s="10">
        <v>190.27500000000001</v>
      </c>
      <c r="J235" s="11">
        <v>179000000</v>
      </c>
      <c r="K235" s="11">
        <f t="shared" si="192"/>
        <v>196900000.00000003</v>
      </c>
      <c r="L235" s="37">
        <f t="shared" si="193"/>
        <v>1.79</v>
      </c>
      <c r="M235" s="3" t="s">
        <v>2072</v>
      </c>
      <c r="N235" t="s">
        <v>2073</v>
      </c>
      <c r="O235" s="21" t="s">
        <v>2074</v>
      </c>
      <c r="P235" s="21">
        <v>205</v>
      </c>
      <c r="Q235" s="21" t="s">
        <v>2160</v>
      </c>
      <c r="R235" s="23" t="s">
        <v>2076</v>
      </c>
      <c r="S235" s="50" t="s">
        <v>81</v>
      </c>
      <c r="T235" s="48" t="s">
        <v>2078</v>
      </c>
      <c r="U235" s="82" t="s">
        <v>197</v>
      </c>
      <c r="V235" s="26" t="s">
        <v>2080</v>
      </c>
      <c r="W235" s="200" t="s">
        <v>259</v>
      </c>
      <c r="X235" s="17" t="s">
        <v>272</v>
      </c>
    </row>
    <row r="236" spans="2:24" x14ac:dyDescent="0.25">
      <c r="B236" s="17">
        <v>234</v>
      </c>
      <c r="C236" s="10" t="s">
        <v>136</v>
      </c>
      <c r="D236" s="7" t="s">
        <v>140</v>
      </c>
      <c r="E236" s="72" t="s">
        <v>2069</v>
      </c>
      <c r="F236" s="18" t="s">
        <v>2070</v>
      </c>
      <c r="G236" s="10">
        <v>11</v>
      </c>
      <c r="H236" s="10">
        <v>3</v>
      </c>
      <c r="I236" s="10">
        <v>96.105000000000004</v>
      </c>
      <c r="J236" s="11">
        <v>95000000</v>
      </c>
      <c r="K236" s="11">
        <f t="shared" si="192"/>
        <v>104500000.00000001</v>
      </c>
      <c r="L236" s="37">
        <f t="shared" si="193"/>
        <v>0.95000000000000007</v>
      </c>
      <c r="M236" s="3" t="s">
        <v>2071</v>
      </c>
      <c r="N236" t="s">
        <v>2073</v>
      </c>
      <c r="O236" s="21" t="s">
        <v>2075</v>
      </c>
      <c r="P236" s="21">
        <v>206</v>
      </c>
      <c r="Q236" s="21" t="s">
        <v>2160</v>
      </c>
      <c r="R236" s="23" t="s">
        <v>2077</v>
      </c>
      <c r="S236" s="50" t="s">
        <v>81</v>
      </c>
      <c r="T236" s="48" t="s">
        <v>2079</v>
      </c>
      <c r="U236" s="82" t="s">
        <v>197</v>
      </c>
      <c r="V236" s="26" t="s">
        <v>2080</v>
      </c>
      <c r="W236" s="200" t="s">
        <v>262</v>
      </c>
      <c r="X236" s="17" t="s">
        <v>272</v>
      </c>
    </row>
    <row r="237" spans="2:24" x14ac:dyDescent="0.25">
      <c r="B237" s="17">
        <v>235</v>
      </c>
      <c r="C237" s="10" t="s">
        <v>136</v>
      </c>
      <c r="D237" s="7" t="s">
        <v>140</v>
      </c>
      <c r="E237" s="72" t="s">
        <v>2084</v>
      </c>
      <c r="F237" s="18" t="s">
        <v>2085</v>
      </c>
      <c r="G237" s="10">
        <v>11</v>
      </c>
      <c r="H237" s="10">
        <v>3</v>
      </c>
      <c r="I237" s="10">
        <v>80.625</v>
      </c>
      <c r="J237" s="11">
        <v>80000000</v>
      </c>
      <c r="K237" s="11">
        <f t="shared" si="192"/>
        <v>88000000</v>
      </c>
      <c r="L237" s="37">
        <f t="shared" si="193"/>
        <v>0.8</v>
      </c>
      <c r="M237" s="3" t="s">
        <v>1354</v>
      </c>
      <c r="N237" t="s">
        <v>190</v>
      </c>
      <c r="O237" s="21" t="s">
        <v>2086</v>
      </c>
      <c r="P237" s="21">
        <v>207</v>
      </c>
      <c r="Q237" s="21" t="s">
        <v>2163</v>
      </c>
      <c r="R237" s="23" t="s">
        <v>2087</v>
      </c>
      <c r="S237" s="50" t="s">
        <v>81</v>
      </c>
      <c r="T237" s="48" t="s">
        <v>2079</v>
      </c>
      <c r="U237" s="82" t="s">
        <v>197</v>
      </c>
      <c r="V237" s="26" t="s">
        <v>331</v>
      </c>
      <c r="W237" s="200" t="s">
        <v>262</v>
      </c>
      <c r="X237" s="17" t="s">
        <v>272</v>
      </c>
    </row>
    <row r="238" spans="2:24" x14ac:dyDescent="0.25">
      <c r="B238" s="17">
        <v>236</v>
      </c>
      <c r="C238" s="10" t="s">
        <v>137</v>
      </c>
      <c r="D238" s="7" t="s">
        <v>140</v>
      </c>
      <c r="E238" s="72" t="s">
        <v>2098</v>
      </c>
      <c r="F238" s="18" t="s">
        <v>2088</v>
      </c>
      <c r="G238" s="10">
        <v>11</v>
      </c>
      <c r="H238" s="10">
        <v>3</v>
      </c>
      <c r="I238" s="10">
        <v>241.23</v>
      </c>
      <c r="J238" s="11">
        <v>228000000</v>
      </c>
      <c r="K238" s="11">
        <f t="shared" si="192"/>
        <v>250800000.00000003</v>
      </c>
      <c r="L238" s="37">
        <f t="shared" si="193"/>
        <v>2.2800000000000002</v>
      </c>
      <c r="M238" s="3" t="s">
        <v>2089</v>
      </c>
      <c r="N238" t="s">
        <v>2090</v>
      </c>
      <c r="O238" s="21" t="s">
        <v>2091</v>
      </c>
      <c r="P238" s="21">
        <v>208</v>
      </c>
      <c r="Q238" s="21" t="s">
        <v>2165</v>
      </c>
      <c r="R238" s="23" t="s">
        <v>2092</v>
      </c>
      <c r="S238" s="50" t="s">
        <v>81</v>
      </c>
      <c r="T238" s="48" t="s">
        <v>2093</v>
      </c>
      <c r="U238" s="82" t="s">
        <v>2094</v>
      </c>
      <c r="V238" s="32" t="s">
        <v>2095</v>
      </c>
      <c r="W238" s="200" t="s">
        <v>2097</v>
      </c>
      <c r="X238" s="17" t="s">
        <v>2096</v>
      </c>
    </row>
    <row r="239" spans="2:24" x14ac:dyDescent="0.25">
      <c r="B239" s="17">
        <v>235</v>
      </c>
      <c r="C239" s="10" t="s">
        <v>136</v>
      </c>
      <c r="D239" s="7" t="s">
        <v>140</v>
      </c>
      <c r="E239" s="72" t="s">
        <v>2099</v>
      </c>
      <c r="F239" s="18" t="s">
        <v>2100</v>
      </c>
      <c r="G239" s="10">
        <v>11</v>
      </c>
      <c r="H239" s="10">
        <v>4</v>
      </c>
      <c r="I239" s="10">
        <v>187.69499999999999</v>
      </c>
      <c r="J239" s="11">
        <v>175000000</v>
      </c>
      <c r="K239" s="11">
        <f t="shared" si="192"/>
        <v>192500000.00000003</v>
      </c>
      <c r="L239" s="37">
        <f t="shared" si="193"/>
        <v>1.75</v>
      </c>
      <c r="M239" s="3" t="s">
        <v>2101</v>
      </c>
      <c r="N239" t="s">
        <v>2102</v>
      </c>
      <c r="O239" s="21" t="s">
        <v>2103</v>
      </c>
      <c r="P239" s="21">
        <v>209</v>
      </c>
      <c r="Q239" s="21" t="s">
        <v>2168</v>
      </c>
      <c r="R239" s="23" t="s">
        <v>2104</v>
      </c>
      <c r="S239" s="50" t="s">
        <v>81</v>
      </c>
      <c r="T239" s="48" t="s">
        <v>2079</v>
      </c>
      <c r="U239" s="82" t="s">
        <v>197</v>
      </c>
      <c r="V239" s="26" t="s">
        <v>331</v>
      </c>
      <c r="W239" s="200" t="s">
        <v>259</v>
      </c>
      <c r="X239" s="17" t="s">
        <v>272</v>
      </c>
    </row>
    <row r="240" spans="2:24" x14ac:dyDescent="0.25">
      <c r="B240" s="17">
        <v>238</v>
      </c>
      <c r="C240" s="10" t="s">
        <v>137</v>
      </c>
      <c r="D240" s="7" t="s">
        <v>140</v>
      </c>
      <c r="E240" s="72" t="s">
        <v>2122</v>
      </c>
      <c r="F240" s="18" t="s">
        <v>2123</v>
      </c>
      <c r="G240" s="10">
        <v>11</v>
      </c>
      <c r="H240" s="10">
        <v>4</v>
      </c>
      <c r="I240" s="10">
        <v>54.18</v>
      </c>
      <c r="J240" s="11">
        <v>60000000</v>
      </c>
      <c r="K240" s="11">
        <f t="shared" si="192"/>
        <v>66000000.000000007</v>
      </c>
      <c r="L240" s="37">
        <f t="shared" si="193"/>
        <v>0.6</v>
      </c>
      <c r="M240" s="3" t="s">
        <v>2124</v>
      </c>
      <c r="N240" t="s">
        <v>2125</v>
      </c>
      <c r="O240" s="21" t="s">
        <v>2126</v>
      </c>
      <c r="P240" s="21">
        <v>213</v>
      </c>
      <c r="Q240" s="21" t="s">
        <v>2163</v>
      </c>
      <c r="R240" s="23" t="s">
        <v>2127</v>
      </c>
      <c r="S240" s="50" t="s">
        <v>81</v>
      </c>
      <c r="T240" s="48" t="s">
        <v>2128</v>
      </c>
      <c r="U240" s="82" t="s">
        <v>2129</v>
      </c>
      <c r="V240" s="26" t="s">
        <v>2130</v>
      </c>
      <c r="W240" s="200"/>
      <c r="X240" s="17"/>
    </row>
    <row r="241" spans="2:24" x14ac:dyDescent="0.25">
      <c r="B241" s="17">
        <v>239</v>
      </c>
      <c r="C241" s="10" t="s">
        <v>136</v>
      </c>
      <c r="D241" s="7" t="s">
        <v>140</v>
      </c>
      <c r="E241" s="72" t="s">
        <v>2105</v>
      </c>
      <c r="F241" s="18" t="s">
        <v>2108</v>
      </c>
      <c r="G241" s="10">
        <v>11</v>
      </c>
      <c r="H241" s="10">
        <v>4</v>
      </c>
      <c r="I241" s="10">
        <v>181.89</v>
      </c>
      <c r="J241" s="11">
        <v>165000000</v>
      </c>
      <c r="K241" s="11">
        <f t="shared" si="192"/>
        <v>181500000</v>
      </c>
      <c r="L241" s="37">
        <f t="shared" si="193"/>
        <v>1.6500000000000001</v>
      </c>
      <c r="M241" s="3" t="s">
        <v>327</v>
      </c>
      <c r="N241" t="s">
        <v>319</v>
      </c>
      <c r="O241" s="21" t="s">
        <v>2117</v>
      </c>
      <c r="P241" s="21">
        <v>210</v>
      </c>
      <c r="Q241" s="21" t="s">
        <v>2170</v>
      </c>
      <c r="R241" s="23" t="s">
        <v>2116</v>
      </c>
      <c r="S241" s="50" t="s">
        <v>81</v>
      </c>
      <c r="T241" s="48" t="s">
        <v>2118</v>
      </c>
      <c r="U241" s="82" t="s">
        <v>197</v>
      </c>
      <c r="V241" s="26" t="s">
        <v>331</v>
      </c>
      <c r="W241" s="200"/>
      <c r="X241" s="17"/>
    </row>
    <row r="242" spans="2:24" x14ac:dyDescent="0.25">
      <c r="B242" s="17">
        <v>240</v>
      </c>
      <c r="C242" s="10" t="s">
        <v>136</v>
      </c>
      <c r="D242" s="7" t="s">
        <v>140</v>
      </c>
      <c r="E242" s="72" t="s">
        <v>2106</v>
      </c>
      <c r="F242" s="18" t="s">
        <v>2108</v>
      </c>
      <c r="G242" s="10">
        <v>11</v>
      </c>
      <c r="H242" s="10">
        <v>4</v>
      </c>
      <c r="I242" s="10">
        <v>499.875</v>
      </c>
      <c r="J242" s="11">
        <v>405000000</v>
      </c>
      <c r="K242" s="11">
        <f t="shared" si="192"/>
        <v>445500000.00000006</v>
      </c>
      <c r="L242" s="37">
        <f t="shared" si="193"/>
        <v>4.05</v>
      </c>
      <c r="M242" s="3" t="s">
        <v>327</v>
      </c>
      <c r="N242" t="s">
        <v>31</v>
      </c>
      <c r="O242" s="21" t="s">
        <v>2109</v>
      </c>
      <c r="P242" s="21">
        <v>211</v>
      </c>
      <c r="Q242" s="21" t="s">
        <v>2161</v>
      </c>
      <c r="R242" s="23" t="s">
        <v>2111</v>
      </c>
      <c r="S242" s="50" t="s">
        <v>81</v>
      </c>
      <c r="T242" s="48" t="s">
        <v>2114</v>
      </c>
      <c r="U242" s="82" t="s">
        <v>197</v>
      </c>
      <c r="V242" s="26" t="s">
        <v>331</v>
      </c>
      <c r="W242" s="200" t="s">
        <v>258</v>
      </c>
      <c r="X242" s="17" t="s">
        <v>272</v>
      </c>
    </row>
    <row r="243" spans="2:24" x14ac:dyDescent="0.25">
      <c r="B243" s="17">
        <v>241</v>
      </c>
      <c r="C243" s="10" t="s">
        <v>136</v>
      </c>
      <c r="D243" s="7" t="s">
        <v>140</v>
      </c>
      <c r="E243" s="72" t="s">
        <v>2107</v>
      </c>
      <c r="F243" s="18" t="s">
        <v>2108</v>
      </c>
      <c r="G243" s="10">
        <v>11</v>
      </c>
      <c r="H243" s="10">
        <v>4</v>
      </c>
      <c r="I243" s="10">
        <v>980.48</v>
      </c>
      <c r="J243" s="11">
        <v>876480000</v>
      </c>
      <c r="K243" s="11">
        <f t="shared" si="192"/>
        <v>964128000.00000012</v>
      </c>
      <c r="L243" s="37">
        <f t="shared" si="193"/>
        <v>8.764800000000001</v>
      </c>
      <c r="M243" s="3" t="s">
        <v>190</v>
      </c>
      <c r="N243" t="s">
        <v>31</v>
      </c>
      <c r="O243" s="21" t="s">
        <v>2110</v>
      </c>
      <c r="P243" s="21">
        <v>212</v>
      </c>
      <c r="Q243" s="21" t="s">
        <v>2161</v>
      </c>
      <c r="R243" s="23" t="s">
        <v>2112</v>
      </c>
      <c r="S243" s="50" t="s">
        <v>81</v>
      </c>
      <c r="T243" s="48" t="s">
        <v>2113</v>
      </c>
      <c r="U243" s="82" t="s">
        <v>151</v>
      </c>
      <c r="V243" s="26" t="s">
        <v>2115</v>
      </c>
      <c r="W243" s="200" t="s">
        <v>260</v>
      </c>
      <c r="X243" s="17" t="s">
        <v>272</v>
      </c>
    </row>
    <row r="244" spans="2:24" x14ac:dyDescent="0.25">
      <c r="B244" s="17">
        <v>242</v>
      </c>
      <c r="C244" s="10" t="s">
        <v>136</v>
      </c>
      <c r="D244" s="7" t="s">
        <v>140</v>
      </c>
      <c r="E244" s="72" t="s">
        <v>2171</v>
      </c>
      <c r="F244" s="18" t="s">
        <v>2172</v>
      </c>
      <c r="G244" s="10">
        <v>12</v>
      </c>
      <c r="H244" s="10">
        <v>1</v>
      </c>
      <c r="I244" s="10">
        <v>89.655000000000001</v>
      </c>
      <c r="J244" s="11">
        <v>94000000</v>
      </c>
      <c r="K244" s="11">
        <f t="shared" si="192"/>
        <v>103400000.00000001</v>
      </c>
      <c r="L244" s="37">
        <f t="shared" si="193"/>
        <v>0.94000000000000006</v>
      </c>
      <c r="M244" s="3" t="s">
        <v>2173</v>
      </c>
      <c r="N244" t="s">
        <v>190</v>
      </c>
      <c r="O244" s="21" t="s">
        <v>2174</v>
      </c>
      <c r="P244" s="21">
        <v>213</v>
      </c>
      <c r="Q244" s="21" t="s">
        <v>2136</v>
      </c>
      <c r="R244" s="23" t="s">
        <v>2175</v>
      </c>
      <c r="S244" s="50" t="s">
        <v>81</v>
      </c>
      <c r="T244" s="48" t="s">
        <v>2176</v>
      </c>
      <c r="U244" s="82" t="s">
        <v>197</v>
      </c>
      <c r="V244" s="32" t="s">
        <v>2177</v>
      </c>
      <c r="W244" s="200" t="s">
        <v>262</v>
      </c>
      <c r="X244" s="17" t="s">
        <v>272</v>
      </c>
    </row>
    <row r="245" spans="2:24" x14ac:dyDescent="0.25">
      <c r="B245" s="17">
        <v>243</v>
      </c>
      <c r="C245" s="10" t="s">
        <v>136</v>
      </c>
      <c r="D245" s="7" t="s">
        <v>140</v>
      </c>
      <c r="E245" s="72" t="s">
        <v>2178</v>
      </c>
      <c r="F245" s="18" t="s">
        <v>2180</v>
      </c>
      <c r="G245" s="10">
        <v>12</v>
      </c>
      <c r="H245" s="10">
        <v>1</v>
      </c>
      <c r="I245" s="10">
        <v>198.66</v>
      </c>
      <c r="J245" s="11">
        <v>180000000</v>
      </c>
      <c r="K245" s="11">
        <f t="shared" si="192"/>
        <v>198000000.00000003</v>
      </c>
      <c r="L245" s="37">
        <f t="shared" si="193"/>
        <v>1.8</v>
      </c>
      <c r="M245" s="3" t="s">
        <v>2182</v>
      </c>
      <c r="N245" t="s">
        <v>2181</v>
      </c>
      <c r="O245" s="21" t="s">
        <v>2183</v>
      </c>
      <c r="P245" s="21">
        <v>214</v>
      </c>
      <c r="Q245" s="21" t="s">
        <v>2185</v>
      </c>
      <c r="R245" s="23" t="s">
        <v>2186</v>
      </c>
      <c r="S245" s="50" t="s">
        <v>81</v>
      </c>
      <c r="T245" s="48" t="s">
        <v>2189</v>
      </c>
      <c r="U245" s="82" t="s">
        <v>197</v>
      </c>
      <c r="V245" s="32" t="s">
        <v>2190</v>
      </c>
      <c r="W245" s="200" t="s">
        <v>259</v>
      </c>
      <c r="X245" s="17" t="s">
        <v>272</v>
      </c>
    </row>
    <row r="246" spans="2:24" x14ac:dyDescent="0.25">
      <c r="B246" s="17">
        <v>244</v>
      </c>
      <c r="C246" s="10" t="s">
        <v>136</v>
      </c>
      <c r="D246" s="7" t="s">
        <v>140</v>
      </c>
      <c r="E246" s="72" t="s">
        <v>2179</v>
      </c>
      <c r="F246" s="18" t="s">
        <v>2180</v>
      </c>
      <c r="G246" s="10">
        <v>12</v>
      </c>
      <c r="H246" s="10">
        <v>1</v>
      </c>
      <c r="I246" s="10">
        <v>152.22</v>
      </c>
      <c r="J246" s="11">
        <v>145000000</v>
      </c>
      <c r="K246" s="11">
        <f t="shared" si="192"/>
        <v>159500000</v>
      </c>
      <c r="L246" s="37">
        <f t="shared" si="193"/>
        <v>1.45</v>
      </c>
      <c r="M246" s="3" t="s">
        <v>495</v>
      </c>
      <c r="N246" t="s">
        <v>2181</v>
      </c>
      <c r="O246" s="21" t="s">
        <v>2184</v>
      </c>
      <c r="P246" s="21">
        <v>215</v>
      </c>
      <c r="Q246" s="21" t="s">
        <v>2185</v>
      </c>
      <c r="R246" s="23" t="s">
        <v>2187</v>
      </c>
      <c r="S246" s="50" t="s">
        <v>81</v>
      </c>
      <c r="T246" s="48" t="s">
        <v>2188</v>
      </c>
      <c r="U246" s="82" t="s">
        <v>197</v>
      </c>
      <c r="V246" s="32" t="s">
        <v>2190</v>
      </c>
      <c r="W246" s="200" t="s">
        <v>262</v>
      </c>
      <c r="X246" s="17" t="s">
        <v>272</v>
      </c>
    </row>
    <row r="247" spans="2:24" x14ac:dyDescent="0.25">
      <c r="B247" s="17">
        <v>245</v>
      </c>
      <c r="C247" s="10" t="s">
        <v>136</v>
      </c>
      <c r="D247" s="7" t="s">
        <v>140</v>
      </c>
      <c r="E247" s="72" t="s">
        <v>2191</v>
      </c>
      <c r="F247" s="18" t="s">
        <v>2192</v>
      </c>
      <c r="G247" s="10">
        <v>12</v>
      </c>
      <c r="H247" s="10">
        <v>1</v>
      </c>
      <c r="I247" s="10">
        <v>72.239999999999995</v>
      </c>
      <c r="J247" s="11">
        <v>73000000</v>
      </c>
      <c r="K247" s="11">
        <f t="shared" si="192"/>
        <v>80300000</v>
      </c>
      <c r="L247" s="37">
        <f t="shared" si="193"/>
        <v>0.73</v>
      </c>
      <c r="M247" s="3" t="s">
        <v>1354</v>
      </c>
      <c r="N247" t="s">
        <v>190</v>
      </c>
      <c r="O247" s="21" t="s">
        <v>2193</v>
      </c>
      <c r="P247" s="21">
        <v>216</v>
      </c>
      <c r="Q247" s="21" t="s">
        <v>2194</v>
      </c>
      <c r="R247" s="23" t="s">
        <v>2195</v>
      </c>
      <c r="S247" s="50" t="s">
        <v>81</v>
      </c>
      <c r="T247" s="48" t="s">
        <v>2196</v>
      </c>
      <c r="U247" s="82" t="s">
        <v>197</v>
      </c>
      <c r="V247" s="32" t="s">
        <v>2197</v>
      </c>
      <c r="W247" s="200" t="s">
        <v>263</v>
      </c>
      <c r="X247" s="17" t="s">
        <v>272</v>
      </c>
    </row>
    <row r="248" spans="2:24" x14ac:dyDescent="0.25">
      <c r="B248" s="17">
        <v>246</v>
      </c>
      <c r="C248" s="10" t="s">
        <v>137</v>
      </c>
      <c r="D248" s="7" t="s">
        <v>140</v>
      </c>
      <c r="E248" s="72" t="s">
        <v>2198</v>
      </c>
      <c r="F248" s="18" t="s">
        <v>2199</v>
      </c>
      <c r="G248" s="10">
        <v>12</v>
      </c>
      <c r="H248" s="10">
        <v>1</v>
      </c>
      <c r="I248" s="10">
        <v>36.119999999999997</v>
      </c>
      <c r="J248" s="11">
        <v>48000000</v>
      </c>
      <c r="K248" s="11">
        <f t="shared" si="192"/>
        <v>52800000.000000007</v>
      </c>
      <c r="L248" s="37">
        <f t="shared" si="193"/>
        <v>0.48000000000000004</v>
      </c>
      <c r="M248" s="3" t="s">
        <v>2200</v>
      </c>
      <c r="N248" t="s">
        <v>2201</v>
      </c>
      <c r="O248" s="21" t="s">
        <v>2202</v>
      </c>
      <c r="P248" s="21">
        <v>217</v>
      </c>
      <c r="Q248" s="21" t="s">
        <v>2204</v>
      </c>
      <c r="R248" s="23" t="s">
        <v>2203</v>
      </c>
      <c r="S248" s="50" t="s">
        <v>81</v>
      </c>
      <c r="T248" s="48" t="s">
        <v>2205</v>
      </c>
      <c r="U248" s="82" t="s">
        <v>150</v>
      </c>
      <c r="V248" s="26" t="s">
        <v>2206</v>
      </c>
      <c r="W248" s="200" t="s">
        <v>2207</v>
      </c>
      <c r="X248" s="17" t="s">
        <v>2208</v>
      </c>
    </row>
    <row r="249" spans="2:24" x14ac:dyDescent="0.25">
      <c r="B249" s="17">
        <v>247</v>
      </c>
      <c r="C249" s="10" t="s">
        <v>137</v>
      </c>
      <c r="D249" s="7" t="s">
        <v>140</v>
      </c>
      <c r="E249" s="72" t="s">
        <v>2212</v>
      </c>
      <c r="F249" s="18" t="s">
        <v>2213</v>
      </c>
      <c r="G249" s="10">
        <v>12</v>
      </c>
      <c r="H249" s="10">
        <v>1</v>
      </c>
      <c r="I249" s="10">
        <v>396.8</v>
      </c>
      <c r="J249" s="11">
        <v>363000000</v>
      </c>
      <c r="K249" s="11">
        <f t="shared" si="192"/>
        <v>399300000.00000006</v>
      </c>
      <c r="L249" s="37">
        <f t="shared" si="193"/>
        <v>3.63</v>
      </c>
      <c r="M249" s="3" t="s">
        <v>2214</v>
      </c>
      <c r="N249" t="s">
        <v>2214</v>
      </c>
      <c r="O249" s="21" t="s">
        <v>2215</v>
      </c>
      <c r="P249" s="21">
        <v>218</v>
      </c>
      <c r="Q249" s="21" t="s">
        <v>2216</v>
      </c>
      <c r="R249" s="23" t="s">
        <v>2217</v>
      </c>
      <c r="S249" s="50" t="s">
        <v>81</v>
      </c>
      <c r="T249" s="48" t="s">
        <v>2218</v>
      </c>
      <c r="U249" s="82" t="s">
        <v>197</v>
      </c>
      <c r="V249" s="26" t="s">
        <v>2219</v>
      </c>
      <c r="W249" s="200" t="s">
        <v>2220</v>
      </c>
      <c r="X249" s="17" t="s">
        <v>2221</v>
      </c>
    </row>
    <row r="250" spans="2:24" x14ac:dyDescent="0.25">
      <c r="B250" s="17">
        <v>246</v>
      </c>
      <c r="C250" s="10" t="s">
        <v>136</v>
      </c>
      <c r="D250" s="7" t="s">
        <v>140</v>
      </c>
      <c r="E250" s="72" t="s">
        <v>2222</v>
      </c>
      <c r="F250" s="18" t="s">
        <v>2213</v>
      </c>
      <c r="G250" s="10">
        <v>12</v>
      </c>
      <c r="H250" s="10">
        <v>1</v>
      </c>
      <c r="I250" s="10">
        <v>426.34500000000003</v>
      </c>
      <c r="J250" s="11">
        <v>350000000</v>
      </c>
      <c r="K250" s="11">
        <f t="shared" si="192"/>
        <v>385000000.00000006</v>
      </c>
      <c r="L250" s="37">
        <f t="shared" si="193"/>
        <v>3.5</v>
      </c>
      <c r="M250" s="3" t="s">
        <v>2223</v>
      </c>
      <c r="N250" t="s">
        <v>2224</v>
      </c>
      <c r="O250" s="21" t="s">
        <v>2225</v>
      </c>
      <c r="P250" s="21">
        <v>219</v>
      </c>
      <c r="Q250" s="21" t="s">
        <v>2226</v>
      </c>
      <c r="R250" s="23" t="s">
        <v>2227</v>
      </c>
      <c r="S250" s="50" t="s">
        <v>81</v>
      </c>
      <c r="T250" s="48" t="s">
        <v>2228</v>
      </c>
      <c r="U250" s="82" t="s">
        <v>197</v>
      </c>
      <c r="V250" s="26" t="s">
        <v>2229</v>
      </c>
      <c r="W250" s="200" t="s">
        <v>258</v>
      </c>
      <c r="X250" s="17" t="s">
        <v>272</v>
      </c>
    </row>
    <row r="251" spans="2:24" x14ac:dyDescent="0.25">
      <c r="B251" s="17">
        <v>249</v>
      </c>
      <c r="C251" s="10" t="s">
        <v>136</v>
      </c>
      <c r="D251" s="7" t="s">
        <v>140</v>
      </c>
      <c r="E251" s="72" t="s">
        <v>2230</v>
      </c>
      <c r="F251" s="18" t="s">
        <v>2231</v>
      </c>
      <c r="G251" s="10">
        <v>12</v>
      </c>
      <c r="H251" s="10">
        <v>2</v>
      </c>
      <c r="I251" s="10">
        <v>162.54</v>
      </c>
      <c r="J251" s="11">
        <v>150000000</v>
      </c>
      <c r="K251" s="11">
        <f t="shared" si="192"/>
        <v>165000000</v>
      </c>
      <c r="L251" s="37">
        <f t="shared" si="193"/>
        <v>1.5</v>
      </c>
      <c r="M251" s="3" t="s">
        <v>75</v>
      </c>
      <c r="N251" t="s">
        <v>32</v>
      </c>
      <c r="O251" s="21" t="s">
        <v>2232</v>
      </c>
      <c r="P251" s="21">
        <v>220</v>
      </c>
      <c r="Q251" s="21" t="s">
        <v>2150</v>
      </c>
      <c r="R251" s="23" t="s">
        <v>2233</v>
      </c>
      <c r="S251" s="50" t="s">
        <v>81</v>
      </c>
      <c r="T251" s="48" t="s">
        <v>2234</v>
      </c>
      <c r="U251" s="82" t="s">
        <v>197</v>
      </c>
      <c r="V251" s="26" t="s">
        <v>2235</v>
      </c>
      <c r="W251" s="200" t="s">
        <v>259</v>
      </c>
      <c r="X251" s="17" t="s">
        <v>272</v>
      </c>
    </row>
    <row r="252" spans="2:24" x14ac:dyDescent="0.25">
      <c r="B252" s="17">
        <v>250</v>
      </c>
      <c r="C252" s="10" t="s">
        <v>136</v>
      </c>
      <c r="D252" s="7" t="s">
        <v>140</v>
      </c>
      <c r="E252" s="72" t="s">
        <v>2237</v>
      </c>
      <c r="F252" s="18" t="s">
        <v>2238</v>
      </c>
      <c r="G252" s="10">
        <v>12</v>
      </c>
      <c r="H252" s="10">
        <v>2</v>
      </c>
      <c r="I252" s="10">
        <v>126.42</v>
      </c>
      <c r="J252" s="11">
        <v>165000000</v>
      </c>
      <c r="K252" s="11">
        <f t="shared" si="192"/>
        <v>181500000</v>
      </c>
      <c r="L252" s="37">
        <f t="shared" si="193"/>
        <v>1.6500000000000001</v>
      </c>
      <c r="M252" s="3" t="s">
        <v>327</v>
      </c>
      <c r="N252" t="s">
        <v>319</v>
      </c>
      <c r="O252" s="21" t="s">
        <v>2239</v>
      </c>
      <c r="P252" s="21">
        <v>221</v>
      </c>
      <c r="Q252" s="21" t="s">
        <v>2143</v>
      </c>
      <c r="R252" s="23" t="s">
        <v>2240</v>
      </c>
      <c r="S252" s="50" t="s">
        <v>81</v>
      </c>
      <c r="T252" s="48" t="s">
        <v>2241</v>
      </c>
      <c r="U252" s="82" t="s">
        <v>151</v>
      </c>
      <c r="V252" s="32" t="s">
        <v>2242</v>
      </c>
      <c r="W252" s="200" t="s">
        <v>259</v>
      </c>
      <c r="X252" s="17" t="s">
        <v>279</v>
      </c>
    </row>
    <row r="253" spans="2:24" x14ac:dyDescent="0.25">
      <c r="B253" s="17">
        <v>251</v>
      </c>
      <c r="C253" s="10" t="s">
        <v>137</v>
      </c>
      <c r="D253" s="7" t="s">
        <v>140</v>
      </c>
      <c r="E253" s="72" t="s">
        <v>2243</v>
      </c>
      <c r="F253" s="18" t="s">
        <v>2244</v>
      </c>
      <c r="G253" s="10">
        <v>12</v>
      </c>
      <c r="H253" s="10">
        <v>2</v>
      </c>
      <c r="I253" s="10">
        <v>405.76</v>
      </c>
      <c r="J253" s="11">
        <v>330000000</v>
      </c>
      <c r="K253" s="11">
        <f t="shared" si="192"/>
        <v>363000000</v>
      </c>
      <c r="L253" s="37">
        <f t="shared" si="193"/>
        <v>3.3000000000000003</v>
      </c>
      <c r="M253" s="3" t="s">
        <v>1445</v>
      </c>
      <c r="N253" t="s">
        <v>189</v>
      </c>
      <c r="O253" s="21" t="s">
        <v>2245</v>
      </c>
      <c r="P253" s="21">
        <v>222</v>
      </c>
      <c r="Q253" s="21" t="s">
        <v>2148</v>
      </c>
      <c r="R253" s="23" t="s">
        <v>2246</v>
      </c>
      <c r="S253" s="50" t="s">
        <v>81</v>
      </c>
      <c r="T253" s="48" t="s">
        <v>2247</v>
      </c>
      <c r="U253" s="82" t="s">
        <v>197</v>
      </c>
      <c r="V253" s="32" t="s">
        <v>2248</v>
      </c>
      <c r="W253" s="200" t="s">
        <v>350</v>
      </c>
      <c r="X253" s="17" t="s">
        <v>279</v>
      </c>
    </row>
    <row r="254" spans="2:24" x14ac:dyDescent="0.25">
      <c r="B254" s="17">
        <v>252</v>
      </c>
      <c r="C254" s="10" t="s">
        <v>137</v>
      </c>
      <c r="D254" s="7" t="s">
        <v>140</v>
      </c>
      <c r="E254" s="72" t="s">
        <v>2249</v>
      </c>
      <c r="F254" s="18" t="s">
        <v>2244</v>
      </c>
      <c r="G254" s="10">
        <v>12</v>
      </c>
      <c r="H254" s="10">
        <v>2</v>
      </c>
      <c r="I254" s="10">
        <v>194.79</v>
      </c>
      <c r="J254" s="11">
        <v>190000000</v>
      </c>
      <c r="K254" s="11">
        <f t="shared" si="192"/>
        <v>209000000.00000003</v>
      </c>
      <c r="L254" s="37">
        <f t="shared" si="193"/>
        <v>1.9000000000000001</v>
      </c>
      <c r="M254" s="3" t="s">
        <v>142</v>
      </c>
      <c r="N254" t="s">
        <v>189</v>
      </c>
      <c r="O254" s="21" t="s">
        <v>2250</v>
      </c>
      <c r="P254" s="21">
        <v>223</v>
      </c>
      <c r="Q254" s="21" t="s">
        <v>2165</v>
      </c>
      <c r="R254" s="23" t="s">
        <v>2251</v>
      </c>
      <c r="S254" s="50" t="s">
        <v>81</v>
      </c>
      <c r="T254" s="48" t="s">
        <v>2252</v>
      </c>
      <c r="U254" s="82" t="s">
        <v>197</v>
      </c>
      <c r="V254" s="26" t="s">
        <v>1800</v>
      </c>
      <c r="W254" s="200" t="s">
        <v>350</v>
      </c>
      <c r="X254" s="17" t="s">
        <v>279</v>
      </c>
    </row>
    <row r="255" spans="2:24" x14ac:dyDescent="0.25">
      <c r="B255" s="17">
        <v>253</v>
      </c>
      <c r="C255" s="10" t="s">
        <v>137</v>
      </c>
      <c r="D255" s="7" t="s">
        <v>140</v>
      </c>
      <c r="E255" s="72" t="s">
        <v>2253</v>
      </c>
      <c r="F255" s="18" t="s">
        <v>2244</v>
      </c>
      <c r="G255" s="10">
        <v>12</v>
      </c>
      <c r="H255" s="10">
        <v>2</v>
      </c>
      <c r="I255" s="10">
        <v>469.56</v>
      </c>
      <c r="J255" s="11">
        <v>424000000</v>
      </c>
      <c r="K255" s="11">
        <f t="shared" si="192"/>
        <v>466400000.00000006</v>
      </c>
      <c r="L255" s="37">
        <f t="shared" si="193"/>
        <v>4.24</v>
      </c>
      <c r="M255" s="3" t="s">
        <v>1445</v>
      </c>
      <c r="N255" t="s">
        <v>189</v>
      </c>
      <c r="O255" s="21" t="s">
        <v>2254</v>
      </c>
      <c r="P255" s="21">
        <v>224</v>
      </c>
      <c r="Q255" s="21" t="s">
        <v>2148</v>
      </c>
      <c r="R255" s="23" t="s">
        <v>2255</v>
      </c>
      <c r="S255" s="50" t="s">
        <v>81</v>
      </c>
      <c r="T255" s="48" t="s">
        <v>2256</v>
      </c>
      <c r="U255" s="82" t="s">
        <v>197</v>
      </c>
      <c r="V255" s="32" t="s">
        <v>2248</v>
      </c>
      <c r="W255" s="200" t="s">
        <v>259</v>
      </c>
      <c r="X255" s="17" t="s">
        <v>272</v>
      </c>
    </row>
    <row r="256" spans="2:24" x14ac:dyDescent="0.25">
      <c r="B256" s="17">
        <v>254</v>
      </c>
      <c r="C256" s="10" t="s">
        <v>102</v>
      </c>
      <c r="D256" s="7" t="s">
        <v>229</v>
      </c>
      <c r="E256" s="72" t="s">
        <v>2257</v>
      </c>
      <c r="F256" s="18" t="s">
        <v>2258</v>
      </c>
      <c r="G256" s="10">
        <v>12</v>
      </c>
      <c r="H256" s="10">
        <v>3</v>
      </c>
      <c r="I256" s="10">
        <v>167.7</v>
      </c>
      <c r="J256" s="11">
        <v>225000000</v>
      </c>
      <c r="K256" s="11">
        <f t="shared" si="192"/>
        <v>247500000.00000003</v>
      </c>
      <c r="L256" s="37">
        <f t="shared" si="193"/>
        <v>2.25</v>
      </c>
      <c r="M256" s="3" t="s">
        <v>327</v>
      </c>
      <c r="N256" t="s">
        <v>30</v>
      </c>
      <c r="O256" s="21" t="s">
        <v>2259</v>
      </c>
      <c r="P256" s="21">
        <v>225</v>
      </c>
      <c r="Q256" s="21" t="s">
        <v>2150</v>
      </c>
      <c r="R256" s="23" t="s">
        <v>2260</v>
      </c>
      <c r="S256" s="50" t="s">
        <v>207</v>
      </c>
      <c r="T256" s="48" t="s">
        <v>2261</v>
      </c>
      <c r="U256" s="82" t="s">
        <v>150</v>
      </c>
      <c r="V256" s="26" t="s">
        <v>2262</v>
      </c>
      <c r="W256" s="200" t="s">
        <v>350</v>
      </c>
      <c r="X256" s="17" t="s">
        <v>279</v>
      </c>
    </row>
    <row r="257" spans="2:24" x14ac:dyDescent="0.25">
      <c r="B257" s="17">
        <v>255</v>
      </c>
      <c r="C257" s="10" t="s">
        <v>101</v>
      </c>
      <c r="D257" s="7" t="s">
        <v>229</v>
      </c>
      <c r="E257" s="72" t="s">
        <v>2263</v>
      </c>
      <c r="F257" s="18" t="s">
        <v>2264</v>
      </c>
      <c r="G257" s="10">
        <v>12</v>
      </c>
      <c r="H257" s="10">
        <v>3</v>
      </c>
      <c r="I257" s="10">
        <v>197.37</v>
      </c>
      <c r="J257" s="11">
        <v>190000000</v>
      </c>
      <c r="K257" s="11">
        <f t="shared" si="192"/>
        <v>209000000.00000003</v>
      </c>
      <c r="L257" s="37">
        <f t="shared" si="193"/>
        <v>1.9000000000000001</v>
      </c>
      <c r="M257" s="3" t="s">
        <v>189</v>
      </c>
      <c r="N257" t="s">
        <v>189</v>
      </c>
      <c r="O257" s="21" t="s">
        <v>2265</v>
      </c>
      <c r="P257" s="21">
        <v>226</v>
      </c>
      <c r="Q257" s="21" t="s">
        <v>2165</v>
      </c>
      <c r="R257" s="23" t="s">
        <v>2266</v>
      </c>
      <c r="S257" s="50" t="s">
        <v>207</v>
      </c>
      <c r="T257" s="48" t="s">
        <v>2267</v>
      </c>
      <c r="U257" s="82" t="s">
        <v>150</v>
      </c>
      <c r="V257" s="26" t="s">
        <v>567</v>
      </c>
      <c r="W257" s="200" t="s">
        <v>350</v>
      </c>
      <c r="X257" s="17" t="s">
        <v>279</v>
      </c>
    </row>
    <row r="258" spans="2:24" x14ac:dyDescent="0.25">
      <c r="B258" s="17">
        <v>256</v>
      </c>
      <c r="C258" s="10" t="s">
        <v>136</v>
      </c>
      <c r="D258" s="7" t="s">
        <v>140</v>
      </c>
      <c r="E258" s="72" t="s">
        <v>2268</v>
      </c>
      <c r="F258" s="18" t="s">
        <v>2269</v>
      </c>
      <c r="G258" s="10">
        <v>12</v>
      </c>
      <c r="H258" s="10">
        <v>3</v>
      </c>
      <c r="I258" s="10">
        <v>930.73500000000001</v>
      </c>
      <c r="J258" s="11">
        <v>865000000</v>
      </c>
      <c r="K258" s="11">
        <v>951500000.00000012</v>
      </c>
      <c r="L258" s="37">
        <v>8.65</v>
      </c>
      <c r="M258" s="3" t="s">
        <v>2270</v>
      </c>
      <c r="N258" t="s">
        <v>2271</v>
      </c>
      <c r="O258" s="21" t="s">
        <v>2272</v>
      </c>
      <c r="P258" s="21">
        <v>227</v>
      </c>
      <c r="Q258" s="21" t="s">
        <v>2142</v>
      </c>
      <c r="R258" s="23" t="s">
        <v>2273</v>
      </c>
      <c r="S258" s="50" t="s">
        <v>81</v>
      </c>
      <c r="T258" s="48" t="s">
        <v>2274</v>
      </c>
      <c r="U258" s="82" t="s">
        <v>197</v>
      </c>
      <c r="V258" s="26" t="s">
        <v>2275</v>
      </c>
      <c r="W258" s="200"/>
      <c r="X258" s="17"/>
    </row>
    <row r="259" spans="2:24" x14ac:dyDescent="0.25">
      <c r="B259" s="17">
        <v>257</v>
      </c>
      <c r="C259" s="10" t="s">
        <v>136</v>
      </c>
      <c r="D259" s="7" t="s">
        <v>140</v>
      </c>
      <c r="E259" s="72" t="s">
        <v>2276</v>
      </c>
      <c r="F259" s="18" t="s">
        <v>2277</v>
      </c>
      <c r="G259" s="10">
        <v>12</v>
      </c>
      <c r="H259" s="10">
        <v>3</v>
      </c>
      <c r="I259" s="10">
        <v>137.38499999999999</v>
      </c>
      <c r="J259" s="11">
        <v>132000000</v>
      </c>
      <c r="K259" s="11">
        <v>145200000</v>
      </c>
      <c r="L259" s="37">
        <v>1.32</v>
      </c>
      <c r="M259" s="3" t="s">
        <v>2278</v>
      </c>
      <c r="N259" t="s">
        <v>2271</v>
      </c>
      <c r="O259" s="21" t="s">
        <v>2279</v>
      </c>
      <c r="P259" s="21">
        <v>228</v>
      </c>
      <c r="Q259" s="21" t="s">
        <v>2142</v>
      </c>
      <c r="R259" s="23" t="s">
        <v>2280</v>
      </c>
      <c r="S259" s="50" t="s">
        <v>81</v>
      </c>
      <c r="T259" s="48" t="s">
        <v>2281</v>
      </c>
      <c r="U259" s="82" t="s">
        <v>197</v>
      </c>
      <c r="V259" s="32" t="s">
        <v>2275</v>
      </c>
      <c r="W259" s="200"/>
      <c r="X259" s="17"/>
    </row>
    <row r="260" spans="2:24" x14ac:dyDescent="0.25">
      <c r="B260" s="17">
        <v>258</v>
      </c>
      <c r="C260" s="10" t="s">
        <v>136</v>
      </c>
      <c r="D260" s="7" t="s">
        <v>140</v>
      </c>
      <c r="E260" s="72" t="s">
        <v>2291</v>
      </c>
      <c r="F260" s="18" t="s">
        <v>2292</v>
      </c>
      <c r="G260" s="10">
        <v>12</v>
      </c>
      <c r="H260" s="10">
        <v>3</v>
      </c>
      <c r="I260" s="10">
        <v>47.085000000000001</v>
      </c>
      <c r="J260" s="11">
        <v>45000000</v>
      </c>
      <c r="K260" s="11">
        <f t="shared" ref="K260:K283" si="194">J260*1.1</f>
        <v>49500000.000000007</v>
      </c>
      <c r="L260" s="37">
        <f t="shared" ref="L260:L283" si="195">J260*0.00000001</f>
        <v>0.45</v>
      </c>
      <c r="M260" s="3" t="s">
        <v>75</v>
      </c>
      <c r="N260" t="s">
        <v>190</v>
      </c>
      <c r="O260" s="21" t="s">
        <v>2295</v>
      </c>
      <c r="P260" s="21">
        <v>229</v>
      </c>
      <c r="Q260" s="21" t="s">
        <v>2161</v>
      </c>
      <c r="R260" s="23" t="s">
        <v>2293</v>
      </c>
      <c r="S260" s="50" t="s">
        <v>81</v>
      </c>
      <c r="T260" s="48" t="s">
        <v>2294</v>
      </c>
      <c r="U260" s="82" t="s">
        <v>197</v>
      </c>
      <c r="V260" s="32" t="s">
        <v>331</v>
      </c>
      <c r="W260" s="200" t="s">
        <v>262</v>
      </c>
      <c r="X260" s="17" t="s">
        <v>272</v>
      </c>
    </row>
    <row r="261" spans="2:24" x14ac:dyDescent="0.25">
      <c r="B261" s="17">
        <v>259</v>
      </c>
      <c r="C261" s="10"/>
      <c r="E261" s="72"/>
      <c r="F261" s="18"/>
      <c r="G261" s="10"/>
      <c r="H261" s="10"/>
      <c r="I261" s="10"/>
      <c r="J261" s="11"/>
      <c r="K261" s="11">
        <f t="shared" si="194"/>
        <v>0</v>
      </c>
      <c r="L261" s="37">
        <f t="shared" si="195"/>
        <v>0</v>
      </c>
      <c r="M261" s="3"/>
      <c r="O261" s="21"/>
      <c r="P261" s="21"/>
      <c r="Q261" s="21"/>
      <c r="R261" s="23"/>
      <c r="S261" s="50"/>
      <c r="T261" s="48"/>
      <c r="U261" s="82"/>
      <c r="V261" s="26"/>
      <c r="W261" s="200"/>
      <c r="X261" s="17"/>
    </row>
    <row r="262" spans="2:24" x14ac:dyDescent="0.25">
      <c r="B262" s="17">
        <v>260</v>
      </c>
      <c r="C262" s="10"/>
      <c r="E262" s="72"/>
      <c r="F262" s="18"/>
      <c r="G262" s="10"/>
      <c r="H262" s="10"/>
      <c r="I262" s="10"/>
      <c r="J262" s="11"/>
      <c r="K262" s="11">
        <f t="shared" si="194"/>
        <v>0</v>
      </c>
      <c r="L262" s="37">
        <f t="shared" si="195"/>
        <v>0</v>
      </c>
      <c r="M262" s="3"/>
      <c r="O262" s="21"/>
      <c r="P262" s="21"/>
      <c r="Q262" s="21"/>
      <c r="R262" s="23"/>
      <c r="S262" s="50"/>
      <c r="T262" s="48"/>
      <c r="U262" s="82"/>
      <c r="V262" s="26"/>
      <c r="W262" s="200"/>
      <c r="X262" s="17"/>
    </row>
    <row r="263" spans="2:24" x14ac:dyDescent="0.25">
      <c r="B263" s="17">
        <v>261</v>
      </c>
      <c r="C263" s="10"/>
      <c r="E263" s="72"/>
      <c r="F263" s="18"/>
      <c r="G263" s="10"/>
      <c r="H263" s="10"/>
      <c r="I263" s="10"/>
      <c r="J263" s="11"/>
      <c r="K263" s="11">
        <f t="shared" si="194"/>
        <v>0</v>
      </c>
      <c r="L263" s="37">
        <f t="shared" si="195"/>
        <v>0</v>
      </c>
      <c r="M263" s="3"/>
      <c r="O263" s="21"/>
      <c r="P263" s="21"/>
      <c r="Q263" s="21"/>
      <c r="R263" s="23"/>
      <c r="S263" s="50"/>
      <c r="T263" s="48"/>
      <c r="U263" s="82"/>
      <c r="V263" s="26"/>
      <c r="W263" s="200"/>
      <c r="X263" s="17"/>
    </row>
    <row r="264" spans="2:24" x14ac:dyDescent="0.25">
      <c r="B264" s="17">
        <v>262</v>
      </c>
      <c r="C264" s="10"/>
      <c r="E264" s="72"/>
      <c r="F264" s="18"/>
      <c r="G264" s="10"/>
      <c r="H264" s="10"/>
      <c r="I264" s="10"/>
      <c r="J264" s="11"/>
      <c r="K264" s="11">
        <f t="shared" si="194"/>
        <v>0</v>
      </c>
      <c r="L264" s="37">
        <f t="shared" si="195"/>
        <v>0</v>
      </c>
      <c r="M264" s="3"/>
      <c r="O264" s="21"/>
      <c r="P264" s="21"/>
      <c r="Q264" s="21"/>
      <c r="R264" s="23"/>
      <c r="S264" s="50"/>
      <c r="T264" s="48"/>
      <c r="U264" s="82"/>
      <c r="V264" s="26"/>
      <c r="W264" s="200"/>
      <c r="X264" s="17"/>
    </row>
    <row r="265" spans="2:24" x14ac:dyDescent="0.25">
      <c r="B265" s="17">
        <v>263</v>
      </c>
      <c r="C265" s="10"/>
      <c r="E265" s="72"/>
      <c r="F265" s="18"/>
      <c r="G265" s="10"/>
      <c r="H265" s="10"/>
      <c r="I265" s="10"/>
      <c r="J265" s="11"/>
      <c r="K265" s="11">
        <f t="shared" si="194"/>
        <v>0</v>
      </c>
      <c r="L265" s="37">
        <f t="shared" si="195"/>
        <v>0</v>
      </c>
      <c r="M265" s="3"/>
      <c r="O265" s="21"/>
      <c r="P265" s="21"/>
      <c r="Q265" s="21"/>
      <c r="R265" s="23"/>
      <c r="S265" s="50"/>
      <c r="T265" s="48"/>
      <c r="U265" s="82"/>
      <c r="V265" s="26"/>
      <c r="W265" s="200"/>
      <c r="X265" s="17"/>
    </row>
    <row r="266" spans="2:24" x14ac:dyDescent="0.25">
      <c r="B266" s="17">
        <v>264</v>
      </c>
      <c r="C266" s="10"/>
      <c r="E266" s="72"/>
      <c r="F266" s="18"/>
      <c r="G266" s="10"/>
      <c r="H266" s="10"/>
      <c r="I266" s="10"/>
      <c r="J266" s="11"/>
      <c r="K266" s="11">
        <f t="shared" si="194"/>
        <v>0</v>
      </c>
      <c r="L266" s="37">
        <f t="shared" si="195"/>
        <v>0</v>
      </c>
      <c r="M266" s="3"/>
      <c r="O266" s="21"/>
      <c r="P266" s="21"/>
      <c r="Q266" s="21"/>
      <c r="R266" s="23"/>
      <c r="S266" s="50"/>
      <c r="T266" s="48"/>
      <c r="U266" s="82"/>
      <c r="V266" s="32"/>
      <c r="W266" s="200"/>
      <c r="X266" s="17"/>
    </row>
    <row r="267" spans="2:24" x14ac:dyDescent="0.25">
      <c r="B267" s="17">
        <v>265</v>
      </c>
      <c r="C267" s="10"/>
      <c r="E267" s="72"/>
      <c r="F267" s="18"/>
      <c r="G267" s="10"/>
      <c r="H267" s="10"/>
      <c r="I267" s="10"/>
      <c r="J267" s="11"/>
      <c r="K267" s="11">
        <f t="shared" si="194"/>
        <v>0</v>
      </c>
      <c r="L267" s="37">
        <f t="shared" si="195"/>
        <v>0</v>
      </c>
      <c r="M267" s="3"/>
      <c r="O267" s="21"/>
      <c r="P267" s="21"/>
      <c r="Q267" s="21"/>
      <c r="R267" s="23"/>
      <c r="S267" s="50"/>
      <c r="T267" s="48"/>
      <c r="U267" s="82"/>
      <c r="V267" s="32"/>
      <c r="W267" s="200"/>
      <c r="X267" s="17"/>
    </row>
    <row r="268" spans="2:24" x14ac:dyDescent="0.25">
      <c r="B268" s="17">
        <v>266</v>
      </c>
      <c r="C268" s="10"/>
      <c r="E268" s="72"/>
      <c r="F268" s="18"/>
      <c r="G268" s="10"/>
      <c r="H268" s="10"/>
      <c r="I268" s="10"/>
      <c r="J268" s="11"/>
      <c r="K268" s="11">
        <f t="shared" si="194"/>
        <v>0</v>
      </c>
      <c r="L268" s="37">
        <f t="shared" si="195"/>
        <v>0</v>
      </c>
      <c r="M268" s="3"/>
      <c r="O268" s="21"/>
      <c r="P268" s="21"/>
      <c r="Q268" s="21"/>
      <c r="R268" s="23"/>
      <c r="S268" s="50"/>
      <c r="T268" s="48"/>
      <c r="U268" s="82"/>
      <c r="V268" s="32"/>
      <c r="W268" s="200"/>
      <c r="X268" s="17"/>
    </row>
    <row r="269" spans="2:24" x14ac:dyDescent="0.25">
      <c r="B269" s="17">
        <v>267</v>
      </c>
      <c r="C269" s="10"/>
      <c r="E269" s="72"/>
      <c r="F269" s="18"/>
      <c r="G269" s="10"/>
      <c r="H269" s="10"/>
      <c r="I269" s="10"/>
      <c r="J269" s="11"/>
      <c r="K269" s="11">
        <f t="shared" si="194"/>
        <v>0</v>
      </c>
      <c r="L269" s="37">
        <f t="shared" si="195"/>
        <v>0</v>
      </c>
      <c r="M269" s="3"/>
      <c r="O269" s="21"/>
      <c r="P269" s="21"/>
      <c r="Q269" s="21"/>
      <c r="R269" s="23"/>
      <c r="S269" s="50"/>
      <c r="T269" s="48"/>
      <c r="U269" s="82"/>
      <c r="V269" s="32"/>
      <c r="W269" s="200"/>
      <c r="X269" s="17"/>
    </row>
    <row r="270" spans="2:24" x14ac:dyDescent="0.25">
      <c r="B270" s="17">
        <v>268</v>
      </c>
      <c r="C270" s="10"/>
      <c r="E270" s="72"/>
      <c r="F270" s="18"/>
      <c r="G270" s="10"/>
      <c r="H270" s="10"/>
      <c r="I270" s="10"/>
      <c r="J270" s="11"/>
      <c r="K270" s="11">
        <f t="shared" si="194"/>
        <v>0</v>
      </c>
      <c r="L270" s="37">
        <f t="shared" si="195"/>
        <v>0</v>
      </c>
      <c r="M270" s="3"/>
      <c r="O270" s="21"/>
      <c r="P270" s="21"/>
      <c r="Q270" s="21"/>
      <c r="R270" s="23"/>
      <c r="S270" s="50"/>
      <c r="T270" s="48"/>
      <c r="U270" s="82"/>
      <c r="V270" s="26"/>
      <c r="W270" s="200"/>
      <c r="X270" s="17"/>
    </row>
    <row r="271" spans="2:24" x14ac:dyDescent="0.25">
      <c r="B271" s="17">
        <v>269</v>
      </c>
      <c r="C271" s="10"/>
      <c r="E271" s="72"/>
      <c r="F271" s="18"/>
      <c r="G271" s="10"/>
      <c r="H271" s="10"/>
      <c r="I271" s="10"/>
      <c r="J271" s="11"/>
      <c r="K271" s="11">
        <f t="shared" si="194"/>
        <v>0</v>
      </c>
      <c r="L271" s="37">
        <f t="shared" si="195"/>
        <v>0</v>
      </c>
      <c r="M271" s="3"/>
      <c r="O271" s="21"/>
      <c r="P271" s="21"/>
      <c r="Q271" s="21"/>
      <c r="R271" s="23"/>
      <c r="S271" s="50"/>
      <c r="T271" s="48"/>
      <c r="U271" s="82"/>
      <c r="V271" s="26"/>
      <c r="W271" s="200"/>
      <c r="X271" s="17"/>
    </row>
    <row r="272" spans="2:24" x14ac:dyDescent="0.25">
      <c r="B272" s="17">
        <v>270</v>
      </c>
      <c r="C272" s="10"/>
      <c r="E272" s="72"/>
      <c r="F272" s="18"/>
      <c r="G272" s="10"/>
      <c r="H272" s="10"/>
      <c r="I272" s="10"/>
      <c r="J272" s="11"/>
      <c r="K272" s="11">
        <f t="shared" si="194"/>
        <v>0</v>
      </c>
      <c r="L272" s="37">
        <f t="shared" si="195"/>
        <v>0</v>
      </c>
      <c r="M272" s="3"/>
      <c r="O272" s="21"/>
      <c r="P272" s="21"/>
      <c r="Q272" s="21"/>
      <c r="R272" s="23"/>
      <c r="S272" s="50"/>
      <c r="T272" s="48"/>
      <c r="U272" s="82"/>
      <c r="V272" s="26"/>
      <c r="W272" s="200"/>
      <c r="X272" s="17"/>
    </row>
    <row r="273" spans="2:24" x14ac:dyDescent="0.25">
      <c r="B273" s="17">
        <v>271</v>
      </c>
      <c r="C273" s="10"/>
      <c r="E273" s="72"/>
      <c r="F273" s="18"/>
      <c r="G273" s="10"/>
      <c r="H273" s="10"/>
      <c r="I273" s="10"/>
      <c r="J273" s="11"/>
      <c r="K273" s="11">
        <f t="shared" si="194"/>
        <v>0</v>
      </c>
      <c r="L273" s="37">
        <f t="shared" si="195"/>
        <v>0</v>
      </c>
      <c r="M273" s="3"/>
      <c r="O273" s="21"/>
      <c r="P273" s="21"/>
      <c r="Q273" s="21"/>
      <c r="R273" s="23"/>
      <c r="S273" s="50"/>
      <c r="T273" s="48"/>
      <c r="U273" s="82"/>
      <c r="V273" s="26"/>
      <c r="W273" s="200"/>
      <c r="X273" s="17"/>
    </row>
    <row r="274" spans="2:24" x14ac:dyDescent="0.25">
      <c r="B274" s="17">
        <v>272</v>
      </c>
      <c r="C274" s="10"/>
      <c r="E274" s="72"/>
      <c r="F274" s="18"/>
      <c r="G274" s="10"/>
      <c r="H274" s="10"/>
      <c r="I274" s="10"/>
      <c r="J274" s="11"/>
      <c r="K274" s="11">
        <f t="shared" si="194"/>
        <v>0</v>
      </c>
      <c r="L274" s="37">
        <f t="shared" si="195"/>
        <v>0</v>
      </c>
      <c r="M274" s="3"/>
      <c r="O274" s="21"/>
      <c r="P274" s="21"/>
      <c r="Q274" s="21"/>
      <c r="R274" s="23"/>
      <c r="S274" s="50"/>
      <c r="T274" s="48"/>
      <c r="U274" s="82"/>
      <c r="V274" s="26"/>
      <c r="W274" s="200"/>
      <c r="X274" s="17"/>
    </row>
    <row r="275" spans="2:24" x14ac:dyDescent="0.25">
      <c r="B275" s="17">
        <v>273</v>
      </c>
      <c r="C275" s="10"/>
      <c r="E275" s="72"/>
      <c r="F275" s="18"/>
      <c r="G275" s="10"/>
      <c r="H275" s="10"/>
      <c r="I275" s="10"/>
      <c r="J275" s="11"/>
      <c r="K275" s="11">
        <f t="shared" si="194"/>
        <v>0</v>
      </c>
      <c r="L275" s="37">
        <f t="shared" si="195"/>
        <v>0</v>
      </c>
      <c r="M275" s="3"/>
      <c r="O275" s="21"/>
      <c r="P275" s="21"/>
      <c r="Q275" s="21"/>
      <c r="R275" s="23"/>
      <c r="S275" s="50"/>
      <c r="T275" s="48"/>
      <c r="U275" s="82"/>
      <c r="V275" s="32"/>
      <c r="W275" s="200"/>
      <c r="X275" s="17"/>
    </row>
    <row r="276" spans="2:24" x14ac:dyDescent="0.25">
      <c r="B276" s="17">
        <v>274</v>
      </c>
      <c r="C276" s="10"/>
      <c r="E276" s="72"/>
      <c r="F276" s="18"/>
      <c r="G276" s="10"/>
      <c r="H276" s="10"/>
      <c r="I276" s="10"/>
      <c r="J276" s="11"/>
      <c r="K276" s="11">
        <f t="shared" si="194"/>
        <v>0</v>
      </c>
      <c r="L276" s="37">
        <f t="shared" si="195"/>
        <v>0</v>
      </c>
      <c r="M276" s="3"/>
      <c r="O276" s="21"/>
      <c r="P276" s="21"/>
      <c r="Q276" s="21"/>
      <c r="R276" s="23"/>
      <c r="S276" s="50"/>
      <c r="T276" s="48"/>
      <c r="U276" s="82"/>
      <c r="V276" s="32"/>
      <c r="W276" s="200"/>
      <c r="X276" s="17"/>
    </row>
    <row r="277" spans="2:24" x14ac:dyDescent="0.25">
      <c r="B277" s="17">
        <v>275</v>
      </c>
      <c r="C277" s="10"/>
      <c r="E277" s="72"/>
      <c r="F277" s="18"/>
      <c r="G277" s="10"/>
      <c r="H277" s="10"/>
      <c r="I277" s="10"/>
      <c r="J277" s="11"/>
      <c r="K277" s="11">
        <f t="shared" si="194"/>
        <v>0</v>
      </c>
      <c r="L277" s="37">
        <f t="shared" si="195"/>
        <v>0</v>
      </c>
      <c r="M277" s="3"/>
      <c r="O277" s="21"/>
      <c r="P277" s="21"/>
      <c r="Q277" s="21"/>
      <c r="R277" s="23"/>
      <c r="S277" s="50"/>
      <c r="T277" s="48"/>
      <c r="U277" s="82"/>
      <c r="V277" s="26"/>
      <c r="W277" s="200"/>
      <c r="X277" s="17"/>
    </row>
    <row r="278" spans="2:24" x14ac:dyDescent="0.25">
      <c r="B278" s="17">
        <v>276</v>
      </c>
      <c r="C278" s="10"/>
      <c r="E278" s="72"/>
      <c r="F278" s="18"/>
      <c r="G278" s="10"/>
      <c r="H278" s="10"/>
      <c r="I278" s="10"/>
      <c r="J278" s="11"/>
      <c r="K278" s="11">
        <f t="shared" si="194"/>
        <v>0</v>
      </c>
      <c r="L278" s="37">
        <f t="shared" si="195"/>
        <v>0</v>
      </c>
      <c r="M278" s="3"/>
      <c r="O278" s="21"/>
      <c r="P278" s="21"/>
      <c r="Q278" s="21"/>
      <c r="R278" s="23"/>
      <c r="S278" s="50"/>
      <c r="T278" s="48"/>
      <c r="U278" s="82"/>
      <c r="V278" s="26"/>
      <c r="W278" s="200"/>
      <c r="X278" s="17"/>
    </row>
    <row r="279" spans="2:24" x14ac:dyDescent="0.25">
      <c r="B279" s="17">
        <v>277</v>
      </c>
      <c r="C279" s="10"/>
      <c r="E279" s="72"/>
      <c r="F279" s="18"/>
      <c r="G279" s="10"/>
      <c r="H279" s="10"/>
      <c r="I279" s="10"/>
      <c r="J279" s="11"/>
      <c r="K279" s="11">
        <f t="shared" si="194"/>
        <v>0</v>
      </c>
      <c r="L279" s="37">
        <f t="shared" si="195"/>
        <v>0</v>
      </c>
      <c r="M279" s="3"/>
      <c r="O279" s="21"/>
      <c r="P279" s="21"/>
      <c r="Q279" s="21"/>
      <c r="R279" s="23"/>
      <c r="S279" s="50"/>
      <c r="T279" s="48"/>
      <c r="U279" s="82"/>
      <c r="V279" s="26"/>
      <c r="W279" s="200"/>
      <c r="X279" s="17"/>
    </row>
    <row r="280" spans="2:24" x14ac:dyDescent="0.25">
      <c r="B280" s="17">
        <v>278</v>
      </c>
      <c r="C280" s="10"/>
      <c r="E280" s="72"/>
      <c r="F280" s="18"/>
      <c r="G280" s="10"/>
      <c r="H280" s="10"/>
      <c r="I280" s="10"/>
      <c r="J280" s="11"/>
      <c r="K280" s="11">
        <f t="shared" si="194"/>
        <v>0</v>
      </c>
      <c r="L280" s="37">
        <f t="shared" si="195"/>
        <v>0</v>
      </c>
      <c r="M280" s="3"/>
      <c r="O280" s="21"/>
      <c r="P280" s="21"/>
      <c r="Q280" s="21"/>
      <c r="R280" s="23"/>
      <c r="S280" s="50"/>
      <c r="T280" s="48"/>
      <c r="U280" s="82"/>
      <c r="V280" s="26"/>
      <c r="W280" s="200"/>
      <c r="X280" s="17"/>
    </row>
    <row r="281" spans="2:24" x14ac:dyDescent="0.25">
      <c r="B281" s="17">
        <v>279</v>
      </c>
      <c r="C281" s="10"/>
      <c r="E281" s="72"/>
      <c r="F281" s="18"/>
      <c r="G281" s="10"/>
      <c r="H281" s="10"/>
      <c r="I281" s="10"/>
      <c r="J281" s="11"/>
      <c r="K281" s="11">
        <f t="shared" si="194"/>
        <v>0</v>
      </c>
      <c r="L281" s="37">
        <f t="shared" si="195"/>
        <v>0</v>
      </c>
      <c r="M281" s="3"/>
      <c r="O281" s="21"/>
      <c r="P281" s="21"/>
      <c r="Q281" s="21"/>
      <c r="R281" s="23"/>
      <c r="S281" s="50"/>
      <c r="T281" s="48"/>
      <c r="U281" s="82"/>
      <c r="V281" s="26"/>
      <c r="W281" s="200"/>
      <c r="X281" s="17"/>
    </row>
    <row r="282" spans="2:24" x14ac:dyDescent="0.25">
      <c r="B282" s="17">
        <v>280</v>
      </c>
      <c r="C282" s="10"/>
      <c r="E282" s="72"/>
      <c r="F282" s="18"/>
      <c r="G282" s="10"/>
      <c r="H282" s="10"/>
      <c r="I282" s="10"/>
      <c r="J282" s="11"/>
      <c r="K282" s="11">
        <f t="shared" si="194"/>
        <v>0</v>
      </c>
      <c r="L282" s="37">
        <f t="shared" si="195"/>
        <v>0</v>
      </c>
      <c r="M282" s="3"/>
      <c r="O282" s="21"/>
      <c r="P282" s="21"/>
      <c r="Q282" s="21"/>
      <c r="R282" s="23"/>
      <c r="S282" s="50"/>
      <c r="T282" s="48"/>
      <c r="U282" s="82"/>
      <c r="V282" s="32"/>
      <c r="W282" s="200"/>
      <c r="X282" s="17"/>
    </row>
    <row r="283" spans="2:24" x14ac:dyDescent="0.25">
      <c r="B283" s="17">
        <v>281</v>
      </c>
      <c r="C283" s="10"/>
      <c r="E283" s="72"/>
      <c r="F283" s="18"/>
      <c r="G283" s="10"/>
      <c r="H283" s="10"/>
      <c r="I283" s="10"/>
      <c r="J283" s="11"/>
      <c r="K283" s="11">
        <f t="shared" si="194"/>
        <v>0</v>
      </c>
      <c r="L283" s="37">
        <f t="shared" si="195"/>
        <v>0</v>
      </c>
      <c r="M283" s="3"/>
      <c r="O283" s="21"/>
      <c r="P283" s="21"/>
      <c r="Q283" s="21"/>
      <c r="R283" s="23"/>
      <c r="S283" s="50"/>
      <c r="T283" s="48"/>
      <c r="U283" s="82"/>
      <c r="V283" s="32"/>
      <c r="W283" s="200"/>
      <c r="X283" s="17"/>
    </row>
    <row r="284" spans="2:24" x14ac:dyDescent="0.25">
      <c r="B284" s="17">
        <v>282</v>
      </c>
      <c r="C284" s="10"/>
      <c r="E284" s="72"/>
      <c r="F284" s="18"/>
      <c r="G284" s="10"/>
      <c r="H284" s="10"/>
      <c r="I284" s="10"/>
      <c r="J284" s="11"/>
      <c r="K284" s="11">
        <f t="shared" ref="K284:K301" si="196">J284*1.1</f>
        <v>0</v>
      </c>
      <c r="L284" s="37">
        <f t="shared" ref="L284:L301" si="197">J284*0.00000001</f>
        <v>0</v>
      </c>
      <c r="M284" s="3"/>
      <c r="O284" s="21"/>
      <c r="P284" s="21"/>
      <c r="Q284" s="21"/>
      <c r="R284" s="23"/>
      <c r="S284" s="50"/>
      <c r="T284" s="48"/>
      <c r="U284" s="82"/>
      <c r="V284" s="32"/>
      <c r="W284" s="200"/>
      <c r="X284" s="17"/>
    </row>
    <row r="285" spans="2:24" x14ac:dyDescent="0.25">
      <c r="B285" s="17">
        <v>283</v>
      </c>
      <c r="C285" s="10"/>
      <c r="E285" s="72"/>
      <c r="K285" s="11">
        <f t="shared" si="196"/>
        <v>0</v>
      </c>
      <c r="L285" s="37">
        <f t="shared" si="197"/>
        <v>0</v>
      </c>
      <c r="S285" s="7"/>
      <c r="T285" s="48"/>
      <c r="U285" s="82"/>
      <c r="V285" s="84"/>
      <c r="W285" s="200"/>
      <c r="X285" s="17"/>
    </row>
    <row r="286" spans="2:24" x14ac:dyDescent="0.25">
      <c r="B286" s="17">
        <v>284</v>
      </c>
      <c r="C286" s="10"/>
      <c r="K286" s="11">
        <f t="shared" si="196"/>
        <v>0</v>
      </c>
      <c r="L286" s="37">
        <f t="shared" si="197"/>
        <v>0</v>
      </c>
      <c r="T286" s="48"/>
      <c r="U286" s="82"/>
      <c r="V286" s="84"/>
      <c r="W286" s="200"/>
      <c r="X286" s="17"/>
    </row>
    <row r="287" spans="2:24" x14ac:dyDescent="0.25">
      <c r="B287" s="17">
        <v>285</v>
      </c>
      <c r="C287" s="10"/>
      <c r="K287" s="11">
        <f t="shared" si="196"/>
        <v>0</v>
      </c>
      <c r="L287" s="37">
        <f t="shared" si="197"/>
        <v>0</v>
      </c>
      <c r="T287" s="48"/>
      <c r="U287" s="82"/>
      <c r="V287" s="84"/>
      <c r="W287" s="200"/>
      <c r="X287" s="17"/>
    </row>
    <row r="288" spans="2:24" x14ac:dyDescent="0.25">
      <c r="B288" s="17">
        <v>286</v>
      </c>
      <c r="C288" s="10"/>
      <c r="K288" s="11">
        <f t="shared" si="196"/>
        <v>0</v>
      </c>
      <c r="L288" s="37">
        <f t="shared" si="197"/>
        <v>0</v>
      </c>
      <c r="T288" s="48"/>
      <c r="U288" s="82"/>
      <c r="V288" s="84"/>
      <c r="W288" s="200"/>
      <c r="X288" s="17"/>
    </row>
    <row r="289" spans="2:24" x14ac:dyDescent="0.25">
      <c r="B289" s="17">
        <v>287</v>
      </c>
      <c r="C289" s="10"/>
      <c r="K289" s="11">
        <f t="shared" si="196"/>
        <v>0</v>
      </c>
      <c r="L289" s="37">
        <f t="shared" si="197"/>
        <v>0</v>
      </c>
      <c r="T289" s="48"/>
      <c r="U289" s="82"/>
      <c r="V289" s="84"/>
      <c r="W289" s="200"/>
      <c r="X289" s="17"/>
    </row>
    <row r="290" spans="2:24" x14ac:dyDescent="0.25">
      <c r="B290" s="17">
        <v>288</v>
      </c>
      <c r="C290" s="10"/>
      <c r="K290" s="11">
        <f t="shared" si="196"/>
        <v>0</v>
      </c>
      <c r="L290" s="37">
        <f t="shared" si="197"/>
        <v>0</v>
      </c>
      <c r="T290" s="48"/>
      <c r="U290" s="82"/>
      <c r="V290" s="84"/>
      <c r="W290" s="200"/>
      <c r="X290" s="17"/>
    </row>
    <row r="291" spans="2:24" x14ac:dyDescent="0.25">
      <c r="B291" s="17">
        <v>289</v>
      </c>
      <c r="C291" s="10"/>
      <c r="K291" s="11">
        <f t="shared" si="196"/>
        <v>0</v>
      </c>
      <c r="L291" s="37">
        <f t="shared" si="197"/>
        <v>0</v>
      </c>
      <c r="T291" s="48"/>
      <c r="U291" s="82"/>
      <c r="V291" s="84"/>
      <c r="W291" s="200"/>
      <c r="X291" s="17"/>
    </row>
    <row r="292" spans="2:24" x14ac:dyDescent="0.25">
      <c r="B292" s="17">
        <v>290</v>
      </c>
      <c r="C292" s="10"/>
      <c r="K292" s="11">
        <f t="shared" si="196"/>
        <v>0</v>
      </c>
      <c r="L292" s="37">
        <f t="shared" si="197"/>
        <v>0</v>
      </c>
      <c r="T292" s="48"/>
      <c r="U292" s="82"/>
      <c r="V292" s="84"/>
      <c r="W292" s="200"/>
      <c r="X292" s="17"/>
    </row>
    <row r="293" spans="2:24" x14ac:dyDescent="0.25">
      <c r="B293" s="17">
        <v>291</v>
      </c>
      <c r="C293" s="10"/>
      <c r="K293" s="11">
        <f t="shared" si="196"/>
        <v>0</v>
      </c>
      <c r="L293" s="37">
        <f t="shared" si="197"/>
        <v>0</v>
      </c>
      <c r="T293" s="48"/>
      <c r="U293" s="82"/>
      <c r="V293" s="84"/>
      <c r="W293" s="200"/>
      <c r="X293" s="17"/>
    </row>
    <row r="294" spans="2:24" x14ac:dyDescent="0.25">
      <c r="B294" s="17">
        <v>292</v>
      </c>
      <c r="C294" s="10"/>
      <c r="K294" s="11">
        <f t="shared" si="196"/>
        <v>0</v>
      </c>
      <c r="L294" s="37">
        <f t="shared" si="197"/>
        <v>0</v>
      </c>
      <c r="T294" s="48"/>
      <c r="U294" s="82"/>
      <c r="V294" s="84"/>
      <c r="W294" s="200"/>
      <c r="X294" s="17"/>
    </row>
    <row r="295" spans="2:24" x14ac:dyDescent="0.25">
      <c r="B295" s="17">
        <v>293</v>
      </c>
      <c r="C295" s="10"/>
      <c r="K295" s="11">
        <f t="shared" si="196"/>
        <v>0</v>
      </c>
      <c r="L295" s="37">
        <f t="shared" si="197"/>
        <v>0</v>
      </c>
      <c r="T295" s="48"/>
      <c r="U295" s="82"/>
      <c r="V295" s="84"/>
      <c r="W295" s="200"/>
      <c r="X295" s="17"/>
    </row>
    <row r="296" spans="2:24" x14ac:dyDescent="0.25">
      <c r="B296" s="17">
        <v>294</v>
      </c>
      <c r="C296" s="10"/>
      <c r="K296" s="11">
        <f t="shared" si="196"/>
        <v>0</v>
      </c>
      <c r="L296" s="37">
        <f t="shared" si="197"/>
        <v>0</v>
      </c>
      <c r="T296" s="48"/>
      <c r="U296" s="82"/>
      <c r="V296" s="84"/>
      <c r="W296" s="200"/>
      <c r="X296" s="17"/>
    </row>
    <row r="297" spans="2:24" x14ac:dyDescent="0.25">
      <c r="B297" s="17">
        <v>295</v>
      </c>
      <c r="C297" s="10"/>
      <c r="K297" s="11">
        <f t="shared" si="196"/>
        <v>0</v>
      </c>
      <c r="L297" s="37">
        <f t="shared" si="197"/>
        <v>0</v>
      </c>
      <c r="T297" s="48"/>
      <c r="U297" s="82"/>
      <c r="V297" s="84"/>
      <c r="W297" s="200"/>
      <c r="X297" s="17"/>
    </row>
    <row r="298" spans="2:24" x14ac:dyDescent="0.25">
      <c r="B298" s="17">
        <v>296</v>
      </c>
      <c r="C298" s="10"/>
      <c r="K298" s="11">
        <f t="shared" si="196"/>
        <v>0</v>
      </c>
      <c r="L298" s="37">
        <f t="shared" si="197"/>
        <v>0</v>
      </c>
      <c r="T298" s="48"/>
      <c r="U298" s="82"/>
      <c r="V298" s="84"/>
      <c r="W298" s="200"/>
      <c r="X298" s="17"/>
    </row>
    <row r="299" spans="2:24" x14ac:dyDescent="0.25">
      <c r="B299" s="17">
        <v>297</v>
      </c>
      <c r="C299" s="10"/>
      <c r="K299" s="11">
        <f t="shared" si="196"/>
        <v>0</v>
      </c>
      <c r="L299" s="37">
        <f t="shared" si="197"/>
        <v>0</v>
      </c>
      <c r="T299" s="48"/>
      <c r="U299" s="82"/>
      <c r="V299" s="84"/>
      <c r="W299" s="200"/>
      <c r="X299" s="17"/>
    </row>
    <row r="300" spans="2:24" x14ac:dyDescent="0.25">
      <c r="B300" s="17">
        <v>298</v>
      </c>
      <c r="C300" s="10"/>
      <c r="K300" s="11">
        <f t="shared" si="196"/>
        <v>0</v>
      </c>
      <c r="L300" s="37">
        <f t="shared" si="197"/>
        <v>0</v>
      </c>
      <c r="T300" s="48"/>
      <c r="U300" s="82"/>
      <c r="V300" s="84"/>
      <c r="W300" s="200"/>
      <c r="X300" s="17"/>
    </row>
    <row r="301" spans="2:24" x14ac:dyDescent="0.25">
      <c r="B301" s="17">
        <v>299</v>
      </c>
      <c r="C301" s="10"/>
      <c r="K301" s="11">
        <f t="shared" si="196"/>
        <v>0</v>
      </c>
      <c r="L301" s="37">
        <f t="shared" si="197"/>
        <v>0</v>
      </c>
      <c r="T301" s="48"/>
      <c r="U301" s="82"/>
      <c r="V301" s="84"/>
      <c r="W301" s="200"/>
      <c r="X301" s="17"/>
    </row>
    <row r="302" spans="2:24" x14ac:dyDescent="0.25">
      <c r="B302" s="17"/>
      <c r="G302" s="10"/>
      <c r="H302" s="10"/>
    </row>
    <row r="303" spans="2:24" x14ac:dyDescent="0.25">
      <c r="B303" s="17"/>
      <c r="C303" s="10"/>
    </row>
    <row r="304" spans="2:24" x14ac:dyDescent="0.25">
      <c r="B304" s="17"/>
      <c r="C304" s="10"/>
    </row>
    <row r="305" spans="2:24" x14ac:dyDescent="0.25">
      <c r="B305" s="17"/>
      <c r="C305" s="10"/>
      <c r="E305" s="72"/>
      <c r="F305" s="18"/>
      <c r="G305" s="10"/>
      <c r="H305" s="10"/>
      <c r="I305" s="10"/>
      <c r="J305" s="11"/>
      <c r="K305" s="11"/>
      <c r="L305" s="37"/>
      <c r="M305" s="3"/>
      <c r="O305" s="21"/>
      <c r="P305" s="21"/>
      <c r="Q305" s="21"/>
      <c r="R305" s="23"/>
      <c r="S305" s="50"/>
      <c r="T305" s="48"/>
      <c r="U305" s="82"/>
      <c r="V305" s="26"/>
      <c r="W305" s="200"/>
      <c r="X305" s="17"/>
    </row>
    <row r="306" spans="2:24" x14ac:dyDescent="0.25">
      <c r="B306" s="17"/>
      <c r="C306" s="10"/>
      <c r="E306" s="72"/>
      <c r="F306" s="18"/>
      <c r="G306" s="10"/>
      <c r="H306" s="10"/>
      <c r="I306" s="10"/>
      <c r="J306" s="11"/>
      <c r="K306" s="11"/>
      <c r="L306" s="37"/>
      <c r="M306" s="3"/>
      <c r="O306" s="21"/>
      <c r="P306" s="21"/>
      <c r="Q306" s="21"/>
      <c r="R306" s="23"/>
      <c r="S306" s="50"/>
      <c r="T306" s="48"/>
      <c r="U306" s="82"/>
      <c r="V306" s="26"/>
      <c r="W306" s="200"/>
      <c r="X306" s="17"/>
    </row>
    <row r="307" spans="2:24" x14ac:dyDescent="0.25">
      <c r="B307" s="17"/>
      <c r="C307" s="10"/>
      <c r="E307" s="72"/>
      <c r="F307" s="18"/>
      <c r="G307" s="10"/>
      <c r="H307" s="10"/>
      <c r="I307" s="10"/>
      <c r="J307" s="11"/>
      <c r="K307" s="11"/>
      <c r="L307" s="37"/>
      <c r="M307" s="3"/>
      <c r="O307" s="21"/>
      <c r="P307" s="21"/>
      <c r="Q307" s="21"/>
      <c r="R307" s="23"/>
      <c r="S307" s="50"/>
      <c r="T307" s="48"/>
      <c r="U307" s="82"/>
      <c r="V307" s="26"/>
      <c r="W307" s="200"/>
      <c r="X307" s="17"/>
    </row>
    <row r="308" spans="2:24" x14ac:dyDescent="0.25">
      <c r="B308" s="17">
        <v>235</v>
      </c>
      <c r="C308" s="10"/>
      <c r="E308" s="72"/>
      <c r="F308" s="18"/>
      <c r="G308" s="10"/>
      <c r="H308" s="10"/>
      <c r="I308" s="10"/>
      <c r="J308" s="11"/>
      <c r="K308" s="11">
        <f t="shared" ref="K308:K318" si="198">J308*1.1</f>
        <v>0</v>
      </c>
      <c r="L308" s="37">
        <f t="shared" ref="L308:L318" si="199">J308*0.00000001</f>
        <v>0</v>
      </c>
      <c r="M308" s="3"/>
      <c r="O308" s="21"/>
      <c r="P308" s="21"/>
      <c r="Q308" s="21"/>
      <c r="R308" s="23"/>
      <c r="S308" s="50"/>
      <c r="T308" s="48"/>
      <c r="U308" s="82"/>
      <c r="V308" s="26"/>
      <c r="W308" s="200"/>
      <c r="X308" s="17"/>
    </row>
    <row r="309" spans="2:24" x14ac:dyDescent="0.25">
      <c r="B309" s="17">
        <v>235</v>
      </c>
      <c r="C309" s="10"/>
      <c r="E309" s="72"/>
      <c r="F309" s="18"/>
      <c r="G309" s="10"/>
      <c r="H309" s="10"/>
      <c r="I309" s="10"/>
      <c r="J309" s="11"/>
      <c r="K309" s="11">
        <f t="shared" si="198"/>
        <v>0</v>
      </c>
      <c r="L309" s="37">
        <f t="shared" si="199"/>
        <v>0</v>
      </c>
      <c r="M309" s="3"/>
      <c r="O309" s="21"/>
      <c r="P309" s="21"/>
      <c r="Q309" s="21"/>
      <c r="R309" s="23"/>
      <c r="S309" s="50"/>
      <c r="T309" s="48"/>
      <c r="U309" s="82"/>
      <c r="V309" s="26"/>
      <c r="W309" s="200"/>
      <c r="X309" s="17"/>
    </row>
    <row r="310" spans="2:24" x14ac:dyDescent="0.25">
      <c r="B310" s="17">
        <v>235</v>
      </c>
      <c r="C310" s="10"/>
      <c r="E310" s="72"/>
      <c r="F310" s="18"/>
      <c r="G310" s="10"/>
      <c r="H310" s="10"/>
      <c r="I310" s="10"/>
      <c r="J310" s="11"/>
      <c r="K310" s="11">
        <f t="shared" si="198"/>
        <v>0</v>
      </c>
      <c r="L310" s="37">
        <f t="shared" si="199"/>
        <v>0</v>
      </c>
      <c r="M310" s="3"/>
      <c r="O310" s="21"/>
      <c r="P310" s="21"/>
      <c r="Q310" s="21"/>
      <c r="R310" s="23"/>
      <c r="S310" s="50"/>
      <c r="T310" s="48"/>
      <c r="U310" s="82"/>
      <c r="V310" s="26"/>
      <c r="W310" s="200"/>
      <c r="X310" s="17"/>
    </row>
    <row r="311" spans="2:24" x14ac:dyDescent="0.25">
      <c r="B311" s="17">
        <v>235</v>
      </c>
      <c r="C311" s="10"/>
      <c r="E311" s="72"/>
      <c r="F311" s="18"/>
      <c r="G311" s="10"/>
      <c r="H311" s="10"/>
      <c r="I311" s="10"/>
      <c r="J311" s="11"/>
      <c r="K311" s="11">
        <f t="shared" si="198"/>
        <v>0</v>
      </c>
      <c r="L311" s="37">
        <f t="shared" si="199"/>
        <v>0</v>
      </c>
      <c r="M311" s="3"/>
      <c r="O311" s="21"/>
      <c r="P311" s="21"/>
      <c r="Q311" s="21"/>
      <c r="R311" s="23"/>
      <c r="S311" s="50"/>
      <c r="T311" s="48"/>
      <c r="U311" s="82"/>
      <c r="V311" s="26"/>
      <c r="W311" s="200"/>
      <c r="X311" s="17"/>
    </row>
    <row r="312" spans="2:24" x14ac:dyDescent="0.25">
      <c r="B312" s="17">
        <v>235</v>
      </c>
      <c r="C312" s="10"/>
      <c r="E312" s="72"/>
      <c r="F312" s="18"/>
      <c r="G312" s="10"/>
      <c r="H312" s="10"/>
      <c r="I312" s="10"/>
      <c r="J312" s="11"/>
      <c r="K312" s="11">
        <f t="shared" si="198"/>
        <v>0</v>
      </c>
      <c r="L312" s="37">
        <f t="shared" si="199"/>
        <v>0</v>
      </c>
      <c r="M312" s="3"/>
      <c r="O312" s="21"/>
      <c r="P312" s="21"/>
      <c r="Q312" s="21"/>
      <c r="R312" s="23"/>
      <c r="S312" s="50"/>
      <c r="T312" s="48"/>
      <c r="U312" s="82"/>
      <c r="V312" s="26"/>
      <c r="W312" s="200"/>
      <c r="X312" s="17"/>
    </row>
    <row r="313" spans="2:24" x14ac:dyDescent="0.25">
      <c r="B313" s="17">
        <v>235</v>
      </c>
      <c r="C313" s="10"/>
      <c r="E313" s="72"/>
      <c r="F313" s="18"/>
      <c r="G313" s="10"/>
      <c r="H313" s="10"/>
      <c r="I313" s="10"/>
      <c r="J313" s="11"/>
      <c r="K313" s="11">
        <f t="shared" si="198"/>
        <v>0</v>
      </c>
      <c r="L313" s="37">
        <f t="shared" si="199"/>
        <v>0</v>
      </c>
      <c r="M313" s="3"/>
      <c r="O313" s="21"/>
      <c r="P313" s="21"/>
      <c r="Q313" s="21"/>
      <c r="R313" s="23"/>
      <c r="S313" s="50"/>
      <c r="T313" s="48"/>
      <c r="U313" s="82"/>
      <c r="V313" s="26"/>
      <c r="W313" s="200"/>
      <c r="X313" s="17"/>
    </row>
    <row r="314" spans="2:24" x14ac:dyDescent="0.25">
      <c r="B314" s="17">
        <v>235</v>
      </c>
      <c r="C314" s="10"/>
      <c r="E314" s="72"/>
      <c r="F314" s="18"/>
      <c r="G314" s="10"/>
      <c r="H314" s="10"/>
      <c r="I314" s="10"/>
      <c r="J314" s="11"/>
      <c r="K314" s="11">
        <f t="shared" si="198"/>
        <v>0</v>
      </c>
      <c r="L314" s="37">
        <f t="shared" si="199"/>
        <v>0</v>
      </c>
      <c r="M314" s="3"/>
      <c r="O314" s="21"/>
      <c r="P314" s="21"/>
      <c r="Q314" s="21"/>
      <c r="R314" s="23"/>
      <c r="S314" s="50"/>
      <c r="T314" s="48"/>
      <c r="U314" s="82"/>
      <c r="V314" s="26"/>
      <c r="W314" s="200"/>
      <c r="X314" s="17"/>
    </row>
    <row r="315" spans="2:24" x14ac:dyDescent="0.25">
      <c r="B315" s="17">
        <v>235</v>
      </c>
      <c r="C315" s="10"/>
      <c r="E315" s="72"/>
      <c r="F315" s="18"/>
      <c r="G315" s="10"/>
      <c r="H315" s="10"/>
      <c r="I315" s="10"/>
      <c r="J315" s="11"/>
      <c r="K315" s="11">
        <f t="shared" si="198"/>
        <v>0</v>
      </c>
      <c r="L315" s="37">
        <f t="shared" si="199"/>
        <v>0</v>
      </c>
      <c r="M315" s="3"/>
      <c r="O315" s="21"/>
      <c r="P315" s="21"/>
      <c r="Q315" s="21"/>
      <c r="R315" s="23"/>
      <c r="S315" s="50"/>
      <c r="T315" s="48"/>
      <c r="U315" s="82"/>
      <c r="V315" s="26"/>
      <c r="W315" s="200"/>
      <c r="X315" s="17"/>
    </row>
    <row r="316" spans="2:24" x14ac:dyDescent="0.25">
      <c r="B316" s="17">
        <v>235</v>
      </c>
      <c r="C316" s="10"/>
      <c r="E316" s="72"/>
      <c r="F316" s="18"/>
      <c r="G316" s="10"/>
      <c r="H316" s="10"/>
      <c r="I316" s="10"/>
      <c r="J316" s="11"/>
      <c r="K316" s="11">
        <f t="shared" si="198"/>
        <v>0</v>
      </c>
      <c r="L316" s="37">
        <f t="shared" si="199"/>
        <v>0</v>
      </c>
      <c r="M316" s="3"/>
      <c r="O316" s="21"/>
      <c r="P316" s="21"/>
      <c r="Q316" s="21"/>
      <c r="R316" s="23"/>
      <c r="S316" s="50"/>
      <c r="T316" s="48"/>
      <c r="U316" s="82"/>
      <c r="V316" s="26"/>
      <c r="W316" s="200"/>
      <c r="X316" s="17"/>
    </row>
    <row r="317" spans="2:24" x14ac:dyDescent="0.25">
      <c r="B317" s="17">
        <v>235</v>
      </c>
      <c r="C317" s="10"/>
      <c r="E317" s="72"/>
      <c r="F317" s="18"/>
      <c r="G317" s="10"/>
      <c r="H317" s="10"/>
      <c r="I317" s="10"/>
      <c r="J317" s="11"/>
      <c r="K317" s="11">
        <f t="shared" si="198"/>
        <v>0</v>
      </c>
      <c r="L317" s="37">
        <f t="shared" si="199"/>
        <v>0</v>
      </c>
      <c r="M317" s="3"/>
      <c r="O317" s="21"/>
      <c r="P317" s="21"/>
      <c r="Q317" s="21"/>
      <c r="R317" s="23"/>
      <c r="S317" s="50"/>
      <c r="T317" s="48"/>
      <c r="U317" s="82"/>
      <c r="V317" s="26"/>
      <c r="W317" s="200"/>
      <c r="X317" s="17"/>
    </row>
    <row r="318" spans="2:24" x14ac:dyDescent="0.25">
      <c r="B318" s="17">
        <v>235</v>
      </c>
      <c r="C318" s="10"/>
      <c r="E318" s="72"/>
      <c r="F318" s="18"/>
      <c r="G318" s="10"/>
      <c r="H318" s="10"/>
      <c r="I318" s="10"/>
      <c r="J318" s="11"/>
      <c r="K318" s="11">
        <f t="shared" si="198"/>
        <v>0</v>
      </c>
      <c r="L318" s="37">
        <f t="shared" si="199"/>
        <v>0</v>
      </c>
      <c r="M318" s="3"/>
      <c r="O318" s="21"/>
      <c r="P318" s="21"/>
      <c r="Q318" s="21"/>
      <c r="R318" s="23"/>
      <c r="S318" s="50"/>
      <c r="T318" s="48"/>
      <c r="U318" s="82"/>
      <c r="V318" s="26"/>
      <c r="W318" s="200"/>
      <c r="X318" s="17"/>
    </row>
    <row r="319" spans="2:24" x14ac:dyDescent="0.25">
      <c r="B319" s="17">
        <v>235</v>
      </c>
      <c r="C319" s="10"/>
      <c r="E319" s="72"/>
      <c r="F319" s="18"/>
      <c r="G319" s="10"/>
      <c r="H319" s="10"/>
      <c r="I319" s="10"/>
      <c r="J319" s="11"/>
      <c r="K319" s="11"/>
      <c r="L319" s="37"/>
      <c r="M319" s="3"/>
      <c r="O319" s="21"/>
      <c r="P319" s="21"/>
      <c r="Q319" s="21"/>
      <c r="R319" s="23"/>
      <c r="S319" s="50"/>
      <c r="T319" s="48"/>
      <c r="U319" s="82"/>
      <c r="V319" s="26"/>
      <c r="W319" s="200"/>
      <c r="X319" s="17"/>
    </row>
    <row r="320" spans="2:24" x14ac:dyDescent="0.25">
      <c r="B320" s="17">
        <v>235</v>
      </c>
      <c r="C320" s="10"/>
      <c r="E320" s="72"/>
      <c r="F320" s="18"/>
      <c r="G320" s="10"/>
      <c r="H320" s="10"/>
      <c r="I320" s="10"/>
      <c r="J320" s="11"/>
      <c r="K320" s="11"/>
      <c r="L320" s="37"/>
      <c r="M320" s="3"/>
      <c r="O320" s="21"/>
      <c r="P320" s="21"/>
      <c r="Q320" s="21"/>
      <c r="R320" s="23"/>
      <c r="S320" s="50"/>
      <c r="T320" s="48"/>
      <c r="U320" s="82"/>
      <c r="V320" s="26"/>
      <c r="W320" s="200"/>
      <c r="X320" s="17"/>
    </row>
    <row r="321" spans="2:24" x14ac:dyDescent="0.25">
      <c r="B321" s="17">
        <v>235</v>
      </c>
      <c r="C321" s="10"/>
      <c r="E321" s="72"/>
      <c r="F321" s="18"/>
      <c r="G321" s="10"/>
      <c r="H321" s="10"/>
      <c r="I321" s="10"/>
      <c r="J321" s="11"/>
      <c r="K321" s="11"/>
      <c r="L321" s="37"/>
      <c r="M321" s="3"/>
      <c r="O321" s="21"/>
      <c r="P321" s="21"/>
      <c r="Q321" s="21"/>
      <c r="R321" s="23"/>
      <c r="S321" s="50"/>
      <c r="T321" s="48"/>
      <c r="U321" s="82"/>
      <c r="V321" s="26"/>
      <c r="W321" s="200"/>
      <c r="X321" s="17"/>
    </row>
    <row r="322" spans="2:24" x14ac:dyDescent="0.25">
      <c r="B322" s="17">
        <v>235</v>
      </c>
      <c r="C322" s="10"/>
      <c r="E322" s="72"/>
      <c r="F322" s="18"/>
      <c r="G322" s="10"/>
      <c r="H322" s="10"/>
      <c r="I322" s="10"/>
      <c r="J322" s="11"/>
      <c r="K322" s="11"/>
      <c r="L322" s="37"/>
      <c r="M322" s="3"/>
      <c r="O322" s="21"/>
      <c r="P322" s="21"/>
      <c r="Q322" s="21"/>
      <c r="R322" s="23"/>
      <c r="S322" s="50"/>
      <c r="T322" s="48"/>
      <c r="U322" s="82"/>
      <c r="V322" s="26"/>
      <c r="W322" s="200"/>
      <c r="X322" s="17"/>
    </row>
    <row r="323" spans="2:24" x14ac:dyDescent="0.25">
      <c r="B323" s="17">
        <v>235</v>
      </c>
      <c r="C323" s="10"/>
      <c r="E323" s="72"/>
      <c r="F323" s="18"/>
      <c r="G323" s="10"/>
      <c r="H323" s="10"/>
      <c r="I323" s="10"/>
      <c r="J323" s="11"/>
      <c r="K323" s="11"/>
      <c r="L323" s="37"/>
      <c r="M323" s="3"/>
      <c r="O323" s="21"/>
      <c r="P323" s="21"/>
      <c r="Q323" s="21"/>
      <c r="R323" s="23"/>
      <c r="S323" s="50"/>
      <c r="T323" s="48"/>
      <c r="U323" s="82"/>
      <c r="V323" s="26"/>
      <c r="W323" s="200"/>
      <c r="X323" s="17"/>
    </row>
    <row r="324" spans="2:24" x14ac:dyDescent="0.25">
      <c r="B324" s="17">
        <v>235</v>
      </c>
      <c r="C324" s="10"/>
      <c r="E324" s="72"/>
      <c r="F324" s="18"/>
      <c r="G324" s="10"/>
      <c r="H324" s="10"/>
      <c r="I324" s="10"/>
      <c r="J324" s="11"/>
      <c r="K324" s="11"/>
      <c r="L324" s="37"/>
      <c r="M324" s="3"/>
      <c r="O324" s="21"/>
      <c r="P324" s="21"/>
      <c r="Q324" s="21"/>
      <c r="R324" s="23"/>
      <c r="S324" s="50"/>
      <c r="T324" s="48"/>
      <c r="U324" s="82"/>
      <c r="V324" s="26"/>
      <c r="W324" s="200"/>
      <c r="X324" s="17"/>
    </row>
    <row r="325" spans="2:24" x14ac:dyDescent="0.25">
      <c r="B325" s="17">
        <v>235</v>
      </c>
      <c r="C325" s="10"/>
      <c r="E325" s="72"/>
      <c r="F325" s="18"/>
      <c r="G325" s="10"/>
      <c r="H325" s="10"/>
      <c r="I325" s="10"/>
      <c r="J325" s="11"/>
      <c r="K325" s="11"/>
      <c r="L325" s="37"/>
      <c r="M325" s="3"/>
      <c r="O325" s="21"/>
      <c r="P325" s="21"/>
      <c r="Q325" s="21"/>
      <c r="R325" s="23"/>
      <c r="S325" s="50"/>
      <c r="T325" s="48"/>
      <c r="U325" s="82"/>
      <c r="V325" s="26"/>
      <c r="W325" s="200"/>
      <c r="X325" s="17"/>
    </row>
    <row r="326" spans="2:24" x14ac:dyDescent="0.25">
      <c r="B326" s="17">
        <v>235</v>
      </c>
      <c r="C326" s="10"/>
      <c r="E326" s="72"/>
      <c r="F326" s="18"/>
      <c r="G326" s="10"/>
      <c r="H326" s="10"/>
      <c r="I326" s="10"/>
      <c r="J326" s="11"/>
      <c r="K326" s="11"/>
      <c r="L326" s="37"/>
      <c r="M326" s="3"/>
      <c r="O326" s="21"/>
      <c r="P326" s="21"/>
      <c r="Q326" s="21"/>
      <c r="R326" s="23"/>
      <c r="S326" s="50"/>
      <c r="T326" s="48"/>
      <c r="U326" s="82"/>
      <c r="V326" s="26"/>
      <c r="W326" s="200"/>
      <c r="X326" s="17"/>
    </row>
    <row r="327" spans="2:24" x14ac:dyDescent="0.25">
      <c r="B327" s="17">
        <v>235</v>
      </c>
      <c r="C327" s="10"/>
      <c r="E327" s="72"/>
      <c r="F327" s="18"/>
      <c r="G327" s="10"/>
      <c r="H327" s="10"/>
      <c r="I327" s="10"/>
      <c r="J327" s="11"/>
      <c r="K327" s="11"/>
      <c r="L327" s="37"/>
      <c r="M327" s="3"/>
      <c r="O327" s="21"/>
      <c r="P327" s="21"/>
      <c r="Q327" s="21"/>
      <c r="R327" s="23"/>
      <c r="S327" s="50"/>
      <c r="T327" s="48"/>
      <c r="U327" s="82"/>
      <c r="V327" s="26"/>
      <c r="W327" s="200"/>
      <c r="X327" s="17"/>
    </row>
    <row r="328" spans="2:24" x14ac:dyDescent="0.25">
      <c r="B328" s="17">
        <v>235</v>
      </c>
      <c r="C328" s="10"/>
      <c r="E328" s="72"/>
      <c r="F328" s="18"/>
      <c r="G328" s="10"/>
      <c r="H328" s="10"/>
      <c r="I328" s="10"/>
      <c r="J328" s="11"/>
      <c r="K328" s="11"/>
      <c r="L328" s="37"/>
      <c r="M328" s="3"/>
      <c r="O328" s="21"/>
      <c r="P328" s="21"/>
      <c r="Q328" s="21"/>
      <c r="R328" s="23"/>
      <c r="S328" s="50"/>
      <c r="T328" s="48"/>
      <c r="U328" s="82"/>
      <c r="V328" s="26"/>
      <c r="W328" s="200"/>
      <c r="X328" s="17"/>
    </row>
    <row r="329" spans="2:24" x14ac:dyDescent="0.25">
      <c r="B329" s="17">
        <v>235</v>
      </c>
      <c r="T329" s="48"/>
      <c r="U329" s="82"/>
      <c r="V329" s="26"/>
      <c r="W329" s="200"/>
      <c r="X329" s="17"/>
    </row>
    <row r="330" spans="2:24" x14ac:dyDescent="0.25">
      <c r="B330" s="17">
        <v>235</v>
      </c>
      <c r="T330" s="48"/>
      <c r="U330" s="82"/>
      <c r="V330" s="26"/>
      <c r="W330" s="200"/>
      <c r="X330" s="17"/>
    </row>
    <row r="331" spans="2:24" x14ac:dyDescent="0.25">
      <c r="B331" s="17">
        <v>235</v>
      </c>
      <c r="T331" s="48"/>
      <c r="U331" s="82"/>
      <c r="V331" s="26"/>
      <c r="W331" s="200"/>
      <c r="X331" s="17"/>
    </row>
    <row r="332" spans="2:24" x14ac:dyDescent="0.25">
      <c r="B332" s="17">
        <v>235</v>
      </c>
      <c r="T332" s="48"/>
      <c r="U332" s="82"/>
      <c r="V332" s="26"/>
      <c r="W332" s="200"/>
      <c r="X332" s="17"/>
    </row>
    <row r="333" spans="2:24" x14ac:dyDescent="0.25">
      <c r="B333" s="17">
        <v>235</v>
      </c>
      <c r="T333" s="48"/>
      <c r="U333" s="82"/>
      <c r="V333" s="26"/>
      <c r="W333" s="200"/>
      <c r="X333" s="17"/>
    </row>
    <row r="334" spans="2:24" x14ac:dyDescent="0.25">
      <c r="B334" s="17">
        <v>235</v>
      </c>
      <c r="T334" s="48"/>
      <c r="U334" s="82"/>
      <c r="V334" s="26"/>
      <c r="W334" s="200"/>
      <c r="X334" s="17"/>
    </row>
    <row r="335" spans="2:24" x14ac:dyDescent="0.25">
      <c r="B335" s="17">
        <v>235</v>
      </c>
      <c r="T335" s="48"/>
      <c r="U335" s="82"/>
      <c r="V335" s="26"/>
      <c r="W335" s="200"/>
      <c r="X335" s="17"/>
    </row>
    <row r="336" spans="2:24" x14ac:dyDescent="0.25">
      <c r="B336" t="s">
        <v>2121</v>
      </c>
      <c r="T336" s="48"/>
      <c r="U336" s="82"/>
      <c r="V336" s="26"/>
      <c r="W336" s="200"/>
      <c r="X336" s="17"/>
    </row>
    <row r="337" spans="2:24" x14ac:dyDescent="0.25">
      <c r="B337" s="17">
        <v>247</v>
      </c>
      <c r="C337" s="10"/>
      <c r="E337" s="72"/>
      <c r="F337" s="18"/>
      <c r="G337" s="10"/>
      <c r="H337" s="10"/>
      <c r="I337" s="10"/>
      <c r="J337" s="11"/>
      <c r="K337" s="11"/>
      <c r="L337" s="37"/>
      <c r="M337" s="3"/>
      <c r="O337" s="21"/>
      <c r="P337" s="21"/>
      <c r="Q337" s="21"/>
      <c r="R337" s="23"/>
      <c r="S337" s="50"/>
      <c r="T337" s="48"/>
      <c r="U337" s="82"/>
      <c r="V337" s="26"/>
      <c r="W337" s="200"/>
      <c r="X337" s="17"/>
    </row>
    <row r="338" spans="2:24" x14ac:dyDescent="0.25">
      <c r="B338" s="17"/>
      <c r="C338" s="10"/>
      <c r="E338" s="72"/>
      <c r="F338" s="18"/>
      <c r="G338" s="10"/>
      <c r="H338" s="10"/>
      <c r="I338" s="10"/>
      <c r="J338" s="11"/>
      <c r="K338" s="11"/>
      <c r="L338" s="37"/>
      <c r="M338" s="3"/>
      <c r="O338" s="21"/>
      <c r="P338" s="21"/>
      <c r="Q338" s="21"/>
      <c r="R338" s="23"/>
      <c r="S338" s="50"/>
      <c r="T338" s="48"/>
      <c r="U338" s="82"/>
      <c r="V338" s="26"/>
      <c r="W338" s="200"/>
      <c r="X338" s="17"/>
    </row>
    <row r="339" spans="2:24" x14ac:dyDescent="0.25">
      <c r="B339" s="17"/>
      <c r="C339" s="10"/>
      <c r="E339" s="72"/>
      <c r="F339" s="18"/>
      <c r="G339" s="10"/>
      <c r="H339" s="10"/>
      <c r="I339" s="10"/>
      <c r="J339" s="11"/>
      <c r="K339" s="11"/>
      <c r="L339" s="37"/>
      <c r="M339" s="3"/>
      <c r="O339" s="21"/>
      <c r="P339" s="21"/>
      <c r="Q339" s="21"/>
      <c r="R339" s="23"/>
      <c r="S339" s="50"/>
      <c r="T339" s="48"/>
      <c r="U339" s="82"/>
      <c r="V339" s="26"/>
      <c r="W339" s="200"/>
      <c r="X339" s="17"/>
    </row>
    <row r="340" spans="2:24" x14ac:dyDescent="0.25">
      <c r="B340" s="17"/>
      <c r="C340" s="10"/>
      <c r="E340" s="72"/>
      <c r="F340" s="18"/>
      <c r="G340" s="10"/>
      <c r="H340" s="10"/>
      <c r="I340" s="10"/>
      <c r="J340" s="11"/>
      <c r="K340" s="11"/>
      <c r="L340" s="37"/>
      <c r="M340" s="3"/>
      <c r="O340" s="21"/>
      <c r="P340" s="21"/>
      <c r="Q340" s="21"/>
      <c r="R340" s="23"/>
      <c r="S340" s="50"/>
      <c r="T340" s="48"/>
      <c r="U340" s="82"/>
      <c r="V340" s="26"/>
      <c r="W340" s="200"/>
      <c r="X340" s="17"/>
    </row>
    <row r="341" spans="2:24" x14ac:dyDescent="0.25">
      <c r="B341" s="17"/>
      <c r="C341" s="10"/>
      <c r="E341" s="72"/>
      <c r="F341" s="18"/>
      <c r="G341" s="10"/>
      <c r="H341" s="10"/>
      <c r="I341" s="10"/>
      <c r="J341" s="11"/>
      <c r="K341" s="11"/>
      <c r="L341" s="37"/>
      <c r="M341" s="3"/>
      <c r="O341" s="21"/>
      <c r="P341" s="21"/>
      <c r="Q341" s="21"/>
      <c r="R341" s="23"/>
      <c r="S341" s="50"/>
      <c r="T341" s="48"/>
      <c r="U341" s="82"/>
      <c r="V341" s="26"/>
      <c r="W341" s="200"/>
      <c r="X341" s="17"/>
    </row>
    <row r="342" spans="2:24" x14ac:dyDescent="0.25">
      <c r="B342" s="17"/>
      <c r="C342" s="10"/>
      <c r="E342" s="72"/>
      <c r="F342" s="18"/>
      <c r="G342" s="10"/>
      <c r="H342" s="10"/>
      <c r="I342" s="10"/>
      <c r="J342" s="11"/>
      <c r="K342" s="11"/>
      <c r="L342" s="37"/>
      <c r="M342" s="3"/>
      <c r="O342" s="21"/>
      <c r="P342" s="21"/>
      <c r="Q342" s="21"/>
      <c r="R342" s="23"/>
      <c r="S342" s="50"/>
      <c r="T342" s="48"/>
      <c r="U342" s="82"/>
      <c r="V342" s="26"/>
      <c r="W342" s="200"/>
      <c r="X342" s="17"/>
    </row>
    <row r="343" spans="2:24" x14ac:dyDescent="0.25">
      <c r="B343" s="17"/>
      <c r="C343" s="10"/>
      <c r="E343" s="72"/>
      <c r="F343" s="18"/>
      <c r="G343" s="10"/>
      <c r="H343" s="10"/>
      <c r="I343" s="10"/>
      <c r="J343" s="11"/>
      <c r="K343" s="11"/>
      <c r="L343" s="37"/>
      <c r="M343" s="3"/>
      <c r="O343" s="21"/>
      <c r="P343" s="21"/>
      <c r="Q343" s="21"/>
      <c r="R343" s="23"/>
      <c r="S343" s="50"/>
      <c r="T343" s="48"/>
      <c r="U343" s="82"/>
      <c r="V343" s="26"/>
      <c r="W343" s="200"/>
      <c r="X343" s="17"/>
    </row>
    <row r="344" spans="2:24" x14ac:dyDescent="0.25">
      <c r="B344" s="17"/>
      <c r="C344" s="10"/>
      <c r="E344" s="72"/>
      <c r="F344" s="18"/>
      <c r="G344" s="10"/>
      <c r="H344" s="10"/>
      <c r="I344" s="10"/>
      <c r="J344" s="11"/>
      <c r="K344" s="11"/>
      <c r="L344" s="37"/>
      <c r="M344" s="3"/>
      <c r="O344" s="21"/>
      <c r="P344" s="21"/>
      <c r="Q344" s="21"/>
      <c r="R344" s="23"/>
      <c r="S344" s="50"/>
      <c r="T344" s="48"/>
      <c r="U344" s="82"/>
      <c r="V344" s="26"/>
      <c r="W344" s="200"/>
      <c r="X344" s="17"/>
    </row>
    <row r="345" spans="2:24" x14ac:dyDescent="0.25">
      <c r="B345" s="17"/>
      <c r="C345" s="10"/>
      <c r="E345" s="72"/>
      <c r="F345" s="18"/>
      <c r="G345" s="10"/>
      <c r="H345" s="10"/>
      <c r="I345" s="10"/>
      <c r="J345" s="11"/>
      <c r="K345" s="11"/>
      <c r="L345" s="37"/>
      <c r="M345" s="3"/>
      <c r="O345" s="21"/>
      <c r="P345" s="21"/>
      <c r="Q345" s="21"/>
      <c r="R345" s="23"/>
      <c r="S345" s="50"/>
      <c r="T345" s="48"/>
      <c r="U345" s="82"/>
      <c r="V345" s="26"/>
      <c r="W345" s="200"/>
      <c r="X345" s="17"/>
    </row>
    <row r="346" spans="2:24" x14ac:dyDescent="0.25">
      <c r="B346" s="17"/>
      <c r="C346" s="10"/>
      <c r="E346" s="72"/>
      <c r="F346" s="18"/>
      <c r="G346" s="10"/>
      <c r="H346" s="10"/>
      <c r="I346" s="10"/>
      <c r="J346" s="11"/>
      <c r="K346" s="11"/>
      <c r="L346" s="37"/>
      <c r="M346" s="3"/>
      <c r="O346" s="21"/>
      <c r="P346" s="21"/>
      <c r="Q346" s="21"/>
      <c r="R346" s="23"/>
      <c r="S346" s="50"/>
      <c r="T346" s="48"/>
      <c r="U346" s="82"/>
      <c r="V346" s="26"/>
      <c r="W346" s="200"/>
      <c r="X346" s="17"/>
    </row>
    <row r="347" spans="2:24" x14ac:dyDescent="0.25">
      <c r="B347" s="17"/>
      <c r="C347" s="10"/>
      <c r="E347" s="72"/>
      <c r="F347" s="18"/>
      <c r="G347" s="10"/>
      <c r="H347" s="10"/>
      <c r="I347" s="10"/>
      <c r="J347" s="11"/>
      <c r="K347" s="11"/>
      <c r="L347" s="37"/>
      <c r="M347" s="3"/>
      <c r="O347" s="21"/>
      <c r="P347" s="21"/>
      <c r="Q347" s="21"/>
      <c r="R347" s="23"/>
      <c r="S347" s="50"/>
      <c r="T347" s="48"/>
      <c r="U347" s="82"/>
      <c r="V347" s="26"/>
      <c r="W347" s="200"/>
      <c r="X347" s="17"/>
    </row>
    <row r="348" spans="2:24" x14ac:dyDescent="0.25">
      <c r="B348" s="17"/>
      <c r="C348" s="10"/>
      <c r="E348" s="72"/>
      <c r="F348" s="18"/>
      <c r="G348" s="10"/>
      <c r="H348" s="10"/>
      <c r="I348" s="10"/>
      <c r="J348" s="11"/>
      <c r="K348" s="11"/>
      <c r="L348" s="37"/>
      <c r="M348" s="3"/>
      <c r="O348" s="21"/>
      <c r="P348" s="21"/>
      <c r="Q348" s="21"/>
      <c r="R348" s="23"/>
      <c r="S348" s="50"/>
      <c r="T348" s="48"/>
      <c r="U348" s="82"/>
      <c r="V348" s="26"/>
      <c r="W348" s="200"/>
      <c r="X348" s="17"/>
    </row>
    <row r="349" spans="2:24" x14ac:dyDescent="0.25">
      <c r="B349" s="17"/>
      <c r="C349" s="10"/>
      <c r="E349" s="72"/>
      <c r="F349" s="18"/>
      <c r="G349" s="10"/>
      <c r="H349" s="10"/>
      <c r="I349" s="10"/>
      <c r="J349" s="11"/>
      <c r="K349" s="11"/>
      <c r="L349" s="37"/>
      <c r="M349" s="3"/>
      <c r="O349" s="21"/>
      <c r="P349" s="21"/>
      <c r="Q349" s="21"/>
      <c r="R349" s="23"/>
      <c r="S349" s="50"/>
      <c r="T349" s="48"/>
      <c r="U349" s="82"/>
      <c r="V349" s="26"/>
      <c r="W349" s="200"/>
      <c r="X349" s="17"/>
    </row>
    <row r="350" spans="2:24" x14ac:dyDescent="0.25">
      <c r="B350" s="17"/>
      <c r="C350" s="10"/>
      <c r="E350" s="72"/>
      <c r="F350" s="18"/>
      <c r="G350" s="10"/>
      <c r="H350" s="10"/>
      <c r="I350" s="10"/>
      <c r="J350" s="11"/>
      <c r="K350" s="11"/>
      <c r="L350" s="37"/>
      <c r="M350" s="3"/>
      <c r="O350" s="21"/>
      <c r="P350" s="21"/>
      <c r="Q350" s="21"/>
      <c r="R350" s="23"/>
      <c r="S350" s="50"/>
      <c r="T350" s="48"/>
      <c r="U350" s="82"/>
      <c r="V350" s="26"/>
      <c r="W350" s="200"/>
      <c r="X350" s="17"/>
    </row>
    <row r="351" spans="2:24" x14ac:dyDescent="0.25">
      <c r="B351" s="17"/>
      <c r="C351" s="10"/>
      <c r="E351" s="72"/>
      <c r="F351" s="18"/>
      <c r="G351" s="10"/>
      <c r="H351" s="10"/>
      <c r="I351" s="10"/>
      <c r="J351" s="11"/>
      <c r="K351" s="11"/>
      <c r="L351" s="37"/>
      <c r="M351" s="3"/>
      <c r="O351" s="21"/>
      <c r="P351" s="21"/>
      <c r="Q351" s="21"/>
      <c r="R351" s="23"/>
      <c r="S351" s="50"/>
      <c r="T351" s="48"/>
      <c r="U351" s="82"/>
      <c r="V351" s="26"/>
      <c r="W351" s="200"/>
      <c r="X351" s="17"/>
    </row>
    <row r="352" spans="2:24" x14ac:dyDescent="0.25">
      <c r="B352" s="17"/>
      <c r="C352" s="10"/>
      <c r="E352" s="72"/>
      <c r="F352" s="18"/>
      <c r="G352" s="10"/>
      <c r="H352" s="10"/>
      <c r="I352" s="10"/>
      <c r="J352" s="11"/>
      <c r="K352" s="11"/>
      <c r="L352" s="37"/>
      <c r="M352" s="3"/>
      <c r="O352" s="21"/>
      <c r="P352" s="21"/>
      <c r="Q352" s="21"/>
      <c r="R352" s="23"/>
      <c r="S352" s="50"/>
      <c r="T352" s="48"/>
      <c r="U352" s="82"/>
      <c r="V352" s="26"/>
      <c r="W352" s="200"/>
      <c r="X352" s="17"/>
    </row>
    <row r="353" spans="2:24" x14ac:dyDescent="0.25">
      <c r="B353" s="17"/>
      <c r="C353" s="10"/>
      <c r="E353" s="72"/>
      <c r="F353" s="18"/>
      <c r="G353" s="10"/>
      <c r="H353" s="10"/>
      <c r="I353" s="10"/>
      <c r="J353" s="11"/>
      <c r="K353" s="11"/>
      <c r="L353" s="37"/>
      <c r="M353" s="3"/>
      <c r="O353" s="21"/>
      <c r="P353" s="21"/>
      <c r="Q353" s="21"/>
      <c r="R353" s="23"/>
      <c r="S353" s="50"/>
      <c r="T353" s="48"/>
      <c r="U353" s="82"/>
      <c r="V353" s="26"/>
      <c r="W353" s="200"/>
      <c r="X353" s="17"/>
    </row>
    <row r="354" spans="2:24" x14ac:dyDescent="0.25">
      <c r="B354" s="17"/>
      <c r="C354" s="10"/>
      <c r="E354" s="72"/>
      <c r="F354" s="18"/>
      <c r="G354" s="10"/>
      <c r="H354" s="10"/>
      <c r="I354" s="10"/>
      <c r="J354" s="11"/>
      <c r="K354" s="11"/>
      <c r="L354" s="37"/>
      <c r="M354" s="3"/>
      <c r="O354" s="21"/>
      <c r="P354" s="21"/>
      <c r="Q354" s="21"/>
      <c r="R354" s="23"/>
      <c r="S354" s="50"/>
      <c r="T354" s="48"/>
      <c r="U354" s="82"/>
      <c r="V354" s="26"/>
      <c r="W354" s="200"/>
      <c r="X354" s="17"/>
    </row>
  </sheetData>
  <autoFilter ref="B2:AV301" xr:uid="{00000000-0001-0000-0600-000000000000}">
    <filterColumn colId="25" showButton="0"/>
  </autoFilter>
  <mergeCells count="15">
    <mergeCell ref="AA21:AA26"/>
    <mergeCell ref="AA27:AA32"/>
    <mergeCell ref="AA1:AR1"/>
    <mergeCell ref="AA2:AB2"/>
    <mergeCell ref="AA3:AA8"/>
    <mergeCell ref="AA9:AA14"/>
    <mergeCell ref="AA15:AA20"/>
    <mergeCell ref="AA69:AA74"/>
    <mergeCell ref="AA75:AB75"/>
    <mergeCell ref="AA33:AA38"/>
    <mergeCell ref="AA39:AA44"/>
    <mergeCell ref="AA45:AA50"/>
    <mergeCell ref="AA51:AA56"/>
    <mergeCell ref="AA57:AA62"/>
    <mergeCell ref="AA63:AA68"/>
  </mergeCells>
  <phoneticPr fontId="5" type="noConversion"/>
  <conditionalFormatting sqref="U1:U1048576 W1:W1048576">
    <cfRule type="cellIs" dxfId="20" priority="1" operator="equal">
      <formula>"마케팅"</formula>
    </cfRule>
  </conditionalFormatting>
  <dataValidations count="10">
    <dataValidation type="list" allowBlank="1" showInputMessage="1" showErrorMessage="1" sqref="S3:S33 S36 S39:S185 S337:S354 S305:S328 S188:S284" xr:uid="{00000000-0002-0000-0600-000000000000}">
      <formula1>"(주)그랜드썬기술단, (주)그랜드썬,지에스피,유지에스"</formula1>
    </dataValidation>
    <dataValidation type="list" allowBlank="1" showInputMessage="1" showErrorMessage="1" sqref="S34:S35 S37:S38" xr:uid="{00000000-0002-0000-0600-000001000000}">
      <formula1>"(주)그랜드썬기술단, (주)그랜드썬,지에스피,유지에스,지에스이"</formula1>
    </dataValidation>
    <dataValidation type="list" allowBlank="1" showInputMessage="1" showErrorMessage="1" sqref="U3:U151 U156 U305:U354 U159:U301" xr:uid="{00000000-0002-0000-0600-000002000000}">
      <formula1>"소개,그 외"</formula1>
    </dataValidation>
    <dataValidation type="list" allowBlank="1" showInputMessage="1" showErrorMessage="1" sqref="D3:D64 D337:D354 D305:D328 D66:D301" xr:uid="{00000000-0002-0000-0600-000003000000}">
      <formula1>"기존시설물(A),일반부지(B),수면(C)"</formula1>
    </dataValidation>
    <dataValidation type="list" allowBlank="1" showInputMessage="1" showErrorMessage="1" sqref="C303:C328 C337:C354 C3:C301" xr:uid="{00000000-0002-0000-0600-000004000000}">
      <formula1>"직영(가),외주(나),입찰(다),검토(라)"</formula1>
    </dataValidation>
    <dataValidation type="list" allowBlank="1" showInputMessage="1" showErrorMessage="1" sqref="W3:W125 W127:W152 W305:W354 W154:W301" xr:uid="{00000000-0002-0000-0600-000005000000}">
      <formula1>"산단,공장,창고,축사,근생,자원순환,토지,업무시설"</formula1>
    </dataValidation>
    <dataValidation type="list" allowBlank="1" showInputMessage="1" showErrorMessage="1" sqref="X305:X354 X3:X301" xr:uid="{00000000-0002-0000-0600-000006000000}">
      <formula1>"유지,보류,취소"</formula1>
    </dataValidation>
    <dataValidation type="list" allowBlank="1" showInputMessage="1" showErrorMessage="1" sqref="W126" xr:uid="{00000000-0002-0000-0600-000007000000}">
      <formula1>"산단,공장,창고,축사,근생,자원순환, 창고 및 판매시설,토지,업무시설"</formula1>
    </dataValidation>
    <dataValidation type="list" allowBlank="1" showInputMessage="1" showErrorMessage="1" sqref="W153" xr:uid="{8AE20390-A9A3-4EB4-8145-631C7A47BA50}">
      <formula1>"산단,공장,창고,축사,근생,자원순환,토지,업무시설, 자동차관련시설"</formula1>
    </dataValidation>
    <dataValidation type="list" allowBlank="1" showInputMessage="1" showErrorMessage="1" sqref="Q3:Q250 Q252:Q318" xr:uid="{0C67B5ED-5699-4902-86DE-260EEB5395F0}">
      <formula1>"경기,강원,충남,충북,서울,인천,대전,세종,경남,경북,전남,전북,부산,대구,울산,제주,광주"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2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V318"/>
  <sheetViews>
    <sheetView zoomScale="75" zoomScaleNormal="75" workbookViewId="0">
      <pane ySplit="2" topLeftCell="A3" activePane="bottomLeft" state="frozen"/>
      <selection activeCell="O33" sqref="O33"/>
      <selection pane="bottomLeft" activeCell="X11" sqref="X11"/>
    </sheetView>
  </sheetViews>
  <sheetFormatPr defaultRowHeight="13.5" x14ac:dyDescent="0.25"/>
  <cols>
    <col min="1" max="1" width="3.7109375" customWidth="1"/>
    <col min="2" max="4" width="10.7109375" customWidth="1"/>
    <col min="5" max="5" width="10.7109375" style="75" customWidth="1"/>
    <col min="6" max="6" width="12.7109375" style="19" customWidth="1"/>
    <col min="7" max="8" width="10.7109375" customWidth="1"/>
    <col min="9" max="9" width="11.85546875" customWidth="1"/>
    <col min="10" max="11" width="15.7109375" style="6" customWidth="1"/>
    <col min="12" max="12" width="15.7109375" style="38" customWidth="1"/>
    <col min="13" max="13" width="15.7109375" style="6" customWidth="1"/>
    <col min="14" max="14" width="15.7109375" customWidth="1"/>
    <col min="15" max="15" width="21.42578125" customWidth="1"/>
    <col min="16" max="17" width="6" customWidth="1"/>
    <col min="18" max="18" width="38.42578125" style="22" customWidth="1"/>
    <col min="19" max="19" width="20.7109375" customWidth="1"/>
    <col min="20" max="20" width="13.42578125" customWidth="1"/>
    <col min="21" max="21" width="9.140625" style="34"/>
    <col min="22" max="22" width="47" style="7" customWidth="1"/>
    <col min="23" max="23" width="9.140625" style="34"/>
    <col min="29" max="29" width="11.140625" customWidth="1"/>
    <col min="30" max="34" width="11.7109375" customWidth="1"/>
    <col min="35" max="39" width="11.7109375" style="129" customWidth="1"/>
    <col min="40" max="44" width="11.7109375" customWidth="1"/>
  </cols>
  <sheetData>
    <row r="1" spans="2:48" ht="27" thickBot="1" x14ac:dyDescent="0.3">
      <c r="B1" s="33"/>
      <c r="C1" s="33"/>
      <c r="D1" s="33"/>
      <c r="E1" s="73"/>
      <c r="G1" s="8"/>
      <c r="H1" s="8"/>
      <c r="I1" s="24"/>
      <c r="J1" s="9"/>
      <c r="K1" s="9"/>
      <c r="L1" s="35"/>
      <c r="M1" s="9"/>
      <c r="U1" s="45"/>
      <c r="W1" s="45"/>
      <c r="AA1" s="423" t="s">
        <v>3</v>
      </c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5"/>
    </row>
    <row r="2" spans="2:48" ht="43.5" customHeight="1" thickTop="1" thickBot="1" x14ac:dyDescent="0.3">
      <c r="B2" s="16" t="s">
        <v>0</v>
      </c>
      <c r="C2" s="71" t="s">
        <v>90</v>
      </c>
      <c r="D2" s="71" t="s">
        <v>91</v>
      </c>
      <c r="E2" s="74" t="s">
        <v>92</v>
      </c>
      <c r="F2" s="20" t="s">
        <v>1</v>
      </c>
      <c r="G2" s="12" t="s">
        <v>22</v>
      </c>
      <c r="H2" s="12" t="s">
        <v>21</v>
      </c>
      <c r="I2" s="13" t="s">
        <v>2</v>
      </c>
      <c r="J2" s="14" t="s">
        <v>20</v>
      </c>
      <c r="K2" s="14" t="s">
        <v>4</v>
      </c>
      <c r="L2" s="36" t="s">
        <v>50</v>
      </c>
      <c r="M2" s="14" t="s">
        <v>29</v>
      </c>
      <c r="N2" s="12" t="s">
        <v>26</v>
      </c>
      <c r="O2" s="12" t="s">
        <v>28</v>
      </c>
      <c r="P2" s="12" t="s">
        <v>48</v>
      </c>
      <c r="Q2" s="12" t="s">
        <v>2158</v>
      </c>
      <c r="R2" s="12" t="s">
        <v>27</v>
      </c>
      <c r="S2" s="15" t="s">
        <v>5</v>
      </c>
      <c r="T2" s="25" t="s">
        <v>38</v>
      </c>
      <c r="U2" s="206" t="s">
        <v>54</v>
      </c>
      <c r="V2" s="16" t="s">
        <v>37</v>
      </c>
      <c r="W2" s="205" t="s">
        <v>256</v>
      </c>
      <c r="X2" s="108" t="s">
        <v>271</v>
      </c>
      <c r="AA2" s="420" t="s">
        <v>132</v>
      </c>
      <c r="AB2" s="421"/>
      <c r="AC2" s="111" t="s">
        <v>1</v>
      </c>
      <c r="AD2" s="112" t="s">
        <v>133</v>
      </c>
      <c r="AE2" s="113" t="s">
        <v>102</v>
      </c>
      <c r="AF2" s="113" t="s">
        <v>101</v>
      </c>
      <c r="AG2" s="113" t="s">
        <v>103</v>
      </c>
      <c r="AH2" s="114" t="s">
        <v>104</v>
      </c>
      <c r="AI2" s="117" t="s">
        <v>134</v>
      </c>
      <c r="AJ2" s="118" t="s">
        <v>102</v>
      </c>
      <c r="AK2" s="118" t="s">
        <v>101</v>
      </c>
      <c r="AL2" s="118" t="s">
        <v>103</v>
      </c>
      <c r="AM2" s="119" t="s">
        <v>104</v>
      </c>
      <c r="AN2" s="115" t="s">
        <v>135</v>
      </c>
      <c r="AO2" s="116" t="s">
        <v>102</v>
      </c>
      <c r="AP2" s="116" t="s">
        <v>101</v>
      </c>
      <c r="AQ2" s="116" t="s">
        <v>103</v>
      </c>
      <c r="AR2" s="116" t="s">
        <v>104</v>
      </c>
      <c r="AT2" s="151"/>
      <c r="AU2" s="152" t="s">
        <v>148</v>
      </c>
      <c r="AV2" s="153"/>
    </row>
    <row r="3" spans="2:48" s="10" customFormat="1" ht="13.5" customHeight="1" x14ac:dyDescent="0.25">
      <c r="B3" s="17">
        <v>1</v>
      </c>
      <c r="C3" s="10" t="s">
        <v>351</v>
      </c>
      <c r="D3" s="10" t="s">
        <v>332</v>
      </c>
      <c r="E3" s="72" t="s">
        <v>141</v>
      </c>
      <c r="F3" s="18" t="s">
        <v>333</v>
      </c>
      <c r="G3" s="10">
        <v>2</v>
      </c>
      <c r="H3" s="10">
        <v>4</v>
      </c>
      <c r="I3" s="10">
        <v>3983.99</v>
      </c>
      <c r="J3" s="11">
        <v>1625000000</v>
      </c>
      <c r="K3" s="11">
        <f t="shared" ref="K3:K4" si="0">J3*1.1</f>
        <v>1787500000.0000002</v>
      </c>
      <c r="L3" s="37">
        <f t="shared" ref="L3:L4" si="1">J3*0.00000001</f>
        <v>16.25</v>
      </c>
      <c r="M3" s="11" t="s">
        <v>53</v>
      </c>
      <c r="N3" s="10" t="s">
        <v>55</v>
      </c>
      <c r="O3" s="21" t="s">
        <v>334</v>
      </c>
      <c r="P3" s="21">
        <v>1</v>
      </c>
      <c r="Q3" s="21" t="s">
        <v>2138</v>
      </c>
      <c r="R3" s="23" t="s">
        <v>337</v>
      </c>
      <c r="S3" s="50" t="s">
        <v>81</v>
      </c>
      <c r="T3" s="86"/>
      <c r="U3" s="81" t="s">
        <v>197</v>
      </c>
      <c r="V3" s="83"/>
      <c r="W3" s="199" t="s">
        <v>259</v>
      </c>
      <c r="X3" s="208" t="s">
        <v>272</v>
      </c>
      <c r="Z3">
        <v>1</v>
      </c>
      <c r="AA3" s="415">
        <v>1</v>
      </c>
      <c r="AB3" s="94">
        <v>1</v>
      </c>
      <c r="AC3" s="100" t="s">
        <v>105</v>
      </c>
      <c r="AD3" s="41">
        <f>SUM(AE3:AH3)</f>
        <v>0</v>
      </c>
      <c r="AE3" s="70">
        <f>SUMIFS($I:$I,$C:$C, $AE$2,$G:$G,$Z3,$H:$H,$AB3)</f>
        <v>0</v>
      </c>
      <c r="AF3" s="70">
        <f>SUMIFS($I:$I,$C:$C, $AF$2,$G:$G,$Z3,$H:$H,$AB3)</f>
        <v>0</v>
      </c>
      <c r="AG3" s="70">
        <f>SUMIFS($I:$I,$C:$C, $AG$2,$G:$G,$Z3,$H:$H,$AB3)</f>
        <v>0</v>
      </c>
      <c r="AH3" s="109">
        <f>SUMIFS($I:$I,$C:$C, $AH$2,$G:$G,$Z3,$H:$H,$AB3)</f>
        <v>0</v>
      </c>
      <c r="AI3" s="120">
        <f>SUM(AJ3:AM3)</f>
        <v>0</v>
      </c>
      <c r="AJ3" s="121">
        <f>COUNTIFS($C:$C, $AJ$2,$G:$G,$Z3,$H:$H,$AB3)</f>
        <v>0</v>
      </c>
      <c r="AK3" s="121">
        <f>COUNTIFS($C:$C, $AK$2,$G:$G,$Z3,$H:$H,$AB3)</f>
        <v>0</v>
      </c>
      <c r="AL3" s="121">
        <f>COUNTIFS($C:$C, $AL$2,$G:$G,$Z3,$H:$H,$AB3)</f>
        <v>0</v>
      </c>
      <c r="AM3" s="122">
        <f>COUNTIFS($C:$C, $AM$2,$G:$G,$Z3,$H:$H,$AB3)</f>
        <v>0</v>
      </c>
      <c r="AN3" s="41">
        <f>SUM(AO3:AR3)</f>
        <v>0</v>
      </c>
      <c r="AO3" s="70">
        <f>SUMIFS($L:$L,$C:$C, $AO$2,$G:$G,$Z3,$H:$H,$AB3)</f>
        <v>0</v>
      </c>
      <c r="AP3" s="70">
        <f>SUMIFS($L:$L,$C:$C, $AP$2,$G:$G,$Z3,$H:$H,$AB3)</f>
        <v>0</v>
      </c>
      <c r="AQ3" s="70">
        <f>SUMIFS($L:$L,$C:$C, $AQ$2,$G:$G,$Z3,$H:$H,$AB3)</f>
        <v>0</v>
      </c>
      <c r="AR3" s="70">
        <f>SUMIFS($L:$L,$C:$C, $AR$2,$G:$G,$Z3,$H:$H,$AB3)</f>
        <v>0</v>
      </c>
      <c r="AT3" s="154" t="s">
        <v>149</v>
      </c>
      <c r="AU3" s="155" t="s">
        <v>150</v>
      </c>
      <c r="AV3" s="156" t="s">
        <v>151</v>
      </c>
    </row>
    <row r="4" spans="2:48" s="10" customFormat="1" ht="13.5" customHeight="1" x14ac:dyDescent="0.25">
      <c r="B4" s="17">
        <v>2</v>
      </c>
      <c r="C4" s="10" t="s">
        <v>351</v>
      </c>
      <c r="D4" s="10" t="s">
        <v>332</v>
      </c>
      <c r="E4" s="72" t="s">
        <v>146</v>
      </c>
      <c r="F4" s="18" t="s">
        <v>333</v>
      </c>
      <c r="G4" s="10">
        <v>2</v>
      </c>
      <c r="H4" s="10">
        <v>4</v>
      </c>
      <c r="I4" s="10">
        <v>1939.925</v>
      </c>
      <c r="J4" s="11">
        <v>1960000000</v>
      </c>
      <c r="K4" s="11">
        <f t="shared" si="0"/>
        <v>2156000000</v>
      </c>
      <c r="L4" s="37">
        <f t="shared" si="1"/>
        <v>19.600000000000001</v>
      </c>
      <c r="M4" s="11" t="s">
        <v>53</v>
      </c>
      <c r="N4" s="10" t="s">
        <v>55</v>
      </c>
      <c r="O4" s="21" t="s">
        <v>335</v>
      </c>
      <c r="P4" s="21">
        <v>2</v>
      </c>
      <c r="Q4" s="21" t="s">
        <v>2138</v>
      </c>
      <c r="R4" s="23" t="s">
        <v>336</v>
      </c>
      <c r="S4" s="50" t="s">
        <v>81</v>
      </c>
      <c r="T4" s="48"/>
      <c r="U4" s="81" t="s">
        <v>197</v>
      </c>
      <c r="V4" s="26"/>
      <c r="W4" s="200" t="s">
        <v>259</v>
      </c>
      <c r="X4" s="17" t="s">
        <v>272</v>
      </c>
      <c r="Z4">
        <v>1</v>
      </c>
      <c r="AA4" s="416"/>
      <c r="AB4" s="95">
        <v>2</v>
      </c>
      <c r="AC4" s="101" t="s">
        <v>61</v>
      </c>
      <c r="AD4" s="41">
        <f t="shared" ref="AD4:AD67" si="2">SUM(AE4:AH4)</f>
        <v>0</v>
      </c>
      <c r="AE4" s="70">
        <f t="shared" ref="AE4:AE67" si="3">SUMIFS($I:$I,$C:$C, $AE$2,$G:$G,$Z4,$H:$H,$AB4)</f>
        <v>0</v>
      </c>
      <c r="AF4" s="70">
        <f t="shared" ref="AF4:AF67" si="4">SUMIFS($I:$I,$C:$C, $AF$2,$G:$G,$Z4,$H:$H,$AB4)</f>
        <v>0</v>
      </c>
      <c r="AG4" s="70">
        <f t="shared" ref="AG4:AG67" si="5">SUMIFS($I:$I,$C:$C, $AG$2,$G:$G,$Z4,$H:$H,$AB4)</f>
        <v>0</v>
      </c>
      <c r="AH4" s="109">
        <f t="shared" ref="AH4:AH67" si="6">SUMIFS($I:$I,$C:$C, $AH$2,$G:$G,$Z4,$H:$H,$AB4)</f>
        <v>0</v>
      </c>
      <c r="AI4" s="120">
        <f t="shared" ref="AI4:AI67" si="7">SUM(AJ4:AM4)</f>
        <v>0</v>
      </c>
      <c r="AJ4" s="121">
        <f t="shared" ref="AJ4:AJ67" si="8">COUNTIFS($C:$C, $AJ$2,$G:$G,$Z4,$H:$H,$AB4)</f>
        <v>0</v>
      </c>
      <c r="AK4" s="121">
        <f t="shared" ref="AK4:AK67" si="9">COUNTIFS($C:$C, $AK$2,$G:$G,$Z4,$H:$H,$AB4)</f>
        <v>0</v>
      </c>
      <c r="AL4" s="121">
        <f t="shared" ref="AL4:AL67" si="10">COUNTIFS($C:$C, $AL$2,$G:$G,$Z4,$H:$H,$AB4)</f>
        <v>0</v>
      </c>
      <c r="AM4" s="122">
        <f t="shared" ref="AM4:AM67" si="11">COUNTIFS($C:$C, $AM$2,$G:$G,$Z4,$H:$H,$AB4)</f>
        <v>0</v>
      </c>
      <c r="AN4" s="41">
        <f t="shared" ref="AN4:AN67" si="12">SUM(AO4:AR4)</f>
        <v>0</v>
      </c>
      <c r="AO4" s="70">
        <f t="shared" ref="AO4:AO67" si="13">SUMIFS($L:$L,$C:$C, $AO$2,$G:$G,$Z4,$H:$H,$AB4)</f>
        <v>0</v>
      </c>
      <c r="AP4" s="70">
        <f t="shared" ref="AP4:AP67" si="14">SUMIFS($L:$L,$C:$C, $AP$2,$G:$G,$Z4,$H:$H,$AB4)</f>
        <v>0</v>
      </c>
      <c r="AQ4" s="70">
        <f t="shared" ref="AQ4:AQ67" si="15">SUMIFS($L:$L,$C:$C, $AQ$2,$G:$G,$Z4,$H:$H,$AB4)</f>
        <v>0</v>
      </c>
      <c r="AR4" s="70">
        <f t="shared" ref="AR4:AR67" si="16">SUMIFS($L:$L,$C:$C, $AR$2,$G:$G,$Z4,$H:$H,$AB4)</f>
        <v>0</v>
      </c>
      <c r="AT4" s="157">
        <v>1</v>
      </c>
      <c r="AU4" s="158">
        <f>COUNTIFS($U:$U,$AU$3,$G:$G,$AT4)</f>
        <v>0</v>
      </c>
      <c r="AV4" s="159">
        <f>COUNTIFS($U:$U,$AV$3,$G:$G,$AT4)</f>
        <v>0</v>
      </c>
    </row>
    <row r="5" spans="2:48" s="10" customFormat="1" ht="13.5" customHeight="1" x14ac:dyDescent="0.25">
      <c r="B5" s="17">
        <v>3</v>
      </c>
      <c r="C5" s="10" t="s">
        <v>351</v>
      </c>
      <c r="D5" s="10" t="s">
        <v>332</v>
      </c>
      <c r="E5" s="72" t="s">
        <v>306</v>
      </c>
      <c r="F5" s="18" t="s">
        <v>2296</v>
      </c>
      <c r="G5" s="10">
        <v>12</v>
      </c>
      <c r="H5" s="10">
        <v>4</v>
      </c>
      <c r="I5" s="10">
        <v>524.16</v>
      </c>
      <c r="J5" s="11">
        <v>490000000</v>
      </c>
      <c r="K5" s="11">
        <f t="shared" ref="K5:K65" si="17">J5*1.1</f>
        <v>539000000</v>
      </c>
      <c r="L5" s="37">
        <f t="shared" ref="L5:L65" si="18">J5*0.00000001</f>
        <v>4.9000000000000004</v>
      </c>
      <c r="M5" s="11" t="s">
        <v>518</v>
      </c>
      <c r="N5" s="11" t="s">
        <v>518</v>
      </c>
      <c r="O5" s="21" t="s">
        <v>2297</v>
      </c>
      <c r="P5" s="21">
        <v>3</v>
      </c>
      <c r="Q5" s="21" t="s">
        <v>2151</v>
      </c>
      <c r="R5" s="23" t="s">
        <v>2299</v>
      </c>
      <c r="S5" s="50" t="s">
        <v>81</v>
      </c>
      <c r="T5" s="48"/>
      <c r="U5" s="81" t="s">
        <v>197</v>
      </c>
      <c r="V5" s="26"/>
      <c r="W5" s="200" t="s">
        <v>259</v>
      </c>
      <c r="X5" s="17" t="s">
        <v>272</v>
      </c>
      <c r="Z5">
        <v>1</v>
      </c>
      <c r="AA5" s="416"/>
      <c r="AB5" s="95">
        <v>3</v>
      </c>
      <c r="AC5" s="102" t="s">
        <v>62</v>
      </c>
      <c r="AD5" s="41">
        <f t="shared" si="2"/>
        <v>0</v>
      </c>
      <c r="AE5" s="70">
        <f t="shared" si="3"/>
        <v>0</v>
      </c>
      <c r="AF5" s="70">
        <f t="shared" si="4"/>
        <v>0</v>
      </c>
      <c r="AG5" s="70">
        <f t="shared" si="5"/>
        <v>0</v>
      </c>
      <c r="AH5" s="109">
        <f t="shared" si="6"/>
        <v>0</v>
      </c>
      <c r="AI5" s="120">
        <f t="shared" si="7"/>
        <v>0</v>
      </c>
      <c r="AJ5" s="121">
        <f t="shared" si="8"/>
        <v>0</v>
      </c>
      <c r="AK5" s="121">
        <f t="shared" si="9"/>
        <v>0</v>
      </c>
      <c r="AL5" s="121">
        <f t="shared" si="10"/>
        <v>0</v>
      </c>
      <c r="AM5" s="122">
        <f t="shared" si="11"/>
        <v>0</v>
      </c>
      <c r="AN5" s="41">
        <f t="shared" si="12"/>
        <v>0</v>
      </c>
      <c r="AO5" s="70">
        <f t="shared" si="13"/>
        <v>0</v>
      </c>
      <c r="AP5" s="70">
        <f t="shared" si="14"/>
        <v>0</v>
      </c>
      <c r="AQ5" s="70">
        <f t="shared" si="15"/>
        <v>0</v>
      </c>
      <c r="AR5" s="70">
        <f t="shared" si="16"/>
        <v>0</v>
      </c>
      <c r="AT5" s="157">
        <v>2</v>
      </c>
      <c r="AU5" s="158">
        <f t="shared" ref="AU5:AU15" si="19">COUNTIFS($U:$U,$AU$3,$G:$G,$AT5)</f>
        <v>2</v>
      </c>
      <c r="AV5" s="159">
        <f t="shared" ref="AV5:AV15" si="20">COUNTIFS($U:$U,$AV$3,$G:$G,$AT5)</f>
        <v>0</v>
      </c>
    </row>
    <row r="6" spans="2:48" s="10" customFormat="1" ht="13.5" customHeight="1" x14ac:dyDescent="0.25">
      <c r="B6" s="17">
        <v>4</v>
      </c>
      <c r="C6" s="10" t="s">
        <v>351</v>
      </c>
      <c r="D6" s="10" t="s">
        <v>332</v>
      </c>
      <c r="E6" s="72" t="s">
        <v>744</v>
      </c>
      <c r="F6" s="18" t="s">
        <v>2296</v>
      </c>
      <c r="G6" s="10">
        <v>12</v>
      </c>
      <c r="H6" s="10">
        <v>4</v>
      </c>
      <c r="I6" s="10">
        <v>599.04</v>
      </c>
      <c r="J6" s="11">
        <v>510000000</v>
      </c>
      <c r="K6" s="11">
        <f t="shared" si="17"/>
        <v>561000000</v>
      </c>
      <c r="L6" s="37">
        <f t="shared" si="18"/>
        <v>5.1000000000000005</v>
      </c>
      <c r="M6" s="11" t="s">
        <v>518</v>
      </c>
      <c r="N6" s="11" t="s">
        <v>518</v>
      </c>
      <c r="O6" s="21" t="s">
        <v>2298</v>
      </c>
      <c r="P6" s="21"/>
      <c r="Q6" s="21" t="s">
        <v>2151</v>
      </c>
      <c r="R6" s="23" t="s">
        <v>2300</v>
      </c>
      <c r="S6" s="50" t="s">
        <v>81</v>
      </c>
      <c r="T6" s="48"/>
      <c r="U6" s="81" t="s">
        <v>197</v>
      </c>
      <c r="V6" s="26"/>
      <c r="W6" s="200" t="s">
        <v>259</v>
      </c>
      <c r="X6" s="17" t="s">
        <v>272</v>
      </c>
      <c r="Z6">
        <v>1</v>
      </c>
      <c r="AA6" s="416"/>
      <c r="AB6" s="95">
        <v>4</v>
      </c>
      <c r="AC6" s="102" t="s">
        <v>63</v>
      </c>
      <c r="AD6" s="41">
        <f t="shared" si="2"/>
        <v>0</v>
      </c>
      <c r="AE6" s="70">
        <f t="shared" si="3"/>
        <v>0</v>
      </c>
      <c r="AF6" s="70">
        <f t="shared" si="4"/>
        <v>0</v>
      </c>
      <c r="AG6" s="70">
        <f t="shared" si="5"/>
        <v>0</v>
      </c>
      <c r="AH6" s="109">
        <f t="shared" si="6"/>
        <v>0</v>
      </c>
      <c r="AI6" s="120">
        <f t="shared" si="7"/>
        <v>0</v>
      </c>
      <c r="AJ6" s="121">
        <f t="shared" si="8"/>
        <v>0</v>
      </c>
      <c r="AK6" s="121">
        <f t="shared" si="9"/>
        <v>0</v>
      </c>
      <c r="AL6" s="121">
        <f t="shared" si="10"/>
        <v>0</v>
      </c>
      <c r="AM6" s="122">
        <f t="shared" si="11"/>
        <v>0</v>
      </c>
      <c r="AN6" s="41">
        <f t="shared" si="12"/>
        <v>0</v>
      </c>
      <c r="AO6" s="70">
        <f t="shared" si="13"/>
        <v>0</v>
      </c>
      <c r="AP6" s="70">
        <f t="shared" si="14"/>
        <v>0</v>
      </c>
      <c r="AQ6" s="70">
        <f t="shared" si="15"/>
        <v>0</v>
      </c>
      <c r="AR6" s="70">
        <f t="shared" si="16"/>
        <v>0</v>
      </c>
      <c r="AT6" s="157">
        <v>3</v>
      </c>
      <c r="AU6" s="158">
        <f t="shared" si="19"/>
        <v>0</v>
      </c>
      <c r="AV6" s="159">
        <f t="shared" si="20"/>
        <v>0</v>
      </c>
    </row>
    <row r="7" spans="2:48" s="10" customFormat="1" ht="13.5" customHeight="1" x14ac:dyDescent="0.25">
      <c r="B7" s="17">
        <v>5</v>
      </c>
      <c r="E7" s="72"/>
      <c r="F7" s="18"/>
      <c r="J7" s="11"/>
      <c r="K7" s="11">
        <f t="shared" si="17"/>
        <v>0</v>
      </c>
      <c r="L7" s="37">
        <f t="shared" si="18"/>
        <v>0</v>
      </c>
      <c r="M7" s="11"/>
      <c r="O7" s="21"/>
      <c r="P7" s="21"/>
      <c r="Q7" s="21"/>
      <c r="R7" s="23"/>
      <c r="S7" s="50"/>
      <c r="T7" s="48"/>
      <c r="U7" s="81"/>
      <c r="V7" s="26"/>
      <c r="W7" s="200"/>
      <c r="X7" s="17"/>
      <c r="Z7">
        <v>1</v>
      </c>
      <c r="AA7" s="416"/>
      <c r="AB7" s="96">
        <v>5</v>
      </c>
      <c r="AC7" s="102" t="s">
        <v>64</v>
      </c>
      <c r="AD7" s="41">
        <f t="shared" si="2"/>
        <v>0</v>
      </c>
      <c r="AE7" s="70">
        <f t="shared" si="3"/>
        <v>0</v>
      </c>
      <c r="AF7" s="70">
        <f t="shared" si="4"/>
        <v>0</v>
      </c>
      <c r="AG7" s="70">
        <f t="shared" si="5"/>
        <v>0</v>
      </c>
      <c r="AH7" s="109">
        <f t="shared" si="6"/>
        <v>0</v>
      </c>
      <c r="AI7" s="120">
        <f t="shared" si="7"/>
        <v>0</v>
      </c>
      <c r="AJ7" s="121">
        <f t="shared" si="8"/>
        <v>0</v>
      </c>
      <c r="AK7" s="121">
        <f t="shared" si="9"/>
        <v>0</v>
      </c>
      <c r="AL7" s="121">
        <f t="shared" si="10"/>
        <v>0</v>
      </c>
      <c r="AM7" s="122">
        <f t="shared" si="11"/>
        <v>0</v>
      </c>
      <c r="AN7" s="41">
        <f t="shared" si="12"/>
        <v>0</v>
      </c>
      <c r="AO7" s="70">
        <f t="shared" si="13"/>
        <v>0</v>
      </c>
      <c r="AP7" s="70">
        <f t="shared" si="14"/>
        <v>0</v>
      </c>
      <c r="AQ7" s="70">
        <f t="shared" si="15"/>
        <v>0</v>
      </c>
      <c r="AR7" s="70">
        <f t="shared" si="16"/>
        <v>0</v>
      </c>
      <c r="AT7" s="157">
        <v>4</v>
      </c>
      <c r="AU7" s="158">
        <f t="shared" si="19"/>
        <v>0</v>
      </c>
      <c r="AV7" s="159">
        <f t="shared" si="20"/>
        <v>0</v>
      </c>
    </row>
    <row r="8" spans="2:48" s="10" customFormat="1" ht="13.5" customHeight="1" thickBot="1" x14ac:dyDescent="0.3">
      <c r="B8" s="17">
        <v>6</v>
      </c>
      <c r="E8" s="72"/>
      <c r="F8" s="18"/>
      <c r="J8" s="11"/>
      <c r="K8" s="11">
        <f t="shared" si="17"/>
        <v>0</v>
      </c>
      <c r="L8" s="37">
        <f t="shared" si="18"/>
        <v>0</v>
      </c>
      <c r="M8" s="11"/>
      <c r="O8" s="21"/>
      <c r="P8" s="21"/>
      <c r="Q8" s="21"/>
      <c r="R8" s="23"/>
      <c r="S8" s="50"/>
      <c r="T8" s="48"/>
      <c r="U8" s="81"/>
      <c r="V8" s="26"/>
      <c r="W8" s="200"/>
      <c r="X8" s="17"/>
      <c r="Z8">
        <v>1</v>
      </c>
      <c r="AA8" s="417"/>
      <c r="AB8" s="97" t="s">
        <v>3</v>
      </c>
      <c r="AC8" s="103"/>
      <c r="AD8" s="99">
        <f>SUM(AD3:AD7)</f>
        <v>0</v>
      </c>
      <c r="AE8" s="99">
        <f t="shared" ref="AE8" si="21">SUM(AE3:AE7)</f>
        <v>0</v>
      </c>
      <c r="AF8" s="99">
        <f t="shared" ref="AF8" si="22">SUM(AF3:AF7)</f>
        <v>0</v>
      </c>
      <c r="AG8" s="99">
        <f t="shared" ref="AG8" si="23">SUM(AG3:AG7)</f>
        <v>0</v>
      </c>
      <c r="AH8" s="110">
        <f t="shared" ref="AH8" si="24">SUM(AH3:AH7)</f>
        <v>0</v>
      </c>
      <c r="AI8" s="123">
        <f t="shared" ref="AI8" si="25">SUM(AI3:AI7)</f>
        <v>0</v>
      </c>
      <c r="AJ8" s="124">
        <f t="shared" ref="AJ8" si="26">SUM(AJ3:AJ7)</f>
        <v>0</v>
      </c>
      <c r="AK8" s="124">
        <f t="shared" ref="AK8" si="27">SUM(AK3:AK7)</f>
        <v>0</v>
      </c>
      <c r="AL8" s="124">
        <f t="shared" ref="AL8" si="28">SUM(AL3:AL7)</f>
        <v>0</v>
      </c>
      <c r="AM8" s="125">
        <f t="shared" ref="AM8" si="29">SUM(AM3:AM7)</f>
        <v>0</v>
      </c>
      <c r="AN8" s="99">
        <f t="shared" ref="AN8" si="30">SUM(AN3:AN7)</f>
        <v>0</v>
      </c>
      <c r="AO8" s="99">
        <f t="shared" ref="AO8" si="31">SUM(AO3:AO7)</f>
        <v>0</v>
      </c>
      <c r="AP8" s="99">
        <f t="shared" ref="AP8" si="32">SUM(AP3:AP7)</f>
        <v>0</v>
      </c>
      <c r="AQ8" s="99">
        <f t="shared" ref="AQ8" si="33">SUM(AQ3:AQ7)</f>
        <v>0</v>
      </c>
      <c r="AR8" s="99">
        <f t="shared" ref="AR8" si="34">SUM(AR3:AR7)</f>
        <v>0</v>
      </c>
      <c r="AT8" s="157">
        <v>5</v>
      </c>
      <c r="AU8" s="158">
        <f t="shared" si="19"/>
        <v>0</v>
      </c>
      <c r="AV8" s="159">
        <f t="shared" si="20"/>
        <v>0</v>
      </c>
    </row>
    <row r="9" spans="2:48" s="10" customFormat="1" ht="13.5" customHeight="1" x14ac:dyDescent="0.25">
      <c r="B9" s="17">
        <v>7</v>
      </c>
      <c r="E9" s="72"/>
      <c r="F9" s="18"/>
      <c r="J9" s="11"/>
      <c r="K9" s="11">
        <f t="shared" si="17"/>
        <v>0</v>
      </c>
      <c r="L9" s="37">
        <f t="shared" si="18"/>
        <v>0</v>
      </c>
      <c r="M9" s="11"/>
      <c r="O9" s="21"/>
      <c r="P9" s="21"/>
      <c r="Q9" s="21"/>
      <c r="R9" s="23"/>
      <c r="S9" s="50"/>
      <c r="T9" s="48"/>
      <c r="U9" s="81"/>
      <c r="V9" s="26"/>
      <c r="W9" s="200"/>
      <c r="X9" s="17"/>
      <c r="Z9">
        <v>2</v>
      </c>
      <c r="AA9" s="415">
        <v>2</v>
      </c>
      <c r="AB9" s="94">
        <v>1</v>
      </c>
      <c r="AC9" s="104" t="s">
        <v>106</v>
      </c>
      <c r="AD9" s="41">
        <f t="shared" si="2"/>
        <v>0</v>
      </c>
      <c r="AE9" s="70">
        <f t="shared" si="3"/>
        <v>0</v>
      </c>
      <c r="AF9" s="70">
        <f t="shared" si="4"/>
        <v>0</v>
      </c>
      <c r="AG9" s="70">
        <f t="shared" si="5"/>
        <v>0</v>
      </c>
      <c r="AH9" s="109">
        <f t="shared" si="6"/>
        <v>0</v>
      </c>
      <c r="AI9" s="120">
        <f t="shared" si="7"/>
        <v>0</v>
      </c>
      <c r="AJ9" s="121">
        <f t="shared" si="8"/>
        <v>0</v>
      </c>
      <c r="AK9" s="121">
        <f t="shared" si="9"/>
        <v>0</v>
      </c>
      <c r="AL9" s="121">
        <f t="shared" si="10"/>
        <v>0</v>
      </c>
      <c r="AM9" s="122">
        <f t="shared" si="11"/>
        <v>0</v>
      </c>
      <c r="AN9" s="41">
        <f t="shared" si="12"/>
        <v>0</v>
      </c>
      <c r="AO9" s="70">
        <f t="shared" si="13"/>
        <v>0</v>
      </c>
      <c r="AP9" s="70">
        <f t="shared" si="14"/>
        <v>0</v>
      </c>
      <c r="AQ9" s="70">
        <f t="shared" si="15"/>
        <v>0</v>
      </c>
      <c r="AR9" s="70">
        <f t="shared" si="16"/>
        <v>0</v>
      </c>
      <c r="AT9" s="157">
        <v>6</v>
      </c>
      <c r="AU9" s="158">
        <f t="shared" si="19"/>
        <v>0</v>
      </c>
      <c r="AV9" s="159">
        <f t="shared" si="20"/>
        <v>0</v>
      </c>
    </row>
    <row r="10" spans="2:48" s="10" customFormat="1" ht="13.5" customHeight="1" x14ac:dyDescent="0.25">
      <c r="B10" s="17">
        <v>8</v>
      </c>
      <c r="E10" s="72"/>
      <c r="F10" s="18"/>
      <c r="J10" s="11"/>
      <c r="K10" s="11">
        <f t="shared" si="17"/>
        <v>0</v>
      </c>
      <c r="L10" s="37">
        <f t="shared" si="18"/>
        <v>0</v>
      </c>
      <c r="M10" s="11"/>
      <c r="O10" s="21"/>
      <c r="P10" s="21"/>
      <c r="Q10" s="21"/>
      <c r="R10" s="23"/>
      <c r="S10" s="50"/>
      <c r="T10" s="48"/>
      <c r="U10" s="81"/>
      <c r="V10" s="26"/>
      <c r="W10" s="200"/>
      <c r="X10" s="17"/>
      <c r="Z10">
        <v>2</v>
      </c>
      <c r="AA10" s="416"/>
      <c r="AB10" s="95">
        <v>2</v>
      </c>
      <c r="AC10" s="102" t="s">
        <v>65</v>
      </c>
      <c r="AD10" s="41">
        <f t="shared" si="2"/>
        <v>0</v>
      </c>
      <c r="AE10" s="70">
        <f t="shared" si="3"/>
        <v>0</v>
      </c>
      <c r="AF10" s="70">
        <f t="shared" si="4"/>
        <v>0</v>
      </c>
      <c r="AG10" s="70">
        <f t="shared" si="5"/>
        <v>0</v>
      </c>
      <c r="AH10" s="109">
        <f t="shared" si="6"/>
        <v>0</v>
      </c>
      <c r="AI10" s="120">
        <f t="shared" si="7"/>
        <v>0</v>
      </c>
      <c r="AJ10" s="121">
        <f t="shared" si="8"/>
        <v>0</v>
      </c>
      <c r="AK10" s="121">
        <f t="shared" si="9"/>
        <v>0</v>
      </c>
      <c r="AL10" s="121">
        <f t="shared" si="10"/>
        <v>0</v>
      </c>
      <c r="AM10" s="122">
        <f t="shared" si="11"/>
        <v>0</v>
      </c>
      <c r="AN10" s="41">
        <f t="shared" si="12"/>
        <v>0</v>
      </c>
      <c r="AO10" s="70">
        <f t="shared" si="13"/>
        <v>0</v>
      </c>
      <c r="AP10" s="70">
        <f t="shared" si="14"/>
        <v>0</v>
      </c>
      <c r="AQ10" s="70">
        <f t="shared" si="15"/>
        <v>0</v>
      </c>
      <c r="AR10" s="70">
        <f t="shared" si="16"/>
        <v>0</v>
      </c>
      <c r="AT10" s="157">
        <v>7</v>
      </c>
      <c r="AU10" s="158">
        <f t="shared" si="19"/>
        <v>0</v>
      </c>
      <c r="AV10" s="159">
        <f t="shared" si="20"/>
        <v>0</v>
      </c>
    </row>
    <row r="11" spans="2:48" s="10" customFormat="1" ht="13.5" customHeight="1" x14ac:dyDescent="0.25">
      <c r="B11" s="17">
        <v>9</v>
      </c>
      <c r="E11" s="72"/>
      <c r="F11" s="18"/>
      <c r="J11" s="11"/>
      <c r="K11" s="11">
        <f t="shared" si="17"/>
        <v>0</v>
      </c>
      <c r="L11" s="37">
        <f t="shared" si="18"/>
        <v>0</v>
      </c>
      <c r="M11" s="11"/>
      <c r="O11" s="21"/>
      <c r="P11" s="21"/>
      <c r="Q11" s="21"/>
      <c r="R11" s="23"/>
      <c r="S11" s="50"/>
      <c r="T11" s="48"/>
      <c r="U11" s="81"/>
      <c r="V11" s="26"/>
      <c r="W11" s="200"/>
      <c r="X11" s="17"/>
      <c r="Z11">
        <v>2</v>
      </c>
      <c r="AA11" s="416"/>
      <c r="AB11" s="95">
        <v>3</v>
      </c>
      <c r="AC11" s="102" t="s">
        <v>66</v>
      </c>
      <c r="AD11" s="41">
        <f t="shared" si="2"/>
        <v>0</v>
      </c>
      <c r="AE11" s="70">
        <f t="shared" si="3"/>
        <v>0</v>
      </c>
      <c r="AF11" s="70">
        <f t="shared" si="4"/>
        <v>0</v>
      </c>
      <c r="AG11" s="70">
        <f t="shared" si="5"/>
        <v>0</v>
      </c>
      <c r="AH11" s="109">
        <f t="shared" si="6"/>
        <v>0</v>
      </c>
      <c r="AI11" s="120">
        <f t="shared" si="7"/>
        <v>0</v>
      </c>
      <c r="AJ11" s="121">
        <f t="shared" si="8"/>
        <v>0</v>
      </c>
      <c r="AK11" s="121">
        <f t="shared" si="9"/>
        <v>0</v>
      </c>
      <c r="AL11" s="121">
        <f t="shared" si="10"/>
        <v>0</v>
      </c>
      <c r="AM11" s="122">
        <f t="shared" si="11"/>
        <v>0</v>
      </c>
      <c r="AN11" s="41">
        <f t="shared" si="12"/>
        <v>0</v>
      </c>
      <c r="AO11" s="70">
        <f t="shared" si="13"/>
        <v>0</v>
      </c>
      <c r="AP11" s="70">
        <f t="shared" si="14"/>
        <v>0</v>
      </c>
      <c r="AQ11" s="70">
        <f t="shared" si="15"/>
        <v>0</v>
      </c>
      <c r="AR11" s="70">
        <f t="shared" si="16"/>
        <v>0</v>
      </c>
      <c r="AT11" s="157">
        <v>8</v>
      </c>
      <c r="AU11" s="158">
        <f t="shared" si="19"/>
        <v>0</v>
      </c>
      <c r="AV11" s="159">
        <f t="shared" si="20"/>
        <v>0</v>
      </c>
    </row>
    <row r="12" spans="2:48" s="10" customFormat="1" ht="13.5" customHeight="1" x14ac:dyDescent="0.25">
      <c r="B12" s="17">
        <v>10</v>
      </c>
      <c r="E12" s="72"/>
      <c r="F12" s="18"/>
      <c r="J12" s="11"/>
      <c r="K12" s="11">
        <f t="shared" si="17"/>
        <v>0</v>
      </c>
      <c r="L12" s="37">
        <f t="shared" si="18"/>
        <v>0</v>
      </c>
      <c r="M12" s="11"/>
      <c r="O12" s="21"/>
      <c r="P12" s="21"/>
      <c r="Q12" s="21"/>
      <c r="R12" s="23"/>
      <c r="S12" s="50"/>
      <c r="T12" s="48"/>
      <c r="U12" s="81"/>
      <c r="V12" s="26"/>
      <c r="W12" s="200"/>
      <c r="X12" s="17"/>
      <c r="Z12">
        <v>2</v>
      </c>
      <c r="AA12" s="416"/>
      <c r="AB12" s="95">
        <v>4</v>
      </c>
      <c r="AC12" s="102" t="s">
        <v>67</v>
      </c>
      <c r="AD12" s="41">
        <f t="shared" si="2"/>
        <v>5923.915</v>
      </c>
      <c r="AE12" s="70">
        <f t="shared" si="3"/>
        <v>0</v>
      </c>
      <c r="AF12" s="70">
        <f t="shared" si="4"/>
        <v>0</v>
      </c>
      <c r="AG12" s="70">
        <f t="shared" si="5"/>
        <v>5923.915</v>
      </c>
      <c r="AH12" s="109">
        <f t="shared" si="6"/>
        <v>0</v>
      </c>
      <c r="AI12" s="120">
        <f t="shared" si="7"/>
        <v>2</v>
      </c>
      <c r="AJ12" s="121">
        <f t="shared" si="8"/>
        <v>0</v>
      </c>
      <c r="AK12" s="121">
        <f t="shared" si="9"/>
        <v>0</v>
      </c>
      <c r="AL12" s="121">
        <f t="shared" si="10"/>
        <v>2</v>
      </c>
      <c r="AM12" s="122">
        <f t="shared" si="11"/>
        <v>0</v>
      </c>
      <c r="AN12" s="41">
        <f t="shared" si="12"/>
        <v>35.85</v>
      </c>
      <c r="AO12" s="70">
        <f t="shared" si="13"/>
        <v>0</v>
      </c>
      <c r="AP12" s="70">
        <f t="shared" si="14"/>
        <v>0</v>
      </c>
      <c r="AQ12" s="70">
        <f t="shared" si="15"/>
        <v>35.85</v>
      </c>
      <c r="AR12" s="70">
        <f t="shared" si="16"/>
        <v>0</v>
      </c>
      <c r="AT12" s="157">
        <v>9</v>
      </c>
      <c r="AU12" s="158">
        <f t="shared" si="19"/>
        <v>0</v>
      </c>
      <c r="AV12" s="159">
        <f t="shared" si="20"/>
        <v>0</v>
      </c>
    </row>
    <row r="13" spans="2:48" s="10" customFormat="1" ht="13.5" customHeight="1" x14ac:dyDescent="0.25">
      <c r="B13" s="17">
        <v>11</v>
      </c>
      <c r="E13" s="72"/>
      <c r="F13" s="18"/>
      <c r="J13" s="11"/>
      <c r="K13" s="11">
        <f t="shared" si="17"/>
        <v>0</v>
      </c>
      <c r="L13" s="37">
        <f t="shared" si="18"/>
        <v>0</v>
      </c>
      <c r="M13" s="11"/>
      <c r="O13" s="21"/>
      <c r="P13" s="21"/>
      <c r="Q13" s="21"/>
      <c r="R13" s="23"/>
      <c r="S13" s="50"/>
      <c r="T13" s="48"/>
      <c r="U13" s="81"/>
      <c r="V13" s="26"/>
      <c r="W13" s="200"/>
      <c r="X13" s="17"/>
      <c r="Z13">
        <v>2</v>
      </c>
      <c r="AA13" s="416"/>
      <c r="AB13" s="96">
        <v>5</v>
      </c>
      <c r="AC13" s="102"/>
      <c r="AD13" s="41">
        <f t="shared" si="2"/>
        <v>0</v>
      </c>
      <c r="AE13" s="70">
        <f t="shared" si="3"/>
        <v>0</v>
      </c>
      <c r="AF13" s="70">
        <f t="shared" si="4"/>
        <v>0</v>
      </c>
      <c r="AG13" s="70">
        <f t="shared" si="5"/>
        <v>0</v>
      </c>
      <c r="AH13" s="109">
        <f t="shared" si="6"/>
        <v>0</v>
      </c>
      <c r="AI13" s="120">
        <f t="shared" si="7"/>
        <v>0</v>
      </c>
      <c r="AJ13" s="121">
        <f t="shared" si="8"/>
        <v>0</v>
      </c>
      <c r="AK13" s="121">
        <f t="shared" si="9"/>
        <v>0</v>
      </c>
      <c r="AL13" s="121">
        <f t="shared" si="10"/>
        <v>0</v>
      </c>
      <c r="AM13" s="122">
        <f t="shared" si="11"/>
        <v>0</v>
      </c>
      <c r="AN13" s="41">
        <f t="shared" si="12"/>
        <v>0</v>
      </c>
      <c r="AO13" s="70">
        <f t="shared" si="13"/>
        <v>0</v>
      </c>
      <c r="AP13" s="70">
        <f t="shared" si="14"/>
        <v>0</v>
      </c>
      <c r="AQ13" s="70">
        <f t="shared" si="15"/>
        <v>0</v>
      </c>
      <c r="AR13" s="70">
        <f t="shared" si="16"/>
        <v>0</v>
      </c>
      <c r="AT13" s="157">
        <v>10</v>
      </c>
      <c r="AU13" s="158">
        <f t="shared" si="19"/>
        <v>0</v>
      </c>
      <c r="AV13" s="159">
        <f t="shared" si="20"/>
        <v>0</v>
      </c>
    </row>
    <row r="14" spans="2:48" s="10" customFormat="1" ht="13.5" customHeight="1" thickBot="1" x14ac:dyDescent="0.3">
      <c r="B14" s="17">
        <v>12</v>
      </c>
      <c r="E14" s="72"/>
      <c r="F14" s="18"/>
      <c r="J14" s="11"/>
      <c r="K14" s="11">
        <f t="shared" si="17"/>
        <v>0</v>
      </c>
      <c r="L14" s="37">
        <f t="shared" si="18"/>
        <v>0</v>
      </c>
      <c r="M14" s="11"/>
      <c r="O14" s="21"/>
      <c r="P14" s="21"/>
      <c r="Q14" s="21"/>
      <c r="R14" s="23"/>
      <c r="S14" s="50"/>
      <c r="T14" s="48"/>
      <c r="U14" s="81"/>
      <c r="V14" s="31"/>
      <c r="W14" s="200"/>
      <c r="X14" s="17"/>
      <c r="Z14">
        <v>2</v>
      </c>
      <c r="AA14" s="417"/>
      <c r="AB14" s="97" t="s">
        <v>3</v>
      </c>
      <c r="AC14" s="103"/>
      <c r="AD14" s="99">
        <f>SUM(AD9:AD13)</f>
        <v>5923.915</v>
      </c>
      <c r="AE14" s="99">
        <f t="shared" ref="AE14" si="35">SUM(AE9:AE13)</f>
        <v>0</v>
      </c>
      <c r="AF14" s="99">
        <f t="shared" ref="AF14" si="36">SUM(AF9:AF13)</f>
        <v>0</v>
      </c>
      <c r="AG14" s="99">
        <f t="shared" ref="AG14" si="37">SUM(AG9:AG13)</f>
        <v>5923.915</v>
      </c>
      <c r="AH14" s="110">
        <f t="shared" ref="AH14" si="38">SUM(AH9:AH13)</f>
        <v>0</v>
      </c>
      <c r="AI14" s="123">
        <f t="shared" ref="AI14" si="39">SUM(AI9:AI13)</f>
        <v>2</v>
      </c>
      <c r="AJ14" s="124">
        <f t="shared" ref="AJ14" si="40">SUM(AJ9:AJ13)</f>
        <v>0</v>
      </c>
      <c r="AK14" s="124">
        <f t="shared" ref="AK14" si="41">SUM(AK9:AK13)</f>
        <v>0</v>
      </c>
      <c r="AL14" s="124">
        <f t="shared" ref="AL14" si="42">SUM(AL9:AL13)</f>
        <v>2</v>
      </c>
      <c r="AM14" s="125">
        <f t="shared" ref="AM14" si="43">SUM(AM9:AM13)</f>
        <v>0</v>
      </c>
      <c r="AN14" s="99">
        <f t="shared" ref="AN14" si="44">SUM(AN9:AN13)</f>
        <v>35.85</v>
      </c>
      <c r="AO14" s="99">
        <f t="shared" ref="AO14" si="45">SUM(AO9:AO13)</f>
        <v>0</v>
      </c>
      <c r="AP14" s="99">
        <f t="shared" ref="AP14" si="46">SUM(AP9:AP13)</f>
        <v>0</v>
      </c>
      <c r="AQ14" s="99">
        <f t="shared" ref="AQ14" si="47">SUM(AQ9:AQ13)</f>
        <v>35.85</v>
      </c>
      <c r="AR14" s="99">
        <f t="shared" ref="AR14" si="48">SUM(AR9:AR13)</f>
        <v>0</v>
      </c>
      <c r="AT14" s="157">
        <v>11</v>
      </c>
      <c r="AU14" s="158">
        <f t="shared" si="19"/>
        <v>0</v>
      </c>
      <c r="AV14" s="159">
        <f t="shared" si="20"/>
        <v>0</v>
      </c>
    </row>
    <row r="15" spans="2:48" s="10" customFormat="1" ht="13.5" customHeight="1" thickBot="1" x14ac:dyDescent="0.3">
      <c r="B15" s="17">
        <v>13</v>
      </c>
      <c r="E15" s="72"/>
      <c r="F15" s="18"/>
      <c r="J15" s="11"/>
      <c r="K15" s="11">
        <f t="shared" si="17"/>
        <v>0</v>
      </c>
      <c r="L15" s="37">
        <f t="shared" si="18"/>
        <v>0</v>
      </c>
      <c r="M15" s="11"/>
      <c r="O15" s="21"/>
      <c r="P15" s="21"/>
      <c r="Q15" s="21"/>
      <c r="R15" s="23"/>
      <c r="S15" s="50"/>
      <c r="T15" s="48"/>
      <c r="U15" s="81"/>
      <c r="V15" s="32"/>
      <c r="W15" s="200"/>
      <c r="X15" s="17"/>
      <c r="Z15">
        <v>3</v>
      </c>
      <c r="AA15" s="415">
        <v>3</v>
      </c>
      <c r="AB15" s="94">
        <v>1</v>
      </c>
      <c r="AC15" s="100" t="s">
        <v>107</v>
      </c>
      <c r="AD15" s="41">
        <f t="shared" si="2"/>
        <v>0</v>
      </c>
      <c r="AE15" s="70">
        <f t="shared" si="3"/>
        <v>0</v>
      </c>
      <c r="AF15" s="70">
        <f t="shared" si="4"/>
        <v>0</v>
      </c>
      <c r="AG15" s="70">
        <f t="shared" si="5"/>
        <v>0</v>
      </c>
      <c r="AH15" s="109">
        <f t="shared" si="6"/>
        <v>0</v>
      </c>
      <c r="AI15" s="120">
        <f t="shared" si="7"/>
        <v>0</v>
      </c>
      <c r="AJ15" s="121">
        <f t="shared" si="8"/>
        <v>0</v>
      </c>
      <c r="AK15" s="121">
        <f t="shared" si="9"/>
        <v>0</v>
      </c>
      <c r="AL15" s="121">
        <f t="shared" si="10"/>
        <v>0</v>
      </c>
      <c r="AM15" s="122">
        <f t="shared" si="11"/>
        <v>0</v>
      </c>
      <c r="AN15" s="41">
        <f t="shared" si="12"/>
        <v>0</v>
      </c>
      <c r="AO15" s="70">
        <f t="shared" si="13"/>
        <v>0</v>
      </c>
      <c r="AP15" s="70">
        <f t="shared" si="14"/>
        <v>0</v>
      </c>
      <c r="AQ15" s="70">
        <f t="shared" si="15"/>
        <v>0</v>
      </c>
      <c r="AR15" s="70">
        <f t="shared" si="16"/>
        <v>0</v>
      </c>
      <c r="AT15" s="160">
        <v>12</v>
      </c>
      <c r="AU15" s="158">
        <f t="shared" si="19"/>
        <v>2</v>
      </c>
      <c r="AV15" s="159">
        <f t="shared" si="20"/>
        <v>0</v>
      </c>
    </row>
    <row r="16" spans="2:48" s="10" customFormat="1" ht="13.5" customHeight="1" thickBot="1" x14ac:dyDescent="0.3">
      <c r="B16" s="17">
        <v>14</v>
      </c>
      <c r="E16" s="72"/>
      <c r="F16" s="18"/>
      <c r="J16" s="11"/>
      <c r="K16" s="11">
        <f t="shared" si="17"/>
        <v>0</v>
      </c>
      <c r="L16" s="37">
        <f t="shared" si="18"/>
        <v>0</v>
      </c>
      <c r="M16" s="11"/>
      <c r="O16" s="21"/>
      <c r="P16" s="21"/>
      <c r="Q16" s="21"/>
      <c r="R16" s="23"/>
      <c r="S16" s="50"/>
      <c r="T16" s="48"/>
      <c r="U16" s="81"/>
      <c r="V16" s="32"/>
      <c r="W16" s="200"/>
      <c r="X16" s="17"/>
      <c r="Z16">
        <v>3</v>
      </c>
      <c r="AA16" s="416"/>
      <c r="AB16" s="95">
        <v>2</v>
      </c>
      <c r="AC16" s="101" t="s">
        <v>65</v>
      </c>
      <c r="AD16" s="41">
        <f t="shared" si="2"/>
        <v>0</v>
      </c>
      <c r="AE16" s="70">
        <f t="shared" si="3"/>
        <v>0</v>
      </c>
      <c r="AF16" s="70">
        <f t="shared" si="4"/>
        <v>0</v>
      </c>
      <c r="AG16" s="70">
        <f t="shared" si="5"/>
        <v>0</v>
      </c>
      <c r="AH16" s="109">
        <f t="shared" si="6"/>
        <v>0</v>
      </c>
      <c r="AI16" s="120">
        <f t="shared" si="7"/>
        <v>0</v>
      </c>
      <c r="AJ16" s="121">
        <f t="shared" si="8"/>
        <v>0</v>
      </c>
      <c r="AK16" s="121">
        <f t="shared" si="9"/>
        <v>0</v>
      </c>
      <c r="AL16" s="121">
        <f t="shared" si="10"/>
        <v>0</v>
      </c>
      <c r="AM16" s="122">
        <f t="shared" si="11"/>
        <v>0</v>
      </c>
      <c r="AN16" s="41">
        <f t="shared" si="12"/>
        <v>0</v>
      </c>
      <c r="AO16" s="70">
        <f t="shared" si="13"/>
        <v>0</v>
      </c>
      <c r="AP16" s="70">
        <f t="shared" si="14"/>
        <v>0</v>
      </c>
      <c r="AQ16" s="70">
        <f t="shared" si="15"/>
        <v>0</v>
      </c>
      <c r="AR16" s="70">
        <f t="shared" si="16"/>
        <v>0</v>
      </c>
      <c r="AT16" s="161" t="s">
        <v>3</v>
      </c>
      <c r="AU16" s="162">
        <f>SUM(AU4:AU15)</f>
        <v>4</v>
      </c>
      <c r="AV16" s="162">
        <f>SUM(AV4:AV15)</f>
        <v>0</v>
      </c>
    </row>
    <row r="17" spans="2:48" s="10" customFormat="1" ht="13.5" customHeight="1" thickBot="1" x14ac:dyDescent="0.3">
      <c r="B17" s="17">
        <v>15</v>
      </c>
      <c r="E17" s="72"/>
      <c r="F17" s="18"/>
      <c r="J17" s="11"/>
      <c r="K17" s="11">
        <f t="shared" si="17"/>
        <v>0</v>
      </c>
      <c r="L17" s="37">
        <f t="shared" si="18"/>
        <v>0</v>
      </c>
      <c r="M17" s="11"/>
      <c r="O17" s="21"/>
      <c r="P17" s="21"/>
      <c r="Q17" s="21"/>
      <c r="R17" s="23"/>
      <c r="S17" s="50"/>
      <c r="T17" s="48"/>
      <c r="U17" s="81"/>
      <c r="V17" s="32"/>
      <c r="W17" s="200"/>
      <c r="X17" s="17"/>
      <c r="Z17">
        <v>3</v>
      </c>
      <c r="AA17" s="416"/>
      <c r="AB17" s="95">
        <v>3</v>
      </c>
      <c r="AC17" s="102" t="s">
        <v>66</v>
      </c>
      <c r="AD17" s="41">
        <f t="shared" si="2"/>
        <v>0</v>
      </c>
      <c r="AE17" s="70">
        <f t="shared" si="3"/>
        <v>0</v>
      </c>
      <c r="AF17" s="70">
        <f t="shared" si="4"/>
        <v>0</v>
      </c>
      <c r="AG17" s="70">
        <f t="shared" si="5"/>
        <v>0</v>
      </c>
      <c r="AH17" s="109">
        <f t="shared" si="6"/>
        <v>0</v>
      </c>
      <c r="AI17" s="120">
        <f t="shared" si="7"/>
        <v>0</v>
      </c>
      <c r="AJ17" s="121">
        <f t="shared" si="8"/>
        <v>0</v>
      </c>
      <c r="AK17" s="121">
        <f t="shared" si="9"/>
        <v>0</v>
      </c>
      <c r="AL17" s="121">
        <f t="shared" si="10"/>
        <v>0</v>
      </c>
      <c r="AM17" s="122">
        <f t="shared" si="11"/>
        <v>0</v>
      </c>
      <c r="AN17" s="41">
        <f t="shared" si="12"/>
        <v>0</v>
      </c>
      <c r="AO17" s="70">
        <f t="shared" si="13"/>
        <v>0</v>
      </c>
      <c r="AP17" s="70">
        <f t="shared" si="14"/>
        <v>0</v>
      </c>
      <c r="AQ17" s="70">
        <f t="shared" si="15"/>
        <v>0</v>
      </c>
      <c r="AR17" s="70">
        <f t="shared" si="16"/>
        <v>0</v>
      </c>
      <c r="AT17" s="161" t="s">
        <v>152</v>
      </c>
      <c r="AU17" s="163">
        <f>AU16/($AU$16+$AV$16)</f>
        <v>1</v>
      </c>
      <c r="AV17" s="164">
        <f>AV16/($AV$16+$AU$16)</f>
        <v>0</v>
      </c>
    </row>
    <row r="18" spans="2:48" s="10" customFormat="1" ht="13.5" customHeight="1" x14ac:dyDescent="0.25">
      <c r="B18" s="17">
        <v>16</v>
      </c>
      <c r="E18" s="72"/>
      <c r="F18" s="18"/>
      <c r="J18" s="11"/>
      <c r="K18" s="11">
        <f t="shared" si="17"/>
        <v>0</v>
      </c>
      <c r="L18" s="37">
        <f t="shared" si="18"/>
        <v>0</v>
      </c>
      <c r="M18" s="11"/>
      <c r="O18" s="21"/>
      <c r="P18" s="21"/>
      <c r="Q18" s="21"/>
      <c r="R18" s="23"/>
      <c r="S18" s="50"/>
      <c r="T18" s="48"/>
      <c r="U18" s="81"/>
      <c r="V18" s="32"/>
      <c r="W18" s="200"/>
      <c r="X18" s="17"/>
      <c r="Z18">
        <v>3</v>
      </c>
      <c r="AA18" s="416"/>
      <c r="AB18" s="95">
        <v>4</v>
      </c>
      <c r="AC18" s="102" t="s">
        <v>67</v>
      </c>
      <c r="AD18" s="41">
        <f t="shared" si="2"/>
        <v>0</v>
      </c>
      <c r="AE18" s="70">
        <f t="shared" si="3"/>
        <v>0</v>
      </c>
      <c r="AF18" s="70">
        <f t="shared" si="4"/>
        <v>0</v>
      </c>
      <c r="AG18" s="70">
        <f t="shared" si="5"/>
        <v>0</v>
      </c>
      <c r="AH18" s="109">
        <f t="shared" si="6"/>
        <v>0</v>
      </c>
      <c r="AI18" s="120">
        <f t="shared" si="7"/>
        <v>0</v>
      </c>
      <c r="AJ18" s="121">
        <f t="shared" si="8"/>
        <v>0</v>
      </c>
      <c r="AK18" s="121">
        <f t="shared" si="9"/>
        <v>0</v>
      </c>
      <c r="AL18" s="121">
        <f t="shared" si="10"/>
        <v>0</v>
      </c>
      <c r="AM18" s="122">
        <f t="shared" si="11"/>
        <v>0</v>
      </c>
      <c r="AN18" s="41">
        <f t="shared" si="12"/>
        <v>0</v>
      </c>
      <c r="AO18" s="70">
        <f t="shared" si="13"/>
        <v>0</v>
      </c>
      <c r="AP18" s="70">
        <f t="shared" si="14"/>
        <v>0</v>
      </c>
      <c r="AQ18" s="70">
        <f t="shared" si="15"/>
        <v>0</v>
      </c>
      <c r="AR18" s="70">
        <f t="shared" si="16"/>
        <v>0</v>
      </c>
    </row>
    <row r="19" spans="2:48" s="10" customFormat="1" ht="13.5" customHeight="1" x14ac:dyDescent="0.25">
      <c r="B19" s="17">
        <v>17</v>
      </c>
      <c r="E19" s="72"/>
      <c r="F19" s="18"/>
      <c r="J19" s="11"/>
      <c r="K19" s="11">
        <f t="shared" si="17"/>
        <v>0</v>
      </c>
      <c r="L19" s="37">
        <f t="shared" si="18"/>
        <v>0</v>
      </c>
      <c r="M19" s="11"/>
      <c r="O19" s="21"/>
      <c r="P19" s="21"/>
      <c r="Q19" s="21"/>
      <c r="R19" s="23"/>
      <c r="S19" s="50"/>
      <c r="T19" s="48"/>
      <c r="U19" s="81"/>
      <c r="V19" s="26"/>
      <c r="W19" s="200"/>
      <c r="X19" s="17"/>
      <c r="Z19">
        <v>3</v>
      </c>
      <c r="AA19" s="416"/>
      <c r="AB19" s="96">
        <v>5</v>
      </c>
      <c r="AC19" s="102"/>
      <c r="AD19" s="41">
        <f t="shared" si="2"/>
        <v>0</v>
      </c>
      <c r="AE19" s="70">
        <f t="shared" si="3"/>
        <v>0</v>
      </c>
      <c r="AF19" s="70">
        <f t="shared" si="4"/>
        <v>0</v>
      </c>
      <c r="AG19" s="70">
        <f t="shared" si="5"/>
        <v>0</v>
      </c>
      <c r="AH19" s="109">
        <f t="shared" si="6"/>
        <v>0</v>
      </c>
      <c r="AI19" s="120">
        <f t="shared" si="7"/>
        <v>0</v>
      </c>
      <c r="AJ19" s="121">
        <f t="shared" si="8"/>
        <v>0</v>
      </c>
      <c r="AK19" s="121">
        <f t="shared" si="9"/>
        <v>0</v>
      </c>
      <c r="AL19" s="121">
        <f t="shared" si="10"/>
        <v>0</v>
      </c>
      <c r="AM19" s="122">
        <f t="shared" si="11"/>
        <v>0</v>
      </c>
      <c r="AN19" s="41">
        <f t="shared" si="12"/>
        <v>0</v>
      </c>
      <c r="AO19" s="70">
        <f t="shared" si="13"/>
        <v>0</v>
      </c>
      <c r="AP19" s="70">
        <f t="shared" si="14"/>
        <v>0</v>
      </c>
      <c r="AQ19" s="70">
        <f t="shared" si="15"/>
        <v>0</v>
      </c>
      <c r="AR19" s="70">
        <f t="shared" si="16"/>
        <v>0</v>
      </c>
    </row>
    <row r="20" spans="2:48" s="10" customFormat="1" ht="13.5" customHeight="1" thickBot="1" x14ac:dyDescent="0.3">
      <c r="B20" s="17">
        <v>18</v>
      </c>
      <c r="E20" s="72"/>
      <c r="F20" s="18"/>
      <c r="J20" s="11"/>
      <c r="K20" s="11">
        <f t="shared" si="17"/>
        <v>0</v>
      </c>
      <c r="L20" s="37">
        <f t="shared" si="18"/>
        <v>0</v>
      </c>
      <c r="M20" s="11"/>
      <c r="O20" s="21"/>
      <c r="P20" s="21"/>
      <c r="Q20" s="21"/>
      <c r="R20" s="23"/>
      <c r="S20" s="50"/>
      <c r="T20" s="48"/>
      <c r="U20" s="81"/>
      <c r="V20" s="26"/>
      <c r="W20" s="200"/>
      <c r="X20" s="17"/>
      <c r="Z20">
        <v>3</v>
      </c>
      <c r="AA20" s="417"/>
      <c r="AB20" s="97" t="s">
        <v>3</v>
      </c>
      <c r="AC20" s="103"/>
      <c r="AD20" s="99">
        <f>SUM(AD15:AD19)</f>
        <v>0</v>
      </c>
      <c r="AE20" s="99">
        <f t="shared" ref="AE20" si="49">SUM(AE15:AE19)</f>
        <v>0</v>
      </c>
      <c r="AF20" s="99">
        <f t="shared" ref="AF20" si="50">SUM(AF15:AF19)</f>
        <v>0</v>
      </c>
      <c r="AG20" s="99">
        <f t="shared" ref="AG20" si="51">SUM(AG15:AG19)</f>
        <v>0</v>
      </c>
      <c r="AH20" s="110">
        <f t="shared" ref="AH20" si="52">SUM(AH15:AH19)</f>
        <v>0</v>
      </c>
      <c r="AI20" s="123">
        <f t="shared" ref="AI20" si="53">SUM(AI15:AI19)</f>
        <v>0</v>
      </c>
      <c r="AJ20" s="124">
        <f t="shared" ref="AJ20" si="54">SUM(AJ15:AJ19)</f>
        <v>0</v>
      </c>
      <c r="AK20" s="124">
        <f t="shared" ref="AK20" si="55">SUM(AK15:AK19)</f>
        <v>0</v>
      </c>
      <c r="AL20" s="124">
        <f t="shared" ref="AL20" si="56">SUM(AL15:AL19)</f>
        <v>0</v>
      </c>
      <c r="AM20" s="125">
        <f t="shared" ref="AM20" si="57">SUM(AM15:AM19)</f>
        <v>0</v>
      </c>
      <c r="AN20" s="99">
        <f t="shared" ref="AN20" si="58">SUM(AN15:AN19)</f>
        <v>0</v>
      </c>
      <c r="AO20" s="99">
        <f t="shared" ref="AO20" si="59">SUM(AO15:AO19)</f>
        <v>0</v>
      </c>
      <c r="AP20" s="99">
        <f t="shared" ref="AP20" si="60">SUM(AP15:AP19)</f>
        <v>0</v>
      </c>
      <c r="AQ20" s="99">
        <f t="shared" ref="AQ20" si="61">SUM(AQ15:AQ19)</f>
        <v>0</v>
      </c>
      <c r="AR20" s="99">
        <f t="shared" ref="AR20" si="62">SUM(AR15:AR19)</f>
        <v>0</v>
      </c>
    </row>
    <row r="21" spans="2:48" s="10" customFormat="1" ht="13.5" customHeight="1" x14ac:dyDescent="0.25">
      <c r="B21" s="17">
        <v>19</v>
      </c>
      <c r="E21" s="72"/>
      <c r="F21" s="18"/>
      <c r="J21" s="11"/>
      <c r="K21" s="11">
        <f t="shared" si="17"/>
        <v>0</v>
      </c>
      <c r="L21" s="37">
        <f t="shared" si="18"/>
        <v>0</v>
      </c>
      <c r="M21" s="11"/>
      <c r="O21" s="21"/>
      <c r="P21" s="21"/>
      <c r="Q21" s="21"/>
      <c r="R21" s="23"/>
      <c r="S21" s="50"/>
      <c r="T21" s="48"/>
      <c r="U21" s="81"/>
      <c r="V21" s="26"/>
      <c r="W21" s="200"/>
      <c r="X21" s="17"/>
      <c r="Z21">
        <v>4</v>
      </c>
      <c r="AA21" s="415">
        <v>4</v>
      </c>
      <c r="AB21" s="94">
        <v>1</v>
      </c>
      <c r="AC21" s="100" t="s">
        <v>108</v>
      </c>
      <c r="AD21" s="41">
        <f t="shared" si="2"/>
        <v>0</v>
      </c>
      <c r="AE21" s="70">
        <f t="shared" si="3"/>
        <v>0</v>
      </c>
      <c r="AF21" s="70">
        <f t="shared" si="4"/>
        <v>0</v>
      </c>
      <c r="AG21" s="70">
        <f t="shared" si="5"/>
        <v>0</v>
      </c>
      <c r="AH21" s="109">
        <f t="shared" si="6"/>
        <v>0</v>
      </c>
      <c r="AI21" s="120">
        <f t="shared" si="7"/>
        <v>0</v>
      </c>
      <c r="AJ21" s="121">
        <f t="shared" si="8"/>
        <v>0</v>
      </c>
      <c r="AK21" s="121">
        <f t="shared" si="9"/>
        <v>0</v>
      </c>
      <c r="AL21" s="121">
        <f t="shared" si="10"/>
        <v>0</v>
      </c>
      <c r="AM21" s="122">
        <f t="shared" si="11"/>
        <v>0</v>
      </c>
      <c r="AN21" s="41">
        <f t="shared" si="12"/>
        <v>0</v>
      </c>
      <c r="AO21" s="70">
        <f t="shared" si="13"/>
        <v>0</v>
      </c>
      <c r="AP21" s="70">
        <f t="shared" si="14"/>
        <v>0</v>
      </c>
      <c r="AQ21" s="70">
        <f t="shared" si="15"/>
        <v>0</v>
      </c>
      <c r="AR21" s="70">
        <f t="shared" si="16"/>
        <v>0</v>
      </c>
    </row>
    <row r="22" spans="2:48" s="10" customFormat="1" ht="13.5" customHeight="1" x14ac:dyDescent="0.25">
      <c r="B22" s="17">
        <v>20</v>
      </c>
      <c r="E22" s="72"/>
      <c r="F22" s="18"/>
      <c r="J22" s="11"/>
      <c r="K22" s="11">
        <f t="shared" si="17"/>
        <v>0</v>
      </c>
      <c r="L22" s="37">
        <f t="shared" si="18"/>
        <v>0</v>
      </c>
      <c r="M22" s="11"/>
      <c r="O22" s="21"/>
      <c r="P22" s="21"/>
      <c r="Q22" s="21"/>
      <c r="R22" s="23"/>
      <c r="S22" s="50"/>
      <c r="T22" s="48"/>
      <c r="U22" s="81"/>
      <c r="V22" s="26"/>
      <c r="W22" s="200"/>
      <c r="X22" s="17"/>
      <c r="Z22">
        <v>4</v>
      </c>
      <c r="AA22" s="416"/>
      <c r="AB22" s="95">
        <v>2</v>
      </c>
      <c r="AC22" s="102" t="s">
        <v>68</v>
      </c>
      <c r="AD22" s="41">
        <f t="shared" si="2"/>
        <v>0</v>
      </c>
      <c r="AE22" s="70">
        <f t="shared" si="3"/>
        <v>0</v>
      </c>
      <c r="AF22" s="70">
        <f t="shared" si="4"/>
        <v>0</v>
      </c>
      <c r="AG22" s="70">
        <f t="shared" si="5"/>
        <v>0</v>
      </c>
      <c r="AH22" s="109">
        <f t="shared" si="6"/>
        <v>0</v>
      </c>
      <c r="AI22" s="120">
        <f t="shared" si="7"/>
        <v>0</v>
      </c>
      <c r="AJ22" s="121">
        <f t="shared" si="8"/>
        <v>0</v>
      </c>
      <c r="AK22" s="121">
        <f t="shared" si="9"/>
        <v>0</v>
      </c>
      <c r="AL22" s="121">
        <f t="shared" si="10"/>
        <v>0</v>
      </c>
      <c r="AM22" s="122">
        <f t="shared" si="11"/>
        <v>0</v>
      </c>
      <c r="AN22" s="41">
        <f t="shared" si="12"/>
        <v>0</v>
      </c>
      <c r="AO22" s="70">
        <f t="shared" si="13"/>
        <v>0</v>
      </c>
      <c r="AP22" s="70">
        <f t="shared" si="14"/>
        <v>0</v>
      </c>
      <c r="AQ22" s="70">
        <f t="shared" si="15"/>
        <v>0</v>
      </c>
      <c r="AR22" s="70">
        <f t="shared" si="16"/>
        <v>0</v>
      </c>
    </row>
    <row r="23" spans="2:48" s="10" customFormat="1" ht="13.5" customHeight="1" x14ac:dyDescent="0.25">
      <c r="B23" s="17">
        <v>21</v>
      </c>
      <c r="E23" s="72"/>
      <c r="F23" s="18"/>
      <c r="J23" s="11"/>
      <c r="K23" s="11">
        <f t="shared" si="17"/>
        <v>0</v>
      </c>
      <c r="L23" s="37">
        <f t="shared" si="18"/>
        <v>0</v>
      </c>
      <c r="M23" s="11"/>
      <c r="N23" s="11"/>
      <c r="O23" s="21"/>
      <c r="P23" s="21"/>
      <c r="Q23" s="21"/>
      <c r="R23" s="23"/>
      <c r="S23" s="50"/>
      <c r="T23" s="48"/>
      <c r="U23" s="81"/>
      <c r="V23" s="26"/>
      <c r="W23" s="200"/>
      <c r="X23" s="17"/>
      <c r="Z23">
        <v>4</v>
      </c>
      <c r="AA23" s="416"/>
      <c r="AB23" s="95">
        <v>3</v>
      </c>
      <c r="AC23" s="102" t="s">
        <v>69</v>
      </c>
      <c r="AD23" s="41">
        <f t="shared" si="2"/>
        <v>0</v>
      </c>
      <c r="AE23" s="70">
        <f t="shared" si="3"/>
        <v>0</v>
      </c>
      <c r="AF23" s="70">
        <f t="shared" si="4"/>
        <v>0</v>
      </c>
      <c r="AG23" s="70">
        <f t="shared" si="5"/>
        <v>0</v>
      </c>
      <c r="AH23" s="109">
        <f t="shared" si="6"/>
        <v>0</v>
      </c>
      <c r="AI23" s="120">
        <f t="shared" si="7"/>
        <v>0</v>
      </c>
      <c r="AJ23" s="121">
        <f t="shared" si="8"/>
        <v>0</v>
      </c>
      <c r="AK23" s="121">
        <f t="shared" si="9"/>
        <v>0</v>
      </c>
      <c r="AL23" s="121">
        <f t="shared" si="10"/>
        <v>0</v>
      </c>
      <c r="AM23" s="122">
        <f t="shared" si="11"/>
        <v>0</v>
      </c>
      <c r="AN23" s="41">
        <f t="shared" si="12"/>
        <v>0</v>
      </c>
      <c r="AO23" s="70">
        <f t="shared" si="13"/>
        <v>0</v>
      </c>
      <c r="AP23" s="70">
        <f t="shared" si="14"/>
        <v>0</v>
      </c>
      <c r="AQ23" s="70">
        <f t="shared" si="15"/>
        <v>0</v>
      </c>
      <c r="AR23" s="70">
        <f t="shared" si="16"/>
        <v>0</v>
      </c>
    </row>
    <row r="24" spans="2:48" s="10" customFormat="1" ht="13.5" customHeight="1" x14ac:dyDescent="0.25">
      <c r="B24" s="17">
        <v>22</v>
      </c>
      <c r="E24" s="72"/>
      <c r="F24" s="18"/>
      <c r="J24" s="11"/>
      <c r="K24" s="11">
        <f t="shared" si="17"/>
        <v>0</v>
      </c>
      <c r="L24" s="37">
        <f t="shared" si="18"/>
        <v>0</v>
      </c>
      <c r="M24" s="11"/>
      <c r="N24" s="11"/>
      <c r="O24" s="21"/>
      <c r="P24" s="21"/>
      <c r="Q24" s="21"/>
      <c r="R24" s="23"/>
      <c r="S24" s="50"/>
      <c r="T24" s="48"/>
      <c r="U24" s="81"/>
      <c r="V24" s="26"/>
      <c r="W24" s="200"/>
      <c r="X24" s="17"/>
      <c r="Z24">
        <v>4</v>
      </c>
      <c r="AA24" s="416"/>
      <c r="AB24" s="95">
        <v>4</v>
      </c>
      <c r="AC24" s="102" t="s">
        <v>70</v>
      </c>
      <c r="AD24" s="41">
        <f t="shared" si="2"/>
        <v>0</v>
      </c>
      <c r="AE24" s="70">
        <f t="shared" si="3"/>
        <v>0</v>
      </c>
      <c r="AF24" s="70">
        <f t="shared" si="4"/>
        <v>0</v>
      </c>
      <c r="AG24" s="70">
        <f t="shared" si="5"/>
        <v>0</v>
      </c>
      <c r="AH24" s="109">
        <f t="shared" si="6"/>
        <v>0</v>
      </c>
      <c r="AI24" s="120">
        <f t="shared" si="7"/>
        <v>0</v>
      </c>
      <c r="AJ24" s="121">
        <f t="shared" si="8"/>
        <v>0</v>
      </c>
      <c r="AK24" s="121">
        <f t="shared" si="9"/>
        <v>0</v>
      </c>
      <c r="AL24" s="121">
        <f t="shared" si="10"/>
        <v>0</v>
      </c>
      <c r="AM24" s="122">
        <f t="shared" si="11"/>
        <v>0</v>
      </c>
      <c r="AN24" s="41">
        <f t="shared" si="12"/>
        <v>0</v>
      </c>
      <c r="AO24" s="70">
        <f t="shared" si="13"/>
        <v>0</v>
      </c>
      <c r="AP24" s="70">
        <f t="shared" si="14"/>
        <v>0</v>
      </c>
      <c r="AQ24" s="70">
        <f t="shared" si="15"/>
        <v>0</v>
      </c>
      <c r="AR24" s="70">
        <f t="shared" si="16"/>
        <v>0</v>
      </c>
      <c r="AT24" s="201" t="s">
        <v>256</v>
      </c>
      <c r="AU24" s="201" t="s">
        <v>257</v>
      </c>
      <c r="AV24" s="201" t="s">
        <v>152</v>
      </c>
    </row>
    <row r="25" spans="2:48" s="10" customFormat="1" ht="13.5" customHeight="1" x14ac:dyDescent="0.25">
      <c r="B25" s="17">
        <v>23</v>
      </c>
      <c r="E25" s="72"/>
      <c r="F25" s="18"/>
      <c r="J25" s="11"/>
      <c r="K25" s="11">
        <f t="shared" si="17"/>
        <v>0</v>
      </c>
      <c r="L25" s="37">
        <f t="shared" si="18"/>
        <v>0</v>
      </c>
      <c r="M25" s="11"/>
      <c r="N25" s="11"/>
      <c r="O25" s="21"/>
      <c r="P25" s="21"/>
      <c r="Q25" s="21"/>
      <c r="R25" s="23"/>
      <c r="S25" s="50"/>
      <c r="T25" s="48"/>
      <c r="U25" s="81"/>
      <c r="V25" s="26"/>
      <c r="W25" s="200"/>
      <c r="X25" s="17"/>
      <c r="Z25">
        <v>4</v>
      </c>
      <c r="AA25" s="416"/>
      <c r="AB25" s="96">
        <v>5</v>
      </c>
      <c r="AC25" s="102" t="s">
        <v>109</v>
      </c>
      <c r="AD25" s="41">
        <f t="shared" si="2"/>
        <v>0</v>
      </c>
      <c r="AE25" s="70">
        <f t="shared" si="3"/>
        <v>0</v>
      </c>
      <c r="AF25" s="70">
        <f t="shared" si="4"/>
        <v>0</v>
      </c>
      <c r="AG25" s="70">
        <f t="shared" si="5"/>
        <v>0</v>
      </c>
      <c r="AH25" s="109">
        <f t="shared" si="6"/>
        <v>0</v>
      </c>
      <c r="AI25" s="120">
        <f t="shared" si="7"/>
        <v>0</v>
      </c>
      <c r="AJ25" s="121">
        <f t="shared" si="8"/>
        <v>0</v>
      </c>
      <c r="AK25" s="121">
        <f t="shared" si="9"/>
        <v>0</v>
      </c>
      <c r="AL25" s="121">
        <f t="shared" si="10"/>
        <v>0</v>
      </c>
      <c r="AM25" s="122">
        <f t="shared" si="11"/>
        <v>0</v>
      </c>
      <c r="AN25" s="41">
        <f t="shared" si="12"/>
        <v>0</v>
      </c>
      <c r="AO25" s="70">
        <f t="shared" si="13"/>
        <v>0</v>
      </c>
      <c r="AP25" s="70">
        <f t="shared" si="14"/>
        <v>0</v>
      </c>
      <c r="AQ25" s="70">
        <f t="shared" si="15"/>
        <v>0</v>
      </c>
      <c r="AR25" s="70">
        <f t="shared" si="16"/>
        <v>0</v>
      </c>
      <c r="AT25" s="202" t="s">
        <v>270</v>
      </c>
      <c r="AU25" s="202">
        <f>COUNTIF($W:$W, AT25)</f>
        <v>0</v>
      </c>
      <c r="AV25" s="203">
        <f>AU25/$AU$33</f>
        <v>0</v>
      </c>
    </row>
    <row r="26" spans="2:48" s="10" customFormat="1" ht="13.5" customHeight="1" thickBot="1" x14ac:dyDescent="0.3">
      <c r="B26" s="17">
        <v>24</v>
      </c>
      <c r="E26" s="72"/>
      <c r="F26" s="18"/>
      <c r="J26" s="11"/>
      <c r="K26" s="11">
        <f t="shared" si="17"/>
        <v>0</v>
      </c>
      <c r="L26" s="37">
        <f t="shared" si="18"/>
        <v>0</v>
      </c>
      <c r="M26" s="11"/>
      <c r="N26" s="11"/>
      <c r="O26" s="21"/>
      <c r="P26" s="21"/>
      <c r="Q26" s="21"/>
      <c r="R26" s="23"/>
      <c r="S26" s="50"/>
      <c r="T26" s="48"/>
      <c r="U26" s="81"/>
      <c r="V26" s="26"/>
      <c r="W26" s="200"/>
      <c r="X26" s="17"/>
      <c r="Z26">
        <v>4</v>
      </c>
      <c r="AA26" s="417"/>
      <c r="AB26" s="97" t="s">
        <v>3</v>
      </c>
      <c r="AC26" s="103"/>
      <c r="AD26" s="99">
        <f>SUM(AD21:AD25)</f>
        <v>0</v>
      </c>
      <c r="AE26" s="99">
        <f t="shared" ref="AE26" si="63">SUM(AE21:AE25)</f>
        <v>0</v>
      </c>
      <c r="AF26" s="99">
        <f t="shared" ref="AF26" si="64">SUM(AF21:AF25)</f>
        <v>0</v>
      </c>
      <c r="AG26" s="99">
        <f t="shared" ref="AG26" si="65">SUM(AG21:AG25)</f>
        <v>0</v>
      </c>
      <c r="AH26" s="110">
        <f t="shared" ref="AH26" si="66">SUM(AH21:AH25)</f>
        <v>0</v>
      </c>
      <c r="AI26" s="123">
        <f t="shared" ref="AI26" si="67">SUM(AI21:AI25)</f>
        <v>0</v>
      </c>
      <c r="AJ26" s="124">
        <f t="shared" ref="AJ26" si="68">SUM(AJ21:AJ25)</f>
        <v>0</v>
      </c>
      <c r="AK26" s="124">
        <f t="shared" ref="AK26" si="69">SUM(AK21:AK25)</f>
        <v>0</v>
      </c>
      <c r="AL26" s="124">
        <f t="shared" ref="AL26" si="70">SUM(AL21:AL25)</f>
        <v>0</v>
      </c>
      <c r="AM26" s="125">
        <f t="shared" ref="AM26" si="71">SUM(AM21:AM25)</f>
        <v>0</v>
      </c>
      <c r="AN26" s="99">
        <f t="shared" ref="AN26" si="72">SUM(AN21:AN25)</f>
        <v>0</v>
      </c>
      <c r="AO26" s="99">
        <f t="shared" ref="AO26" si="73">SUM(AO21:AO25)</f>
        <v>0</v>
      </c>
      <c r="AP26" s="99">
        <f t="shared" ref="AP26" si="74">SUM(AP21:AP25)</f>
        <v>0</v>
      </c>
      <c r="AQ26" s="99">
        <f t="shared" ref="AQ26" si="75">SUM(AQ21:AQ25)</f>
        <v>0</v>
      </c>
      <c r="AR26" s="99">
        <f t="shared" ref="AR26" si="76">SUM(AR21:AR25)</f>
        <v>0</v>
      </c>
      <c r="AT26" s="202" t="s">
        <v>259</v>
      </c>
      <c r="AU26" s="202">
        <f t="shared" ref="AU26:AU32" si="77">COUNTIF($W:$W, AT26)</f>
        <v>4</v>
      </c>
      <c r="AV26" s="203">
        <f t="shared" ref="AV26:AV33" si="78">AU26/$AU$33</f>
        <v>1</v>
      </c>
    </row>
    <row r="27" spans="2:48" s="10" customFormat="1" ht="13.5" customHeight="1" x14ac:dyDescent="0.25">
      <c r="B27" s="17">
        <v>25</v>
      </c>
      <c r="E27" s="72"/>
      <c r="F27" s="18"/>
      <c r="J27" s="11"/>
      <c r="K27" s="11">
        <f t="shared" si="17"/>
        <v>0</v>
      </c>
      <c r="L27" s="37">
        <f t="shared" si="18"/>
        <v>0</v>
      </c>
      <c r="M27" s="11"/>
      <c r="N27" s="11"/>
      <c r="O27" s="21"/>
      <c r="P27" s="21"/>
      <c r="Q27" s="21"/>
      <c r="R27" s="23"/>
      <c r="S27" s="50"/>
      <c r="T27" s="48"/>
      <c r="U27" s="81"/>
      <c r="V27" s="26"/>
      <c r="W27" s="200"/>
      <c r="X27" s="17"/>
      <c r="Z27">
        <v>5</v>
      </c>
      <c r="AA27" s="415">
        <v>5</v>
      </c>
      <c r="AB27" s="94">
        <v>1</v>
      </c>
      <c r="AC27" s="100" t="s">
        <v>110</v>
      </c>
      <c r="AD27" s="41">
        <f t="shared" si="2"/>
        <v>0</v>
      </c>
      <c r="AE27" s="70">
        <f t="shared" si="3"/>
        <v>0</v>
      </c>
      <c r="AF27" s="70">
        <f t="shared" si="4"/>
        <v>0</v>
      </c>
      <c r="AG27" s="70">
        <f t="shared" si="5"/>
        <v>0</v>
      </c>
      <c r="AH27" s="109">
        <f t="shared" si="6"/>
        <v>0</v>
      </c>
      <c r="AI27" s="120">
        <f t="shared" si="7"/>
        <v>0</v>
      </c>
      <c r="AJ27" s="121">
        <f t="shared" si="8"/>
        <v>0</v>
      </c>
      <c r="AK27" s="121">
        <f t="shared" si="9"/>
        <v>0</v>
      </c>
      <c r="AL27" s="121">
        <f t="shared" si="10"/>
        <v>0</v>
      </c>
      <c r="AM27" s="122">
        <f t="shared" si="11"/>
        <v>0</v>
      </c>
      <c r="AN27" s="41">
        <f t="shared" si="12"/>
        <v>0</v>
      </c>
      <c r="AO27" s="70">
        <f t="shared" si="13"/>
        <v>0</v>
      </c>
      <c r="AP27" s="70">
        <f t="shared" si="14"/>
        <v>0</v>
      </c>
      <c r="AQ27" s="70">
        <f t="shared" si="15"/>
        <v>0</v>
      </c>
      <c r="AR27" s="70">
        <f t="shared" si="16"/>
        <v>0</v>
      </c>
      <c r="AT27" s="202" t="s">
        <v>260</v>
      </c>
      <c r="AU27" s="202">
        <f t="shared" si="77"/>
        <v>0</v>
      </c>
      <c r="AV27" s="203">
        <f t="shared" si="78"/>
        <v>0</v>
      </c>
    </row>
    <row r="28" spans="2:48" s="10" customFormat="1" ht="13.5" customHeight="1" x14ac:dyDescent="0.25">
      <c r="B28" s="17">
        <v>26</v>
      </c>
      <c r="E28" s="72"/>
      <c r="F28" s="18"/>
      <c r="J28" s="11"/>
      <c r="K28" s="11">
        <f t="shared" si="17"/>
        <v>0</v>
      </c>
      <c r="L28" s="37">
        <f t="shared" si="18"/>
        <v>0</v>
      </c>
      <c r="M28" s="11"/>
      <c r="O28" s="21"/>
      <c r="P28" s="21"/>
      <c r="Q28" s="21"/>
      <c r="R28" s="23"/>
      <c r="S28" s="50"/>
      <c r="T28" s="48"/>
      <c r="U28" s="81"/>
      <c r="V28" s="26"/>
      <c r="W28" s="200"/>
      <c r="X28" s="17"/>
      <c r="Z28">
        <v>5</v>
      </c>
      <c r="AA28" s="416"/>
      <c r="AB28" s="95">
        <v>2</v>
      </c>
      <c r="AC28" s="102" t="s">
        <v>111</v>
      </c>
      <c r="AD28" s="41">
        <f t="shared" si="2"/>
        <v>0</v>
      </c>
      <c r="AE28" s="70">
        <f t="shared" si="3"/>
        <v>0</v>
      </c>
      <c r="AF28" s="70">
        <f t="shared" si="4"/>
        <v>0</v>
      </c>
      <c r="AG28" s="70">
        <f t="shared" si="5"/>
        <v>0</v>
      </c>
      <c r="AH28" s="109">
        <f t="shared" si="6"/>
        <v>0</v>
      </c>
      <c r="AI28" s="120">
        <f t="shared" si="7"/>
        <v>0</v>
      </c>
      <c r="AJ28" s="121">
        <f t="shared" si="8"/>
        <v>0</v>
      </c>
      <c r="AK28" s="121">
        <f t="shared" si="9"/>
        <v>0</v>
      </c>
      <c r="AL28" s="121">
        <f t="shared" si="10"/>
        <v>0</v>
      </c>
      <c r="AM28" s="122">
        <f t="shared" si="11"/>
        <v>0</v>
      </c>
      <c r="AN28" s="41">
        <f t="shared" si="12"/>
        <v>0</v>
      </c>
      <c r="AO28" s="70">
        <f t="shared" si="13"/>
        <v>0</v>
      </c>
      <c r="AP28" s="70">
        <f t="shared" si="14"/>
        <v>0</v>
      </c>
      <c r="AQ28" s="70">
        <f t="shared" si="15"/>
        <v>0</v>
      </c>
      <c r="AR28" s="70">
        <f t="shared" si="16"/>
        <v>0</v>
      </c>
      <c r="AT28" s="202" t="s">
        <v>261</v>
      </c>
      <c r="AU28" s="202">
        <f t="shared" si="77"/>
        <v>0</v>
      </c>
      <c r="AV28" s="203">
        <f t="shared" si="78"/>
        <v>0</v>
      </c>
    </row>
    <row r="29" spans="2:48" s="10" customFormat="1" ht="13.5" customHeight="1" x14ac:dyDescent="0.25">
      <c r="B29" s="17">
        <v>27</v>
      </c>
      <c r="E29" s="72"/>
      <c r="F29" s="18"/>
      <c r="J29" s="11"/>
      <c r="K29" s="11">
        <f t="shared" si="17"/>
        <v>0</v>
      </c>
      <c r="L29" s="37">
        <f t="shared" si="18"/>
        <v>0</v>
      </c>
      <c r="M29" s="11"/>
      <c r="O29" s="21"/>
      <c r="P29" s="21"/>
      <c r="Q29" s="21"/>
      <c r="R29" s="23"/>
      <c r="S29" s="50"/>
      <c r="T29" s="48"/>
      <c r="U29" s="81"/>
      <c r="V29" s="26"/>
      <c r="W29" s="200"/>
      <c r="X29" s="17"/>
      <c r="Z29">
        <v>5</v>
      </c>
      <c r="AA29" s="416"/>
      <c r="AB29" s="95">
        <v>3</v>
      </c>
      <c r="AC29" s="102" t="s">
        <v>112</v>
      </c>
      <c r="AD29" s="41">
        <f t="shared" si="2"/>
        <v>0</v>
      </c>
      <c r="AE29" s="70">
        <f t="shared" si="3"/>
        <v>0</v>
      </c>
      <c r="AF29" s="70">
        <f t="shared" si="4"/>
        <v>0</v>
      </c>
      <c r="AG29" s="70">
        <f t="shared" si="5"/>
        <v>0</v>
      </c>
      <c r="AH29" s="109">
        <f t="shared" si="6"/>
        <v>0</v>
      </c>
      <c r="AI29" s="120">
        <f t="shared" si="7"/>
        <v>0</v>
      </c>
      <c r="AJ29" s="121">
        <f t="shared" si="8"/>
        <v>0</v>
      </c>
      <c r="AK29" s="121">
        <f t="shared" si="9"/>
        <v>0</v>
      </c>
      <c r="AL29" s="121">
        <f t="shared" si="10"/>
        <v>0</v>
      </c>
      <c r="AM29" s="122">
        <f t="shared" si="11"/>
        <v>0</v>
      </c>
      <c r="AN29" s="41">
        <f t="shared" si="12"/>
        <v>0</v>
      </c>
      <c r="AO29" s="70">
        <f t="shared" si="13"/>
        <v>0</v>
      </c>
      <c r="AP29" s="70">
        <f t="shared" si="14"/>
        <v>0</v>
      </c>
      <c r="AQ29" s="70">
        <f t="shared" si="15"/>
        <v>0</v>
      </c>
      <c r="AR29" s="70">
        <f t="shared" si="16"/>
        <v>0</v>
      </c>
      <c r="AT29" s="202" t="s">
        <v>262</v>
      </c>
      <c r="AU29" s="202">
        <f t="shared" si="77"/>
        <v>0</v>
      </c>
      <c r="AV29" s="203">
        <f t="shared" si="78"/>
        <v>0</v>
      </c>
    </row>
    <row r="30" spans="2:48" s="10" customFormat="1" ht="13.5" customHeight="1" x14ac:dyDescent="0.25">
      <c r="B30" s="17">
        <v>28</v>
      </c>
      <c r="E30" s="72"/>
      <c r="F30" s="18"/>
      <c r="J30" s="11"/>
      <c r="K30" s="11">
        <f t="shared" si="17"/>
        <v>0</v>
      </c>
      <c r="L30" s="37">
        <f t="shared" si="18"/>
        <v>0</v>
      </c>
      <c r="M30" s="11"/>
      <c r="O30" s="21"/>
      <c r="P30" s="21"/>
      <c r="Q30" s="21"/>
      <c r="R30" s="23"/>
      <c r="S30" s="50"/>
      <c r="T30" s="48"/>
      <c r="U30" s="81"/>
      <c r="V30" s="26"/>
      <c r="W30" s="200"/>
      <c r="X30" s="17"/>
      <c r="Z30">
        <v>5</v>
      </c>
      <c r="AA30" s="416"/>
      <c r="AB30" s="95">
        <v>4</v>
      </c>
      <c r="AC30" s="102" t="s">
        <v>113</v>
      </c>
      <c r="AD30" s="41">
        <f t="shared" si="2"/>
        <v>0</v>
      </c>
      <c r="AE30" s="70">
        <f t="shared" si="3"/>
        <v>0</v>
      </c>
      <c r="AF30" s="70">
        <f t="shared" si="4"/>
        <v>0</v>
      </c>
      <c r="AG30" s="70">
        <f t="shared" si="5"/>
        <v>0</v>
      </c>
      <c r="AH30" s="109">
        <f t="shared" si="6"/>
        <v>0</v>
      </c>
      <c r="AI30" s="120">
        <f t="shared" si="7"/>
        <v>0</v>
      </c>
      <c r="AJ30" s="121">
        <f t="shared" si="8"/>
        <v>0</v>
      </c>
      <c r="AK30" s="121">
        <f t="shared" si="9"/>
        <v>0</v>
      </c>
      <c r="AL30" s="121">
        <f t="shared" si="10"/>
        <v>0</v>
      </c>
      <c r="AM30" s="122">
        <f t="shared" si="11"/>
        <v>0</v>
      </c>
      <c r="AN30" s="41">
        <f t="shared" si="12"/>
        <v>0</v>
      </c>
      <c r="AO30" s="70">
        <f t="shared" si="13"/>
        <v>0</v>
      </c>
      <c r="AP30" s="70">
        <f t="shared" si="14"/>
        <v>0</v>
      </c>
      <c r="AQ30" s="70">
        <f t="shared" si="15"/>
        <v>0</v>
      </c>
      <c r="AR30" s="70">
        <f t="shared" si="16"/>
        <v>0</v>
      </c>
      <c r="AT30" s="202" t="s">
        <v>263</v>
      </c>
      <c r="AU30" s="202">
        <f t="shared" si="77"/>
        <v>0</v>
      </c>
      <c r="AV30" s="203">
        <f t="shared" si="78"/>
        <v>0</v>
      </c>
    </row>
    <row r="31" spans="2:48" s="10" customFormat="1" ht="13.5" customHeight="1" x14ac:dyDescent="0.25">
      <c r="B31" s="17">
        <v>29</v>
      </c>
      <c r="E31" s="72"/>
      <c r="F31" s="18"/>
      <c r="J31" s="11"/>
      <c r="K31" s="11">
        <f t="shared" si="17"/>
        <v>0</v>
      </c>
      <c r="L31" s="37">
        <f t="shared" si="18"/>
        <v>0</v>
      </c>
      <c r="M31" s="11"/>
      <c r="O31" s="21"/>
      <c r="P31" s="21"/>
      <c r="Q31" s="21"/>
      <c r="R31" s="23"/>
      <c r="S31" s="50"/>
      <c r="T31" s="48"/>
      <c r="U31" s="81"/>
      <c r="V31" s="26"/>
      <c r="W31" s="200"/>
      <c r="X31" s="17"/>
      <c r="Z31">
        <v>5</v>
      </c>
      <c r="AA31" s="416"/>
      <c r="AB31" s="96">
        <v>5</v>
      </c>
      <c r="AC31" s="102"/>
      <c r="AD31" s="41">
        <f t="shared" si="2"/>
        <v>0</v>
      </c>
      <c r="AE31" s="70">
        <f t="shared" si="3"/>
        <v>0</v>
      </c>
      <c r="AF31" s="70">
        <f t="shared" si="4"/>
        <v>0</v>
      </c>
      <c r="AG31" s="70">
        <f t="shared" si="5"/>
        <v>0</v>
      </c>
      <c r="AH31" s="109">
        <f t="shared" si="6"/>
        <v>0</v>
      </c>
      <c r="AI31" s="120">
        <f t="shared" si="7"/>
        <v>0</v>
      </c>
      <c r="AJ31" s="121">
        <f t="shared" si="8"/>
        <v>0</v>
      </c>
      <c r="AK31" s="121">
        <f t="shared" si="9"/>
        <v>0</v>
      </c>
      <c r="AL31" s="121">
        <f t="shared" si="10"/>
        <v>0</v>
      </c>
      <c r="AM31" s="122">
        <f t="shared" si="11"/>
        <v>0</v>
      </c>
      <c r="AN31" s="41">
        <f t="shared" si="12"/>
        <v>0</v>
      </c>
      <c r="AO31" s="70">
        <f t="shared" si="13"/>
        <v>0</v>
      </c>
      <c r="AP31" s="70">
        <f t="shared" si="14"/>
        <v>0</v>
      </c>
      <c r="AQ31" s="70">
        <f t="shared" si="15"/>
        <v>0</v>
      </c>
      <c r="AR31" s="70">
        <f t="shared" si="16"/>
        <v>0</v>
      </c>
      <c r="AT31" s="202" t="s">
        <v>264</v>
      </c>
      <c r="AU31" s="202">
        <f t="shared" si="77"/>
        <v>0</v>
      </c>
      <c r="AV31" s="203">
        <f t="shared" si="78"/>
        <v>0</v>
      </c>
    </row>
    <row r="32" spans="2:48" s="10" customFormat="1" ht="13.5" customHeight="1" thickBot="1" x14ac:dyDescent="0.3">
      <c r="B32" s="17">
        <v>30</v>
      </c>
      <c r="E32" s="72"/>
      <c r="F32" s="18"/>
      <c r="J32" s="11"/>
      <c r="K32" s="11">
        <f t="shared" si="17"/>
        <v>0</v>
      </c>
      <c r="L32" s="37">
        <f t="shared" si="18"/>
        <v>0</v>
      </c>
      <c r="M32" s="11"/>
      <c r="O32" s="21"/>
      <c r="P32" s="21"/>
      <c r="Q32" s="21"/>
      <c r="R32" s="23"/>
      <c r="S32" s="50"/>
      <c r="T32" s="48"/>
      <c r="U32" s="81"/>
      <c r="V32" s="26"/>
      <c r="W32" s="200"/>
      <c r="X32" s="17"/>
      <c r="Z32">
        <v>5</v>
      </c>
      <c r="AA32" s="417"/>
      <c r="AB32" s="97" t="s">
        <v>3</v>
      </c>
      <c r="AC32" s="103"/>
      <c r="AD32" s="99">
        <f>SUM(AD27:AD31)</f>
        <v>0</v>
      </c>
      <c r="AE32" s="99">
        <f t="shared" ref="AE32" si="79">SUM(AE27:AE31)</f>
        <v>0</v>
      </c>
      <c r="AF32" s="99">
        <f t="shared" ref="AF32" si="80">SUM(AF27:AF31)</f>
        <v>0</v>
      </c>
      <c r="AG32" s="99">
        <f t="shared" ref="AG32" si="81">SUM(AG27:AG31)</f>
        <v>0</v>
      </c>
      <c r="AH32" s="110">
        <f t="shared" ref="AH32" si="82">SUM(AH27:AH31)</f>
        <v>0</v>
      </c>
      <c r="AI32" s="123">
        <f t="shared" ref="AI32" si="83">SUM(AI27:AI31)</f>
        <v>0</v>
      </c>
      <c r="AJ32" s="124">
        <f t="shared" ref="AJ32" si="84">SUM(AJ27:AJ31)</f>
        <v>0</v>
      </c>
      <c r="AK32" s="124">
        <f t="shared" ref="AK32" si="85">SUM(AK27:AK31)</f>
        <v>0</v>
      </c>
      <c r="AL32" s="124">
        <f t="shared" ref="AL32" si="86">SUM(AL27:AL31)</f>
        <v>0</v>
      </c>
      <c r="AM32" s="125">
        <f t="shared" ref="AM32" si="87">SUM(AM27:AM31)</f>
        <v>0</v>
      </c>
      <c r="AN32" s="99">
        <f t="shared" ref="AN32" si="88">SUM(AN27:AN31)</f>
        <v>0</v>
      </c>
      <c r="AO32" s="99">
        <f t="shared" ref="AO32" si="89">SUM(AO27:AO31)</f>
        <v>0</v>
      </c>
      <c r="AP32" s="99">
        <f t="shared" ref="AP32" si="90">SUM(AP27:AP31)</f>
        <v>0</v>
      </c>
      <c r="AQ32" s="99">
        <f t="shared" ref="AQ32" si="91">SUM(AQ27:AQ31)</f>
        <v>0</v>
      </c>
      <c r="AR32" s="99">
        <f t="shared" ref="AR32" si="92">SUM(AR27:AR31)</f>
        <v>0</v>
      </c>
      <c r="AT32" s="202" t="s">
        <v>265</v>
      </c>
      <c r="AU32" s="202">
        <f t="shared" si="77"/>
        <v>0</v>
      </c>
      <c r="AV32" s="203">
        <f t="shared" si="78"/>
        <v>0</v>
      </c>
    </row>
    <row r="33" spans="2:48" s="10" customFormat="1" ht="13.5" customHeight="1" x14ac:dyDescent="0.25">
      <c r="B33" s="17">
        <v>31</v>
      </c>
      <c r="E33" s="72"/>
      <c r="F33" s="18"/>
      <c r="J33" s="11"/>
      <c r="K33" s="11">
        <f t="shared" si="17"/>
        <v>0</v>
      </c>
      <c r="L33" s="37">
        <f t="shared" si="18"/>
        <v>0</v>
      </c>
      <c r="M33" s="11"/>
      <c r="O33" s="21"/>
      <c r="P33" s="21"/>
      <c r="Q33" s="21"/>
      <c r="R33" s="23"/>
      <c r="S33" s="50"/>
      <c r="T33" s="48"/>
      <c r="U33" s="81"/>
      <c r="V33" s="26"/>
      <c r="W33" s="200"/>
      <c r="X33" s="17"/>
      <c r="Z33">
        <v>6</v>
      </c>
      <c r="AA33" s="415">
        <v>6</v>
      </c>
      <c r="AB33" s="94">
        <v>1</v>
      </c>
      <c r="AC33" s="100" t="s">
        <v>114</v>
      </c>
      <c r="AD33" s="41">
        <f t="shared" si="2"/>
        <v>0</v>
      </c>
      <c r="AE33" s="70">
        <f t="shared" si="3"/>
        <v>0</v>
      </c>
      <c r="AF33" s="70">
        <f t="shared" si="4"/>
        <v>0</v>
      </c>
      <c r="AG33" s="70">
        <f t="shared" si="5"/>
        <v>0</v>
      </c>
      <c r="AH33" s="109">
        <f t="shared" si="6"/>
        <v>0</v>
      </c>
      <c r="AI33" s="120">
        <f t="shared" si="7"/>
        <v>0</v>
      </c>
      <c r="AJ33" s="121">
        <f t="shared" si="8"/>
        <v>0</v>
      </c>
      <c r="AK33" s="121">
        <f t="shared" si="9"/>
        <v>0</v>
      </c>
      <c r="AL33" s="121">
        <f t="shared" si="10"/>
        <v>0</v>
      </c>
      <c r="AM33" s="122">
        <f t="shared" si="11"/>
        <v>0</v>
      </c>
      <c r="AN33" s="41">
        <f t="shared" si="12"/>
        <v>0</v>
      </c>
      <c r="AO33" s="70">
        <f t="shared" si="13"/>
        <v>0</v>
      </c>
      <c r="AP33" s="70">
        <f t="shared" si="14"/>
        <v>0</v>
      </c>
      <c r="AQ33" s="70">
        <f t="shared" si="15"/>
        <v>0</v>
      </c>
      <c r="AR33" s="70">
        <f t="shared" si="16"/>
        <v>0</v>
      </c>
      <c r="AT33" s="201" t="s">
        <v>266</v>
      </c>
      <c r="AU33" s="201">
        <f>SUM(AU25:AU32)</f>
        <v>4</v>
      </c>
      <c r="AV33" s="204">
        <f t="shared" si="78"/>
        <v>1</v>
      </c>
    </row>
    <row r="34" spans="2:48" s="10" customFormat="1" ht="13.5" customHeight="1" x14ac:dyDescent="0.25">
      <c r="B34" s="17">
        <v>32</v>
      </c>
      <c r="E34" s="72"/>
      <c r="F34" s="18"/>
      <c r="J34" s="11"/>
      <c r="K34" s="11">
        <f t="shared" si="17"/>
        <v>0</v>
      </c>
      <c r="L34" s="37">
        <f t="shared" si="18"/>
        <v>0</v>
      </c>
      <c r="M34" s="11"/>
      <c r="O34" s="21"/>
      <c r="P34" s="21"/>
      <c r="Q34" s="21"/>
      <c r="R34" s="23"/>
      <c r="S34" s="50"/>
      <c r="T34" s="48"/>
      <c r="U34" s="81"/>
      <c r="V34" s="26"/>
      <c r="W34" s="200"/>
      <c r="X34" s="17"/>
      <c r="Z34">
        <v>6</v>
      </c>
      <c r="AA34" s="416"/>
      <c r="AB34" s="95">
        <v>2</v>
      </c>
      <c r="AC34" s="102" t="s">
        <v>115</v>
      </c>
      <c r="AD34" s="41">
        <f t="shared" si="2"/>
        <v>0</v>
      </c>
      <c r="AE34" s="70">
        <f t="shared" si="3"/>
        <v>0</v>
      </c>
      <c r="AF34" s="70">
        <f t="shared" si="4"/>
        <v>0</v>
      </c>
      <c r="AG34" s="70">
        <f t="shared" si="5"/>
        <v>0</v>
      </c>
      <c r="AH34" s="109">
        <f t="shared" si="6"/>
        <v>0</v>
      </c>
      <c r="AI34" s="120">
        <f t="shared" si="7"/>
        <v>0</v>
      </c>
      <c r="AJ34" s="121">
        <f t="shared" si="8"/>
        <v>0</v>
      </c>
      <c r="AK34" s="121">
        <f t="shared" si="9"/>
        <v>0</v>
      </c>
      <c r="AL34" s="121">
        <f t="shared" si="10"/>
        <v>0</v>
      </c>
      <c r="AM34" s="122">
        <f t="shared" si="11"/>
        <v>0</v>
      </c>
      <c r="AN34" s="41">
        <f t="shared" si="12"/>
        <v>0</v>
      </c>
      <c r="AO34" s="70">
        <f t="shared" si="13"/>
        <v>0</v>
      </c>
      <c r="AP34" s="70">
        <f t="shared" si="14"/>
        <v>0</v>
      </c>
      <c r="AQ34" s="70">
        <f t="shared" si="15"/>
        <v>0</v>
      </c>
      <c r="AR34" s="70">
        <f t="shared" si="16"/>
        <v>0</v>
      </c>
    </row>
    <row r="35" spans="2:48" s="10" customFormat="1" ht="13.5" customHeight="1" x14ac:dyDescent="0.25">
      <c r="B35" s="17">
        <v>33</v>
      </c>
      <c r="E35" s="72"/>
      <c r="F35" s="18"/>
      <c r="J35" s="11"/>
      <c r="K35" s="11">
        <f t="shared" si="17"/>
        <v>0</v>
      </c>
      <c r="L35" s="37">
        <f t="shared" si="18"/>
        <v>0</v>
      </c>
      <c r="M35" s="11"/>
      <c r="O35" s="21"/>
      <c r="P35" s="21"/>
      <c r="Q35" s="21"/>
      <c r="R35" s="23"/>
      <c r="S35" s="50"/>
      <c r="T35" s="48"/>
      <c r="U35" s="81"/>
      <c r="V35" s="26"/>
      <c r="W35" s="200"/>
      <c r="X35" s="17"/>
      <c r="Z35">
        <v>6</v>
      </c>
      <c r="AA35" s="416"/>
      <c r="AB35" s="95">
        <v>3</v>
      </c>
      <c r="AC35" s="102" t="s">
        <v>116</v>
      </c>
      <c r="AD35" s="41">
        <f t="shared" si="2"/>
        <v>0</v>
      </c>
      <c r="AE35" s="70">
        <f t="shared" si="3"/>
        <v>0</v>
      </c>
      <c r="AF35" s="70">
        <f t="shared" si="4"/>
        <v>0</v>
      </c>
      <c r="AG35" s="70">
        <f t="shared" si="5"/>
        <v>0</v>
      </c>
      <c r="AH35" s="109">
        <f t="shared" si="6"/>
        <v>0</v>
      </c>
      <c r="AI35" s="120">
        <f t="shared" si="7"/>
        <v>0</v>
      </c>
      <c r="AJ35" s="121">
        <f t="shared" si="8"/>
        <v>0</v>
      </c>
      <c r="AK35" s="121">
        <f t="shared" si="9"/>
        <v>0</v>
      </c>
      <c r="AL35" s="121">
        <f t="shared" si="10"/>
        <v>0</v>
      </c>
      <c r="AM35" s="122">
        <f t="shared" si="11"/>
        <v>0</v>
      </c>
      <c r="AN35" s="41">
        <f t="shared" si="12"/>
        <v>0</v>
      </c>
      <c r="AO35" s="70">
        <f t="shared" si="13"/>
        <v>0</v>
      </c>
      <c r="AP35" s="70">
        <f t="shared" si="14"/>
        <v>0</v>
      </c>
      <c r="AQ35" s="70">
        <f t="shared" si="15"/>
        <v>0</v>
      </c>
      <c r="AR35" s="70">
        <f t="shared" si="16"/>
        <v>0</v>
      </c>
    </row>
    <row r="36" spans="2:48" s="10" customFormat="1" ht="13.5" customHeight="1" x14ac:dyDescent="0.25">
      <c r="B36" s="17">
        <v>34</v>
      </c>
      <c r="E36" s="72"/>
      <c r="F36" s="18"/>
      <c r="J36" s="11"/>
      <c r="K36" s="11">
        <f t="shared" si="17"/>
        <v>0</v>
      </c>
      <c r="L36" s="37">
        <f t="shared" si="18"/>
        <v>0</v>
      </c>
      <c r="M36" s="11"/>
      <c r="O36" s="21"/>
      <c r="P36" s="21"/>
      <c r="Q36" s="21"/>
      <c r="R36" s="23"/>
      <c r="S36" s="50"/>
      <c r="T36" s="48"/>
      <c r="U36" s="81"/>
      <c r="V36" s="26"/>
      <c r="W36" s="200"/>
      <c r="X36" s="17"/>
      <c r="Z36">
        <v>6</v>
      </c>
      <c r="AA36" s="416"/>
      <c r="AB36" s="95">
        <v>4</v>
      </c>
      <c r="AC36" s="102" t="s">
        <v>117</v>
      </c>
      <c r="AD36" s="41">
        <f t="shared" si="2"/>
        <v>0</v>
      </c>
      <c r="AE36" s="70">
        <f t="shared" si="3"/>
        <v>0</v>
      </c>
      <c r="AF36" s="70">
        <f t="shared" si="4"/>
        <v>0</v>
      </c>
      <c r="AG36" s="70">
        <f t="shared" si="5"/>
        <v>0</v>
      </c>
      <c r="AH36" s="109">
        <f t="shared" si="6"/>
        <v>0</v>
      </c>
      <c r="AI36" s="120">
        <f t="shared" si="7"/>
        <v>0</v>
      </c>
      <c r="AJ36" s="121">
        <f t="shared" si="8"/>
        <v>0</v>
      </c>
      <c r="AK36" s="121">
        <f t="shared" si="9"/>
        <v>0</v>
      </c>
      <c r="AL36" s="121">
        <f t="shared" si="10"/>
        <v>0</v>
      </c>
      <c r="AM36" s="122">
        <f t="shared" si="11"/>
        <v>0</v>
      </c>
      <c r="AN36" s="41">
        <f t="shared" si="12"/>
        <v>0</v>
      </c>
      <c r="AO36" s="70">
        <f t="shared" si="13"/>
        <v>0</v>
      </c>
      <c r="AP36" s="70">
        <f t="shared" si="14"/>
        <v>0</v>
      </c>
      <c r="AQ36" s="70">
        <f t="shared" si="15"/>
        <v>0</v>
      </c>
      <c r="AR36" s="70">
        <f t="shared" si="16"/>
        <v>0</v>
      </c>
    </row>
    <row r="37" spans="2:48" s="10" customFormat="1" ht="13.5" customHeight="1" x14ac:dyDescent="0.25">
      <c r="B37" s="17">
        <v>35</v>
      </c>
      <c r="E37" s="72"/>
      <c r="F37" s="18"/>
      <c r="J37" s="11"/>
      <c r="K37" s="11">
        <f t="shared" si="17"/>
        <v>0</v>
      </c>
      <c r="L37" s="37">
        <f t="shared" si="18"/>
        <v>0</v>
      </c>
      <c r="M37" s="11"/>
      <c r="O37" s="21"/>
      <c r="P37" s="21"/>
      <c r="Q37" s="21"/>
      <c r="R37" s="23"/>
      <c r="S37" s="50"/>
      <c r="T37" s="48"/>
      <c r="U37" s="81"/>
      <c r="V37" s="32"/>
      <c r="W37" s="200"/>
      <c r="X37" s="17"/>
      <c r="Z37">
        <v>6</v>
      </c>
      <c r="AA37" s="416"/>
      <c r="AB37" s="96">
        <v>5</v>
      </c>
      <c r="AC37" s="102"/>
      <c r="AD37" s="41">
        <f t="shared" si="2"/>
        <v>0</v>
      </c>
      <c r="AE37" s="70">
        <f t="shared" si="3"/>
        <v>0</v>
      </c>
      <c r="AF37" s="70">
        <f t="shared" si="4"/>
        <v>0</v>
      </c>
      <c r="AG37" s="70">
        <f t="shared" si="5"/>
        <v>0</v>
      </c>
      <c r="AH37" s="109">
        <f t="shared" si="6"/>
        <v>0</v>
      </c>
      <c r="AI37" s="120">
        <f t="shared" si="7"/>
        <v>0</v>
      </c>
      <c r="AJ37" s="121">
        <f t="shared" si="8"/>
        <v>0</v>
      </c>
      <c r="AK37" s="121">
        <f t="shared" si="9"/>
        <v>0</v>
      </c>
      <c r="AL37" s="121">
        <f t="shared" si="10"/>
        <v>0</v>
      </c>
      <c r="AM37" s="122">
        <f t="shared" si="11"/>
        <v>0</v>
      </c>
      <c r="AN37" s="41">
        <f t="shared" si="12"/>
        <v>0</v>
      </c>
      <c r="AO37" s="70">
        <f t="shared" si="13"/>
        <v>0</v>
      </c>
      <c r="AP37" s="70">
        <f t="shared" si="14"/>
        <v>0</v>
      </c>
      <c r="AQ37" s="70">
        <f t="shared" si="15"/>
        <v>0</v>
      </c>
      <c r="AR37" s="70">
        <f t="shared" si="16"/>
        <v>0</v>
      </c>
    </row>
    <row r="38" spans="2:48" s="10" customFormat="1" ht="13.5" customHeight="1" thickBot="1" x14ac:dyDescent="0.3">
      <c r="B38" s="17">
        <v>36</v>
      </c>
      <c r="E38" s="72"/>
      <c r="F38" s="18"/>
      <c r="J38" s="11"/>
      <c r="K38" s="11">
        <f t="shared" si="17"/>
        <v>0</v>
      </c>
      <c r="L38" s="37">
        <f t="shared" si="18"/>
        <v>0</v>
      </c>
      <c r="M38" s="11"/>
      <c r="O38" s="21"/>
      <c r="P38" s="21"/>
      <c r="Q38" s="21"/>
      <c r="R38" s="23"/>
      <c r="S38" s="50"/>
      <c r="T38" s="48"/>
      <c r="U38" s="81"/>
      <c r="V38" s="26"/>
      <c r="W38" s="200"/>
      <c r="X38" s="17"/>
      <c r="Z38">
        <v>6</v>
      </c>
      <c r="AA38" s="417"/>
      <c r="AB38" s="97" t="s">
        <v>3</v>
      </c>
      <c r="AC38" s="103"/>
      <c r="AD38" s="99">
        <f>SUM(AD33:AD37)</f>
        <v>0</v>
      </c>
      <c r="AE38" s="99">
        <f t="shared" ref="AE38" si="93">SUM(AE33:AE37)</f>
        <v>0</v>
      </c>
      <c r="AF38" s="99">
        <f t="shared" ref="AF38" si="94">SUM(AF33:AF37)</f>
        <v>0</v>
      </c>
      <c r="AG38" s="99">
        <f t="shared" ref="AG38" si="95">SUM(AG33:AG37)</f>
        <v>0</v>
      </c>
      <c r="AH38" s="110">
        <f t="shared" ref="AH38" si="96">SUM(AH33:AH37)</f>
        <v>0</v>
      </c>
      <c r="AI38" s="123">
        <f t="shared" ref="AI38" si="97">SUM(AI33:AI37)</f>
        <v>0</v>
      </c>
      <c r="AJ38" s="124">
        <f t="shared" ref="AJ38" si="98">SUM(AJ33:AJ37)</f>
        <v>0</v>
      </c>
      <c r="AK38" s="124">
        <f t="shared" ref="AK38" si="99">SUM(AK33:AK37)</f>
        <v>0</v>
      </c>
      <c r="AL38" s="124">
        <f t="shared" ref="AL38" si="100">SUM(AL33:AL37)</f>
        <v>0</v>
      </c>
      <c r="AM38" s="125">
        <f t="shared" ref="AM38" si="101">SUM(AM33:AM37)</f>
        <v>0</v>
      </c>
      <c r="AN38" s="99">
        <f t="shared" ref="AN38" si="102">SUM(AN33:AN37)</f>
        <v>0</v>
      </c>
      <c r="AO38" s="99">
        <f t="shared" ref="AO38" si="103">SUM(AO33:AO37)</f>
        <v>0</v>
      </c>
      <c r="AP38" s="99">
        <f t="shared" ref="AP38" si="104">SUM(AP33:AP37)</f>
        <v>0</v>
      </c>
      <c r="AQ38" s="99">
        <f t="shared" ref="AQ38" si="105">SUM(AQ33:AQ37)</f>
        <v>0</v>
      </c>
      <c r="AR38" s="99">
        <f t="shared" ref="AR38" si="106">SUM(AR33:AR37)</f>
        <v>0</v>
      </c>
    </row>
    <row r="39" spans="2:48" s="10" customFormat="1" ht="13.5" customHeight="1" x14ac:dyDescent="0.25">
      <c r="B39" s="17">
        <v>37</v>
      </c>
      <c r="E39" s="72"/>
      <c r="F39" s="18"/>
      <c r="J39" s="11"/>
      <c r="K39" s="11">
        <f t="shared" si="17"/>
        <v>0</v>
      </c>
      <c r="L39" s="37">
        <f t="shared" si="18"/>
        <v>0</v>
      </c>
      <c r="M39" s="11"/>
      <c r="O39" s="21"/>
      <c r="P39" s="21"/>
      <c r="Q39" s="21"/>
      <c r="R39" s="23"/>
      <c r="S39" s="50"/>
      <c r="T39" s="48"/>
      <c r="U39" s="81"/>
      <c r="V39" s="26"/>
      <c r="W39" s="200"/>
      <c r="X39" s="17"/>
      <c r="Z39">
        <v>7</v>
      </c>
      <c r="AA39" s="415">
        <v>7</v>
      </c>
      <c r="AB39" s="94">
        <v>1</v>
      </c>
      <c r="AC39" s="100" t="s">
        <v>118</v>
      </c>
      <c r="AD39" s="41">
        <f t="shared" si="2"/>
        <v>0</v>
      </c>
      <c r="AE39" s="70">
        <f t="shared" si="3"/>
        <v>0</v>
      </c>
      <c r="AF39" s="70">
        <f t="shared" si="4"/>
        <v>0</v>
      </c>
      <c r="AG39" s="70">
        <f t="shared" si="5"/>
        <v>0</v>
      </c>
      <c r="AH39" s="109">
        <f t="shared" si="6"/>
        <v>0</v>
      </c>
      <c r="AI39" s="120">
        <f t="shared" si="7"/>
        <v>0</v>
      </c>
      <c r="AJ39" s="121">
        <f t="shared" si="8"/>
        <v>0</v>
      </c>
      <c r="AK39" s="121">
        <f t="shared" si="9"/>
        <v>0</v>
      </c>
      <c r="AL39" s="121">
        <f t="shared" si="10"/>
        <v>0</v>
      </c>
      <c r="AM39" s="122">
        <f t="shared" si="11"/>
        <v>0</v>
      </c>
      <c r="AN39" s="41">
        <f t="shared" si="12"/>
        <v>0</v>
      </c>
      <c r="AO39" s="70">
        <f t="shared" si="13"/>
        <v>0</v>
      </c>
      <c r="AP39" s="70">
        <f t="shared" si="14"/>
        <v>0</v>
      </c>
      <c r="AQ39" s="70">
        <f t="shared" si="15"/>
        <v>0</v>
      </c>
      <c r="AR39" s="70">
        <f t="shared" si="16"/>
        <v>0</v>
      </c>
    </row>
    <row r="40" spans="2:48" s="10" customFormat="1" ht="13.5" customHeight="1" x14ac:dyDescent="0.25">
      <c r="B40" s="17">
        <v>38</v>
      </c>
      <c r="E40" s="72"/>
      <c r="F40" s="18"/>
      <c r="J40" s="11"/>
      <c r="K40" s="11">
        <f t="shared" si="17"/>
        <v>0</v>
      </c>
      <c r="L40" s="37">
        <f t="shared" si="18"/>
        <v>0</v>
      </c>
      <c r="M40" s="11"/>
      <c r="O40" s="21"/>
      <c r="P40" s="21"/>
      <c r="Q40" s="21"/>
      <c r="R40" s="23"/>
      <c r="S40" s="50"/>
      <c r="T40" s="48"/>
      <c r="U40" s="81"/>
      <c r="V40" s="26"/>
      <c r="W40" s="200"/>
      <c r="X40" s="17"/>
      <c r="Z40">
        <v>7</v>
      </c>
      <c r="AA40" s="416"/>
      <c r="AB40" s="95">
        <v>2</v>
      </c>
      <c r="AC40" s="102" t="s">
        <v>68</v>
      </c>
      <c r="AD40" s="41">
        <f t="shared" si="2"/>
        <v>0</v>
      </c>
      <c r="AE40" s="70">
        <f t="shared" si="3"/>
        <v>0</v>
      </c>
      <c r="AF40" s="70">
        <f t="shared" si="4"/>
        <v>0</v>
      </c>
      <c r="AG40" s="70">
        <f t="shared" si="5"/>
        <v>0</v>
      </c>
      <c r="AH40" s="109">
        <f t="shared" si="6"/>
        <v>0</v>
      </c>
      <c r="AI40" s="120">
        <f t="shared" si="7"/>
        <v>0</v>
      </c>
      <c r="AJ40" s="121">
        <f t="shared" si="8"/>
        <v>0</v>
      </c>
      <c r="AK40" s="121">
        <f t="shared" si="9"/>
        <v>0</v>
      </c>
      <c r="AL40" s="121">
        <f t="shared" si="10"/>
        <v>0</v>
      </c>
      <c r="AM40" s="122">
        <f t="shared" si="11"/>
        <v>0</v>
      </c>
      <c r="AN40" s="41">
        <f t="shared" si="12"/>
        <v>0</v>
      </c>
      <c r="AO40" s="70">
        <f t="shared" si="13"/>
        <v>0</v>
      </c>
      <c r="AP40" s="70">
        <f t="shared" si="14"/>
        <v>0</v>
      </c>
      <c r="AQ40" s="70">
        <f t="shared" si="15"/>
        <v>0</v>
      </c>
      <c r="AR40" s="70">
        <f t="shared" si="16"/>
        <v>0</v>
      </c>
    </row>
    <row r="41" spans="2:48" s="10" customFormat="1" ht="13.5" customHeight="1" x14ac:dyDescent="0.25">
      <c r="B41" s="17">
        <v>39</v>
      </c>
      <c r="E41" s="72"/>
      <c r="F41" s="18"/>
      <c r="J41" s="11"/>
      <c r="K41" s="11">
        <f t="shared" si="17"/>
        <v>0</v>
      </c>
      <c r="L41" s="37">
        <f t="shared" si="18"/>
        <v>0</v>
      </c>
      <c r="M41" s="11"/>
      <c r="O41" s="21"/>
      <c r="P41" s="21"/>
      <c r="Q41" s="21"/>
      <c r="R41" s="23"/>
      <c r="S41" s="50"/>
      <c r="T41" s="48"/>
      <c r="U41" s="81"/>
      <c r="V41" s="26"/>
      <c r="W41" s="200"/>
      <c r="X41" s="17"/>
      <c r="Z41">
        <v>7</v>
      </c>
      <c r="AA41" s="416"/>
      <c r="AB41" s="95">
        <v>3</v>
      </c>
      <c r="AC41" s="102" t="s">
        <v>69</v>
      </c>
      <c r="AD41" s="41">
        <f t="shared" si="2"/>
        <v>0</v>
      </c>
      <c r="AE41" s="70">
        <f t="shared" si="3"/>
        <v>0</v>
      </c>
      <c r="AF41" s="70">
        <f t="shared" si="4"/>
        <v>0</v>
      </c>
      <c r="AG41" s="70">
        <f t="shared" si="5"/>
        <v>0</v>
      </c>
      <c r="AH41" s="109">
        <f t="shared" si="6"/>
        <v>0</v>
      </c>
      <c r="AI41" s="120">
        <f t="shared" si="7"/>
        <v>0</v>
      </c>
      <c r="AJ41" s="121">
        <f t="shared" si="8"/>
        <v>0</v>
      </c>
      <c r="AK41" s="121">
        <f t="shared" si="9"/>
        <v>0</v>
      </c>
      <c r="AL41" s="121">
        <f t="shared" si="10"/>
        <v>0</v>
      </c>
      <c r="AM41" s="122">
        <f t="shared" si="11"/>
        <v>0</v>
      </c>
      <c r="AN41" s="41">
        <f t="shared" si="12"/>
        <v>0</v>
      </c>
      <c r="AO41" s="70">
        <f t="shared" si="13"/>
        <v>0</v>
      </c>
      <c r="AP41" s="70">
        <f t="shared" si="14"/>
        <v>0</v>
      </c>
      <c r="AQ41" s="70">
        <f t="shared" si="15"/>
        <v>0</v>
      </c>
      <c r="AR41" s="70">
        <f t="shared" si="16"/>
        <v>0</v>
      </c>
    </row>
    <row r="42" spans="2:48" s="10" customFormat="1" ht="13.5" customHeight="1" x14ac:dyDescent="0.25">
      <c r="B42" s="17">
        <v>40</v>
      </c>
      <c r="E42" s="72"/>
      <c r="F42" s="18"/>
      <c r="J42" s="11"/>
      <c r="K42" s="11">
        <f t="shared" si="17"/>
        <v>0</v>
      </c>
      <c r="L42" s="37">
        <f t="shared" si="18"/>
        <v>0</v>
      </c>
      <c r="M42" s="11"/>
      <c r="O42" s="21"/>
      <c r="P42" s="21"/>
      <c r="Q42" s="21"/>
      <c r="R42" s="23"/>
      <c r="S42" s="50"/>
      <c r="T42" s="48"/>
      <c r="U42" s="81"/>
      <c r="V42" s="26"/>
      <c r="W42" s="200"/>
      <c r="X42" s="17"/>
      <c r="Z42">
        <v>7</v>
      </c>
      <c r="AA42" s="416"/>
      <c r="AB42" s="95">
        <v>4</v>
      </c>
      <c r="AC42" s="102" t="s">
        <v>70</v>
      </c>
      <c r="AD42" s="41">
        <f t="shared" si="2"/>
        <v>0</v>
      </c>
      <c r="AE42" s="70">
        <f t="shared" si="3"/>
        <v>0</v>
      </c>
      <c r="AF42" s="70">
        <f t="shared" si="4"/>
        <v>0</v>
      </c>
      <c r="AG42" s="70">
        <f t="shared" si="5"/>
        <v>0</v>
      </c>
      <c r="AH42" s="109">
        <f t="shared" si="6"/>
        <v>0</v>
      </c>
      <c r="AI42" s="120">
        <f t="shared" si="7"/>
        <v>0</v>
      </c>
      <c r="AJ42" s="121">
        <f t="shared" si="8"/>
        <v>0</v>
      </c>
      <c r="AK42" s="121">
        <f t="shared" si="9"/>
        <v>0</v>
      </c>
      <c r="AL42" s="121">
        <f t="shared" si="10"/>
        <v>0</v>
      </c>
      <c r="AM42" s="122">
        <f t="shared" si="11"/>
        <v>0</v>
      </c>
      <c r="AN42" s="41">
        <f t="shared" si="12"/>
        <v>0</v>
      </c>
      <c r="AO42" s="70">
        <f t="shared" si="13"/>
        <v>0</v>
      </c>
      <c r="AP42" s="70">
        <f t="shared" si="14"/>
        <v>0</v>
      </c>
      <c r="AQ42" s="70">
        <f t="shared" si="15"/>
        <v>0</v>
      </c>
      <c r="AR42" s="70">
        <f t="shared" si="16"/>
        <v>0</v>
      </c>
    </row>
    <row r="43" spans="2:48" x14ac:dyDescent="0.25">
      <c r="B43" s="17">
        <v>41</v>
      </c>
      <c r="C43" s="10"/>
      <c r="D43" s="10"/>
      <c r="E43" s="72"/>
      <c r="F43" s="18"/>
      <c r="G43" s="10"/>
      <c r="H43" s="10"/>
      <c r="I43" s="10"/>
      <c r="J43" s="11"/>
      <c r="K43" s="11">
        <f t="shared" si="17"/>
        <v>0</v>
      </c>
      <c r="L43" s="37">
        <f t="shared" si="18"/>
        <v>0</v>
      </c>
      <c r="M43" s="11"/>
      <c r="N43" s="10"/>
      <c r="O43" s="21"/>
      <c r="P43" s="21"/>
      <c r="Q43" s="21"/>
      <c r="R43" s="23"/>
      <c r="S43" s="50"/>
      <c r="T43" s="48"/>
      <c r="U43" s="82"/>
      <c r="V43" s="32"/>
      <c r="W43" s="200"/>
      <c r="X43" s="17"/>
      <c r="Z43">
        <v>7</v>
      </c>
      <c r="AA43" s="416"/>
      <c r="AB43" s="96">
        <v>5</v>
      </c>
      <c r="AC43" s="105" t="s">
        <v>119</v>
      </c>
      <c r="AD43" s="41">
        <f t="shared" si="2"/>
        <v>0</v>
      </c>
      <c r="AE43" s="70">
        <f t="shared" si="3"/>
        <v>0</v>
      </c>
      <c r="AF43" s="70">
        <f t="shared" si="4"/>
        <v>0</v>
      </c>
      <c r="AG43" s="70">
        <f t="shared" si="5"/>
        <v>0</v>
      </c>
      <c r="AH43" s="109">
        <f t="shared" si="6"/>
        <v>0</v>
      </c>
      <c r="AI43" s="120">
        <f t="shared" si="7"/>
        <v>0</v>
      </c>
      <c r="AJ43" s="121">
        <f t="shared" si="8"/>
        <v>0</v>
      </c>
      <c r="AK43" s="121">
        <f t="shared" si="9"/>
        <v>0</v>
      </c>
      <c r="AL43" s="121">
        <f t="shared" si="10"/>
        <v>0</v>
      </c>
      <c r="AM43" s="122">
        <f t="shared" si="11"/>
        <v>0</v>
      </c>
      <c r="AN43" s="41">
        <f t="shared" si="12"/>
        <v>0</v>
      </c>
      <c r="AO43" s="70">
        <f t="shared" si="13"/>
        <v>0</v>
      </c>
      <c r="AP43" s="70">
        <f t="shared" si="14"/>
        <v>0</v>
      </c>
      <c r="AQ43" s="70">
        <f t="shared" si="15"/>
        <v>0</v>
      </c>
      <c r="AR43" s="70">
        <f t="shared" si="16"/>
        <v>0</v>
      </c>
    </row>
    <row r="44" spans="2:48" ht="14.25" thickBot="1" x14ac:dyDescent="0.3">
      <c r="B44" s="17">
        <v>42</v>
      </c>
      <c r="C44" s="10"/>
      <c r="D44" s="10"/>
      <c r="E44" s="72"/>
      <c r="F44" s="18"/>
      <c r="G44" s="10"/>
      <c r="H44" s="10"/>
      <c r="I44" s="10"/>
      <c r="J44" s="11"/>
      <c r="K44" s="11">
        <f t="shared" si="17"/>
        <v>0</v>
      </c>
      <c r="L44" s="37">
        <f t="shared" si="18"/>
        <v>0</v>
      </c>
      <c r="M44" s="11"/>
      <c r="N44" s="10"/>
      <c r="O44" s="21"/>
      <c r="P44" s="21"/>
      <c r="Q44" s="21"/>
      <c r="R44" s="23"/>
      <c r="S44" s="50"/>
      <c r="T44" s="48"/>
      <c r="U44" s="82"/>
      <c r="V44" s="32"/>
      <c r="W44" s="200"/>
      <c r="X44" s="17"/>
      <c r="Z44">
        <v>7</v>
      </c>
      <c r="AA44" s="417"/>
      <c r="AB44" s="97" t="s">
        <v>3</v>
      </c>
      <c r="AC44" s="106"/>
      <c r="AD44" s="99">
        <f>SUM(AD39:AD43)</f>
        <v>0</v>
      </c>
      <c r="AE44" s="99">
        <f t="shared" ref="AE44" si="107">SUM(AE39:AE43)</f>
        <v>0</v>
      </c>
      <c r="AF44" s="99">
        <f t="shared" ref="AF44" si="108">SUM(AF39:AF43)</f>
        <v>0</v>
      </c>
      <c r="AG44" s="99">
        <f t="shared" ref="AG44" si="109">SUM(AG39:AG43)</f>
        <v>0</v>
      </c>
      <c r="AH44" s="110">
        <f t="shared" ref="AH44" si="110">SUM(AH39:AH43)</f>
        <v>0</v>
      </c>
      <c r="AI44" s="123">
        <f t="shared" ref="AI44" si="111">SUM(AI39:AI43)</f>
        <v>0</v>
      </c>
      <c r="AJ44" s="124">
        <f t="shared" ref="AJ44" si="112">SUM(AJ39:AJ43)</f>
        <v>0</v>
      </c>
      <c r="AK44" s="124">
        <f t="shared" ref="AK44" si="113">SUM(AK39:AK43)</f>
        <v>0</v>
      </c>
      <c r="AL44" s="124">
        <f t="shared" ref="AL44" si="114">SUM(AL39:AL43)</f>
        <v>0</v>
      </c>
      <c r="AM44" s="125">
        <f t="shared" ref="AM44" si="115">SUM(AM39:AM43)</f>
        <v>0</v>
      </c>
      <c r="AN44" s="99">
        <f t="shared" ref="AN44" si="116">SUM(AN39:AN43)</f>
        <v>0</v>
      </c>
      <c r="AO44" s="99">
        <f t="shared" ref="AO44" si="117">SUM(AO39:AO43)</f>
        <v>0</v>
      </c>
      <c r="AP44" s="99">
        <f t="shared" ref="AP44" si="118">SUM(AP39:AP43)</f>
        <v>0</v>
      </c>
      <c r="AQ44" s="99">
        <f t="shared" ref="AQ44" si="119">SUM(AQ39:AQ43)</f>
        <v>0</v>
      </c>
      <c r="AR44" s="99">
        <f t="shared" ref="AR44" si="120">SUM(AR39:AR43)</f>
        <v>0</v>
      </c>
    </row>
    <row r="45" spans="2:48" x14ac:dyDescent="0.25">
      <c r="B45" s="17">
        <v>43</v>
      </c>
      <c r="C45" s="10"/>
      <c r="D45" s="10"/>
      <c r="E45" s="72"/>
      <c r="F45" s="18"/>
      <c r="G45" s="10"/>
      <c r="H45" s="10"/>
      <c r="I45" s="10"/>
      <c r="J45" s="11"/>
      <c r="K45" s="11">
        <f t="shared" si="17"/>
        <v>0</v>
      </c>
      <c r="L45" s="37">
        <f t="shared" si="18"/>
        <v>0</v>
      </c>
      <c r="M45" s="11"/>
      <c r="N45" s="10"/>
      <c r="O45" s="21"/>
      <c r="P45" s="21"/>
      <c r="Q45" s="21"/>
      <c r="R45" s="23"/>
      <c r="S45" s="50"/>
      <c r="T45" s="48"/>
      <c r="U45" s="82"/>
      <c r="V45" s="32"/>
      <c r="W45" s="200"/>
      <c r="X45" s="17"/>
      <c r="Z45">
        <v>8</v>
      </c>
      <c r="AA45" s="415">
        <v>8</v>
      </c>
      <c r="AB45" s="94">
        <v>1</v>
      </c>
      <c r="AC45" s="100" t="s">
        <v>120</v>
      </c>
      <c r="AD45" s="41">
        <f t="shared" si="2"/>
        <v>0</v>
      </c>
      <c r="AE45" s="70">
        <f t="shared" si="3"/>
        <v>0</v>
      </c>
      <c r="AF45" s="70">
        <f t="shared" si="4"/>
        <v>0</v>
      </c>
      <c r="AG45" s="70">
        <f t="shared" si="5"/>
        <v>0</v>
      </c>
      <c r="AH45" s="109">
        <f t="shared" si="6"/>
        <v>0</v>
      </c>
      <c r="AI45" s="120">
        <f t="shared" si="7"/>
        <v>0</v>
      </c>
      <c r="AJ45" s="121">
        <f t="shared" si="8"/>
        <v>0</v>
      </c>
      <c r="AK45" s="121">
        <f t="shared" si="9"/>
        <v>0</v>
      </c>
      <c r="AL45" s="121">
        <f t="shared" si="10"/>
        <v>0</v>
      </c>
      <c r="AM45" s="122">
        <f t="shared" si="11"/>
        <v>0</v>
      </c>
      <c r="AN45" s="41">
        <f t="shared" si="12"/>
        <v>0</v>
      </c>
      <c r="AO45" s="70">
        <f t="shared" si="13"/>
        <v>0</v>
      </c>
      <c r="AP45" s="70">
        <f t="shared" si="14"/>
        <v>0</v>
      </c>
      <c r="AQ45" s="70">
        <f t="shared" si="15"/>
        <v>0</v>
      </c>
      <c r="AR45" s="70">
        <f t="shared" si="16"/>
        <v>0</v>
      </c>
    </row>
    <row r="46" spans="2:48" x14ac:dyDescent="0.25">
      <c r="B46" s="17">
        <v>44</v>
      </c>
      <c r="C46" s="10"/>
      <c r="D46" s="10"/>
      <c r="E46" s="72"/>
      <c r="F46" s="18"/>
      <c r="G46" s="10"/>
      <c r="H46" s="10"/>
      <c r="I46" s="10"/>
      <c r="J46" s="11"/>
      <c r="K46" s="11">
        <f t="shared" si="17"/>
        <v>0</v>
      </c>
      <c r="L46" s="37">
        <f t="shared" si="18"/>
        <v>0</v>
      </c>
      <c r="M46" s="11"/>
      <c r="N46" s="10"/>
      <c r="O46" s="21"/>
      <c r="P46" s="21"/>
      <c r="Q46" s="21"/>
      <c r="R46" s="23"/>
      <c r="S46" s="50"/>
      <c r="T46" s="48"/>
      <c r="U46" s="82"/>
      <c r="V46" s="26"/>
      <c r="W46" s="200"/>
      <c r="X46" s="17"/>
      <c r="Z46">
        <v>8</v>
      </c>
      <c r="AA46" s="416"/>
      <c r="AB46" s="95">
        <v>2</v>
      </c>
      <c r="AC46" s="102" t="s">
        <v>121</v>
      </c>
      <c r="AD46" s="41">
        <f t="shared" si="2"/>
        <v>0</v>
      </c>
      <c r="AE46" s="70">
        <f t="shared" si="3"/>
        <v>0</v>
      </c>
      <c r="AF46" s="70">
        <f t="shared" si="4"/>
        <v>0</v>
      </c>
      <c r="AG46" s="70">
        <f t="shared" si="5"/>
        <v>0</v>
      </c>
      <c r="AH46" s="109">
        <f t="shared" si="6"/>
        <v>0</v>
      </c>
      <c r="AI46" s="120">
        <f t="shared" si="7"/>
        <v>0</v>
      </c>
      <c r="AJ46" s="121">
        <f t="shared" si="8"/>
        <v>0</v>
      </c>
      <c r="AK46" s="121">
        <f t="shared" si="9"/>
        <v>0</v>
      </c>
      <c r="AL46" s="121">
        <f t="shared" si="10"/>
        <v>0</v>
      </c>
      <c r="AM46" s="122">
        <f t="shared" si="11"/>
        <v>0</v>
      </c>
      <c r="AN46" s="41">
        <f t="shared" si="12"/>
        <v>0</v>
      </c>
      <c r="AO46" s="70">
        <f t="shared" si="13"/>
        <v>0</v>
      </c>
      <c r="AP46" s="70">
        <f t="shared" si="14"/>
        <v>0</v>
      </c>
      <c r="AQ46" s="70">
        <f t="shared" si="15"/>
        <v>0</v>
      </c>
      <c r="AR46" s="70">
        <f t="shared" si="16"/>
        <v>0</v>
      </c>
    </row>
    <row r="47" spans="2:48" x14ac:dyDescent="0.25">
      <c r="B47" s="17">
        <v>45</v>
      </c>
      <c r="C47" s="10"/>
      <c r="D47" s="10"/>
      <c r="E47" s="72"/>
      <c r="F47" s="18"/>
      <c r="G47" s="10"/>
      <c r="H47" s="10"/>
      <c r="I47" s="10"/>
      <c r="J47" s="11"/>
      <c r="K47" s="11">
        <f t="shared" si="17"/>
        <v>0</v>
      </c>
      <c r="L47" s="37">
        <f t="shared" si="18"/>
        <v>0</v>
      </c>
      <c r="M47" s="11"/>
      <c r="N47" s="10"/>
      <c r="O47" s="21"/>
      <c r="P47" s="21"/>
      <c r="Q47" s="21"/>
      <c r="R47" s="23"/>
      <c r="S47" s="50"/>
      <c r="T47" s="48"/>
      <c r="U47" s="82"/>
      <c r="V47" s="26"/>
      <c r="W47" s="200"/>
      <c r="X47" s="17"/>
      <c r="Z47">
        <v>8</v>
      </c>
      <c r="AA47" s="416"/>
      <c r="AB47" s="95">
        <v>3</v>
      </c>
      <c r="AC47" s="102" t="s">
        <v>122</v>
      </c>
      <c r="AD47" s="41">
        <f t="shared" si="2"/>
        <v>0</v>
      </c>
      <c r="AE47" s="70">
        <f t="shared" si="3"/>
        <v>0</v>
      </c>
      <c r="AF47" s="70">
        <f t="shared" si="4"/>
        <v>0</v>
      </c>
      <c r="AG47" s="70">
        <f t="shared" si="5"/>
        <v>0</v>
      </c>
      <c r="AH47" s="109">
        <f t="shared" si="6"/>
        <v>0</v>
      </c>
      <c r="AI47" s="120">
        <f t="shared" si="7"/>
        <v>0</v>
      </c>
      <c r="AJ47" s="121">
        <f t="shared" si="8"/>
        <v>0</v>
      </c>
      <c r="AK47" s="121">
        <f t="shared" si="9"/>
        <v>0</v>
      </c>
      <c r="AL47" s="121">
        <f t="shared" si="10"/>
        <v>0</v>
      </c>
      <c r="AM47" s="122">
        <f t="shared" si="11"/>
        <v>0</v>
      </c>
      <c r="AN47" s="41">
        <f t="shared" si="12"/>
        <v>0</v>
      </c>
      <c r="AO47" s="70">
        <f t="shared" si="13"/>
        <v>0</v>
      </c>
      <c r="AP47" s="70">
        <f t="shared" si="14"/>
        <v>0</v>
      </c>
      <c r="AQ47" s="70">
        <f t="shared" si="15"/>
        <v>0</v>
      </c>
      <c r="AR47" s="70">
        <f t="shared" si="16"/>
        <v>0</v>
      </c>
    </row>
    <row r="48" spans="2:48" x14ac:dyDescent="0.25">
      <c r="B48" s="17">
        <v>46</v>
      </c>
      <c r="C48" s="10"/>
      <c r="D48" s="10"/>
      <c r="E48" s="72"/>
      <c r="F48" s="18"/>
      <c r="G48" s="10"/>
      <c r="H48" s="10"/>
      <c r="I48" s="10"/>
      <c r="J48" s="11"/>
      <c r="K48" s="11">
        <f t="shared" si="17"/>
        <v>0</v>
      </c>
      <c r="L48" s="37">
        <f t="shared" si="18"/>
        <v>0</v>
      </c>
      <c r="M48" s="11"/>
      <c r="N48" s="10"/>
      <c r="O48" s="21"/>
      <c r="P48" s="21"/>
      <c r="Q48" s="21"/>
      <c r="R48" s="23"/>
      <c r="S48" s="50"/>
      <c r="T48" s="48"/>
      <c r="U48" s="82"/>
      <c r="V48" s="26"/>
      <c r="W48" s="200"/>
      <c r="X48" s="17"/>
      <c r="Z48">
        <v>8</v>
      </c>
      <c r="AA48" s="416"/>
      <c r="AB48" s="95">
        <v>4</v>
      </c>
      <c r="AC48" s="102" t="s">
        <v>123</v>
      </c>
      <c r="AD48" s="41">
        <f t="shared" si="2"/>
        <v>0</v>
      </c>
      <c r="AE48" s="70">
        <f t="shared" si="3"/>
        <v>0</v>
      </c>
      <c r="AF48" s="70">
        <f t="shared" si="4"/>
        <v>0</v>
      </c>
      <c r="AG48" s="70">
        <f t="shared" si="5"/>
        <v>0</v>
      </c>
      <c r="AH48" s="109">
        <f t="shared" si="6"/>
        <v>0</v>
      </c>
      <c r="AI48" s="120">
        <f t="shared" si="7"/>
        <v>0</v>
      </c>
      <c r="AJ48" s="121">
        <f t="shared" si="8"/>
        <v>0</v>
      </c>
      <c r="AK48" s="121">
        <f t="shared" si="9"/>
        <v>0</v>
      </c>
      <c r="AL48" s="121">
        <f t="shared" si="10"/>
        <v>0</v>
      </c>
      <c r="AM48" s="122">
        <f t="shared" si="11"/>
        <v>0</v>
      </c>
      <c r="AN48" s="41">
        <f t="shared" si="12"/>
        <v>0</v>
      </c>
      <c r="AO48" s="70">
        <f t="shared" si="13"/>
        <v>0</v>
      </c>
      <c r="AP48" s="70">
        <f t="shared" si="14"/>
        <v>0</v>
      </c>
      <c r="AQ48" s="70">
        <f t="shared" si="15"/>
        <v>0</v>
      </c>
      <c r="AR48" s="70">
        <f t="shared" si="16"/>
        <v>0</v>
      </c>
    </row>
    <row r="49" spans="2:44" x14ac:dyDescent="0.25">
      <c r="B49" s="17">
        <v>47</v>
      </c>
      <c r="C49" s="10"/>
      <c r="D49" s="10"/>
      <c r="E49" s="72"/>
      <c r="F49" s="18"/>
      <c r="G49" s="10"/>
      <c r="H49" s="10"/>
      <c r="I49" s="10"/>
      <c r="J49" s="11"/>
      <c r="K49" s="11">
        <f t="shared" si="17"/>
        <v>0</v>
      </c>
      <c r="L49" s="37">
        <f t="shared" si="18"/>
        <v>0</v>
      </c>
      <c r="M49" s="11"/>
      <c r="N49" s="10"/>
      <c r="O49" s="21"/>
      <c r="P49" s="21"/>
      <c r="Q49" s="21"/>
      <c r="R49" s="23"/>
      <c r="S49" s="50"/>
      <c r="T49" s="48"/>
      <c r="U49" s="82"/>
      <c r="V49" s="26"/>
      <c r="W49" s="200"/>
      <c r="X49" s="17"/>
      <c r="Z49">
        <v>8</v>
      </c>
      <c r="AA49" s="416"/>
      <c r="AB49" s="96">
        <v>5</v>
      </c>
      <c r="AC49" s="105"/>
      <c r="AD49" s="41">
        <f t="shared" si="2"/>
        <v>0</v>
      </c>
      <c r="AE49" s="70">
        <f t="shared" si="3"/>
        <v>0</v>
      </c>
      <c r="AF49" s="70">
        <f t="shared" si="4"/>
        <v>0</v>
      </c>
      <c r="AG49" s="70">
        <f t="shared" si="5"/>
        <v>0</v>
      </c>
      <c r="AH49" s="109">
        <f t="shared" si="6"/>
        <v>0</v>
      </c>
      <c r="AI49" s="120">
        <f t="shared" si="7"/>
        <v>0</v>
      </c>
      <c r="AJ49" s="121">
        <f t="shared" si="8"/>
        <v>0</v>
      </c>
      <c r="AK49" s="121">
        <f t="shared" si="9"/>
        <v>0</v>
      </c>
      <c r="AL49" s="121">
        <f t="shared" si="10"/>
        <v>0</v>
      </c>
      <c r="AM49" s="122">
        <f t="shared" si="11"/>
        <v>0</v>
      </c>
      <c r="AN49" s="41">
        <f t="shared" si="12"/>
        <v>0</v>
      </c>
      <c r="AO49" s="70">
        <f t="shared" si="13"/>
        <v>0</v>
      </c>
      <c r="AP49" s="70">
        <f t="shared" si="14"/>
        <v>0</v>
      </c>
      <c r="AQ49" s="70">
        <f t="shared" si="15"/>
        <v>0</v>
      </c>
      <c r="AR49" s="70">
        <f t="shared" si="16"/>
        <v>0</v>
      </c>
    </row>
    <row r="50" spans="2:44" ht="14.25" thickBot="1" x14ac:dyDescent="0.3">
      <c r="B50" s="17">
        <v>48</v>
      </c>
      <c r="C50" s="10"/>
      <c r="D50" s="10"/>
      <c r="E50" s="72"/>
      <c r="F50" s="18"/>
      <c r="G50" s="10"/>
      <c r="H50" s="10"/>
      <c r="I50" s="10"/>
      <c r="J50" s="11"/>
      <c r="K50" s="11">
        <f t="shared" si="17"/>
        <v>0</v>
      </c>
      <c r="L50" s="37">
        <f t="shared" si="18"/>
        <v>0</v>
      </c>
      <c r="M50" s="11"/>
      <c r="N50" s="10"/>
      <c r="O50" s="21"/>
      <c r="P50" s="21"/>
      <c r="Q50" s="21"/>
      <c r="R50" s="23"/>
      <c r="S50" s="50"/>
      <c r="T50" s="48"/>
      <c r="U50" s="82"/>
      <c r="V50" s="32"/>
      <c r="W50" s="200"/>
      <c r="X50" s="17"/>
      <c r="Z50">
        <v>8</v>
      </c>
      <c r="AA50" s="417"/>
      <c r="AB50" s="97" t="s">
        <v>3</v>
      </c>
      <c r="AC50" s="106"/>
      <c r="AD50" s="99">
        <f>SUM(AD45:AD49)</f>
        <v>0</v>
      </c>
      <c r="AE50" s="99">
        <f t="shared" ref="AE50" si="121">SUM(AE45:AE49)</f>
        <v>0</v>
      </c>
      <c r="AF50" s="99">
        <f t="shared" ref="AF50" si="122">SUM(AF45:AF49)</f>
        <v>0</v>
      </c>
      <c r="AG50" s="99">
        <f t="shared" ref="AG50" si="123">SUM(AG45:AG49)</f>
        <v>0</v>
      </c>
      <c r="AH50" s="110">
        <f t="shared" ref="AH50" si="124">SUM(AH45:AH49)</f>
        <v>0</v>
      </c>
      <c r="AI50" s="123">
        <f t="shared" ref="AI50" si="125">SUM(AI45:AI49)</f>
        <v>0</v>
      </c>
      <c r="AJ50" s="124">
        <f t="shared" ref="AJ50" si="126">SUM(AJ45:AJ49)</f>
        <v>0</v>
      </c>
      <c r="AK50" s="124">
        <f t="shared" ref="AK50" si="127">SUM(AK45:AK49)</f>
        <v>0</v>
      </c>
      <c r="AL50" s="124">
        <f t="shared" ref="AL50" si="128">SUM(AL45:AL49)</f>
        <v>0</v>
      </c>
      <c r="AM50" s="125">
        <f t="shared" ref="AM50" si="129">SUM(AM45:AM49)</f>
        <v>0</v>
      </c>
      <c r="AN50" s="99">
        <f t="shared" ref="AN50" si="130">SUM(AN45:AN49)</f>
        <v>0</v>
      </c>
      <c r="AO50" s="99">
        <f t="shared" ref="AO50" si="131">SUM(AO45:AO49)</f>
        <v>0</v>
      </c>
      <c r="AP50" s="99">
        <f t="shared" ref="AP50" si="132">SUM(AP45:AP49)</f>
        <v>0</v>
      </c>
      <c r="AQ50" s="99">
        <f t="shared" ref="AQ50" si="133">SUM(AQ45:AQ49)</f>
        <v>0</v>
      </c>
      <c r="AR50" s="99">
        <f t="shared" ref="AR50" si="134">SUM(AR45:AR49)</f>
        <v>0</v>
      </c>
    </row>
    <row r="51" spans="2:44" x14ac:dyDescent="0.25">
      <c r="B51" s="17">
        <v>49</v>
      </c>
      <c r="C51" s="10"/>
      <c r="D51" s="10"/>
      <c r="E51" s="72"/>
      <c r="F51" s="18"/>
      <c r="G51" s="10"/>
      <c r="H51" s="10"/>
      <c r="I51" s="10"/>
      <c r="J51" s="11"/>
      <c r="K51" s="11">
        <f t="shared" si="17"/>
        <v>0</v>
      </c>
      <c r="L51" s="37">
        <f t="shared" si="18"/>
        <v>0</v>
      </c>
      <c r="M51" s="11"/>
      <c r="N51" s="10"/>
      <c r="O51" s="21"/>
      <c r="P51" s="21"/>
      <c r="Q51" s="21"/>
      <c r="R51" s="23"/>
      <c r="S51" s="50"/>
      <c r="T51" s="48"/>
      <c r="U51" s="82"/>
      <c r="V51" s="32"/>
      <c r="W51" s="200"/>
      <c r="X51" s="17"/>
      <c r="Z51">
        <v>9</v>
      </c>
      <c r="AA51" s="415">
        <v>9</v>
      </c>
      <c r="AB51" s="94">
        <v>1</v>
      </c>
      <c r="AC51" s="100" t="s">
        <v>124</v>
      </c>
      <c r="AD51" s="41">
        <f t="shared" si="2"/>
        <v>0</v>
      </c>
      <c r="AE51" s="70">
        <f t="shared" si="3"/>
        <v>0</v>
      </c>
      <c r="AF51" s="70">
        <f t="shared" si="4"/>
        <v>0</v>
      </c>
      <c r="AG51" s="70">
        <f t="shared" si="5"/>
        <v>0</v>
      </c>
      <c r="AH51" s="109">
        <f t="shared" si="6"/>
        <v>0</v>
      </c>
      <c r="AI51" s="120">
        <f t="shared" si="7"/>
        <v>0</v>
      </c>
      <c r="AJ51" s="121">
        <f t="shared" si="8"/>
        <v>0</v>
      </c>
      <c r="AK51" s="121">
        <f t="shared" si="9"/>
        <v>0</v>
      </c>
      <c r="AL51" s="121">
        <f t="shared" si="10"/>
        <v>0</v>
      </c>
      <c r="AM51" s="122">
        <f t="shared" si="11"/>
        <v>0</v>
      </c>
      <c r="AN51" s="41">
        <f t="shared" si="12"/>
        <v>0</v>
      </c>
      <c r="AO51" s="70">
        <f t="shared" si="13"/>
        <v>0</v>
      </c>
      <c r="AP51" s="70">
        <f t="shared" si="14"/>
        <v>0</v>
      </c>
      <c r="AQ51" s="70">
        <f t="shared" si="15"/>
        <v>0</v>
      </c>
      <c r="AR51" s="70">
        <f t="shared" si="16"/>
        <v>0</v>
      </c>
    </row>
    <row r="52" spans="2:44" x14ac:dyDescent="0.25">
      <c r="B52" s="17">
        <v>50</v>
      </c>
      <c r="C52" s="10"/>
      <c r="D52" s="10"/>
      <c r="E52" s="72"/>
      <c r="F52" s="18"/>
      <c r="G52" s="10"/>
      <c r="H52" s="10"/>
      <c r="I52" s="10"/>
      <c r="J52" s="11"/>
      <c r="K52" s="11">
        <f t="shared" si="17"/>
        <v>0</v>
      </c>
      <c r="L52" s="37">
        <f t="shared" si="18"/>
        <v>0</v>
      </c>
      <c r="M52" s="11"/>
      <c r="N52" s="10"/>
      <c r="O52" s="21"/>
      <c r="P52" s="21"/>
      <c r="Q52" s="21"/>
      <c r="R52" s="23"/>
      <c r="S52" s="50"/>
      <c r="T52" s="48"/>
      <c r="U52" s="82"/>
      <c r="V52" s="32"/>
      <c r="W52" s="200"/>
      <c r="X52" s="17"/>
      <c r="Z52">
        <v>9</v>
      </c>
      <c r="AA52" s="416"/>
      <c r="AB52" s="95">
        <v>2</v>
      </c>
      <c r="AC52" s="102" t="s">
        <v>125</v>
      </c>
      <c r="AD52" s="41">
        <f t="shared" si="2"/>
        <v>0</v>
      </c>
      <c r="AE52" s="70">
        <f t="shared" si="3"/>
        <v>0</v>
      </c>
      <c r="AF52" s="70">
        <f t="shared" si="4"/>
        <v>0</v>
      </c>
      <c r="AG52" s="70">
        <f t="shared" si="5"/>
        <v>0</v>
      </c>
      <c r="AH52" s="109">
        <f t="shared" si="6"/>
        <v>0</v>
      </c>
      <c r="AI52" s="120">
        <f t="shared" si="7"/>
        <v>0</v>
      </c>
      <c r="AJ52" s="121">
        <f t="shared" si="8"/>
        <v>0</v>
      </c>
      <c r="AK52" s="121">
        <f t="shared" si="9"/>
        <v>0</v>
      </c>
      <c r="AL52" s="121">
        <f t="shared" si="10"/>
        <v>0</v>
      </c>
      <c r="AM52" s="122">
        <f t="shared" si="11"/>
        <v>0</v>
      </c>
      <c r="AN52" s="41">
        <f t="shared" si="12"/>
        <v>0</v>
      </c>
      <c r="AO52" s="70">
        <f t="shared" si="13"/>
        <v>0</v>
      </c>
      <c r="AP52" s="70">
        <f t="shared" si="14"/>
        <v>0</v>
      </c>
      <c r="AQ52" s="70">
        <f t="shared" si="15"/>
        <v>0</v>
      </c>
      <c r="AR52" s="70">
        <f t="shared" si="16"/>
        <v>0</v>
      </c>
    </row>
    <row r="53" spans="2:44" x14ac:dyDescent="0.25">
      <c r="B53" s="17">
        <v>51</v>
      </c>
      <c r="C53" s="10"/>
      <c r="D53" s="10"/>
      <c r="E53" s="72"/>
      <c r="F53" s="18"/>
      <c r="G53" s="10"/>
      <c r="H53" s="10"/>
      <c r="I53" s="10"/>
      <c r="J53" s="11"/>
      <c r="K53" s="11">
        <f t="shared" si="17"/>
        <v>0</v>
      </c>
      <c r="L53" s="37">
        <f t="shared" si="18"/>
        <v>0</v>
      </c>
      <c r="M53" s="11"/>
      <c r="N53" s="10"/>
      <c r="O53" s="21"/>
      <c r="P53" s="21"/>
      <c r="Q53" s="21"/>
      <c r="R53" s="23"/>
      <c r="S53" s="50"/>
      <c r="T53" s="48"/>
      <c r="U53" s="82"/>
      <c r="V53" s="32"/>
      <c r="W53" s="200"/>
      <c r="X53" s="17"/>
      <c r="Z53">
        <v>9</v>
      </c>
      <c r="AA53" s="416"/>
      <c r="AB53" s="95">
        <v>3</v>
      </c>
      <c r="AC53" s="102" t="s">
        <v>126</v>
      </c>
      <c r="AD53" s="41">
        <f t="shared" si="2"/>
        <v>0</v>
      </c>
      <c r="AE53" s="70">
        <f t="shared" si="3"/>
        <v>0</v>
      </c>
      <c r="AF53" s="70">
        <f t="shared" si="4"/>
        <v>0</v>
      </c>
      <c r="AG53" s="70">
        <f t="shared" si="5"/>
        <v>0</v>
      </c>
      <c r="AH53" s="109">
        <f t="shared" si="6"/>
        <v>0</v>
      </c>
      <c r="AI53" s="120">
        <f t="shared" si="7"/>
        <v>0</v>
      </c>
      <c r="AJ53" s="121">
        <f t="shared" si="8"/>
        <v>0</v>
      </c>
      <c r="AK53" s="121">
        <f t="shared" si="9"/>
        <v>0</v>
      </c>
      <c r="AL53" s="121">
        <f t="shared" si="10"/>
        <v>0</v>
      </c>
      <c r="AM53" s="122">
        <f t="shared" si="11"/>
        <v>0</v>
      </c>
      <c r="AN53" s="41">
        <f t="shared" si="12"/>
        <v>0</v>
      </c>
      <c r="AO53" s="70">
        <f t="shared" si="13"/>
        <v>0</v>
      </c>
      <c r="AP53" s="70">
        <f t="shared" si="14"/>
        <v>0</v>
      </c>
      <c r="AQ53" s="70">
        <f t="shared" si="15"/>
        <v>0</v>
      </c>
      <c r="AR53" s="70">
        <f t="shared" si="16"/>
        <v>0</v>
      </c>
    </row>
    <row r="54" spans="2:44" x14ac:dyDescent="0.25">
      <c r="B54" s="17">
        <v>52</v>
      </c>
      <c r="C54" s="10"/>
      <c r="D54" s="10"/>
      <c r="E54" s="72"/>
      <c r="F54" s="18"/>
      <c r="G54" s="10"/>
      <c r="H54" s="10"/>
      <c r="I54" s="10"/>
      <c r="J54" s="11"/>
      <c r="K54" s="11">
        <f t="shared" si="17"/>
        <v>0</v>
      </c>
      <c r="L54" s="37">
        <f t="shared" si="18"/>
        <v>0</v>
      </c>
      <c r="M54" s="11"/>
      <c r="N54" s="10"/>
      <c r="O54" s="21"/>
      <c r="P54" s="21"/>
      <c r="Q54" s="21"/>
      <c r="R54" s="23"/>
      <c r="S54" s="50"/>
      <c r="T54" s="48"/>
      <c r="U54" s="82"/>
      <c r="V54" s="26"/>
      <c r="W54" s="200"/>
      <c r="X54" s="17"/>
      <c r="Z54">
        <v>9</v>
      </c>
      <c r="AA54" s="416"/>
      <c r="AB54" s="95">
        <v>4</v>
      </c>
      <c r="AC54" s="102" t="s">
        <v>127</v>
      </c>
      <c r="AD54" s="41">
        <f t="shared" si="2"/>
        <v>0</v>
      </c>
      <c r="AE54" s="70">
        <f t="shared" si="3"/>
        <v>0</v>
      </c>
      <c r="AF54" s="70">
        <f t="shared" si="4"/>
        <v>0</v>
      </c>
      <c r="AG54" s="70">
        <f t="shared" si="5"/>
        <v>0</v>
      </c>
      <c r="AH54" s="109">
        <f t="shared" si="6"/>
        <v>0</v>
      </c>
      <c r="AI54" s="120">
        <f t="shared" si="7"/>
        <v>0</v>
      </c>
      <c r="AJ54" s="121">
        <f t="shared" si="8"/>
        <v>0</v>
      </c>
      <c r="AK54" s="121">
        <f t="shared" si="9"/>
        <v>0</v>
      </c>
      <c r="AL54" s="121">
        <f t="shared" si="10"/>
        <v>0</v>
      </c>
      <c r="AM54" s="122">
        <f t="shared" si="11"/>
        <v>0</v>
      </c>
      <c r="AN54" s="41">
        <f t="shared" si="12"/>
        <v>0</v>
      </c>
      <c r="AO54" s="70">
        <f t="shared" si="13"/>
        <v>0</v>
      </c>
      <c r="AP54" s="70">
        <f t="shared" si="14"/>
        <v>0</v>
      </c>
      <c r="AQ54" s="70">
        <f t="shared" si="15"/>
        <v>0</v>
      </c>
      <c r="AR54" s="70">
        <f t="shared" si="16"/>
        <v>0</v>
      </c>
    </row>
    <row r="55" spans="2:44" x14ac:dyDescent="0.25">
      <c r="B55" s="17">
        <v>53</v>
      </c>
      <c r="C55" s="10"/>
      <c r="D55" s="10"/>
      <c r="E55" s="72"/>
      <c r="F55" s="18"/>
      <c r="G55" s="10"/>
      <c r="H55" s="10"/>
      <c r="I55" s="10"/>
      <c r="J55" s="11"/>
      <c r="K55" s="11">
        <f t="shared" si="17"/>
        <v>0</v>
      </c>
      <c r="L55" s="37">
        <f t="shared" si="18"/>
        <v>0</v>
      </c>
      <c r="M55" s="11"/>
      <c r="N55" s="10"/>
      <c r="O55" s="21"/>
      <c r="P55" s="21"/>
      <c r="Q55" s="21"/>
      <c r="R55" s="23"/>
      <c r="S55" s="50"/>
      <c r="T55" s="48"/>
      <c r="U55" s="82"/>
      <c r="V55" s="26"/>
      <c r="W55" s="200"/>
      <c r="X55" s="17"/>
      <c r="Z55">
        <v>9</v>
      </c>
      <c r="AA55" s="416"/>
      <c r="AB55" s="96">
        <v>5</v>
      </c>
      <c r="AC55" s="105"/>
      <c r="AD55" s="41">
        <f t="shared" si="2"/>
        <v>0</v>
      </c>
      <c r="AE55" s="70">
        <f t="shared" si="3"/>
        <v>0</v>
      </c>
      <c r="AF55" s="70">
        <f t="shared" si="4"/>
        <v>0</v>
      </c>
      <c r="AG55" s="70">
        <f t="shared" si="5"/>
        <v>0</v>
      </c>
      <c r="AH55" s="109">
        <f t="shared" si="6"/>
        <v>0</v>
      </c>
      <c r="AI55" s="120">
        <f t="shared" si="7"/>
        <v>0</v>
      </c>
      <c r="AJ55" s="121">
        <f t="shared" si="8"/>
        <v>0</v>
      </c>
      <c r="AK55" s="121">
        <f t="shared" si="9"/>
        <v>0</v>
      </c>
      <c r="AL55" s="121">
        <f t="shared" si="10"/>
        <v>0</v>
      </c>
      <c r="AM55" s="122">
        <f t="shared" si="11"/>
        <v>0</v>
      </c>
      <c r="AN55" s="41">
        <f t="shared" si="12"/>
        <v>0</v>
      </c>
      <c r="AO55" s="70">
        <f t="shared" si="13"/>
        <v>0</v>
      </c>
      <c r="AP55" s="70">
        <f t="shared" si="14"/>
        <v>0</v>
      </c>
      <c r="AQ55" s="70">
        <f t="shared" si="15"/>
        <v>0</v>
      </c>
      <c r="AR55" s="70">
        <f t="shared" si="16"/>
        <v>0</v>
      </c>
    </row>
    <row r="56" spans="2:44" ht="14.25" thickBot="1" x14ac:dyDescent="0.3">
      <c r="B56" s="17">
        <v>54</v>
      </c>
      <c r="C56" s="10"/>
      <c r="D56" s="10"/>
      <c r="E56" s="72"/>
      <c r="F56" s="18"/>
      <c r="G56" s="10"/>
      <c r="H56" s="10"/>
      <c r="I56" s="10"/>
      <c r="J56" s="11"/>
      <c r="K56" s="11">
        <f t="shared" si="17"/>
        <v>0</v>
      </c>
      <c r="L56" s="37">
        <f t="shared" si="18"/>
        <v>0</v>
      </c>
      <c r="M56" s="11"/>
      <c r="N56" s="10"/>
      <c r="O56" s="21"/>
      <c r="P56" s="21"/>
      <c r="Q56" s="21"/>
      <c r="R56" s="23"/>
      <c r="S56" s="50"/>
      <c r="T56" s="48"/>
      <c r="U56" s="82"/>
      <c r="V56" s="26"/>
      <c r="W56" s="200"/>
      <c r="X56" s="17"/>
      <c r="Z56">
        <v>9</v>
      </c>
      <c r="AA56" s="417"/>
      <c r="AB56" s="97" t="s">
        <v>3</v>
      </c>
      <c r="AC56" s="106"/>
      <c r="AD56" s="99">
        <f>SUM(AD51:AD55)</f>
        <v>0</v>
      </c>
      <c r="AE56" s="99">
        <f t="shared" ref="AE56" si="135">SUM(AE51:AE55)</f>
        <v>0</v>
      </c>
      <c r="AF56" s="99">
        <f t="shared" ref="AF56" si="136">SUM(AF51:AF55)</f>
        <v>0</v>
      </c>
      <c r="AG56" s="99">
        <f t="shared" ref="AG56" si="137">SUM(AG51:AG55)</f>
        <v>0</v>
      </c>
      <c r="AH56" s="110">
        <f t="shared" ref="AH56" si="138">SUM(AH51:AH55)</f>
        <v>0</v>
      </c>
      <c r="AI56" s="123">
        <f t="shared" ref="AI56" si="139">SUM(AI51:AI55)</f>
        <v>0</v>
      </c>
      <c r="AJ56" s="124">
        <f t="shared" ref="AJ56" si="140">SUM(AJ51:AJ55)</f>
        <v>0</v>
      </c>
      <c r="AK56" s="124">
        <f t="shared" ref="AK56" si="141">SUM(AK51:AK55)</f>
        <v>0</v>
      </c>
      <c r="AL56" s="124">
        <f t="shared" ref="AL56" si="142">SUM(AL51:AL55)</f>
        <v>0</v>
      </c>
      <c r="AM56" s="125">
        <f t="shared" ref="AM56" si="143">SUM(AM51:AM55)</f>
        <v>0</v>
      </c>
      <c r="AN56" s="99">
        <f t="shared" ref="AN56" si="144">SUM(AN51:AN55)</f>
        <v>0</v>
      </c>
      <c r="AO56" s="99">
        <f t="shared" ref="AO56" si="145">SUM(AO51:AO55)</f>
        <v>0</v>
      </c>
      <c r="AP56" s="99">
        <f t="shared" ref="AP56" si="146">SUM(AP51:AP55)</f>
        <v>0</v>
      </c>
      <c r="AQ56" s="99">
        <f t="shared" ref="AQ56" si="147">SUM(AQ51:AQ55)</f>
        <v>0</v>
      </c>
      <c r="AR56" s="99">
        <f t="shared" ref="AR56" si="148">SUM(AR51:AR55)</f>
        <v>0</v>
      </c>
    </row>
    <row r="57" spans="2:44" x14ac:dyDescent="0.25">
      <c r="B57" s="17">
        <v>55</v>
      </c>
      <c r="C57" s="10"/>
      <c r="D57" s="10"/>
      <c r="E57" s="72"/>
      <c r="F57" s="18"/>
      <c r="G57" s="10"/>
      <c r="H57" s="10"/>
      <c r="I57" s="10"/>
      <c r="J57" s="11"/>
      <c r="K57" s="11">
        <f t="shared" si="17"/>
        <v>0</v>
      </c>
      <c r="L57" s="37">
        <f t="shared" si="18"/>
        <v>0</v>
      </c>
      <c r="M57" s="11"/>
      <c r="N57" s="10"/>
      <c r="O57" s="21"/>
      <c r="P57" s="21"/>
      <c r="Q57" s="21"/>
      <c r="R57" s="23"/>
      <c r="S57" s="50"/>
      <c r="T57" s="48"/>
      <c r="U57" s="82"/>
      <c r="V57" s="26"/>
      <c r="W57" s="200"/>
      <c r="X57" s="17"/>
      <c r="Z57">
        <v>10</v>
      </c>
      <c r="AA57" s="415">
        <v>10</v>
      </c>
      <c r="AB57" s="94">
        <v>1</v>
      </c>
      <c r="AC57" s="100" t="s">
        <v>128</v>
      </c>
      <c r="AD57" s="41">
        <f t="shared" si="2"/>
        <v>0</v>
      </c>
      <c r="AE57" s="70">
        <f t="shared" si="3"/>
        <v>0</v>
      </c>
      <c r="AF57" s="70">
        <f t="shared" si="4"/>
        <v>0</v>
      </c>
      <c r="AG57" s="70">
        <f t="shared" si="5"/>
        <v>0</v>
      </c>
      <c r="AH57" s="109">
        <f t="shared" si="6"/>
        <v>0</v>
      </c>
      <c r="AI57" s="120">
        <f t="shared" si="7"/>
        <v>0</v>
      </c>
      <c r="AJ57" s="121">
        <f t="shared" si="8"/>
        <v>0</v>
      </c>
      <c r="AK57" s="121">
        <f t="shared" si="9"/>
        <v>0</v>
      </c>
      <c r="AL57" s="121">
        <f t="shared" si="10"/>
        <v>0</v>
      </c>
      <c r="AM57" s="122">
        <f t="shared" si="11"/>
        <v>0</v>
      </c>
      <c r="AN57" s="41">
        <f t="shared" si="12"/>
        <v>0</v>
      </c>
      <c r="AO57" s="70">
        <f t="shared" si="13"/>
        <v>0</v>
      </c>
      <c r="AP57" s="70">
        <f t="shared" si="14"/>
        <v>0</v>
      </c>
      <c r="AQ57" s="70">
        <f t="shared" si="15"/>
        <v>0</v>
      </c>
      <c r="AR57" s="70">
        <f t="shared" si="16"/>
        <v>0</v>
      </c>
    </row>
    <row r="58" spans="2:44" x14ac:dyDescent="0.25">
      <c r="B58" s="17">
        <v>56</v>
      </c>
      <c r="C58" s="10"/>
      <c r="D58" s="10"/>
      <c r="E58" s="72"/>
      <c r="F58" s="18"/>
      <c r="G58" s="10"/>
      <c r="H58" s="10"/>
      <c r="I58" s="10"/>
      <c r="J58" s="11"/>
      <c r="K58" s="11">
        <f t="shared" si="17"/>
        <v>0</v>
      </c>
      <c r="L58" s="37">
        <f t="shared" si="18"/>
        <v>0</v>
      </c>
      <c r="M58" s="11"/>
      <c r="N58" s="10"/>
      <c r="O58" s="21"/>
      <c r="P58" s="21"/>
      <c r="Q58" s="21"/>
      <c r="R58" s="23"/>
      <c r="S58" s="50"/>
      <c r="T58" s="48"/>
      <c r="U58" s="82"/>
      <c r="V58" s="26"/>
      <c r="W58" s="200"/>
      <c r="X58" s="17"/>
      <c r="Z58">
        <v>10</v>
      </c>
      <c r="AA58" s="416"/>
      <c r="AB58" s="95">
        <v>2</v>
      </c>
      <c r="AC58" s="101" t="s">
        <v>61</v>
      </c>
      <c r="AD58" s="41">
        <f t="shared" si="2"/>
        <v>0</v>
      </c>
      <c r="AE58" s="70">
        <f t="shared" si="3"/>
        <v>0</v>
      </c>
      <c r="AF58" s="70">
        <f t="shared" si="4"/>
        <v>0</v>
      </c>
      <c r="AG58" s="70">
        <f t="shared" si="5"/>
        <v>0</v>
      </c>
      <c r="AH58" s="109">
        <f t="shared" si="6"/>
        <v>0</v>
      </c>
      <c r="AI58" s="120">
        <f t="shared" si="7"/>
        <v>0</v>
      </c>
      <c r="AJ58" s="121">
        <f t="shared" si="8"/>
        <v>0</v>
      </c>
      <c r="AK58" s="121">
        <f t="shared" si="9"/>
        <v>0</v>
      </c>
      <c r="AL58" s="121">
        <f t="shared" si="10"/>
        <v>0</v>
      </c>
      <c r="AM58" s="122">
        <f t="shared" si="11"/>
        <v>0</v>
      </c>
      <c r="AN58" s="41">
        <f t="shared" si="12"/>
        <v>0</v>
      </c>
      <c r="AO58" s="70">
        <f t="shared" si="13"/>
        <v>0</v>
      </c>
      <c r="AP58" s="70">
        <f t="shared" si="14"/>
        <v>0</v>
      </c>
      <c r="AQ58" s="70">
        <f t="shared" si="15"/>
        <v>0</v>
      </c>
      <c r="AR58" s="70">
        <f t="shared" si="16"/>
        <v>0</v>
      </c>
    </row>
    <row r="59" spans="2:44" x14ac:dyDescent="0.25">
      <c r="B59" s="17">
        <v>57</v>
      </c>
      <c r="C59" s="10"/>
      <c r="D59" s="10"/>
      <c r="E59" s="72"/>
      <c r="F59" s="18"/>
      <c r="G59" s="10"/>
      <c r="H59" s="10"/>
      <c r="I59" s="10"/>
      <c r="J59" s="11"/>
      <c r="K59" s="11">
        <f t="shared" si="17"/>
        <v>0</v>
      </c>
      <c r="L59" s="37">
        <f t="shared" si="18"/>
        <v>0</v>
      </c>
      <c r="M59" s="11"/>
      <c r="N59" s="10"/>
      <c r="O59" s="21"/>
      <c r="P59" s="21"/>
      <c r="Q59" s="21"/>
      <c r="R59" s="23"/>
      <c r="S59" s="50"/>
      <c r="T59" s="48"/>
      <c r="U59" s="82"/>
      <c r="V59" s="32"/>
      <c r="W59" s="200"/>
      <c r="X59" s="17"/>
      <c r="Z59">
        <v>10</v>
      </c>
      <c r="AA59" s="416"/>
      <c r="AB59" s="95">
        <v>3</v>
      </c>
      <c r="AC59" s="102" t="s">
        <v>62</v>
      </c>
      <c r="AD59" s="41">
        <f t="shared" si="2"/>
        <v>0</v>
      </c>
      <c r="AE59" s="70">
        <f t="shared" si="3"/>
        <v>0</v>
      </c>
      <c r="AF59" s="70">
        <f t="shared" si="4"/>
        <v>0</v>
      </c>
      <c r="AG59" s="70">
        <f t="shared" si="5"/>
        <v>0</v>
      </c>
      <c r="AH59" s="109">
        <f t="shared" si="6"/>
        <v>0</v>
      </c>
      <c r="AI59" s="120">
        <f t="shared" si="7"/>
        <v>0</v>
      </c>
      <c r="AJ59" s="121">
        <f t="shared" si="8"/>
        <v>0</v>
      </c>
      <c r="AK59" s="121">
        <f t="shared" si="9"/>
        <v>0</v>
      </c>
      <c r="AL59" s="121">
        <f t="shared" si="10"/>
        <v>0</v>
      </c>
      <c r="AM59" s="122">
        <f t="shared" si="11"/>
        <v>0</v>
      </c>
      <c r="AN59" s="41">
        <f t="shared" si="12"/>
        <v>0</v>
      </c>
      <c r="AO59" s="70">
        <f t="shared" si="13"/>
        <v>0</v>
      </c>
      <c r="AP59" s="70">
        <f t="shared" si="14"/>
        <v>0</v>
      </c>
      <c r="AQ59" s="70">
        <f t="shared" si="15"/>
        <v>0</v>
      </c>
      <c r="AR59" s="70">
        <f t="shared" si="16"/>
        <v>0</v>
      </c>
    </row>
    <row r="60" spans="2:44" x14ac:dyDescent="0.25">
      <c r="B60" s="17">
        <v>58</v>
      </c>
      <c r="C60" s="10"/>
      <c r="D60" s="10"/>
      <c r="E60" s="72"/>
      <c r="F60" s="18"/>
      <c r="G60" s="10"/>
      <c r="H60" s="10"/>
      <c r="I60" s="10"/>
      <c r="J60" s="11"/>
      <c r="K60" s="11">
        <f t="shared" si="17"/>
        <v>0</v>
      </c>
      <c r="L60" s="37">
        <f t="shared" si="18"/>
        <v>0</v>
      </c>
      <c r="M60" s="11"/>
      <c r="N60" s="10"/>
      <c r="O60" s="21"/>
      <c r="P60" s="21"/>
      <c r="Q60" s="21"/>
      <c r="R60" s="23"/>
      <c r="S60" s="50"/>
      <c r="T60" s="48"/>
      <c r="U60" s="82"/>
      <c r="V60" s="32"/>
      <c r="W60" s="200"/>
      <c r="X60" s="17"/>
      <c r="Z60">
        <v>10</v>
      </c>
      <c r="AA60" s="416"/>
      <c r="AB60" s="95">
        <v>4</v>
      </c>
      <c r="AC60" s="102" t="s">
        <v>63</v>
      </c>
      <c r="AD60" s="41">
        <f t="shared" si="2"/>
        <v>0</v>
      </c>
      <c r="AE60" s="70">
        <f t="shared" si="3"/>
        <v>0</v>
      </c>
      <c r="AF60" s="70">
        <f t="shared" si="4"/>
        <v>0</v>
      </c>
      <c r="AG60" s="70">
        <f t="shared" si="5"/>
        <v>0</v>
      </c>
      <c r="AH60" s="109">
        <f t="shared" si="6"/>
        <v>0</v>
      </c>
      <c r="AI60" s="120">
        <f t="shared" si="7"/>
        <v>0</v>
      </c>
      <c r="AJ60" s="121">
        <f t="shared" si="8"/>
        <v>0</v>
      </c>
      <c r="AK60" s="121">
        <f t="shared" si="9"/>
        <v>0</v>
      </c>
      <c r="AL60" s="121">
        <f t="shared" si="10"/>
        <v>0</v>
      </c>
      <c r="AM60" s="122">
        <f t="shared" si="11"/>
        <v>0</v>
      </c>
      <c r="AN60" s="41">
        <f t="shared" si="12"/>
        <v>0</v>
      </c>
      <c r="AO60" s="70">
        <f t="shared" si="13"/>
        <v>0</v>
      </c>
      <c r="AP60" s="70">
        <f t="shared" si="14"/>
        <v>0</v>
      </c>
      <c r="AQ60" s="70">
        <f t="shared" si="15"/>
        <v>0</v>
      </c>
      <c r="AR60" s="70">
        <f t="shared" si="16"/>
        <v>0</v>
      </c>
    </row>
    <row r="61" spans="2:44" x14ac:dyDescent="0.25">
      <c r="B61" s="17">
        <v>59</v>
      </c>
      <c r="C61" s="10"/>
      <c r="D61" s="10"/>
      <c r="E61" s="72"/>
      <c r="F61" s="18"/>
      <c r="G61" s="10"/>
      <c r="H61" s="10"/>
      <c r="I61" s="10"/>
      <c r="J61" s="11"/>
      <c r="K61" s="11">
        <f t="shared" si="17"/>
        <v>0</v>
      </c>
      <c r="L61" s="37">
        <f t="shared" si="18"/>
        <v>0</v>
      </c>
      <c r="M61" s="11"/>
      <c r="N61" s="10"/>
      <c r="O61" s="21"/>
      <c r="P61" s="21"/>
      <c r="Q61" s="21"/>
      <c r="R61" s="23"/>
      <c r="S61" s="50"/>
      <c r="T61" s="48"/>
      <c r="U61" s="82"/>
      <c r="V61" s="26"/>
      <c r="W61" s="200"/>
      <c r="X61" s="17"/>
      <c r="Z61">
        <v>10</v>
      </c>
      <c r="AA61" s="416"/>
      <c r="AB61" s="96">
        <v>5</v>
      </c>
      <c r="AC61" s="56" t="s">
        <v>64</v>
      </c>
      <c r="AD61" s="41">
        <f t="shared" si="2"/>
        <v>0</v>
      </c>
      <c r="AE61" s="70">
        <f t="shared" si="3"/>
        <v>0</v>
      </c>
      <c r="AF61" s="70">
        <f t="shared" si="4"/>
        <v>0</v>
      </c>
      <c r="AG61" s="70">
        <f t="shared" si="5"/>
        <v>0</v>
      </c>
      <c r="AH61" s="109">
        <f t="shared" si="6"/>
        <v>0</v>
      </c>
      <c r="AI61" s="120">
        <f t="shared" si="7"/>
        <v>0</v>
      </c>
      <c r="AJ61" s="121">
        <f t="shared" si="8"/>
        <v>0</v>
      </c>
      <c r="AK61" s="121">
        <f t="shared" si="9"/>
        <v>0</v>
      </c>
      <c r="AL61" s="121">
        <f t="shared" si="10"/>
        <v>0</v>
      </c>
      <c r="AM61" s="122">
        <f t="shared" si="11"/>
        <v>0</v>
      </c>
      <c r="AN61" s="41">
        <f t="shared" si="12"/>
        <v>0</v>
      </c>
      <c r="AO61" s="70">
        <f t="shared" si="13"/>
        <v>0</v>
      </c>
      <c r="AP61" s="70">
        <f t="shared" si="14"/>
        <v>0</v>
      </c>
      <c r="AQ61" s="70">
        <f t="shared" si="15"/>
        <v>0</v>
      </c>
      <c r="AR61" s="70">
        <f t="shared" si="16"/>
        <v>0</v>
      </c>
    </row>
    <row r="62" spans="2:44" ht="14.25" thickBot="1" x14ac:dyDescent="0.3">
      <c r="B62" s="17">
        <v>60</v>
      </c>
      <c r="C62" s="10"/>
      <c r="D62" s="10"/>
      <c r="E62" s="72"/>
      <c r="F62" s="18"/>
      <c r="G62" s="10"/>
      <c r="H62" s="10"/>
      <c r="I62" s="10"/>
      <c r="J62" s="11"/>
      <c r="K62" s="11">
        <f t="shared" si="17"/>
        <v>0</v>
      </c>
      <c r="L62" s="37">
        <f t="shared" si="18"/>
        <v>0</v>
      </c>
      <c r="M62" s="11"/>
      <c r="N62" s="10"/>
      <c r="O62" s="21"/>
      <c r="P62" s="21"/>
      <c r="Q62" s="21"/>
      <c r="R62" s="23"/>
      <c r="S62" s="50"/>
      <c r="T62" s="48"/>
      <c r="U62" s="82"/>
      <c r="V62" s="26"/>
      <c r="W62" s="200"/>
      <c r="X62" s="17"/>
      <c r="Z62">
        <v>10</v>
      </c>
      <c r="AA62" s="417"/>
      <c r="AB62" s="97" t="s">
        <v>3</v>
      </c>
      <c r="AC62" s="106"/>
      <c r="AD62" s="99">
        <f>SUM(AD57:AD61)</f>
        <v>0</v>
      </c>
      <c r="AE62" s="99">
        <f t="shared" ref="AE62" si="149">SUM(AE57:AE61)</f>
        <v>0</v>
      </c>
      <c r="AF62" s="99">
        <f t="shared" ref="AF62" si="150">SUM(AF57:AF61)</f>
        <v>0</v>
      </c>
      <c r="AG62" s="99">
        <f t="shared" ref="AG62" si="151">SUM(AG57:AG61)</f>
        <v>0</v>
      </c>
      <c r="AH62" s="110">
        <f t="shared" ref="AH62" si="152">SUM(AH57:AH61)</f>
        <v>0</v>
      </c>
      <c r="AI62" s="123">
        <f t="shared" ref="AI62" si="153">SUM(AI57:AI61)</f>
        <v>0</v>
      </c>
      <c r="AJ62" s="124">
        <f t="shared" ref="AJ62" si="154">SUM(AJ57:AJ61)</f>
        <v>0</v>
      </c>
      <c r="AK62" s="124">
        <f t="shared" ref="AK62" si="155">SUM(AK57:AK61)</f>
        <v>0</v>
      </c>
      <c r="AL62" s="124">
        <f t="shared" ref="AL62" si="156">SUM(AL57:AL61)</f>
        <v>0</v>
      </c>
      <c r="AM62" s="125">
        <f t="shared" ref="AM62" si="157">SUM(AM57:AM61)</f>
        <v>0</v>
      </c>
      <c r="AN62" s="99">
        <f t="shared" ref="AN62" si="158">SUM(AN57:AN61)</f>
        <v>0</v>
      </c>
      <c r="AO62" s="99">
        <f t="shared" ref="AO62" si="159">SUM(AO57:AO61)</f>
        <v>0</v>
      </c>
      <c r="AP62" s="99">
        <f t="shared" ref="AP62" si="160">SUM(AP57:AP61)</f>
        <v>0</v>
      </c>
      <c r="AQ62" s="99">
        <f t="shared" ref="AQ62" si="161">SUM(AQ57:AQ61)</f>
        <v>0</v>
      </c>
      <c r="AR62" s="99">
        <f t="shared" ref="AR62" si="162">SUM(AR57:AR61)</f>
        <v>0</v>
      </c>
    </row>
    <row r="63" spans="2:44" x14ac:dyDescent="0.25">
      <c r="B63" s="17">
        <v>61</v>
      </c>
      <c r="C63" s="10"/>
      <c r="D63" s="10"/>
      <c r="E63" s="72"/>
      <c r="F63" s="18"/>
      <c r="G63" s="10"/>
      <c r="H63" s="10"/>
      <c r="I63" s="10"/>
      <c r="J63" s="11"/>
      <c r="K63" s="11">
        <f t="shared" si="17"/>
        <v>0</v>
      </c>
      <c r="L63" s="37">
        <f t="shared" si="18"/>
        <v>0</v>
      </c>
      <c r="M63" s="11"/>
      <c r="N63" s="10"/>
      <c r="O63" s="21"/>
      <c r="P63" s="21"/>
      <c r="Q63" s="21"/>
      <c r="R63" s="23"/>
      <c r="S63" s="50"/>
      <c r="T63" s="48"/>
      <c r="U63" s="82"/>
      <c r="V63" s="26"/>
      <c r="W63" s="200"/>
      <c r="X63" s="17"/>
      <c r="Z63">
        <v>11</v>
      </c>
      <c r="AA63" s="415">
        <v>11</v>
      </c>
      <c r="AB63" s="94">
        <v>1</v>
      </c>
      <c r="AC63" s="100" t="s">
        <v>129</v>
      </c>
      <c r="AD63" s="41">
        <f t="shared" si="2"/>
        <v>0</v>
      </c>
      <c r="AE63" s="70">
        <f t="shared" si="3"/>
        <v>0</v>
      </c>
      <c r="AF63" s="70">
        <f t="shared" si="4"/>
        <v>0</v>
      </c>
      <c r="AG63" s="70">
        <f t="shared" si="5"/>
        <v>0</v>
      </c>
      <c r="AH63" s="109">
        <f t="shared" si="6"/>
        <v>0</v>
      </c>
      <c r="AI63" s="120">
        <f t="shared" si="7"/>
        <v>0</v>
      </c>
      <c r="AJ63" s="121">
        <f t="shared" si="8"/>
        <v>0</v>
      </c>
      <c r="AK63" s="121">
        <f t="shared" si="9"/>
        <v>0</v>
      </c>
      <c r="AL63" s="121">
        <f t="shared" si="10"/>
        <v>0</v>
      </c>
      <c r="AM63" s="122">
        <f t="shared" si="11"/>
        <v>0</v>
      </c>
      <c r="AN63" s="41">
        <f t="shared" si="12"/>
        <v>0</v>
      </c>
      <c r="AO63" s="70">
        <f t="shared" si="13"/>
        <v>0</v>
      </c>
      <c r="AP63" s="70">
        <f t="shared" si="14"/>
        <v>0</v>
      </c>
      <c r="AQ63" s="70">
        <f t="shared" si="15"/>
        <v>0</v>
      </c>
      <c r="AR63" s="70">
        <f t="shared" si="16"/>
        <v>0</v>
      </c>
    </row>
    <row r="64" spans="2:44" x14ac:dyDescent="0.25">
      <c r="B64" s="17">
        <v>62</v>
      </c>
      <c r="C64" s="10"/>
      <c r="D64" s="10"/>
      <c r="E64" s="72"/>
      <c r="F64" s="18"/>
      <c r="G64" s="10"/>
      <c r="H64" s="10"/>
      <c r="I64" s="10"/>
      <c r="J64" s="11"/>
      <c r="K64" s="11">
        <f t="shared" si="17"/>
        <v>0</v>
      </c>
      <c r="L64" s="37">
        <f t="shared" si="18"/>
        <v>0</v>
      </c>
      <c r="M64" s="11"/>
      <c r="N64" s="10"/>
      <c r="O64" s="21"/>
      <c r="P64" s="21"/>
      <c r="Q64" s="21"/>
      <c r="R64" s="23"/>
      <c r="S64" s="50"/>
      <c r="T64" s="48"/>
      <c r="U64" s="82"/>
      <c r="V64" s="26"/>
      <c r="W64" s="200"/>
      <c r="X64" s="17"/>
      <c r="Z64">
        <v>11</v>
      </c>
      <c r="AA64" s="416"/>
      <c r="AB64" s="95">
        <v>2</v>
      </c>
      <c r="AC64" s="102" t="s">
        <v>65</v>
      </c>
      <c r="AD64" s="41">
        <f t="shared" si="2"/>
        <v>0</v>
      </c>
      <c r="AE64" s="70">
        <f t="shared" si="3"/>
        <v>0</v>
      </c>
      <c r="AF64" s="70">
        <f t="shared" si="4"/>
        <v>0</v>
      </c>
      <c r="AG64" s="70">
        <f t="shared" si="5"/>
        <v>0</v>
      </c>
      <c r="AH64" s="109">
        <f t="shared" si="6"/>
        <v>0</v>
      </c>
      <c r="AI64" s="120">
        <f t="shared" si="7"/>
        <v>0</v>
      </c>
      <c r="AJ64" s="121">
        <f t="shared" si="8"/>
        <v>0</v>
      </c>
      <c r="AK64" s="121">
        <f t="shared" si="9"/>
        <v>0</v>
      </c>
      <c r="AL64" s="121">
        <f t="shared" si="10"/>
        <v>0</v>
      </c>
      <c r="AM64" s="122">
        <f t="shared" si="11"/>
        <v>0</v>
      </c>
      <c r="AN64" s="41">
        <f t="shared" si="12"/>
        <v>0</v>
      </c>
      <c r="AO64" s="70">
        <f t="shared" si="13"/>
        <v>0</v>
      </c>
      <c r="AP64" s="70">
        <f t="shared" si="14"/>
        <v>0</v>
      </c>
      <c r="AQ64" s="70">
        <f t="shared" si="15"/>
        <v>0</v>
      </c>
      <c r="AR64" s="70">
        <f t="shared" si="16"/>
        <v>0</v>
      </c>
    </row>
    <row r="65" spans="2:44" x14ac:dyDescent="0.25">
      <c r="B65" s="17">
        <v>63</v>
      </c>
      <c r="C65" s="10"/>
      <c r="D65" s="10"/>
      <c r="E65" s="72"/>
      <c r="F65" s="18"/>
      <c r="G65" s="10"/>
      <c r="H65" s="10"/>
      <c r="I65" s="10"/>
      <c r="J65" s="11"/>
      <c r="K65" s="11">
        <f t="shared" si="17"/>
        <v>0</v>
      </c>
      <c r="L65" s="37">
        <f t="shared" si="18"/>
        <v>0</v>
      </c>
      <c r="M65" s="11"/>
      <c r="N65" s="10"/>
      <c r="O65" s="21"/>
      <c r="P65" s="21"/>
      <c r="Q65" s="21"/>
      <c r="R65" s="23"/>
      <c r="S65" s="50"/>
      <c r="T65" s="48"/>
      <c r="U65" s="82"/>
      <c r="V65" s="26"/>
      <c r="W65" s="200"/>
      <c r="X65" s="17"/>
      <c r="Z65">
        <v>11</v>
      </c>
      <c r="AA65" s="416"/>
      <c r="AB65" s="95">
        <v>3</v>
      </c>
      <c r="AC65" s="102" t="s">
        <v>66</v>
      </c>
      <c r="AD65" s="41">
        <f t="shared" si="2"/>
        <v>0</v>
      </c>
      <c r="AE65" s="70">
        <f t="shared" si="3"/>
        <v>0</v>
      </c>
      <c r="AF65" s="70">
        <f t="shared" si="4"/>
        <v>0</v>
      </c>
      <c r="AG65" s="70">
        <f t="shared" si="5"/>
        <v>0</v>
      </c>
      <c r="AH65" s="109">
        <f t="shared" si="6"/>
        <v>0</v>
      </c>
      <c r="AI65" s="120">
        <f t="shared" si="7"/>
        <v>0</v>
      </c>
      <c r="AJ65" s="121">
        <f t="shared" si="8"/>
        <v>0</v>
      </c>
      <c r="AK65" s="121">
        <f t="shared" si="9"/>
        <v>0</v>
      </c>
      <c r="AL65" s="121">
        <f t="shared" si="10"/>
        <v>0</v>
      </c>
      <c r="AM65" s="122">
        <f t="shared" si="11"/>
        <v>0</v>
      </c>
      <c r="AN65" s="41">
        <f t="shared" si="12"/>
        <v>0</v>
      </c>
      <c r="AO65" s="70">
        <f t="shared" si="13"/>
        <v>0</v>
      </c>
      <c r="AP65" s="70">
        <f t="shared" si="14"/>
        <v>0</v>
      </c>
      <c r="AQ65" s="70">
        <f t="shared" si="15"/>
        <v>0</v>
      </c>
      <c r="AR65" s="70">
        <f t="shared" si="16"/>
        <v>0</v>
      </c>
    </row>
    <row r="66" spans="2:44" x14ac:dyDescent="0.25">
      <c r="B66" s="17">
        <v>64</v>
      </c>
      <c r="C66" s="10"/>
      <c r="D66" s="10"/>
      <c r="E66" s="72"/>
      <c r="F66" s="18"/>
      <c r="G66" s="10"/>
      <c r="H66" s="10"/>
      <c r="I66" s="10"/>
      <c r="J66" s="11"/>
      <c r="K66" s="11">
        <f t="shared" ref="K66:K67" si="163">J66*1.1</f>
        <v>0</v>
      </c>
      <c r="L66" s="37">
        <f t="shared" ref="L66:L67" si="164">J66*0.00000001</f>
        <v>0</v>
      </c>
      <c r="M66" s="11"/>
      <c r="N66" s="10"/>
      <c r="O66" s="21"/>
      <c r="P66" s="21"/>
      <c r="Q66" s="21"/>
      <c r="R66" s="23"/>
      <c r="S66" s="50"/>
      <c r="T66" s="48"/>
      <c r="U66" s="82"/>
      <c r="V66" s="32"/>
      <c r="W66" s="200"/>
      <c r="X66" s="17"/>
      <c r="Z66">
        <v>11</v>
      </c>
      <c r="AA66" s="416"/>
      <c r="AB66" s="95">
        <v>4</v>
      </c>
      <c r="AC66" s="102" t="s">
        <v>67</v>
      </c>
      <c r="AD66" s="41">
        <f t="shared" si="2"/>
        <v>0</v>
      </c>
      <c r="AE66" s="70">
        <f t="shared" si="3"/>
        <v>0</v>
      </c>
      <c r="AF66" s="70">
        <f t="shared" si="4"/>
        <v>0</v>
      </c>
      <c r="AG66" s="70">
        <f t="shared" si="5"/>
        <v>0</v>
      </c>
      <c r="AH66" s="109">
        <f t="shared" si="6"/>
        <v>0</v>
      </c>
      <c r="AI66" s="120">
        <f t="shared" si="7"/>
        <v>0</v>
      </c>
      <c r="AJ66" s="121">
        <f t="shared" si="8"/>
        <v>0</v>
      </c>
      <c r="AK66" s="121">
        <f t="shared" si="9"/>
        <v>0</v>
      </c>
      <c r="AL66" s="121">
        <f t="shared" si="10"/>
        <v>0</v>
      </c>
      <c r="AM66" s="122">
        <f t="shared" si="11"/>
        <v>0</v>
      </c>
      <c r="AN66" s="41">
        <f t="shared" si="12"/>
        <v>0</v>
      </c>
      <c r="AO66" s="70">
        <f t="shared" si="13"/>
        <v>0</v>
      </c>
      <c r="AP66" s="70">
        <f t="shared" si="14"/>
        <v>0</v>
      </c>
      <c r="AQ66" s="70">
        <f t="shared" si="15"/>
        <v>0</v>
      </c>
      <c r="AR66" s="70">
        <f t="shared" si="16"/>
        <v>0</v>
      </c>
    </row>
    <row r="67" spans="2:44" x14ac:dyDescent="0.25">
      <c r="B67" s="17">
        <v>65</v>
      </c>
      <c r="C67" s="10"/>
      <c r="D67" s="10"/>
      <c r="E67" s="72"/>
      <c r="F67" s="18"/>
      <c r="G67" s="10"/>
      <c r="H67" s="10"/>
      <c r="I67" s="10"/>
      <c r="J67" s="11"/>
      <c r="K67" s="11">
        <f t="shared" si="163"/>
        <v>0</v>
      </c>
      <c r="L67" s="37">
        <f t="shared" si="164"/>
        <v>0</v>
      </c>
      <c r="M67" s="11"/>
      <c r="N67" s="10"/>
      <c r="O67" s="21"/>
      <c r="P67" s="21"/>
      <c r="Q67" s="21"/>
      <c r="R67" s="23"/>
      <c r="S67" s="50"/>
      <c r="T67" s="48"/>
      <c r="U67" s="82"/>
      <c r="V67" s="32"/>
      <c r="W67" s="200"/>
      <c r="X67" s="17"/>
      <c r="Z67">
        <v>11</v>
      </c>
      <c r="AA67" s="416"/>
      <c r="AB67" s="96">
        <v>5</v>
      </c>
      <c r="AC67" s="105"/>
      <c r="AD67" s="41">
        <f t="shared" si="2"/>
        <v>0</v>
      </c>
      <c r="AE67" s="70">
        <f t="shared" si="3"/>
        <v>0</v>
      </c>
      <c r="AF67" s="70">
        <f t="shared" si="4"/>
        <v>0</v>
      </c>
      <c r="AG67" s="70">
        <f t="shared" si="5"/>
        <v>0</v>
      </c>
      <c r="AH67" s="109">
        <f t="shared" si="6"/>
        <v>0</v>
      </c>
      <c r="AI67" s="120">
        <f t="shared" si="7"/>
        <v>0</v>
      </c>
      <c r="AJ67" s="121">
        <f t="shared" si="8"/>
        <v>0</v>
      </c>
      <c r="AK67" s="121">
        <f t="shared" si="9"/>
        <v>0</v>
      </c>
      <c r="AL67" s="121">
        <f t="shared" si="10"/>
        <v>0</v>
      </c>
      <c r="AM67" s="122">
        <f t="shared" si="11"/>
        <v>0</v>
      </c>
      <c r="AN67" s="41">
        <f t="shared" si="12"/>
        <v>0</v>
      </c>
      <c r="AO67" s="70">
        <f t="shared" si="13"/>
        <v>0</v>
      </c>
      <c r="AP67" s="70">
        <f t="shared" si="14"/>
        <v>0</v>
      </c>
      <c r="AQ67" s="70">
        <f t="shared" si="15"/>
        <v>0</v>
      </c>
      <c r="AR67" s="70">
        <f t="shared" si="16"/>
        <v>0</v>
      </c>
    </row>
    <row r="68" spans="2:44" ht="14.25" thickBot="1" x14ac:dyDescent="0.3">
      <c r="B68" s="17">
        <v>66</v>
      </c>
      <c r="C68" s="10"/>
      <c r="D68" s="10"/>
      <c r="E68" s="72"/>
      <c r="F68" s="18"/>
      <c r="G68" s="10"/>
      <c r="H68" s="10"/>
      <c r="I68" s="10"/>
      <c r="J68" s="11"/>
      <c r="K68" s="11">
        <f t="shared" ref="K68:K131" si="165">J68*1.1</f>
        <v>0</v>
      </c>
      <c r="L68" s="37">
        <f t="shared" ref="L68:L131" si="166">J68*0.00000001</f>
        <v>0</v>
      </c>
      <c r="M68" s="11"/>
      <c r="N68" s="10"/>
      <c r="O68" s="21"/>
      <c r="P68" s="21"/>
      <c r="Q68" s="21"/>
      <c r="R68" s="23"/>
      <c r="S68" s="50"/>
      <c r="T68" s="48"/>
      <c r="U68" s="82"/>
      <c r="V68" s="32"/>
      <c r="W68" s="200"/>
      <c r="X68" s="17"/>
      <c r="Z68">
        <v>11</v>
      </c>
      <c r="AA68" s="417"/>
      <c r="AB68" s="97" t="s">
        <v>3</v>
      </c>
      <c r="AC68" s="106"/>
      <c r="AD68" s="99">
        <f>SUM(AD63:AD67)</f>
        <v>0</v>
      </c>
      <c r="AE68" s="99">
        <f t="shared" ref="AE68" si="167">SUM(AE63:AE67)</f>
        <v>0</v>
      </c>
      <c r="AF68" s="99">
        <f t="shared" ref="AF68" si="168">SUM(AF63:AF67)</f>
        <v>0</v>
      </c>
      <c r="AG68" s="99">
        <f t="shared" ref="AG68" si="169">SUM(AG63:AG67)</f>
        <v>0</v>
      </c>
      <c r="AH68" s="110">
        <f t="shared" ref="AH68" si="170">SUM(AH63:AH67)</f>
        <v>0</v>
      </c>
      <c r="AI68" s="123">
        <f t="shared" ref="AI68" si="171">SUM(AI63:AI67)</f>
        <v>0</v>
      </c>
      <c r="AJ68" s="124">
        <f t="shared" ref="AJ68" si="172">SUM(AJ63:AJ67)</f>
        <v>0</v>
      </c>
      <c r="AK68" s="124">
        <f t="shared" ref="AK68" si="173">SUM(AK63:AK67)</f>
        <v>0</v>
      </c>
      <c r="AL68" s="124">
        <f t="shared" ref="AL68" si="174">SUM(AL63:AL67)</f>
        <v>0</v>
      </c>
      <c r="AM68" s="125">
        <f t="shared" ref="AM68" si="175">SUM(AM63:AM67)</f>
        <v>0</v>
      </c>
      <c r="AN68" s="99">
        <f t="shared" ref="AN68" si="176">SUM(AN63:AN67)</f>
        <v>0</v>
      </c>
      <c r="AO68" s="99">
        <f t="shared" ref="AO68" si="177">SUM(AO63:AO67)</f>
        <v>0</v>
      </c>
      <c r="AP68" s="99">
        <f t="shared" ref="AP68" si="178">SUM(AP63:AP67)</f>
        <v>0</v>
      </c>
      <c r="AQ68" s="99">
        <f t="shared" ref="AQ68" si="179">SUM(AQ63:AQ67)</f>
        <v>0</v>
      </c>
      <c r="AR68" s="99">
        <f t="shared" ref="AR68" si="180">SUM(AR63:AR67)</f>
        <v>0</v>
      </c>
    </row>
    <row r="69" spans="2:44" x14ac:dyDescent="0.25">
      <c r="B69" s="17">
        <v>67</v>
      </c>
      <c r="C69" s="10"/>
      <c r="D69" s="10"/>
      <c r="E69" s="72"/>
      <c r="F69" s="18"/>
      <c r="G69" s="10"/>
      <c r="H69" s="10"/>
      <c r="I69" s="10"/>
      <c r="J69" s="11"/>
      <c r="K69" s="11">
        <f t="shared" si="165"/>
        <v>0</v>
      </c>
      <c r="L69" s="37">
        <f t="shared" si="166"/>
        <v>0</v>
      </c>
      <c r="M69" s="11"/>
      <c r="N69" s="10"/>
      <c r="O69" s="21"/>
      <c r="P69" s="21"/>
      <c r="Q69" s="21"/>
      <c r="R69" s="23"/>
      <c r="S69" s="50"/>
      <c r="T69" s="48"/>
      <c r="U69" s="82"/>
      <c r="V69" s="32"/>
      <c r="W69" s="200"/>
      <c r="X69" s="17"/>
      <c r="Z69">
        <v>12</v>
      </c>
      <c r="AA69" s="422">
        <v>12</v>
      </c>
      <c r="AB69" s="98">
        <v>1</v>
      </c>
      <c r="AC69" s="107" t="s">
        <v>130</v>
      </c>
      <c r="AD69" s="41">
        <f t="shared" ref="AD69:AD73" si="181">SUM(AE69:AH69)</f>
        <v>0</v>
      </c>
      <c r="AE69" s="70">
        <f t="shared" ref="AE69:AE73" si="182">SUMIFS($I:$I,$C:$C, $AE$2,$G:$G,$Z69,$H:$H,$AB69)</f>
        <v>0</v>
      </c>
      <c r="AF69" s="70">
        <f t="shared" ref="AF69:AF73" si="183">SUMIFS($I:$I,$C:$C, $AF$2,$G:$G,$Z69,$H:$H,$AB69)</f>
        <v>0</v>
      </c>
      <c r="AG69" s="70">
        <f t="shared" ref="AG69:AG73" si="184">SUMIFS($I:$I,$C:$C, $AG$2,$G:$G,$Z69,$H:$H,$AB69)</f>
        <v>0</v>
      </c>
      <c r="AH69" s="109">
        <f t="shared" ref="AH69:AH73" si="185">SUMIFS($I:$I,$C:$C, $AH$2,$G:$G,$Z69,$H:$H,$AB69)</f>
        <v>0</v>
      </c>
      <c r="AI69" s="120">
        <f t="shared" ref="AI69:AI73" si="186">SUM(AJ69:AM69)</f>
        <v>0</v>
      </c>
      <c r="AJ69" s="121">
        <f t="shared" ref="AJ69:AJ73" si="187">COUNTIFS($C:$C, $AJ$2,$G:$G,$Z69,$H:$H,$AB69)</f>
        <v>0</v>
      </c>
      <c r="AK69" s="121">
        <f t="shared" ref="AK69:AK73" si="188">COUNTIFS($C:$C, $AK$2,$G:$G,$Z69,$H:$H,$AB69)</f>
        <v>0</v>
      </c>
      <c r="AL69" s="121">
        <f t="shared" ref="AL69:AL73" si="189">COUNTIFS($C:$C, $AL$2,$G:$G,$Z69,$H:$H,$AB69)</f>
        <v>0</v>
      </c>
      <c r="AM69" s="122">
        <f t="shared" ref="AM69:AM73" si="190">COUNTIFS($C:$C, $AM$2,$G:$G,$Z69,$H:$H,$AB69)</f>
        <v>0</v>
      </c>
      <c r="AN69" s="41">
        <f t="shared" ref="AN69:AN73" si="191">SUM(AO69:AR69)</f>
        <v>0</v>
      </c>
      <c r="AO69" s="70">
        <f t="shared" ref="AO69:AO73" si="192">SUMIFS($L:$L,$C:$C, $AO$2,$G:$G,$Z69,$H:$H,$AB69)</f>
        <v>0</v>
      </c>
      <c r="AP69" s="70">
        <f t="shared" ref="AP69:AP73" si="193">SUMIFS($L:$L,$C:$C, $AP$2,$G:$G,$Z69,$H:$H,$AB69)</f>
        <v>0</v>
      </c>
      <c r="AQ69" s="70">
        <f t="shared" ref="AQ69:AQ73" si="194">SUMIFS($L:$L,$C:$C, $AQ$2,$G:$G,$Z69,$H:$H,$AB69)</f>
        <v>0</v>
      </c>
      <c r="AR69" s="70">
        <f t="shared" ref="AR69:AR73" si="195">SUMIFS($L:$L,$C:$C, $AR$2,$G:$G,$Z69,$H:$H,$AB69)</f>
        <v>0</v>
      </c>
    </row>
    <row r="70" spans="2:44" x14ac:dyDescent="0.25">
      <c r="B70" s="17">
        <v>68</v>
      </c>
      <c r="C70" s="10"/>
      <c r="D70" s="10"/>
      <c r="E70" s="72"/>
      <c r="F70" s="18"/>
      <c r="G70" s="10"/>
      <c r="H70" s="10"/>
      <c r="I70" s="10"/>
      <c r="J70" s="11"/>
      <c r="K70" s="11">
        <f t="shared" si="165"/>
        <v>0</v>
      </c>
      <c r="L70" s="37">
        <f t="shared" si="166"/>
        <v>0</v>
      </c>
      <c r="M70" s="11"/>
      <c r="N70" s="10"/>
      <c r="O70" s="21"/>
      <c r="P70" s="21"/>
      <c r="Q70" s="21"/>
      <c r="R70" s="23"/>
      <c r="S70" s="50"/>
      <c r="T70" s="48"/>
      <c r="U70" s="82"/>
      <c r="V70" s="26"/>
      <c r="W70" s="200"/>
      <c r="X70" s="17"/>
      <c r="Z70">
        <v>12</v>
      </c>
      <c r="AA70" s="416"/>
      <c r="AB70" s="95">
        <v>2</v>
      </c>
      <c r="AC70" s="102" t="s">
        <v>125</v>
      </c>
      <c r="AD70" s="41">
        <f t="shared" si="181"/>
        <v>0</v>
      </c>
      <c r="AE70" s="70">
        <f t="shared" si="182"/>
        <v>0</v>
      </c>
      <c r="AF70" s="70">
        <f t="shared" si="183"/>
        <v>0</v>
      </c>
      <c r="AG70" s="70">
        <f t="shared" si="184"/>
        <v>0</v>
      </c>
      <c r="AH70" s="109">
        <f t="shared" si="185"/>
        <v>0</v>
      </c>
      <c r="AI70" s="120">
        <f t="shared" si="186"/>
        <v>0</v>
      </c>
      <c r="AJ70" s="121">
        <f t="shared" si="187"/>
        <v>0</v>
      </c>
      <c r="AK70" s="121">
        <f t="shared" si="188"/>
        <v>0</v>
      </c>
      <c r="AL70" s="121">
        <f t="shared" si="189"/>
        <v>0</v>
      </c>
      <c r="AM70" s="122">
        <f t="shared" si="190"/>
        <v>0</v>
      </c>
      <c r="AN70" s="41">
        <f t="shared" si="191"/>
        <v>0</v>
      </c>
      <c r="AO70" s="70">
        <f t="shared" si="192"/>
        <v>0</v>
      </c>
      <c r="AP70" s="70">
        <f t="shared" si="193"/>
        <v>0</v>
      </c>
      <c r="AQ70" s="70">
        <f t="shared" si="194"/>
        <v>0</v>
      </c>
      <c r="AR70" s="70">
        <f t="shared" si="195"/>
        <v>0</v>
      </c>
    </row>
    <row r="71" spans="2:44" x14ac:dyDescent="0.25">
      <c r="B71" s="17">
        <v>69</v>
      </c>
      <c r="C71" s="10"/>
      <c r="D71" s="10"/>
      <c r="E71" s="72"/>
      <c r="F71" s="18"/>
      <c r="G71" s="10"/>
      <c r="H71" s="10"/>
      <c r="I71" s="10"/>
      <c r="J71" s="11"/>
      <c r="K71" s="11">
        <f t="shared" si="165"/>
        <v>0</v>
      </c>
      <c r="L71" s="37">
        <f t="shared" si="166"/>
        <v>0</v>
      </c>
      <c r="M71" s="11"/>
      <c r="N71" s="10"/>
      <c r="O71" s="21"/>
      <c r="P71" s="21"/>
      <c r="Q71" s="21"/>
      <c r="R71" s="23"/>
      <c r="S71" s="50"/>
      <c r="T71" s="48"/>
      <c r="U71" s="82"/>
      <c r="V71" s="26"/>
      <c r="W71" s="200"/>
      <c r="X71" s="17"/>
      <c r="Z71">
        <v>12</v>
      </c>
      <c r="AA71" s="416"/>
      <c r="AB71" s="95">
        <v>3</v>
      </c>
      <c r="AC71" s="102" t="s">
        <v>126</v>
      </c>
      <c r="AD71" s="41">
        <f t="shared" si="181"/>
        <v>0</v>
      </c>
      <c r="AE71" s="70">
        <f t="shared" si="182"/>
        <v>0</v>
      </c>
      <c r="AF71" s="70">
        <f t="shared" si="183"/>
        <v>0</v>
      </c>
      <c r="AG71" s="70">
        <f t="shared" si="184"/>
        <v>0</v>
      </c>
      <c r="AH71" s="109">
        <f t="shared" si="185"/>
        <v>0</v>
      </c>
      <c r="AI71" s="120">
        <f t="shared" si="186"/>
        <v>0</v>
      </c>
      <c r="AJ71" s="121">
        <f t="shared" si="187"/>
        <v>0</v>
      </c>
      <c r="AK71" s="121">
        <f t="shared" si="188"/>
        <v>0</v>
      </c>
      <c r="AL71" s="121">
        <f t="shared" si="189"/>
        <v>0</v>
      </c>
      <c r="AM71" s="122">
        <f t="shared" si="190"/>
        <v>0</v>
      </c>
      <c r="AN71" s="41">
        <f t="shared" si="191"/>
        <v>0</v>
      </c>
      <c r="AO71" s="70">
        <f t="shared" si="192"/>
        <v>0</v>
      </c>
      <c r="AP71" s="70">
        <f t="shared" si="193"/>
        <v>0</v>
      </c>
      <c r="AQ71" s="70">
        <f t="shared" si="194"/>
        <v>0</v>
      </c>
      <c r="AR71" s="70">
        <f t="shared" si="195"/>
        <v>0</v>
      </c>
    </row>
    <row r="72" spans="2:44" x14ac:dyDescent="0.25">
      <c r="B72" s="17">
        <v>70</v>
      </c>
      <c r="C72" s="10"/>
      <c r="D72" s="10"/>
      <c r="E72" s="72"/>
      <c r="F72" s="18"/>
      <c r="G72" s="10"/>
      <c r="H72" s="10"/>
      <c r="I72" s="10"/>
      <c r="J72" s="11"/>
      <c r="K72" s="11">
        <f t="shared" si="165"/>
        <v>0</v>
      </c>
      <c r="L72" s="37">
        <f t="shared" si="166"/>
        <v>0</v>
      </c>
      <c r="M72" s="11"/>
      <c r="N72" s="10"/>
      <c r="O72" s="21"/>
      <c r="P72" s="21"/>
      <c r="Q72" s="21"/>
      <c r="R72" s="23"/>
      <c r="S72" s="50"/>
      <c r="T72" s="48"/>
      <c r="U72" s="82"/>
      <c r="V72" s="26"/>
      <c r="W72" s="200"/>
      <c r="X72" s="17"/>
      <c r="Z72">
        <v>12</v>
      </c>
      <c r="AA72" s="416"/>
      <c r="AB72" s="95">
        <v>4</v>
      </c>
      <c r="AC72" s="102" t="s">
        <v>127</v>
      </c>
      <c r="AD72" s="41">
        <f t="shared" si="181"/>
        <v>1123.1999999999998</v>
      </c>
      <c r="AE72" s="70">
        <f t="shared" si="182"/>
        <v>0</v>
      </c>
      <c r="AF72" s="70">
        <f t="shared" si="183"/>
        <v>0</v>
      </c>
      <c r="AG72" s="70">
        <f t="shared" si="184"/>
        <v>1123.1999999999998</v>
      </c>
      <c r="AH72" s="109">
        <f t="shared" si="185"/>
        <v>0</v>
      </c>
      <c r="AI72" s="120">
        <f t="shared" si="186"/>
        <v>2</v>
      </c>
      <c r="AJ72" s="121">
        <f t="shared" si="187"/>
        <v>0</v>
      </c>
      <c r="AK72" s="121">
        <f t="shared" si="188"/>
        <v>0</v>
      </c>
      <c r="AL72" s="121">
        <f t="shared" si="189"/>
        <v>2</v>
      </c>
      <c r="AM72" s="122">
        <f t="shared" si="190"/>
        <v>0</v>
      </c>
      <c r="AN72" s="41">
        <f t="shared" si="191"/>
        <v>10</v>
      </c>
      <c r="AO72" s="70">
        <f t="shared" si="192"/>
        <v>0</v>
      </c>
      <c r="AP72" s="70">
        <f t="shared" si="193"/>
        <v>0</v>
      </c>
      <c r="AQ72" s="70">
        <f t="shared" si="194"/>
        <v>10</v>
      </c>
      <c r="AR72" s="70">
        <f t="shared" si="195"/>
        <v>0</v>
      </c>
    </row>
    <row r="73" spans="2:44" x14ac:dyDescent="0.25">
      <c r="B73" s="17">
        <v>71</v>
      </c>
      <c r="C73" s="10"/>
      <c r="D73" s="10"/>
      <c r="E73" s="72"/>
      <c r="F73" s="18"/>
      <c r="G73" s="10"/>
      <c r="H73" s="10"/>
      <c r="I73" s="10"/>
      <c r="J73" s="11"/>
      <c r="K73" s="11">
        <f t="shared" si="165"/>
        <v>0</v>
      </c>
      <c r="L73" s="37">
        <f t="shared" si="166"/>
        <v>0</v>
      </c>
      <c r="M73" s="11"/>
      <c r="N73" s="10"/>
      <c r="O73" s="21"/>
      <c r="P73" s="21"/>
      <c r="Q73" s="21"/>
      <c r="R73" s="23"/>
      <c r="S73" s="50"/>
      <c r="T73" s="48"/>
      <c r="U73" s="82"/>
      <c r="V73" s="26"/>
      <c r="W73" s="200"/>
      <c r="X73" s="17"/>
      <c r="Z73">
        <v>12</v>
      </c>
      <c r="AA73" s="416"/>
      <c r="AB73" s="96">
        <v>5</v>
      </c>
      <c r="AC73" s="105" t="s">
        <v>131</v>
      </c>
      <c r="AD73" s="41">
        <f t="shared" si="181"/>
        <v>0</v>
      </c>
      <c r="AE73" s="70">
        <f t="shared" si="182"/>
        <v>0</v>
      </c>
      <c r="AF73" s="70">
        <f t="shared" si="183"/>
        <v>0</v>
      </c>
      <c r="AG73" s="70">
        <f t="shared" si="184"/>
        <v>0</v>
      </c>
      <c r="AH73" s="109">
        <f t="shared" si="185"/>
        <v>0</v>
      </c>
      <c r="AI73" s="120">
        <f t="shared" si="186"/>
        <v>0</v>
      </c>
      <c r="AJ73" s="121">
        <f t="shared" si="187"/>
        <v>0</v>
      </c>
      <c r="AK73" s="121">
        <f t="shared" si="188"/>
        <v>0</v>
      </c>
      <c r="AL73" s="121">
        <f t="shared" si="189"/>
        <v>0</v>
      </c>
      <c r="AM73" s="122">
        <f t="shared" si="190"/>
        <v>0</v>
      </c>
      <c r="AN73" s="41">
        <f t="shared" si="191"/>
        <v>0</v>
      </c>
      <c r="AO73" s="70">
        <f t="shared" si="192"/>
        <v>0</v>
      </c>
      <c r="AP73" s="70">
        <f t="shared" si="193"/>
        <v>0</v>
      </c>
      <c r="AQ73" s="70">
        <f t="shared" si="194"/>
        <v>0</v>
      </c>
      <c r="AR73" s="70">
        <f t="shared" si="195"/>
        <v>0</v>
      </c>
    </row>
    <row r="74" spans="2:44" ht="14.25" thickBot="1" x14ac:dyDescent="0.3">
      <c r="B74" s="17">
        <v>72</v>
      </c>
      <c r="C74" s="10"/>
      <c r="D74" s="10"/>
      <c r="E74" s="72"/>
      <c r="F74" s="18"/>
      <c r="G74" s="10"/>
      <c r="H74" s="10"/>
      <c r="I74" s="10"/>
      <c r="J74" s="11"/>
      <c r="K74" s="11">
        <f t="shared" si="165"/>
        <v>0</v>
      </c>
      <c r="L74" s="37">
        <f t="shared" si="166"/>
        <v>0</v>
      </c>
      <c r="M74" s="11"/>
      <c r="N74" s="10"/>
      <c r="O74" s="21"/>
      <c r="P74" s="21"/>
      <c r="Q74" s="21"/>
      <c r="R74" s="23"/>
      <c r="S74" s="50"/>
      <c r="T74" s="48"/>
      <c r="U74" s="82"/>
      <c r="V74" s="26"/>
      <c r="W74" s="200"/>
      <c r="X74" s="17"/>
      <c r="Z74">
        <v>12</v>
      </c>
      <c r="AA74" s="417"/>
      <c r="AB74" s="97" t="s">
        <v>3</v>
      </c>
      <c r="AC74" s="106"/>
      <c r="AD74" s="99">
        <f>SUM(AD69:AD73)</f>
        <v>1123.1999999999998</v>
      </c>
      <c r="AE74" s="99">
        <f t="shared" ref="AE74:AR74" si="196">SUM(AE69:AE73)</f>
        <v>0</v>
      </c>
      <c r="AF74" s="99">
        <f t="shared" si="196"/>
        <v>0</v>
      </c>
      <c r="AG74" s="99">
        <f t="shared" si="196"/>
        <v>1123.1999999999998</v>
      </c>
      <c r="AH74" s="110">
        <f t="shared" si="196"/>
        <v>0</v>
      </c>
      <c r="AI74" s="123">
        <f t="shared" si="196"/>
        <v>2</v>
      </c>
      <c r="AJ74" s="124">
        <f t="shared" si="196"/>
        <v>0</v>
      </c>
      <c r="AK74" s="124">
        <f t="shared" si="196"/>
        <v>0</v>
      </c>
      <c r="AL74" s="124">
        <f t="shared" si="196"/>
        <v>2</v>
      </c>
      <c r="AM74" s="125">
        <f t="shared" si="196"/>
        <v>0</v>
      </c>
      <c r="AN74" s="99">
        <f t="shared" si="196"/>
        <v>10</v>
      </c>
      <c r="AO74" s="99">
        <f t="shared" si="196"/>
        <v>0</v>
      </c>
      <c r="AP74" s="99">
        <f t="shared" si="196"/>
        <v>0</v>
      </c>
      <c r="AQ74" s="99">
        <f t="shared" si="196"/>
        <v>10</v>
      </c>
      <c r="AR74" s="99">
        <f t="shared" si="196"/>
        <v>0</v>
      </c>
    </row>
    <row r="75" spans="2:44" ht="17.25" thickBot="1" x14ac:dyDescent="0.3">
      <c r="B75" s="17">
        <v>73</v>
      </c>
      <c r="C75" s="10"/>
      <c r="D75" s="10"/>
      <c r="E75" s="72"/>
      <c r="F75" s="18"/>
      <c r="G75" s="10"/>
      <c r="H75" s="10"/>
      <c r="I75" s="10"/>
      <c r="J75" s="11"/>
      <c r="K75" s="11">
        <f t="shared" si="165"/>
        <v>0</v>
      </c>
      <c r="L75" s="37">
        <f t="shared" si="166"/>
        <v>0</v>
      </c>
      <c r="M75" s="11"/>
      <c r="N75" s="10"/>
      <c r="O75" s="21"/>
      <c r="P75" s="21"/>
      <c r="Q75" s="21"/>
      <c r="R75" s="23"/>
      <c r="S75" s="50"/>
      <c r="T75" s="48"/>
      <c r="U75" s="82"/>
      <c r="V75" s="32"/>
      <c r="W75" s="200"/>
      <c r="X75" s="17"/>
      <c r="AA75" s="418" t="s">
        <v>36</v>
      </c>
      <c r="AB75" s="419"/>
      <c r="AC75" s="108"/>
      <c r="AD75" s="90">
        <f>SUM(AD8,AD14,AD20,AD26,AD32,AD38,AD44,AD50,AD56,AD62,AD68,AD74)</f>
        <v>7047.1149999999998</v>
      </c>
      <c r="AE75" s="90"/>
      <c r="AF75" s="90"/>
      <c r="AG75" s="91"/>
      <c r="AH75" s="91"/>
      <c r="AI75" s="126"/>
      <c r="AJ75" s="127"/>
      <c r="AK75" s="127"/>
      <c r="AL75" s="127"/>
      <c r="AM75" s="128"/>
      <c r="AN75" s="92"/>
      <c r="AO75" s="92"/>
      <c r="AP75" s="92"/>
      <c r="AQ75" s="92"/>
      <c r="AR75" s="93"/>
    </row>
    <row r="76" spans="2:44" x14ac:dyDescent="0.25">
      <c r="B76" s="17">
        <v>74</v>
      </c>
      <c r="C76" s="10"/>
      <c r="D76" s="10"/>
      <c r="E76" s="72"/>
      <c r="F76" s="18"/>
      <c r="G76" s="10"/>
      <c r="H76" s="10"/>
      <c r="I76" s="10"/>
      <c r="J76" s="11"/>
      <c r="K76" s="11">
        <f t="shared" si="165"/>
        <v>0</v>
      </c>
      <c r="L76" s="37">
        <f t="shared" si="166"/>
        <v>0</v>
      </c>
      <c r="M76" s="11"/>
      <c r="N76" s="10"/>
      <c r="O76" s="21"/>
      <c r="P76" s="21"/>
      <c r="Q76" s="21"/>
      <c r="R76" s="23"/>
      <c r="S76" s="50"/>
      <c r="T76" s="48"/>
      <c r="U76" s="82"/>
      <c r="V76" s="32"/>
      <c r="W76" s="200"/>
      <c r="X76" s="17"/>
    </row>
    <row r="77" spans="2:44" x14ac:dyDescent="0.25">
      <c r="B77" s="17">
        <v>75</v>
      </c>
      <c r="C77" s="10"/>
      <c r="D77" s="10"/>
      <c r="E77" s="72"/>
      <c r="F77" s="18"/>
      <c r="G77" s="10"/>
      <c r="H77" s="10"/>
      <c r="I77" s="10"/>
      <c r="J77" s="11"/>
      <c r="K77" s="11">
        <f t="shared" si="165"/>
        <v>0</v>
      </c>
      <c r="L77" s="37">
        <f t="shared" si="166"/>
        <v>0</v>
      </c>
      <c r="M77" s="11"/>
      <c r="N77" s="10"/>
      <c r="O77" s="21"/>
      <c r="P77" s="21"/>
      <c r="Q77" s="21"/>
      <c r="R77" s="23"/>
      <c r="S77" s="50"/>
      <c r="T77" s="48"/>
      <c r="U77" s="82"/>
      <c r="V77" s="26"/>
      <c r="W77" s="200"/>
      <c r="X77" s="17"/>
    </row>
    <row r="78" spans="2:44" x14ac:dyDescent="0.25">
      <c r="B78" s="17">
        <v>76</v>
      </c>
      <c r="C78" s="10"/>
      <c r="D78" s="10"/>
      <c r="E78" s="72"/>
      <c r="F78" s="18"/>
      <c r="G78" s="10"/>
      <c r="H78" s="10"/>
      <c r="I78" s="10"/>
      <c r="J78" s="11"/>
      <c r="K78" s="11">
        <f t="shared" si="165"/>
        <v>0</v>
      </c>
      <c r="L78" s="37">
        <f t="shared" si="166"/>
        <v>0</v>
      </c>
      <c r="M78" s="11"/>
      <c r="N78" s="10"/>
      <c r="O78" s="21"/>
      <c r="P78" s="21"/>
      <c r="Q78" s="21"/>
      <c r="R78" s="23"/>
      <c r="S78" s="50"/>
      <c r="T78" s="48"/>
      <c r="U78" s="82"/>
      <c r="V78" s="26"/>
      <c r="W78" s="200"/>
      <c r="X78" s="17"/>
    </row>
    <row r="79" spans="2:44" x14ac:dyDescent="0.25">
      <c r="B79" s="17">
        <v>77</v>
      </c>
      <c r="C79" s="10"/>
      <c r="D79" s="10"/>
      <c r="E79" s="72"/>
      <c r="F79" s="18"/>
      <c r="G79" s="10"/>
      <c r="H79" s="10"/>
      <c r="I79" s="10"/>
      <c r="J79" s="11"/>
      <c r="K79" s="11">
        <f t="shared" si="165"/>
        <v>0</v>
      </c>
      <c r="L79" s="37">
        <f t="shared" si="166"/>
        <v>0</v>
      </c>
      <c r="M79" s="11"/>
      <c r="N79" s="10"/>
      <c r="O79" s="21"/>
      <c r="P79" s="21"/>
      <c r="Q79" s="21"/>
      <c r="R79" s="23"/>
      <c r="S79" s="50"/>
      <c r="T79" s="48"/>
      <c r="U79" s="82"/>
      <c r="V79" s="26"/>
      <c r="W79" s="200"/>
      <c r="X79" s="17"/>
    </row>
    <row r="80" spans="2:44" x14ac:dyDescent="0.25">
      <c r="B80" s="17">
        <v>78</v>
      </c>
      <c r="C80" s="10"/>
      <c r="D80" s="10"/>
      <c r="E80" s="72"/>
      <c r="F80" s="18"/>
      <c r="G80" s="10"/>
      <c r="H80" s="10"/>
      <c r="I80" s="10"/>
      <c r="J80" s="11"/>
      <c r="K80" s="11">
        <f t="shared" si="165"/>
        <v>0</v>
      </c>
      <c r="L80" s="37">
        <f t="shared" si="166"/>
        <v>0</v>
      </c>
      <c r="M80" s="11"/>
      <c r="N80" s="10"/>
      <c r="O80" s="21"/>
      <c r="P80" s="21"/>
      <c r="Q80" s="21"/>
      <c r="R80" s="23"/>
      <c r="S80" s="50"/>
      <c r="T80" s="48"/>
      <c r="U80" s="82"/>
      <c r="V80" s="26"/>
      <c r="W80" s="200"/>
      <c r="X80" s="17"/>
    </row>
    <row r="81" spans="2:24" x14ac:dyDescent="0.25">
      <c r="B81" s="17">
        <v>79</v>
      </c>
      <c r="C81" s="10"/>
      <c r="D81" s="10"/>
      <c r="E81" s="72"/>
      <c r="F81" s="18"/>
      <c r="G81" s="10"/>
      <c r="H81" s="10"/>
      <c r="I81" s="10"/>
      <c r="J81" s="11"/>
      <c r="K81" s="11">
        <f t="shared" si="165"/>
        <v>0</v>
      </c>
      <c r="L81" s="37">
        <f t="shared" si="166"/>
        <v>0</v>
      </c>
      <c r="M81" s="11"/>
      <c r="N81" s="10"/>
      <c r="O81" s="21"/>
      <c r="P81" s="21"/>
      <c r="Q81" s="21"/>
      <c r="R81" s="23"/>
      <c r="S81" s="50"/>
      <c r="T81" s="48"/>
      <c r="U81" s="82"/>
      <c r="V81" s="32"/>
      <c r="W81" s="200"/>
      <c r="X81" s="17"/>
    </row>
    <row r="82" spans="2:24" x14ac:dyDescent="0.25">
      <c r="B82" s="17">
        <v>80</v>
      </c>
      <c r="C82" s="10"/>
      <c r="D82" s="10"/>
      <c r="E82" s="72"/>
      <c r="F82" s="18"/>
      <c r="G82" s="10"/>
      <c r="H82" s="10"/>
      <c r="I82" s="10"/>
      <c r="J82" s="11"/>
      <c r="K82" s="11">
        <f t="shared" si="165"/>
        <v>0</v>
      </c>
      <c r="L82" s="37">
        <f t="shared" si="166"/>
        <v>0</v>
      </c>
      <c r="M82" s="11"/>
      <c r="N82" s="10"/>
      <c r="O82" s="21"/>
      <c r="P82" s="21"/>
      <c r="Q82" s="21"/>
      <c r="R82" s="23"/>
      <c r="S82" s="50"/>
      <c r="T82" s="48"/>
      <c r="U82" s="82"/>
      <c r="V82" s="32"/>
      <c r="W82" s="200"/>
      <c r="X82" s="17"/>
    </row>
    <row r="83" spans="2:24" x14ac:dyDescent="0.25">
      <c r="B83" s="17">
        <v>81</v>
      </c>
      <c r="C83" s="10"/>
      <c r="D83" s="10"/>
      <c r="E83" s="72"/>
      <c r="F83" s="18"/>
      <c r="G83" s="10"/>
      <c r="H83" s="10"/>
      <c r="I83" s="10"/>
      <c r="J83" s="11"/>
      <c r="K83" s="11">
        <f t="shared" si="165"/>
        <v>0</v>
      </c>
      <c r="L83" s="37">
        <f t="shared" si="166"/>
        <v>0</v>
      </c>
      <c r="M83" s="11"/>
      <c r="N83" s="10"/>
      <c r="O83" s="21"/>
      <c r="P83" s="21"/>
      <c r="Q83" s="21"/>
      <c r="R83" s="23"/>
      <c r="S83" s="50"/>
      <c r="T83" s="48"/>
      <c r="U83" s="82"/>
      <c r="V83" s="26"/>
      <c r="W83" s="200"/>
      <c r="X83" s="17"/>
    </row>
    <row r="84" spans="2:24" x14ac:dyDescent="0.25">
      <c r="B84" s="17">
        <v>82</v>
      </c>
      <c r="C84" s="10"/>
      <c r="D84" s="10"/>
      <c r="E84" s="72"/>
      <c r="F84" s="18"/>
      <c r="G84" s="10"/>
      <c r="H84" s="10"/>
      <c r="I84" s="10"/>
      <c r="J84" s="11"/>
      <c r="K84" s="11">
        <f t="shared" si="165"/>
        <v>0</v>
      </c>
      <c r="L84" s="37">
        <f t="shared" si="166"/>
        <v>0</v>
      </c>
      <c r="M84" s="11"/>
      <c r="N84" s="10"/>
      <c r="O84" s="21"/>
      <c r="P84" s="21"/>
      <c r="Q84" s="21"/>
      <c r="R84" s="23"/>
      <c r="S84" s="50"/>
      <c r="T84" s="48"/>
      <c r="U84" s="82"/>
      <c r="V84" s="26"/>
      <c r="W84" s="200"/>
      <c r="X84" s="17"/>
    </row>
    <row r="85" spans="2:24" x14ac:dyDescent="0.25">
      <c r="B85" s="17">
        <v>83</v>
      </c>
      <c r="C85" s="10"/>
      <c r="D85" s="10"/>
      <c r="E85" s="72"/>
      <c r="F85" s="18"/>
      <c r="G85" s="10"/>
      <c r="H85" s="10"/>
      <c r="I85" s="10"/>
      <c r="J85" s="11"/>
      <c r="K85" s="11">
        <f t="shared" si="165"/>
        <v>0</v>
      </c>
      <c r="L85" s="37">
        <f t="shared" si="166"/>
        <v>0</v>
      </c>
      <c r="M85" s="11"/>
      <c r="N85" s="10"/>
      <c r="O85" s="21"/>
      <c r="P85" s="21"/>
      <c r="Q85" s="21"/>
      <c r="R85" s="23"/>
      <c r="S85" s="50"/>
      <c r="T85" s="48"/>
      <c r="U85" s="82"/>
      <c r="V85" s="26"/>
      <c r="W85" s="200"/>
      <c r="X85" s="17"/>
    </row>
    <row r="86" spans="2:24" x14ac:dyDescent="0.25">
      <c r="B86" s="17">
        <v>84</v>
      </c>
      <c r="C86" s="10"/>
      <c r="D86" s="10"/>
      <c r="E86" s="72"/>
      <c r="F86" s="18"/>
      <c r="G86" s="10"/>
      <c r="H86" s="10"/>
      <c r="I86" s="10"/>
      <c r="J86" s="11"/>
      <c r="K86" s="11">
        <f t="shared" si="165"/>
        <v>0</v>
      </c>
      <c r="L86" s="37">
        <f t="shared" si="166"/>
        <v>0</v>
      </c>
      <c r="M86" s="11"/>
      <c r="N86" s="10"/>
      <c r="O86" s="21"/>
      <c r="P86" s="21"/>
      <c r="Q86" s="21"/>
      <c r="R86" s="23"/>
      <c r="S86" s="50"/>
      <c r="T86" s="48"/>
      <c r="U86" s="82"/>
      <c r="V86" s="26"/>
      <c r="W86" s="200"/>
      <c r="X86" s="17"/>
    </row>
    <row r="87" spans="2:24" x14ac:dyDescent="0.25">
      <c r="B87" s="17">
        <v>85</v>
      </c>
      <c r="C87" s="10"/>
      <c r="D87" s="10"/>
      <c r="E87" s="72"/>
      <c r="F87" s="18"/>
      <c r="G87" s="10"/>
      <c r="H87" s="10"/>
      <c r="I87" s="10"/>
      <c r="J87" s="11"/>
      <c r="K87" s="11">
        <f t="shared" si="165"/>
        <v>0</v>
      </c>
      <c r="L87" s="37">
        <f t="shared" si="166"/>
        <v>0</v>
      </c>
      <c r="M87" s="11"/>
      <c r="N87" s="10"/>
      <c r="O87" s="21"/>
      <c r="P87" s="21"/>
      <c r="Q87" s="21"/>
      <c r="R87" s="23"/>
      <c r="S87" s="50"/>
      <c r="T87" s="48"/>
      <c r="U87" s="82"/>
      <c r="V87" s="26"/>
      <c r="W87" s="200"/>
      <c r="X87" s="17"/>
    </row>
    <row r="88" spans="2:24" x14ac:dyDescent="0.25">
      <c r="B88" s="17">
        <v>86</v>
      </c>
      <c r="C88" s="10"/>
      <c r="D88" s="10"/>
      <c r="E88" s="72"/>
      <c r="F88" s="18"/>
      <c r="G88" s="10"/>
      <c r="H88" s="10"/>
      <c r="I88" s="10"/>
      <c r="J88" s="11"/>
      <c r="K88" s="11">
        <f t="shared" si="165"/>
        <v>0</v>
      </c>
      <c r="L88" s="37">
        <f t="shared" si="166"/>
        <v>0</v>
      </c>
      <c r="M88" s="11"/>
      <c r="N88" s="10"/>
      <c r="O88" s="21"/>
      <c r="P88" s="21"/>
      <c r="Q88" s="21"/>
      <c r="R88" s="23"/>
      <c r="S88" s="50"/>
      <c r="T88" s="48"/>
      <c r="U88" s="82"/>
      <c r="V88" s="32"/>
      <c r="W88" s="200"/>
      <c r="X88" s="17"/>
    </row>
    <row r="89" spans="2:24" x14ac:dyDescent="0.25">
      <c r="B89" s="17">
        <v>87</v>
      </c>
      <c r="C89" s="10"/>
      <c r="D89" s="10"/>
      <c r="E89" s="72"/>
      <c r="F89" s="18"/>
      <c r="G89" s="10"/>
      <c r="H89" s="10"/>
      <c r="I89" s="10"/>
      <c r="J89" s="11"/>
      <c r="K89" s="11">
        <f t="shared" si="165"/>
        <v>0</v>
      </c>
      <c r="L89" s="37">
        <f t="shared" si="166"/>
        <v>0</v>
      </c>
      <c r="M89" s="11"/>
      <c r="N89" s="10"/>
      <c r="O89" s="21"/>
      <c r="P89" s="21"/>
      <c r="Q89" s="21"/>
      <c r="R89" s="23"/>
      <c r="S89" s="50"/>
      <c r="T89" s="48"/>
      <c r="U89" s="82"/>
      <c r="V89" s="32"/>
      <c r="W89" s="200"/>
      <c r="X89" s="17"/>
    </row>
    <row r="90" spans="2:24" x14ac:dyDescent="0.25">
      <c r="B90" s="17">
        <v>88</v>
      </c>
      <c r="C90" s="10"/>
      <c r="D90" s="10"/>
      <c r="E90" s="72"/>
      <c r="F90" s="18"/>
      <c r="G90" s="10"/>
      <c r="H90" s="10"/>
      <c r="I90" s="10"/>
      <c r="J90" s="11"/>
      <c r="K90" s="11">
        <f t="shared" si="165"/>
        <v>0</v>
      </c>
      <c r="L90" s="37">
        <f t="shared" si="166"/>
        <v>0</v>
      </c>
      <c r="M90" s="11"/>
      <c r="N90" s="10"/>
      <c r="O90" s="21"/>
      <c r="P90" s="21"/>
      <c r="Q90" s="21"/>
      <c r="R90" s="23"/>
      <c r="S90" s="50"/>
      <c r="T90" s="48"/>
      <c r="U90" s="82"/>
      <c r="V90" s="26"/>
      <c r="W90" s="200"/>
      <c r="X90" s="17"/>
    </row>
    <row r="91" spans="2:24" x14ac:dyDescent="0.25">
      <c r="B91" s="17">
        <v>89</v>
      </c>
      <c r="C91" s="10"/>
      <c r="D91" s="10"/>
      <c r="E91" s="72"/>
      <c r="F91" s="18"/>
      <c r="G91" s="10"/>
      <c r="H91" s="10"/>
      <c r="I91" s="10"/>
      <c r="J91" s="11"/>
      <c r="K91" s="11">
        <f t="shared" si="165"/>
        <v>0</v>
      </c>
      <c r="L91" s="37">
        <f t="shared" si="166"/>
        <v>0</v>
      </c>
      <c r="M91" s="11"/>
      <c r="N91" s="10"/>
      <c r="O91" s="21"/>
      <c r="P91" s="21"/>
      <c r="Q91" s="21"/>
      <c r="R91" s="23"/>
      <c r="S91" s="50"/>
      <c r="T91" s="48"/>
      <c r="U91" s="82"/>
      <c r="V91" s="26"/>
      <c r="W91" s="200"/>
      <c r="X91" s="17"/>
    </row>
    <row r="92" spans="2:24" x14ac:dyDescent="0.25">
      <c r="B92" s="17">
        <v>90</v>
      </c>
      <c r="C92" s="10"/>
      <c r="D92" s="10"/>
      <c r="E92" s="72"/>
      <c r="F92" s="18"/>
      <c r="G92" s="10"/>
      <c r="H92" s="10"/>
      <c r="I92" s="10"/>
      <c r="J92" s="11"/>
      <c r="K92" s="11">
        <f t="shared" si="165"/>
        <v>0</v>
      </c>
      <c r="L92" s="37">
        <f t="shared" si="166"/>
        <v>0</v>
      </c>
      <c r="M92" s="11"/>
      <c r="N92" s="10"/>
      <c r="O92" s="21"/>
      <c r="P92" s="21"/>
      <c r="Q92" s="21"/>
      <c r="R92" s="23"/>
      <c r="S92" s="50"/>
      <c r="T92" s="48"/>
      <c r="U92" s="82"/>
      <c r="V92" s="26"/>
      <c r="W92" s="200"/>
      <c r="X92" s="17"/>
    </row>
    <row r="93" spans="2:24" x14ac:dyDescent="0.25">
      <c r="B93" s="17">
        <v>91</v>
      </c>
      <c r="C93" s="10"/>
      <c r="D93" s="10"/>
      <c r="E93" s="72"/>
      <c r="F93" s="18"/>
      <c r="G93" s="10"/>
      <c r="H93" s="10"/>
      <c r="I93" s="10"/>
      <c r="J93" s="11"/>
      <c r="K93" s="11">
        <f t="shared" si="165"/>
        <v>0</v>
      </c>
      <c r="L93" s="37">
        <f t="shared" si="166"/>
        <v>0</v>
      </c>
      <c r="M93" s="11"/>
      <c r="N93" s="10"/>
      <c r="O93" s="21"/>
      <c r="P93" s="21"/>
      <c r="Q93" s="21"/>
      <c r="R93" s="23"/>
      <c r="S93" s="50"/>
      <c r="T93" s="48"/>
      <c r="U93" s="82"/>
      <c r="V93" s="26"/>
      <c r="W93" s="200"/>
      <c r="X93" s="17"/>
    </row>
    <row r="94" spans="2:24" x14ac:dyDescent="0.25">
      <c r="B94" s="17">
        <v>92</v>
      </c>
      <c r="C94" s="10"/>
      <c r="D94" s="10"/>
      <c r="E94" s="72"/>
      <c r="F94" s="18"/>
      <c r="G94" s="10"/>
      <c r="H94" s="10"/>
      <c r="I94" s="10"/>
      <c r="J94" s="11"/>
      <c r="K94" s="11">
        <f t="shared" si="165"/>
        <v>0</v>
      </c>
      <c r="L94" s="37">
        <f t="shared" si="166"/>
        <v>0</v>
      </c>
      <c r="M94" s="11"/>
      <c r="N94" s="10"/>
      <c r="O94" s="21"/>
      <c r="P94" s="21"/>
      <c r="Q94" s="21"/>
      <c r="R94" s="23"/>
      <c r="S94" s="50"/>
      <c r="T94" s="48"/>
      <c r="U94" s="82"/>
      <c r="V94" s="26"/>
      <c r="W94" s="200"/>
      <c r="X94" s="17"/>
    </row>
    <row r="95" spans="2:24" x14ac:dyDescent="0.25">
      <c r="B95" s="17">
        <v>93</v>
      </c>
      <c r="C95" s="10"/>
      <c r="D95" s="10"/>
      <c r="E95" s="72"/>
      <c r="F95" s="18"/>
      <c r="G95" s="10"/>
      <c r="H95" s="10"/>
      <c r="I95" s="10"/>
      <c r="J95" s="11"/>
      <c r="K95" s="11">
        <f t="shared" si="165"/>
        <v>0</v>
      </c>
      <c r="L95" s="37">
        <f t="shared" si="166"/>
        <v>0</v>
      </c>
      <c r="M95" s="11"/>
      <c r="N95" s="10"/>
      <c r="O95" s="21"/>
      <c r="P95" s="21"/>
      <c r="Q95" s="21"/>
      <c r="R95" s="23"/>
      <c r="S95" s="50"/>
      <c r="T95" s="48"/>
      <c r="U95" s="82"/>
      <c r="V95" s="32"/>
      <c r="W95" s="200"/>
      <c r="X95" s="17"/>
    </row>
    <row r="96" spans="2:24" x14ac:dyDescent="0.25">
      <c r="B96" s="17">
        <v>94</v>
      </c>
      <c r="C96" s="10"/>
      <c r="D96" s="10"/>
      <c r="E96" s="72"/>
      <c r="F96" s="18"/>
      <c r="G96" s="10"/>
      <c r="H96" s="10"/>
      <c r="I96" s="10"/>
      <c r="J96" s="11"/>
      <c r="K96" s="11">
        <f t="shared" si="165"/>
        <v>0</v>
      </c>
      <c r="L96" s="37">
        <f t="shared" si="166"/>
        <v>0</v>
      </c>
      <c r="M96" s="11"/>
      <c r="N96" s="10"/>
      <c r="O96" s="21"/>
      <c r="P96" s="21"/>
      <c r="Q96" s="21"/>
      <c r="R96" s="23"/>
      <c r="S96" s="50"/>
      <c r="T96" s="48"/>
      <c r="U96" s="82"/>
      <c r="V96" s="32"/>
      <c r="W96" s="200"/>
      <c r="X96" s="17"/>
    </row>
    <row r="97" spans="2:24" x14ac:dyDescent="0.25">
      <c r="B97" s="17">
        <v>95</v>
      </c>
      <c r="C97" s="10"/>
      <c r="D97" s="10"/>
      <c r="E97" s="72"/>
      <c r="F97" s="18"/>
      <c r="G97" s="10"/>
      <c r="H97" s="10"/>
      <c r="I97" s="10"/>
      <c r="J97" s="11"/>
      <c r="K97" s="11">
        <f t="shared" si="165"/>
        <v>0</v>
      </c>
      <c r="L97" s="37">
        <f t="shared" si="166"/>
        <v>0</v>
      </c>
      <c r="M97" s="11"/>
      <c r="N97" s="10"/>
      <c r="O97" s="21"/>
      <c r="P97" s="21"/>
      <c r="Q97" s="21"/>
      <c r="R97" s="23"/>
      <c r="S97" s="50"/>
      <c r="T97" s="48"/>
      <c r="U97" s="82"/>
      <c r="V97" s="32"/>
      <c r="W97" s="200"/>
      <c r="X97" s="17"/>
    </row>
    <row r="98" spans="2:24" x14ac:dyDescent="0.25">
      <c r="B98" s="17">
        <v>96</v>
      </c>
      <c r="C98" s="10"/>
      <c r="D98" s="10"/>
      <c r="E98" s="72"/>
      <c r="F98" s="18"/>
      <c r="G98" s="10"/>
      <c r="H98" s="10"/>
      <c r="I98" s="10"/>
      <c r="J98" s="11"/>
      <c r="K98" s="11">
        <f t="shared" si="165"/>
        <v>0</v>
      </c>
      <c r="L98" s="37">
        <f t="shared" si="166"/>
        <v>0</v>
      </c>
      <c r="M98" s="11"/>
      <c r="N98" s="10"/>
      <c r="O98" s="21"/>
      <c r="P98" s="21"/>
      <c r="Q98" s="21"/>
      <c r="R98" s="23"/>
      <c r="S98" s="50"/>
      <c r="T98" s="48"/>
      <c r="U98" s="82"/>
      <c r="V98" s="32"/>
      <c r="W98" s="200"/>
      <c r="X98" s="17"/>
    </row>
    <row r="99" spans="2:24" x14ac:dyDescent="0.25">
      <c r="B99" s="17">
        <v>97</v>
      </c>
      <c r="C99" s="10"/>
      <c r="D99" s="10"/>
      <c r="E99" s="72"/>
      <c r="F99" s="18"/>
      <c r="G99" s="10"/>
      <c r="H99" s="10"/>
      <c r="I99" s="10"/>
      <c r="J99" s="11"/>
      <c r="K99" s="11">
        <f t="shared" si="165"/>
        <v>0</v>
      </c>
      <c r="L99" s="37">
        <f t="shared" si="166"/>
        <v>0</v>
      </c>
      <c r="M99" s="11"/>
      <c r="N99" s="10"/>
      <c r="O99" s="21"/>
      <c r="P99" s="21"/>
      <c r="Q99" s="21"/>
      <c r="R99" s="23"/>
      <c r="S99" s="50"/>
      <c r="T99" s="48"/>
      <c r="U99" s="82"/>
      <c r="V99" s="26"/>
      <c r="W99" s="200"/>
      <c r="X99" s="17"/>
    </row>
    <row r="100" spans="2:24" x14ac:dyDescent="0.25">
      <c r="B100" s="17">
        <v>98</v>
      </c>
      <c r="C100" s="10"/>
      <c r="D100" s="10"/>
      <c r="E100" s="72"/>
      <c r="F100" s="18"/>
      <c r="G100" s="10"/>
      <c r="H100" s="10"/>
      <c r="I100" s="10"/>
      <c r="J100" s="11"/>
      <c r="K100" s="11">
        <f t="shared" si="165"/>
        <v>0</v>
      </c>
      <c r="L100" s="37">
        <f t="shared" si="166"/>
        <v>0</v>
      </c>
      <c r="M100" s="11"/>
      <c r="N100" s="10"/>
      <c r="O100" s="21"/>
      <c r="P100" s="21"/>
      <c r="Q100" s="21"/>
      <c r="R100" s="23"/>
      <c r="S100" s="50"/>
      <c r="T100" s="48"/>
      <c r="U100" s="82"/>
      <c r="V100" s="26"/>
      <c r="W100" s="200"/>
      <c r="X100" s="17"/>
    </row>
    <row r="101" spans="2:24" x14ac:dyDescent="0.25">
      <c r="B101" s="17">
        <v>99</v>
      </c>
      <c r="C101" s="10"/>
      <c r="D101" s="10"/>
      <c r="E101" s="72"/>
      <c r="F101" s="18"/>
      <c r="G101" s="10"/>
      <c r="H101" s="10"/>
      <c r="I101" s="10"/>
      <c r="J101" s="11"/>
      <c r="K101" s="11">
        <f t="shared" si="165"/>
        <v>0</v>
      </c>
      <c r="L101" s="37">
        <f t="shared" si="166"/>
        <v>0</v>
      </c>
      <c r="M101" s="11"/>
      <c r="N101" s="10"/>
      <c r="O101" s="21"/>
      <c r="P101" s="21"/>
      <c r="Q101" s="21"/>
      <c r="R101" s="23"/>
      <c r="S101" s="50"/>
      <c r="T101" s="48"/>
      <c r="U101" s="82"/>
      <c r="V101" s="26"/>
      <c r="W101" s="200"/>
      <c r="X101" s="17"/>
    </row>
    <row r="102" spans="2:24" x14ac:dyDescent="0.25">
      <c r="B102" s="17">
        <v>100</v>
      </c>
      <c r="C102" s="10"/>
      <c r="D102" s="10"/>
      <c r="E102" s="72"/>
      <c r="F102" s="18"/>
      <c r="G102" s="10"/>
      <c r="H102" s="10"/>
      <c r="I102" s="10"/>
      <c r="J102" s="11"/>
      <c r="K102" s="11">
        <f t="shared" si="165"/>
        <v>0</v>
      </c>
      <c r="L102" s="37">
        <f t="shared" si="166"/>
        <v>0</v>
      </c>
      <c r="M102" s="11"/>
      <c r="N102" s="10"/>
      <c r="O102" s="21"/>
      <c r="P102" s="21"/>
      <c r="Q102" s="21"/>
      <c r="R102" s="23"/>
      <c r="S102" s="50"/>
      <c r="T102" s="48"/>
      <c r="U102" s="82"/>
      <c r="V102" s="26"/>
      <c r="W102" s="200"/>
      <c r="X102" s="17"/>
    </row>
    <row r="103" spans="2:24" x14ac:dyDescent="0.25">
      <c r="B103" s="17">
        <v>101</v>
      </c>
      <c r="C103" s="10"/>
      <c r="D103" s="10"/>
      <c r="E103" s="72"/>
      <c r="F103" s="18"/>
      <c r="G103" s="10"/>
      <c r="H103" s="10"/>
      <c r="I103" s="10"/>
      <c r="J103" s="11"/>
      <c r="K103" s="11">
        <f t="shared" si="165"/>
        <v>0</v>
      </c>
      <c r="L103" s="37">
        <f t="shared" si="166"/>
        <v>0</v>
      </c>
      <c r="M103" s="11"/>
      <c r="N103" s="10"/>
      <c r="O103" s="21"/>
      <c r="P103" s="21"/>
      <c r="Q103" s="21"/>
      <c r="R103" s="23"/>
      <c r="S103" s="50"/>
      <c r="T103" s="48"/>
      <c r="U103" s="82"/>
      <c r="V103" s="32"/>
      <c r="W103" s="200"/>
      <c r="X103" s="17"/>
    </row>
    <row r="104" spans="2:24" x14ac:dyDescent="0.25">
      <c r="B104" s="17">
        <v>102</v>
      </c>
      <c r="C104" s="10"/>
      <c r="D104" s="10"/>
      <c r="E104" s="72"/>
      <c r="F104" s="18"/>
      <c r="G104" s="10"/>
      <c r="H104" s="10"/>
      <c r="I104" s="10"/>
      <c r="J104" s="11"/>
      <c r="K104" s="11">
        <f t="shared" si="165"/>
        <v>0</v>
      </c>
      <c r="L104" s="37">
        <f t="shared" si="166"/>
        <v>0</v>
      </c>
      <c r="M104" s="11"/>
      <c r="N104" s="10"/>
      <c r="O104" s="21"/>
      <c r="P104" s="21"/>
      <c r="Q104" s="21"/>
      <c r="R104" s="23"/>
      <c r="S104" s="50"/>
      <c r="T104" s="48"/>
      <c r="U104" s="82"/>
      <c r="V104" s="32"/>
      <c r="W104" s="200"/>
      <c r="X104" s="17"/>
    </row>
    <row r="105" spans="2:24" x14ac:dyDescent="0.25">
      <c r="B105" s="17">
        <v>103</v>
      </c>
      <c r="C105" s="10"/>
      <c r="D105" s="10"/>
      <c r="E105" s="72"/>
      <c r="F105" s="18"/>
      <c r="G105" s="10"/>
      <c r="H105" s="10"/>
      <c r="I105" s="10"/>
      <c r="J105" s="11"/>
      <c r="K105" s="11">
        <f t="shared" si="165"/>
        <v>0</v>
      </c>
      <c r="L105" s="37">
        <f t="shared" si="166"/>
        <v>0</v>
      </c>
      <c r="M105" s="11"/>
      <c r="N105" s="10"/>
      <c r="O105" s="21"/>
      <c r="P105" s="21"/>
      <c r="Q105" s="21"/>
      <c r="R105" s="23"/>
      <c r="S105" s="50"/>
      <c r="T105" s="48"/>
      <c r="U105" s="82"/>
      <c r="V105" s="26"/>
      <c r="W105" s="200"/>
      <c r="X105" s="17"/>
    </row>
    <row r="106" spans="2:24" x14ac:dyDescent="0.25">
      <c r="B106" s="17">
        <v>104</v>
      </c>
      <c r="C106" s="10"/>
      <c r="D106" s="10"/>
      <c r="E106" s="72"/>
      <c r="F106" s="18"/>
      <c r="G106" s="10"/>
      <c r="H106" s="10"/>
      <c r="I106" s="10"/>
      <c r="J106" s="11"/>
      <c r="K106" s="11">
        <f t="shared" si="165"/>
        <v>0</v>
      </c>
      <c r="L106" s="37">
        <f t="shared" si="166"/>
        <v>0</v>
      </c>
      <c r="M106" s="11"/>
      <c r="N106" s="10"/>
      <c r="O106" s="21"/>
      <c r="P106" s="21"/>
      <c r="Q106" s="21"/>
      <c r="R106" s="23"/>
      <c r="S106" s="50"/>
      <c r="T106" s="48"/>
      <c r="U106" s="82"/>
      <c r="V106" s="26"/>
      <c r="W106" s="200"/>
      <c r="X106" s="17"/>
    </row>
    <row r="107" spans="2:24" x14ac:dyDescent="0.25">
      <c r="B107" s="17">
        <v>105</v>
      </c>
      <c r="C107" s="10"/>
      <c r="D107" s="10"/>
      <c r="E107" s="72"/>
      <c r="F107" s="18"/>
      <c r="G107" s="10"/>
      <c r="H107" s="10"/>
      <c r="I107" s="10"/>
      <c r="J107" s="11"/>
      <c r="K107" s="11">
        <f t="shared" si="165"/>
        <v>0</v>
      </c>
      <c r="L107" s="37">
        <f t="shared" si="166"/>
        <v>0</v>
      </c>
      <c r="M107" s="11"/>
      <c r="N107" s="10"/>
      <c r="O107" s="21"/>
      <c r="P107" s="21"/>
      <c r="Q107" s="21"/>
      <c r="R107" s="23"/>
      <c r="S107" s="50"/>
      <c r="T107" s="48"/>
      <c r="U107" s="82"/>
      <c r="V107" s="26"/>
      <c r="W107" s="200"/>
      <c r="X107" s="17"/>
    </row>
    <row r="108" spans="2:24" x14ac:dyDescent="0.25">
      <c r="B108" s="17">
        <v>106</v>
      </c>
      <c r="C108" s="10"/>
      <c r="D108" s="10"/>
      <c r="E108" s="72"/>
      <c r="F108" s="18"/>
      <c r="G108" s="10"/>
      <c r="H108" s="10"/>
      <c r="I108" s="10"/>
      <c r="J108" s="11"/>
      <c r="K108" s="11">
        <f t="shared" si="165"/>
        <v>0</v>
      </c>
      <c r="L108" s="37">
        <f t="shared" si="166"/>
        <v>0</v>
      </c>
      <c r="M108" s="11"/>
      <c r="N108" s="10"/>
      <c r="O108" s="21"/>
      <c r="P108" s="21"/>
      <c r="Q108" s="21"/>
      <c r="R108" s="23"/>
      <c r="S108" s="50"/>
      <c r="T108" s="48"/>
      <c r="U108" s="82"/>
      <c r="V108" s="26"/>
      <c r="W108" s="200"/>
      <c r="X108" s="17"/>
    </row>
    <row r="109" spans="2:24" x14ac:dyDescent="0.25">
      <c r="B109" s="17">
        <v>107</v>
      </c>
      <c r="C109" s="10"/>
      <c r="D109" s="10"/>
      <c r="E109" s="72"/>
      <c r="F109" s="18"/>
      <c r="G109" s="10"/>
      <c r="H109" s="10"/>
      <c r="I109" s="10"/>
      <c r="J109" s="11"/>
      <c r="K109" s="11">
        <f t="shared" si="165"/>
        <v>0</v>
      </c>
      <c r="L109" s="37">
        <f t="shared" si="166"/>
        <v>0</v>
      </c>
      <c r="M109" s="11"/>
      <c r="N109" s="10"/>
      <c r="O109" s="21"/>
      <c r="P109" s="21"/>
      <c r="Q109" s="21"/>
      <c r="R109" s="23"/>
      <c r="S109" s="50"/>
      <c r="T109" s="48"/>
      <c r="U109" s="82"/>
      <c r="V109" s="26"/>
      <c r="W109" s="200"/>
      <c r="X109" s="17"/>
    </row>
    <row r="110" spans="2:24" x14ac:dyDescent="0.25">
      <c r="B110" s="17">
        <v>108</v>
      </c>
      <c r="C110" s="10"/>
      <c r="D110" s="10"/>
      <c r="E110" s="72"/>
      <c r="F110" s="18"/>
      <c r="G110" s="10"/>
      <c r="H110" s="10"/>
      <c r="I110" s="10"/>
      <c r="J110" s="11"/>
      <c r="K110" s="11">
        <f t="shared" si="165"/>
        <v>0</v>
      </c>
      <c r="L110" s="37">
        <f t="shared" si="166"/>
        <v>0</v>
      </c>
      <c r="M110" s="11"/>
      <c r="N110" s="10"/>
      <c r="O110" s="21"/>
      <c r="P110" s="21"/>
      <c r="Q110" s="21"/>
      <c r="R110" s="23"/>
      <c r="S110" s="50"/>
      <c r="T110" s="48"/>
      <c r="U110" s="82"/>
      <c r="V110" s="32"/>
      <c r="W110" s="200"/>
      <c r="X110" s="17"/>
    </row>
    <row r="111" spans="2:24" x14ac:dyDescent="0.25">
      <c r="B111" s="17">
        <v>109</v>
      </c>
      <c r="C111" s="10"/>
      <c r="D111" s="10"/>
      <c r="E111" s="72"/>
      <c r="F111" s="18"/>
      <c r="G111" s="10"/>
      <c r="H111" s="10"/>
      <c r="I111" s="10"/>
      <c r="J111" s="11"/>
      <c r="K111" s="11">
        <f t="shared" si="165"/>
        <v>0</v>
      </c>
      <c r="L111" s="37">
        <f t="shared" si="166"/>
        <v>0</v>
      </c>
      <c r="M111" s="11"/>
      <c r="N111" s="10"/>
      <c r="O111" s="21"/>
      <c r="P111" s="21"/>
      <c r="Q111" s="21"/>
      <c r="R111" s="23"/>
      <c r="S111" s="50"/>
      <c r="T111" s="48"/>
      <c r="U111" s="82"/>
      <c r="V111" s="32"/>
      <c r="W111" s="200"/>
      <c r="X111" s="17"/>
    </row>
    <row r="112" spans="2:24" x14ac:dyDescent="0.25">
      <c r="B112" s="17">
        <v>110</v>
      </c>
      <c r="C112" s="10"/>
      <c r="D112" s="10"/>
      <c r="E112" s="72"/>
      <c r="F112" s="18"/>
      <c r="G112" s="10"/>
      <c r="H112" s="10"/>
      <c r="I112" s="10"/>
      <c r="J112" s="11"/>
      <c r="K112" s="11">
        <f t="shared" si="165"/>
        <v>0</v>
      </c>
      <c r="L112" s="37">
        <f t="shared" si="166"/>
        <v>0</v>
      </c>
      <c r="M112" s="11"/>
      <c r="N112" s="10"/>
      <c r="O112" s="21"/>
      <c r="P112" s="21"/>
      <c r="Q112" s="21"/>
      <c r="R112" s="23"/>
      <c r="S112" s="50"/>
      <c r="T112" s="48"/>
      <c r="U112" s="82"/>
      <c r="V112" s="26"/>
      <c r="W112" s="200"/>
      <c r="X112" s="17"/>
    </row>
    <row r="113" spans="2:24" x14ac:dyDescent="0.25">
      <c r="B113" s="17">
        <v>111</v>
      </c>
      <c r="C113" s="10"/>
      <c r="D113" s="10"/>
      <c r="E113" s="72"/>
      <c r="F113" s="18"/>
      <c r="G113" s="10"/>
      <c r="H113" s="10"/>
      <c r="I113" s="10"/>
      <c r="J113" s="11"/>
      <c r="K113" s="11">
        <f t="shared" si="165"/>
        <v>0</v>
      </c>
      <c r="L113" s="37">
        <f t="shared" si="166"/>
        <v>0</v>
      </c>
      <c r="M113" s="11"/>
      <c r="N113" s="10"/>
      <c r="O113" s="21"/>
      <c r="P113" s="21"/>
      <c r="Q113" s="21"/>
      <c r="R113" s="23"/>
      <c r="S113" s="50"/>
      <c r="T113" s="48"/>
      <c r="U113" s="82"/>
      <c r="V113" s="26"/>
      <c r="W113" s="200"/>
      <c r="X113" s="17"/>
    </row>
    <row r="114" spans="2:24" x14ac:dyDescent="0.25">
      <c r="B114" s="17">
        <v>112</v>
      </c>
      <c r="C114" s="10"/>
      <c r="D114" s="10"/>
      <c r="E114" s="72"/>
      <c r="F114" s="18"/>
      <c r="G114" s="10"/>
      <c r="H114" s="10"/>
      <c r="I114" s="10"/>
      <c r="J114" s="11"/>
      <c r="K114" s="11">
        <f t="shared" si="165"/>
        <v>0</v>
      </c>
      <c r="L114" s="37">
        <f t="shared" si="166"/>
        <v>0</v>
      </c>
      <c r="M114" s="11"/>
      <c r="N114" s="10"/>
      <c r="O114" s="21"/>
      <c r="P114" s="21"/>
      <c r="Q114" s="21"/>
      <c r="R114" s="23"/>
      <c r="S114" s="50"/>
      <c r="T114" s="48"/>
      <c r="U114" s="82"/>
      <c r="V114" s="26"/>
      <c r="W114" s="200"/>
      <c r="X114" s="17"/>
    </row>
    <row r="115" spans="2:24" x14ac:dyDescent="0.25">
      <c r="B115" s="17">
        <v>113</v>
      </c>
      <c r="C115" s="10"/>
      <c r="D115" s="10"/>
      <c r="E115" s="72"/>
      <c r="F115" s="18"/>
      <c r="G115" s="10"/>
      <c r="H115" s="10"/>
      <c r="I115" s="10"/>
      <c r="J115" s="11"/>
      <c r="K115" s="11">
        <f t="shared" si="165"/>
        <v>0</v>
      </c>
      <c r="L115" s="37">
        <f t="shared" si="166"/>
        <v>0</v>
      </c>
      <c r="M115" s="11"/>
      <c r="N115" s="10"/>
      <c r="O115" s="21"/>
      <c r="P115" s="21"/>
      <c r="Q115" s="21"/>
      <c r="R115" s="23"/>
      <c r="S115" s="50"/>
      <c r="T115" s="48"/>
      <c r="U115" s="82"/>
      <c r="V115" s="26"/>
      <c r="W115" s="200"/>
      <c r="X115" s="17"/>
    </row>
    <row r="116" spans="2:24" x14ac:dyDescent="0.25">
      <c r="B116" s="17">
        <v>114</v>
      </c>
      <c r="C116" s="10"/>
      <c r="D116" s="10"/>
      <c r="E116" s="72"/>
      <c r="F116" s="18"/>
      <c r="G116" s="10"/>
      <c r="H116" s="10"/>
      <c r="I116" s="10"/>
      <c r="J116" s="11"/>
      <c r="K116" s="11">
        <f t="shared" si="165"/>
        <v>0</v>
      </c>
      <c r="L116" s="37">
        <f t="shared" si="166"/>
        <v>0</v>
      </c>
      <c r="M116" s="11"/>
      <c r="N116" s="10"/>
      <c r="O116" s="21"/>
      <c r="P116" s="21"/>
      <c r="Q116" s="21"/>
      <c r="R116" s="23"/>
      <c r="S116" s="50"/>
      <c r="T116" s="48"/>
      <c r="U116" s="82"/>
      <c r="V116" s="26"/>
      <c r="W116" s="200"/>
      <c r="X116" s="17"/>
    </row>
    <row r="117" spans="2:24" x14ac:dyDescent="0.25">
      <c r="B117" s="17">
        <v>115</v>
      </c>
      <c r="C117" s="10"/>
      <c r="D117" s="10"/>
      <c r="E117" s="72"/>
      <c r="F117" s="18"/>
      <c r="G117" s="10"/>
      <c r="H117" s="10"/>
      <c r="I117" s="10"/>
      <c r="J117" s="11"/>
      <c r="K117" s="11">
        <f t="shared" si="165"/>
        <v>0</v>
      </c>
      <c r="L117" s="37">
        <f t="shared" si="166"/>
        <v>0</v>
      </c>
      <c r="M117" s="11"/>
      <c r="N117" s="10"/>
      <c r="O117" s="21"/>
      <c r="P117" s="21"/>
      <c r="Q117" s="21"/>
      <c r="R117" s="23"/>
      <c r="S117" s="50"/>
      <c r="T117" s="48"/>
      <c r="U117" s="82"/>
      <c r="V117" s="32"/>
      <c r="W117" s="200"/>
      <c r="X117" s="17"/>
    </row>
    <row r="118" spans="2:24" x14ac:dyDescent="0.25">
      <c r="B118" s="17">
        <v>116</v>
      </c>
      <c r="C118" s="10"/>
      <c r="D118" s="10"/>
      <c r="E118" s="72"/>
      <c r="F118" s="18"/>
      <c r="G118" s="10"/>
      <c r="H118" s="10"/>
      <c r="I118" s="10"/>
      <c r="J118" s="11"/>
      <c r="K118" s="11">
        <f t="shared" si="165"/>
        <v>0</v>
      </c>
      <c r="L118" s="37">
        <f t="shared" si="166"/>
        <v>0</v>
      </c>
      <c r="M118" s="11"/>
      <c r="N118" s="10"/>
      <c r="O118" s="21"/>
      <c r="P118" s="21"/>
      <c r="Q118" s="21"/>
      <c r="R118" s="23"/>
      <c r="S118" s="50"/>
      <c r="T118" s="48"/>
      <c r="U118" s="82"/>
      <c r="V118" s="32"/>
      <c r="W118" s="200"/>
      <c r="X118" s="17"/>
    </row>
    <row r="119" spans="2:24" x14ac:dyDescent="0.25">
      <c r="B119" s="17">
        <v>117</v>
      </c>
      <c r="C119" s="10"/>
      <c r="D119" s="10"/>
      <c r="E119" s="72"/>
      <c r="F119" s="18"/>
      <c r="G119" s="10"/>
      <c r="H119" s="10"/>
      <c r="I119" s="10"/>
      <c r="J119" s="11"/>
      <c r="K119" s="11">
        <f t="shared" si="165"/>
        <v>0</v>
      </c>
      <c r="L119" s="37">
        <f t="shared" si="166"/>
        <v>0</v>
      </c>
      <c r="M119" s="11"/>
      <c r="N119" s="10"/>
      <c r="O119" s="21"/>
      <c r="P119" s="21"/>
      <c r="Q119" s="21"/>
      <c r="R119" s="23"/>
      <c r="S119" s="50"/>
      <c r="T119" s="48"/>
      <c r="U119" s="82"/>
      <c r="V119" s="32"/>
      <c r="W119" s="200"/>
      <c r="X119" s="17"/>
    </row>
    <row r="120" spans="2:24" x14ac:dyDescent="0.25">
      <c r="B120" s="17">
        <v>118</v>
      </c>
      <c r="C120" s="10"/>
      <c r="D120" s="10"/>
      <c r="E120" s="72"/>
      <c r="F120" s="18"/>
      <c r="G120" s="10"/>
      <c r="H120" s="10"/>
      <c r="I120" s="10"/>
      <c r="J120" s="11"/>
      <c r="K120" s="11">
        <f t="shared" si="165"/>
        <v>0</v>
      </c>
      <c r="L120" s="37">
        <f t="shared" si="166"/>
        <v>0</v>
      </c>
      <c r="M120" s="11"/>
      <c r="N120" s="10"/>
      <c r="O120" s="21"/>
      <c r="P120" s="21"/>
      <c r="Q120" s="21"/>
      <c r="R120" s="23"/>
      <c r="S120" s="50"/>
      <c r="T120" s="48"/>
      <c r="U120" s="82"/>
      <c r="V120" s="32"/>
      <c r="W120" s="200"/>
      <c r="X120" s="17"/>
    </row>
    <row r="121" spans="2:24" x14ac:dyDescent="0.25">
      <c r="B121" s="17">
        <v>119</v>
      </c>
      <c r="C121" s="10"/>
      <c r="D121" s="10"/>
      <c r="E121" s="72"/>
      <c r="F121" s="18"/>
      <c r="G121" s="10"/>
      <c r="H121" s="10"/>
      <c r="I121" s="10"/>
      <c r="J121" s="11"/>
      <c r="K121" s="11">
        <f t="shared" si="165"/>
        <v>0</v>
      </c>
      <c r="L121" s="37">
        <f t="shared" si="166"/>
        <v>0</v>
      </c>
      <c r="M121" s="11"/>
      <c r="N121" s="10"/>
      <c r="O121" s="21"/>
      <c r="P121" s="21"/>
      <c r="Q121" s="21"/>
      <c r="R121" s="23"/>
      <c r="S121" s="50"/>
      <c r="T121" s="48"/>
      <c r="U121" s="82"/>
      <c r="V121" s="26"/>
      <c r="W121" s="200"/>
      <c r="X121" s="17"/>
    </row>
    <row r="122" spans="2:24" x14ac:dyDescent="0.25">
      <c r="B122" s="17">
        <v>120</v>
      </c>
      <c r="C122" s="10"/>
      <c r="D122" s="10"/>
      <c r="E122" s="72"/>
      <c r="F122" s="18"/>
      <c r="G122" s="10"/>
      <c r="H122" s="10"/>
      <c r="I122" s="10"/>
      <c r="J122" s="11"/>
      <c r="K122" s="11">
        <f t="shared" si="165"/>
        <v>0</v>
      </c>
      <c r="L122" s="37">
        <f t="shared" si="166"/>
        <v>0</v>
      </c>
      <c r="M122" s="11"/>
      <c r="N122" s="10"/>
      <c r="O122" s="21"/>
      <c r="P122" s="21"/>
      <c r="Q122" s="21"/>
      <c r="R122" s="23"/>
      <c r="S122" s="50"/>
      <c r="T122" s="48"/>
      <c r="U122" s="82"/>
      <c r="V122" s="26"/>
      <c r="W122" s="200"/>
      <c r="X122" s="17"/>
    </row>
    <row r="123" spans="2:24" x14ac:dyDescent="0.25">
      <c r="B123" s="17">
        <v>121</v>
      </c>
      <c r="C123" s="10"/>
      <c r="D123" s="10"/>
      <c r="E123" s="72"/>
      <c r="F123" s="18"/>
      <c r="G123" s="10"/>
      <c r="H123" s="10"/>
      <c r="I123" s="10"/>
      <c r="J123" s="11"/>
      <c r="K123" s="11">
        <f t="shared" si="165"/>
        <v>0</v>
      </c>
      <c r="L123" s="37">
        <f t="shared" si="166"/>
        <v>0</v>
      </c>
      <c r="M123" s="11"/>
      <c r="N123" s="10"/>
      <c r="O123" s="21"/>
      <c r="P123" s="21"/>
      <c r="Q123" s="21"/>
      <c r="R123" s="23"/>
      <c r="S123" s="50"/>
      <c r="T123" s="48"/>
      <c r="U123" s="82"/>
      <c r="V123" s="26"/>
      <c r="W123" s="200"/>
      <c r="X123" s="17"/>
    </row>
    <row r="124" spans="2:24" x14ac:dyDescent="0.25">
      <c r="B124" s="17">
        <v>122</v>
      </c>
      <c r="C124" s="10"/>
      <c r="D124" s="10"/>
      <c r="E124" s="72"/>
      <c r="F124" s="18"/>
      <c r="G124" s="10"/>
      <c r="H124" s="10"/>
      <c r="I124" s="10"/>
      <c r="J124" s="11"/>
      <c r="K124" s="11">
        <f t="shared" si="165"/>
        <v>0</v>
      </c>
      <c r="L124" s="37">
        <f t="shared" si="166"/>
        <v>0</v>
      </c>
      <c r="M124" s="11"/>
      <c r="N124" s="10"/>
      <c r="O124" s="21"/>
      <c r="P124" s="21"/>
      <c r="Q124" s="21"/>
      <c r="R124" s="23"/>
      <c r="S124" s="50"/>
      <c r="T124" s="48"/>
      <c r="U124" s="82"/>
      <c r="V124" s="26"/>
      <c r="W124" s="200"/>
      <c r="X124" s="17"/>
    </row>
    <row r="125" spans="2:24" x14ac:dyDescent="0.25">
      <c r="B125" s="17">
        <v>123</v>
      </c>
      <c r="C125" s="10"/>
      <c r="D125" s="10"/>
      <c r="E125" s="72"/>
      <c r="F125" s="18"/>
      <c r="G125" s="10"/>
      <c r="H125" s="10"/>
      <c r="I125" s="10"/>
      <c r="J125" s="11"/>
      <c r="K125" s="11">
        <f t="shared" si="165"/>
        <v>0</v>
      </c>
      <c r="L125" s="37">
        <f t="shared" si="166"/>
        <v>0</v>
      </c>
      <c r="M125" s="11"/>
      <c r="N125" s="10"/>
      <c r="O125" s="21"/>
      <c r="P125" s="21"/>
      <c r="Q125" s="21"/>
      <c r="R125" s="23"/>
      <c r="S125" s="50"/>
      <c r="T125" s="48"/>
      <c r="U125" s="82"/>
      <c r="V125" s="26"/>
      <c r="W125" s="200"/>
      <c r="X125" s="17"/>
    </row>
    <row r="126" spans="2:24" x14ac:dyDescent="0.25">
      <c r="B126" s="17">
        <v>124</v>
      </c>
      <c r="C126" s="10"/>
      <c r="D126" s="10"/>
      <c r="E126" s="72"/>
      <c r="F126" s="18"/>
      <c r="G126" s="10"/>
      <c r="H126" s="10"/>
      <c r="I126" s="10"/>
      <c r="J126" s="11"/>
      <c r="K126" s="11">
        <f t="shared" si="165"/>
        <v>0</v>
      </c>
      <c r="L126" s="37">
        <f t="shared" si="166"/>
        <v>0</v>
      </c>
      <c r="M126" s="11"/>
      <c r="N126" s="10"/>
      <c r="O126" s="21"/>
      <c r="P126" s="21"/>
      <c r="Q126" s="21"/>
      <c r="R126" s="23"/>
      <c r="S126" s="50"/>
      <c r="T126" s="48"/>
      <c r="U126" s="82"/>
      <c r="V126" s="32"/>
      <c r="W126" s="200"/>
      <c r="X126" s="17"/>
    </row>
    <row r="127" spans="2:24" x14ac:dyDescent="0.25">
      <c r="B127" s="17">
        <v>125</v>
      </c>
      <c r="C127" s="10"/>
      <c r="D127" s="10"/>
      <c r="E127" s="72"/>
      <c r="F127" s="18"/>
      <c r="G127" s="10"/>
      <c r="H127" s="10"/>
      <c r="I127" s="10"/>
      <c r="J127" s="11"/>
      <c r="K127" s="11">
        <f t="shared" si="165"/>
        <v>0</v>
      </c>
      <c r="L127" s="37">
        <f t="shared" si="166"/>
        <v>0</v>
      </c>
      <c r="M127" s="11"/>
      <c r="N127" s="10"/>
      <c r="O127" s="21"/>
      <c r="P127" s="21"/>
      <c r="Q127" s="21"/>
      <c r="R127" s="23"/>
      <c r="S127" s="50"/>
      <c r="T127" s="48"/>
      <c r="U127" s="82"/>
      <c r="V127" s="32"/>
      <c r="W127" s="200"/>
      <c r="X127" s="17"/>
    </row>
    <row r="128" spans="2:24" x14ac:dyDescent="0.25">
      <c r="B128" s="17">
        <v>126</v>
      </c>
      <c r="C128" s="10"/>
      <c r="D128" s="10"/>
      <c r="E128" s="72"/>
      <c r="F128" s="18"/>
      <c r="G128" s="10"/>
      <c r="H128" s="10"/>
      <c r="I128" s="10"/>
      <c r="J128" s="11"/>
      <c r="K128" s="11">
        <f t="shared" si="165"/>
        <v>0</v>
      </c>
      <c r="L128" s="37">
        <f t="shared" si="166"/>
        <v>0</v>
      </c>
      <c r="M128" s="11"/>
      <c r="N128" s="10"/>
      <c r="O128" s="21"/>
      <c r="P128" s="21"/>
      <c r="Q128" s="21"/>
      <c r="R128" s="23"/>
      <c r="S128" s="50"/>
      <c r="T128" s="48"/>
      <c r="U128" s="82"/>
      <c r="V128" s="26"/>
      <c r="W128" s="200"/>
      <c r="X128" s="17"/>
    </row>
    <row r="129" spans="2:24" x14ac:dyDescent="0.25">
      <c r="B129" s="17">
        <v>127</v>
      </c>
      <c r="C129" s="10"/>
      <c r="D129" s="10"/>
      <c r="E129" s="72"/>
      <c r="F129" s="18"/>
      <c r="G129" s="10"/>
      <c r="H129" s="10"/>
      <c r="I129" s="10"/>
      <c r="J129" s="11"/>
      <c r="K129" s="11">
        <f t="shared" si="165"/>
        <v>0</v>
      </c>
      <c r="L129" s="37">
        <f t="shared" si="166"/>
        <v>0</v>
      </c>
      <c r="M129" s="11"/>
      <c r="N129" s="10"/>
      <c r="O129" s="21"/>
      <c r="P129" s="21"/>
      <c r="Q129" s="21"/>
      <c r="R129" s="23"/>
      <c r="S129" s="50"/>
      <c r="T129" s="48"/>
      <c r="U129" s="82"/>
      <c r="V129" s="26"/>
      <c r="W129" s="200"/>
      <c r="X129" s="17"/>
    </row>
    <row r="130" spans="2:24" x14ac:dyDescent="0.25">
      <c r="B130" s="17">
        <v>128</v>
      </c>
      <c r="C130" s="10"/>
      <c r="D130" s="10"/>
      <c r="E130" s="72"/>
      <c r="F130" s="18"/>
      <c r="G130" s="10"/>
      <c r="H130" s="10"/>
      <c r="I130" s="10"/>
      <c r="J130" s="11"/>
      <c r="K130" s="11">
        <f t="shared" si="165"/>
        <v>0</v>
      </c>
      <c r="L130" s="37">
        <f t="shared" si="166"/>
        <v>0</v>
      </c>
      <c r="M130" s="11"/>
      <c r="N130" s="10"/>
      <c r="O130" s="21"/>
      <c r="P130" s="21"/>
      <c r="Q130" s="21"/>
      <c r="R130" s="23"/>
      <c r="S130" s="50"/>
      <c r="T130" s="48"/>
      <c r="U130" s="82"/>
      <c r="V130" s="26"/>
      <c r="W130" s="200"/>
      <c r="X130" s="17"/>
    </row>
    <row r="131" spans="2:24" x14ac:dyDescent="0.25">
      <c r="B131" s="17">
        <v>129</v>
      </c>
      <c r="C131" s="10"/>
      <c r="D131" s="10"/>
      <c r="E131" s="72"/>
      <c r="F131" s="18"/>
      <c r="G131" s="10"/>
      <c r="H131" s="10"/>
      <c r="I131" s="10"/>
      <c r="J131" s="11"/>
      <c r="K131" s="11">
        <f t="shared" si="165"/>
        <v>0</v>
      </c>
      <c r="L131" s="37">
        <f t="shared" si="166"/>
        <v>0</v>
      </c>
      <c r="M131" s="11"/>
      <c r="N131" s="10"/>
      <c r="O131" s="21"/>
      <c r="P131" s="21"/>
      <c r="Q131" s="21"/>
      <c r="R131" s="23"/>
      <c r="S131" s="50"/>
      <c r="T131" s="48"/>
      <c r="U131" s="82"/>
      <c r="V131" s="26"/>
      <c r="W131" s="200"/>
      <c r="X131" s="17"/>
    </row>
    <row r="132" spans="2:24" x14ac:dyDescent="0.25">
      <c r="B132" s="17">
        <v>130</v>
      </c>
      <c r="C132" s="10"/>
      <c r="D132" s="10"/>
      <c r="E132" s="72"/>
      <c r="F132" s="18"/>
      <c r="G132" s="10"/>
      <c r="H132" s="10"/>
      <c r="I132" s="10"/>
      <c r="J132" s="11"/>
      <c r="K132" s="11">
        <f t="shared" ref="K132:K195" si="197">J132*1.1</f>
        <v>0</v>
      </c>
      <c r="L132" s="37">
        <f t="shared" ref="L132:L195" si="198">J132*0.00000001</f>
        <v>0</v>
      </c>
      <c r="M132" s="11"/>
      <c r="N132" s="10"/>
      <c r="O132" s="21"/>
      <c r="P132" s="21"/>
      <c r="Q132" s="21"/>
      <c r="R132" s="23"/>
      <c r="S132" s="50"/>
      <c r="T132" s="48"/>
      <c r="U132" s="82"/>
      <c r="V132" s="26"/>
      <c r="W132" s="200"/>
      <c r="X132" s="17"/>
    </row>
    <row r="133" spans="2:24" x14ac:dyDescent="0.25">
      <c r="B133" s="17">
        <v>131</v>
      </c>
      <c r="C133" s="10"/>
      <c r="D133" s="10"/>
      <c r="E133" s="72"/>
      <c r="F133" s="18"/>
      <c r="G133" s="10"/>
      <c r="H133" s="10"/>
      <c r="I133" s="10"/>
      <c r="J133" s="11"/>
      <c r="K133" s="11">
        <f t="shared" si="197"/>
        <v>0</v>
      </c>
      <c r="L133" s="37">
        <f t="shared" si="198"/>
        <v>0</v>
      </c>
      <c r="M133" s="11"/>
      <c r="N133" s="10"/>
      <c r="O133" s="21"/>
      <c r="P133" s="21"/>
      <c r="Q133" s="21"/>
      <c r="R133" s="23"/>
      <c r="S133" s="50"/>
      <c r="T133" s="48"/>
      <c r="U133" s="82"/>
      <c r="V133" s="32"/>
      <c r="W133" s="200"/>
      <c r="X133" s="17"/>
    </row>
    <row r="134" spans="2:24" x14ac:dyDescent="0.25">
      <c r="B134" s="17">
        <v>132</v>
      </c>
      <c r="C134" s="10"/>
      <c r="D134" s="10"/>
      <c r="E134" s="72"/>
      <c r="F134" s="18"/>
      <c r="G134" s="10"/>
      <c r="H134" s="10"/>
      <c r="I134" s="10"/>
      <c r="J134" s="11"/>
      <c r="K134" s="11">
        <f t="shared" si="197"/>
        <v>0</v>
      </c>
      <c r="L134" s="37">
        <f t="shared" si="198"/>
        <v>0</v>
      </c>
      <c r="M134" s="11"/>
      <c r="N134" s="10"/>
      <c r="O134" s="21"/>
      <c r="P134" s="21"/>
      <c r="Q134" s="21"/>
      <c r="R134" s="23"/>
      <c r="S134" s="50"/>
      <c r="T134" s="48"/>
      <c r="U134" s="82"/>
      <c r="V134" s="32"/>
      <c r="W134" s="200"/>
      <c r="X134" s="17"/>
    </row>
    <row r="135" spans="2:24" x14ac:dyDescent="0.25">
      <c r="B135" s="17">
        <v>133</v>
      </c>
      <c r="C135" s="10"/>
      <c r="D135" s="10"/>
      <c r="E135" s="72"/>
      <c r="F135" s="18"/>
      <c r="G135" s="10"/>
      <c r="H135" s="10"/>
      <c r="I135" s="10"/>
      <c r="J135" s="11"/>
      <c r="K135" s="11">
        <f t="shared" si="197"/>
        <v>0</v>
      </c>
      <c r="L135" s="37">
        <f t="shared" si="198"/>
        <v>0</v>
      </c>
      <c r="M135" s="11"/>
      <c r="N135" s="10"/>
      <c r="O135" s="21"/>
      <c r="P135" s="21"/>
      <c r="Q135" s="21"/>
      <c r="R135" s="23"/>
      <c r="S135" s="50"/>
      <c r="T135" s="48"/>
      <c r="U135" s="82"/>
      <c r="V135" s="32"/>
      <c r="W135" s="200"/>
      <c r="X135" s="17"/>
    </row>
    <row r="136" spans="2:24" x14ac:dyDescent="0.25">
      <c r="B136" s="17">
        <v>134</v>
      </c>
      <c r="C136" s="10"/>
      <c r="D136" s="10"/>
      <c r="E136" s="72"/>
      <c r="F136" s="18"/>
      <c r="G136" s="10"/>
      <c r="H136" s="10"/>
      <c r="I136" s="10"/>
      <c r="J136" s="11"/>
      <c r="K136" s="11">
        <f t="shared" si="197"/>
        <v>0</v>
      </c>
      <c r="L136" s="37">
        <f t="shared" si="198"/>
        <v>0</v>
      </c>
      <c r="M136" s="11"/>
      <c r="N136" s="10"/>
      <c r="O136" s="21"/>
      <c r="P136" s="21"/>
      <c r="Q136" s="21"/>
      <c r="R136" s="23"/>
      <c r="S136" s="50"/>
      <c r="T136" s="48"/>
      <c r="U136" s="82"/>
      <c r="V136" s="32"/>
      <c r="W136" s="200"/>
      <c r="X136" s="17"/>
    </row>
    <row r="137" spans="2:24" x14ac:dyDescent="0.25">
      <c r="B137" s="17">
        <v>135</v>
      </c>
      <c r="C137" s="10"/>
      <c r="D137" s="10"/>
      <c r="E137" s="72"/>
      <c r="F137" s="18"/>
      <c r="G137" s="10"/>
      <c r="H137" s="10"/>
      <c r="I137" s="10"/>
      <c r="J137" s="11"/>
      <c r="K137" s="11">
        <f t="shared" si="197"/>
        <v>0</v>
      </c>
      <c r="L137" s="37">
        <f t="shared" si="198"/>
        <v>0</v>
      </c>
      <c r="M137" s="11"/>
      <c r="N137" s="10"/>
      <c r="O137" s="21"/>
      <c r="P137" s="21"/>
      <c r="Q137" s="21"/>
      <c r="R137" s="23"/>
      <c r="S137" s="50"/>
      <c r="T137" s="48"/>
      <c r="U137" s="82"/>
      <c r="V137" s="26"/>
      <c r="W137" s="200"/>
      <c r="X137" s="17"/>
    </row>
    <row r="138" spans="2:24" x14ac:dyDescent="0.25">
      <c r="B138" s="17">
        <v>136</v>
      </c>
      <c r="C138" s="10"/>
      <c r="D138" s="10"/>
      <c r="E138" s="72"/>
      <c r="F138" s="18"/>
      <c r="G138" s="10"/>
      <c r="H138" s="10"/>
      <c r="I138" s="10"/>
      <c r="J138" s="11"/>
      <c r="K138" s="11">
        <f t="shared" si="197"/>
        <v>0</v>
      </c>
      <c r="L138" s="37">
        <f t="shared" si="198"/>
        <v>0</v>
      </c>
      <c r="M138" s="11"/>
      <c r="N138" s="10"/>
      <c r="O138" s="21"/>
      <c r="P138" s="21"/>
      <c r="Q138" s="21"/>
      <c r="R138" s="23"/>
      <c r="S138" s="50"/>
      <c r="T138" s="48"/>
      <c r="U138" s="82"/>
      <c r="V138" s="26"/>
      <c r="W138" s="200"/>
      <c r="X138" s="17"/>
    </row>
    <row r="139" spans="2:24" x14ac:dyDescent="0.25">
      <c r="B139" s="17">
        <v>137</v>
      </c>
      <c r="C139" s="10"/>
      <c r="D139" s="10"/>
      <c r="E139" s="72"/>
      <c r="F139" s="18"/>
      <c r="G139" s="10"/>
      <c r="H139" s="10"/>
      <c r="I139" s="10"/>
      <c r="J139" s="11"/>
      <c r="K139" s="11">
        <f t="shared" si="197"/>
        <v>0</v>
      </c>
      <c r="L139" s="37">
        <f t="shared" si="198"/>
        <v>0</v>
      </c>
      <c r="M139" s="11"/>
      <c r="N139" s="10"/>
      <c r="O139" s="21"/>
      <c r="P139" s="21"/>
      <c r="Q139" s="21"/>
      <c r="R139" s="23"/>
      <c r="S139" s="50"/>
      <c r="T139" s="48"/>
      <c r="U139" s="82"/>
      <c r="V139" s="26"/>
      <c r="W139" s="200"/>
      <c r="X139" s="17"/>
    </row>
    <row r="140" spans="2:24" x14ac:dyDescent="0.25">
      <c r="B140" s="17">
        <v>138</v>
      </c>
      <c r="C140" s="10"/>
      <c r="D140" s="10"/>
      <c r="E140" s="72"/>
      <c r="F140" s="18"/>
      <c r="G140" s="10"/>
      <c r="H140" s="10"/>
      <c r="I140" s="10"/>
      <c r="J140" s="11"/>
      <c r="K140" s="11">
        <f t="shared" si="197"/>
        <v>0</v>
      </c>
      <c r="L140" s="37">
        <f t="shared" si="198"/>
        <v>0</v>
      </c>
      <c r="M140" s="11"/>
      <c r="N140" s="10"/>
      <c r="O140" s="21"/>
      <c r="P140" s="21"/>
      <c r="Q140" s="21"/>
      <c r="R140" s="23"/>
      <c r="S140" s="50"/>
      <c r="T140" s="48"/>
      <c r="U140" s="82"/>
      <c r="V140" s="26"/>
      <c r="W140" s="200"/>
      <c r="X140" s="17"/>
    </row>
    <row r="141" spans="2:24" x14ac:dyDescent="0.25">
      <c r="B141" s="17">
        <v>139</v>
      </c>
      <c r="C141" s="10"/>
      <c r="D141" s="10"/>
      <c r="E141" s="72"/>
      <c r="F141" s="18"/>
      <c r="G141" s="10"/>
      <c r="H141" s="10"/>
      <c r="I141" s="10"/>
      <c r="J141" s="11"/>
      <c r="K141" s="11">
        <f t="shared" si="197"/>
        <v>0</v>
      </c>
      <c r="L141" s="37">
        <f t="shared" si="198"/>
        <v>0</v>
      </c>
      <c r="M141" s="11"/>
      <c r="N141" s="10"/>
      <c r="O141" s="21"/>
      <c r="P141" s="21"/>
      <c r="Q141" s="21"/>
      <c r="R141" s="23"/>
      <c r="S141" s="50"/>
      <c r="T141" s="48"/>
      <c r="U141" s="82"/>
      <c r="V141" s="26"/>
      <c r="W141" s="200"/>
      <c r="X141" s="17"/>
    </row>
    <row r="142" spans="2:24" x14ac:dyDescent="0.25">
      <c r="B142" s="17">
        <v>140</v>
      </c>
      <c r="C142" s="10"/>
      <c r="D142" s="10"/>
      <c r="E142" s="72"/>
      <c r="F142" s="18"/>
      <c r="G142" s="10"/>
      <c r="H142" s="10"/>
      <c r="I142" s="10"/>
      <c r="J142" s="11"/>
      <c r="K142" s="11">
        <f t="shared" si="197"/>
        <v>0</v>
      </c>
      <c r="L142" s="37">
        <f t="shared" si="198"/>
        <v>0</v>
      </c>
      <c r="M142" s="11"/>
      <c r="N142" s="10"/>
      <c r="O142" s="21"/>
      <c r="P142" s="21"/>
      <c r="Q142" s="21"/>
      <c r="R142" s="23"/>
      <c r="S142" s="50"/>
      <c r="T142" s="48"/>
      <c r="U142" s="82"/>
      <c r="V142" s="32"/>
      <c r="W142" s="200"/>
      <c r="X142" s="17"/>
    </row>
    <row r="143" spans="2:24" x14ac:dyDescent="0.25">
      <c r="B143" s="17">
        <v>141</v>
      </c>
      <c r="C143" s="10"/>
      <c r="D143" s="10"/>
      <c r="E143" s="72"/>
      <c r="F143" s="18"/>
      <c r="G143" s="10"/>
      <c r="H143" s="10"/>
      <c r="I143" s="10"/>
      <c r="J143" s="11"/>
      <c r="K143" s="11">
        <f t="shared" si="197"/>
        <v>0</v>
      </c>
      <c r="L143" s="37">
        <f t="shared" si="198"/>
        <v>0</v>
      </c>
      <c r="M143" s="11"/>
      <c r="N143" s="10"/>
      <c r="O143" s="21"/>
      <c r="P143" s="21"/>
      <c r="Q143" s="21"/>
      <c r="R143" s="23"/>
      <c r="S143" s="50"/>
      <c r="T143" s="48"/>
      <c r="U143" s="82"/>
      <c r="V143" s="32"/>
      <c r="W143" s="200"/>
      <c r="X143" s="17"/>
    </row>
    <row r="144" spans="2:24" x14ac:dyDescent="0.25">
      <c r="B144" s="17">
        <v>142</v>
      </c>
      <c r="C144" s="10"/>
      <c r="D144" s="10"/>
      <c r="E144" s="72"/>
      <c r="F144" s="18"/>
      <c r="G144" s="10"/>
      <c r="H144" s="10"/>
      <c r="I144" s="10"/>
      <c r="J144" s="11"/>
      <c r="K144" s="11">
        <f t="shared" si="197"/>
        <v>0</v>
      </c>
      <c r="L144" s="37">
        <f t="shared" si="198"/>
        <v>0</v>
      </c>
      <c r="M144" s="11"/>
      <c r="N144" s="10"/>
      <c r="O144" s="21"/>
      <c r="P144" s="21"/>
      <c r="Q144" s="21"/>
      <c r="R144" s="23"/>
      <c r="S144" s="50"/>
      <c r="T144" s="48"/>
      <c r="U144" s="82"/>
      <c r="V144" s="26"/>
      <c r="W144" s="200"/>
      <c r="X144" s="17"/>
    </row>
    <row r="145" spans="2:24" x14ac:dyDescent="0.25">
      <c r="B145" s="17">
        <v>143</v>
      </c>
      <c r="C145" s="10"/>
      <c r="D145" s="10"/>
      <c r="E145" s="72"/>
      <c r="F145" s="18"/>
      <c r="G145" s="10"/>
      <c r="H145" s="10"/>
      <c r="I145" s="10"/>
      <c r="J145" s="11"/>
      <c r="K145" s="11">
        <f t="shared" si="197"/>
        <v>0</v>
      </c>
      <c r="L145" s="37">
        <f t="shared" si="198"/>
        <v>0</v>
      </c>
      <c r="M145" s="11"/>
      <c r="N145" s="10"/>
      <c r="O145" s="21"/>
      <c r="P145" s="21"/>
      <c r="Q145" s="21"/>
      <c r="R145" s="23"/>
      <c r="S145" s="50"/>
      <c r="T145" s="48"/>
      <c r="U145" s="82"/>
      <c r="V145" s="26"/>
      <c r="W145" s="200"/>
      <c r="X145" s="17"/>
    </row>
    <row r="146" spans="2:24" x14ac:dyDescent="0.25">
      <c r="B146" s="17">
        <v>144</v>
      </c>
      <c r="C146" s="10"/>
      <c r="D146" s="10"/>
      <c r="E146" s="72"/>
      <c r="F146" s="18"/>
      <c r="G146" s="10"/>
      <c r="H146" s="10"/>
      <c r="I146" s="10"/>
      <c r="J146" s="11"/>
      <c r="K146" s="11">
        <f t="shared" si="197"/>
        <v>0</v>
      </c>
      <c r="L146" s="37">
        <f t="shared" si="198"/>
        <v>0</v>
      </c>
      <c r="M146" s="11"/>
      <c r="N146" s="10"/>
      <c r="O146" s="21"/>
      <c r="P146" s="21"/>
      <c r="Q146" s="21"/>
      <c r="R146" s="23"/>
      <c r="S146" s="50"/>
      <c r="T146" s="48"/>
      <c r="U146" s="82"/>
      <c r="V146" s="26"/>
      <c r="W146" s="200"/>
      <c r="X146" s="17"/>
    </row>
    <row r="147" spans="2:24" x14ac:dyDescent="0.25">
      <c r="B147" s="17">
        <v>145</v>
      </c>
      <c r="C147" s="10"/>
      <c r="D147" s="10"/>
      <c r="E147" s="72"/>
      <c r="F147" s="18"/>
      <c r="G147" s="10"/>
      <c r="H147" s="10"/>
      <c r="I147" s="10"/>
      <c r="J147" s="11"/>
      <c r="K147" s="11">
        <f t="shared" si="197"/>
        <v>0</v>
      </c>
      <c r="L147" s="37">
        <f t="shared" si="198"/>
        <v>0</v>
      </c>
      <c r="M147" s="11"/>
      <c r="N147" s="10"/>
      <c r="O147" s="21"/>
      <c r="P147" s="21"/>
      <c r="Q147" s="21"/>
      <c r="R147" s="23"/>
      <c r="S147" s="50"/>
      <c r="T147" s="48"/>
      <c r="U147" s="82"/>
      <c r="V147" s="26"/>
      <c r="W147" s="200"/>
      <c r="X147" s="17"/>
    </row>
    <row r="148" spans="2:24" x14ac:dyDescent="0.25">
      <c r="B148" s="17">
        <v>146</v>
      </c>
      <c r="C148" s="10"/>
      <c r="D148" s="10"/>
      <c r="E148" s="72"/>
      <c r="F148" s="18"/>
      <c r="G148" s="10"/>
      <c r="H148" s="10"/>
      <c r="I148" s="10"/>
      <c r="J148" s="11"/>
      <c r="K148" s="11">
        <f t="shared" si="197"/>
        <v>0</v>
      </c>
      <c r="L148" s="37">
        <f t="shared" si="198"/>
        <v>0</v>
      </c>
      <c r="M148" s="11"/>
      <c r="N148" s="10"/>
      <c r="O148" s="21"/>
      <c r="P148" s="21"/>
      <c r="Q148" s="21"/>
      <c r="R148" s="23"/>
      <c r="S148" s="50"/>
      <c r="T148" s="48"/>
      <c r="U148" s="82"/>
      <c r="V148" s="32"/>
      <c r="W148" s="200"/>
      <c r="X148" s="17"/>
    </row>
    <row r="149" spans="2:24" x14ac:dyDescent="0.25">
      <c r="B149" s="17">
        <v>147</v>
      </c>
      <c r="C149" s="10"/>
      <c r="D149" s="10"/>
      <c r="E149" s="72"/>
      <c r="F149" s="18"/>
      <c r="G149" s="10"/>
      <c r="H149" s="10"/>
      <c r="I149" s="10"/>
      <c r="J149" s="11"/>
      <c r="K149" s="11">
        <f t="shared" si="197"/>
        <v>0</v>
      </c>
      <c r="L149" s="37">
        <f t="shared" si="198"/>
        <v>0</v>
      </c>
      <c r="M149" s="11"/>
      <c r="N149" s="10"/>
      <c r="O149" s="21"/>
      <c r="P149" s="21"/>
      <c r="Q149" s="21"/>
      <c r="R149" s="23"/>
      <c r="S149" s="50"/>
      <c r="T149" s="48"/>
      <c r="U149" s="82"/>
      <c r="V149" s="32"/>
      <c r="W149" s="200"/>
      <c r="X149" s="17"/>
    </row>
    <row r="150" spans="2:24" x14ac:dyDescent="0.25">
      <c r="B150" s="17">
        <v>148</v>
      </c>
      <c r="C150" s="10"/>
      <c r="D150" s="10"/>
      <c r="E150" s="72"/>
      <c r="F150" s="18"/>
      <c r="G150" s="10"/>
      <c r="H150" s="10"/>
      <c r="I150" s="10"/>
      <c r="J150" s="11"/>
      <c r="K150" s="11">
        <f t="shared" si="197"/>
        <v>0</v>
      </c>
      <c r="L150" s="37">
        <f t="shared" si="198"/>
        <v>0</v>
      </c>
      <c r="M150" s="11"/>
      <c r="N150" s="10"/>
      <c r="O150" s="21"/>
      <c r="P150" s="21"/>
      <c r="Q150" s="21"/>
      <c r="R150" s="23"/>
      <c r="S150" s="50"/>
      <c r="T150" s="48"/>
      <c r="U150" s="82"/>
      <c r="V150" s="26"/>
      <c r="W150" s="200"/>
      <c r="X150" s="17"/>
    </row>
    <row r="151" spans="2:24" x14ac:dyDescent="0.25">
      <c r="B151" s="17">
        <v>149</v>
      </c>
      <c r="C151" s="10"/>
      <c r="D151" s="10"/>
      <c r="E151" s="72"/>
      <c r="F151" s="18"/>
      <c r="G151" s="10"/>
      <c r="H151" s="10"/>
      <c r="I151" s="10"/>
      <c r="J151" s="11"/>
      <c r="K151" s="11">
        <f t="shared" si="197"/>
        <v>0</v>
      </c>
      <c r="L151" s="37">
        <f t="shared" si="198"/>
        <v>0</v>
      </c>
      <c r="M151" s="11"/>
      <c r="N151" s="10"/>
      <c r="O151" s="21"/>
      <c r="P151" s="21"/>
      <c r="Q151" s="21"/>
      <c r="R151" s="23"/>
      <c r="S151" s="50"/>
      <c r="T151" s="48"/>
      <c r="U151" s="82"/>
      <c r="V151" s="26"/>
      <c r="W151" s="200"/>
      <c r="X151" s="17"/>
    </row>
    <row r="152" spans="2:24" x14ac:dyDescent="0.25">
      <c r="B152" s="17">
        <v>150</v>
      </c>
      <c r="C152" s="10"/>
      <c r="D152" s="10"/>
      <c r="E152" s="72"/>
      <c r="F152" s="18"/>
      <c r="G152" s="10"/>
      <c r="H152" s="10"/>
      <c r="I152" s="10"/>
      <c r="J152" s="11"/>
      <c r="K152" s="11">
        <f t="shared" si="197"/>
        <v>0</v>
      </c>
      <c r="L152" s="37">
        <f t="shared" si="198"/>
        <v>0</v>
      </c>
      <c r="M152" s="11"/>
      <c r="N152" s="10"/>
      <c r="O152" s="21"/>
      <c r="P152" s="21"/>
      <c r="Q152" s="21"/>
      <c r="R152" s="23"/>
      <c r="S152" s="50"/>
      <c r="T152" s="48"/>
      <c r="U152" s="82"/>
      <c r="V152" s="26"/>
      <c r="W152" s="200"/>
      <c r="X152" s="17"/>
    </row>
    <row r="153" spans="2:24" x14ac:dyDescent="0.25">
      <c r="B153" s="17">
        <v>151</v>
      </c>
      <c r="C153" s="10"/>
      <c r="D153" s="10"/>
      <c r="E153" s="72"/>
      <c r="F153" s="18"/>
      <c r="G153" s="10"/>
      <c r="H153" s="10"/>
      <c r="I153" s="10"/>
      <c r="J153" s="11"/>
      <c r="K153" s="11">
        <f t="shared" si="197"/>
        <v>0</v>
      </c>
      <c r="L153" s="37">
        <f t="shared" si="198"/>
        <v>0</v>
      </c>
      <c r="M153" s="11"/>
      <c r="N153" s="10"/>
      <c r="O153" s="21"/>
      <c r="P153" s="21"/>
      <c r="Q153" s="21"/>
      <c r="R153" s="23"/>
      <c r="S153" s="50"/>
      <c r="T153" s="48"/>
      <c r="U153" s="82"/>
      <c r="V153" s="26"/>
      <c r="W153" s="200"/>
      <c r="X153" s="17"/>
    </row>
    <row r="154" spans="2:24" x14ac:dyDescent="0.25">
      <c r="B154" s="17">
        <v>152</v>
      </c>
      <c r="C154" s="10"/>
      <c r="D154" s="10"/>
      <c r="E154" s="72"/>
      <c r="F154" s="18"/>
      <c r="G154" s="10"/>
      <c r="H154" s="10"/>
      <c r="I154" s="10"/>
      <c r="J154" s="11"/>
      <c r="K154" s="11">
        <f t="shared" si="197"/>
        <v>0</v>
      </c>
      <c r="L154" s="37">
        <f t="shared" si="198"/>
        <v>0</v>
      </c>
      <c r="M154" s="11"/>
      <c r="N154" s="10"/>
      <c r="O154" s="21"/>
      <c r="P154" s="21"/>
      <c r="Q154" s="21"/>
      <c r="R154" s="23"/>
      <c r="S154" s="50"/>
      <c r="T154" s="48"/>
      <c r="U154" s="82"/>
      <c r="V154" s="26"/>
      <c r="W154" s="200"/>
      <c r="X154" s="17"/>
    </row>
    <row r="155" spans="2:24" x14ac:dyDescent="0.25">
      <c r="B155" s="17">
        <v>153</v>
      </c>
      <c r="C155" s="10"/>
      <c r="D155" s="10"/>
      <c r="E155" s="72"/>
      <c r="F155" s="18"/>
      <c r="G155" s="10"/>
      <c r="H155" s="10"/>
      <c r="I155" s="10"/>
      <c r="J155" s="11"/>
      <c r="K155" s="11">
        <f t="shared" si="197"/>
        <v>0</v>
      </c>
      <c r="L155" s="37">
        <f t="shared" si="198"/>
        <v>0</v>
      </c>
      <c r="M155" s="11"/>
      <c r="N155" s="10"/>
      <c r="O155" s="21"/>
      <c r="P155" s="21"/>
      <c r="Q155" s="21"/>
      <c r="R155" s="23"/>
      <c r="S155" s="50"/>
      <c r="T155" s="48"/>
      <c r="U155" s="82"/>
      <c r="V155" s="32"/>
      <c r="W155" s="200"/>
      <c r="X155" s="17"/>
    </row>
    <row r="156" spans="2:24" x14ac:dyDescent="0.25">
      <c r="B156" s="17">
        <v>154</v>
      </c>
      <c r="C156" s="10"/>
      <c r="D156" s="10"/>
      <c r="E156" s="72"/>
      <c r="F156" s="18"/>
      <c r="G156" s="10"/>
      <c r="H156" s="10"/>
      <c r="I156" s="10"/>
      <c r="J156" s="11"/>
      <c r="K156" s="11">
        <f t="shared" si="197"/>
        <v>0</v>
      </c>
      <c r="L156" s="37">
        <f t="shared" si="198"/>
        <v>0</v>
      </c>
      <c r="M156" s="11"/>
      <c r="N156" s="10"/>
      <c r="O156" s="21"/>
      <c r="P156" s="21"/>
      <c r="Q156" s="21"/>
      <c r="R156" s="23"/>
      <c r="S156" s="50"/>
      <c r="T156" s="48"/>
      <c r="U156" s="82"/>
      <c r="V156" s="32"/>
      <c r="W156" s="200"/>
      <c r="X156" s="17"/>
    </row>
    <row r="157" spans="2:24" x14ac:dyDescent="0.25">
      <c r="B157" s="17">
        <v>155</v>
      </c>
      <c r="C157" s="10"/>
      <c r="D157" s="10"/>
      <c r="E157" s="72"/>
      <c r="F157" s="18"/>
      <c r="G157" s="10"/>
      <c r="H157" s="10"/>
      <c r="I157" s="10"/>
      <c r="J157" s="11"/>
      <c r="K157" s="11">
        <f t="shared" si="197"/>
        <v>0</v>
      </c>
      <c r="L157" s="37">
        <f t="shared" si="198"/>
        <v>0</v>
      </c>
      <c r="M157" s="11"/>
      <c r="N157" s="10"/>
      <c r="O157" s="21"/>
      <c r="P157" s="21"/>
      <c r="Q157" s="21"/>
      <c r="R157" s="23"/>
      <c r="S157" s="50"/>
      <c r="T157" s="48"/>
      <c r="U157" s="82"/>
      <c r="V157" s="26"/>
      <c r="W157" s="200"/>
      <c r="X157" s="17"/>
    </row>
    <row r="158" spans="2:24" x14ac:dyDescent="0.25">
      <c r="B158" s="17">
        <v>156</v>
      </c>
      <c r="C158" s="10"/>
      <c r="D158" s="10"/>
      <c r="E158" s="72"/>
      <c r="F158" s="18"/>
      <c r="G158" s="10"/>
      <c r="H158" s="10"/>
      <c r="I158" s="10"/>
      <c r="J158" s="11"/>
      <c r="K158" s="11">
        <f t="shared" si="197"/>
        <v>0</v>
      </c>
      <c r="L158" s="37">
        <f t="shared" si="198"/>
        <v>0</v>
      </c>
      <c r="M158" s="11"/>
      <c r="N158" s="10"/>
      <c r="O158" s="21"/>
      <c r="P158" s="21"/>
      <c r="Q158" s="21"/>
      <c r="R158" s="23"/>
      <c r="S158" s="50"/>
      <c r="T158" s="48"/>
      <c r="U158" s="82"/>
      <c r="V158" s="26"/>
      <c r="W158" s="200"/>
      <c r="X158" s="17"/>
    </row>
    <row r="159" spans="2:24" x14ac:dyDescent="0.25">
      <c r="B159" s="17">
        <v>157</v>
      </c>
      <c r="C159" s="10"/>
      <c r="D159" s="10"/>
      <c r="E159" s="72"/>
      <c r="F159" s="18"/>
      <c r="G159" s="10"/>
      <c r="H159" s="10"/>
      <c r="I159" s="10"/>
      <c r="J159" s="11"/>
      <c r="K159" s="11">
        <f t="shared" si="197"/>
        <v>0</v>
      </c>
      <c r="L159" s="37">
        <f t="shared" si="198"/>
        <v>0</v>
      </c>
      <c r="M159" s="11"/>
      <c r="N159" s="10"/>
      <c r="O159" s="21"/>
      <c r="P159" s="21"/>
      <c r="Q159" s="21"/>
      <c r="R159" s="23"/>
      <c r="S159" s="50"/>
      <c r="T159" s="48"/>
      <c r="U159" s="82"/>
      <c r="V159" s="26"/>
      <c r="W159" s="200"/>
      <c r="X159" s="17"/>
    </row>
    <row r="160" spans="2:24" x14ac:dyDescent="0.25">
      <c r="B160" s="17">
        <v>158</v>
      </c>
      <c r="C160" s="10"/>
      <c r="D160" s="10"/>
      <c r="E160" s="72"/>
      <c r="F160" s="18"/>
      <c r="G160" s="10"/>
      <c r="H160" s="10"/>
      <c r="I160" s="10"/>
      <c r="J160" s="11"/>
      <c r="K160" s="11">
        <f t="shared" si="197"/>
        <v>0</v>
      </c>
      <c r="L160" s="37">
        <f t="shared" si="198"/>
        <v>0</v>
      </c>
      <c r="M160" s="11"/>
      <c r="N160" s="10"/>
      <c r="O160" s="21"/>
      <c r="P160" s="21"/>
      <c r="Q160" s="21"/>
      <c r="R160" s="23"/>
      <c r="S160" s="50"/>
      <c r="T160" s="48"/>
      <c r="U160" s="82"/>
      <c r="V160" s="26"/>
      <c r="W160" s="200"/>
      <c r="X160" s="17"/>
    </row>
    <row r="161" spans="2:24" x14ac:dyDescent="0.25">
      <c r="B161" s="17">
        <v>159</v>
      </c>
      <c r="C161" s="10"/>
      <c r="D161" s="10"/>
      <c r="E161" s="72"/>
      <c r="F161" s="18"/>
      <c r="G161" s="10"/>
      <c r="H161" s="10"/>
      <c r="I161" s="10"/>
      <c r="J161" s="11"/>
      <c r="K161" s="11">
        <f t="shared" si="197"/>
        <v>0</v>
      </c>
      <c r="L161" s="37">
        <f t="shared" si="198"/>
        <v>0</v>
      </c>
      <c r="M161" s="11"/>
      <c r="N161" s="10"/>
      <c r="O161" s="21"/>
      <c r="P161" s="21"/>
      <c r="Q161" s="21"/>
      <c r="R161" s="23"/>
      <c r="S161" s="50"/>
      <c r="T161" s="48"/>
      <c r="U161" s="82"/>
      <c r="V161" s="26"/>
      <c r="W161" s="200"/>
      <c r="X161" s="17"/>
    </row>
    <row r="162" spans="2:24" x14ac:dyDescent="0.25">
      <c r="B162" s="17">
        <v>160</v>
      </c>
      <c r="C162" s="10"/>
      <c r="D162" s="10"/>
      <c r="E162" s="72"/>
      <c r="F162" s="18"/>
      <c r="G162" s="10"/>
      <c r="H162" s="10"/>
      <c r="I162" s="10"/>
      <c r="J162" s="11"/>
      <c r="K162" s="11">
        <f t="shared" si="197"/>
        <v>0</v>
      </c>
      <c r="L162" s="37">
        <f t="shared" si="198"/>
        <v>0</v>
      </c>
      <c r="M162" s="11"/>
      <c r="N162" s="10"/>
      <c r="O162" s="21"/>
      <c r="P162" s="21"/>
      <c r="Q162" s="21"/>
      <c r="R162" s="23"/>
      <c r="S162" s="50"/>
      <c r="T162" s="48"/>
      <c r="U162" s="82"/>
      <c r="V162" s="32"/>
      <c r="W162" s="200"/>
      <c r="X162" s="17"/>
    </row>
    <row r="163" spans="2:24" x14ac:dyDescent="0.25">
      <c r="B163" s="17">
        <v>161</v>
      </c>
      <c r="C163" s="10"/>
      <c r="D163" s="10"/>
      <c r="E163" s="72"/>
      <c r="F163" s="18"/>
      <c r="G163" s="10"/>
      <c r="H163" s="10"/>
      <c r="I163" s="10"/>
      <c r="J163" s="11"/>
      <c r="K163" s="11">
        <f t="shared" si="197"/>
        <v>0</v>
      </c>
      <c r="L163" s="37">
        <f t="shared" si="198"/>
        <v>0</v>
      </c>
      <c r="M163" s="11"/>
      <c r="N163" s="10"/>
      <c r="O163" s="21"/>
      <c r="P163" s="21"/>
      <c r="Q163" s="21"/>
      <c r="R163" s="23"/>
      <c r="S163" s="50"/>
      <c r="T163" s="48"/>
      <c r="U163" s="82"/>
      <c r="V163" s="32"/>
      <c r="W163" s="200"/>
      <c r="X163" s="17"/>
    </row>
    <row r="164" spans="2:24" x14ac:dyDescent="0.25">
      <c r="B164" s="17">
        <v>162</v>
      </c>
      <c r="C164" s="10"/>
      <c r="D164" s="10"/>
      <c r="E164" s="72"/>
      <c r="F164" s="18"/>
      <c r="G164" s="10"/>
      <c r="H164" s="10"/>
      <c r="I164" s="10"/>
      <c r="J164" s="11"/>
      <c r="K164" s="11">
        <f t="shared" si="197"/>
        <v>0</v>
      </c>
      <c r="L164" s="37">
        <f t="shared" si="198"/>
        <v>0</v>
      </c>
      <c r="M164" s="11"/>
      <c r="N164" s="10"/>
      <c r="O164" s="21"/>
      <c r="P164" s="21"/>
      <c r="Q164" s="21"/>
      <c r="R164" s="23"/>
      <c r="S164" s="50"/>
      <c r="T164" s="48"/>
      <c r="U164" s="82"/>
      <c r="V164" s="32"/>
      <c r="W164" s="200"/>
      <c r="X164" s="17"/>
    </row>
    <row r="165" spans="2:24" x14ac:dyDescent="0.25">
      <c r="B165" s="17">
        <v>163</v>
      </c>
      <c r="C165" s="10"/>
      <c r="D165" s="10"/>
      <c r="E165" s="72"/>
      <c r="F165" s="18"/>
      <c r="G165" s="10"/>
      <c r="H165" s="10"/>
      <c r="I165" s="10"/>
      <c r="J165" s="11"/>
      <c r="K165" s="11">
        <f t="shared" si="197"/>
        <v>0</v>
      </c>
      <c r="L165" s="37">
        <f t="shared" si="198"/>
        <v>0</v>
      </c>
      <c r="M165" s="11"/>
      <c r="N165" s="10"/>
      <c r="O165" s="21"/>
      <c r="P165" s="21"/>
      <c r="Q165" s="21"/>
      <c r="R165" s="23"/>
      <c r="S165" s="50"/>
      <c r="T165" s="48"/>
      <c r="U165" s="82"/>
      <c r="V165" s="32"/>
      <c r="W165" s="200"/>
      <c r="X165" s="17"/>
    </row>
    <row r="166" spans="2:24" x14ac:dyDescent="0.25">
      <c r="B166" s="17">
        <v>164</v>
      </c>
      <c r="C166" s="10"/>
      <c r="D166" s="10"/>
      <c r="E166" s="72"/>
      <c r="F166" s="18"/>
      <c r="G166" s="10"/>
      <c r="H166" s="10"/>
      <c r="I166" s="10"/>
      <c r="J166" s="11"/>
      <c r="K166" s="11">
        <f t="shared" si="197"/>
        <v>0</v>
      </c>
      <c r="L166" s="37">
        <f t="shared" si="198"/>
        <v>0</v>
      </c>
      <c r="M166" s="11"/>
      <c r="N166" s="10"/>
      <c r="O166" s="21"/>
      <c r="P166" s="21"/>
      <c r="Q166" s="21"/>
      <c r="R166" s="23"/>
      <c r="S166" s="50"/>
      <c r="T166" s="48"/>
      <c r="U166" s="82"/>
      <c r="V166" s="26"/>
      <c r="W166" s="200"/>
      <c r="X166" s="17"/>
    </row>
    <row r="167" spans="2:24" x14ac:dyDescent="0.25">
      <c r="B167" s="17">
        <v>165</v>
      </c>
      <c r="C167" s="10"/>
      <c r="D167" s="10"/>
      <c r="E167" s="72"/>
      <c r="F167" s="18"/>
      <c r="G167" s="10"/>
      <c r="H167" s="10"/>
      <c r="I167" s="10"/>
      <c r="J167" s="11"/>
      <c r="K167" s="11">
        <f t="shared" si="197"/>
        <v>0</v>
      </c>
      <c r="L167" s="37">
        <f t="shared" si="198"/>
        <v>0</v>
      </c>
      <c r="M167" s="11"/>
      <c r="N167" s="10"/>
      <c r="O167" s="21"/>
      <c r="P167" s="21"/>
      <c r="Q167" s="21"/>
      <c r="R167" s="23"/>
      <c r="S167" s="50"/>
      <c r="T167" s="48"/>
      <c r="U167" s="82"/>
      <c r="V167" s="26"/>
      <c r="W167" s="200"/>
      <c r="X167" s="17"/>
    </row>
    <row r="168" spans="2:24" x14ac:dyDescent="0.25">
      <c r="B168" s="17">
        <v>166</v>
      </c>
      <c r="C168" s="10"/>
      <c r="D168" s="10"/>
      <c r="E168" s="72"/>
      <c r="F168" s="18"/>
      <c r="G168" s="10"/>
      <c r="H168" s="10"/>
      <c r="I168" s="10"/>
      <c r="J168" s="11"/>
      <c r="K168" s="11">
        <f t="shared" si="197"/>
        <v>0</v>
      </c>
      <c r="L168" s="37">
        <f t="shared" si="198"/>
        <v>0</v>
      </c>
      <c r="M168" s="11"/>
      <c r="N168" s="10"/>
      <c r="O168" s="21"/>
      <c r="P168" s="21"/>
      <c r="Q168" s="21"/>
      <c r="R168" s="23"/>
      <c r="S168" s="50"/>
      <c r="T168" s="48"/>
      <c r="U168" s="82"/>
      <c r="V168" s="26"/>
      <c r="W168" s="200"/>
      <c r="X168" s="17"/>
    </row>
    <row r="169" spans="2:24" x14ac:dyDescent="0.25">
      <c r="B169" s="17">
        <v>167</v>
      </c>
      <c r="C169" s="10"/>
      <c r="D169" s="10"/>
      <c r="E169" s="72"/>
      <c r="F169" s="18"/>
      <c r="G169" s="10"/>
      <c r="H169" s="10"/>
      <c r="I169" s="10"/>
      <c r="J169" s="11"/>
      <c r="K169" s="11">
        <f t="shared" si="197"/>
        <v>0</v>
      </c>
      <c r="L169" s="37">
        <f t="shared" si="198"/>
        <v>0</v>
      </c>
      <c r="M169" s="11"/>
      <c r="N169" s="10"/>
      <c r="O169" s="21"/>
      <c r="P169" s="21"/>
      <c r="Q169" s="21"/>
      <c r="R169" s="23"/>
      <c r="S169" s="50"/>
      <c r="T169" s="48"/>
      <c r="U169" s="82"/>
      <c r="V169" s="26"/>
      <c r="W169" s="200"/>
      <c r="X169" s="17"/>
    </row>
    <row r="170" spans="2:24" x14ac:dyDescent="0.25">
      <c r="B170" s="17">
        <v>168</v>
      </c>
      <c r="C170" s="10"/>
      <c r="D170" s="10"/>
      <c r="E170" s="72"/>
      <c r="F170" s="18"/>
      <c r="G170" s="10"/>
      <c r="H170" s="10"/>
      <c r="I170" s="10"/>
      <c r="J170" s="11"/>
      <c r="K170" s="11">
        <f t="shared" si="197"/>
        <v>0</v>
      </c>
      <c r="L170" s="37">
        <f t="shared" si="198"/>
        <v>0</v>
      </c>
      <c r="M170" s="11"/>
      <c r="N170" s="10"/>
      <c r="O170" s="21"/>
      <c r="P170" s="21"/>
      <c r="Q170" s="21"/>
      <c r="R170" s="23"/>
      <c r="S170" s="50"/>
      <c r="T170" s="48"/>
      <c r="U170" s="82"/>
      <c r="V170" s="32"/>
      <c r="W170" s="200"/>
      <c r="X170" s="17"/>
    </row>
    <row r="171" spans="2:24" x14ac:dyDescent="0.25">
      <c r="B171" s="17">
        <v>169</v>
      </c>
      <c r="C171" s="10"/>
      <c r="D171" s="10"/>
      <c r="E171" s="72"/>
      <c r="F171" s="18"/>
      <c r="G171" s="10"/>
      <c r="H171" s="10"/>
      <c r="I171" s="10"/>
      <c r="J171" s="11"/>
      <c r="K171" s="11">
        <f t="shared" si="197"/>
        <v>0</v>
      </c>
      <c r="L171" s="37">
        <f t="shared" si="198"/>
        <v>0</v>
      </c>
      <c r="M171" s="11"/>
      <c r="N171" s="10"/>
      <c r="O171" s="21"/>
      <c r="P171" s="21"/>
      <c r="Q171" s="21"/>
      <c r="R171" s="23"/>
      <c r="S171" s="50"/>
      <c r="T171" s="48"/>
      <c r="U171" s="82"/>
      <c r="V171" s="32"/>
      <c r="W171" s="200"/>
      <c r="X171" s="17"/>
    </row>
    <row r="172" spans="2:24" x14ac:dyDescent="0.25">
      <c r="B172" s="17">
        <v>170</v>
      </c>
      <c r="C172" s="10"/>
      <c r="D172" s="10"/>
      <c r="E172" s="72"/>
      <c r="F172" s="18"/>
      <c r="G172" s="10"/>
      <c r="H172" s="10"/>
      <c r="I172" s="10"/>
      <c r="J172" s="11"/>
      <c r="K172" s="11">
        <f t="shared" si="197"/>
        <v>0</v>
      </c>
      <c r="L172" s="37">
        <f t="shared" si="198"/>
        <v>0</v>
      </c>
      <c r="M172" s="11"/>
      <c r="N172" s="10"/>
      <c r="O172" s="21"/>
      <c r="P172" s="21"/>
      <c r="Q172" s="21"/>
      <c r="R172" s="23"/>
      <c r="S172" s="50"/>
      <c r="T172" s="48"/>
      <c r="U172" s="82"/>
      <c r="V172" s="26"/>
      <c r="W172" s="200"/>
      <c r="X172" s="17"/>
    </row>
    <row r="173" spans="2:24" x14ac:dyDescent="0.25">
      <c r="B173" s="17">
        <v>171</v>
      </c>
      <c r="C173" s="10"/>
      <c r="D173" s="10"/>
      <c r="E173" s="72"/>
      <c r="F173" s="18"/>
      <c r="G173" s="10"/>
      <c r="H173" s="10"/>
      <c r="I173" s="10"/>
      <c r="J173" s="11"/>
      <c r="K173" s="11">
        <f t="shared" si="197"/>
        <v>0</v>
      </c>
      <c r="L173" s="37">
        <f t="shared" si="198"/>
        <v>0</v>
      </c>
      <c r="M173" s="11"/>
      <c r="N173" s="10"/>
      <c r="O173" s="21"/>
      <c r="P173" s="21"/>
      <c r="Q173" s="21"/>
      <c r="R173" s="23"/>
      <c r="S173" s="50"/>
      <c r="T173" s="48"/>
      <c r="U173" s="82"/>
      <c r="V173" s="26"/>
      <c r="W173" s="200"/>
      <c r="X173" s="17"/>
    </row>
    <row r="174" spans="2:24" x14ac:dyDescent="0.25">
      <c r="B174" s="17">
        <v>172</v>
      </c>
      <c r="C174" s="10"/>
      <c r="D174" s="10"/>
      <c r="E174" s="72"/>
      <c r="F174" s="18"/>
      <c r="G174" s="10"/>
      <c r="H174" s="10"/>
      <c r="I174" s="10"/>
      <c r="J174" s="11"/>
      <c r="K174" s="11">
        <f t="shared" si="197"/>
        <v>0</v>
      </c>
      <c r="L174" s="37">
        <f t="shared" si="198"/>
        <v>0</v>
      </c>
      <c r="M174" s="11"/>
      <c r="N174" s="10"/>
      <c r="O174" s="21"/>
      <c r="P174" s="21"/>
      <c r="Q174" s="21"/>
      <c r="R174" s="23"/>
      <c r="S174" s="50"/>
      <c r="T174" s="48"/>
      <c r="U174" s="82"/>
      <c r="V174" s="26"/>
      <c r="W174" s="200"/>
      <c r="X174" s="17"/>
    </row>
    <row r="175" spans="2:24" x14ac:dyDescent="0.25">
      <c r="B175" s="17">
        <v>173</v>
      </c>
      <c r="C175" s="10"/>
      <c r="D175" s="10"/>
      <c r="E175" s="72"/>
      <c r="F175" s="18"/>
      <c r="G175" s="10"/>
      <c r="H175" s="10"/>
      <c r="I175" s="10"/>
      <c r="J175" s="11"/>
      <c r="K175" s="11">
        <f t="shared" si="197"/>
        <v>0</v>
      </c>
      <c r="L175" s="37">
        <f t="shared" si="198"/>
        <v>0</v>
      </c>
      <c r="M175" s="11"/>
      <c r="N175" s="10"/>
      <c r="O175" s="21"/>
      <c r="P175" s="21"/>
      <c r="Q175" s="21"/>
      <c r="R175" s="23"/>
      <c r="S175" s="50"/>
      <c r="T175" s="48"/>
      <c r="U175" s="82"/>
      <c r="V175" s="26"/>
      <c r="W175" s="200"/>
      <c r="X175" s="17"/>
    </row>
    <row r="176" spans="2:24" x14ac:dyDescent="0.25">
      <c r="B176" s="17">
        <v>174</v>
      </c>
      <c r="C176" s="10"/>
      <c r="D176" s="10"/>
      <c r="E176" s="72"/>
      <c r="F176" s="18"/>
      <c r="G176" s="10"/>
      <c r="H176" s="10"/>
      <c r="I176" s="10"/>
      <c r="J176" s="11"/>
      <c r="K176" s="11">
        <f t="shared" si="197"/>
        <v>0</v>
      </c>
      <c r="L176" s="37">
        <f t="shared" si="198"/>
        <v>0</v>
      </c>
      <c r="M176" s="11"/>
      <c r="N176" s="10"/>
      <c r="O176" s="21"/>
      <c r="P176" s="21"/>
      <c r="Q176" s="21"/>
      <c r="R176" s="23"/>
      <c r="S176" s="50"/>
      <c r="T176" s="48"/>
      <c r="U176" s="82"/>
      <c r="V176" s="26"/>
      <c r="W176" s="200"/>
      <c r="X176" s="17"/>
    </row>
    <row r="177" spans="2:24" x14ac:dyDescent="0.25">
      <c r="B177" s="17">
        <v>175</v>
      </c>
      <c r="C177" s="10"/>
      <c r="D177" s="10"/>
      <c r="E177" s="72"/>
      <c r="F177" s="18"/>
      <c r="G177" s="10"/>
      <c r="H177" s="10"/>
      <c r="I177" s="10"/>
      <c r="J177" s="11"/>
      <c r="K177" s="11">
        <f t="shared" si="197"/>
        <v>0</v>
      </c>
      <c r="L177" s="37">
        <f t="shared" si="198"/>
        <v>0</v>
      </c>
      <c r="M177" s="11"/>
      <c r="N177" s="10"/>
      <c r="O177" s="21"/>
      <c r="P177" s="21"/>
      <c r="Q177" s="21"/>
      <c r="R177" s="23"/>
      <c r="S177" s="50"/>
      <c r="T177" s="48"/>
      <c r="U177" s="82"/>
      <c r="V177" s="32"/>
      <c r="W177" s="200"/>
      <c r="X177" s="17"/>
    </row>
    <row r="178" spans="2:24" x14ac:dyDescent="0.25">
      <c r="B178" s="17">
        <v>176</v>
      </c>
      <c r="C178" s="10"/>
      <c r="D178" s="10"/>
      <c r="E178" s="72"/>
      <c r="F178" s="18"/>
      <c r="G178" s="10"/>
      <c r="H178" s="10"/>
      <c r="I178" s="10"/>
      <c r="J178" s="11"/>
      <c r="K178" s="11">
        <f t="shared" si="197"/>
        <v>0</v>
      </c>
      <c r="L178" s="37">
        <f t="shared" si="198"/>
        <v>0</v>
      </c>
      <c r="M178" s="11"/>
      <c r="N178" s="10"/>
      <c r="O178" s="21"/>
      <c r="P178" s="21"/>
      <c r="Q178" s="21"/>
      <c r="R178" s="23"/>
      <c r="S178" s="50"/>
      <c r="T178" s="48"/>
      <c r="U178" s="82"/>
      <c r="V178" s="32"/>
      <c r="W178" s="200"/>
      <c r="X178" s="17"/>
    </row>
    <row r="179" spans="2:24" x14ac:dyDescent="0.25">
      <c r="B179" s="17">
        <v>177</v>
      </c>
      <c r="C179" s="10"/>
      <c r="D179" s="10"/>
      <c r="E179" s="72"/>
      <c r="F179" s="18"/>
      <c r="G179" s="10"/>
      <c r="H179" s="10"/>
      <c r="I179" s="10"/>
      <c r="J179" s="11"/>
      <c r="K179" s="11">
        <f t="shared" si="197"/>
        <v>0</v>
      </c>
      <c r="L179" s="37">
        <f t="shared" si="198"/>
        <v>0</v>
      </c>
      <c r="M179" s="11"/>
      <c r="N179" s="10"/>
      <c r="O179" s="21"/>
      <c r="P179" s="21"/>
      <c r="Q179" s="21"/>
      <c r="R179" s="23"/>
      <c r="S179" s="50"/>
      <c r="T179" s="48"/>
      <c r="U179" s="82"/>
      <c r="V179" s="26"/>
      <c r="W179" s="200"/>
      <c r="X179" s="17"/>
    </row>
    <row r="180" spans="2:24" x14ac:dyDescent="0.25">
      <c r="B180" s="17">
        <v>178</v>
      </c>
      <c r="C180" s="10"/>
      <c r="D180" s="10"/>
      <c r="E180" s="72"/>
      <c r="F180" s="18"/>
      <c r="G180" s="10"/>
      <c r="H180" s="10"/>
      <c r="I180" s="10"/>
      <c r="J180" s="11"/>
      <c r="K180" s="11">
        <f t="shared" si="197"/>
        <v>0</v>
      </c>
      <c r="L180" s="37">
        <f t="shared" si="198"/>
        <v>0</v>
      </c>
      <c r="M180" s="11"/>
      <c r="N180" s="10"/>
      <c r="O180" s="21"/>
      <c r="P180" s="21"/>
      <c r="Q180" s="21"/>
      <c r="R180" s="23"/>
      <c r="S180" s="50"/>
      <c r="T180" s="48"/>
      <c r="U180" s="82"/>
      <c r="V180" s="26"/>
      <c r="W180" s="200"/>
      <c r="X180" s="17"/>
    </row>
    <row r="181" spans="2:24" x14ac:dyDescent="0.25">
      <c r="B181" s="17">
        <v>179</v>
      </c>
      <c r="C181" s="10"/>
      <c r="D181" s="10"/>
      <c r="E181" s="72"/>
      <c r="F181" s="18"/>
      <c r="G181" s="10"/>
      <c r="H181" s="10"/>
      <c r="I181" s="10"/>
      <c r="J181" s="11"/>
      <c r="K181" s="11">
        <f t="shared" si="197"/>
        <v>0</v>
      </c>
      <c r="L181" s="37">
        <f t="shared" si="198"/>
        <v>0</v>
      </c>
      <c r="M181" s="11"/>
      <c r="N181" s="10"/>
      <c r="O181" s="21"/>
      <c r="P181" s="21"/>
      <c r="Q181" s="21"/>
      <c r="R181" s="23"/>
      <c r="S181" s="50"/>
      <c r="T181" s="48"/>
      <c r="U181" s="82"/>
      <c r="V181" s="26"/>
      <c r="W181" s="200"/>
      <c r="X181" s="17"/>
    </row>
    <row r="182" spans="2:24" x14ac:dyDescent="0.25">
      <c r="B182" s="17">
        <v>180</v>
      </c>
      <c r="C182" s="10"/>
      <c r="D182" s="10"/>
      <c r="E182" s="72"/>
      <c r="F182" s="18"/>
      <c r="G182" s="10"/>
      <c r="H182" s="10"/>
      <c r="I182" s="10"/>
      <c r="J182" s="11"/>
      <c r="K182" s="11">
        <f t="shared" si="197"/>
        <v>0</v>
      </c>
      <c r="L182" s="37">
        <f t="shared" si="198"/>
        <v>0</v>
      </c>
      <c r="M182" s="11"/>
      <c r="N182" s="10"/>
      <c r="O182" s="21"/>
      <c r="P182" s="21"/>
      <c r="Q182" s="21"/>
      <c r="R182" s="23"/>
      <c r="S182" s="50"/>
      <c r="T182" s="48"/>
      <c r="U182" s="82"/>
      <c r="V182" s="26"/>
      <c r="W182" s="200"/>
      <c r="X182" s="17"/>
    </row>
    <row r="183" spans="2:24" x14ac:dyDescent="0.25">
      <c r="B183" s="17">
        <v>181</v>
      </c>
      <c r="C183" s="10"/>
      <c r="D183" s="10"/>
      <c r="E183" s="72"/>
      <c r="F183" s="18"/>
      <c r="G183" s="10"/>
      <c r="H183" s="10"/>
      <c r="I183" s="10"/>
      <c r="J183" s="11"/>
      <c r="K183" s="11">
        <f t="shared" si="197"/>
        <v>0</v>
      </c>
      <c r="L183" s="37">
        <f t="shared" si="198"/>
        <v>0</v>
      </c>
      <c r="M183" s="11"/>
      <c r="N183" s="10"/>
      <c r="O183" s="21"/>
      <c r="P183" s="21"/>
      <c r="Q183" s="21"/>
      <c r="R183" s="23"/>
      <c r="S183" s="50"/>
      <c r="T183" s="48"/>
      <c r="U183" s="82"/>
      <c r="V183" s="26"/>
      <c r="W183" s="200"/>
      <c r="X183" s="17"/>
    </row>
    <row r="184" spans="2:24" x14ac:dyDescent="0.25">
      <c r="B184" s="17">
        <v>182</v>
      </c>
      <c r="C184" s="10"/>
      <c r="D184" s="10"/>
      <c r="E184" s="72"/>
      <c r="F184" s="18"/>
      <c r="G184" s="10"/>
      <c r="H184" s="10"/>
      <c r="I184" s="10"/>
      <c r="J184" s="11"/>
      <c r="K184" s="11">
        <f t="shared" si="197"/>
        <v>0</v>
      </c>
      <c r="L184" s="37">
        <f t="shared" si="198"/>
        <v>0</v>
      </c>
      <c r="M184" s="11"/>
      <c r="N184" s="10"/>
      <c r="O184" s="21"/>
      <c r="P184" s="21"/>
      <c r="Q184" s="21"/>
      <c r="R184" s="23"/>
      <c r="S184" s="50"/>
      <c r="T184" s="48"/>
      <c r="U184" s="82"/>
      <c r="V184" s="32"/>
      <c r="W184" s="200"/>
      <c r="X184" s="17"/>
    </row>
    <row r="185" spans="2:24" x14ac:dyDescent="0.25">
      <c r="B185" s="17">
        <v>183</v>
      </c>
      <c r="C185" s="10"/>
      <c r="D185" s="10"/>
      <c r="E185" s="72"/>
      <c r="F185" s="18"/>
      <c r="G185" s="10"/>
      <c r="H185" s="10"/>
      <c r="I185" s="10"/>
      <c r="J185" s="11"/>
      <c r="K185" s="11">
        <f t="shared" si="197"/>
        <v>0</v>
      </c>
      <c r="L185" s="37">
        <f t="shared" si="198"/>
        <v>0</v>
      </c>
      <c r="M185" s="11"/>
      <c r="N185" s="10"/>
      <c r="O185" s="21"/>
      <c r="P185" s="21"/>
      <c r="Q185" s="21"/>
      <c r="R185" s="23"/>
      <c r="S185" s="50"/>
      <c r="T185" s="48"/>
      <c r="U185" s="82"/>
      <c r="V185" s="32"/>
      <c r="W185" s="200"/>
      <c r="X185" s="17"/>
    </row>
    <row r="186" spans="2:24" x14ac:dyDescent="0.25">
      <c r="B186" s="17">
        <v>184</v>
      </c>
      <c r="C186" s="10"/>
      <c r="D186" s="10"/>
      <c r="E186" s="72"/>
      <c r="F186" s="18"/>
      <c r="G186" s="10"/>
      <c r="H186" s="10"/>
      <c r="I186" s="10"/>
      <c r="J186" s="11"/>
      <c r="K186" s="11">
        <f t="shared" si="197"/>
        <v>0</v>
      </c>
      <c r="L186" s="37">
        <f t="shared" si="198"/>
        <v>0</v>
      </c>
      <c r="M186" s="11"/>
      <c r="N186" s="10"/>
      <c r="O186" s="21"/>
      <c r="P186" s="21"/>
      <c r="Q186" s="21"/>
      <c r="R186" s="23"/>
      <c r="S186" s="50"/>
      <c r="T186" s="48"/>
      <c r="U186" s="82"/>
      <c r="V186" s="32"/>
      <c r="W186" s="200"/>
      <c r="X186" s="17"/>
    </row>
    <row r="187" spans="2:24" x14ac:dyDescent="0.25">
      <c r="B187" s="17">
        <v>185</v>
      </c>
      <c r="C187" s="10"/>
      <c r="D187" s="10"/>
      <c r="E187" s="72"/>
      <c r="F187" s="18"/>
      <c r="G187" s="10"/>
      <c r="H187" s="10"/>
      <c r="I187" s="10"/>
      <c r="J187" s="11"/>
      <c r="K187" s="11">
        <f t="shared" si="197"/>
        <v>0</v>
      </c>
      <c r="L187" s="37">
        <f t="shared" si="198"/>
        <v>0</v>
      </c>
      <c r="M187" s="11"/>
      <c r="N187" s="10"/>
      <c r="O187" s="21"/>
      <c r="P187" s="21"/>
      <c r="Q187" s="21"/>
      <c r="R187" s="23"/>
      <c r="S187" s="50"/>
      <c r="T187" s="48"/>
      <c r="U187" s="82"/>
      <c r="V187" s="32"/>
      <c r="W187" s="200"/>
      <c r="X187" s="17"/>
    </row>
    <row r="188" spans="2:24" x14ac:dyDescent="0.25">
      <c r="B188" s="17">
        <v>186</v>
      </c>
      <c r="C188" s="10"/>
      <c r="D188" s="10"/>
      <c r="E188" s="72"/>
      <c r="F188" s="18"/>
      <c r="G188" s="10"/>
      <c r="H188" s="10"/>
      <c r="I188" s="10"/>
      <c r="J188" s="11"/>
      <c r="K188" s="11">
        <f t="shared" si="197"/>
        <v>0</v>
      </c>
      <c r="L188" s="37">
        <f t="shared" si="198"/>
        <v>0</v>
      </c>
      <c r="M188" s="11"/>
      <c r="N188" s="10"/>
      <c r="O188" s="21"/>
      <c r="P188" s="21"/>
      <c r="Q188" s="21"/>
      <c r="R188" s="23"/>
      <c r="S188" s="50"/>
      <c r="T188" s="48"/>
      <c r="U188" s="82"/>
      <c r="V188" s="26"/>
      <c r="W188" s="200"/>
      <c r="X188" s="17"/>
    </row>
    <row r="189" spans="2:24" x14ac:dyDescent="0.25">
      <c r="B189" s="17">
        <v>187</v>
      </c>
      <c r="C189" s="10"/>
      <c r="D189" s="10"/>
      <c r="E189" s="72"/>
      <c r="F189" s="18"/>
      <c r="G189" s="10"/>
      <c r="H189" s="10"/>
      <c r="I189" s="10"/>
      <c r="J189" s="11"/>
      <c r="K189" s="11">
        <f t="shared" si="197"/>
        <v>0</v>
      </c>
      <c r="L189" s="37">
        <f t="shared" si="198"/>
        <v>0</v>
      </c>
      <c r="M189" s="11"/>
      <c r="N189" s="10"/>
      <c r="O189" s="21"/>
      <c r="P189" s="21"/>
      <c r="Q189" s="21"/>
      <c r="R189" s="23"/>
      <c r="S189" s="50"/>
      <c r="T189" s="48"/>
      <c r="U189" s="82"/>
      <c r="V189" s="26"/>
      <c r="W189" s="200"/>
      <c r="X189" s="17"/>
    </row>
    <row r="190" spans="2:24" x14ac:dyDescent="0.25">
      <c r="B190" s="17">
        <v>188</v>
      </c>
      <c r="C190" s="10"/>
      <c r="D190" s="10"/>
      <c r="E190" s="72"/>
      <c r="F190" s="18"/>
      <c r="G190" s="10"/>
      <c r="H190" s="10"/>
      <c r="I190" s="10"/>
      <c r="J190" s="11"/>
      <c r="K190" s="11">
        <f t="shared" si="197"/>
        <v>0</v>
      </c>
      <c r="L190" s="37">
        <f t="shared" si="198"/>
        <v>0</v>
      </c>
      <c r="M190" s="11"/>
      <c r="N190" s="10"/>
      <c r="O190" s="21"/>
      <c r="P190" s="21"/>
      <c r="Q190" s="21"/>
      <c r="R190" s="23"/>
      <c r="S190" s="50"/>
      <c r="T190" s="48"/>
      <c r="U190" s="82"/>
      <c r="V190" s="26"/>
      <c r="W190" s="200"/>
      <c r="X190" s="17"/>
    </row>
    <row r="191" spans="2:24" x14ac:dyDescent="0.25">
      <c r="B191" s="17">
        <v>189</v>
      </c>
      <c r="C191" s="10"/>
      <c r="D191" s="10"/>
      <c r="E191" s="72"/>
      <c r="F191" s="18"/>
      <c r="G191" s="10"/>
      <c r="H191" s="10"/>
      <c r="I191" s="10"/>
      <c r="J191" s="11"/>
      <c r="K191" s="11">
        <f t="shared" si="197"/>
        <v>0</v>
      </c>
      <c r="L191" s="37">
        <f t="shared" si="198"/>
        <v>0</v>
      </c>
      <c r="M191" s="11"/>
      <c r="N191" s="10"/>
      <c r="O191" s="21"/>
      <c r="P191" s="21"/>
      <c r="Q191" s="21"/>
      <c r="R191" s="23"/>
      <c r="S191" s="50"/>
      <c r="T191" s="48"/>
      <c r="U191" s="82"/>
      <c r="V191" s="26"/>
      <c r="W191" s="200"/>
      <c r="X191" s="17"/>
    </row>
    <row r="192" spans="2:24" x14ac:dyDescent="0.25">
      <c r="B192" s="17">
        <v>190</v>
      </c>
      <c r="C192" s="10"/>
      <c r="D192" s="10"/>
      <c r="E192" s="72"/>
      <c r="F192" s="18"/>
      <c r="G192" s="10"/>
      <c r="H192" s="10"/>
      <c r="I192" s="10"/>
      <c r="J192" s="11"/>
      <c r="K192" s="11">
        <f t="shared" si="197"/>
        <v>0</v>
      </c>
      <c r="L192" s="37">
        <f t="shared" si="198"/>
        <v>0</v>
      </c>
      <c r="M192" s="11"/>
      <c r="N192" s="10"/>
      <c r="O192" s="21"/>
      <c r="P192" s="21"/>
      <c r="Q192" s="21"/>
      <c r="R192" s="23"/>
      <c r="S192" s="50"/>
      <c r="T192" s="48"/>
      <c r="U192" s="82"/>
      <c r="V192" s="26"/>
      <c r="W192" s="200"/>
      <c r="X192" s="17"/>
    </row>
    <row r="193" spans="2:24" x14ac:dyDescent="0.25">
      <c r="B193" s="17">
        <v>191</v>
      </c>
      <c r="C193" s="10"/>
      <c r="D193" s="10"/>
      <c r="E193" s="72"/>
      <c r="F193" s="18"/>
      <c r="G193" s="10"/>
      <c r="H193" s="10"/>
      <c r="I193" s="10"/>
      <c r="J193" s="11"/>
      <c r="K193" s="11">
        <f t="shared" si="197"/>
        <v>0</v>
      </c>
      <c r="L193" s="37">
        <f t="shared" si="198"/>
        <v>0</v>
      </c>
      <c r="M193" s="11"/>
      <c r="N193" s="10"/>
      <c r="O193" s="21"/>
      <c r="P193" s="21"/>
      <c r="Q193" s="21"/>
      <c r="R193" s="23"/>
      <c r="S193" s="50"/>
      <c r="T193" s="48"/>
      <c r="U193" s="82"/>
      <c r="V193" s="32"/>
      <c r="W193" s="200"/>
      <c r="X193" s="17"/>
    </row>
    <row r="194" spans="2:24" x14ac:dyDescent="0.25">
      <c r="B194" s="17">
        <v>192</v>
      </c>
      <c r="C194" s="10"/>
      <c r="D194" s="10"/>
      <c r="E194" s="72"/>
      <c r="F194" s="18"/>
      <c r="G194" s="10"/>
      <c r="H194" s="10"/>
      <c r="I194" s="10"/>
      <c r="J194" s="11"/>
      <c r="K194" s="11">
        <f t="shared" si="197"/>
        <v>0</v>
      </c>
      <c r="L194" s="37">
        <f t="shared" si="198"/>
        <v>0</v>
      </c>
      <c r="M194" s="11"/>
      <c r="N194" s="10"/>
      <c r="O194" s="21"/>
      <c r="P194" s="21"/>
      <c r="Q194" s="21"/>
      <c r="R194" s="23"/>
      <c r="S194" s="50"/>
      <c r="T194" s="48"/>
      <c r="U194" s="82"/>
      <c r="V194" s="32"/>
      <c r="W194" s="200"/>
      <c r="X194" s="17"/>
    </row>
    <row r="195" spans="2:24" x14ac:dyDescent="0.25">
      <c r="B195" s="17">
        <v>193</v>
      </c>
      <c r="C195" s="10"/>
      <c r="D195" s="10"/>
      <c r="E195" s="72"/>
      <c r="F195" s="18"/>
      <c r="G195" s="10"/>
      <c r="H195" s="10"/>
      <c r="I195" s="10"/>
      <c r="J195" s="11"/>
      <c r="K195" s="11">
        <f t="shared" si="197"/>
        <v>0</v>
      </c>
      <c r="L195" s="37">
        <f t="shared" si="198"/>
        <v>0</v>
      </c>
      <c r="M195" s="11"/>
      <c r="N195" s="10"/>
      <c r="O195" s="21"/>
      <c r="P195" s="21"/>
      <c r="Q195" s="21"/>
      <c r="R195" s="23"/>
      <c r="S195" s="50"/>
      <c r="T195" s="48"/>
      <c r="U195" s="82"/>
      <c r="V195" s="26"/>
      <c r="W195" s="200"/>
      <c r="X195" s="17"/>
    </row>
    <row r="196" spans="2:24" x14ac:dyDescent="0.25">
      <c r="B196" s="17">
        <v>194</v>
      </c>
      <c r="C196" s="10"/>
      <c r="D196" s="10"/>
      <c r="E196" s="72"/>
      <c r="F196" s="18"/>
      <c r="G196" s="10"/>
      <c r="H196" s="10"/>
      <c r="I196" s="10"/>
      <c r="J196" s="11"/>
      <c r="K196" s="11">
        <f t="shared" ref="K196:K259" si="199">J196*1.1</f>
        <v>0</v>
      </c>
      <c r="L196" s="37">
        <f t="shared" ref="L196:L259" si="200">J196*0.00000001</f>
        <v>0</v>
      </c>
      <c r="M196" s="11"/>
      <c r="N196" s="10"/>
      <c r="O196" s="21"/>
      <c r="P196" s="21"/>
      <c r="Q196" s="21"/>
      <c r="R196" s="23"/>
      <c r="S196" s="50"/>
      <c r="T196" s="48"/>
      <c r="U196" s="82"/>
      <c r="V196" s="26"/>
      <c r="W196" s="200"/>
      <c r="X196" s="17"/>
    </row>
    <row r="197" spans="2:24" x14ac:dyDescent="0.25">
      <c r="B197" s="17">
        <v>195</v>
      </c>
      <c r="C197" s="10"/>
      <c r="D197" s="10"/>
      <c r="E197" s="72"/>
      <c r="F197" s="18"/>
      <c r="G197" s="10"/>
      <c r="H197" s="10"/>
      <c r="I197" s="10"/>
      <c r="J197" s="11"/>
      <c r="K197" s="11">
        <f t="shared" si="199"/>
        <v>0</v>
      </c>
      <c r="L197" s="37">
        <f t="shared" si="200"/>
        <v>0</v>
      </c>
      <c r="M197" s="11"/>
      <c r="N197" s="10"/>
      <c r="O197" s="21"/>
      <c r="P197" s="21"/>
      <c r="Q197" s="21"/>
      <c r="R197" s="23"/>
      <c r="S197" s="50"/>
      <c r="T197" s="48"/>
      <c r="U197" s="82"/>
      <c r="V197" s="26"/>
      <c r="W197" s="200"/>
      <c r="X197" s="17"/>
    </row>
    <row r="198" spans="2:24" x14ac:dyDescent="0.25">
      <c r="B198" s="17">
        <v>196</v>
      </c>
      <c r="C198" s="10"/>
      <c r="D198" s="10"/>
      <c r="E198" s="72"/>
      <c r="F198" s="18"/>
      <c r="G198" s="10"/>
      <c r="H198" s="10"/>
      <c r="I198" s="10"/>
      <c r="J198" s="11"/>
      <c r="K198" s="11">
        <f t="shared" si="199"/>
        <v>0</v>
      </c>
      <c r="L198" s="37">
        <f t="shared" si="200"/>
        <v>0</v>
      </c>
      <c r="M198" s="11"/>
      <c r="N198" s="10"/>
      <c r="O198" s="21"/>
      <c r="P198" s="21"/>
      <c r="Q198" s="21"/>
      <c r="R198" s="23"/>
      <c r="S198" s="50"/>
      <c r="T198" s="48"/>
      <c r="U198" s="82"/>
      <c r="V198" s="26"/>
      <c r="W198" s="200"/>
      <c r="X198" s="17"/>
    </row>
    <row r="199" spans="2:24" x14ac:dyDescent="0.25">
      <c r="B199" s="17">
        <v>197</v>
      </c>
      <c r="C199" s="10"/>
      <c r="D199" s="10"/>
      <c r="E199" s="72"/>
      <c r="F199" s="18"/>
      <c r="G199" s="10"/>
      <c r="H199" s="10"/>
      <c r="I199" s="10"/>
      <c r="J199" s="11"/>
      <c r="K199" s="11">
        <f t="shared" si="199"/>
        <v>0</v>
      </c>
      <c r="L199" s="37">
        <f t="shared" si="200"/>
        <v>0</v>
      </c>
      <c r="M199" s="11"/>
      <c r="N199" s="10"/>
      <c r="O199" s="21"/>
      <c r="P199" s="21"/>
      <c r="Q199" s="21"/>
      <c r="R199" s="23"/>
      <c r="S199" s="50"/>
      <c r="T199" s="48"/>
      <c r="U199" s="82"/>
      <c r="V199" s="26"/>
      <c r="W199" s="200"/>
      <c r="X199" s="17"/>
    </row>
    <row r="200" spans="2:24" x14ac:dyDescent="0.25">
      <c r="B200" s="17">
        <v>198</v>
      </c>
      <c r="C200" s="10"/>
      <c r="D200" s="10"/>
      <c r="E200" s="72"/>
      <c r="F200" s="18"/>
      <c r="G200" s="10"/>
      <c r="H200" s="10"/>
      <c r="I200" s="10"/>
      <c r="J200" s="11"/>
      <c r="K200" s="11">
        <f t="shared" si="199"/>
        <v>0</v>
      </c>
      <c r="L200" s="37">
        <f t="shared" si="200"/>
        <v>0</v>
      </c>
      <c r="M200" s="11"/>
      <c r="N200" s="10"/>
      <c r="O200" s="21"/>
      <c r="P200" s="21"/>
      <c r="Q200" s="21"/>
      <c r="R200" s="23"/>
      <c r="S200" s="50"/>
      <c r="T200" s="48"/>
      <c r="U200" s="82"/>
      <c r="V200" s="32"/>
      <c r="W200" s="200"/>
      <c r="X200" s="17"/>
    </row>
    <row r="201" spans="2:24" x14ac:dyDescent="0.25">
      <c r="B201" s="17">
        <v>199</v>
      </c>
      <c r="C201" s="10"/>
      <c r="D201" s="10"/>
      <c r="E201" s="72"/>
      <c r="F201" s="18"/>
      <c r="G201" s="10"/>
      <c r="H201" s="10"/>
      <c r="I201" s="10"/>
      <c r="J201" s="11"/>
      <c r="K201" s="11">
        <f t="shared" si="199"/>
        <v>0</v>
      </c>
      <c r="L201" s="37">
        <f t="shared" si="200"/>
        <v>0</v>
      </c>
      <c r="M201" s="11"/>
      <c r="N201" s="10"/>
      <c r="O201" s="21"/>
      <c r="P201" s="21"/>
      <c r="Q201" s="21"/>
      <c r="R201" s="23"/>
      <c r="S201" s="50"/>
      <c r="T201" s="48"/>
      <c r="U201" s="82"/>
      <c r="V201" s="32"/>
      <c r="W201" s="200"/>
      <c r="X201" s="17"/>
    </row>
    <row r="202" spans="2:24" x14ac:dyDescent="0.25">
      <c r="B202" s="17">
        <v>200</v>
      </c>
      <c r="C202" s="10"/>
      <c r="D202" s="10"/>
      <c r="E202" s="72"/>
      <c r="F202" s="18"/>
      <c r="G202" s="10"/>
      <c r="H202" s="10"/>
      <c r="I202" s="10"/>
      <c r="J202" s="11"/>
      <c r="K202" s="11">
        <f t="shared" si="199"/>
        <v>0</v>
      </c>
      <c r="L202" s="37">
        <f t="shared" si="200"/>
        <v>0</v>
      </c>
      <c r="M202" s="11"/>
      <c r="N202" s="10"/>
      <c r="O202" s="21"/>
      <c r="P202" s="21"/>
      <c r="Q202" s="21"/>
      <c r="R202" s="23"/>
      <c r="S202" s="50"/>
      <c r="T202" s="48"/>
      <c r="U202" s="82"/>
      <c r="V202" s="32"/>
      <c r="W202" s="200"/>
      <c r="X202" s="17"/>
    </row>
    <row r="203" spans="2:24" x14ac:dyDescent="0.25">
      <c r="B203" s="17">
        <v>201</v>
      </c>
      <c r="C203" s="10"/>
      <c r="D203" s="10"/>
      <c r="E203" s="72"/>
      <c r="F203" s="18"/>
      <c r="G203" s="10"/>
      <c r="H203" s="10"/>
      <c r="I203" s="10"/>
      <c r="J203" s="11"/>
      <c r="K203" s="11">
        <f t="shared" si="199"/>
        <v>0</v>
      </c>
      <c r="L203" s="37">
        <f t="shared" si="200"/>
        <v>0</v>
      </c>
      <c r="M203" s="11"/>
      <c r="N203" s="10"/>
      <c r="O203" s="21"/>
      <c r="P203" s="21"/>
      <c r="Q203" s="21"/>
      <c r="R203" s="23"/>
      <c r="S203" s="50"/>
      <c r="T203" s="48"/>
      <c r="U203" s="82"/>
      <c r="V203" s="32"/>
      <c r="W203" s="200"/>
      <c r="X203" s="17"/>
    </row>
    <row r="204" spans="2:24" x14ac:dyDescent="0.25">
      <c r="B204" s="17">
        <v>202</v>
      </c>
      <c r="C204" s="10"/>
      <c r="D204" s="10"/>
      <c r="E204" s="72"/>
      <c r="F204" s="18"/>
      <c r="G204" s="10"/>
      <c r="H204" s="10"/>
      <c r="I204" s="10"/>
      <c r="J204" s="11"/>
      <c r="K204" s="11">
        <f t="shared" si="199"/>
        <v>0</v>
      </c>
      <c r="L204" s="37">
        <f t="shared" si="200"/>
        <v>0</v>
      </c>
      <c r="M204" s="11"/>
      <c r="N204" s="10"/>
      <c r="O204" s="21"/>
      <c r="P204" s="21"/>
      <c r="Q204" s="21"/>
      <c r="R204" s="23"/>
      <c r="S204" s="50"/>
      <c r="T204" s="48"/>
      <c r="U204" s="82"/>
      <c r="V204" s="26"/>
      <c r="W204" s="200"/>
      <c r="X204" s="17"/>
    </row>
    <row r="205" spans="2:24" x14ac:dyDescent="0.25">
      <c r="B205" s="17">
        <v>203</v>
      </c>
      <c r="C205" s="10"/>
      <c r="D205" s="10"/>
      <c r="E205" s="72"/>
      <c r="F205" s="18"/>
      <c r="G205" s="10"/>
      <c r="H205" s="10"/>
      <c r="I205" s="10"/>
      <c r="J205" s="11"/>
      <c r="K205" s="11">
        <f t="shared" si="199"/>
        <v>0</v>
      </c>
      <c r="L205" s="37">
        <f t="shared" si="200"/>
        <v>0</v>
      </c>
      <c r="M205" s="11"/>
      <c r="N205" s="10"/>
      <c r="O205" s="21"/>
      <c r="P205" s="21"/>
      <c r="Q205" s="21"/>
      <c r="R205" s="23"/>
      <c r="S205" s="50"/>
      <c r="T205" s="48"/>
      <c r="U205" s="82"/>
      <c r="V205" s="26"/>
      <c r="W205" s="200"/>
      <c r="X205" s="17"/>
    </row>
    <row r="206" spans="2:24" x14ac:dyDescent="0.25">
      <c r="B206" s="17">
        <v>204</v>
      </c>
      <c r="C206" s="10"/>
      <c r="D206" s="10"/>
      <c r="E206" s="72"/>
      <c r="F206" s="18"/>
      <c r="G206" s="10"/>
      <c r="H206" s="10"/>
      <c r="I206" s="10"/>
      <c r="J206" s="11"/>
      <c r="K206" s="11">
        <f t="shared" si="199"/>
        <v>0</v>
      </c>
      <c r="L206" s="37">
        <f t="shared" si="200"/>
        <v>0</v>
      </c>
      <c r="M206" s="11"/>
      <c r="N206" s="10"/>
      <c r="O206" s="21"/>
      <c r="P206" s="21"/>
      <c r="Q206" s="21"/>
      <c r="R206" s="23"/>
      <c r="S206" s="50"/>
      <c r="T206" s="48"/>
      <c r="U206" s="82"/>
      <c r="V206" s="26"/>
      <c r="W206" s="200"/>
      <c r="X206" s="17"/>
    </row>
    <row r="207" spans="2:24" x14ac:dyDescent="0.25">
      <c r="B207" s="17">
        <v>205</v>
      </c>
      <c r="C207" s="10"/>
      <c r="D207" s="10"/>
      <c r="E207" s="72"/>
      <c r="F207" s="18"/>
      <c r="G207" s="10"/>
      <c r="H207" s="10"/>
      <c r="I207" s="10"/>
      <c r="J207" s="11"/>
      <c r="K207" s="11">
        <f t="shared" si="199"/>
        <v>0</v>
      </c>
      <c r="L207" s="37">
        <f t="shared" si="200"/>
        <v>0</v>
      </c>
      <c r="M207" s="11"/>
      <c r="N207" s="10"/>
      <c r="O207" s="21"/>
      <c r="P207" s="21"/>
      <c r="Q207" s="21"/>
      <c r="R207" s="23"/>
      <c r="S207" s="50"/>
      <c r="T207" s="48"/>
      <c r="U207" s="82"/>
      <c r="V207" s="26"/>
      <c r="W207" s="200"/>
      <c r="X207" s="17"/>
    </row>
    <row r="208" spans="2:24" x14ac:dyDescent="0.25">
      <c r="B208" s="17">
        <v>206</v>
      </c>
      <c r="C208" s="10"/>
      <c r="D208" s="10"/>
      <c r="E208" s="72"/>
      <c r="F208" s="18"/>
      <c r="G208" s="10"/>
      <c r="H208" s="10"/>
      <c r="I208" s="10"/>
      <c r="J208" s="11"/>
      <c r="K208" s="11">
        <f t="shared" si="199"/>
        <v>0</v>
      </c>
      <c r="L208" s="37">
        <f t="shared" si="200"/>
        <v>0</v>
      </c>
      <c r="M208" s="11"/>
      <c r="N208" s="10"/>
      <c r="O208" s="21"/>
      <c r="P208" s="21"/>
      <c r="Q208" s="21"/>
      <c r="R208" s="23"/>
      <c r="S208" s="50"/>
      <c r="T208" s="48"/>
      <c r="U208" s="82"/>
      <c r="V208" s="26"/>
      <c r="W208" s="200"/>
      <c r="X208" s="17"/>
    </row>
    <row r="209" spans="2:24" x14ac:dyDescent="0.25">
      <c r="B209" s="17">
        <v>207</v>
      </c>
      <c r="C209" s="10"/>
      <c r="D209" s="10"/>
      <c r="E209" s="72"/>
      <c r="F209" s="18"/>
      <c r="G209" s="10"/>
      <c r="H209" s="10"/>
      <c r="I209" s="10"/>
      <c r="J209" s="11"/>
      <c r="K209" s="11">
        <f t="shared" si="199"/>
        <v>0</v>
      </c>
      <c r="L209" s="37">
        <f t="shared" si="200"/>
        <v>0</v>
      </c>
      <c r="M209" s="11"/>
      <c r="N209" s="10"/>
      <c r="O209" s="21"/>
      <c r="P209" s="21"/>
      <c r="Q209" s="21"/>
      <c r="R209" s="23"/>
      <c r="S209" s="50"/>
      <c r="T209" s="48"/>
      <c r="U209" s="82"/>
      <c r="V209" s="32"/>
      <c r="W209" s="200"/>
      <c r="X209" s="17"/>
    </row>
    <row r="210" spans="2:24" x14ac:dyDescent="0.25">
      <c r="B210" s="17">
        <v>208</v>
      </c>
      <c r="C210" s="10"/>
      <c r="D210" s="10"/>
      <c r="E210" s="72"/>
      <c r="F210" s="18"/>
      <c r="G210" s="10"/>
      <c r="H210" s="10"/>
      <c r="I210" s="10"/>
      <c r="J210" s="11"/>
      <c r="K210" s="11">
        <f t="shared" si="199"/>
        <v>0</v>
      </c>
      <c r="L210" s="37">
        <f t="shared" si="200"/>
        <v>0</v>
      </c>
      <c r="M210" s="11"/>
      <c r="N210" s="10"/>
      <c r="O210" s="21"/>
      <c r="P210" s="21"/>
      <c r="Q210" s="21"/>
      <c r="R210" s="23"/>
      <c r="S210" s="50"/>
      <c r="T210" s="48"/>
      <c r="U210" s="82"/>
      <c r="V210" s="32"/>
      <c r="W210" s="200"/>
      <c r="X210" s="17"/>
    </row>
    <row r="211" spans="2:24" x14ac:dyDescent="0.25">
      <c r="B211" s="17">
        <v>209</v>
      </c>
      <c r="C211" s="10"/>
      <c r="D211" s="10"/>
      <c r="E211" s="72"/>
      <c r="F211" s="18"/>
      <c r="G211" s="10"/>
      <c r="H211" s="10"/>
      <c r="I211" s="10"/>
      <c r="J211" s="11"/>
      <c r="K211" s="11">
        <f t="shared" si="199"/>
        <v>0</v>
      </c>
      <c r="L211" s="37">
        <f t="shared" si="200"/>
        <v>0</v>
      </c>
      <c r="M211" s="11"/>
      <c r="N211" s="10"/>
      <c r="O211" s="21"/>
      <c r="P211" s="21"/>
      <c r="Q211" s="21"/>
      <c r="R211" s="23"/>
      <c r="S211" s="50"/>
      <c r="T211" s="48"/>
      <c r="U211" s="82"/>
      <c r="V211" s="26"/>
      <c r="W211" s="200"/>
      <c r="X211" s="17"/>
    </row>
    <row r="212" spans="2:24" x14ac:dyDescent="0.25">
      <c r="B212" s="17">
        <v>210</v>
      </c>
      <c r="C212" s="10"/>
      <c r="D212" s="10"/>
      <c r="E212" s="72"/>
      <c r="F212" s="18"/>
      <c r="G212" s="10"/>
      <c r="H212" s="10"/>
      <c r="I212" s="10"/>
      <c r="J212" s="11"/>
      <c r="K212" s="11">
        <f t="shared" si="199"/>
        <v>0</v>
      </c>
      <c r="L212" s="37">
        <f t="shared" si="200"/>
        <v>0</v>
      </c>
      <c r="M212" s="11"/>
      <c r="N212" s="10"/>
      <c r="O212" s="21"/>
      <c r="P212" s="21"/>
      <c r="Q212" s="21"/>
      <c r="R212" s="23"/>
      <c r="S212" s="50"/>
      <c r="T212" s="48"/>
      <c r="U212" s="82"/>
      <c r="V212" s="26"/>
      <c r="W212" s="200"/>
      <c r="X212" s="17"/>
    </row>
    <row r="213" spans="2:24" x14ac:dyDescent="0.25">
      <c r="B213" s="17">
        <v>211</v>
      </c>
      <c r="C213" s="10"/>
      <c r="D213" s="10"/>
      <c r="E213" s="72"/>
      <c r="F213" s="18"/>
      <c r="G213" s="10"/>
      <c r="H213" s="10"/>
      <c r="I213" s="10"/>
      <c r="J213" s="11"/>
      <c r="K213" s="11">
        <f t="shared" si="199"/>
        <v>0</v>
      </c>
      <c r="L213" s="37">
        <f t="shared" si="200"/>
        <v>0</v>
      </c>
      <c r="M213" s="11"/>
      <c r="N213" s="10"/>
      <c r="O213" s="21"/>
      <c r="P213" s="21"/>
      <c r="Q213" s="21"/>
      <c r="R213" s="23"/>
      <c r="S213" s="50"/>
      <c r="T213" s="48"/>
      <c r="U213" s="82"/>
      <c r="V213" s="26"/>
      <c r="W213" s="200"/>
      <c r="X213" s="17"/>
    </row>
    <row r="214" spans="2:24" x14ac:dyDescent="0.25">
      <c r="B214" s="17">
        <v>212</v>
      </c>
      <c r="C214" s="10"/>
      <c r="D214" s="10"/>
      <c r="E214" s="72"/>
      <c r="F214" s="18"/>
      <c r="G214" s="10"/>
      <c r="H214" s="10"/>
      <c r="I214" s="10"/>
      <c r="J214" s="11"/>
      <c r="K214" s="11">
        <f t="shared" si="199"/>
        <v>0</v>
      </c>
      <c r="L214" s="37">
        <f t="shared" si="200"/>
        <v>0</v>
      </c>
      <c r="M214" s="11"/>
      <c r="N214" s="10"/>
      <c r="O214" s="21"/>
      <c r="P214" s="21"/>
      <c r="Q214" s="21"/>
      <c r="R214" s="23"/>
      <c r="S214" s="50"/>
      <c r="T214" s="48"/>
      <c r="U214" s="82"/>
      <c r="V214" s="26"/>
      <c r="W214" s="200"/>
      <c r="X214" s="17"/>
    </row>
    <row r="215" spans="2:24" x14ac:dyDescent="0.25">
      <c r="B215" s="17">
        <v>213</v>
      </c>
      <c r="C215" s="10"/>
      <c r="D215" s="10"/>
      <c r="E215" s="72"/>
      <c r="F215" s="18"/>
      <c r="G215" s="10"/>
      <c r="H215" s="10"/>
      <c r="I215" s="10"/>
      <c r="J215" s="11"/>
      <c r="K215" s="11">
        <f t="shared" si="199"/>
        <v>0</v>
      </c>
      <c r="L215" s="37">
        <f t="shared" si="200"/>
        <v>0</v>
      </c>
      <c r="M215" s="11"/>
      <c r="N215" s="10"/>
      <c r="O215" s="21"/>
      <c r="P215" s="21"/>
      <c r="Q215" s="21"/>
      <c r="R215" s="23"/>
      <c r="S215" s="50"/>
      <c r="T215" s="48"/>
      <c r="U215" s="82"/>
      <c r="V215" s="26"/>
      <c r="W215" s="200"/>
      <c r="X215" s="17"/>
    </row>
    <row r="216" spans="2:24" x14ac:dyDescent="0.25">
      <c r="B216" s="17">
        <v>214</v>
      </c>
      <c r="C216" s="10"/>
      <c r="D216" s="10"/>
      <c r="E216" s="72"/>
      <c r="F216" s="18"/>
      <c r="G216" s="10"/>
      <c r="H216" s="10"/>
      <c r="I216" s="10"/>
      <c r="J216" s="11"/>
      <c r="K216" s="11">
        <f t="shared" si="199"/>
        <v>0</v>
      </c>
      <c r="L216" s="37">
        <f t="shared" si="200"/>
        <v>0</v>
      </c>
      <c r="M216" s="11"/>
      <c r="N216" s="10"/>
      <c r="O216" s="21"/>
      <c r="P216" s="21"/>
      <c r="Q216" s="21"/>
      <c r="R216" s="23"/>
      <c r="S216" s="50"/>
      <c r="T216" s="48"/>
      <c r="U216" s="82"/>
      <c r="V216" s="32"/>
      <c r="W216" s="200"/>
      <c r="X216" s="17"/>
    </row>
    <row r="217" spans="2:24" x14ac:dyDescent="0.25">
      <c r="B217" s="17">
        <v>215</v>
      </c>
      <c r="C217" s="10"/>
      <c r="D217" s="10"/>
      <c r="E217" s="72"/>
      <c r="F217" s="18"/>
      <c r="G217" s="10"/>
      <c r="H217" s="10"/>
      <c r="I217" s="10"/>
      <c r="J217" s="11"/>
      <c r="K217" s="11">
        <f t="shared" si="199"/>
        <v>0</v>
      </c>
      <c r="L217" s="37">
        <f t="shared" si="200"/>
        <v>0</v>
      </c>
      <c r="M217" s="11"/>
      <c r="N217" s="10"/>
      <c r="O217" s="21"/>
      <c r="P217" s="21"/>
      <c r="Q217" s="21"/>
      <c r="R217" s="23"/>
      <c r="S217" s="50"/>
      <c r="T217" s="48"/>
      <c r="U217" s="82"/>
      <c r="V217" s="32"/>
      <c r="W217" s="200"/>
      <c r="X217" s="17"/>
    </row>
    <row r="218" spans="2:24" x14ac:dyDescent="0.25">
      <c r="B218" s="17">
        <v>216</v>
      </c>
      <c r="C218" s="10"/>
      <c r="D218" s="10"/>
      <c r="E218" s="72"/>
      <c r="F218" s="18"/>
      <c r="G218" s="10"/>
      <c r="H218" s="10"/>
      <c r="I218" s="10"/>
      <c r="J218" s="11"/>
      <c r="K218" s="11">
        <f t="shared" si="199"/>
        <v>0</v>
      </c>
      <c r="L218" s="37">
        <f t="shared" si="200"/>
        <v>0</v>
      </c>
      <c r="M218" s="11"/>
      <c r="N218" s="10"/>
      <c r="O218" s="21"/>
      <c r="P218" s="21"/>
      <c r="Q218" s="21"/>
      <c r="R218" s="23"/>
      <c r="S218" s="50"/>
      <c r="T218" s="48"/>
      <c r="U218" s="82"/>
      <c r="V218" s="32"/>
      <c r="W218" s="200"/>
      <c r="X218" s="17"/>
    </row>
    <row r="219" spans="2:24" x14ac:dyDescent="0.25">
      <c r="B219" s="17">
        <v>217</v>
      </c>
      <c r="C219" s="10"/>
      <c r="D219" s="10"/>
      <c r="E219" s="72"/>
      <c r="F219" s="18"/>
      <c r="G219" s="10"/>
      <c r="H219" s="10"/>
      <c r="I219" s="10"/>
      <c r="J219" s="11"/>
      <c r="K219" s="11">
        <f t="shared" si="199"/>
        <v>0</v>
      </c>
      <c r="L219" s="37">
        <f t="shared" si="200"/>
        <v>0</v>
      </c>
      <c r="M219" s="11"/>
      <c r="N219" s="10"/>
      <c r="O219" s="21"/>
      <c r="P219" s="21"/>
      <c r="Q219" s="21"/>
      <c r="R219" s="23"/>
      <c r="S219" s="50"/>
      <c r="T219" s="48"/>
      <c r="U219" s="82"/>
      <c r="V219" s="32"/>
      <c r="W219" s="200"/>
      <c r="X219" s="17"/>
    </row>
    <row r="220" spans="2:24" x14ac:dyDescent="0.25">
      <c r="B220" s="17">
        <v>218</v>
      </c>
      <c r="C220" s="10"/>
      <c r="D220" s="10"/>
      <c r="E220" s="72"/>
      <c r="F220" s="18"/>
      <c r="G220" s="10"/>
      <c r="H220" s="10"/>
      <c r="I220" s="10"/>
      <c r="J220" s="11"/>
      <c r="K220" s="11">
        <f t="shared" si="199"/>
        <v>0</v>
      </c>
      <c r="L220" s="37">
        <f t="shared" si="200"/>
        <v>0</v>
      </c>
      <c r="M220" s="11"/>
      <c r="N220" s="10"/>
      <c r="O220" s="21"/>
      <c r="P220" s="21"/>
      <c r="Q220" s="21"/>
      <c r="R220" s="23"/>
      <c r="S220" s="50"/>
      <c r="T220" s="48"/>
      <c r="U220" s="82"/>
      <c r="V220" s="26"/>
      <c r="W220" s="200"/>
      <c r="X220" s="17"/>
    </row>
    <row r="221" spans="2:24" x14ac:dyDescent="0.25">
      <c r="B221" s="17">
        <v>219</v>
      </c>
      <c r="C221" s="10"/>
      <c r="D221" s="10"/>
      <c r="E221" s="72"/>
      <c r="F221" s="18"/>
      <c r="G221" s="10"/>
      <c r="H221" s="10"/>
      <c r="I221" s="10"/>
      <c r="J221" s="11"/>
      <c r="K221" s="11">
        <f t="shared" si="199"/>
        <v>0</v>
      </c>
      <c r="L221" s="37">
        <f t="shared" si="200"/>
        <v>0</v>
      </c>
      <c r="M221" s="11"/>
      <c r="N221" s="10"/>
      <c r="O221" s="21"/>
      <c r="P221" s="21"/>
      <c r="Q221" s="21"/>
      <c r="R221" s="23"/>
      <c r="S221" s="50"/>
      <c r="T221" s="48"/>
      <c r="U221" s="82"/>
      <c r="V221" s="26"/>
      <c r="W221" s="200"/>
      <c r="X221" s="17"/>
    </row>
    <row r="222" spans="2:24" x14ac:dyDescent="0.25">
      <c r="B222" s="17">
        <v>220</v>
      </c>
      <c r="C222" s="10"/>
      <c r="D222" s="10"/>
      <c r="E222" s="72"/>
      <c r="F222" s="18"/>
      <c r="G222" s="10"/>
      <c r="H222" s="10"/>
      <c r="I222" s="10"/>
      <c r="J222" s="11"/>
      <c r="K222" s="11">
        <f t="shared" si="199"/>
        <v>0</v>
      </c>
      <c r="L222" s="37">
        <f t="shared" si="200"/>
        <v>0</v>
      </c>
      <c r="M222" s="11"/>
      <c r="N222" s="10"/>
      <c r="O222" s="21"/>
      <c r="P222" s="21"/>
      <c r="Q222" s="21"/>
      <c r="R222" s="23"/>
      <c r="S222" s="50"/>
      <c r="T222" s="48"/>
      <c r="U222" s="82"/>
      <c r="V222" s="26"/>
      <c r="W222" s="200"/>
      <c r="X222" s="17"/>
    </row>
    <row r="223" spans="2:24" x14ac:dyDescent="0.25">
      <c r="B223" s="17">
        <v>221</v>
      </c>
      <c r="C223" s="10"/>
      <c r="D223" s="10"/>
      <c r="E223" s="72"/>
      <c r="F223" s="18"/>
      <c r="G223" s="10"/>
      <c r="H223" s="10"/>
      <c r="I223" s="10"/>
      <c r="J223" s="11"/>
      <c r="K223" s="11">
        <f t="shared" si="199"/>
        <v>0</v>
      </c>
      <c r="L223" s="37">
        <f t="shared" si="200"/>
        <v>0</v>
      </c>
      <c r="M223" s="11"/>
      <c r="N223" s="10"/>
      <c r="O223" s="21"/>
      <c r="P223" s="21"/>
      <c r="Q223" s="21"/>
      <c r="R223" s="23"/>
      <c r="S223" s="50"/>
      <c r="T223" s="48"/>
      <c r="U223" s="82"/>
      <c r="V223" s="26"/>
      <c r="W223" s="200"/>
      <c r="X223" s="17"/>
    </row>
    <row r="224" spans="2:24" x14ac:dyDescent="0.25">
      <c r="B224" s="17">
        <v>222</v>
      </c>
      <c r="C224" s="10"/>
      <c r="D224" s="10"/>
      <c r="E224" s="72"/>
      <c r="F224" s="18"/>
      <c r="G224" s="10"/>
      <c r="H224" s="10"/>
      <c r="I224" s="10"/>
      <c r="J224" s="11"/>
      <c r="K224" s="11">
        <f t="shared" si="199"/>
        <v>0</v>
      </c>
      <c r="L224" s="37">
        <f t="shared" si="200"/>
        <v>0</v>
      </c>
      <c r="M224" s="11"/>
      <c r="N224" s="10"/>
      <c r="O224" s="21"/>
      <c r="P224" s="21"/>
      <c r="Q224" s="21"/>
      <c r="R224" s="23"/>
      <c r="S224" s="50"/>
      <c r="T224" s="48"/>
      <c r="U224" s="82"/>
      <c r="V224" s="26"/>
      <c r="W224" s="200"/>
      <c r="X224" s="17"/>
    </row>
    <row r="225" spans="2:24" x14ac:dyDescent="0.25">
      <c r="B225" s="17">
        <v>223</v>
      </c>
      <c r="C225" s="10"/>
      <c r="D225" s="10"/>
      <c r="E225" s="72"/>
      <c r="F225" s="18"/>
      <c r="G225" s="10"/>
      <c r="H225" s="10"/>
      <c r="I225" s="10"/>
      <c r="J225" s="11"/>
      <c r="K225" s="11">
        <f t="shared" si="199"/>
        <v>0</v>
      </c>
      <c r="L225" s="37">
        <f t="shared" si="200"/>
        <v>0</v>
      </c>
      <c r="M225" s="11"/>
      <c r="N225" s="10"/>
      <c r="O225" s="21"/>
      <c r="P225" s="21"/>
      <c r="Q225" s="21"/>
      <c r="R225" s="23"/>
      <c r="S225" s="50"/>
      <c r="T225" s="48"/>
      <c r="U225" s="82"/>
      <c r="V225" s="32"/>
      <c r="W225" s="200"/>
      <c r="X225" s="17"/>
    </row>
    <row r="226" spans="2:24" x14ac:dyDescent="0.25">
      <c r="B226" s="17">
        <v>224</v>
      </c>
      <c r="C226" s="10"/>
      <c r="D226" s="10"/>
      <c r="E226" s="72"/>
      <c r="F226" s="18"/>
      <c r="G226" s="10"/>
      <c r="H226" s="10"/>
      <c r="I226" s="10"/>
      <c r="J226" s="11"/>
      <c r="K226" s="11">
        <f t="shared" si="199"/>
        <v>0</v>
      </c>
      <c r="L226" s="37">
        <f t="shared" si="200"/>
        <v>0</v>
      </c>
      <c r="M226" s="11"/>
      <c r="N226" s="10"/>
      <c r="O226" s="21"/>
      <c r="P226" s="21"/>
      <c r="Q226" s="21"/>
      <c r="R226" s="23"/>
      <c r="S226" s="50"/>
      <c r="T226" s="48"/>
      <c r="U226" s="82"/>
      <c r="V226" s="32"/>
      <c r="W226" s="200"/>
      <c r="X226" s="17"/>
    </row>
    <row r="227" spans="2:24" x14ac:dyDescent="0.25">
      <c r="B227" s="17">
        <v>225</v>
      </c>
      <c r="C227" s="10"/>
      <c r="D227" s="10"/>
      <c r="E227" s="72"/>
      <c r="F227" s="18"/>
      <c r="G227" s="10"/>
      <c r="H227" s="10"/>
      <c r="I227" s="10"/>
      <c r="J227" s="11"/>
      <c r="K227" s="11">
        <f t="shared" si="199"/>
        <v>0</v>
      </c>
      <c r="L227" s="37">
        <f t="shared" si="200"/>
        <v>0</v>
      </c>
      <c r="M227" s="11"/>
      <c r="N227" s="10"/>
      <c r="O227" s="21"/>
      <c r="P227" s="21"/>
      <c r="Q227" s="21"/>
      <c r="R227" s="23"/>
      <c r="S227" s="50"/>
      <c r="T227" s="48"/>
      <c r="U227" s="82"/>
      <c r="V227" s="26"/>
      <c r="W227" s="200"/>
      <c r="X227" s="17"/>
    </row>
    <row r="228" spans="2:24" x14ac:dyDescent="0.25">
      <c r="B228" s="17">
        <v>226</v>
      </c>
      <c r="C228" s="10"/>
      <c r="D228" s="10"/>
      <c r="E228" s="72"/>
      <c r="F228" s="18"/>
      <c r="G228" s="10"/>
      <c r="H228" s="10"/>
      <c r="I228" s="10"/>
      <c r="J228" s="11"/>
      <c r="K228" s="11">
        <f t="shared" si="199"/>
        <v>0</v>
      </c>
      <c r="L228" s="37">
        <f t="shared" si="200"/>
        <v>0</v>
      </c>
      <c r="M228" s="11"/>
      <c r="N228" s="10"/>
      <c r="O228" s="21"/>
      <c r="P228" s="21"/>
      <c r="Q228" s="21"/>
      <c r="R228" s="23"/>
      <c r="S228" s="50"/>
      <c r="T228" s="48"/>
      <c r="U228" s="82"/>
      <c r="V228" s="26"/>
      <c r="W228" s="200"/>
      <c r="X228" s="17"/>
    </row>
    <row r="229" spans="2:24" x14ac:dyDescent="0.25">
      <c r="B229" s="17">
        <v>227</v>
      </c>
      <c r="C229" s="10"/>
      <c r="D229" s="10"/>
      <c r="E229" s="72"/>
      <c r="F229" s="18"/>
      <c r="G229" s="10"/>
      <c r="H229" s="10"/>
      <c r="I229" s="10"/>
      <c r="J229" s="11"/>
      <c r="K229" s="11">
        <f t="shared" si="199"/>
        <v>0</v>
      </c>
      <c r="L229" s="37">
        <f t="shared" si="200"/>
        <v>0</v>
      </c>
      <c r="M229" s="11"/>
      <c r="N229" s="10"/>
      <c r="O229" s="21"/>
      <c r="P229" s="21"/>
      <c r="Q229" s="21"/>
      <c r="R229" s="23"/>
      <c r="S229" s="50"/>
      <c r="T229" s="48"/>
      <c r="U229" s="82"/>
      <c r="V229" s="26"/>
      <c r="W229" s="200"/>
      <c r="X229" s="17"/>
    </row>
    <row r="230" spans="2:24" x14ac:dyDescent="0.25">
      <c r="B230" s="17">
        <v>228</v>
      </c>
      <c r="C230" s="10"/>
      <c r="D230" s="10"/>
      <c r="E230" s="72"/>
      <c r="F230" s="18"/>
      <c r="G230" s="10"/>
      <c r="H230" s="10"/>
      <c r="I230" s="10"/>
      <c r="J230" s="11"/>
      <c r="K230" s="11">
        <f t="shared" si="199"/>
        <v>0</v>
      </c>
      <c r="L230" s="37">
        <f t="shared" si="200"/>
        <v>0</v>
      </c>
      <c r="M230" s="11"/>
      <c r="N230" s="10"/>
      <c r="O230" s="21"/>
      <c r="P230" s="21"/>
      <c r="Q230" s="21"/>
      <c r="R230" s="23"/>
      <c r="S230" s="50"/>
      <c r="T230" s="48"/>
      <c r="U230" s="82"/>
      <c r="V230" s="26"/>
      <c r="W230" s="200"/>
      <c r="X230" s="17"/>
    </row>
    <row r="231" spans="2:24" x14ac:dyDescent="0.25">
      <c r="B231" s="17">
        <v>229</v>
      </c>
      <c r="C231" s="10"/>
      <c r="D231" s="10"/>
      <c r="E231" s="72"/>
      <c r="F231" s="18"/>
      <c r="G231" s="10"/>
      <c r="H231" s="10"/>
      <c r="I231" s="10"/>
      <c r="J231" s="11"/>
      <c r="K231" s="11">
        <f t="shared" si="199"/>
        <v>0</v>
      </c>
      <c r="L231" s="37">
        <f t="shared" si="200"/>
        <v>0</v>
      </c>
      <c r="M231" s="11"/>
      <c r="N231" s="10"/>
      <c r="O231" s="21"/>
      <c r="P231" s="21"/>
      <c r="Q231" s="21"/>
      <c r="R231" s="23"/>
      <c r="S231" s="50"/>
      <c r="T231" s="48"/>
      <c r="U231" s="82"/>
      <c r="V231" s="32"/>
      <c r="W231" s="200"/>
      <c r="X231" s="17"/>
    </row>
    <row r="232" spans="2:24" x14ac:dyDescent="0.25">
      <c r="B232" s="17">
        <v>230</v>
      </c>
      <c r="C232" s="10"/>
      <c r="D232" s="10"/>
      <c r="E232" s="72"/>
      <c r="F232" s="18"/>
      <c r="G232" s="10"/>
      <c r="H232" s="10"/>
      <c r="I232" s="10"/>
      <c r="J232" s="11"/>
      <c r="K232" s="11">
        <f t="shared" si="199"/>
        <v>0</v>
      </c>
      <c r="L232" s="37">
        <f t="shared" si="200"/>
        <v>0</v>
      </c>
      <c r="M232" s="11"/>
      <c r="N232" s="10"/>
      <c r="O232" s="21"/>
      <c r="P232" s="21"/>
      <c r="Q232" s="21"/>
      <c r="R232" s="23"/>
      <c r="S232" s="50"/>
      <c r="T232" s="48"/>
      <c r="U232" s="82"/>
      <c r="V232" s="32"/>
      <c r="W232" s="200"/>
      <c r="X232" s="17"/>
    </row>
    <row r="233" spans="2:24" x14ac:dyDescent="0.25">
      <c r="B233" s="17">
        <v>231</v>
      </c>
      <c r="C233" s="10"/>
      <c r="D233" s="10"/>
      <c r="E233" s="72"/>
      <c r="F233" s="18"/>
      <c r="G233" s="10"/>
      <c r="H233" s="10"/>
      <c r="I233" s="10"/>
      <c r="J233" s="11"/>
      <c r="K233" s="11">
        <f t="shared" si="199"/>
        <v>0</v>
      </c>
      <c r="L233" s="37">
        <f t="shared" si="200"/>
        <v>0</v>
      </c>
      <c r="M233" s="11"/>
      <c r="N233" s="10"/>
      <c r="O233" s="21"/>
      <c r="P233" s="21"/>
      <c r="Q233" s="21"/>
      <c r="R233" s="23"/>
      <c r="S233" s="50"/>
      <c r="T233" s="48"/>
      <c r="U233" s="82"/>
      <c r="V233" s="26"/>
      <c r="W233" s="200"/>
      <c r="X233" s="17"/>
    </row>
    <row r="234" spans="2:24" x14ac:dyDescent="0.25">
      <c r="B234" s="17">
        <v>232</v>
      </c>
      <c r="C234" s="10"/>
      <c r="D234" s="10"/>
      <c r="E234" s="72"/>
      <c r="F234" s="18"/>
      <c r="G234" s="10"/>
      <c r="H234" s="10"/>
      <c r="I234" s="10"/>
      <c r="J234" s="11"/>
      <c r="K234" s="11">
        <f t="shared" si="199"/>
        <v>0</v>
      </c>
      <c r="L234" s="37">
        <f t="shared" si="200"/>
        <v>0</v>
      </c>
      <c r="M234" s="11"/>
      <c r="N234" s="10"/>
      <c r="O234" s="21"/>
      <c r="P234" s="21"/>
      <c r="Q234" s="21"/>
      <c r="R234" s="23"/>
      <c r="S234" s="50"/>
      <c r="T234" s="48"/>
      <c r="U234" s="82"/>
      <c r="V234" s="26"/>
      <c r="W234" s="200"/>
      <c r="X234" s="17"/>
    </row>
    <row r="235" spans="2:24" x14ac:dyDescent="0.25">
      <c r="B235" s="17">
        <v>233</v>
      </c>
      <c r="C235" s="10"/>
      <c r="D235" s="10"/>
      <c r="E235" s="72"/>
      <c r="F235" s="18"/>
      <c r="G235" s="10"/>
      <c r="H235" s="10"/>
      <c r="I235" s="10"/>
      <c r="J235" s="11"/>
      <c r="K235" s="11">
        <f t="shared" si="199"/>
        <v>0</v>
      </c>
      <c r="L235" s="37">
        <f t="shared" si="200"/>
        <v>0</v>
      </c>
      <c r="M235" s="11"/>
      <c r="N235" s="10"/>
      <c r="O235" s="21"/>
      <c r="P235" s="21"/>
      <c r="Q235" s="21"/>
      <c r="R235" s="23"/>
      <c r="S235" s="50"/>
      <c r="T235" s="48"/>
      <c r="U235" s="82"/>
      <c r="V235" s="26"/>
      <c r="W235" s="200"/>
      <c r="X235" s="17"/>
    </row>
    <row r="236" spans="2:24" x14ac:dyDescent="0.25">
      <c r="B236" s="17">
        <v>234</v>
      </c>
      <c r="C236" s="10"/>
      <c r="D236" s="10"/>
      <c r="E236" s="72"/>
      <c r="F236" s="18"/>
      <c r="G236" s="10"/>
      <c r="H236" s="10"/>
      <c r="I236" s="10"/>
      <c r="J236" s="11"/>
      <c r="K236" s="11">
        <f t="shared" si="199"/>
        <v>0</v>
      </c>
      <c r="L236" s="37">
        <f t="shared" si="200"/>
        <v>0</v>
      </c>
      <c r="M236" s="11"/>
      <c r="N236" s="10"/>
      <c r="O236" s="21"/>
      <c r="P236" s="21"/>
      <c r="Q236" s="21"/>
      <c r="R236" s="23"/>
      <c r="S236" s="50"/>
      <c r="T236" s="48"/>
      <c r="U236" s="82"/>
      <c r="V236" s="26"/>
      <c r="W236" s="200"/>
      <c r="X236" s="17"/>
    </row>
    <row r="237" spans="2:24" x14ac:dyDescent="0.25">
      <c r="B237" s="17">
        <v>235</v>
      </c>
      <c r="C237" s="10"/>
      <c r="D237" s="10"/>
      <c r="E237" s="72"/>
      <c r="F237" s="18"/>
      <c r="G237" s="10"/>
      <c r="H237" s="10"/>
      <c r="I237" s="10"/>
      <c r="J237" s="11"/>
      <c r="K237" s="11">
        <f t="shared" si="199"/>
        <v>0</v>
      </c>
      <c r="L237" s="37">
        <f t="shared" si="200"/>
        <v>0</v>
      </c>
      <c r="M237" s="11"/>
      <c r="N237" s="10"/>
      <c r="O237" s="21"/>
      <c r="P237" s="21"/>
      <c r="Q237" s="21"/>
      <c r="R237" s="23"/>
      <c r="S237" s="50"/>
      <c r="T237" s="48"/>
      <c r="U237" s="82"/>
      <c r="V237" s="26"/>
      <c r="W237" s="200"/>
      <c r="X237" s="17"/>
    </row>
    <row r="238" spans="2:24" x14ac:dyDescent="0.25">
      <c r="B238" s="17">
        <v>236</v>
      </c>
      <c r="C238" s="10"/>
      <c r="D238" s="10"/>
      <c r="E238" s="72"/>
      <c r="F238" s="18"/>
      <c r="G238" s="10"/>
      <c r="H238" s="10"/>
      <c r="I238" s="10"/>
      <c r="J238" s="11"/>
      <c r="K238" s="11">
        <f t="shared" si="199"/>
        <v>0</v>
      </c>
      <c r="L238" s="37">
        <f t="shared" si="200"/>
        <v>0</v>
      </c>
      <c r="M238" s="11"/>
      <c r="N238" s="10"/>
      <c r="O238" s="21"/>
      <c r="P238" s="21"/>
      <c r="Q238" s="21"/>
      <c r="R238" s="23"/>
      <c r="S238" s="50"/>
      <c r="T238" s="48"/>
      <c r="U238" s="82"/>
      <c r="V238" s="32"/>
      <c r="W238" s="200"/>
      <c r="X238" s="17"/>
    </row>
    <row r="239" spans="2:24" x14ac:dyDescent="0.25">
      <c r="B239" s="17">
        <v>237</v>
      </c>
      <c r="C239" s="10"/>
      <c r="D239" s="10"/>
      <c r="E239" s="72"/>
      <c r="F239" s="18"/>
      <c r="G239" s="10"/>
      <c r="H239" s="10"/>
      <c r="I239" s="10"/>
      <c r="J239" s="11"/>
      <c r="K239" s="11">
        <f t="shared" si="199"/>
        <v>0</v>
      </c>
      <c r="L239" s="37">
        <f t="shared" si="200"/>
        <v>0</v>
      </c>
      <c r="M239" s="11"/>
      <c r="N239" s="10"/>
      <c r="O239" s="21"/>
      <c r="P239" s="21"/>
      <c r="Q239" s="21"/>
      <c r="R239" s="23"/>
      <c r="S239" s="50"/>
      <c r="T239" s="48"/>
      <c r="U239" s="82"/>
      <c r="V239" s="32"/>
      <c r="W239" s="200"/>
      <c r="X239" s="17"/>
    </row>
    <row r="240" spans="2:24" x14ac:dyDescent="0.25">
      <c r="B240" s="17">
        <v>238</v>
      </c>
      <c r="C240" s="10"/>
      <c r="D240" s="10"/>
      <c r="E240" s="72"/>
      <c r="F240" s="18"/>
      <c r="G240" s="10"/>
      <c r="H240" s="10"/>
      <c r="I240" s="10"/>
      <c r="J240" s="11"/>
      <c r="K240" s="11">
        <f t="shared" si="199"/>
        <v>0</v>
      </c>
      <c r="L240" s="37">
        <f t="shared" si="200"/>
        <v>0</v>
      </c>
      <c r="M240" s="11"/>
      <c r="N240" s="10"/>
      <c r="O240" s="21"/>
      <c r="P240" s="21"/>
      <c r="Q240" s="21"/>
      <c r="R240" s="23"/>
      <c r="S240" s="50"/>
      <c r="T240" s="48"/>
      <c r="U240" s="82"/>
      <c r="V240" s="26"/>
      <c r="W240" s="200"/>
      <c r="X240" s="17"/>
    </row>
    <row r="241" spans="2:24" x14ac:dyDescent="0.25">
      <c r="B241" s="17">
        <v>239</v>
      </c>
      <c r="C241" s="10"/>
      <c r="D241" s="10"/>
      <c r="E241" s="72"/>
      <c r="F241" s="18"/>
      <c r="G241" s="10"/>
      <c r="H241" s="10"/>
      <c r="I241" s="10"/>
      <c r="J241" s="11"/>
      <c r="K241" s="11">
        <f t="shared" si="199"/>
        <v>0</v>
      </c>
      <c r="L241" s="37">
        <f t="shared" si="200"/>
        <v>0</v>
      </c>
      <c r="M241" s="11"/>
      <c r="N241" s="10"/>
      <c r="O241" s="21"/>
      <c r="P241" s="21"/>
      <c r="Q241" s="21"/>
      <c r="R241" s="23"/>
      <c r="S241" s="50"/>
      <c r="T241" s="48"/>
      <c r="U241" s="82"/>
      <c r="V241" s="26"/>
      <c r="W241" s="200"/>
      <c r="X241" s="17"/>
    </row>
    <row r="242" spans="2:24" x14ac:dyDescent="0.25">
      <c r="B242" s="17">
        <v>240</v>
      </c>
      <c r="C242" s="10"/>
      <c r="D242" s="10"/>
      <c r="E242" s="72"/>
      <c r="F242" s="18"/>
      <c r="G242" s="10"/>
      <c r="H242" s="10"/>
      <c r="I242" s="10"/>
      <c r="J242" s="11"/>
      <c r="K242" s="11">
        <f t="shared" si="199"/>
        <v>0</v>
      </c>
      <c r="L242" s="37">
        <f t="shared" si="200"/>
        <v>0</v>
      </c>
      <c r="M242" s="11"/>
      <c r="N242" s="10"/>
      <c r="O242" s="21"/>
      <c r="P242" s="21"/>
      <c r="Q242" s="21"/>
      <c r="R242" s="23"/>
      <c r="S242" s="50"/>
      <c r="T242" s="48"/>
      <c r="U242" s="82"/>
      <c r="V242" s="26"/>
      <c r="W242" s="200"/>
      <c r="X242" s="17"/>
    </row>
    <row r="243" spans="2:24" x14ac:dyDescent="0.25">
      <c r="B243" s="17">
        <v>241</v>
      </c>
      <c r="C243" s="10"/>
      <c r="D243" s="10"/>
      <c r="E243" s="72"/>
      <c r="F243" s="18"/>
      <c r="G243" s="10"/>
      <c r="H243" s="10"/>
      <c r="I243" s="10"/>
      <c r="J243" s="11"/>
      <c r="K243" s="11">
        <f t="shared" si="199"/>
        <v>0</v>
      </c>
      <c r="L243" s="37">
        <f t="shared" si="200"/>
        <v>0</v>
      </c>
      <c r="M243" s="11"/>
      <c r="N243" s="10"/>
      <c r="O243" s="21"/>
      <c r="P243" s="21"/>
      <c r="Q243" s="21"/>
      <c r="R243" s="23"/>
      <c r="S243" s="50"/>
      <c r="T243" s="48"/>
      <c r="U243" s="82"/>
      <c r="V243" s="26"/>
      <c r="W243" s="200"/>
      <c r="X243" s="17"/>
    </row>
    <row r="244" spans="2:24" x14ac:dyDescent="0.25">
      <c r="B244" s="17">
        <v>242</v>
      </c>
      <c r="C244" s="10"/>
      <c r="D244" s="10"/>
      <c r="E244" s="72"/>
      <c r="F244" s="18"/>
      <c r="G244" s="10"/>
      <c r="H244" s="10"/>
      <c r="I244" s="10"/>
      <c r="J244" s="11"/>
      <c r="K244" s="11">
        <f t="shared" si="199"/>
        <v>0</v>
      </c>
      <c r="L244" s="37">
        <f t="shared" si="200"/>
        <v>0</v>
      </c>
      <c r="M244" s="11"/>
      <c r="N244" s="10"/>
      <c r="O244" s="21"/>
      <c r="P244" s="21"/>
      <c r="Q244" s="21"/>
      <c r="R244" s="23"/>
      <c r="S244" s="50"/>
      <c r="T244" s="48"/>
      <c r="U244" s="82"/>
      <c r="V244" s="26"/>
      <c r="W244" s="200"/>
      <c r="X244" s="17"/>
    </row>
    <row r="245" spans="2:24" x14ac:dyDescent="0.25">
      <c r="B245" s="17">
        <v>243</v>
      </c>
      <c r="C245" s="10"/>
      <c r="D245" s="10"/>
      <c r="E245" s="72"/>
      <c r="F245" s="18"/>
      <c r="G245" s="10"/>
      <c r="H245" s="10"/>
      <c r="I245" s="10"/>
      <c r="J245" s="11"/>
      <c r="K245" s="11">
        <f t="shared" si="199"/>
        <v>0</v>
      </c>
      <c r="L245" s="37">
        <f t="shared" si="200"/>
        <v>0</v>
      </c>
      <c r="M245" s="11"/>
      <c r="N245" s="10"/>
      <c r="O245" s="21"/>
      <c r="P245" s="21"/>
      <c r="Q245" s="21"/>
      <c r="R245" s="23"/>
      <c r="S245" s="50"/>
      <c r="T245" s="48"/>
      <c r="U245" s="82"/>
      <c r="V245" s="32"/>
      <c r="W245" s="200"/>
      <c r="X245" s="17"/>
    </row>
    <row r="246" spans="2:24" x14ac:dyDescent="0.25">
      <c r="B246" s="17">
        <v>244</v>
      </c>
      <c r="C246" s="10"/>
      <c r="D246" s="10"/>
      <c r="E246" s="72"/>
      <c r="F246" s="18"/>
      <c r="G246" s="10"/>
      <c r="H246" s="10"/>
      <c r="I246" s="10"/>
      <c r="J246" s="11"/>
      <c r="K246" s="11">
        <f t="shared" si="199"/>
        <v>0</v>
      </c>
      <c r="L246" s="37">
        <f t="shared" si="200"/>
        <v>0</v>
      </c>
      <c r="M246" s="11"/>
      <c r="N246" s="10"/>
      <c r="O246" s="21"/>
      <c r="P246" s="21"/>
      <c r="Q246" s="21"/>
      <c r="R246" s="23"/>
      <c r="S246" s="50"/>
      <c r="T246" s="48"/>
      <c r="U246" s="82"/>
      <c r="V246" s="32"/>
      <c r="W246" s="200"/>
      <c r="X246" s="17"/>
    </row>
    <row r="247" spans="2:24" x14ac:dyDescent="0.25">
      <c r="B247" s="17">
        <v>245</v>
      </c>
      <c r="C247" s="10"/>
      <c r="D247" s="10"/>
      <c r="E247" s="72"/>
      <c r="F247" s="18"/>
      <c r="G247" s="10"/>
      <c r="H247" s="10"/>
      <c r="I247" s="10"/>
      <c r="J247" s="11"/>
      <c r="K247" s="11">
        <f t="shared" si="199"/>
        <v>0</v>
      </c>
      <c r="L247" s="37">
        <f t="shared" si="200"/>
        <v>0</v>
      </c>
      <c r="M247" s="11"/>
      <c r="N247" s="10"/>
      <c r="O247" s="21"/>
      <c r="P247" s="21"/>
      <c r="Q247" s="21"/>
      <c r="R247" s="23"/>
      <c r="S247" s="50"/>
      <c r="T247" s="48"/>
      <c r="U247" s="82"/>
      <c r="V247" s="32"/>
      <c r="W247" s="200"/>
      <c r="X247" s="17"/>
    </row>
    <row r="248" spans="2:24" x14ac:dyDescent="0.25">
      <c r="B248" s="17">
        <v>246</v>
      </c>
      <c r="C248" s="10"/>
      <c r="D248" s="10"/>
      <c r="E248" s="72"/>
      <c r="F248" s="18"/>
      <c r="G248" s="10"/>
      <c r="H248" s="10"/>
      <c r="I248" s="10"/>
      <c r="J248" s="11"/>
      <c r="K248" s="11">
        <f t="shared" si="199"/>
        <v>0</v>
      </c>
      <c r="L248" s="37">
        <f t="shared" si="200"/>
        <v>0</v>
      </c>
      <c r="M248" s="11"/>
      <c r="N248" s="10"/>
      <c r="O248" s="21"/>
      <c r="P248" s="21"/>
      <c r="Q248" s="21"/>
      <c r="R248" s="23"/>
      <c r="S248" s="50"/>
      <c r="T248" s="48"/>
      <c r="U248" s="82"/>
      <c r="V248" s="32"/>
      <c r="W248" s="200"/>
      <c r="X248" s="17"/>
    </row>
    <row r="249" spans="2:24" x14ac:dyDescent="0.25">
      <c r="B249" s="17">
        <v>247</v>
      </c>
      <c r="C249" s="10"/>
      <c r="D249" s="10"/>
      <c r="E249" s="72"/>
      <c r="F249" s="18"/>
      <c r="G249" s="10"/>
      <c r="H249" s="10"/>
      <c r="I249" s="10"/>
      <c r="J249" s="11"/>
      <c r="K249" s="11">
        <f t="shared" si="199"/>
        <v>0</v>
      </c>
      <c r="L249" s="37">
        <f t="shared" si="200"/>
        <v>0</v>
      </c>
      <c r="M249" s="11"/>
      <c r="N249" s="10"/>
      <c r="O249" s="21"/>
      <c r="P249" s="21"/>
      <c r="Q249" s="21"/>
      <c r="R249" s="23"/>
      <c r="S249" s="50"/>
      <c r="T249" s="48"/>
      <c r="U249" s="82"/>
      <c r="V249" s="26"/>
      <c r="W249" s="200"/>
      <c r="X249" s="17"/>
    </row>
    <row r="250" spans="2:24" x14ac:dyDescent="0.25">
      <c r="B250" s="17">
        <v>248</v>
      </c>
      <c r="C250" s="10"/>
      <c r="D250" s="10"/>
      <c r="E250" s="72"/>
      <c r="F250" s="18"/>
      <c r="G250" s="10"/>
      <c r="H250" s="10"/>
      <c r="I250" s="10"/>
      <c r="J250" s="11"/>
      <c r="K250" s="11">
        <f t="shared" si="199"/>
        <v>0</v>
      </c>
      <c r="L250" s="37">
        <f t="shared" si="200"/>
        <v>0</v>
      </c>
      <c r="M250" s="11"/>
      <c r="N250" s="10"/>
      <c r="O250" s="21"/>
      <c r="P250" s="21"/>
      <c r="Q250" s="21"/>
      <c r="R250" s="23"/>
      <c r="S250" s="50"/>
      <c r="T250" s="48"/>
      <c r="U250" s="82"/>
      <c r="V250" s="26"/>
      <c r="W250" s="200"/>
      <c r="X250" s="17"/>
    </row>
    <row r="251" spans="2:24" x14ac:dyDescent="0.25">
      <c r="B251" s="17">
        <v>249</v>
      </c>
      <c r="C251" s="10"/>
      <c r="D251" s="10"/>
      <c r="E251" s="72"/>
      <c r="F251" s="18"/>
      <c r="G251" s="10"/>
      <c r="H251" s="10"/>
      <c r="I251" s="10"/>
      <c r="J251" s="11"/>
      <c r="K251" s="11">
        <f t="shared" si="199"/>
        <v>0</v>
      </c>
      <c r="L251" s="37">
        <f t="shared" si="200"/>
        <v>0</v>
      </c>
      <c r="M251" s="11"/>
      <c r="N251" s="10"/>
      <c r="O251" s="21"/>
      <c r="P251" s="21"/>
      <c r="Q251" s="21"/>
      <c r="R251" s="23"/>
      <c r="S251" s="50"/>
      <c r="T251" s="48"/>
      <c r="U251" s="82"/>
      <c r="V251" s="26"/>
      <c r="W251" s="200"/>
      <c r="X251" s="17"/>
    </row>
    <row r="252" spans="2:24" x14ac:dyDescent="0.25">
      <c r="B252" s="17">
        <v>250</v>
      </c>
      <c r="C252" s="10"/>
      <c r="D252" s="10"/>
      <c r="E252" s="72"/>
      <c r="F252" s="18"/>
      <c r="G252" s="10"/>
      <c r="H252" s="10"/>
      <c r="I252" s="10"/>
      <c r="J252" s="11"/>
      <c r="K252" s="11">
        <f t="shared" si="199"/>
        <v>0</v>
      </c>
      <c r="L252" s="37">
        <f t="shared" si="200"/>
        <v>0</v>
      </c>
      <c r="M252" s="11"/>
      <c r="N252" s="10"/>
      <c r="O252" s="21"/>
      <c r="P252" s="21"/>
      <c r="Q252" s="21"/>
      <c r="R252" s="23"/>
      <c r="S252" s="50"/>
      <c r="T252" s="48"/>
      <c r="U252" s="82"/>
      <c r="V252" s="26"/>
      <c r="W252" s="200"/>
      <c r="X252" s="17"/>
    </row>
    <row r="253" spans="2:24" x14ac:dyDescent="0.25">
      <c r="B253" s="17">
        <v>251</v>
      </c>
      <c r="C253" s="10"/>
      <c r="D253" s="10"/>
      <c r="E253" s="72"/>
      <c r="F253" s="18"/>
      <c r="G253" s="10"/>
      <c r="H253" s="10"/>
      <c r="I253" s="10"/>
      <c r="J253" s="11"/>
      <c r="K253" s="11">
        <f t="shared" si="199"/>
        <v>0</v>
      </c>
      <c r="L253" s="37">
        <f t="shared" si="200"/>
        <v>0</v>
      </c>
      <c r="M253" s="11"/>
      <c r="N253" s="10"/>
      <c r="O253" s="21"/>
      <c r="P253" s="21"/>
      <c r="Q253" s="21"/>
      <c r="R253" s="23"/>
      <c r="S253" s="50"/>
      <c r="T253" s="48"/>
      <c r="U253" s="82"/>
      <c r="V253" s="32"/>
      <c r="W253" s="200"/>
      <c r="X253" s="17"/>
    </row>
    <row r="254" spans="2:24" x14ac:dyDescent="0.25">
      <c r="B254" s="17">
        <v>252</v>
      </c>
      <c r="C254" s="10"/>
      <c r="D254" s="10"/>
      <c r="E254" s="72"/>
      <c r="F254" s="18"/>
      <c r="G254" s="10"/>
      <c r="H254" s="10"/>
      <c r="I254" s="10"/>
      <c r="J254" s="11"/>
      <c r="K254" s="11">
        <f t="shared" si="199"/>
        <v>0</v>
      </c>
      <c r="L254" s="37">
        <f t="shared" si="200"/>
        <v>0</v>
      </c>
      <c r="M254" s="11"/>
      <c r="N254" s="10"/>
      <c r="O254" s="21"/>
      <c r="P254" s="21"/>
      <c r="Q254" s="21"/>
      <c r="R254" s="23"/>
      <c r="S254" s="50"/>
      <c r="T254" s="48"/>
      <c r="U254" s="82"/>
      <c r="V254" s="32"/>
      <c r="W254" s="200"/>
      <c r="X254" s="17"/>
    </row>
    <row r="255" spans="2:24" x14ac:dyDescent="0.25">
      <c r="B255" s="17">
        <v>253</v>
      </c>
      <c r="C255" s="10"/>
      <c r="D255" s="10"/>
      <c r="E255" s="72"/>
      <c r="F255" s="18"/>
      <c r="G255" s="10"/>
      <c r="H255" s="10"/>
      <c r="I255" s="10"/>
      <c r="J255" s="11"/>
      <c r="K255" s="11">
        <f t="shared" si="199"/>
        <v>0</v>
      </c>
      <c r="L255" s="37">
        <f t="shared" si="200"/>
        <v>0</v>
      </c>
      <c r="M255" s="11"/>
      <c r="N255" s="10"/>
      <c r="O255" s="21"/>
      <c r="P255" s="21"/>
      <c r="Q255" s="21"/>
      <c r="R255" s="23"/>
      <c r="S255" s="50"/>
      <c r="T255" s="48"/>
      <c r="U255" s="82"/>
      <c r="V255" s="26"/>
      <c r="W255" s="200"/>
      <c r="X255" s="17"/>
    </row>
    <row r="256" spans="2:24" x14ac:dyDescent="0.25">
      <c r="B256" s="17">
        <v>254</v>
      </c>
      <c r="C256" s="10"/>
      <c r="D256" s="10"/>
      <c r="E256" s="72"/>
      <c r="F256" s="18"/>
      <c r="G256" s="10"/>
      <c r="H256" s="10"/>
      <c r="I256" s="10"/>
      <c r="J256" s="11"/>
      <c r="K256" s="11">
        <f t="shared" si="199"/>
        <v>0</v>
      </c>
      <c r="L256" s="37">
        <f t="shared" si="200"/>
        <v>0</v>
      </c>
      <c r="M256" s="11"/>
      <c r="N256" s="10"/>
      <c r="O256" s="21"/>
      <c r="P256" s="21"/>
      <c r="Q256" s="21"/>
      <c r="R256" s="23"/>
      <c r="S256" s="50"/>
      <c r="T256" s="48"/>
      <c r="U256" s="82"/>
      <c r="V256" s="26"/>
      <c r="W256" s="200"/>
      <c r="X256" s="17"/>
    </row>
    <row r="257" spans="2:24" x14ac:dyDescent="0.25">
      <c r="B257" s="17">
        <v>255</v>
      </c>
      <c r="C257" s="10"/>
      <c r="D257" s="10"/>
      <c r="E257" s="72"/>
      <c r="F257" s="18"/>
      <c r="G257" s="10"/>
      <c r="H257" s="10"/>
      <c r="I257" s="10"/>
      <c r="J257" s="11"/>
      <c r="K257" s="11">
        <f t="shared" si="199"/>
        <v>0</v>
      </c>
      <c r="L257" s="37">
        <f t="shared" si="200"/>
        <v>0</v>
      </c>
      <c r="M257" s="11"/>
      <c r="N257" s="10"/>
      <c r="O257" s="21"/>
      <c r="P257" s="21"/>
      <c r="Q257" s="21"/>
      <c r="R257" s="23"/>
      <c r="S257" s="50"/>
      <c r="T257" s="48"/>
      <c r="U257" s="82"/>
      <c r="V257" s="26"/>
      <c r="W257" s="200"/>
      <c r="X257" s="17"/>
    </row>
    <row r="258" spans="2:24" x14ac:dyDescent="0.25">
      <c r="B258" s="17">
        <v>256</v>
      </c>
      <c r="C258" s="10"/>
      <c r="D258" s="10"/>
      <c r="E258" s="72"/>
      <c r="F258" s="18"/>
      <c r="G258" s="10"/>
      <c r="H258" s="10"/>
      <c r="I258" s="10"/>
      <c r="J258" s="11"/>
      <c r="K258" s="11">
        <f t="shared" si="199"/>
        <v>0</v>
      </c>
      <c r="L258" s="37">
        <f t="shared" si="200"/>
        <v>0</v>
      </c>
      <c r="M258" s="11"/>
      <c r="N258" s="10"/>
      <c r="O258" s="21"/>
      <c r="P258" s="21"/>
      <c r="Q258" s="21"/>
      <c r="R258" s="23"/>
      <c r="S258" s="50"/>
      <c r="T258" s="48"/>
      <c r="U258" s="82"/>
      <c r="V258" s="26"/>
      <c r="W258" s="200"/>
      <c r="X258" s="17"/>
    </row>
    <row r="259" spans="2:24" x14ac:dyDescent="0.25">
      <c r="B259" s="17">
        <v>257</v>
      </c>
      <c r="C259" s="10"/>
      <c r="D259" s="10"/>
      <c r="E259" s="72"/>
      <c r="F259" s="18"/>
      <c r="G259" s="10"/>
      <c r="H259" s="10"/>
      <c r="I259" s="10"/>
      <c r="J259" s="11"/>
      <c r="K259" s="11">
        <f t="shared" si="199"/>
        <v>0</v>
      </c>
      <c r="L259" s="37">
        <f t="shared" si="200"/>
        <v>0</v>
      </c>
      <c r="M259" s="11"/>
      <c r="N259" s="10"/>
      <c r="O259" s="21"/>
      <c r="P259" s="21"/>
      <c r="Q259" s="21"/>
      <c r="R259" s="23"/>
      <c r="S259" s="50"/>
      <c r="T259" s="48"/>
      <c r="U259" s="82"/>
      <c r="V259" s="26"/>
      <c r="W259" s="200"/>
      <c r="X259" s="17"/>
    </row>
    <row r="260" spans="2:24" x14ac:dyDescent="0.25">
      <c r="B260" s="17">
        <v>258</v>
      </c>
      <c r="C260" s="10"/>
      <c r="D260" s="10"/>
      <c r="E260" s="72"/>
      <c r="F260" s="18"/>
      <c r="G260" s="10"/>
      <c r="H260" s="10"/>
      <c r="I260" s="10"/>
      <c r="J260" s="11"/>
      <c r="K260" s="11">
        <f t="shared" ref="K260:K284" si="201">J260*1.1</f>
        <v>0</v>
      </c>
      <c r="L260" s="37">
        <f t="shared" ref="L260:L284" si="202">J260*0.00000001</f>
        <v>0</v>
      </c>
      <c r="M260" s="11"/>
      <c r="N260" s="10"/>
      <c r="O260" s="21"/>
      <c r="P260" s="21"/>
      <c r="Q260" s="21"/>
      <c r="R260" s="23"/>
      <c r="S260" s="50"/>
      <c r="T260" s="48"/>
      <c r="U260" s="82"/>
      <c r="V260" s="32"/>
      <c r="W260" s="200"/>
      <c r="X260" s="17"/>
    </row>
    <row r="261" spans="2:24" x14ac:dyDescent="0.25">
      <c r="B261" s="17">
        <v>259</v>
      </c>
      <c r="C261" s="10"/>
      <c r="D261" s="10"/>
      <c r="E261" s="72"/>
      <c r="F261" s="18"/>
      <c r="G261" s="10"/>
      <c r="H261" s="10"/>
      <c r="I261" s="10"/>
      <c r="J261" s="11"/>
      <c r="K261" s="11">
        <f t="shared" si="201"/>
        <v>0</v>
      </c>
      <c r="L261" s="37">
        <f t="shared" si="202"/>
        <v>0</v>
      </c>
      <c r="M261" s="11"/>
      <c r="N261" s="10"/>
      <c r="O261" s="21"/>
      <c r="P261" s="21"/>
      <c r="Q261" s="21"/>
      <c r="R261" s="23"/>
      <c r="S261" s="50"/>
      <c r="T261" s="48"/>
      <c r="U261" s="82"/>
      <c r="V261" s="32"/>
      <c r="W261" s="200"/>
      <c r="X261" s="17"/>
    </row>
    <row r="262" spans="2:24" x14ac:dyDescent="0.25">
      <c r="B262" s="17">
        <v>260</v>
      </c>
      <c r="C262" s="10"/>
      <c r="D262" s="10"/>
      <c r="E262" s="72"/>
      <c r="F262" s="18"/>
      <c r="G262" s="10"/>
      <c r="H262" s="10"/>
      <c r="I262" s="10"/>
      <c r="J262" s="11"/>
      <c r="K262" s="11">
        <f t="shared" si="201"/>
        <v>0</v>
      </c>
      <c r="L262" s="37">
        <f t="shared" si="202"/>
        <v>0</v>
      </c>
      <c r="M262" s="11"/>
      <c r="N262" s="10"/>
      <c r="O262" s="21"/>
      <c r="P262" s="21"/>
      <c r="Q262" s="21"/>
      <c r="R262" s="23"/>
      <c r="S262" s="50"/>
      <c r="T262" s="48"/>
      <c r="U262" s="82"/>
      <c r="V262" s="26"/>
      <c r="W262" s="200"/>
      <c r="X262" s="17"/>
    </row>
    <row r="263" spans="2:24" x14ac:dyDescent="0.25">
      <c r="B263" s="17">
        <v>261</v>
      </c>
      <c r="C263" s="10"/>
      <c r="D263" s="10"/>
      <c r="E263" s="72"/>
      <c r="F263" s="18"/>
      <c r="G263" s="10"/>
      <c r="H263" s="10"/>
      <c r="I263" s="10"/>
      <c r="J263" s="11"/>
      <c r="K263" s="11">
        <f t="shared" si="201"/>
        <v>0</v>
      </c>
      <c r="L263" s="37">
        <f t="shared" si="202"/>
        <v>0</v>
      </c>
      <c r="M263" s="11"/>
      <c r="N263" s="10"/>
      <c r="O263" s="21"/>
      <c r="P263" s="21"/>
      <c r="Q263" s="21"/>
      <c r="R263" s="23"/>
      <c r="S263" s="50"/>
      <c r="T263" s="48"/>
      <c r="U263" s="82"/>
      <c r="V263" s="26"/>
      <c r="W263" s="200"/>
      <c r="X263" s="17"/>
    </row>
    <row r="264" spans="2:24" x14ac:dyDescent="0.25">
      <c r="B264" s="17">
        <v>262</v>
      </c>
      <c r="C264" s="10"/>
      <c r="D264" s="10"/>
      <c r="E264" s="72"/>
      <c r="F264" s="18"/>
      <c r="G264" s="10"/>
      <c r="H264" s="10"/>
      <c r="I264" s="10"/>
      <c r="J264" s="11"/>
      <c r="K264" s="11">
        <f t="shared" si="201"/>
        <v>0</v>
      </c>
      <c r="L264" s="37">
        <f t="shared" si="202"/>
        <v>0</v>
      </c>
      <c r="M264" s="11"/>
      <c r="N264" s="10"/>
      <c r="O264" s="21"/>
      <c r="P264" s="21"/>
      <c r="Q264" s="21"/>
      <c r="R264" s="23"/>
      <c r="S264" s="50"/>
      <c r="T264" s="48"/>
      <c r="U264" s="82"/>
      <c r="V264" s="26"/>
      <c r="W264" s="200"/>
      <c r="X264" s="17"/>
    </row>
    <row r="265" spans="2:24" x14ac:dyDescent="0.25">
      <c r="B265" s="17">
        <v>263</v>
      </c>
      <c r="C265" s="10"/>
      <c r="D265" s="10"/>
      <c r="E265" s="72"/>
      <c r="F265" s="18"/>
      <c r="G265" s="10"/>
      <c r="H265" s="10"/>
      <c r="I265" s="10"/>
      <c r="J265" s="11"/>
      <c r="K265" s="11">
        <f t="shared" si="201"/>
        <v>0</v>
      </c>
      <c r="L265" s="37">
        <f t="shared" si="202"/>
        <v>0</v>
      </c>
      <c r="M265" s="11"/>
      <c r="N265" s="10"/>
      <c r="O265" s="21"/>
      <c r="P265" s="21"/>
      <c r="Q265" s="21"/>
      <c r="R265" s="23"/>
      <c r="S265" s="50"/>
      <c r="T265" s="48"/>
      <c r="U265" s="82"/>
      <c r="V265" s="26"/>
      <c r="W265" s="200"/>
      <c r="X265" s="17"/>
    </row>
    <row r="266" spans="2:24" x14ac:dyDescent="0.25">
      <c r="B266" s="17">
        <v>264</v>
      </c>
      <c r="C266" s="10"/>
      <c r="D266" s="10"/>
      <c r="E266" s="72"/>
      <c r="F266" s="18"/>
      <c r="G266" s="10"/>
      <c r="H266" s="10"/>
      <c r="I266" s="10"/>
      <c r="J266" s="11"/>
      <c r="K266" s="11">
        <f t="shared" si="201"/>
        <v>0</v>
      </c>
      <c r="L266" s="37">
        <f t="shared" si="202"/>
        <v>0</v>
      </c>
      <c r="M266" s="11"/>
      <c r="N266" s="10"/>
      <c r="O266" s="21"/>
      <c r="P266" s="21"/>
      <c r="Q266" s="21"/>
      <c r="R266" s="23"/>
      <c r="S266" s="50"/>
      <c r="T266" s="48"/>
      <c r="U266" s="82"/>
      <c r="V266" s="26"/>
      <c r="W266" s="200"/>
      <c r="X266" s="17"/>
    </row>
    <row r="267" spans="2:24" x14ac:dyDescent="0.25">
      <c r="B267" s="17">
        <v>265</v>
      </c>
      <c r="C267" s="10"/>
      <c r="D267" s="10"/>
      <c r="E267" s="72"/>
      <c r="F267" s="18"/>
      <c r="G267" s="10"/>
      <c r="H267" s="10"/>
      <c r="I267" s="10"/>
      <c r="J267" s="11"/>
      <c r="K267" s="11">
        <f t="shared" si="201"/>
        <v>0</v>
      </c>
      <c r="L267" s="37">
        <f t="shared" si="202"/>
        <v>0</v>
      </c>
      <c r="M267" s="11"/>
      <c r="N267" s="10"/>
      <c r="O267" s="21"/>
      <c r="P267" s="21"/>
      <c r="Q267" s="21"/>
      <c r="R267" s="23"/>
      <c r="S267" s="50"/>
      <c r="T267" s="48"/>
      <c r="U267" s="82"/>
      <c r="V267" s="32"/>
      <c r="W267" s="200"/>
      <c r="X267" s="17"/>
    </row>
    <row r="268" spans="2:24" x14ac:dyDescent="0.25">
      <c r="B268" s="17">
        <v>266</v>
      </c>
      <c r="C268" s="10"/>
      <c r="D268" s="10"/>
      <c r="E268" s="72"/>
      <c r="F268" s="18"/>
      <c r="G268" s="10"/>
      <c r="H268" s="10"/>
      <c r="I268" s="10"/>
      <c r="J268" s="11"/>
      <c r="K268" s="11">
        <f t="shared" si="201"/>
        <v>0</v>
      </c>
      <c r="L268" s="37">
        <f t="shared" si="202"/>
        <v>0</v>
      </c>
      <c r="M268" s="11"/>
      <c r="N268" s="10"/>
      <c r="O268" s="21"/>
      <c r="P268" s="21"/>
      <c r="Q268" s="21"/>
      <c r="R268" s="23"/>
      <c r="S268" s="50"/>
      <c r="T268" s="48"/>
      <c r="U268" s="82"/>
      <c r="V268" s="32"/>
      <c r="W268" s="200"/>
      <c r="X268" s="17"/>
    </row>
    <row r="269" spans="2:24" x14ac:dyDescent="0.25">
      <c r="B269" s="17">
        <v>267</v>
      </c>
      <c r="C269" s="10"/>
      <c r="D269" s="10"/>
      <c r="E269" s="72"/>
      <c r="F269" s="18"/>
      <c r="G269" s="10"/>
      <c r="H269" s="10"/>
      <c r="I269" s="10"/>
      <c r="J269" s="11"/>
      <c r="K269" s="11">
        <f t="shared" si="201"/>
        <v>0</v>
      </c>
      <c r="L269" s="37">
        <f t="shared" si="202"/>
        <v>0</v>
      </c>
      <c r="M269" s="11"/>
      <c r="N269" s="10"/>
      <c r="O269" s="21"/>
      <c r="P269" s="21"/>
      <c r="Q269" s="21"/>
      <c r="R269" s="23"/>
      <c r="S269" s="50"/>
      <c r="T269" s="48"/>
      <c r="U269" s="82"/>
      <c r="V269" s="32"/>
      <c r="W269" s="200"/>
      <c r="X269" s="17"/>
    </row>
    <row r="270" spans="2:24" x14ac:dyDescent="0.25">
      <c r="B270" s="17">
        <v>268</v>
      </c>
      <c r="C270" s="10"/>
      <c r="D270" s="10"/>
      <c r="E270" s="72"/>
      <c r="F270" s="18"/>
      <c r="G270" s="10"/>
      <c r="H270" s="10"/>
      <c r="I270" s="10"/>
      <c r="J270" s="11"/>
      <c r="K270" s="11">
        <f t="shared" si="201"/>
        <v>0</v>
      </c>
      <c r="L270" s="37">
        <f t="shared" si="202"/>
        <v>0</v>
      </c>
      <c r="M270" s="11"/>
      <c r="N270" s="10"/>
      <c r="O270" s="21"/>
      <c r="P270" s="21"/>
      <c r="Q270" s="21"/>
      <c r="R270" s="23"/>
      <c r="S270" s="50"/>
      <c r="T270" s="48"/>
      <c r="U270" s="82"/>
      <c r="V270" s="32"/>
      <c r="W270" s="200"/>
      <c r="X270" s="17"/>
    </row>
    <row r="271" spans="2:24" x14ac:dyDescent="0.25">
      <c r="B271" s="17">
        <v>269</v>
      </c>
      <c r="C271" s="10"/>
      <c r="D271" s="10"/>
      <c r="E271" s="72"/>
      <c r="F271" s="18"/>
      <c r="G271" s="10"/>
      <c r="H271" s="10"/>
      <c r="I271" s="10"/>
      <c r="J271" s="11"/>
      <c r="K271" s="11">
        <f t="shared" si="201"/>
        <v>0</v>
      </c>
      <c r="L271" s="37">
        <f t="shared" si="202"/>
        <v>0</v>
      </c>
      <c r="M271" s="11"/>
      <c r="N271" s="10"/>
      <c r="O271" s="21"/>
      <c r="P271" s="21"/>
      <c r="Q271" s="21"/>
      <c r="R271" s="23"/>
      <c r="S271" s="50"/>
      <c r="T271" s="48"/>
      <c r="U271" s="82"/>
      <c r="V271" s="26"/>
      <c r="W271" s="200"/>
      <c r="X271" s="17"/>
    </row>
    <row r="272" spans="2:24" x14ac:dyDescent="0.25">
      <c r="B272" s="17">
        <v>270</v>
      </c>
      <c r="C272" s="10"/>
      <c r="D272" s="10"/>
      <c r="E272" s="72"/>
      <c r="F272" s="18"/>
      <c r="G272" s="10"/>
      <c r="H272" s="10"/>
      <c r="I272" s="10"/>
      <c r="J272" s="11"/>
      <c r="K272" s="11">
        <f t="shared" si="201"/>
        <v>0</v>
      </c>
      <c r="L272" s="37">
        <f t="shared" si="202"/>
        <v>0</v>
      </c>
      <c r="M272" s="11"/>
      <c r="N272" s="10"/>
      <c r="O272" s="21"/>
      <c r="P272" s="21"/>
      <c r="Q272" s="21"/>
      <c r="R272" s="23"/>
      <c r="S272" s="50"/>
      <c r="T272" s="48"/>
      <c r="U272" s="82"/>
      <c r="V272" s="26"/>
      <c r="W272" s="200"/>
      <c r="X272" s="17"/>
    </row>
    <row r="273" spans="2:24" x14ac:dyDescent="0.25">
      <c r="B273" s="17">
        <v>271</v>
      </c>
      <c r="C273" s="10"/>
      <c r="D273" s="10"/>
      <c r="E273" s="72"/>
      <c r="F273" s="18"/>
      <c r="G273" s="10"/>
      <c r="H273" s="10"/>
      <c r="I273" s="10"/>
      <c r="J273" s="11"/>
      <c r="K273" s="11">
        <f t="shared" si="201"/>
        <v>0</v>
      </c>
      <c r="L273" s="37">
        <f t="shared" si="202"/>
        <v>0</v>
      </c>
      <c r="M273" s="11"/>
      <c r="N273" s="10"/>
      <c r="O273" s="21"/>
      <c r="P273" s="21"/>
      <c r="Q273" s="21"/>
      <c r="R273" s="23"/>
      <c r="S273" s="50"/>
      <c r="T273" s="48"/>
      <c r="U273" s="82"/>
      <c r="V273" s="26"/>
      <c r="W273" s="200"/>
      <c r="X273" s="17"/>
    </row>
    <row r="274" spans="2:24" x14ac:dyDescent="0.25">
      <c r="B274" s="17">
        <v>272</v>
      </c>
      <c r="C274" s="10"/>
      <c r="D274" s="10"/>
      <c r="E274" s="72"/>
      <c r="F274" s="18"/>
      <c r="G274" s="10"/>
      <c r="H274" s="10"/>
      <c r="I274" s="10"/>
      <c r="J274" s="11"/>
      <c r="K274" s="11">
        <f t="shared" si="201"/>
        <v>0</v>
      </c>
      <c r="L274" s="37">
        <f t="shared" si="202"/>
        <v>0</v>
      </c>
      <c r="M274" s="11"/>
      <c r="N274" s="10"/>
      <c r="O274" s="21"/>
      <c r="P274" s="21"/>
      <c r="Q274" s="21"/>
      <c r="R274" s="23"/>
      <c r="S274" s="50"/>
      <c r="T274" s="48"/>
      <c r="U274" s="82"/>
      <c r="V274" s="26"/>
      <c r="W274" s="200"/>
      <c r="X274" s="17"/>
    </row>
    <row r="275" spans="2:24" x14ac:dyDescent="0.25">
      <c r="B275" s="17">
        <v>273</v>
      </c>
      <c r="C275" s="10"/>
      <c r="D275" s="10"/>
      <c r="E275" s="72"/>
      <c r="F275" s="18"/>
      <c r="G275" s="10"/>
      <c r="H275" s="10"/>
      <c r="I275" s="10"/>
      <c r="J275" s="11"/>
      <c r="K275" s="11">
        <f t="shared" si="201"/>
        <v>0</v>
      </c>
      <c r="L275" s="37">
        <f t="shared" si="202"/>
        <v>0</v>
      </c>
      <c r="M275" s="11"/>
      <c r="N275" s="10"/>
      <c r="O275" s="21"/>
      <c r="P275" s="21"/>
      <c r="Q275" s="21"/>
      <c r="R275" s="23"/>
      <c r="S275" s="50"/>
      <c r="T275" s="48"/>
      <c r="U275" s="82"/>
      <c r="V275" s="26"/>
      <c r="W275" s="200"/>
      <c r="X275" s="17"/>
    </row>
    <row r="276" spans="2:24" x14ac:dyDescent="0.25">
      <c r="B276" s="17">
        <v>274</v>
      </c>
      <c r="C276" s="10"/>
      <c r="D276" s="10"/>
      <c r="E276" s="72"/>
      <c r="F276" s="18"/>
      <c r="G276" s="10"/>
      <c r="H276" s="10"/>
      <c r="I276" s="10"/>
      <c r="J276" s="11"/>
      <c r="K276" s="11">
        <f t="shared" si="201"/>
        <v>0</v>
      </c>
      <c r="L276" s="37">
        <f t="shared" si="202"/>
        <v>0</v>
      </c>
      <c r="M276" s="11"/>
      <c r="N276" s="10"/>
      <c r="O276" s="21"/>
      <c r="P276" s="21"/>
      <c r="Q276" s="21"/>
      <c r="R276" s="23"/>
      <c r="S276" s="50"/>
      <c r="T276" s="48"/>
      <c r="U276" s="82"/>
      <c r="V276" s="32"/>
      <c r="W276" s="200"/>
      <c r="X276" s="17"/>
    </row>
    <row r="277" spans="2:24" x14ac:dyDescent="0.25">
      <c r="B277" s="17">
        <v>275</v>
      </c>
      <c r="C277" s="10"/>
      <c r="D277" s="10"/>
      <c r="E277" s="72"/>
      <c r="F277" s="18"/>
      <c r="G277" s="10"/>
      <c r="H277" s="10"/>
      <c r="I277" s="10"/>
      <c r="J277" s="11"/>
      <c r="K277" s="11">
        <f t="shared" si="201"/>
        <v>0</v>
      </c>
      <c r="L277" s="37">
        <f t="shared" si="202"/>
        <v>0</v>
      </c>
      <c r="M277" s="11"/>
      <c r="N277" s="10"/>
      <c r="O277" s="21"/>
      <c r="P277" s="21"/>
      <c r="Q277" s="21"/>
      <c r="R277" s="23"/>
      <c r="S277" s="50"/>
      <c r="T277" s="48"/>
      <c r="U277" s="82"/>
      <c r="V277" s="32"/>
      <c r="W277" s="200"/>
      <c r="X277" s="17"/>
    </row>
    <row r="278" spans="2:24" x14ac:dyDescent="0.25">
      <c r="B278" s="17">
        <v>276</v>
      </c>
      <c r="C278" s="10"/>
      <c r="D278" s="10"/>
      <c r="E278" s="72"/>
      <c r="F278" s="18"/>
      <c r="G278" s="10"/>
      <c r="H278" s="10"/>
      <c r="I278" s="10"/>
      <c r="J278" s="11"/>
      <c r="K278" s="11">
        <f t="shared" si="201"/>
        <v>0</v>
      </c>
      <c r="L278" s="37">
        <f t="shared" si="202"/>
        <v>0</v>
      </c>
      <c r="M278" s="11"/>
      <c r="N278" s="10"/>
      <c r="O278" s="21"/>
      <c r="P278" s="21"/>
      <c r="Q278" s="21"/>
      <c r="R278" s="23"/>
      <c r="S278" s="50"/>
      <c r="T278" s="48"/>
      <c r="U278" s="82"/>
      <c r="V278" s="26"/>
      <c r="W278" s="200"/>
      <c r="X278" s="17"/>
    </row>
    <row r="279" spans="2:24" x14ac:dyDescent="0.25">
      <c r="B279" s="17">
        <v>277</v>
      </c>
      <c r="C279" s="10"/>
      <c r="D279" s="10"/>
      <c r="E279" s="72"/>
      <c r="F279" s="18"/>
      <c r="G279" s="10"/>
      <c r="H279" s="10"/>
      <c r="I279" s="10"/>
      <c r="J279" s="11"/>
      <c r="K279" s="11">
        <f t="shared" si="201"/>
        <v>0</v>
      </c>
      <c r="L279" s="37">
        <f t="shared" si="202"/>
        <v>0</v>
      </c>
      <c r="M279" s="11"/>
      <c r="N279" s="10"/>
      <c r="O279" s="21"/>
      <c r="P279" s="21"/>
      <c r="Q279" s="21"/>
      <c r="R279" s="23"/>
      <c r="S279" s="50"/>
      <c r="T279" s="48"/>
      <c r="U279" s="82"/>
      <c r="V279" s="26"/>
      <c r="W279" s="200"/>
      <c r="X279" s="17"/>
    </row>
    <row r="280" spans="2:24" x14ac:dyDescent="0.25">
      <c r="B280" s="17">
        <v>278</v>
      </c>
      <c r="C280" s="10"/>
      <c r="D280" s="10"/>
      <c r="E280" s="72"/>
      <c r="F280" s="18"/>
      <c r="G280" s="10"/>
      <c r="H280" s="10"/>
      <c r="I280" s="10"/>
      <c r="J280" s="11"/>
      <c r="K280" s="11">
        <f t="shared" si="201"/>
        <v>0</v>
      </c>
      <c r="L280" s="37">
        <f t="shared" si="202"/>
        <v>0</v>
      </c>
      <c r="M280" s="11"/>
      <c r="N280" s="10"/>
      <c r="O280" s="21"/>
      <c r="P280" s="21"/>
      <c r="Q280" s="21"/>
      <c r="R280" s="23"/>
      <c r="S280" s="50"/>
      <c r="T280" s="48"/>
      <c r="U280" s="82"/>
      <c r="V280" s="26"/>
      <c r="W280" s="200"/>
      <c r="X280" s="17"/>
    </row>
    <row r="281" spans="2:24" x14ac:dyDescent="0.25">
      <c r="B281" s="17">
        <v>279</v>
      </c>
      <c r="C281" s="10"/>
      <c r="D281" s="10"/>
      <c r="E281" s="72"/>
      <c r="F281" s="18"/>
      <c r="G281" s="10"/>
      <c r="H281" s="10"/>
      <c r="I281" s="10"/>
      <c r="J281" s="11"/>
      <c r="K281" s="11">
        <f t="shared" si="201"/>
        <v>0</v>
      </c>
      <c r="L281" s="37">
        <f t="shared" si="202"/>
        <v>0</v>
      </c>
      <c r="M281" s="11"/>
      <c r="N281" s="10"/>
      <c r="O281" s="21"/>
      <c r="P281" s="21"/>
      <c r="Q281" s="21"/>
      <c r="R281" s="23"/>
      <c r="S281" s="50"/>
      <c r="T281" s="48"/>
      <c r="U281" s="82"/>
      <c r="V281" s="26"/>
      <c r="W281" s="200"/>
      <c r="X281" s="17"/>
    </row>
    <row r="282" spans="2:24" x14ac:dyDescent="0.25">
      <c r="B282" s="17">
        <v>280</v>
      </c>
      <c r="C282" s="10"/>
      <c r="D282" s="10"/>
      <c r="E282" s="72"/>
      <c r="F282" s="18"/>
      <c r="G282" s="10"/>
      <c r="H282" s="10"/>
      <c r="I282" s="10"/>
      <c r="J282" s="11"/>
      <c r="K282" s="11">
        <f t="shared" si="201"/>
        <v>0</v>
      </c>
      <c r="L282" s="37">
        <f t="shared" si="202"/>
        <v>0</v>
      </c>
      <c r="M282" s="11"/>
      <c r="N282" s="10"/>
      <c r="O282" s="21"/>
      <c r="P282" s="21"/>
      <c r="Q282" s="21"/>
      <c r="R282" s="23"/>
      <c r="S282" s="50"/>
      <c r="T282" s="48"/>
      <c r="U282" s="82"/>
      <c r="V282" s="26"/>
      <c r="W282" s="200"/>
      <c r="X282" s="17"/>
    </row>
    <row r="283" spans="2:24" x14ac:dyDescent="0.25">
      <c r="B283" s="17">
        <v>281</v>
      </c>
      <c r="C283" s="10"/>
      <c r="D283" s="10"/>
      <c r="E283" s="72"/>
      <c r="F283" s="18"/>
      <c r="G283" s="10"/>
      <c r="H283" s="10"/>
      <c r="I283" s="10"/>
      <c r="J283" s="11"/>
      <c r="K283" s="11">
        <f t="shared" si="201"/>
        <v>0</v>
      </c>
      <c r="L283" s="37">
        <f t="shared" si="202"/>
        <v>0</v>
      </c>
      <c r="M283" s="11"/>
      <c r="N283" s="10"/>
      <c r="O283" s="21"/>
      <c r="P283" s="21"/>
      <c r="Q283" s="21"/>
      <c r="R283" s="23"/>
      <c r="S283" s="50"/>
      <c r="T283" s="48"/>
      <c r="U283" s="82"/>
      <c r="V283" s="32"/>
      <c r="W283" s="200"/>
      <c r="X283" s="17"/>
    </row>
    <row r="284" spans="2:24" x14ac:dyDescent="0.25">
      <c r="B284" s="17">
        <v>282</v>
      </c>
      <c r="C284" s="10"/>
      <c r="D284" s="10"/>
      <c r="E284" s="72"/>
      <c r="F284" s="18"/>
      <c r="G284" s="10"/>
      <c r="H284" s="10"/>
      <c r="I284" s="10"/>
      <c r="J284" s="11"/>
      <c r="K284" s="11">
        <f t="shared" si="201"/>
        <v>0</v>
      </c>
      <c r="L284" s="37">
        <f t="shared" si="202"/>
        <v>0</v>
      </c>
      <c r="M284" s="11"/>
      <c r="N284" s="10"/>
      <c r="O284" s="21"/>
      <c r="P284" s="21"/>
      <c r="Q284" s="21"/>
      <c r="R284" s="23"/>
      <c r="S284" s="50"/>
      <c r="T284" s="48"/>
      <c r="U284" s="82"/>
      <c r="V284" s="32"/>
      <c r="W284" s="200"/>
      <c r="X284" s="17"/>
    </row>
    <row r="285" spans="2:24" x14ac:dyDescent="0.25">
      <c r="B285" s="17">
        <v>283</v>
      </c>
      <c r="C285" s="10"/>
      <c r="D285" s="10"/>
      <c r="E285" s="72"/>
      <c r="F285" s="18"/>
      <c r="G285" s="10"/>
      <c r="H285" s="10"/>
      <c r="I285" s="10"/>
      <c r="J285" s="11"/>
      <c r="K285" s="11">
        <f t="shared" ref="K285:K302" si="203">J285*1.1</f>
        <v>0</v>
      </c>
      <c r="L285" s="37">
        <f t="shared" ref="L285:L302" si="204">J285*0.00000001</f>
        <v>0</v>
      </c>
      <c r="M285" s="11"/>
      <c r="N285" s="10"/>
      <c r="O285" s="21"/>
      <c r="P285" s="21"/>
      <c r="R285" s="23"/>
      <c r="S285" s="50"/>
      <c r="T285" s="48"/>
      <c r="U285" s="82"/>
      <c r="V285" s="32"/>
      <c r="W285" s="200"/>
      <c r="X285" s="17"/>
    </row>
    <row r="286" spans="2:24" x14ac:dyDescent="0.25">
      <c r="B286" s="17">
        <v>284</v>
      </c>
      <c r="C286" s="10"/>
      <c r="D286" s="10"/>
      <c r="K286" s="11">
        <f t="shared" si="203"/>
        <v>0</v>
      </c>
      <c r="L286" s="37">
        <f t="shared" si="204"/>
        <v>0</v>
      </c>
      <c r="T286" s="56"/>
      <c r="U286" s="82"/>
      <c r="V286" s="84"/>
      <c r="W286" s="200"/>
      <c r="X286" s="17"/>
    </row>
    <row r="287" spans="2:24" x14ac:dyDescent="0.25">
      <c r="B287" s="17">
        <v>285</v>
      </c>
      <c r="C287" s="10"/>
      <c r="D287" s="10"/>
      <c r="K287" s="11">
        <f t="shared" si="203"/>
        <v>0</v>
      </c>
      <c r="L287" s="37">
        <f t="shared" si="204"/>
        <v>0</v>
      </c>
      <c r="T287" s="56"/>
      <c r="U287" s="82"/>
      <c r="V287" s="84"/>
      <c r="W287" s="200"/>
      <c r="X287" s="17"/>
    </row>
    <row r="288" spans="2:24" x14ac:dyDescent="0.25">
      <c r="B288" s="17">
        <v>286</v>
      </c>
      <c r="C288" s="10"/>
      <c r="D288" s="10"/>
      <c r="K288" s="11">
        <f t="shared" si="203"/>
        <v>0</v>
      </c>
      <c r="L288" s="37">
        <f t="shared" si="204"/>
        <v>0</v>
      </c>
      <c r="T288" s="56"/>
      <c r="U288" s="82"/>
      <c r="V288" s="84"/>
      <c r="W288" s="200"/>
      <c r="X288" s="17"/>
    </row>
    <row r="289" spans="2:24" x14ac:dyDescent="0.25">
      <c r="B289" s="17">
        <v>287</v>
      </c>
      <c r="C289" s="10"/>
      <c r="D289" s="10"/>
      <c r="K289" s="11">
        <f t="shared" si="203"/>
        <v>0</v>
      </c>
      <c r="L289" s="37">
        <f t="shared" si="204"/>
        <v>0</v>
      </c>
      <c r="T289" s="56"/>
      <c r="U289" s="82"/>
      <c r="V289" s="84"/>
      <c r="W289" s="200"/>
      <c r="X289" s="17"/>
    </row>
    <row r="290" spans="2:24" x14ac:dyDescent="0.25">
      <c r="B290" s="17">
        <v>288</v>
      </c>
      <c r="C290" s="10"/>
      <c r="D290" s="10"/>
      <c r="K290" s="11">
        <f t="shared" si="203"/>
        <v>0</v>
      </c>
      <c r="L290" s="37">
        <f t="shared" si="204"/>
        <v>0</v>
      </c>
      <c r="T290" s="56"/>
      <c r="U290" s="82"/>
      <c r="V290" s="84"/>
      <c r="W290" s="200"/>
      <c r="X290" s="17"/>
    </row>
    <row r="291" spans="2:24" x14ac:dyDescent="0.25">
      <c r="B291" s="17">
        <v>289</v>
      </c>
      <c r="C291" s="10"/>
      <c r="D291" s="10"/>
      <c r="K291" s="11">
        <f t="shared" si="203"/>
        <v>0</v>
      </c>
      <c r="L291" s="37">
        <f t="shared" si="204"/>
        <v>0</v>
      </c>
      <c r="T291" s="56"/>
      <c r="U291" s="82"/>
      <c r="V291" s="84"/>
      <c r="W291" s="200"/>
      <c r="X291" s="17"/>
    </row>
    <row r="292" spans="2:24" x14ac:dyDescent="0.25">
      <c r="B292" s="17">
        <v>290</v>
      </c>
      <c r="C292" s="10"/>
      <c r="D292" s="10"/>
      <c r="K292" s="11">
        <f t="shared" si="203"/>
        <v>0</v>
      </c>
      <c r="L292" s="37">
        <f t="shared" si="204"/>
        <v>0</v>
      </c>
      <c r="T292" s="56"/>
      <c r="U292" s="82"/>
      <c r="V292" s="84"/>
      <c r="W292" s="200"/>
      <c r="X292" s="17"/>
    </row>
    <row r="293" spans="2:24" x14ac:dyDescent="0.25">
      <c r="B293" s="17">
        <v>291</v>
      </c>
      <c r="C293" s="10"/>
      <c r="D293" s="10"/>
      <c r="K293" s="11">
        <f t="shared" si="203"/>
        <v>0</v>
      </c>
      <c r="L293" s="37">
        <f t="shared" si="204"/>
        <v>0</v>
      </c>
      <c r="T293" s="56"/>
      <c r="U293" s="82"/>
      <c r="V293" s="84"/>
      <c r="W293" s="200"/>
      <c r="X293" s="17"/>
    </row>
    <row r="294" spans="2:24" x14ac:dyDescent="0.25">
      <c r="B294" s="17">
        <v>292</v>
      </c>
      <c r="C294" s="10"/>
      <c r="D294" s="10"/>
      <c r="K294" s="11">
        <f t="shared" si="203"/>
        <v>0</v>
      </c>
      <c r="L294" s="37">
        <f t="shared" si="204"/>
        <v>0</v>
      </c>
      <c r="T294" s="56"/>
      <c r="U294" s="82"/>
      <c r="V294" s="84"/>
      <c r="W294" s="200"/>
      <c r="X294" s="17"/>
    </row>
    <row r="295" spans="2:24" x14ac:dyDescent="0.25">
      <c r="B295" s="17">
        <v>293</v>
      </c>
      <c r="C295" s="10"/>
      <c r="D295" s="10"/>
      <c r="K295" s="11">
        <f t="shared" si="203"/>
        <v>0</v>
      </c>
      <c r="L295" s="37">
        <f t="shared" si="204"/>
        <v>0</v>
      </c>
      <c r="T295" s="56"/>
      <c r="U295" s="82"/>
      <c r="V295" s="84"/>
      <c r="W295" s="200"/>
      <c r="X295" s="17"/>
    </row>
    <row r="296" spans="2:24" x14ac:dyDescent="0.25">
      <c r="B296" s="17">
        <v>294</v>
      </c>
      <c r="C296" s="10"/>
      <c r="D296" s="10"/>
      <c r="K296" s="11">
        <f t="shared" si="203"/>
        <v>0</v>
      </c>
      <c r="L296" s="37">
        <f t="shared" si="204"/>
        <v>0</v>
      </c>
      <c r="T296" s="56"/>
      <c r="U296" s="82"/>
      <c r="V296" s="84"/>
      <c r="W296" s="200"/>
      <c r="X296" s="17"/>
    </row>
    <row r="297" spans="2:24" x14ac:dyDescent="0.25">
      <c r="B297" s="17">
        <v>295</v>
      </c>
      <c r="C297" s="10"/>
      <c r="D297" s="10"/>
      <c r="K297" s="11">
        <f t="shared" si="203"/>
        <v>0</v>
      </c>
      <c r="L297" s="37">
        <f t="shared" si="204"/>
        <v>0</v>
      </c>
      <c r="T297" s="56"/>
      <c r="U297" s="82"/>
      <c r="V297" s="84"/>
      <c r="W297" s="200"/>
      <c r="X297" s="17"/>
    </row>
    <row r="298" spans="2:24" x14ac:dyDescent="0.25">
      <c r="B298" s="17">
        <v>296</v>
      </c>
      <c r="C298" s="10"/>
      <c r="D298" s="10"/>
      <c r="K298" s="11">
        <f t="shared" si="203"/>
        <v>0</v>
      </c>
      <c r="L298" s="37">
        <f t="shared" si="204"/>
        <v>0</v>
      </c>
      <c r="T298" s="56"/>
      <c r="U298" s="82"/>
      <c r="V298" s="84"/>
      <c r="W298" s="200"/>
      <c r="X298" s="17"/>
    </row>
    <row r="299" spans="2:24" x14ac:dyDescent="0.25">
      <c r="B299" s="17">
        <v>297</v>
      </c>
      <c r="C299" s="10"/>
      <c r="D299" s="10"/>
      <c r="K299" s="11">
        <f t="shared" si="203"/>
        <v>0</v>
      </c>
      <c r="L299" s="37">
        <f t="shared" si="204"/>
        <v>0</v>
      </c>
      <c r="T299" s="56"/>
      <c r="U299" s="82"/>
      <c r="V299" s="84"/>
      <c r="W299" s="200"/>
      <c r="X299" s="17"/>
    </row>
    <row r="300" spans="2:24" x14ac:dyDescent="0.25">
      <c r="B300" s="17">
        <v>298</v>
      </c>
      <c r="C300" s="10"/>
      <c r="D300" s="10"/>
      <c r="K300" s="11">
        <f t="shared" si="203"/>
        <v>0</v>
      </c>
      <c r="L300" s="37">
        <f t="shared" si="204"/>
        <v>0</v>
      </c>
      <c r="T300" s="56"/>
      <c r="U300" s="82"/>
      <c r="V300" s="84"/>
      <c r="W300" s="200"/>
      <c r="X300" s="17"/>
    </row>
    <row r="301" spans="2:24" x14ac:dyDescent="0.25">
      <c r="B301" s="17">
        <v>299</v>
      </c>
      <c r="C301" s="10"/>
      <c r="D301" s="10"/>
      <c r="K301" s="11">
        <f t="shared" si="203"/>
        <v>0</v>
      </c>
      <c r="L301" s="37">
        <f t="shared" si="204"/>
        <v>0</v>
      </c>
      <c r="T301" s="56"/>
      <c r="U301" s="82"/>
      <c r="V301" s="84"/>
      <c r="W301" s="200"/>
      <c r="X301" s="17"/>
    </row>
    <row r="302" spans="2:24" x14ac:dyDescent="0.25">
      <c r="B302" s="17">
        <v>300</v>
      </c>
      <c r="C302" s="10"/>
      <c r="D302" s="10"/>
      <c r="K302" s="11">
        <f t="shared" si="203"/>
        <v>0</v>
      </c>
      <c r="L302" s="37">
        <f t="shared" si="204"/>
        <v>0</v>
      </c>
      <c r="T302" s="56"/>
      <c r="U302" s="82"/>
      <c r="V302" s="84"/>
      <c r="W302" s="200"/>
      <c r="X302" s="17"/>
    </row>
    <row r="303" spans="2:24" x14ac:dyDescent="0.25">
      <c r="C303" s="10"/>
      <c r="D303" s="10"/>
    </row>
    <row r="304" spans="2:24" x14ac:dyDescent="0.25">
      <c r="C304" s="10"/>
      <c r="D304" s="10"/>
    </row>
    <row r="305" spans="17:17" x14ac:dyDescent="0.25">
      <c r="Q305" s="21"/>
    </row>
    <row r="306" spans="17:17" x14ac:dyDescent="0.25">
      <c r="Q306" s="21"/>
    </row>
    <row r="307" spans="17:17" x14ac:dyDescent="0.25">
      <c r="Q307" s="21"/>
    </row>
    <row r="308" spans="17:17" x14ac:dyDescent="0.25">
      <c r="Q308" s="21"/>
    </row>
    <row r="309" spans="17:17" x14ac:dyDescent="0.25">
      <c r="Q309" s="21"/>
    </row>
    <row r="310" spans="17:17" x14ac:dyDescent="0.25">
      <c r="Q310" s="21"/>
    </row>
    <row r="311" spans="17:17" x14ac:dyDescent="0.25">
      <c r="Q311" s="21"/>
    </row>
    <row r="312" spans="17:17" x14ac:dyDescent="0.25">
      <c r="Q312" s="21"/>
    </row>
    <row r="313" spans="17:17" x14ac:dyDescent="0.25">
      <c r="Q313" s="21"/>
    </row>
    <row r="314" spans="17:17" x14ac:dyDescent="0.25">
      <c r="Q314" s="21"/>
    </row>
    <row r="315" spans="17:17" x14ac:dyDescent="0.25">
      <c r="Q315" s="21"/>
    </row>
    <row r="316" spans="17:17" x14ac:dyDescent="0.25">
      <c r="Q316" s="21"/>
    </row>
    <row r="317" spans="17:17" x14ac:dyDescent="0.25">
      <c r="Q317" s="21"/>
    </row>
    <row r="318" spans="17:17" x14ac:dyDescent="0.25">
      <c r="Q318" s="21"/>
    </row>
  </sheetData>
  <mergeCells count="15">
    <mergeCell ref="AA21:AA26"/>
    <mergeCell ref="AA27:AA32"/>
    <mergeCell ref="AA1:AR1"/>
    <mergeCell ref="AA2:AB2"/>
    <mergeCell ref="AA3:AA8"/>
    <mergeCell ref="AA9:AA14"/>
    <mergeCell ref="AA15:AA20"/>
    <mergeCell ref="AA69:AA74"/>
    <mergeCell ref="AA75:AB75"/>
    <mergeCell ref="AA33:AA38"/>
    <mergeCell ref="AA39:AA44"/>
    <mergeCell ref="AA45:AA50"/>
    <mergeCell ref="AA51:AA56"/>
    <mergeCell ref="AA57:AA62"/>
    <mergeCell ref="AA63:AA68"/>
  </mergeCells>
  <phoneticPr fontId="5" type="noConversion"/>
  <conditionalFormatting sqref="U1:U1048576">
    <cfRule type="cellIs" dxfId="19" priority="4" operator="equal">
      <formula>"그 외"</formula>
    </cfRule>
    <cfRule type="cellIs" dxfId="18" priority="5" operator="equal">
      <formula>"마케팅"</formula>
    </cfRule>
  </conditionalFormatting>
  <conditionalFormatting sqref="W1:W1048576">
    <cfRule type="cellIs" dxfId="17" priority="1" operator="equal">
      <formula>"마케팅"</formula>
    </cfRule>
  </conditionalFormatting>
  <dataValidations count="7">
    <dataValidation type="list" allowBlank="1" showInputMessage="1" showErrorMessage="1" sqref="S3:S285" xr:uid="{00000000-0002-0000-0700-000000000000}">
      <formula1>"(주)그랜드썬기술단, (주)그랜드썬,지에스피,유지에스"</formula1>
    </dataValidation>
    <dataValidation type="list" allowBlank="1" showInputMessage="1" showErrorMessage="1" sqref="U3:U285" xr:uid="{00000000-0002-0000-0700-000001000000}">
      <formula1>"소개,그 외"</formula1>
    </dataValidation>
    <dataValidation type="list" allowBlank="1" showInputMessage="1" showErrorMessage="1" sqref="D7:D304" xr:uid="{00000000-0002-0000-0700-000002000000}">
      <formula1>"기존시설물(A),일반부지(B),수면(C)"</formula1>
    </dataValidation>
    <dataValidation type="list" allowBlank="1" showInputMessage="1" showErrorMessage="1" sqref="C3:C304" xr:uid="{00000000-0002-0000-0700-000003000000}">
      <formula1>"직영(가),외주(나),입찰(다),검토(라)"</formula1>
    </dataValidation>
    <dataValidation type="list" allowBlank="1" showInputMessage="1" showErrorMessage="1" sqref="W3:W302" xr:uid="{00000000-0002-0000-0700-000004000000}">
      <formula1>"산단,공장,창고,축사,근생,자원순환,토지,업무시설"</formula1>
    </dataValidation>
    <dataValidation type="list" allowBlank="1" showInputMessage="1" showErrorMessage="1" sqref="X3:X302" xr:uid="{00000000-0002-0000-0700-000005000000}">
      <formula1>"유지,보류,취소"</formula1>
    </dataValidation>
    <dataValidation type="list" allowBlank="1" showInputMessage="1" showErrorMessage="1" sqref="Q3:Q318" xr:uid="{5E8BDAE5-DDFA-4788-8951-6C39C5CE7B99}">
      <formula1>"경기,강원,충남,충북,서울,인천,대전,세종,경남,경북,전남,전북,부산,대구,울산,제주,광주"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pageSetUpPr fitToPage="1"/>
  </sheetPr>
  <dimension ref="B1:AV325"/>
  <sheetViews>
    <sheetView zoomScale="75" zoomScaleNormal="75" workbookViewId="0">
      <pane ySplit="2" topLeftCell="A3" activePane="bottomLeft" state="frozen"/>
      <selection activeCell="O33" sqref="O33"/>
      <selection pane="bottomLeft" activeCell="I1" sqref="I1:I1048576"/>
    </sheetView>
  </sheetViews>
  <sheetFormatPr defaultRowHeight="13.5" x14ac:dyDescent="0.25"/>
  <cols>
    <col min="1" max="1" width="3.7109375" customWidth="1"/>
    <col min="2" max="4" width="10.7109375" customWidth="1"/>
    <col min="5" max="5" width="10.7109375" style="75" customWidth="1"/>
    <col min="6" max="6" width="12.7109375" style="19" customWidth="1"/>
    <col min="7" max="8" width="10.7109375" customWidth="1"/>
    <col min="9" max="9" width="11.85546875" customWidth="1"/>
    <col min="10" max="11" width="15.7109375" style="6" customWidth="1"/>
    <col min="12" max="12" width="15.7109375" style="38" customWidth="1"/>
    <col min="13" max="13" width="15.7109375" style="6" customWidth="1"/>
    <col min="14" max="14" width="15.7109375" customWidth="1"/>
    <col min="15" max="15" width="21.42578125" customWidth="1"/>
    <col min="16" max="17" width="6" customWidth="1"/>
    <col min="18" max="18" width="38.42578125" style="22" customWidth="1"/>
    <col min="19" max="19" width="20.7109375" customWidth="1"/>
    <col min="20" max="20" width="13.42578125" customWidth="1"/>
    <col min="21" max="21" width="9.140625" style="34"/>
    <col min="22" max="22" width="47" style="7" customWidth="1"/>
    <col min="23" max="23" width="9.140625" style="34"/>
    <col min="29" max="29" width="11.140625" customWidth="1"/>
    <col min="30" max="34" width="11.7109375" customWidth="1"/>
    <col min="35" max="39" width="11.7109375" style="129" customWidth="1"/>
    <col min="40" max="44" width="11.7109375" customWidth="1"/>
  </cols>
  <sheetData>
    <row r="1" spans="2:48" ht="27" thickBot="1" x14ac:dyDescent="0.3">
      <c r="B1" s="33"/>
      <c r="C1" s="33"/>
      <c r="D1" s="33"/>
      <c r="E1" s="73"/>
      <c r="G1" s="8"/>
      <c r="H1" s="8"/>
      <c r="I1" s="24"/>
      <c r="J1" s="9"/>
      <c r="K1" s="9"/>
      <c r="L1" s="35"/>
      <c r="M1" s="9"/>
      <c r="U1" s="45"/>
      <c r="W1" s="45"/>
      <c r="AA1" s="423" t="s">
        <v>3</v>
      </c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5"/>
    </row>
    <row r="2" spans="2:48" ht="43.5" customHeight="1" thickTop="1" thickBot="1" x14ac:dyDescent="0.3">
      <c r="B2" s="16" t="s">
        <v>0</v>
      </c>
      <c r="C2" s="71" t="s">
        <v>90</v>
      </c>
      <c r="D2" s="71" t="s">
        <v>91</v>
      </c>
      <c r="E2" s="74" t="s">
        <v>92</v>
      </c>
      <c r="F2" s="20" t="s">
        <v>1</v>
      </c>
      <c r="G2" s="12" t="s">
        <v>22</v>
      </c>
      <c r="H2" s="12" t="s">
        <v>21</v>
      </c>
      <c r="I2" s="13" t="s">
        <v>2</v>
      </c>
      <c r="J2" s="14" t="s">
        <v>20</v>
      </c>
      <c r="K2" s="14" t="s">
        <v>4</v>
      </c>
      <c r="L2" s="36" t="s">
        <v>50</v>
      </c>
      <c r="M2" s="14" t="s">
        <v>29</v>
      </c>
      <c r="N2" s="12" t="s">
        <v>26</v>
      </c>
      <c r="O2" s="12" t="s">
        <v>28</v>
      </c>
      <c r="P2" s="12" t="s">
        <v>48</v>
      </c>
      <c r="Q2" s="12" t="s">
        <v>2158</v>
      </c>
      <c r="R2" s="12" t="s">
        <v>27</v>
      </c>
      <c r="S2" s="15" t="s">
        <v>5</v>
      </c>
      <c r="T2" s="25" t="s">
        <v>38</v>
      </c>
      <c r="U2" s="206" t="s">
        <v>54</v>
      </c>
      <c r="V2" s="16" t="s">
        <v>37</v>
      </c>
      <c r="W2" s="205" t="s">
        <v>256</v>
      </c>
      <c r="X2" s="108" t="s">
        <v>271</v>
      </c>
      <c r="AA2" s="420" t="s">
        <v>132</v>
      </c>
      <c r="AB2" s="421"/>
      <c r="AC2" s="111" t="s">
        <v>1</v>
      </c>
      <c r="AD2" s="112" t="s">
        <v>133</v>
      </c>
      <c r="AE2" s="113" t="s">
        <v>102</v>
      </c>
      <c r="AF2" s="113" t="s">
        <v>101</v>
      </c>
      <c r="AG2" s="113" t="s">
        <v>103</v>
      </c>
      <c r="AH2" s="114" t="s">
        <v>104</v>
      </c>
      <c r="AI2" s="117" t="s">
        <v>134</v>
      </c>
      <c r="AJ2" s="118" t="s">
        <v>102</v>
      </c>
      <c r="AK2" s="118" t="s">
        <v>101</v>
      </c>
      <c r="AL2" s="118" t="s">
        <v>103</v>
      </c>
      <c r="AM2" s="119" t="s">
        <v>104</v>
      </c>
      <c r="AN2" s="115" t="s">
        <v>135</v>
      </c>
      <c r="AO2" s="116" t="s">
        <v>102</v>
      </c>
      <c r="AP2" s="116" t="s">
        <v>101</v>
      </c>
      <c r="AQ2" s="116" t="s">
        <v>103</v>
      </c>
      <c r="AR2" s="116" t="s">
        <v>104</v>
      </c>
      <c r="AT2" s="151"/>
      <c r="AU2" s="152" t="s">
        <v>148</v>
      </c>
      <c r="AV2" s="153"/>
    </row>
    <row r="3" spans="2:48" s="10" customFormat="1" ht="13.5" hidden="1" customHeight="1" x14ac:dyDescent="0.25">
      <c r="B3" s="17">
        <v>1</v>
      </c>
      <c r="C3" s="10" t="s">
        <v>351</v>
      </c>
      <c r="D3" s="10" t="s">
        <v>140</v>
      </c>
      <c r="E3" s="72" t="s">
        <v>141</v>
      </c>
      <c r="F3" s="18" t="s">
        <v>352</v>
      </c>
      <c r="G3" s="10">
        <v>2</v>
      </c>
      <c r="H3" s="10">
        <v>4</v>
      </c>
      <c r="I3" s="10">
        <v>499.59</v>
      </c>
      <c r="J3" s="11">
        <v>430000000</v>
      </c>
      <c r="K3" s="11">
        <f t="shared" ref="K3:K12" si="0">J3*1.1</f>
        <v>473000000.00000006</v>
      </c>
      <c r="L3" s="37">
        <f t="shared" ref="L3:L12" si="1">J3*0.00000001</f>
        <v>4.3</v>
      </c>
      <c r="M3" s="3" t="s">
        <v>55</v>
      </c>
      <c r="N3" s="3" t="s">
        <v>53</v>
      </c>
      <c r="O3" s="21" t="s">
        <v>353</v>
      </c>
      <c r="P3" s="21">
        <v>1</v>
      </c>
      <c r="Q3" s="21" t="s">
        <v>2142</v>
      </c>
      <c r="R3" s="23" t="s">
        <v>354</v>
      </c>
      <c r="S3" s="50" t="s">
        <v>81</v>
      </c>
      <c r="T3" s="86"/>
      <c r="U3" s="81" t="s">
        <v>197</v>
      </c>
      <c r="V3" s="83"/>
      <c r="W3" s="199" t="s">
        <v>259</v>
      </c>
      <c r="X3" s="208" t="s">
        <v>272</v>
      </c>
      <c r="Z3">
        <v>1</v>
      </c>
      <c r="AA3" s="415">
        <v>1</v>
      </c>
      <c r="AB3" s="94">
        <v>1</v>
      </c>
      <c r="AC3" s="100" t="s">
        <v>105</v>
      </c>
      <c r="AD3" s="41">
        <f>SUM(AE3:AH3)</f>
        <v>0</v>
      </c>
      <c r="AE3" s="70">
        <f>SUMIFS($I:$I,$C:$C, $AE$2,$G:$G,$Z3,$H:$H,$AB3)</f>
        <v>0</v>
      </c>
      <c r="AF3" s="70">
        <f>SUMIFS($I:$I,$C:$C, $AF$2,$G:$G,$Z3,$H:$H,$AB3)</f>
        <v>0</v>
      </c>
      <c r="AG3" s="70">
        <f>SUMIFS($I:$I,$C:$C, $AG$2,$G:$G,$Z3,$H:$H,$AB3)</f>
        <v>0</v>
      </c>
      <c r="AH3" s="109">
        <f>SUMIFS($I:$I,$C:$C, $AH$2,$G:$G,$Z3,$H:$H,$AB3)</f>
        <v>0</v>
      </c>
      <c r="AI3" s="120">
        <f>SUM(AJ3:AM3)</f>
        <v>0</v>
      </c>
      <c r="AJ3" s="121">
        <f>COUNTIFS($C:$C, $AJ$2,$G:$G,$Z3,$H:$H,$AB3)</f>
        <v>0</v>
      </c>
      <c r="AK3" s="121">
        <f>COUNTIFS($C:$C, $AK$2,$G:$G,$Z3,$H:$H,$AB3)</f>
        <v>0</v>
      </c>
      <c r="AL3" s="121">
        <f>COUNTIFS($C:$C, $AL$2,$G:$G,$Z3,$H:$H,$AB3)</f>
        <v>0</v>
      </c>
      <c r="AM3" s="122">
        <f>COUNTIFS($C:$C, $AM$2,$G:$G,$Z3,$H:$H,$AB3)</f>
        <v>0</v>
      </c>
      <c r="AN3" s="41">
        <f>SUM(AO3:AR3)</f>
        <v>0</v>
      </c>
      <c r="AO3" s="70">
        <f>SUMIFS($L:$L,$C:$C, $AO$2,$G:$G,$Z3,$H:$H,$AB3)</f>
        <v>0</v>
      </c>
      <c r="AP3" s="70">
        <f>SUMIFS($L:$L,$C:$C, $AP$2,$G:$G,$Z3,$H:$H,$AB3)</f>
        <v>0</v>
      </c>
      <c r="AQ3" s="70">
        <f>SUMIFS($L:$L,$C:$C, $AQ$2,$G:$G,$Z3,$H:$H,$AB3)</f>
        <v>0</v>
      </c>
      <c r="AR3" s="70">
        <f>SUMIFS($L:$L,$C:$C, $AR$2,$G:$G,$Z3,$H:$H,$AB3)</f>
        <v>0</v>
      </c>
      <c r="AT3" s="154" t="s">
        <v>149</v>
      </c>
      <c r="AU3" s="155" t="s">
        <v>150</v>
      </c>
      <c r="AV3" s="156" t="s">
        <v>151</v>
      </c>
    </row>
    <row r="4" spans="2:48" s="10" customFormat="1" ht="13.5" hidden="1" customHeight="1" x14ac:dyDescent="0.25">
      <c r="B4" s="17">
        <v>2</v>
      </c>
      <c r="C4" s="10" t="s">
        <v>351</v>
      </c>
      <c r="D4" s="10" t="s">
        <v>229</v>
      </c>
      <c r="E4" s="72" t="s">
        <v>146</v>
      </c>
      <c r="F4" s="18" t="s">
        <v>617</v>
      </c>
      <c r="G4" s="10">
        <v>5</v>
      </c>
      <c r="H4" s="10">
        <v>2</v>
      </c>
      <c r="I4" s="10">
        <v>556.5</v>
      </c>
      <c r="J4" s="11">
        <v>715600000</v>
      </c>
      <c r="K4" s="11">
        <f t="shared" si="0"/>
        <v>787160000.00000012</v>
      </c>
      <c r="L4" s="37">
        <f t="shared" si="1"/>
        <v>7.1560000000000006</v>
      </c>
      <c r="M4" s="3" t="s">
        <v>55</v>
      </c>
      <c r="N4" s="3" t="s">
        <v>55</v>
      </c>
      <c r="O4" s="21" t="s">
        <v>618</v>
      </c>
      <c r="P4" s="21">
        <v>2</v>
      </c>
      <c r="Q4" s="21" t="s">
        <v>2149</v>
      </c>
      <c r="R4" s="23" t="s">
        <v>619</v>
      </c>
      <c r="S4" s="50" t="s">
        <v>81</v>
      </c>
      <c r="T4" s="48"/>
      <c r="U4" s="81" t="s">
        <v>197</v>
      </c>
      <c r="V4" s="26"/>
      <c r="W4" s="200" t="s">
        <v>258</v>
      </c>
      <c r="X4" s="17" t="s">
        <v>272</v>
      </c>
      <c r="Z4">
        <v>1</v>
      </c>
      <c r="AA4" s="416"/>
      <c r="AB4" s="95">
        <v>2</v>
      </c>
      <c r="AC4" s="101" t="s">
        <v>61</v>
      </c>
      <c r="AD4" s="41">
        <f t="shared" ref="AD4:AD67" si="2">SUM(AE4:AH4)</f>
        <v>0</v>
      </c>
      <c r="AE4" s="70">
        <f t="shared" ref="AE4:AE67" si="3">SUMIFS($I:$I,$C:$C, $AE$2,$G:$G,$Z4,$H:$H,$AB4)</f>
        <v>0</v>
      </c>
      <c r="AF4" s="70">
        <f t="shared" ref="AF4:AF67" si="4">SUMIFS($I:$I,$C:$C, $AF$2,$G:$G,$Z4,$H:$H,$AB4)</f>
        <v>0</v>
      </c>
      <c r="AG4" s="70">
        <f t="shared" ref="AG4:AG67" si="5">SUMIFS($I:$I,$C:$C, $AG$2,$G:$G,$Z4,$H:$H,$AB4)</f>
        <v>0</v>
      </c>
      <c r="AH4" s="109">
        <f t="shared" ref="AH4:AH67" si="6">SUMIFS($I:$I,$C:$C, $AH$2,$G:$G,$Z4,$H:$H,$AB4)</f>
        <v>0</v>
      </c>
      <c r="AI4" s="120">
        <f t="shared" ref="AI4:AI67" si="7">SUM(AJ4:AM4)</f>
        <v>0</v>
      </c>
      <c r="AJ4" s="121">
        <f t="shared" ref="AJ4:AJ67" si="8">COUNTIFS($C:$C, $AJ$2,$G:$G,$Z4,$H:$H,$AB4)</f>
        <v>0</v>
      </c>
      <c r="AK4" s="121">
        <f t="shared" ref="AK4:AK67" si="9">COUNTIFS($C:$C, $AK$2,$G:$G,$Z4,$H:$H,$AB4)</f>
        <v>0</v>
      </c>
      <c r="AL4" s="121">
        <f t="shared" ref="AL4:AL67" si="10">COUNTIFS($C:$C, $AL$2,$G:$G,$Z4,$H:$H,$AB4)</f>
        <v>0</v>
      </c>
      <c r="AM4" s="122">
        <f t="shared" ref="AM4:AM67" si="11">COUNTIFS($C:$C, $AM$2,$G:$G,$Z4,$H:$H,$AB4)</f>
        <v>0</v>
      </c>
      <c r="AN4" s="41">
        <f t="shared" ref="AN4:AN67" si="12">SUM(AO4:AR4)</f>
        <v>0</v>
      </c>
      <c r="AO4" s="70">
        <f t="shared" ref="AO4:AO67" si="13">SUMIFS($L:$L,$C:$C, $AO$2,$G:$G,$Z4,$H:$H,$AB4)</f>
        <v>0</v>
      </c>
      <c r="AP4" s="70">
        <f t="shared" ref="AP4:AP67" si="14">SUMIFS($L:$L,$C:$C, $AP$2,$G:$G,$Z4,$H:$H,$AB4)</f>
        <v>0</v>
      </c>
      <c r="AQ4" s="70">
        <f t="shared" ref="AQ4:AQ67" si="15">SUMIFS($L:$L,$C:$C, $AQ$2,$G:$G,$Z4,$H:$H,$AB4)</f>
        <v>0</v>
      </c>
      <c r="AR4" s="70">
        <f t="shared" ref="AR4:AR67" si="16">SUMIFS($L:$L,$C:$C, $AR$2,$G:$G,$Z4,$H:$H,$AB4)</f>
        <v>0</v>
      </c>
      <c r="AT4" s="157">
        <v>1</v>
      </c>
      <c r="AU4" s="158">
        <f>COUNTIFS($U:$U,$AU$3,$G:$G,$AT4)</f>
        <v>0</v>
      </c>
      <c r="AV4" s="159">
        <f>COUNTIFS($U:$U,$AV$3,$G:$G,$AT4)</f>
        <v>0</v>
      </c>
    </row>
    <row r="5" spans="2:48" s="10" customFormat="1" ht="13.5" hidden="1" customHeight="1" x14ac:dyDescent="0.25">
      <c r="B5" s="17">
        <v>3</v>
      </c>
      <c r="C5" s="10" t="s">
        <v>351</v>
      </c>
      <c r="D5" s="10" t="s">
        <v>140</v>
      </c>
      <c r="E5" s="72" t="s">
        <v>306</v>
      </c>
      <c r="F5" s="18" t="s">
        <v>651</v>
      </c>
      <c r="G5" s="10">
        <v>5</v>
      </c>
      <c r="H5" s="10">
        <v>4</v>
      </c>
      <c r="I5" s="10">
        <v>1702.4</v>
      </c>
      <c r="J5" s="11">
        <v>2177000000</v>
      </c>
      <c r="K5" s="11">
        <f t="shared" si="0"/>
        <v>2394700000</v>
      </c>
      <c r="L5" s="37">
        <f t="shared" si="1"/>
        <v>21.77</v>
      </c>
      <c r="M5" s="3" t="s">
        <v>518</v>
      </c>
      <c r="N5" s="3" t="s">
        <v>53</v>
      </c>
      <c r="O5" s="21" t="s">
        <v>652</v>
      </c>
      <c r="P5" s="21">
        <v>3</v>
      </c>
      <c r="Q5" s="21" t="s">
        <v>2149</v>
      </c>
      <c r="R5" s="269" t="s">
        <v>653</v>
      </c>
      <c r="S5" s="50" t="s">
        <v>81</v>
      </c>
      <c r="T5" s="48"/>
      <c r="U5" s="81" t="s">
        <v>197</v>
      </c>
      <c r="V5" s="26"/>
      <c r="W5" s="200" t="s">
        <v>258</v>
      </c>
      <c r="X5" s="17" t="s">
        <v>272</v>
      </c>
      <c r="Z5">
        <v>1</v>
      </c>
      <c r="AA5" s="416"/>
      <c r="AB5" s="95">
        <v>3</v>
      </c>
      <c r="AC5" s="102" t="s">
        <v>62</v>
      </c>
      <c r="AD5" s="41">
        <f t="shared" si="2"/>
        <v>0</v>
      </c>
      <c r="AE5" s="70">
        <f t="shared" si="3"/>
        <v>0</v>
      </c>
      <c r="AF5" s="70">
        <f t="shared" si="4"/>
        <v>0</v>
      </c>
      <c r="AG5" s="70">
        <f t="shared" si="5"/>
        <v>0</v>
      </c>
      <c r="AH5" s="109">
        <f t="shared" si="6"/>
        <v>0</v>
      </c>
      <c r="AI5" s="120">
        <f t="shared" si="7"/>
        <v>0</v>
      </c>
      <c r="AJ5" s="121">
        <f t="shared" si="8"/>
        <v>0</v>
      </c>
      <c r="AK5" s="121">
        <f t="shared" si="9"/>
        <v>0</v>
      </c>
      <c r="AL5" s="121">
        <f t="shared" si="10"/>
        <v>0</v>
      </c>
      <c r="AM5" s="122">
        <f t="shared" si="11"/>
        <v>0</v>
      </c>
      <c r="AN5" s="41">
        <f t="shared" si="12"/>
        <v>0</v>
      </c>
      <c r="AO5" s="70">
        <f t="shared" si="13"/>
        <v>0</v>
      </c>
      <c r="AP5" s="70">
        <f t="shared" si="14"/>
        <v>0</v>
      </c>
      <c r="AQ5" s="70">
        <f t="shared" si="15"/>
        <v>0</v>
      </c>
      <c r="AR5" s="70">
        <f t="shared" si="16"/>
        <v>0</v>
      </c>
      <c r="AT5" s="157">
        <v>2</v>
      </c>
      <c r="AU5" s="158">
        <f t="shared" ref="AU5:AU15" si="17">COUNTIFS($U:$U,$AU$3,$G:$G,$AT5)</f>
        <v>1</v>
      </c>
      <c r="AV5" s="159">
        <f t="shared" ref="AV5:AV15" si="18">COUNTIFS($U:$U,$AV$3,$G:$G,$AT5)</f>
        <v>0</v>
      </c>
    </row>
    <row r="6" spans="2:48" s="10" customFormat="1" ht="13.5" hidden="1" customHeight="1" x14ac:dyDescent="0.25">
      <c r="B6" s="17">
        <v>4</v>
      </c>
      <c r="C6" s="10" t="s">
        <v>351</v>
      </c>
      <c r="D6" t="s">
        <v>229</v>
      </c>
      <c r="E6" s="72" t="s">
        <v>744</v>
      </c>
      <c r="F6" s="18" t="s">
        <v>745</v>
      </c>
      <c r="G6" s="10">
        <v>6</v>
      </c>
      <c r="H6" s="10">
        <v>3</v>
      </c>
      <c r="I6" s="10">
        <v>1539.84</v>
      </c>
      <c r="J6" s="11">
        <v>1430000000</v>
      </c>
      <c r="K6" s="11">
        <f t="shared" si="0"/>
        <v>1573000000.0000002</v>
      </c>
      <c r="L6" s="37">
        <f t="shared" si="1"/>
        <v>14.3</v>
      </c>
      <c r="M6" s="3" t="s">
        <v>518</v>
      </c>
      <c r="N6" s="3" t="s">
        <v>53</v>
      </c>
      <c r="O6" s="21" t="s">
        <v>746</v>
      </c>
      <c r="P6" s="21">
        <v>4</v>
      </c>
      <c r="Q6" s="21" t="s">
        <v>2153</v>
      </c>
      <c r="R6" s="271" t="s">
        <v>747</v>
      </c>
      <c r="S6" s="50" t="s">
        <v>81</v>
      </c>
      <c r="T6" s="48"/>
      <c r="U6" s="81" t="s">
        <v>197</v>
      </c>
      <c r="V6" s="26"/>
      <c r="W6" s="200" t="s">
        <v>258</v>
      </c>
      <c r="X6" s="17" t="s">
        <v>272</v>
      </c>
      <c r="Z6">
        <v>1</v>
      </c>
      <c r="AA6" s="416"/>
      <c r="AB6" s="95">
        <v>4</v>
      </c>
      <c r="AC6" s="102" t="s">
        <v>63</v>
      </c>
      <c r="AD6" s="41">
        <f t="shared" si="2"/>
        <v>0</v>
      </c>
      <c r="AE6" s="70">
        <f t="shared" si="3"/>
        <v>0</v>
      </c>
      <c r="AF6" s="70">
        <f t="shared" si="4"/>
        <v>0</v>
      </c>
      <c r="AG6" s="70">
        <f t="shared" si="5"/>
        <v>0</v>
      </c>
      <c r="AH6" s="109">
        <f t="shared" si="6"/>
        <v>0</v>
      </c>
      <c r="AI6" s="120">
        <f t="shared" si="7"/>
        <v>0</v>
      </c>
      <c r="AJ6" s="121">
        <f t="shared" si="8"/>
        <v>0</v>
      </c>
      <c r="AK6" s="121">
        <f t="shared" si="9"/>
        <v>0</v>
      </c>
      <c r="AL6" s="121">
        <f t="shared" si="10"/>
        <v>0</v>
      </c>
      <c r="AM6" s="122">
        <f t="shared" si="11"/>
        <v>0</v>
      </c>
      <c r="AN6" s="41">
        <f t="shared" si="12"/>
        <v>0</v>
      </c>
      <c r="AO6" s="70">
        <f t="shared" si="13"/>
        <v>0</v>
      </c>
      <c r="AP6" s="70">
        <f t="shared" si="14"/>
        <v>0</v>
      </c>
      <c r="AQ6" s="70">
        <f t="shared" si="15"/>
        <v>0</v>
      </c>
      <c r="AR6" s="70">
        <f t="shared" si="16"/>
        <v>0</v>
      </c>
      <c r="AT6" s="157">
        <v>3</v>
      </c>
      <c r="AU6" s="158">
        <f t="shared" si="17"/>
        <v>0</v>
      </c>
      <c r="AV6" s="159">
        <f t="shared" si="18"/>
        <v>0</v>
      </c>
    </row>
    <row r="7" spans="2:48" s="10" customFormat="1" ht="13.5" hidden="1" customHeight="1" x14ac:dyDescent="0.25">
      <c r="B7" s="17">
        <v>5</v>
      </c>
      <c r="C7" s="10" t="s">
        <v>351</v>
      </c>
      <c r="D7" s="10" t="s">
        <v>140</v>
      </c>
      <c r="E7" s="72" t="s">
        <v>813</v>
      </c>
      <c r="F7" s="18" t="s">
        <v>814</v>
      </c>
      <c r="G7" s="10">
        <v>6</v>
      </c>
      <c r="H7" s="10">
        <v>4</v>
      </c>
      <c r="I7" s="10">
        <v>989.8</v>
      </c>
      <c r="J7" s="11">
        <v>789000000</v>
      </c>
      <c r="K7" s="11">
        <f t="shared" ref="K7" si="19">J7*1.1</f>
        <v>867900000.00000012</v>
      </c>
      <c r="L7" s="37">
        <f t="shared" ref="L7" si="20">J7*0.00000001</f>
        <v>7.8900000000000006</v>
      </c>
      <c r="M7" s="3" t="s">
        <v>518</v>
      </c>
      <c r="N7" s="3" t="s">
        <v>518</v>
      </c>
      <c r="O7" s="21" t="s">
        <v>815</v>
      </c>
      <c r="P7" s="21">
        <v>5</v>
      </c>
      <c r="Q7" s="21" t="s">
        <v>2142</v>
      </c>
      <c r="R7" s="270" t="s">
        <v>816</v>
      </c>
      <c r="S7" s="50" t="s">
        <v>81</v>
      </c>
      <c r="T7" s="48"/>
      <c r="U7" s="81" t="s">
        <v>197</v>
      </c>
      <c r="V7" s="26"/>
      <c r="W7" s="200" t="s">
        <v>260</v>
      </c>
      <c r="X7" s="17" t="s">
        <v>272</v>
      </c>
      <c r="Z7">
        <v>1</v>
      </c>
      <c r="AA7" s="416"/>
      <c r="AB7" s="96">
        <v>5</v>
      </c>
      <c r="AC7" s="102" t="s">
        <v>64</v>
      </c>
      <c r="AD7" s="41">
        <f t="shared" si="2"/>
        <v>0</v>
      </c>
      <c r="AE7" s="70">
        <f t="shared" si="3"/>
        <v>0</v>
      </c>
      <c r="AF7" s="70">
        <f t="shared" si="4"/>
        <v>0</v>
      </c>
      <c r="AG7" s="70">
        <f t="shared" si="5"/>
        <v>0</v>
      </c>
      <c r="AH7" s="109">
        <f t="shared" si="6"/>
        <v>0</v>
      </c>
      <c r="AI7" s="120">
        <f t="shared" si="7"/>
        <v>0</v>
      </c>
      <c r="AJ7" s="121">
        <f t="shared" si="8"/>
        <v>0</v>
      </c>
      <c r="AK7" s="121">
        <f t="shared" si="9"/>
        <v>0</v>
      </c>
      <c r="AL7" s="121">
        <f t="shared" si="10"/>
        <v>0</v>
      </c>
      <c r="AM7" s="122">
        <f t="shared" si="11"/>
        <v>0</v>
      </c>
      <c r="AN7" s="41">
        <f t="shared" si="12"/>
        <v>0</v>
      </c>
      <c r="AO7" s="70">
        <f t="shared" si="13"/>
        <v>0</v>
      </c>
      <c r="AP7" s="70">
        <f t="shared" si="14"/>
        <v>0</v>
      </c>
      <c r="AQ7" s="70">
        <f t="shared" si="15"/>
        <v>0</v>
      </c>
      <c r="AR7" s="70">
        <f t="shared" si="16"/>
        <v>0</v>
      </c>
      <c r="AT7" s="157">
        <v>4</v>
      </c>
      <c r="AU7" s="158">
        <f t="shared" si="17"/>
        <v>0</v>
      </c>
      <c r="AV7" s="159">
        <f t="shared" si="18"/>
        <v>0</v>
      </c>
    </row>
    <row r="8" spans="2:48" s="10" customFormat="1" ht="13.5" hidden="1" customHeight="1" thickBot="1" x14ac:dyDescent="0.3">
      <c r="B8" s="17">
        <v>6</v>
      </c>
      <c r="C8" s="10" t="s">
        <v>137</v>
      </c>
      <c r="D8" s="10" t="s">
        <v>140</v>
      </c>
      <c r="E8" s="72" t="s">
        <v>141</v>
      </c>
      <c r="F8" s="18" t="s">
        <v>1375</v>
      </c>
      <c r="G8" s="10">
        <v>9</v>
      </c>
      <c r="H8" s="10">
        <v>2</v>
      </c>
      <c r="I8" s="10">
        <v>121.6</v>
      </c>
      <c r="J8" s="11">
        <v>119000000</v>
      </c>
      <c r="K8" s="11">
        <f t="shared" si="0"/>
        <v>130900000.00000001</v>
      </c>
      <c r="L8" s="37">
        <f t="shared" si="1"/>
        <v>1.19</v>
      </c>
      <c r="M8" s="3" t="s">
        <v>189</v>
      </c>
      <c r="N8" s="10" t="s">
        <v>189</v>
      </c>
      <c r="O8" s="21" t="s">
        <v>1405</v>
      </c>
      <c r="P8" s="21">
        <v>6</v>
      </c>
      <c r="Q8" s="21" t="s">
        <v>2142</v>
      </c>
      <c r="R8" s="270" t="s">
        <v>1406</v>
      </c>
      <c r="S8" s="50" t="s">
        <v>81</v>
      </c>
      <c r="T8" s="48" t="s">
        <v>1407</v>
      </c>
      <c r="U8" s="81" t="s">
        <v>85</v>
      </c>
      <c r="V8" s="26" t="s">
        <v>1274</v>
      </c>
      <c r="W8" s="200" t="s">
        <v>350</v>
      </c>
      <c r="X8" s="17" t="s">
        <v>279</v>
      </c>
      <c r="Z8">
        <v>1</v>
      </c>
      <c r="AA8" s="417"/>
      <c r="AB8" s="97" t="s">
        <v>3</v>
      </c>
      <c r="AC8" s="103"/>
      <c r="AD8" s="99">
        <f>SUM(AD3:AD7)</f>
        <v>0</v>
      </c>
      <c r="AE8" s="99">
        <f t="shared" ref="AE8" si="21">SUM(AE3:AE7)</f>
        <v>0</v>
      </c>
      <c r="AF8" s="99">
        <f t="shared" ref="AF8" si="22">SUM(AF3:AF7)</f>
        <v>0</v>
      </c>
      <c r="AG8" s="99">
        <f t="shared" ref="AG8" si="23">SUM(AG3:AG7)</f>
        <v>0</v>
      </c>
      <c r="AH8" s="110">
        <f t="shared" ref="AH8" si="24">SUM(AH3:AH7)</f>
        <v>0</v>
      </c>
      <c r="AI8" s="123">
        <f t="shared" ref="AI8" si="25">SUM(AI3:AI7)</f>
        <v>0</v>
      </c>
      <c r="AJ8" s="124">
        <f t="shared" ref="AJ8" si="26">SUM(AJ3:AJ7)</f>
        <v>0</v>
      </c>
      <c r="AK8" s="124">
        <f t="shared" ref="AK8" si="27">SUM(AK3:AK7)</f>
        <v>0</v>
      </c>
      <c r="AL8" s="124">
        <f t="shared" ref="AL8" si="28">SUM(AL3:AL7)</f>
        <v>0</v>
      </c>
      <c r="AM8" s="125">
        <f t="shared" ref="AM8" si="29">SUM(AM3:AM7)</f>
        <v>0</v>
      </c>
      <c r="AN8" s="99">
        <f t="shared" ref="AN8" si="30">SUM(AN3:AN7)</f>
        <v>0</v>
      </c>
      <c r="AO8" s="99">
        <f t="shared" ref="AO8" si="31">SUM(AO3:AO7)</f>
        <v>0</v>
      </c>
      <c r="AP8" s="99">
        <f t="shared" ref="AP8" si="32">SUM(AP3:AP7)</f>
        <v>0</v>
      </c>
      <c r="AQ8" s="99">
        <f t="shared" ref="AQ8" si="33">SUM(AQ3:AQ7)</f>
        <v>0</v>
      </c>
      <c r="AR8" s="99">
        <f t="shared" ref="AR8" si="34">SUM(AR3:AR7)</f>
        <v>0</v>
      </c>
      <c r="AT8" s="157">
        <v>5</v>
      </c>
      <c r="AU8" s="158">
        <f t="shared" si="17"/>
        <v>2</v>
      </c>
      <c r="AV8" s="159">
        <f t="shared" si="18"/>
        <v>0</v>
      </c>
    </row>
    <row r="9" spans="2:48" s="10" customFormat="1" ht="13.5" hidden="1" customHeight="1" x14ac:dyDescent="0.25">
      <c r="B9" s="17">
        <v>7</v>
      </c>
      <c r="C9" s="10" t="s">
        <v>351</v>
      </c>
      <c r="D9" s="10" t="s">
        <v>140</v>
      </c>
      <c r="E9" s="72" t="s">
        <v>241</v>
      </c>
      <c r="F9" s="18" t="s">
        <v>1408</v>
      </c>
      <c r="G9" s="10">
        <v>9</v>
      </c>
      <c r="H9" s="10">
        <v>3</v>
      </c>
      <c r="I9" s="10">
        <v>76.8</v>
      </c>
      <c r="J9" s="11">
        <v>90500000</v>
      </c>
      <c r="K9" s="11">
        <f t="shared" si="0"/>
        <v>99550000.000000015</v>
      </c>
      <c r="L9" s="37">
        <f t="shared" si="1"/>
        <v>0.90500000000000003</v>
      </c>
      <c r="M9" s="3" t="s">
        <v>55</v>
      </c>
      <c r="N9" s="10" t="s">
        <v>55</v>
      </c>
      <c r="O9" s="21" t="s">
        <v>1409</v>
      </c>
      <c r="P9" s="21">
        <v>7</v>
      </c>
      <c r="Q9" s="21" t="s">
        <v>2136</v>
      </c>
      <c r="R9" s="269" t="s">
        <v>1410</v>
      </c>
      <c r="S9" s="50" t="s">
        <v>81</v>
      </c>
      <c r="T9" s="48"/>
      <c r="U9" s="81"/>
      <c r="V9" s="26"/>
      <c r="W9" s="200" t="s">
        <v>259</v>
      </c>
      <c r="X9" s="17" t="s">
        <v>272</v>
      </c>
      <c r="Z9">
        <v>2</v>
      </c>
      <c r="AA9" s="415">
        <v>2</v>
      </c>
      <c r="AB9" s="94">
        <v>1</v>
      </c>
      <c r="AC9" s="104" t="s">
        <v>106</v>
      </c>
      <c r="AD9" s="41">
        <f t="shared" si="2"/>
        <v>0</v>
      </c>
      <c r="AE9" s="70">
        <f t="shared" si="3"/>
        <v>0</v>
      </c>
      <c r="AF9" s="70">
        <f t="shared" si="4"/>
        <v>0</v>
      </c>
      <c r="AG9" s="70">
        <f t="shared" si="5"/>
        <v>0</v>
      </c>
      <c r="AH9" s="109">
        <f t="shared" si="6"/>
        <v>0</v>
      </c>
      <c r="AI9" s="120">
        <f t="shared" si="7"/>
        <v>0</v>
      </c>
      <c r="AJ9" s="121">
        <f t="shared" si="8"/>
        <v>0</v>
      </c>
      <c r="AK9" s="121">
        <f t="shared" si="9"/>
        <v>0</v>
      </c>
      <c r="AL9" s="121">
        <f t="shared" si="10"/>
        <v>0</v>
      </c>
      <c r="AM9" s="122">
        <f t="shared" si="11"/>
        <v>0</v>
      </c>
      <c r="AN9" s="41">
        <f t="shared" si="12"/>
        <v>0</v>
      </c>
      <c r="AO9" s="70">
        <f t="shared" si="13"/>
        <v>0</v>
      </c>
      <c r="AP9" s="70">
        <f t="shared" si="14"/>
        <v>0</v>
      </c>
      <c r="AQ9" s="70">
        <f t="shared" si="15"/>
        <v>0</v>
      </c>
      <c r="AR9" s="70">
        <f t="shared" si="16"/>
        <v>0</v>
      </c>
      <c r="AT9" s="157">
        <v>6</v>
      </c>
      <c r="AU9" s="158">
        <f t="shared" si="17"/>
        <v>2</v>
      </c>
      <c r="AV9" s="159">
        <f t="shared" si="18"/>
        <v>0</v>
      </c>
    </row>
    <row r="10" spans="2:48" s="10" customFormat="1" ht="13.5" customHeight="1" x14ac:dyDescent="0.25">
      <c r="B10" s="17">
        <v>8</v>
      </c>
      <c r="C10" s="10" t="s">
        <v>136</v>
      </c>
      <c r="D10" s="10" t="s">
        <v>140</v>
      </c>
      <c r="E10" s="72" t="s">
        <v>141</v>
      </c>
      <c r="F10" s="18" t="s">
        <v>2053</v>
      </c>
      <c r="G10" s="10">
        <v>11</v>
      </c>
      <c r="H10" s="10">
        <v>3</v>
      </c>
      <c r="I10" s="10">
        <v>165.12</v>
      </c>
      <c r="J10" s="11">
        <v>169000000</v>
      </c>
      <c r="K10" s="11">
        <f t="shared" si="0"/>
        <v>185900000.00000003</v>
      </c>
      <c r="L10" s="37">
        <f t="shared" si="1"/>
        <v>1.69</v>
      </c>
      <c r="M10" s="3" t="s">
        <v>327</v>
      </c>
      <c r="N10" s="10" t="s">
        <v>32</v>
      </c>
      <c r="O10" s="21" t="s">
        <v>2060</v>
      </c>
      <c r="P10" s="21">
        <v>8</v>
      </c>
      <c r="Q10" s="21" t="s">
        <v>2145</v>
      </c>
      <c r="R10" s="269" t="s">
        <v>2061</v>
      </c>
      <c r="S10" s="50" t="s">
        <v>81</v>
      </c>
      <c r="T10" s="48" t="s">
        <v>2062</v>
      </c>
      <c r="U10" s="81" t="s">
        <v>197</v>
      </c>
      <c r="V10" s="26" t="s">
        <v>331</v>
      </c>
      <c r="W10" s="200" t="s">
        <v>604</v>
      </c>
      <c r="X10" s="17" t="s">
        <v>279</v>
      </c>
      <c r="Z10">
        <v>2</v>
      </c>
      <c r="AA10" s="416"/>
      <c r="AB10" s="95">
        <v>2</v>
      </c>
      <c r="AC10" s="102" t="s">
        <v>65</v>
      </c>
      <c r="AD10" s="41">
        <f t="shared" si="2"/>
        <v>0</v>
      </c>
      <c r="AE10" s="70">
        <f t="shared" si="3"/>
        <v>0</v>
      </c>
      <c r="AF10" s="70">
        <f t="shared" si="4"/>
        <v>0</v>
      </c>
      <c r="AG10" s="70">
        <f t="shared" si="5"/>
        <v>0</v>
      </c>
      <c r="AH10" s="109">
        <f t="shared" si="6"/>
        <v>0</v>
      </c>
      <c r="AI10" s="120">
        <f t="shared" si="7"/>
        <v>0</v>
      </c>
      <c r="AJ10" s="121">
        <f t="shared" si="8"/>
        <v>0</v>
      </c>
      <c r="AK10" s="121">
        <f t="shared" si="9"/>
        <v>0</v>
      </c>
      <c r="AL10" s="121">
        <f t="shared" si="10"/>
        <v>0</v>
      </c>
      <c r="AM10" s="122">
        <f t="shared" si="11"/>
        <v>0</v>
      </c>
      <c r="AN10" s="41">
        <f t="shared" si="12"/>
        <v>0</v>
      </c>
      <c r="AO10" s="70">
        <f t="shared" si="13"/>
        <v>0</v>
      </c>
      <c r="AP10" s="70">
        <f t="shared" si="14"/>
        <v>0</v>
      </c>
      <c r="AQ10" s="70">
        <f t="shared" si="15"/>
        <v>0</v>
      </c>
      <c r="AR10" s="70">
        <f t="shared" si="16"/>
        <v>0</v>
      </c>
      <c r="AT10" s="157">
        <v>7</v>
      </c>
      <c r="AU10" s="158">
        <f t="shared" si="17"/>
        <v>0</v>
      </c>
      <c r="AV10" s="159">
        <f t="shared" si="18"/>
        <v>0</v>
      </c>
    </row>
    <row r="11" spans="2:48" s="10" customFormat="1" ht="13.5" customHeight="1" x14ac:dyDescent="0.25">
      <c r="B11" s="17">
        <v>9</v>
      </c>
      <c r="C11" s="10" t="s">
        <v>136</v>
      </c>
      <c r="D11" s="10" t="s">
        <v>140</v>
      </c>
      <c r="E11" s="72" t="s">
        <v>305</v>
      </c>
      <c r="F11" s="18" t="s">
        <v>2053</v>
      </c>
      <c r="G11" s="10">
        <v>11</v>
      </c>
      <c r="H11" s="10">
        <v>3</v>
      </c>
      <c r="I11" s="10">
        <v>460.16</v>
      </c>
      <c r="J11" s="11">
        <v>421000000</v>
      </c>
      <c r="K11" s="11">
        <f t="shared" si="0"/>
        <v>463100000.00000006</v>
      </c>
      <c r="L11" s="37">
        <f t="shared" si="1"/>
        <v>4.21</v>
      </c>
      <c r="M11" s="3" t="s">
        <v>327</v>
      </c>
      <c r="N11" s="10" t="s">
        <v>32</v>
      </c>
      <c r="O11" s="21" t="s">
        <v>2063</v>
      </c>
      <c r="P11" s="21"/>
      <c r="Q11" s="21" t="s">
        <v>2145</v>
      </c>
      <c r="R11" s="269" t="s">
        <v>2064</v>
      </c>
      <c r="S11" s="50" t="s">
        <v>81</v>
      </c>
      <c r="T11" s="48" t="s">
        <v>2062</v>
      </c>
      <c r="U11" s="81" t="s">
        <v>197</v>
      </c>
      <c r="V11" s="26" t="s">
        <v>331</v>
      </c>
      <c r="W11" s="200" t="s">
        <v>604</v>
      </c>
      <c r="X11" s="17" t="s">
        <v>279</v>
      </c>
      <c r="Z11">
        <v>2</v>
      </c>
      <c r="AA11" s="416"/>
      <c r="AB11" s="95">
        <v>3</v>
      </c>
      <c r="AC11" s="102" t="s">
        <v>66</v>
      </c>
      <c r="AD11" s="41">
        <f t="shared" si="2"/>
        <v>0</v>
      </c>
      <c r="AE11" s="70">
        <f t="shared" si="3"/>
        <v>0</v>
      </c>
      <c r="AF11" s="70">
        <f t="shared" si="4"/>
        <v>0</v>
      </c>
      <c r="AG11" s="70">
        <f t="shared" si="5"/>
        <v>0</v>
      </c>
      <c r="AH11" s="109">
        <f t="shared" si="6"/>
        <v>0</v>
      </c>
      <c r="AI11" s="120">
        <f t="shared" si="7"/>
        <v>0</v>
      </c>
      <c r="AJ11" s="121">
        <f t="shared" si="8"/>
        <v>0</v>
      </c>
      <c r="AK11" s="121">
        <f t="shared" si="9"/>
        <v>0</v>
      </c>
      <c r="AL11" s="121">
        <f t="shared" si="10"/>
        <v>0</v>
      </c>
      <c r="AM11" s="122">
        <f t="shared" si="11"/>
        <v>0</v>
      </c>
      <c r="AN11" s="41">
        <f t="shared" si="12"/>
        <v>0</v>
      </c>
      <c r="AO11" s="70">
        <f t="shared" si="13"/>
        <v>0</v>
      </c>
      <c r="AP11" s="70">
        <f t="shared" si="14"/>
        <v>0</v>
      </c>
      <c r="AQ11" s="70">
        <f t="shared" si="15"/>
        <v>0</v>
      </c>
      <c r="AR11" s="70">
        <f t="shared" si="16"/>
        <v>0</v>
      </c>
      <c r="AT11" s="157">
        <v>8</v>
      </c>
      <c r="AU11" s="158">
        <f t="shared" si="17"/>
        <v>0</v>
      </c>
      <c r="AV11" s="159">
        <f t="shared" si="18"/>
        <v>0</v>
      </c>
    </row>
    <row r="12" spans="2:48" s="10" customFormat="1" ht="13.5" customHeight="1" x14ac:dyDescent="0.25">
      <c r="B12" s="17">
        <v>10</v>
      </c>
      <c r="C12" s="10" t="s">
        <v>136</v>
      </c>
      <c r="D12" s="10" t="s">
        <v>140</v>
      </c>
      <c r="E12" s="72" t="s">
        <v>147</v>
      </c>
      <c r="F12" s="18" t="s">
        <v>2236</v>
      </c>
      <c r="G12" s="10">
        <v>12</v>
      </c>
      <c r="H12" s="10">
        <v>1</v>
      </c>
      <c r="I12" s="10">
        <v>428.8</v>
      </c>
      <c r="J12" s="11">
        <v>407000000</v>
      </c>
      <c r="K12" s="11">
        <f t="shared" si="0"/>
        <v>447700000.00000006</v>
      </c>
      <c r="L12" s="37">
        <f t="shared" si="1"/>
        <v>4.07</v>
      </c>
      <c r="M12" s="11" t="s">
        <v>495</v>
      </c>
      <c r="N12" s="10" t="s">
        <v>319</v>
      </c>
      <c r="O12" s="21" t="s">
        <v>2209</v>
      </c>
      <c r="P12" s="21">
        <v>9</v>
      </c>
      <c r="Q12" s="21" t="s">
        <v>2170</v>
      </c>
      <c r="R12" s="23" t="s">
        <v>2210</v>
      </c>
      <c r="S12" s="50" t="s">
        <v>81</v>
      </c>
      <c r="T12" s="48" t="s">
        <v>2211</v>
      </c>
      <c r="U12" s="81" t="s">
        <v>197</v>
      </c>
      <c r="V12" s="26" t="s">
        <v>331</v>
      </c>
      <c r="W12" s="200" t="s">
        <v>259</v>
      </c>
      <c r="X12" s="17" t="s">
        <v>272</v>
      </c>
      <c r="Z12">
        <v>2</v>
      </c>
      <c r="AA12" s="416"/>
      <c r="AB12" s="95">
        <v>4</v>
      </c>
      <c r="AC12" s="102" t="s">
        <v>67</v>
      </c>
      <c r="AD12" s="41">
        <f t="shared" si="2"/>
        <v>499.59</v>
      </c>
      <c r="AE12" s="70">
        <f t="shared" si="3"/>
        <v>0</v>
      </c>
      <c r="AF12" s="70">
        <f t="shared" si="4"/>
        <v>0</v>
      </c>
      <c r="AG12" s="70">
        <f t="shared" si="5"/>
        <v>499.59</v>
      </c>
      <c r="AH12" s="109">
        <f t="shared" si="6"/>
        <v>0</v>
      </c>
      <c r="AI12" s="120">
        <f t="shared" si="7"/>
        <v>1</v>
      </c>
      <c r="AJ12" s="121">
        <f t="shared" si="8"/>
        <v>0</v>
      </c>
      <c r="AK12" s="121">
        <f t="shared" si="9"/>
        <v>0</v>
      </c>
      <c r="AL12" s="121">
        <f t="shared" si="10"/>
        <v>1</v>
      </c>
      <c r="AM12" s="122">
        <f t="shared" si="11"/>
        <v>0</v>
      </c>
      <c r="AN12" s="41">
        <f t="shared" si="12"/>
        <v>4.3</v>
      </c>
      <c r="AO12" s="70">
        <f t="shared" si="13"/>
        <v>0</v>
      </c>
      <c r="AP12" s="70">
        <f t="shared" si="14"/>
        <v>0</v>
      </c>
      <c r="AQ12" s="70">
        <f t="shared" si="15"/>
        <v>4.3</v>
      </c>
      <c r="AR12" s="70">
        <f t="shared" si="16"/>
        <v>0</v>
      </c>
      <c r="AT12" s="157">
        <v>9</v>
      </c>
      <c r="AU12" s="158">
        <f t="shared" si="17"/>
        <v>0</v>
      </c>
      <c r="AV12" s="159">
        <f t="shared" si="18"/>
        <v>1</v>
      </c>
    </row>
    <row r="13" spans="2:48" s="10" customFormat="1" ht="13.5" hidden="1" customHeight="1" x14ac:dyDescent="0.25">
      <c r="B13" s="17">
        <v>11</v>
      </c>
      <c r="E13" s="72"/>
      <c r="F13" s="18"/>
      <c r="J13" s="11"/>
      <c r="K13" s="11">
        <f t="shared" ref="K13:K67" si="35">J13*1.1</f>
        <v>0</v>
      </c>
      <c r="L13" s="37">
        <f t="shared" ref="L13:L67" si="36">J13*0.00000001</f>
        <v>0</v>
      </c>
      <c r="M13" s="11"/>
      <c r="O13" s="21"/>
      <c r="P13" s="21"/>
      <c r="Q13" s="21"/>
      <c r="R13" s="23"/>
      <c r="S13" s="50"/>
      <c r="T13" s="48"/>
      <c r="U13" s="81"/>
      <c r="V13" s="26"/>
      <c r="W13" s="200"/>
      <c r="X13" s="17"/>
      <c r="Z13">
        <v>2</v>
      </c>
      <c r="AA13" s="416"/>
      <c r="AB13" s="96">
        <v>5</v>
      </c>
      <c r="AC13" s="102"/>
      <c r="AD13" s="41">
        <f t="shared" si="2"/>
        <v>0</v>
      </c>
      <c r="AE13" s="70">
        <f t="shared" si="3"/>
        <v>0</v>
      </c>
      <c r="AF13" s="70">
        <f t="shared" si="4"/>
        <v>0</v>
      </c>
      <c r="AG13" s="70">
        <f t="shared" si="5"/>
        <v>0</v>
      </c>
      <c r="AH13" s="109">
        <f t="shared" si="6"/>
        <v>0</v>
      </c>
      <c r="AI13" s="120">
        <f t="shared" si="7"/>
        <v>0</v>
      </c>
      <c r="AJ13" s="121">
        <f t="shared" si="8"/>
        <v>0</v>
      </c>
      <c r="AK13" s="121">
        <f t="shared" si="9"/>
        <v>0</v>
      </c>
      <c r="AL13" s="121">
        <f t="shared" si="10"/>
        <v>0</v>
      </c>
      <c r="AM13" s="122">
        <f t="shared" si="11"/>
        <v>0</v>
      </c>
      <c r="AN13" s="41">
        <f t="shared" si="12"/>
        <v>0</v>
      </c>
      <c r="AO13" s="70">
        <f t="shared" si="13"/>
        <v>0</v>
      </c>
      <c r="AP13" s="70">
        <f t="shared" si="14"/>
        <v>0</v>
      </c>
      <c r="AQ13" s="70">
        <f t="shared" si="15"/>
        <v>0</v>
      </c>
      <c r="AR13" s="70">
        <f t="shared" si="16"/>
        <v>0</v>
      </c>
      <c r="AT13" s="157">
        <v>10</v>
      </c>
      <c r="AU13" s="158">
        <f t="shared" si="17"/>
        <v>0</v>
      </c>
      <c r="AV13" s="159">
        <f t="shared" si="18"/>
        <v>0</v>
      </c>
    </row>
    <row r="14" spans="2:48" s="10" customFormat="1" ht="13.5" hidden="1" customHeight="1" thickBot="1" x14ac:dyDescent="0.3">
      <c r="B14" s="17">
        <v>12</v>
      </c>
      <c r="E14" s="72"/>
      <c r="F14" s="18"/>
      <c r="J14" s="11"/>
      <c r="K14" s="11">
        <f t="shared" si="35"/>
        <v>0</v>
      </c>
      <c r="L14" s="37">
        <f t="shared" si="36"/>
        <v>0</v>
      </c>
      <c r="M14" s="11"/>
      <c r="O14" s="21"/>
      <c r="P14" s="21"/>
      <c r="Q14" s="21"/>
      <c r="R14" s="23"/>
      <c r="S14" s="50"/>
      <c r="T14" s="48"/>
      <c r="U14" s="81"/>
      <c r="V14" s="31"/>
      <c r="W14" s="200"/>
      <c r="X14" s="17"/>
      <c r="Z14">
        <v>2</v>
      </c>
      <c r="AA14" s="417"/>
      <c r="AB14" s="97" t="s">
        <v>3</v>
      </c>
      <c r="AC14" s="103"/>
      <c r="AD14" s="99">
        <f>SUM(AD9:AD13)</f>
        <v>499.59</v>
      </c>
      <c r="AE14" s="99">
        <f t="shared" ref="AE14" si="37">SUM(AE9:AE13)</f>
        <v>0</v>
      </c>
      <c r="AF14" s="99">
        <f t="shared" ref="AF14" si="38">SUM(AF9:AF13)</f>
        <v>0</v>
      </c>
      <c r="AG14" s="99">
        <f t="shared" ref="AG14" si="39">SUM(AG9:AG13)</f>
        <v>499.59</v>
      </c>
      <c r="AH14" s="110">
        <f t="shared" ref="AH14" si="40">SUM(AH9:AH13)</f>
        <v>0</v>
      </c>
      <c r="AI14" s="123">
        <f t="shared" ref="AI14" si="41">SUM(AI9:AI13)</f>
        <v>1</v>
      </c>
      <c r="AJ14" s="124">
        <f t="shared" ref="AJ14" si="42">SUM(AJ9:AJ13)</f>
        <v>0</v>
      </c>
      <c r="AK14" s="124">
        <f t="shared" ref="AK14" si="43">SUM(AK9:AK13)</f>
        <v>0</v>
      </c>
      <c r="AL14" s="124">
        <f t="shared" ref="AL14" si="44">SUM(AL9:AL13)</f>
        <v>1</v>
      </c>
      <c r="AM14" s="125">
        <f t="shared" ref="AM14" si="45">SUM(AM9:AM13)</f>
        <v>0</v>
      </c>
      <c r="AN14" s="99">
        <f t="shared" ref="AN14" si="46">SUM(AN9:AN13)</f>
        <v>4.3</v>
      </c>
      <c r="AO14" s="99">
        <f t="shared" ref="AO14" si="47">SUM(AO9:AO13)</f>
        <v>0</v>
      </c>
      <c r="AP14" s="99">
        <f t="shared" ref="AP14" si="48">SUM(AP9:AP13)</f>
        <v>0</v>
      </c>
      <c r="AQ14" s="99">
        <f t="shared" ref="AQ14" si="49">SUM(AQ9:AQ13)</f>
        <v>4.3</v>
      </c>
      <c r="AR14" s="99">
        <f t="shared" ref="AR14" si="50">SUM(AR9:AR13)</f>
        <v>0</v>
      </c>
      <c r="AT14" s="157">
        <v>11</v>
      </c>
      <c r="AU14" s="158">
        <f t="shared" si="17"/>
        <v>2</v>
      </c>
      <c r="AV14" s="159">
        <f t="shared" si="18"/>
        <v>0</v>
      </c>
    </row>
    <row r="15" spans="2:48" s="10" customFormat="1" ht="13.5" hidden="1" customHeight="1" thickBot="1" x14ac:dyDescent="0.3">
      <c r="B15" s="17">
        <v>13</v>
      </c>
      <c r="E15" s="72"/>
      <c r="F15" s="18"/>
      <c r="J15" s="11"/>
      <c r="K15" s="11">
        <f t="shared" si="35"/>
        <v>0</v>
      </c>
      <c r="L15" s="37">
        <f t="shared" si="36"/>
        <v>0</v>
      </c>
      <c r="M15" s="11"/>
      <c r="O15" s="21"/>
      <c r="P15" s="21"/>
      <c r="Q15" s="21"/>
      <c r="R15" s="23"/>
      <c r="S15" s="50"/>
      <c r="T15" s="48"/>
      <c r="U15" s="81"/>
      <c r="V15" s="32"/>
      <c r="W15" s="200"/>
      <c r="X15" s="17"/>
      <c r="Z15">
        <v>3</v>
      </c>
      <c r="AA15" s="415">
        <v>3</v>
      </c>
      <c r="AB15" s="94">
        <v>1</v>
      </c>
      <c r="AC15" s="100" t="s">
        <v>107</v>
      </c>
      <c r="AD15" s="41">
        <f t="shared" si="2"/>
        <v>0</v>
      </c>
      <c r="AE15" s="70">
        <f t="shared" si="3"/>
        <v>0</v>
      </c>
      <c r="AF15" s="70">
        <f t="shared" si="4"/>
        <v>0</v>
      </c>
      <c r="AG15" s="70">
        <f t="shared" si="5"/>
        <v>0</v>
      </c>
      <c r="AH15" s="109">
        <f t="shared" si="6"/>
        <v>0</v>
      </c>
      <c r="AI15" s="120">
        <f t="shared" si="7"/>
        <v>0</v>
      </c>
      <c r="AJ15" s="121">
        <f t="shared" si="8"/>
        <v>0</v>
      </c>
      <c r="AK15" s="121">
        <f t="shared" si="9"/>
        <v>0</v>
      </c>
      <c r="AL15" s="121">
        <f t="shared" si="10"/>
        <v>0</v>
      </c>
      <c r="AM15" s="122">
        <f t="shared" si="11"/>
        <v>0</v>
      </c>
      <c r="AN15" s="41">
        <f t="shared" si="12"/>
        <v>0</v>
      </c>
      <c r="AO15" s="70">
        <f t="shared" si="13"/>
        <v>0</v>
      </c>
      <c r="AP15" s="70">
        <f t="shared" si="14"/>
        <v>0</v>
      </c>
      <c r="AQ15" s="70">
        <f t="shared" si="15"/>
        <v>0</v>
      </c>
      <c r="AR15" s="70">
        <f t="shared" si="16"/>
        <v>0</v>
      </c>
      <c r="AT15" s="160">
        <v>12</v>
      </c>
      <c r="AU15" s="158">
        <f t="shared" si="17"/>
        <v>1</v>
      </c>
      <c r="AV15" s="159">
        <f t="shared" si="18"/>
        <v>0</v>
      </c>
    </row>
    <row r="16" spans="2:48" s="10" customFormat="1" ht="13.5" hidden="1" customHeight="1" thickBot="1" x14ac:dyDescent="0.3">
      <c r="B16" s="17">
        <v>14</v>
      </c>
      <c r="E16" s="72"/>
      <c r="F16" s="18"/>
      <c r="J16" s="11"/>
      <c r="K16" s="11">
        <f t="shared" si="35"/>
        <v>0</v>
      </c>
      <c r="L16" s="37">
        <f t="shared" si="36"/>
        <v>0</v>
      </c>
      <c r="M16" s="11"/>
      <c r="O16" s="21"/>
      <c r="P16" s="21"/>
      <c r="Q16" s="21"/>
      <c r="R16" s="23"/>
      <c r="S16" s="50"/>
      <c r="T16" s="48"/>
      <c r="U16" s="81"/>
      <c r="V16" s="32"/>
      <c r="W16" s="200"/>
      <c r="X16" s="17"/>
      <c r="Z16">
        <v>3</v>
      </c>
      <c r="AA16" s="416"/>
      <c r="AB16" s="95">
        <v>2</v>
      </c>
      <c r="AC16" s="101" t="s">
        <v>65</v>
      </c>
      <c r="AD16" s="41">
        <f t="shared" si="2"/>
        <v>0</v>
      </c>
      <c r="AE16" s="70">
        <f t="shared" si="3"/>
        <v>0</v>
      </c>
      <c r="AF16" s="70">
        <f t="shared" si="4"/>
        <v>0</v>
      </c>
      <c r="AG16" s="70">
        <f t="shared" si="5"/>
        <v>0</v>
      </c>
      <c r="AH16" s="109">
        <f t="shared" si="6"/>
        <v>0</v>
      </c>
      <c r="AI16" s="120">
        <f t="shared" si="7"/>
        <v>0</v>
      </c>
      <c r="AJ16" s="121">
        <f t="shared" si="8"/>
        <v>0</v>
      </c>
      <c r="AK16" s="121">
        <f t="shared" si="9"/>
        <v>0</v>
      </c>
      <c r="AL16" s="121">
        <f t="shared" si="10"/>
        <v>0</v>
      </c>
      <c r="AM16" s="122">
        <f t="shared" si="11"/>
        <v>0</v>
      </c>
      <c r="AN16" s="41">
        <f t="shared" si="12"/>
        <v>0</v>
      </c>
      <c r="AO16" s="70">
        <f t="shared" si="13"/>
        <v>0</v>
      </c>
      <c r="AP16" s="70">
        <f t="shared" si="14"/>
        <v>0</v>
      </c>
      <c r="AQ16" s="70">
        <f t="shared" si="15"/>
        <v>0</v>
      </c>
      <c r="AR16" s="70">
        <f t="shared" si="16"/>
        <v>0</v>
      </c>
      <c r="AT16" s="161" t="s">
        <v>3</v>
      </c>
      <c r="AU16" s="162">
        <f>SUM(AU4:AU15)</f>
        <v>8</v>
      </c>
      <c r="AV16" s="162">
        <f>SUM(AV4:AV15)</f>
        <v>1</v>
      </c>
    </row>
    <row r="17" spans="2:48" s="10" customFormat="1" ht="13.5" hidden="1" customHeight="1" thickBot="1" x14ac:dyDescent="0.3">
      <c r="B17" s="17">
        <v>15</v>
      </c>
      <c r="E17" s="72"/>
      <c r="F17" s="18"/>
      <c r="J17" s="11"/>
      <c r="K17" s="11">
        <f t="shared" si="35"/>
        <v>0</v>
      </c>
      <c r="L17" s="37">
        <f t="shared" si="36"/>
        <v>0</v>
      </c>
      <c r="M17" s="11"/>
      <c r="O17" s="21"/>
      <c r="P17" s="21"/>
      <c r="Q17" s="21"/>
      <c r="R17" s="23"/>
      <c r="S17" s="50"/>
      <c r="T17" s="48"/>
      <c r="U17" s="81"/>
      <c r="V17" s="32"/>
      <c r="W17" s="200"/>
      <c r="X17" s="17"/>
      <c r="Z17">
        <v>3</v>
      </c>
      <c r="AA17" s="416"/>
      <c r="AB17" s="95">
        <v>3</v>
      </c>
      <c r="AC17" s="102" t="s">
        <v>66</v>
      </c>
      <c r="AD17" s="41">
        <f t="shared" si="2"/>
        <v>0</v>
      </c>
      <c r="AE17" s="70">
        <f t="shared" si="3"/>
        <v>0</v>
      </c>
      <c r="AF17" s="70">
        <f t="shared" si="4"/>
        <v>0</v>
      </c>
      <c r="AG17" s="70">
        <f t="shared" si="5"/>
        <v>0</v>
      </c>
      <c r="AH17" s="109">
        <f t="shared" si="6"/>
        <v>0</v>
      </c>
      <c r="AI17" s="120">
        <f t="shared" si="7"/>
        <v>0</v>
      </c>
      <c r="AJ17" s="121">
        <f t="shared" si="8"/>
        <v>0</v>
      </c>
      <c r="AK17" s="121">
        <f t="shared" si="9"/>
        <v>0</v>
      </c>
      <c r="AL17" s="121">
        <f t="shared" si="10"/>
        <v>0</v>
      </c>
      <c r="AM17" s="122">
        <f t="shared" si="11"/>
        <v>0</v>
      </c>
      <c r="AN17" s="41">
        <f t="shared" si="12"/>
        <v>0</v>
      </c>
      <c r="AO17" s="70">
        <f t="shared" si="13"/>
        <v>0</v>
      </c>
      <c r="AP17" s="70">
        <f t="shared" si="14"/>
        <v>0</v>
      </c>
      <c r="AQ17" s="70">
        <f t="shared" si="15"/>
        <v>0</v>
      </c>
      <c r="AR17" s="70">
        <f t="shared" si="16"/>
        <v>0</v>
      </c>
      <c r="AT17" s="161" t="s">
        <v>152</v>
      </c>
      <c r="AU17" s="163">
        <f>AU16/($AU$16+$AV$16)</f>
        <v>0.88888888888888884</v>
      </c>
      <c r="AV17" s="164">
        <f>AV16/($AV$16+$AU$16)</f>
        <v>0.1111111111111111</v>
      </c>
    </row>
    <row r="18" spans="2:48" s="10" customFormat="1" ht="13.5" hidden="1" customHeight="1" x14ac:dyDescent="0.25">
      <c r="B18" s="17">
        <v>16</v>
      </c>
      <c r="E18" s="72"/>
      <c r="F18" s="18"/>
      <c r="J18" s="11"/>
      <c r="K18" s="11">
        <f t="shared" si="35"/>
        <v>0</v>
      </c>
      <c r="L18" s="37">
        <f t="shared" si="36"/>
        <v>0</v>
      </c>
      <c r="M18" s="11"/>
      <c r="O18" s="21"/>
      <c r="P18" s="21"/>
      <c r="Q18" s="21"/>
      <c r="R18" s="23"/>
      <c r="S18" s="50"/>
      <c r="T18" s="48"/>
      <c r="U18" s="81"/>
      <c r="V18" s="26"/>
      <c r="W18" s="200"/>
      <c r="X18" s="17"/>
      <c r="Z18">
        <v>3</v>
      </c>
      <c r="AA18" s="416"/>
      <c r="AB18" s="95">
        <v>4</v>
      </c>
      <c r="AC18" s="102" t="s">
        <v>67</v>
      </c>
      <c r="AD18" s="41">
        <f t="shared" si="2"/>
        <v>0</v>
      </c>
      <c r="AE18" s="70">
        <f t="shared" si="3"/>
        <v>0</v>
      </c>
      <c r="AF18" s="70">
        <f t="shared" si="4"/>
        <v>0</v>
      </c>
      <c r="AG18" s="70">
        <f t="shared" si="5"/>
        <v>0</v>
      </c>
      <c r="AH18" s="109">
        <f t="shared" si="6"/>
        <v>0</v>
      </c>
      <c r="AI18" s="120">
        <f t="shared" si="7"/>
        <v>0</v>
      </c>
      <c r="AJ18" s="121">
        <f t="shared" si="8"/>
        <v>0</v>
      </c>
      <c r="AK18" s="121">
        <f t="shared" si="9"/>
        <v>0</v>
      </c>
      <c r="AL18" s="121">
        <f t="shared" si="10"/>
        <v>0</v>
      </c>
      <c r="AM18" s="122">
        <f t="shared" si="11"/>
        <v>0</v>
      </c>
      <c r="AN18" s="41">
        <f t="shared" si="12"/>
        <v>0</v>
      </c>
      <c r="AO18" s="70">
        <f t="shared" si="13"/>
        <v>0</v>
      </c>
      <c r="AP18" s="70">
        <f t="shared" si="14"/>
        <v>0</v>
      </c>
      <c r="AQ18" s="70">
        <f t="shared" si="15"/>
        <v>0</v>
      </c>
      <c r="AR18" s="70">
        <f t="shared" si="16"/>
        <v>0</v>
      </c>
    </row>
    <row r="19" spans="2:48" s="10" customFormat="1" ht="13.5" hidden="1" customHeight="1" x14ac:dyDescent="0.25">
      <c r="B19" s="17">
        <v>17</v>
      </c>
      <c r="E19" s="72"/>
      <c r="F19" s="18"/>
      <c r="J19" s="11"/>
      <c r="K19" s="11">
        <f t="shared" si="35"/>
        <v>0</v>
      </c>
      <c r="L19" s="37">
        <f t="shared" si="36"/>
        <v>0</v>
      </c>
      <c r="M19" s="11"/>
      <c r="O19" s="21"/>
      <c r="P19" s="21"/>
      <c r="Q19" s="21"/>
      <c r="R19" s="23"/>
      <c r="S19" s="50"/>
      <c r="T19" s="48"/>
      <c r="U19" s="81"/>
      <c r="V19" s="26"/>
      <c r="W19" s="200"/>
      <c r="X19" s="17"/>
      <c r="Z19">
        <v>3</v>
      </c>
      <c r="AA19" s="416"/>
      <c r="AB19" s="96">
        <v>5</v>
      </c>
      <c r="AC19" s="102"/>
      <c r="AD19" s="41">
        <f t="shared" si="2"/>
        <v>0</v>
      </c>
      <c r="AE19" s="70">
        <f t="shared" si="3"/>
        <v>0</v>
      </c>
      <c r="AF19" s="70">
        <f t="shared" si="4"/>
        <v>0</v>
      </c>
      <c r="AG19" s="70">
        <f t="shared" si="5"/>
        <v>0</v>
      </c>
      <c r="AH19" s="109">
        <f t="shared" si="6"/>
        <v>0</v>
      </c>
      <c r="AI19" s="120">
        <f t="shared" si="7"/>
        <v>0</v>
      </c>
      <c r="AJ19" s="121">
        <f t="shared" si="8"/>
        <v>0</v>
      </c>
      <c r="AK19" s="121">
        <f t="shared" si="9"/>
        <v>0</v>
      </c>
      <c r="AL19" s="121">
        <f t="shared" si="10"/>
        <v>0</v>
      </c>
      <c r="AM19" s="122">
        <f t="shared" si="11"/>
        <v>0</v>
      </c>
      <c r="AN19" s="41">
        <f t="shared" si="12"/>
        <v>0</v>
      </c>
      <c r="AO19" s="70">
        <f t="shared" si="13"/>
        <v>0</v>
      </c>
      <c r="AP19" s="70">
        <f t="shared" si="14"/>
        <v>0</v>
      </c>
      <c r="AQ19" s="70">
        <f t="shared" si="15"/>
        <v>0</v>
      </c>
      <c r="AR19" s="70">
        <f t="shared" si="16"/>
        <v>0</v>
      </c>
    </row>
    <row r="20" spans="2:48" s="10" customFormat="1" ht="13.5" hidden="1" customHeight="1" thickBot="1" x14ac:dyDescent="0.3">
      <c r="B20" s="17">
        <v>18</v>
      </c>
      <c r="E20" s="72"/>
      <c r="F20" s="18"/>
      <c r="J20" s="11"/>
      <c r="K20" s="11">
        <f t="shared" si="35"/>
        <v>0</v>
      </c>
      <c r="L20" s="37">
        <f t="shared" si="36"/>
        <v>0</v>
      </c>
      <c r="M20" s="11"/>
      <c r="O20" s="21"/>
      <c r="P20" s="21"/>
      <c r="Q20" s="21"/>
      <c r="R20" s="23"/>
      <c r="S20" s="50"/>
      <c r="T20" s="48"/>
      <c r="U20" s="81"/>
      <c r="V20" s="26"/>
      <c r="W20" s="200"/>
      <c r="X20" s="17"/>
      <c r="Z20">
        <v>3</v>
      </c>
      <c r="AA20" s="417"/>
      <c r="AB20" s="97" t="s">
        <v>3</v>
      </c>
      <c r="AC20" s="103"/>
      <c r="AD20" s="99">
        <f>SUM(AD15:AD19)</f>
        <v>0</v>
      </c>
      <c r="AE20" s="99">
        <f t="shared" ref="AE20" si="51">SUM(AE15:AE19)</f>
        <v>0</v>
      </c>
      <c r="AF20" s="99">
        <f t="shared" ref="AF20" si="52">SUM(AF15:AF19)</f>
        <v>0</v>
      </c>
      <c r="AG20" s="99">
        <f t="shared" ref="AG20" si="53">SUM(AG15:AG19)</f>
        <v>0</v>
      </c>
      <c r="AH20" s="110">
        <f t="shared" ref="AH20" si="54">SUM(AH15:AH19)</f>
        <v>0</v>
      </c>
      <c r="AI20" s="123">
        <f t="shared" ref="AI20" si="55">SUM(AI15:AI19)</f>
        <v>0</v>
      </c>
      <c r="AJ20" s="124">
        <f t="shared" ref="AJ20" si="56">SUM(AJ15:AJ19)</f>
        <v>0</v>
      </c>
      <c r="AK20" s="124">
        <f t="shared" ref="AK20" si="57">SUM(AK15:AK19)</f>
        <v>0</v>
      </c>
      <c r="AL20" s="124">
        <f t="shared" ref="AL20" si="58">SUM(AL15:AL19)</f>
        <v>0</v>
      </c>
      <c r="AM20" s="125">
        <f t="shared" ref="AM20" si="59">SUM(AM15:AM19)</f>
        <v>0</v>
      </c>
      <c r="AN20" s="99">
        <f t="shared" ref="AN20" si="60">SUM(AN15:AN19)</f>
        <v>0</v>
      </c>
      <c r="AO20" s="99">
        <f t="shared" ref="AO20" si="61">SUM(AO15:AO19)</f>
        <v>0</v>
      </c>
      <c r="AP20" s="99">
        <f t="shared" ref="AP20" si="62">SUM(AP15:AP19)</f>
        <v>0</v>
      </c>
      <c r="AQ20" s="99">
        <f t="shared" ref="AQ20" si="63">SUM(AQ15:AQ19)</f>
        <v>0</v>
      </c>
      <c r="AR20" s="99">
        <f t="shared" ref="AR20" si="64">SUM(AR15:AR19)</f>
        <v>0</v>
      </c>
    </row>
    <row r="21" spans="2:48" s="10" customFormat="1" ht="13.5" hidden="1" customHeight="1" x14ac:dyDescent="0.25">
      <c r="B21" s="17">
        <v>19</v>
      </c>
      <c r="E21" s="72"/>
      <c r="F21" s="18"/>
      <c r="J21" s="11"/>
      <c r="K21" s="11">
        <f t="shared" si="35"/>
        <v>0</v>
      </c>
      <c r="L21" s="37">
        <f t="shared" si="36"/>
        <v>0</v>
      </c>
      <c r="M21" s="11"/>
      <c r="O21" s="21"/>
      <c r="P21" s="21"/>
      <c r="Q21" s="21"/>
      <c r="R21" s="23"/>
      <c r="S21" s="50"/>
      <c r="T21" s="48"/>
      <c r="U21" s="81"/>
      <c r="V21" s="26"/>
      <c r="W21" s="200"/>
      <c r="X21" s="17"/>
      <c r="Z21">
        <v>4</v>
      </c>
      <c r="AA21" s="415">
        <v>4</v>
      </c>
      <c r="AB21" s="94">
        <v>1</v>
      </c>
      <c r="AC21" s="100" t="s">
        <v>108</v>
      </c>
      <c r="AD21" s="41">
        <f t="shared" si="2"/>
        <v>0</v>
      </c>
      <c r="AE21" s="70">
        <f t="shared" si="3"/>
        <v>0</v>
      </c>
      <c r="AF21" s="70">
        <f t="shared" si="4"/>
        <v>0</v>
      </c>
      <c r="AG21" s="70">
        <f t="shared" si="5"/>
        <v>0</v>
      </c>
      <c r="AH21" s="109">
        <f t="shared" si="6"/>
        <v>0</v>
      </c>
      <c r="AI21" s="120">
        <f t="shared" si="7"/>
        <v>0</v>
      </c>
      <c r="AJ21" s="121">
        <f t="shared" si="8"/>
        <v>0</v>
      </c>
      <c r="AK21" s="121">
        <f t="shared" si="9"/>
        <v>0</v>
      </c>
      <c r="AL21" s="121">
        <f t="shared" si="10"/>
        <v>0</v>
      </c>
      <c r="AM21" s="122">
        <f t="shared" si="11"/>
        <v>0</v>
      </c>
      <c r="AN21" s="41">
        <f t="shared" si="12"/>
        <v>0</v>
      </c>
      <c r="AO21" s="70">
        <f t="shared" si="13"/>
        <v>0</v>
      </c>
      <c r="AP21" s="70">
        <f t="shared" si="14"/>
        <v>0</v>
      </c>
      <c r="AQ21" s="70">
        <f t="shared" si="15"/>
        <v>0</v>
      </c>
      <c r="AR21" s="70">
        <f t="shared" si="16"/>
        <v>0</v>
      </c>
    </row>
    <row r="22" spans="2:48" s="10" customFormat="1" ht="13.5" hidden="1" customHeight="1" x14ac:dyDescent="0.25">
      <c r="B22" s="17">
        <v>20</v>
      </c>
      <c r="E22" s="72"/>
      <c r="F22" s="18"/>
      <c r="J22" s="11"/>
      <c r="K22" s="11">
        <f t="shared" si="35"/>
        <v>0</v>
      </c>
      <c r="L22" s="37">
        <f t="shared" si="36"/>
        <v>0</v>
      </c>
      <c r="M22" s="11"/>
      <c r="O22" s="21"/>
      <c r="P22" s="21"/>
      <c r="Q22" s="21"/>
      <c r="R22" s="23"/>
      <c r="S22" s="50"/>
      <c r="T22" s="48"/>
      <c r="U22" s="81"/>
      <c r="V22" s="26"/>
      <c r="W22" s="200"/>
      <c r="X22" s="17"/>
      <c r="Z22">
        <v>4</v>
      </c>
      <c r="AA22" s="416"/>
      <c r="AB22" s="95">
        <v>2</v>
      </c>
      <c r="AC22" s="102" t="s">
        <v>68</v>
      </c>
      <c r="AD22" s="41">
        <f t="shared" si="2"/>
        <v>0</v>
      </c>
      <c r="AE22" s="70">
        <f t="shared" si="3"/>
        <v>0</v>
      </c>
      <c r="AF22" s="70">
        <f t="shared" si="4"/>
        <v>0</v>
      </c>
      <c r="AG22" s="70">
        <f t="shared" si="5"/>
        <v>0</v>
      </c>
      <c r="AH22" s="109">
        <f t="shared" si="6"/>
        <v>0</v>
      </c>
      <c r="AI22" s="120">
        <f t="shared" si="7"/>
        <v>0</v>
      </c>
      <c r="AJ22" s="121">
        <f t="shared" si="8"/>
        <v>0</v>
      </c>
      <c r="AK22" s="121">
        <f t="shared" si="9"/>
        <v>0</v>
      </c>
      <c r="AL22" s="121">
        <f t="shared" si="10"/>
        <v>0</v>
      </c>
      <c r="AM22" s="122">
        <f t="shared" si="11"/>
        <v>0</v>
      </c>
      <c r="AN22" s="41">
        <f t="shared" si="12"/>
        <v>0</v>
      </c>
      <c r="AO22" s="70">
        <f t="shared" si="13"/>
        <v>0</v>
      </c>
      <c r="AP22" s="70">
        <f t="shared" si="14"/>
        <v>0</v>
      </c>
      <c r="AQ22" s="70">
        <f t="shared" si="15"/>
        <v>0</v>
      </c>
      <c r="AR22" s="70">
        <f t="shared" si="16"/>
        <v>0</v>
      </c>
    </row>
    <row r="23" spans="2:48" s="10" customFormat="1" ht="13.5" hidden="1" customHeight="1" x14ac:dyDescent="0.25">
      <c r="B23" s="17">
        <v>21</v>
      </c>
      <c r="E23" s="72"/>
      <c r="F23" s="18"/>
      <c r="J23" s="11"/>
      <c r="K23" s="11">
        <f t="shared" si="35"/>
        <v>0</v>
      </c>
      <c r="L23" s="37">
        <f t="shared" si="36"/>
        <v>0</v>
      </c>
      <c r="M23" s="11"/>
      <c r="O23" s="21"/>
      <c r="P23" s="21"/>
      <c r="Q23" s="21"/>
      <c r="R23" s="23"/>
      <c r="S23" s="50"/>
      <c r="T23" s="48"/>
      <c r="U23" s="81"/>
      <c r="V23" s="26"/>
      <c r="W23" s="200"/>
      <c r="X23" s="17"/>
      <c r="Z23">
        <v>4</v>
      </c>
      <c r="AA23" s="416"/>
      <c r="AB23" s="95">
        <v>3</v>
      </c>
      <c r="AC23" s="102" t="s">
        <v>69</v>
      </c>
      <c r="AD23" s="41">
        <f t="shared" si="2"/>
        <v>0</v>
      </c>
      <c r="AE23" s="70">
        <f t="shared" si="3"/>
        <v>0</v>
      </c>
      <c r="AF23" s="70">
        <f t="shared" si="4"/>
        <v>0</v>
      </c>
      <c r="AG23" s="70">
        <f t="shared" si="5"/>
        <v>0</v>
      </c>
      <c r="AH23" s="109">
        <f t="shared" si="6"/>
        <v>0</v>
      </c>
      <c r="AI23" s="120">
        <f t="shared" si="7"/>
        <v>0</v>
      </c>
      <c r="AJ23" s="121">
        <f t="shared" si="8"/>
        <v>0</v>
      </c>
      <c r="AK23" s="121">
        <f t="shared" si="9"/>
        <v>0</v>
      </c>
      <c r="AL23" s="121">
        <f t="shared" si="10"/>
        <v>0</v>
      </c>
      <c r="AM23" s="122">
        <f t="shared" si="11"/>
        <v>0</v>
      </c>
      <c r="AN23" s="41">
        <f t="shared" si="12"/>
        <v>0</v>
      </c>
      <c r="AO23" s="70">
        <f t="shared" si="13"/>
        <v>0</v>
      </c>
      <c r="AP23" s="70">
        <f t="shared" si="14"/>
        <v>0</v>
      </c>
      <c r="AQ23" s="70">
        <f t="shared" si="15"/>
        <v>0</v>
      </c>
      <c r="AR23" s="70">
        <f t="shared" si="16"/>
        <v>0</v>
      </c>
    </row>
    <row r="24" spans="2:48" s="10" customFormat="1" ht="13.5" hidden="1" customHeight="1" x14ac:dyDescent="0.25">
      <c r="B24" s="17">
        <v>22</v>
      </c>
      <c r="E24" s="72"/>
      <c r="F24" s="18"/>
      <c r="J24" s="11"/>
      <c r="K24" s="11">
        <f t="shared" si="35"/>
        <v>0</v>
      </c>
      <c r="L24" s="37">
        <f t="shared" si="36"/>
        <v>0</v>
      </c>
      <c r="M24" s="11"/>
      <c r="O24" s="21"/>
      <c r="P24" s="21"/>
      <c r="Q24" s="21"/>
      <c r="R24" s="23"/>
      <c r="S24" s="50"/>
      <c r="T24" s="48"/>
      <c r="U24" s="81"/>
      <c r="V24" s="26"/>
      <c r="W24" s="200"/>
      <c r="X24" s="17"/>
      <c r="Z24">
        <v>4</v>
      </c>
      <c r="AA24" s="416"/>
      <c r="AB24" s="95">
        <v>4</v>
      </c>
      <c r="AC24" s="102" t="s">
        <v>70</v>
      </c>
      <c r="AD24" s="41">
        <f t="shared" si="2"/>
        <v>0</v>
      </c>
      <c r="AE24" s="70">
        <f t="shared" si="3"/>
        <v>0</v>
      </c>
      <c r="AF24" s="70">
        <f t="shared" si="4"/>
        <v>0</v>
      </c>
      <c r="AG24" s="70">
        <f t="shared" si="5"/>
        <v>0</v>
      </c>
      <c r="AH24" s="109">
        <f t="shared" si="6"/>
        <v>0</v>
      </c>
      <c r="AI24" s="120">
        <f t="shared" si="7"/>
        <v>0</v>
      </c>
      <c r="AJ24" s="121">
        <f t="shared" si="8"/>
        <v>0</v>
      </c>
      <c r="AK24" s="121">
        <f t="shared" si="9"/>
        <v>0</v>
      </c>
      <c r="AL24" s="121">
        <f t="shared" si="10"/>
        <v>0</v>
      </c>
      <c r="AM24" s="122">
        <f t="shared" si="11"/>
        <v>0</v>
      </c>
      <c r="AN24" s="41">
        <f t="shared" si="12"/>
        <v>0</v>
      </c>
      <c r="AO24" s="70">
        <f t="shared" si="13"/>
        <v>0</v>
      </c>
      <c r="AP24" s="70">
        <f t="shared" si="14"/>
        <v>0</v>
      </c>
      <c r="AQ24" s="70">
        <f t="shared" si="15"/>
        <v>0</v>
      </c>
      <c r="AR24" s="70">
        <f t="shared" si="16"/>
        <v>0</v>
      </c>
      <c r="AT24" s="201" t="s">
        <v>256</v>
      </c>
      <c r="AU24" s="201" t="s">
        <v>257</v>
      </c>
      <c r="AV24" s="201" t="s">
        <v>152</v>
      </c>
    </row>
    <row r="25" spans="2:48" s="10" customFormat="1" ht="13.5" hidden="1" customHeight="1" x14ac:dyDescent="0.25">
      <c r="B25" s="17">
        <v>23</v>
      </c>
      <c r="E25" s="72"/>
      <c r="F25" s="18"/>
      <c r="J25" s="11"/>
      <c r="K25" s="11">
        <f t="shared" si="35"/>
        <v>0</v>
      </c>
      <c r="L25" s="37">
        <f t="shared" si="36"/>
        <v>0</v>
      </c>
      <c r="M25" s="11"/>
      <c r="O25" s="21"/>
      <c r="P25" s="21"/>
      <c r="Q25" s="21"/>
      <c r="R25" s="23"/>
      <c r="S25" s="50"/>
      <c r="T25" s="48"/>
      <c r="U25" s="81"/>
      <c r="V25" s="26"/>
      <c r="W25" s="200"/>
      <c r="X25" s="17"/>
      <c r="Z25">
        <v>4</v>
      </c>
      <c r="AA25" s="416"/>
      <c r="AB25" s="96">
        <v>5</v>
      </c>
      <c r="AC25" s="102" t="s">
        <v>109</v>
      </c>
      <c r="AD25" s="41">
        <f t="shared" si="2"/>
        <v>0</v>
      </c>
      <c r="AE25" s="70">
        <f t="shared" si="3"/>
        <v>0</v>
      </c>
      <c r="AF25" s="70">
        <f t="shared" si="4"/>
        <v>0</v>
      </c>
      <c r="AG25" s="70">
        <f t="shared" si="5"/>
        <v>0</v>
      </c>
      <c r="AH25" s="109">
        <f t="shared" si="6"/>
        <v>0</v>
      </c>
      <c r="AI25" s="120">
        <f t="shared" si="7"/>
        <v>0</v>
      </c>
      <c r="AJ25" s="121">
        <f t="shared" si="8"/>
        <v>0</v>
      </c>
      <c r="AK25" s="121">
        <f t="shared" si="9"/>
        <v>0</v>
      </c>
      <c r="AL25" s="121">
        <f t="shared" si="10"/>
        <v>0</v>
      </c>
      <c r="AM25" s="122">
        <f t="shared" si="11"/>
        <v>0</v>
      </c>
      <c r="AN25" s="41">
        <f t="shared" si="12"/>
        <v>0</v>
      </c>
      <c r="AO25" s="70">
        <f t="shared" si="13"/>
        <v>0</v>
      </c>
      <c r="AP25" s="70">
        <f t="shared" si="14"/>
        <v>0</v>
      </c>
      <c r="AQ25" s="70">
        <f t="shared" si="15"/>
        <v>0</v>
      </c>
      <c r="AR25" s="70">
        <f t="shared" si="16"/>
        <v>0</v>
      </c>
      <c r="AT25" s="202" t="s">
        <v>270</v>
      </c>
      <c r="AU25" s="202">
        <f>COUNTIF($W:$W, AT25)</f>
        <v>3</v>
      </c>
      <c r="AV25" s="203">
        <f>AU25/$AU$33</f>
        <v>0.3</v>
      </c>
    </row>
    <row r="26" spans="2:48" s="10" customFormat="1" ht="13.5" hidden="1" customHeight="1" thickBot="1" x14ac:dyDescent="0.3">
      <c r="B26" s="17">
        <v>24</v>
      </c>
      <c r="E26" s="72"/>
      <c r="F26" s="18"/>
      <c r="J26" s="11"/>
      <c r="K26" s="11">
        <f t="shared" si="35"/>
        <v>0</v>
      </c>
      <c r="L26" s="37">
        <f t="shared" si="36"/>
        <v>0</v>
      </c>
      <c r="M26" s="11"/>
      <c r="O26" s="21"/>
      <c r="P26" s="21"/>
      <c r="Q26" s="21"/>
      <c r="R26" s="23"/>
      <c r="S26" s="50"/>
      <c r="T26" s="48"/>
      <c r="U26" s="81"/>
      <c r="V26" s="26"/>
      <c r="W26" s="200"/>
      <c r="X26" s="17"/>
      <c r="Z26">
        <v>4</v>
      </c>
      <c r="AA26" s="417"/>
      <c r="AB26" s="97" t="s">
        <v>3</v>
      </c>
      <c r="AC26" s="103"/>
      <c r="AD26" s="99">
        <f>SUM(AD21:AD25)</f>
        <v>0</v>
      </c>
      <c r="AE26" s="99">
        <f t="shared" ref="AE26" si="65">SUM(AE21:AE25)</f>
        <v>0</v>
      </c>
      <c r="AF26" s="99">
        <f t="shared" ref="AF26" si="66">SUM(AF21:AF25)</f>
        <v>0</v>
      </c>
      <c r="AG26" s="99">
        <f t="shared" ref="AG26" si="67">SUM(AG21:AG25)</f>
        <v>0</v>
      </c>
      <c r="AH26" s="110">
        <f t="shared" ref="AH26" si="68">SUM(AH21:AH25)</f>
        <v>0</v>
      </c>
      <c r="AI26" s="123">
        <f t="shared" ref="AI26" si="69">SUM(AI21:AI25)</f>
        <v>0</v>
      </c>
      <c r="AJ26" s="124">
        <f t="shared" ref="AJ26" si="70">SUM(AJ21:AJ25)</f>
        <v>0</v>
      </c>
      <c r="AK26" s="124">
        <f t="shared" ref="AK26" si="71">SUM(AK21:AK25)</f>
        <v>0</v>
      </c>
      <c r="AL26" s="124">
        <f t="shared" ref="AL26" si="72">SUM(AL21:AL25)</f>
        <v>0</v>
      </c>
      <c r="AM26" s="125">
        <f t="shared" ref="AM26" si="73">SUM(AM21:AM25)</f>
        <v>0</v>
      </c>
      <c r="AN26" s="99">
        <f t="shared" ref="AN26" si="74">SUM(AN21:AN25)</f>
        <v>0</v>
      </c>
      <c r="AO26" s="99">
        <f t="shared" ref="AO26" si="75">SUM(AO21:AO25)</f>
        <v>0</v>
      </c>
      <c r="AP26" s="99">
        <f t="shared" ref="AP26" si="76">SUM(AP21:AP25)</f>
        <v>0</v>
      </c>
      <c r="AQ26" s="99">
        <f t="shared" ref="AQ26" si="77">SUM(AQ21:AQ25)</f>
        <v>0</v>
      </c>
      <c r="AR26" s="99">
        <f t="shared" ref="AR26" si="78">SUM(AR21:AR25)</f>
        <v>0</v>
      </c>
      <c r="AT26" s="202" t="s">
        <v>259</v>
      </c>
      <c r="AU26" s="202">
        <f t="shared" ref="AU26:AU32" si="79">COUNTIF($W:$W, AT26)</f>
        <v>4</v>
      </c>
      <c r="AV26" s="203">
        <f t="shared" ref="AV26:AV33" si="80">AU26/$AU$33</f>
        <v>0.4</v>
      </c>
    </row>
    <row r="27" spans="2:48" s="10" customFormat="1" ht="13.5" hidden="1" customHeight="1" x14ac:dyDescent="0.25">
      <c r="B27" s="17">
        <v>25</v>
      </c>
      <c r="E27" s="72"/>
      <c r="F27" s="18"/>
      <c r="J27" s="11"/>
      <c r="K27" s="11">
        <f t="shared" si="35"/>
        <v>0</v>
      </c>
      <c r="L27" s="37">
        <f t="shared" si="36"/>
        <v>0</v>
      </c>
      <c r="M27" s="11"/>
      <c r="O27" s="21"/>
      <c r="P27" s="21"/>
      <c r="Q27" s="21"/>
      <c r="R27" s="23"/>
      <c r="S27" s="50"/>
      <c r="T27" s="48"/>
      <c r="U27" s="81"/>
      <c r="V27" s="26"/>
      <c r="W27" s="200"/>
      <c r="X27" s="17"/>
      <c r="Z27">
        <v>5</v>
      </c>
      <c r="AA27" s="415">
        <v>5</v>
      </c>
      <c r="AB27" s="94">
        <v>1</v>
      </c>
      <c r="AC27" s="100" t="s">
        <v>110</v>
      </c>
      <c r="AD27" s="41">
        <f t="shared" si="2"/>
        <v>0</v>
      </c>
      <c r="AE27" s="70">
        <f t="shared" si="3"/>
        <v>0</v>
      </c>
      <c r="AF27" s="70">
        <f t="shared" si="4"/>
        <v>0</v>
      </c>
      <c r="AG27" s="70">
        <f t="shared" si="5"/>
        <v>0</v>
      </c>
      <c r="AH27" s="109">
        <f t="shared" si="6"/>
        <v>0</v>
      </c>
      <c r="AI27" s="120">
        <f t="shared" si="7"/>
        <v>0</v>
      </c>
      <c r="AJ27" s="121">
        <f t="shared" si="8"/>
        <v>0</v>
      </c>
      <c r="AK27" s="121">
        <f t="shared" si="9"/>
        <v>0</v>
      </c>
      <c r="AL27" s="121">
        <f t="shared" si="10"/>
        <v>0</v>
      </c>
      <c r="AM27" s="122">
        <f t="shared" si="11"/>
        <v>0</v>
      </c>
      <c r="AN27" s="41">
        <f t="shared" si="12"/>
        <v>0</v>
      </c>
      <c r="AO27" s="70">
        <f t="shared" si="13"/>
        <v>0</v>
      </c>
      <c r="AP27" s="70">
        <f t="shared" si="14"/>
        <v>0</v>
      </c>
      <c r="AQ27" s="70">
        <f t="shared" si="15"/>
        <v>0</v>
      </c>
      <c r="AR27" s="70">
        <f t="shared" si="16"/>
        <v>0</v>
      </c>
      <c r="AT27" s="202" t="s">
        <v>260</v>
      </c>
      <c r="AU27" s="202">
        <f t="shared" si="79"/>
        <v>3</v>
      </c>
      <c r="AV27" s="203">
        <f t="shared" si="80"/>
        <v>0.3</v>
      </c>
    </row>
    <row r="28" spans="2:48" s="10" customFormat="1" ht="13.5" hidden="1" customHeight="1" x14ac:dyDescent="0.25">
      <c r="B28" s="17">
        <v>26</v>
      </c>
      <c r="E28" s="72"/>
      <c r="F28" s="18"/>
      <c r="J28" s="11"/>
      <c r="K28" s="11">
        <f t="shared" si="35"/>
        <v>0</v>
      </c>
      <c r="L28" s="37">
        <f t="shared" si="36"/>
        <v>0</v>
      </c>
      <c r="M28" s="11"/>
      <c r="O28" s="21"/>
      <c r="P28" s="21"/>
      <c r="Q28" s="21"/>
      <c r="R28" s="23"/>
      <c r="S28" s="50"/>
      <c r="T28" s="48"/>
      <c r="U28" s="81"/>
      <c r="V28" s="26"/>
      <c r="W28" s="200"/>
      <c r="X28" s="17"/>
      <c r="Z28">
        <v>5</v>
      </c>
      <c r="AA28" s="416"/>
      <c r="AB28" s="95">
        <v>2</v>
      </c>
      <c r="AC28" s="102" t="s">
        <v>111</v>
      </c>
      <c r="AD28" s="41">
        <f t="shared" si="2"/>
        <v>556.5</v>
      </c>
      <c r="AE28" s="70">
        <f t="shared" si="3"/>
        <v>0</v>
      </c>
      <c r="AF28" s="70">
        <f t="shared" si="4"/>
        <v>0</v>
      </c>
      <c r="AG28" s="70">
        <f t="shared" si="5"/>
        <v>556.5</v>
      </c>
      <c r="AH28" s="109">
        <f t="shared" si="6"/>
        <v>0</v>
      </c>
      <c r="AI28" s="120">
        <f t="shared" si="7"/>
        <v>1</v>
      </c>
      <c r="AJ28" s="121">
        <f t="shared" si="8"/>
        <v>0</v>
      </c>
      <c r="AK28" s="121">
        <f t="shared" si="9"/>
        <v>0</v>
      </c>
      <c r="AL28" s="121">
        <f t="shared" si="10"/>
        <v>1</v>
      </c>
      <c r="AM28" s="122">
        <f t="shared" si="11"/>
        <v>0</v>
      </c>
      <c r="AN28" s="41">
        <f t="shared" si="12"/>
        <v>7.1560000000000006</v>
      </c>
      <c r="AO28" s="70">
        <f t="shared" si="13"/>
        <v>0</v>
      </c>
      <c r="AP28" s="70">
        <f t="shared" si="14"/>
        <v>0</v>
      </c>
      <c r="AQ28" s="70">
        <f t="shared" si="15"/>
        <v>7.1560000000000006</v>
      </c>
      <c r="AR28" s="70">
        <f t="shared" si="16"/>
        <v>0</v>
      </c>
      <c r="AT28" s="202" t="s">
        <v>261</v>
      </c>
      <c r="AU28" s="202">
        <f t="shared" si="79"/>
        <v>0</v>
      </c>
      <c r="AV28" s="203">
        <f t="shared" si="80"/>
        <v>0</v>
      </c>
    </row>
    <row r="29" spans="2:48" s="10" customFormat="1" ht="13.5" hidden="1" customHeight="1" x14ac:dyDescent="0.25">
      <c r="B29" s="17">
        <v>27</v>
      </c>
      <c r="E29" s="72"/>
      <c r="F29" s="18"/>
      <c r="J29" s="11"/>
      <c r="K29" s="11">
        <f t="shared" si="35"/>
        <v>0</v>
      </c>
      <c r="L29" s="37">
        <f t="shared" si="36"/>
        <v>0</v>
      </c>
      <c r="M29" s="11"/>
      <c r="O29" s="21"/>
      <c r="P29" s="21"/>
      <c r="Q29" s="21"/>
      <c r="R29" s="23"/>
      <c r="S29" s="50"/>
      <c r="T29" s="48"/>
      <c r="U29" s="81"/>
      <c r="V29" s="26"/>
      <c r="W29" s="200"/>
      <c r="X29" s="17"/>
      <c r="Z29">
        <v>5</v>
      </c>
      <c r="AA29" s="416"/>
      <c r="AB29" s="95">
        <v>3</v>
      </c>
      <c r="AC29" s="102" t="s">
        <v>112</v>
      </c>
      <c r="AD29" s="41">
        <f t="shared" si="2"/>
        <v>0</v>
      </c>
      <c r="AE29" s="70">
        <f t="shared" si="3"/>
        <v>0</v>
      </c>
      <c r="AF29" s="70">
        <f t="shared" si="4"/>
        <v>0</v>
      </c>
      <c r="AG29" s="70">
        <f t="shared" si="5"/>
        <v>0</v>
      </c>
      <c r="AH29" s="109">
        <f t="shared" si="6"/>
        <v>0</v>
      </c>
      <c r="AI29" s="120">
        <f t="shared" si="7"/>
        <v>0</v>
      </c>
      <c r="AJ29" s="121">
        <f t="shared" si="8"/>
        <v>0</v>
      </c>
      <c r="AK29" s="121">
        <f t="shared" si="9"/>
        <v>0</v>
      </c>
      <c r="AL29" s="121">
        <f t="shared" si="10"/>
        <v>0</v>
      </c>
      <c r="AM29" s="122">
        <f t="shared" si="11"/>
        <v>0</v>
      </c>
      <c r="AN29" s="41">
        <f t="shared" si="12"/>
        <v>0</v>
      </c>
      <c r="AO29" s="70">
        <f t="shared" si="13"/>
        <v>0</v>
      </c>
      <c r="AP29" s="70">
        <f t="shared" si="14"/>
        <v>0</v>
      </c>
      <c r="AQ29" s="70">
        <f t="shared" si="15"/>
        <v>0</v>
      </c>
      <c r="AR29" s="70">
        <f t="shared" si="16"/>
        <v>0</v>
      </c>
      <c r="AT29" s="202" t="s">
        <v>262</v>
      </c>
      <c r="AU29" s="202">
        <f t="shared" si="79"/>
        <v>0</v>
      </c>
      <c r="AV29" s="203">
        <f t="shared" si="80"/>
        <v>0</v>
      </c>
    </row>
    <row r="30" spans="2:48" s="10" customFormat="1" ht="13.5" hidden="1" customHeight="1" x14ac:dyDescent="0.25">
      <c r="B30" s="17">
        <v>28</v>
      </c>
      <c r="E30" s="72"/>
      <c r="F30" s="18"/>
      <c r="J30" s="11"/>
      <c r="K30" s="11">
        <f t="shared" si="35"/>
        <v>0</v>
      </c>
      <c r="L30" s="37">
        <f t="shared" si="36"/>
        <v>0</v>
      </c>
      <c r="M30" s="11"/>
      <c r="O30" s="21"/>
      <c r="P30" s="21"/>
      <c r="Q30" s="21"/>
      <c r="R30" s="23"/>
      <c r="S30" s="50"/>
      <c r="T30" s="48"/>
      <c r="U30" s="81"/>
      <c r="V30" s="26"/>
      <c r="W30" s="200"/>
      <c r="X30" s="17"/>
      <c r="Z30">
        <v>5</v>
      </c>
      <c r="AA30" s="416"/>
      <c r="AB30" s="95">
        <v>4</v>
      </c>
      <c r="AC30" s="102" t="s">
        <v>113</v>
      </c>
      <c r="AD30" s="41">
        <f t="shared" si="2"/>
        <v>1702.4</v>
      </c>
      <c r="AE30" s="70">
        <f t="shared" si="3"/>
        <v>0</v>
      </c>
      <c r="AF30" s="70">
        <f t="shared" si="4"/>
        <v>0</v>
      </c>
      <c r="AG30" s="70">
        <f t="shared" si="5"/>
        <v>1702.4</v>
      </c>
      <c r="AH30" s="109">
        <f t="shared" si="6"/>
        <v>0</v>
      </c>
      <c r="AI30" s="120">
        <f t="shared" si="7"/>
        <v>1</v>
      </c>
      <c r="AJ30" s="121">
        <f t="shared" si="8"/>
        <v>0</v>
      </c>
      <c r="AK30" s="121">
        <f t="shared" si="9"/>
        <v>0</v>
      </c>
      <c r="AL30" s="121">
        <f t="shared" si="10"/>
        <v>1</v>
      </c>
      <c r="AM30" s="122">
        <f t="shared" si="11"/>
        <v>0</v>
      </c>
      <c r="AN30" s="41">
        <f t="shared" si="12"/>
        <v>21.77</v>
      </c>
      <c r="AO30" s="70">
        <f t="shared" si="13"/>
        <v>0</v>
      </c>
      <c r="AP30" s="70">
        <f t="shared" si="14"/>
        <v>0</v>
      </c>
      <c r="AQ30" s="70">
        <f t="shared" si="15"/>
        <v>21.77</v>
      </c>
      <c r="AR30" s="70">
        <f t="shared" si="16"/>
        <v>0</v>
      </c>
      <c r="AT30" s="202" t="s">
        <v>263</v>
      </c>
      <c r="AU30" s="202">
        <f t="shared" si="79"/>
        <v>0</v>
      </c>
      <c r="AV30" s="203">
        <f t="shared" si="80"/>
        <v>0</v>
      </c>
    </row>
    <row r="31" spans="2:48" s="10" customFormat="1" ht="13.5" hidden="1" customHeight="1" x14ac:dyDescent="0.25">
      <c r="B31" s="17">
        <v>29</v>
      </c>
      <c r="E31" s="72"/>
      <c r="F31" s="18"/>
      <c r="J31" s="11"/>
      <c r="K31" s="11">
        <f t="shared" si="35"/>
        <v>0</v>
      </c>
      <c r="L31" s="37">
        <f t="shared" si="36"/>
        <v>0</v>
      </c>
      <c r="M31" s="11"/>
      <c r="O31" s="21"/>
      <c r="P31" s="21"/>
      <c r="Q31" s="21"/>
      <c r="R31" s="23"/>
      <c r="S31" s="50"/>
      <c r="T31" s="48"/>
      <c r="U31" s="81"/>
      <c r="V31" s="26"/>
      <c r="W31" s="200"/>
      <c r="X31" s="17"/>
      <c r="Z31">
        <v>5</v>
      </c>
      <c r="AA31" s="416"/>
      <c r="AB31" s="96">
        <v>5</v>
      </c>
      <c r="AC31" s="102"/>
      <c r="AD31" s="41">
        <f t="shared" si="2"/>
        <v>0</v>
      </c>
      <c r="AE31" s="70">
        <f t="shared" si="3"/>
        <v>0</v>
      </c>
      <c r="AF31" s="70">
        <f t="shared" si="4"/>
        <v>0</v>
      </c>
      <c r="AG31" s="70">
        <f t="shared" si="5"/>
        <v>0</v>
      </c>
      <c r="AH31" s="109">
        <f t="shared" si="6"/>
        <v>0</v>
      </c>
      <c r="AI31" s="120">
        <f t="shared" si="7"/>
        <v>0</v>
      </c>
      <c r="AJ31" s="121">
        <f t="shared" si="8"/>
        <v>0</v>
      </c>
      <c r="AK31" s="121">
        <f t="shared" si="9"/>
        <v>0</v>
      </c>
      <c r="AL31" s="121">
        <f t="shared" si="10"/>
        <v>0</v>
      </c>
      <c r="AM31" s="122">
        <f t="shared" si="11"/>
        <v>0</v>
      </c>
      <c r="AN31" s="41">
        <f t="shared" si="12"/>
        <v>0</v>
      </c>
      <c r="AO31" s="70">
        <f t="shared" si="13"/>
        <v>0</v>
      </c>
      <c r="AP31" s="70">
        <f t="shared" si="14"/>
        <v>0</v>
      </c>
      <c r="AQ31" s="70">
        <f t="shared" si="15"/>
        <v>0</v>
      </c>
      <c r="AR31" s="70">
        <f t="shared" si="16"/>
        <v>0</v>
      </c>
      <c r="AT31" s="202" t="s">
        <v>264</v>
      </c>
      <c r="AU31" s="202">
        <f t="shared" si="79"/>
        <v>0</v>
      </c>
      <c r="AV31" s="203">
        <f t="shared" si="80"/>
        <v>0</v>
      </c>
    </row>
    <row r="32" spans="2:48" s="10" customFormat="1" ht="13.5" hidden="1" customHeight="1" thickBot="1" x14ac:dyDescent="0.3">
      <c r="B32" s="17">
        <v>30</v>
      </c>
      <c r="E32" s="72"/>
      <c r="F32" s="18"/>
      <c r="J32" s="11"/>
      <c r="K32" s="11">
        <f t="shared" si="35"/>
        <v>0</v>
      </c>
      <c r="L32" s="37">
        <f t="shared" si="36"/>
        <v>0</v>
      </c>
      <c r="M32" s="11"/>
      <c r="O32" s="21"/>
      <c r="P32" s="21"/>
      <c r="Q32" s="21"/>
      <c r="R32" s="23"/>
      <c r="S32" s="50"/>
      <c r="T32" s="48"/>
      <c r="U32" s="81"/>
      <c r="V32" s="26"/>
      <c r="W32" s="200"/>
      <c r="X32" s="17"/>
      <c r="Z32">
        <v>5</v>
      </c>
      <c r="AA32" s="417"/>
      <c r="AB32" s="97" t="s">
        <v>3</v>
      </c>
      <c r="AC32" s="103"/>
      <c r="AD32" s="99">
        <f>SUM(AD27:AD31)</f>
        <v>2258.9</v>
      </c>
      <c r="AE32" s="99">
        <f t="shared" ref="AE32" si="81">SUM(AE27:AE31)</f>
        <v>0</v>
      </c>
      <c r="AF32" s="99">
        <f t="shared" ref="AF32" si="82">SUM(AF27:AF31)</f>
        <v>0</v>
      </c>
      <c r="AG32" s="99">
        <f t="shared" ref="AG32" si="83">SUM(AG27:AG31)</f>
        <v>2258.9</v>
      </c>
      <c r="AH32" s="110">
        <f t="shared" ref="AH32" si="84">SUM(AH27:AH31)</f>
        <v>0</v>
      </c>
      <c r="AI32" s="123">
        <f t="shared" ref="AI32" si="85">SUM(AI27:AI31)</f>
        <v>2</v>
      </c>
      <c r="AJ32" s="124">
        <f t="shared" ref="AJ32" si="86">SUM(AJ27:AJ31)</f>
        <v>0</v>
      </c>
      <c r="AK32" s="124">
        <f t="shared" ref="AK32" si="87">SUM(AK27:AK31)</f>
        <v>0</v>
      </c>
      <c r="AL32" s="124">
        <f t="shared" ref="AL32" si="88">SUM(AL27:AL31)</f>
        <v>2</v>
      </c>
      <c r="AM32" s="125">
        <f t="shared" ref="AM32" si="89">SUM(AM27:AM31)</f>
        <v>0</v>
      </c>
      <c r="AN32" s="99">
        <f t="shared" ref="AN32" si="90">SUM(AN27:AN31)</f>
        <v>28.926000000000002</v>
      </c>
      <c r="AO32" s="99">
        <f t="shared" ref="AO32" si="91">SUM(AO27:AO31)</f>
        <v>0</v>
      </c>
      <c r="AP32" s="99">
        <f t="shared" ref="AP32" si="92">SUM(AP27:AP31)</f>
        <v>0</v>
      </c>
      <c r="AQ32" s="99">
        <f t="shared" ref="AQ32" si="93">SUM(AQ27:AQ31)</f>
        <v>28.926000000000002</v>
      </c>
      <c r="AR32" s="99">
        <f t="shared" ref="AR32" si="94">SUM(AR27:AR31)</f>
        <v>0</v>
      </c>
      <c r="AT32" s="202" t="s">
        <v>265</v>
      </c>
      <c r="AU32" s="202">
        <f t="shared" si="79"/>
        <v>0</v>
      </c>
      <c r="AV32" s="203">
        <f t="shared" si="80"/>
        <v>0</v>
      </c>
    </row>
    <row r="33" spans="2:48" s="10" customFormat="1" ht="13.5" hidden="1" customHeight="1" x14ac:dyDescent="0.25">
      <c r="B33" s="17">
        <v>31</v>
      </c>
      <c r="E33" s="72"/>
      <c r="F33" s="18"/>
      <c r="J33" s="11"/>
      <c r="K33" s="11">
        <f t="shared" si="35"/>
        <v>0</v>
      </c>
      <c r="L33" s="37">
        <f t="shared" si="36"/>
        <v>0</v>
      </c>
      <c r="M33" s="11"/>
      <c r="O33" s="21"/>
      <c r="P33" s="21"/>
      <c r="Q33" s="21"/>
      <c r="R33" s="23"/>
      <c r="S33" s="50"/>
      <c r="T33" s="48"/>
      <c r="U33" s="81"/>
      <c r="V33" s="26"/>
      <c r="W33" s="200"/>
      <c r="X33" s="17"/>
      <c r="Z33">
        <v>6</v>
      </c>
      <c r="AA33" s="415">
        <v>6</v>
      </c>
      <c r="AB33" s="94">
        <v>1</v>
      </c>
      <c r="AC33" s="100" t="s">
        <v>114</v>
      </c>
      <c r="AD33" s="41">
        <f t="shared" si="2"/>
        <v>0</v>
      </c>
      <c r="AE33" s="70">
        <f t="shared" si="3"/>
        <v>0</v>
      </c>
      <c r="AF33" s="70">
        <f t="shared" si="4"/>
        <v>0</v>
      </c>
      <c r="AG33" s="70">
        <f t="shared" si="5"/>
        <v>0</v>
      </c>
      <c r="AH33" s="109">
        <f t="shared" si="6"/>
        <v>0</v>
      </c>
      <c r="AI33" s="120">
        <f t="shared" si="7"/>
        <v>0</v>
      </c>
      <c r="AJ33" s="121">
        <f t="shared" si="8"/>
        <v>0</v>
      </c>
      <c r="AK33" s="121">
        <f t="shared" si="9"/>
        <v>0</v>
      </c>
      <c r="AL33" s="121">
        <f t="shared" si="10"/>
        <v>0</v>
      </c>
      <c r="AM33" s="122">
        <f t="shared" si="11"/>
        <v>0</v>
      </c>
      <c r="AN33" s="41">
        <f t="shared" si="12"/>
        <v>0</v>
      </c>
      <c r="AO33" s="70">
        <f t="shared" si="13"/>
        <v>0</v>
      </c>
      <c r="AP33" s="70">
        <f t="shared" si="14"/>
        <v>0</v>
      </c>
      <c r="AQ33" s="70">
        <f t="shared" si="15"/>
        <v>0</v>
      </c>
      <c r="AR33" s="70">
        <f t="shared" si="16"/>
        <v>0</v>
      </c>
      <c r="AT33" s="201" t="s">
        <v>266</v>
      </c>
      <c r="AU33" s="201">
        <f>SUM(AU25:AU32)</f>
        <v>10</v>
      </c>
      <c r="AV33" s="204">
        <f t="shared" si="80"/>
        <v>1</v>
      </c>
    </row>
    <row r="34" spans="2:48" s="10" customFormat="1" ht="13.5" hidden="1" customHeight="1" x14ac:dyDescent="0.25">
      <c r="B34" s="17">
        <v>32</v>
      </c>
      <c r="E34" s="72"/>
      <c r="F34" s="18"/>
      <c r="J34" s="11"/>
      <c r="K34" s="11">
        <f t="shared" si="35"/>
        <v>0</v>
      </c>
      <c r="L34" s="37">
        <f t="shared" si="36"/>
        <v>0</v>
      </c>
      <c r="M34" s="11"/>
      <c r="O34" s="21"/>
      <c r="P34" s="21"/>
      <c r="Q34" s="21"/>
      <c r="R34" s="23"/>
      <c r="S34" s="50"/>
      <c r="T34" s="48"/>
      <c r="U34" s="81"/>
      <c r="V34" s="26"/>
      <c r="W34" s="200"/>
      <c r="X34" s="17"/>
      <c r="Z34">
        <v>6</v>
      </c>
      <c r="AA34" s="416"/>
      <c r="AB34" s="95">
        <v>2</v>
      </c>
      <c r="AC34" s="102" t="s">
        <v>115</v>
      </c>
      <c r="AD34" s="41">
        <f t="shared" si="2"/>
        <v>0</v>
      </c>
      <c r="AE34" s="70">
        <f t="shared" si="3"/>
        <v>0</v>
      </c>
      <c r="AF34" s="70">
        <f t="shared" si="4"/>
        <v>0</v>
      </c>
      <c r="AG34" s="70">
        <f t="shared" si="5"/>
        <v>0</v>
      </c>
      <c r="AH34" s="109">
        <f t="shared" si="6"/>
        <v>0</v>
      </c>
      <c r="AI34" s="120">
        <f t="shared" si="7"/>
        <v>0</v>
      </c>
      <c r="AJ34" s="121">
        <f t="shared" si="8"/>
        <v>0</v>
      </c>
      <c r="AK34" s="121">
        <f t="shared" si="9"/>
        <v>0</v>
      </c>
      <c r="AL34" s="121">
        <f t="shared" si="10"/>
        <v>0</v>
      </c>
      <c r="AM34" s="122">
        <f t="shared" si="11"/>
        <v>0</v>
      </c>
      <c r="AN34" s="41">
        <f t="shared" si="12"/>
        <v>0</v>
      </c>
      <c r="AO34" s="70">
        <f t="shared" si="13"/>
        <v>0</v>
      </c>
      <c r="AP34" s="70">
        <f t="shared" si="14"/>
        <v>0</v>
      </c>
      <c r="AQ34" s="70">
        <f t="shared" si="15"/>
        <v>0</v>
      </c>
      <c r="AR34" s="70">
        <f t="shared" si="16"/>
        <v>0</v>
      </c>
    </row>
    <row r="35" spans="2:48" s="10" customFormat="1" ht="13.5" hidden="1" customHeight="1" x14ac:dyDescent="0.25">
      <c r="B35" s="17">
        <v>33</v>
      </c>
      <c r="E35" s="72"/>
      <c r="F35" s="18"/>
      <c r="J35" s="11"/>
      <c r="K35" s="11">
        <f t="shared" si="35"/>
        <v>0</v>
      </c>
      <c r="L35" s="37">
        <f t="shared" si="36"/>
        <v>0</v>
      </c>
      <c r="M35" s="11"/>
      <c r="O35" s="21"/>
      <c r="P35" s="21"/>
      <c r="Q35" s="21"/>
      <c r="R35" s="23"/>
      <c r="S35" s="50"/>
      <c r="T35" s="48"/>
      <c r="U35" s="81"/>
      <c r="V35" s="26"/>
      <c r="W35" s="200"/>
      <c r="X35" s="17"/>
      <c r="Z35">
        <v>6</v>
      </c>
      <c r="AA35" s="416"/>
      <c r="AB35" s="95">
        <v>3</v>
      </c>
      <c r="AC35" s="102" t="s">
        <v>116</v>
      </c>
      <c r="AD35" s="41">
        <f t="shared" si="2"/>
        <v>1539.84</v>
      </c>
      <c r="AE35" s="70">
        <f t="shared" si="3"/>
        <v>0</v>
      </c>
      <c r="AF35" s="70">
        <f t="shared" si="4"/>
        <v>0</v>
      </c>
      <c r="AG35" s="70">
        <f t="shared" si="5"/>
        <v>1539.84</v>
      </c>
      <c r="AH35" s="109">
        <f t="shared" si="6"/>
        <v>0</v>
      </c>
      <c r="AI35" s="120">
        <f t="shared" si="7"/>
        <v>1</v>
      </c>
      <c r="AJ35" s="121">
        <f t="shared" si="8"/>
        <v>0</v>
      </c>
      <c r="AK35" s="121">
        <f t="shared" si="9"/>
        <v>0</v>
      </c>
      <c r="AL35" s="121">
        <f t="shared" si="10"/>
        <v>1</v>
      </c>
      <c r="AM35" s="122">
        <f t="shared" si="11"/>
        <v>0</v>
      </c>
      <c r="AN35" s="41">
        <f t="shared" si="12"/>
        <v>14.3</v>
      </c>
      <c r="AO35" s="70">
        <f t="shared" si="13"/>
        <v>0</v>
      </c>
      <c r="AP35" s="70">
        <f t="shared" si="14"/>
        <v>0</v>
      </c>
      <c r="AQ35" s="70">
        <f t="shared" si="15"/>
        <v>14.3</v>
      </c>
      <c r="AR35" s="70">
        <f t="shared" si="16"/>
        <v>0</v>
      </c>
    </row>
    <row r="36" spans="2:48" s="10" customFormat="1" ht="13.5" hidden="1" customHeight="1" x14ac:dyDescent="0.25">
      <c r="B36" s="17">
        <v>34</v>
      </c>
      <c r="E36" s="72"/>
      <c r="F36" s="18"/>
      <c r="J36" s="11"/>
      <c r="K36" s="11">
        <f t="shared" si="35"/>
        <v>0</v>
      </c>
      <c r="L36" s="37">
        <f t="shared" si="36"/>
        <v>0</v>
      </c>
      <c r="M36" s="11"/>
      <c r="O36" s="21"/>
      <c r="P36" s="21"/>
      <c r="Q36" s="21"/>
      <c r="R36" s="23"/>
      <c r="S36" s="50"/>
      <c r="T36" s="48"/>
      <c r="U36" s="81"/>
      <c r="V36" s="32"/>
      <c r="W36" s="200"/>
      <c r="X36" s="17"/>
      <c r="Z36">
        <v>6</v>
      </c>
      <c r="AA36" s="416"/>
      <c r="AB36" s="95">
        <v>4</v>
      </c>
      <c r="AC36" s="102" t="s">
        <v>117</v>
      </c>
      <c r="AD36" s="41">
        <f t="shared" si="2"/>
        <v>989.8</v>
      </c>
      <c r="AE36" s="70">
        <f t="shared" si="3"/>
        <v>0</v>
      </c>
      <c r="AF36" s="70">
        <f t="shared" si="4"/>
        <v>0</v>
      </c>
      <c r="AG36" s="70">
        <f t="shared" si="5"/>
        <v>989.8</v>
      </c>
      <c r="AH36" s="109">
        <f t="shared" si="6"/>
        <v>0</v>
      </c>
      <c r="AI36" s="120">
        <f t="shared" si="7"/>
        <v>1</v>
      </c>
      <c r="AJ36" s="121">
        <f t="shared" si="8"/>
        <v>0</v>
      </c>
      <c r="AK36" s="121">
        <f t="shared" si="9"/>
        <v>0</v>
      </c>
      <c r="AL36" s="121">
        <f t="shared" si="10"/>
        <v>1</v>
      </c>
      <c r="AM36" s="122">
        <f t="shared" si="11"/>
        <v>0</v>
      </c>
      <c r="AN36" s="41">
        <f t="shared" si="12"/>
        <v>7.8900000000000006</v>
      </c>
      <c r="AO36" s="70">
        <f t="shared" si="13"/>
        <v>0</v>
      </c>
      <c r="AP36" s="70">
        <f t="shared" si="14"/>
        <v>0</v>
      </c>
      <c r="AQ36" s="70">
        <f t="shared" si="15"/>
        <v>7.8900000000000006</v>
      </c>
      <c r="AR36" s="70">
        <f t="shared" si="16"/>
        <v>0</v>
      </c>
    </row>
    <row r="37" spans="2:48" s="10" customFormat="1" ht="13.5" hidden="1" customHeight="1" x14ac:dyDescent="0.25">
      <c r="B37" s="17">
        <v>35</v>
      </c>
      <c r="E37" s="72"/>
      <c r="F37" s="18"/>
      <c r="J37" s="11"/>
      <c r="K37" s="11">
        <f t="shared" si="35"/>
        <v>0</v>
      </c>
      <c r="L37" s="37">
        <f t="shared" si="36"/>
        <v>0</v>
      </c>
      <c r="M37" s="11"/>
      <c r="O37" s="21"/>
      <c r="P37" s="21"/>
      <c r="Q37" s="21"/>
      <c r="R37" s="23"/>
      <c r="S37" s="50"/>
      <c r="T37" s="48"/>
      <c r="U37" s="81"/>
      <c r="V37" s="32"/>
      <c r="W37" s="200"/>
      <c r="X37" s="17"/>
      <c r="Z37">
        <v>6</v>
      </c>
      <c r="AA37" s="416"/>
      <c r="AB37" s="96">
        <v>5</v>
      </c>
      <c r="AC37" s="102"/>
      <c r="AD37" s="41">
        <f t="shared" si="2"/>
        <v>0</v>
      </c>
      <c r="AE37" s="70">
        <f t="shared" si="3"/>
        <v>0</v>
      </c>
      <c r="AF37" s="70">
        <f t="shared" si="4"/>
        <v>0</v>
      </c>
      <c r="AG37" s="70">
        <f t="shared" si="5"/>
        <v>0</v>
      </c>
      <c r="AH37" s="109">
        <f t="shared" si="6"/>
        <v>0</v>
      </c>
      <c r="AI37" s="120">
        <f t="shared" si="7"/>
        <v>0</v>
      </c>
      <c r="AJ37" s="121">
        <f t="shared" si="8"/>
        <v>0</v>
      </c>
      <c r="AK37" s="121">
        <f t="shared" si="9"/>
        <v>0</v>
      </c>
      <c r="AL37" s="121">
        <f t="shared" si="10"/>
        <v>0</v>
      </c>
      <c r="AM37" s="122">
        <f t="shared" si="11"/>
        <v>0</v>
      </c>
      <c r="AN37" s="41">
        <f t="shared" si="12"/>
        <v>0</v>
      </c>
      <c r="AO37" s="70">
        <f t="shared" si="13"/>
        <v>0</v>
      </c>
      <c r="AP37" s="70">
        <f t="shared" si="14"/>
        <v>0</v>
      </c>
      <c r="AQ37" s="70">
        <f t="shared" si="15"/>
        <v>0</v>
      </c>
      <c r="AR37" s="70">
        <f t="shared" si="16"/>
        <v>0</v>
      </c>
    </row>
    <row r="38" spans="2:48" s="10" customFormat="1" ht="13.5" hidden="1" customHeight="1" thickBot="1" x14ac:dyDescent="0.3">
      <c r="B38" s="17">
        <v>36</v>
      </c>
      <c r="E38" s="72"/>
      <c r="F38" s="18"/>
      <c r="J38" s="11"/>
      <c r="K38" s="11">
        <f t="shared" si="35"/>
        <v>0</v>
      </c>
      <c r="L38" s="37">
        <f t="shared" si="36"/>
        <v>0</v>
      </c>
      <c r="M38" s="11"/>
      <c r="O38" s="21"/>
      <c r="P38" s="21"/>
      <c r="Q38" s="21"/>
      <c r="R38" s="23"/>
      <c r="S38" s="50"/>
      <c r="T38" s="48"/>
      <c r="U38" s="81"/>
      <c r="V38" s="26"/>
      <c r="W38" s="200"/>
      <c r="X38" s="17"/>
      <c r="Z38">
        <v>6</v>
      </c>
      <c r="AA38" s="417"/>
      <c r="AB38" s="97" t="s">
        <v>3</v>
      </c>
      <c r="AC38" s="103"/>
      <c r="AD38" s="99">
        <f>SUM(AD33:AD37)</f>
        <v>2529.64</v>
      </c>
      <c r="AE38" s="99">
        <f t="shared" ref="AE38" si="95">SUM(AE33:AE37)</f>
        <v>0</v>
      </c>
      <c r="AF38" s="99">
        <f t="shared" ref="AF38" si="96">SUM(AF33:AF37)</f>
        <v>0</v>
      </c>
      <c r="AG38" s="99">
        <f t="shared" ref="AG38" si="97">SUM(AG33:AG37)</f>
        <v>2529.64</v>
      </c>
      <c r="AH38" s="110">
        <f t="shared" ref="AH38" si="98">SUM(AH33:AH37)</f>
        <v>0</v>
      </c>
      <c r="AI38" s="123">
        <f t="shared" ref="AI38" si="99">SUM(AI33:AI37)</f>
        <v>2</v>
      </c>
      <c r="AJ38" s="124">
        <f t="shared" ref="AJ38" si="100">SUM(AJ33:AJ37)</f>
        <v>0</v>
      </c>
      <c r="AK38" s="124">
        <f t="shared" ref="AK38" si="101">SUM(AK33:AK37)</f>
        <v>0</v>
      </c>
      <c r="AL38" s="124">
        <f t="shared" ref="AL38" si="102">SUM(AL33:AL37)</f>
        <v>2</v>
      </c>
      <c r="AM38" s="125">
        <f t="shared" ref="AM38" si="103">SUM(AM33:AM37)</f>
        <v>0</v>
      </c>
      <c r="AN38" s="99">
        <f t="shared" ref="AN38" si="104">SUM(AN33:AN37)</f>
        <v>22.19</v>
      </c>
      <c r="AO38" s="99">
        <f t="shared" ref="AO38" si="105">SUM(AO33:AO37)</f>
        <v>0</v>
      </c>
      <c r="AP38" s="99">
        <f t="shared" ref="AP38" si="106">SUM(AP33:AP37)</f>
        <v>0</v>
      </c>
      <c r="AQ38" s="99">
        <f t="shared" ref="AQ38" si="107">SUM(AQ33:AQ37)</f>
        <v>22.19</v>
      </c>
      <c r="AR38" s="99">
        <f t="shared" ref="AR38" si="108">SUM(AR33:AR37)</f>
        <v>0</v>
      </c>
    </row>
    <row r="39" spans="2:48" s="10" customFormat="1" ht="13.5" hidden="1" customHeight="1" x14ac:dyDescent="0.25">
      <c r="B39" s="17">
        <v>37</v>
      </c>
      <c r="E39" s="72"/>
      <c r="F39" s="18"/>
      <c r="J39" s="11"/>
      <c r="K39" s="11">
        <f t="shared" si="35"/>
        <v>0</v>
      </c>
      <c r="L39" s="37">
        <f t="shared" si="36"/>
        <v>0</v>
      </c>
      <c r="M39" s="11"/>
      <c r="O39" s="21"/>
      <c r="P39" s="21"/>
      <c r="Q39" s="21"/>
      <c r="R39" s="23"/>
      <c r="S39" s="50"/>
      <c r="T39" s="48"/>
      <c r="U39" s="81"/>
      <c r="V39" s="26"/>
      <c r="W39" s="200"/>
      <c r="X39" s="17"/>
      <c r="Z39">
        <v>7</v>
      </c>
      <c r="AA39" s="415">
        <v>7</v>
      </c>
      <c r="AB39" s="94">
        <v>1</v>
      </c>
      <c r="AC39" s="100" t="s">
        <v>118</v>
      </c>
      <c r="AD39" s="41">
        <f t="shared" si="2"/>
        <v>0</v>
      </c>
      <c r="AE39" s="70">
        <f t="shared" si="3"/>
        <v>0</v>
      </c>
      <c r="AF39" s="70">
        <f t="shared" si="4"/>
        <v>0</v>
      </c>
      <c r="AG39" s="70">
        <f t="shared" si="5"/>
        <v>0</v>
      </c>
      <c r="AH39" s="109">
        <f t="shared" si="6"/>
        <v>0</v>
      </c>
      <c r="AI39" s="120">
        <f t="shared" si="7"/>
        <v>0</v>
      </c>
      <c r="AJ39" s="121">
        <f t="shared" si="8"/>
        <v>0</v>
      </c>
      <c r="AK39" s="121">
        <f t="shared" si="9"/>
        <v>0</v>
      </c>
      <c r="AL39" s="121">
        <f t="shared" si="10"/>
        <v>0</v>
      </c>
      <c r="AM39" s="122">
        <f t="shared" si="11"/>
        <v>0</v>
      </c>
      <c r="AN39" s="41">
        <f t="shared" si="12"/>
        <v>0</v>
      </c>
      <c r="AO39" s="70">
        <f t="shared" si="13"/>
        <v>0</v>
      </c>
      <c r="AP39" s="70">
        <f t="shared" si="14"/>
        <v>0</v>
      </c>
      <c r="AQ39" s="70">
        <f t="shared" si="15"/>
        <v>0</v>
      </c>
      <c r="AR39" s="70">
        <f t="shared" si="16"/>
        <v>0</v>
      </c>
    </row>
    <row r="40" spans="2:48" s="10" customFormat="1" ht="13.5" hidden="1" customHeight="1" x14ac:dyDescent="0.25">
      <c r="B40" s="17">
        <v>38</v>
      </c>
      <c r="E40" s="72"/>
      <c r="F40" s="18"/>
      <c r="J40" s="11"/>
      <c r="K40" s="11">
        <f t="shared" si="35"/>
        <v>0</v>
      </c>
      <c r="L40" s="37">
        <f t="shared" si="36"/>
        <v>0</v>
      </c>
      <c r="M40" s="11"/>
      <c r="O40" s="21"/>
      <c r="P40" s="21"/>
      <c r="Q40" s="21"/>
      <c r="R40" s="23"/>
      <c r="S40" s="50"/>
      <c r="T40" s="48"/>
      <c r="U40" s="81"/>
      <c r="V40" s="26"/>
      <c r="W40" s="200"/>
      <c r="X40" s="17"/>
      <c r="Z40">
        <v>7</v>
      </c>
      <c r="AA40" s="416"/>
      <c r="AB40" s="95">
        <v>2</v>
      </c>
      <c r="AC40" s="102" t="s">
        <v>68</v>
      </c>
      <c r="AD40" s="41">
        <f t="shared" si="2"/>
        <v>0</v>
      </c>
      <c r="AE40" s="70">
        <f t="shared" si="3"/>
        <v>0</v>
      </c>
      <c r="AF40" s="70">
        <f t="shared" si="4"/>
        <v>0</v>
      </c>
      <c r="AG40" s="70">
        <f t="shared" si="5"/>
        <v>0</v>
      </c>
      <c r="AH40" s="109">
        <f t="shared" si="6"/>
        <v>0</v>
      </c>
      <c r="AI40" s="120">
        <f t="shared" si="7"/>
        <v>0</v>
      </c>
      <c r="AJ40" s="121">
        <f t="shared" si="8"/>
        <v>0</v>
      </c>
      <c r="AK40" s="121">
        <f t="shared" si="9"/>
        <v>0</v>
      </c>
      <c r="AL40" s="121">
        <f t="shared" si="10"/>
        <v>0</v>
      </c>
      <c r="AM40" s="122">
        <f t="shared" si="11"/>
        <v>0</v>
      </c>
      <c r="AN40" s="41">
        <f t="shared" si="12"/>
        <v>0</v>
      </c>
      <c r="AO40" s="70">
        <f t="shared" si="13"/>
        <v>0</v>
      </c>
      <c r="AP40" s="70">
        <f t="shared" si="14"/>
        <v>0</v>
      </c>
      <c r="AQ40" s="70">
        <f t="shared" si="15"/>
        <v>0</v>
      </c>
      <c r="AR40" s="70">
        <f t="shared" si="16"/>
        <v>0</v>
      </c>
    </row>
    <row r="41" spans="2:48" s="10" customFormat="1" ht="13.5" hidden="1" customHeight="1" x14ac:dyDescent="0.25">
      <c r="B41" s="17">
        <v>39</v>
      </c>
      <c r="E41" s="72"/>
      <c r="F41" s="18"/>
      <c r="J41" s="11"/>
      <c r="K41" s="11">
        <f t="shared" si="35"/>
        <v>0</v>
      </c>
      <c r="L41" s="37">
        <f t="shared" si="36"/>
        <v>0</v>
      </c>
      <c r="M41" s="11"/>
      <c r="O41" s="21"/>
      <c r="P41" s="21"/>
      <c r="Q41" s="21"/>
      <c r="R41" s="23"/>
      <c r="S41" s="50"/>
      <c r="T41" s="48"/>
      <c r="U41" s="81"/>
      <c r="V41" s="26"/>
      <c r="W41" s="200"/>
      <c r="X41" s="17"/>
      <c r="Z41">
        <v>7</v>
      </c>
      <c r="AA41" s="416"/>
      <c r="AB41" s="95">
        <v>3</v>
      </c>
      <c r="AC41" s="102" t="s">
        <v>69</v>
      </c>
      <c r="AD41" s="41">
        <f t="shared" si="2"/>
        <v>0</v>
      </c>
      <c r="AE41" s="70">
        <f t="shared" si="3"/>
        <v>0</v>
      </c>
      <c r="AF41" s="70">
        <f t="shared" si="4"/>
        <v>0</v>
      </c>
      <c r="AG41" s="70">
        <f t="shared" si="5"/>
        <v>0</v>
      </c>
      <c r="AH41" s="109">
        <f t="shared" si="6"/>
        <v>0</v>
      </c>
      <c r="AI41" s="120">
        <f t="shared" si="7"/>
        <v>0</v>
      </c>
      <c r="AJ41" s="121">
        <f t="shared" si="8"/>
        <v>0</v>
      </c>
      <c r="AK41" s="121">
        <f t="shared" si="9"/>
        <v>0</v>
      </c>
      <c r="AL41" s="121">
        <f t="shared" si="10"/>
        <v>0</v>
      </c>
      <c r="AM41" s="122">
        <f t="shared" si="11"/>
        <v>0</v>
      </c>
      <c r="AN41" s="41">
        <f t="shared" si="12"/>
        <v>0</v>
      </c>
      <c r="AO41" s="70">
        <f t="shared" si="13"/>
        <v>0</v>
      </c>
      <c r="AP41" s="70">
        <f t="shared" si="14"/>
        <v>0</v>
      </c>
      <c r="AQ41" s="70">
        <f t="shared" si="15"/>
        <v>0</v>
      </c>
      <c r="AR41" s="70">
        <f t="shared" si="16"/>
        <v>0</v>
      </c>
    </row>
    <row r="42" spans="2:48" s="10" customFormat="1" ht="13.5" hidden="1" customHeight="1" x14ac:dyDescent="0.25">
      <c r="B42" s="17">
        <v>40</v>
      </c>
      <c r="E42" s="72"/>
      <c r="F42" s="18"/>
      <c r="J42" s="11"/>
      <c r="K42" s="11">
        <f t="shared" si="35"/>
        <v>0</v>
      </c>
      <c r="L42" s="37">
        <f t="shared" si="36"/>
        <v>0</v>
      </c>
      <c r="M42" s="11"/>
      <c r="O42" s="21"/>
      <c r="P42" s="21"/>
      <c r="Q42" s="21"/>
      <c r="R42" s="23"/>
      <c r="S42" s="50"/>
      <c r="T42" s="48"/>
      <c r="U42" s="81"/>
      <c r="V42" s="26"/>
      <c r="W42" s="200"/>
      <c r="X42" s="17"/>
      <c r="Z42">
        <v>7</v>
      </c>
      <c r="AA42" s="416"/>
      <c r="AB42" s="95">
        <v>4</v>
      </c>
      <c r="AC42" s="102" t="s">
        <v>70</v>
      </c>
      <c r="AD42" s="41">
        <f t="shared" si="2"/>
        <v>0</v>
      </c>
      <c r="AE42" s="70">
        <f t="shared" si="3"/>
        <v>0</v>
      </c>
      <c r="AF42" s="70">
        <f t="shared" si="4"/>
        <v>0</v>
      </c>
      <c r="AG42" s="70">
        <f t="shared" si="5"/>
        <v>0</v>
      </c>
      <c r="AH42" s="109">
        <f t="shared" si="6"/>
        <v>0</v>
      </c>
      <c r="AI42" s="120">
        <f t="shared" si="7"/>
        <v>0</v>
      </c>
      <c r="AJ42" s="121">
        <f t="shared" si="8"/>
        <v>0</v>
      </c>
      <c r="AK42" s="121">
        <f t="shared" si="9"/>
        <v>0</v>
      </c>
      <c r="AL42" s="121">
        <f t="shared" si="10"/>
        <v>0</v>
      </c>
      <c r="AM42" s="122">
        <f t="shared" si="11"/>
        <v>0</v>
      </c>
      <c r="AN42" s="41">
        <f t="shared" si="12"/>
        <v>0</v>
      </c>
      <c r="AO42" s="70">
        <f t="shared" si="13"/>
        <v>0</v>
      </c>
      <c r="AP42" s="70">
        <f t="shared" si="14"/>
        <v>0</v>
      </c>
      <c r="AQ42" s="70">
        <f t="shared" si="15"/>
        <v>0</v>
      </c>
      <c r="AR42" s="70">
        <f t="shared" si="16"/>
        <v>0</v>
      </c>
    </row>
    <row r="43" spans="2:48" hidden="1" x14ac:dyDescent="0.25">
      <c r="B43" s="17">
        <v>41</v>
      </c>
      <c r="C43" s="10"/>
      <c r="D43" s="10"/>
      <c r="E43" s="72"/>
      <c r="F43" s="18"/>
      <c r="G43" s="10"/>
      <c r="H43" s="10"/>
      <c r="I43" s="10"/>
      <c r="J43" s="11"/>
      <c r="K43" s="11">
        <f t="shared" si="35"/>
        <v>0</v>
      </c>
      <c r="L43" s="37">
        <f t="shared" si="36"/>
        <v>0</v>
      </c>
      <c r="M43" s="11"/>
      <c r="N43" s="10"/>
      <c r="O43" s="21"/>
      <c r="P43" s="21"/>
      <c r="Q43" s="21"/>
      <c r="R43" s="23"/>
      <c r="S43" s="50"/>
      <c r="T43" s="48"/>
      <c r="U43" s="82"/>
      <c r="V43" s="32"/>
      <c r="W43" s="200"/>
      <c r="X43" s="17"/>
      <c r="Z43">
        <v>7</v>
      </c>
      <c r="AA43" s="416"/>
      <c r="AB43" s="96">
        <v>5</v>
      </c>
      <c r="AC43" s="105" t="s">
        <v>119</v>
      </c>
      <c r="AD43" s="41">
        <f t="shared" si="2"/>
        <v>0</v>
      </c>
      <c r="AE43" s="70">
        <f t="shared" si="3"/>
        <v>0</v>
      </c>
      <c r="AF43" s="70">
        <f t="shared" si="4"/>
        <v>0</v>
      </c>
      <c r="AG43" s="70">
        <f t="shared" si="5"/>
        <v>0</v>
      </c>
      <c r="AH43" s="109">
        <f t="shared" si="6"/>
        <v>0</v>
      </c>
      <c r="AI43" s="120">
        <f t="shared" si="7"/>
        <v>0</v>
      </c>
      <c r="AJ43" s="121">
        <f t="shared" si="8"/>
        <v>0</v>
      </c>
      <c r="AK43" s="121">
        <f t="shared" si="9"/>
        <v>0</v>
      </c>
      <c r="AL43" s="121">
        <f t="shared" si="10"/>
        <v>0</v>
      </c>
      <c r="AM43" s="122">
        <f t="shared" si="11"/>
        <v>0</v>
      </c>
      <c r="AN43" s="41">
        <f t="shared" si="12"/>
        <v>0</v>
      </c>
      <c r="AO43" s="70">
        <f t="shared" si="13"/>
        <v>0</v>
      </c>
      <c r="AP43" s="70">
        <f t="shared" si="14"/>
        <v>0</v>
      </c>
      <c r="AQ43" s="70">
        <f t="shared" si="15"/>
        <v>0</v>
      </c>
      <c r="AR43" s="70">
        <f t="shared" si="16"/>
        <v>0</v>
      </c>
    </row>
    <row r="44" spans="2:48" ht="14.25" hidden="1" thickBot="1" x14ac:dyDescent="0.3">
      <c r="B44" s="17">
        <v>42</v>
      </c>
      <c r="C44" s="10"/>
      <c r="D44" s="10"/>
      <c r="E44" s="72"/>
      <c r="F44" s="18"/>
      <c r="G44" s="10"/>
      <c r="H44" s="10"/>
      <c r="I44" s="10"/>
      <c r="J44" s="11"/>
      <c r="K44" s="11">
        <f t="shared" si="35"/>
        <v>0</v>
      </c>
      <c r="L44" s="37">
        <f t="shared" si="36"/>
        <v>0</v>
      </c>
      <c r="M44" s="11"/>
      <c r="N44" s="10"/>
      <c r="O44" s="21"/>
      <c r="P44" s="21"/>
      <c r="Q44" s="21"/>
      <c r="R44" s="23"/>
      <c r="S44" s="50"/>
      <c r="T44" s="48"/>
      <c r="U44" s="82"/>
      <c r="V44" s="32"/>
      <c r="W44" s="200"/>
      <c r="X44" s="17"/>
      <c r="Z44">
        <v>7</v>
      </c>
      <c r="AA44" s="417"/>
      <c r="AB44" s="97" t="s">
        <v>3</v>
      </c>
      <c r="AC44" s="106"/>
      <c r="AD44" s="99">
        <f>SUM(AD39:AD43)</f>
        <v>0</v>
      </c>
      <c r="AE44" s="99">
        <f t="shared" ref="AE44" si="109">SUM(AE39:AE43)</f>
        <v>0</v>
      </c>
      <c r="AF44" s="99">
        <f t="shared" ref="AF44" si="110">SUM(AF39:AF43)</f>
        <v>0</v>
      </c>
      <c r="AG44" s="99">
        <f t="shared" ref="AG44" si="111">SUM(AG39:AG43)</f>
        <v>0</v>
      </c>
      <c r="AH44" s="110">
        <f t="shared" ref="AH44" si="112">SUM(AH39:AH43)</f>
        <v>0</v>
      </c>
      <c r="AI44" s="123">
        <f t="shared" ref="AI44" si="113">SUM(AI39:AI43)</f>
        <v>0</v>
      </c>
      <c r="AJ44" s="124">
        <f t="shared" ref="AJ44" si="114">SUM(AJ39:AJ43)</f>
        <v>0</v>
      </c>
      <c r="AK44" s="124">
        <f t="shared" ref="AK44" si="115">SUM(AK39:AK43)</f>
        <v>0</v>
      </c>
      <c r="AL44" s="124">
        <f t="shared" ref="AL44" si="116">SUM(AL39:AL43)</f>
        <v>0</v>
      </c>
      <c r="AM44" s="125">
        <f t="shared" ref="AM44" si="117">SUM(AM39:AM43)</f>
        <v>0</v>
      </c>
      <c r="AN44" s="99">
        <f t="shared" ref="AN44" si="118">SUM(AN39:AN43)</f>
        <v>0</v>
      </c>
      <c r="AO44" s="99">
        <f t="shared" ref="AO44" si="119">SUM(AO39:AO43)</f>
        <v>0</v>
      </c>
      <c r="AP44" s="99">
        <f t="shared" ref="AP44" si="120">SUM(AP39:AP43)</f>
        <v>0</v>
      </c>
      <c r="AQ44" s="99">
        <f t="shared" ref="AQ44" si="121">SUM(AQ39:AQ43)</f>
        <v>0</v>
      </c>
      <c r="AR44" s="99">
        <f t="shared" ref="AR44" si="122">SUM(AR39:AR43)</f>
        <v>0</v>
      </c>
    </row>
    <row r="45" spans="2:48" hidden="1" x14ac:dyDescent="0.25">
      <c r="B45" s="17">
        <v>43</v>
      </c>
      <c r="C45" s="10"/>
      <c r="D45" s="10"/>
      <c r="E45" s="72"/>
      <c r="F45" s="18"/>
      <c r="G45" s="10"/>
      <c r="H45" s="10"/>
      <c r="I45" s="10"/>
      <c r="J45" s="11"/>
      <c r="K45" s="11">
        <f t="shared" si="35"/>
        <v>0</v>
      </c>
      <c r="L45" s="37">
        <f t="shared" si="36"/>
        <v>0</v>
      </c>
      <c r="M45" s="11"/>
      <c r="N45" s="10"/>
      <c r="O45" s="21"/>
      <c r="P45" s="21"/>
      <c r="Q45" s="21"/>
      <c r="R45" s="23"/>
      <c r="S45" s="50"/>
      <c r="T45" s="48"/>
      <c r="U45" s="82"/>
      <c r="V45" s="26"/>
      <c r="W45" s="200"/>
      <c r="X45" s="17"/>
      <c r="Z45">
        <v>8</v>
      </c>
      <c r="AA45" s="415">
        <v>8</v>
      </c>
      <c r="AB45" s="94">
        <v>1</v>
      </c>
      <c r="AC45" s="100" t="s">
        <v>120</v>
      </c>
      <c r="AD45" s="41">
        <f t="shared" si="2"/>
        <v>0</v>
      </c>
      <c r="AE45" s="70">
        <f t="shared" si="3"/>
        <v>0</v>
      </c>
      <c r="AF45" s="70">
        <f t="shared" si="4"/>
        <v>0</v>
      </c>
      <c r="AG45" s="70">
        <f t="shared" si="5"/>
        <v>0</v>
      </c>
      <c r="AH45" s="109">
        <f t="shared" si="6"/>
        <v>0</v>
      </c>
      <c r="AI45" s="120">
        <f t="shared" si="7"/>
        <v>0</v>
      </c>
      <c r="AJ45" s="121">
        <f t="shared" si="8"/>
        <v>0</v>
      </c>
      <c r="AK45" s="121">
        <f t="shared" si="9"/>
        <v>0</v>
      </c>
      <c r="AL45" s="121">
        <f t="shared" si="10"/>
        <v>0</v>
      </c>
      <c r="AM45" s="122">
        <f t="shared" si="11"/>
        <v>0</v>
      </c>
      <c r="AN45" s="41">
        <f t="shared" si="12"/>
        <v>0</v>
      </c>
      <c r="AO45" s="70">
        <f t="shared" si="13"/>
        <v>0</v>
      </c>
      <c r="AP45" s="70">
        <f t="shared" si="14"/>
        <v>0</v>
      </c>
      <c r="AQ45" s="70">
        <f t="shared" si="15"/>
        <v>0</v>
      </c>
      <c r="AR45" s="70">
        <f t="shared" si="16"/>
        <v>0</v>
      </c>
    </row>
    <row r="46" spans="2:48" hidden="1" x14ac:dyDescent="0.25">
      <c r="B46" s="17">
        <v>44</v>
      </c>
      <c r="C46" s="10"/>
      <c r="D46" s="10"/>
      <c r="E46" s="72"/>
      <c r="F46" s="18"/>
      <c r="G46" s="10"/>
      <c r="H46" s="10"/>
      <c r="I46" s="10"/>
      <c r="J46" s="11"/>
      <c r="K46" s="11">
        <f t="shared" si="35"/>
        <v>0</v>
      </c>
      <c r="L46" s="37">
        <f t="shared" si="36"/>
        <v>0</v>
      </c>
      <c r="M46" s="11"/>
      <c r="N46" s="10"/>
      <c r="O46" s="21"/>
      <c r="P46" s="21"/>
      <c r="Q46" s="21"/>
      <c r="R46" s="23"/>
      <c r="S46" s="50"/>
      <c r="T46" s="48"/>
      <c r="U46" s="82"/>
      <c r="V46" s="26"/>
      <c r="W46" s="200"/>
      <c r="X46" s="17"/>
      <c r="Z46">
        <v>8</v>
      </c>
      <c r="AA46" s="416"/>
      <c r="AB46" s="95">
        <v>2</v>
      </c>
      <c r="AC46" s="102" t="s">
        <v>121</v>
      </c>
      <c r="AD46" s="41">
        <f t="shared" si="2"/>
        <v>0</v>
      </c>
      <c r="AE46" s="70">
        <f t="shared" si="3"/>
        <v>0</v>
      </c>
      <c r="AF46" s="70">
        <f t="shared" si="4"/>
        <v>0</v>
      </c>
      <c r="AG46" s="70">
        <f t="shared" si="5"/>
        <v>0</v>
      </c>
      <c r="AH46" s="109">
        <f t="shared" si="6"/>
        <v>0</v>
      </c>
      <c r="AI46" s="120">
        <f t="shared" si="7"/>
        <v>0</v>
      </c>
      <c r="AJ46" s="121">
        <f t="shared" si="8"/>
        <v>0</v>
      </c>
      <c r="AK46" s="121">
        <f t="shared" si="9"/>
        <v>0</v>
      </c>
      <c r="AL46" s="121">
        <f t="shared" si="10"/>
        <v>0</v>
      </c>
      <c r="AM46" s="122">
        <f t="shared" si="11"/>
        <v>0</v>
      </c>
      <c r="AN46" s="41">
        <f t="shared" si="12"/>
        <v>0</v>
      </c>
      <c r="AO46" s="70">
        <f t="shared" si="13"/>
        <v>0</v>
      </c>
      <c r="AP46" s="70">
        <f t="shared" si="14"/>
        <v>0</v>
      </c>
      <c r="AQ46" s="70">
        <f t="shared" si="15"/>
        <v>0</v>
      </c>
      <c r="AR46" s="70">
        <f t="shared" si="16"/>
        <v>0</v>
      </c>
    </row>
    <row r="47" spans="2:48" hidden="1" x14ac:dyDescent="0.25">
      <c r="B47" s="17">
        <v>45</v>
      </c>
      <c r="C47" s="10"/>
      <c r="D47" s="10"/>
      <c r="E47" s="72"/>
      <c r="F47" s="18"/>
      <c r="G47" s="10"/>
      <c r="H47" s="10"/>
      <c r="I47" s="10"/>
      <c r="J47" s="11"/>
      <c r="K47" s="11">
        <f t="shared" si="35"/>
        <v>0</v>
      </c>
      <c r="L47" s="37">
        <f t="shared" si="36"/>
        <v>0</v>
      </c>
      <c r="M47" s="11"/>
      <c r="N47" s="10"/>
      <c r="O47" s="21"/>
      <c r="P47" s="21"/>
      <c r="Q47" s="21"/>
      <c r="R47" s="23"/>
      <c r="S47" s="50"/>
      <c r="T47" s="48"/>
      <c r="U47" s="82"/>
      <c r="V47" s="26"/>
      <c r="W47" s="200"/>
      <c r="X47" s="17"/>
      <c r="Z47">
        <v>8</v>
      </c>
      <c r="AA47" s="416"/>
      <c r="AB47" s="95">
        <v>3</v>
      </c>
      <c r="AC47" s="102" t="s">
        <v>122</v>
      </c>
      <c r="AD47" s="41">
        <f t="shared" si="2"/>
        <v>0</v>
      </c>
      <c r="AE47" s="70">
        <f t="shared" si="3"/>
        <v>0</v>
      </c>
      <c r="AF47" s="70">
        <f t="shared" si="4"/>
        <v>0</v>
      </c>
      <c r="AG47" s="70">
        <f t="shared" si="5"/>
        <v>0</v>
      </c>
      <c r="AH47" s="109">
        <f t="shared" si="6"/>
        <v>0</v>
      </c>
      <c r="AI47" s="120">
        <f t="shared" si="7"/>
        <v>0</v>
      </c>
      <c r="AJ47" s="121">
        <f t="shared" si="8"/>
        <v>0</v>
      </c>
      <c r="AK47" s="121">
        <f t="shared" si="9"/>
        <v>0</v>
      </c>
      <c r="AL47" s="121">
        <f t="shared" si="10"/>
        <v>0</v>
      </c>
      <c r="AM47" s="122">
        <f t="shared" si="11"/>
        <v>0</v>
      </c>
      <c r="AN47" s="41">
        <f t="shared" si="12"/>
        <v>0</v>
      </c>
      <c r="AO47" s="70">
        <f t="shared" si="13"/>
        <v>0</v>
      </c>
      <c r="AP47" s="70">
        <f t="shared" si="14"/>
        <v>0</v>
      </c>
      <c r="AQ47" s="70">
        <f t="shared" si="15"/>
        <v>0</v>
      </c>
      <c r="AR47" s="70">
        <f t="shared" si="16"/>
        <v>0</v>
      </c>
    </row>
    <row r="48" spans="2:48" hidden="1" x14ac:dyDescent="0.25">
      <c r="B48" s="17">
        <v>46</v>
      </c>
      <c r="C48" s="10"/>
      <c r="D48" s="10"/>
      <c r="E48" s="72"/>
      <c r="F48" s="18"/>
      <c r="G48" s="10"/>
      <c r="H48" s="10"/>
      <c r="I48" s="10"/>
      <c r="J48" s="11"/>
      <c r="K48" s="11">
        <f t="shared" si="35"/>
        <v>0</v>
      </c>
      <c r="L48" s="37">
        <f t="shared" si="36"/>
        <v>0</v>
      </c>
      <c r="M48" s="11"/>
      <c r="N48" s="10"/>
      <c r="O48" s="21"/>
      <c r="P48" s="21"/>
      <c r="Q48" s="21"/>
      <c r="R48" s="23"/>
      <c r="S48" s="50"/>
      <c r="T48" s="48"/>
      <c r="U48" s="82"/>
      <c r="V48" s="26"/>
      <c r="W48" s="200"/>
      <c r="X48" s="17"/>
      <c r="Z48">
        <v>8</v>
      </c>
      <c r="AA48" s="416"/>
      <c r="AB48" s="95">
        <v>4</v>
      </c>
      <c r="AC48" s="102" t="s">
        <v>123</v>
      </c>
      <c r="AD48" s="41">
        <f t="shared" si="2"/>
        <v>0</v>
      </c>
      <c r="AE48" s="70">
        <f t="shared" si="3"/>
        <v>0</v>
      </c>
      <c r="AF48" s="70">
        <f t="shared" si="4"/>
        <v>0</v>
      </c>
      <c r="AG48" s="70">
        <f t="shared" si="5"/>
        <v>0</v>
      </c>
      <c r="AH48" s="109">
        <f t="shared" si="6"/>
        <v>0</v>
      </c>
      <c r="AI48" s="120">
        <f t="shared" si="7"/>
        <v>0</v>
      </c>
      <c r="AJ48" s="121">
        <f t="shared" si="8"/>
        <v>0</v>
      </c>
      <c r="AK48" s="121">
        <f t="shared" si="9"/>
        <v>0</v>
      </c>
      <c r="AL48" s="121">
        <f t="shared" si="10"/>
        <v>0</v>
      </c>
      <c r="AM48" s="122">
        <f t="shared" si="11"/>
        <v>0</v>
      </c>
      <c r="AN48" s="41">
        <f t="shared" si="12"/>
        <v>0</v>
      </c>
      <c r="AO48" s="70">
        <f t="shared" si="13"/>
        <v>0</v>
      </c>
      <c r="AP48" s="70">
        <f t="shared" si="14"/>
        <v>0</v>
      </c>
      <c r="AQ48" s="70">
        <f t="shared" si="15"/>
        <v>0</v>
      </c>
      <c r="AR48" s="70">
        <f t="shared" si="16"/>
        <v>0</v>
      </c>
    </row>
    <row r="49" spans="2:44" hidden="1" x14ac:dyDescent="0.25">
      <c r="B49" s="17">
        <v>47</v>
      </c>
      <c r="C49" s="10"/>
      <c r="D49" s="10"/>
      <c r="E49" s="72"/>
      <c r="F49" s="18"/>
      <c r="G49" s="10"/>
      <c r="H49" s="10"/>
      <c r="I49" s="10"/>
      <c r="J49" s="11"/>
      <c r="K49" s="11">
        <f t="shared" si="35"/>
        <v>0</v>
      </c>
      <c r="L49" s="37">
        <f t="shared" si="36"/>
        <v>0</v>
      </c>
      <c r="M49" s="11"/>
      <c r="N49" s="10"/>
      <c r="O49" s="21"/>
      <c r="P49" s="21"/>
      <c r="Q49" s="21"/>
      <c r="R49" s="23"/>
      <c r="S49" s="50"/>
      <c r="T49" s="48"/>
      <c r="U49" s="82"/>
      <c r="V49" s="26"/>
      <c r="W49" s="200"/>
      <c r="X49" s="17"/>
      <c r="Z49">
        <v>8</v>
      </c>
      <c r="AA49" s="416"/>
      <c r="AB49" s="96">
        <v>5</v>
      </c>
      <c r="AC49" s="105"/>
      <c r="AD49" s="41">
        <f t="shared" si="2"/>
        <v>0</v>
      </c>
      <c r="AE49" s="70">
        <f t="shared" si="3"/>
        <v>0</v>
      </c>
      <c r="AF49" s="70">
        <f t="shared" si="4"/>
        <v>0</v>
      </c>
      <c r="AG49" s="70">
        <f t="shared" si="5"/>
        <v>0</v>
      </c>
      <c r="AH49" s="109">
        <f t="shared" si="6"/>
        <v>0</v>
      </c>
      <c r="AI49" s="120">
        <f t="shared" si="7"/>
        <v>0</v>
      </c>
      <c r="AJ49" s="121">
        <f t="shared" si="8"/>
        <v>0</v>
      </c>
      <c r="AK49" s="121">
        <f t="shared" si="9"/>
        <v>0</v>
      </c>
      <c r="AL49" s="121">
        <f t="shared" si="10"/>
        <v>0</v>
      </c>
      <c r="AM49" s="122">
        <f t="shared" si="11"/>
        <v>0</v>
      </c>
      <c r="AN49" s="41">
        <f t="shared" si="12"/>
        <v>0</v>
      </c>
      <c r="AO49" s="70">
        <f t="shared" si="13"/>
        <v>0</v>
      </c>
      <c r="AP49" s="70">
        <f t="shared" si="14"/>
        <v>0</v>
      </c>
      <c r="AQ49" s="70">
        <f t="shared" si="15"/>
        <v>0</v>
      </c>
      <c r="AR49" s="70">
        <f t="shared" si="16"/>
        <v>0</v>
      </c>
    </row>
    <row r="50" spans="2:44" ht="14.25" hidden="1" thickBot="1" x14ac:dyDescent="0.3">
      <c r="B50" s="17">
        <v>48</v>
      </c>
      <c r="C50" s="10"/>
      <c r="D50" s="10"/>
      <c r="E50" s="72"/>
      <c r="F50" s="18"/>
      <c r="G50" s="10"/>
      <c r="H50" s="10"/>
      <c r="I50" s="10"/>
      <c r="J50" s="11"/>
      <c r="K50" s="11">
        <f t="shared" si="35"/>
        <v>0</v>
      </c>
      <c r="L50" s="37">
        <f t="shared" si="36"/>
        <v>0</v>
      </c>
      <c r="M50" s="11"/>
      <c r="N50" s="10"/>
      <c r="O50" s="21"/>
      <c r="P50" s="21"/>
      <c r="Q50" s="21"/>
      <c r="R50" s="23"/>
      <c r="S50" s="50"/>
      <c r="T50" s="48"/>
      <c r="U50" s="82"/>
      <c r="V50" s="32"/>
      <c r="W50" s="200"/>
      <c r="X50" s="17"/>
      <c r="Z50">
        <v>8</v>
      </c>
      <c r="AA50" s="417"/>
      <c r="AB50" s="97" t="s">
        <v>3</v>
      </c>
      <c r="AC50" s="106"/>
      <c r="AD50" s="99">
        <f>SUM(AD45:AD49)</f>
        <v>0</v>
      </c>
      <c r="AE50" s="99">
        <f t="shared" ref="AE50" si="123">SUM(AE45:AE49)</f>
        <v>0</v>
      </c>
      <c r="AF50" s="99">
        <f t="shared" ref="AF50" si="124">SUM(AF45:AF49)</f>
        <v>0</v>
      </c>
      <c r="AG50" s="99">
        <f t="shared" ref="AG50" si="125">SUM(AG45:AG49)</f>
        <v>0</v>
      </c>
      <c r="AH50" s="110">
        <f t="shared" ref="AH50" si="126">SUM(AH45:AH49)</f>
        <v>0</v>
      </c>
      <c r="AI50" s="123">
        <f t="shared" ref="AI50" si="127">SUM(AI45:AI49)</f>
        <v>0</v>
      </c>
      <c r="AJ50" s="124">
        <f t="shared" ref="AJ50" si="128">SUM(AJ45:AJ49)</f>
        <v>0</v>
      </c>
      <c r="AK50" s="124">
        <f t="shared" ref="AK50" si="129">SUM(AK45:AK49)</f>
        <v>0</v>
      </c>
      <c r="AL50" s="124">
        <f t="shared" ref="AL50" si="130">SUM(AL45:AL49)</f>
        <v>0</v>
      </c>
      <c r="AM50" s="125">
        <f t="shared" ref="AM50" si="131">SUM(AM45:AM49)</f>
        <v>0</v>
      </c>
      <c r="AN50" s="99">
        <f t="shared" ref="AN50" si="132">SUM(AN45:AN49)</f>
        <v>0</v>
      </c>
      <c r="AO50" s="99">
        <f t="shared" ref="AO50" si="133">SUM(AO45:AO49)</f>
        <v>0</v>
      </c>
      <c r="AP50" s="99">
        <f t="shared" ref="AP50" si="134">SUM(AP45:AP49)</f>
        <v>0</v>
      </c>
      <c r="AQ50" s="99">
        <f t="shared" ref="AQ50" si="135">SUM(AQ45:AQ49)</f>
        <v>0</v>
      </c>
      <c r="AR50" s="99">
        <f t="shared" ref="AR50" si="136">SUM(AR45:AR49)</f>
        <v>0</v>
      </c>
    </row>
    <row r="51" spans="2:44" hidden="1" x14ac:dyDescent="0.25">
      <c r="B51" s="17">
        <v>49</v>
      </c>
      <c r="C51" s="10"/>
      <c r="D51" s="10"/>
      <c r="E51" s="72"/>
      <c r="F51" s="18"/>
      <c r="G51" s="10"/>
      <c r="H51" s="10"/>
      <c r="I51" s="10"/>
      <c r="J51" s="11"/>
      <c r="K51" s="11">
        <f t="shared" si="35"/>
        <v>0</v>
      </c>
      <c r="L51" s="37">
        <f t="shared" si="36"/>
        <v>0</v>
      </c>
      <c r="M51" s="11"/>
      <c r="N51" s="10"/>
      <c r="O51" s="21"/>
      <c r="P51" s="21"/>
      <c r="Q51" s="21"/>
      <c r="R51" s="23"/>
      <c r="S51" s="50"/>
      <c r="T51" s="48"/>
      <c r="U51" s="82"/>
      <c r="V51" s="32"/>
      <c r="W51" s="200"/>
      <c r="X51" s="17"/>
      <c r="Z51">
        <v>9</v>
      </c>
      <c r="AA51" s="415">
        <v>9</v>
      </c>
      <c r="AB51" s="94">
        <v>1</v>
      </c>
      <c r="AC51" s="100" t="s">
        <v>124</v>
      </c>
      <c r="AD51" s="41">
        <f t="shared" si="2"/>
        <v>0</v>
      </c>
      <c r="AE51" s="70">
        <f t="shared" si="3"/>
        <v>0</v>
      </c>
      <c r="AF51" s="70">
        <f t="shared" si="4"/>
        <v>0</v>
      </c>
      <c r="AG51" s="70">
        <f t="shared" si="5"/>
        <v>0</v>
      </c>
      <c r="AH51" s="109">
        <f t="shared" si="6"/>
        <v>0</v>
      </c>
      <c r="AI51" s="120">
        <f t="shared" si="7"/>
        <v>0</v>
      </c>
      <c r="AJ51" s="121">
        <f t="shared" si="8"/>
        <v>0</v>
      </c>
      <c r="AK51" s="121">
        <f t="shared" si="9"/>
        <v>0</v>
      </c>
      <c r="AL51" s="121">
        <f t="shared" si="10"/>
        <v>0</v>
      </c>
      <c r="AM51" s="122">
        <f t="shared" si="11"/>
        <v>0</v>
      </c>
      <c r="AN51" s="41">
        <f t="shared" si="12"/>
        <v>0</v>
      </c>
      <c r="AO51" s="70">
        <f t="shared" si="13"/>
        <v>0</v>
      </c>
      <c r="AP51" s="70">
        <f t="shared" si="14"/>
        <v>0</v>
      </c>
      <c r="AQ51" s="70">
        <f t="shared" si="15"/>
        <v>0</v>
      </c>
      <c r="AR51" s="70">
        <f t="shared" si="16"/>
        <v>0</v>
      </c>
    </row>
    <row r="52" spans="2:44" hidden="1" x14ac:dyDescent="0.25">
      <c r="B52" s="17">
        <v>50</v>
      </c>
      <c r="C52" s="10"/>
      <c r="D52" s="10"/>
      <c r="E52" s="72"/>
      <c r="F52" s="18"/>
      <c r="G52" s="10"/>
      <c r="H52" s="10"/>
      <c r="I52" s="10"/>
      <c r="J52" s="11"/>
      <c r="K52" s="11">
        <f t="shared" si="35"/>
        <v>0</v>
      </c>
      <c r="L52" s="37">
        <f t="shared" si="36"/>
        <v>0</v>
      </c>
      <c r="M52" s="11"/>
      <c r="N52" s="10"/>
      <c r="O52" s="21"/>
      <c r="P52" s="21"/>
      <c r="Q52" s="21"/>
      <c r="R52" s="23"/>
      <c r="S52" s="50"/>
      <c r="T52" s="48"/>
      <c r="U52" s="82"/>
      <c r="V52" s="32"/>
      <c r="W52" s="200"/>
      <c r="X52" s="17"/>
      <c r="Z52">
        <v>9</v>
      </c>
      <c r="AA52" s="416"/>
      <c r="AB52" s="95">
        <v>2</v>
      </c>
      <c r="AC52" s="102" t="s">
        <v>125</v>
      </c>
      <c r="AD52" s="41">
        <f t="shared" si="2"/>
        <v>121.6</v>
      </c>
      <c r="AE52" s="70">
        <f t="shared" si="3"/>
        <v>0</v>
      </c>
      <c r="AF52" s="70">
        <f t="shared" si="4"/>
        <v>121.6</v>
      </c>
      <c r="AG52" s="70">
        <f t="shared" si="5"/>
        <v>0</v>
      </c>
      <c r="AH52" s="109">
        <f t="shared" si="6"/>
        <v>0</v>
      </c>
      <c r="AI52" s="120">
        <f t="shared" si="7"/>
        <v>1</v>
      </c>
      <c r="AJ52" s="121">
        <f t="shared" si="8"/>
        <v>0</v>
      </c>
      <c r="AK52" s="121">
        <f t="shared" si="9"/>
        <v>1</v>
      </c>
      <c r="AL52" s="121">
        <f t="shared" si="10"/>
        <v>0</v>
      </c>
      <c r="AM52" s="122">
        <f t="shared" si="11"/>
        <v>0</v>
      </c>
      <c r="AN52" s="41">
        <f t="shared" si="12"/>
        <v>1.19</v>
      </c>
      <c r="AO52" s="70">
        <f t="shared" si="13"/>
        <v>0</v>
      </c>
      <c r="AP52" s="70">
        <f t="shared" si="14"/>
        <v>1.19</v>
      </c>
      <c r="AQ52" s="70">
        <f t="shared" si="15"/>
        <v>0</v>
      </c>
      <c r="AR52" s="70">
        <f t="shared" si="16"/>
        <v>0</v>
      </c>
    </row>
    <row r="53" spans="2:44" hidden="1" x14ac:dyDescent="0.25">
      <c r="B53" s="17">
        <v>51</v>
      </c>
      <c r="C53" s="10"/>
      <c r="D53" s="10"/>
      <c r="E53" s="72"/>
      <c r="F53" s="18"/>
      <c r="G53" s="10"/>
      <c r="H53" s="10"/>
      <c r="I53" s="10"/>
      <c r="J53" s="11"/>
      <c r="K53" s="11">
        <f t="shared" si="35"/>
        <v>0</v>
      </c>
      <c r="L53" s="37">
        <f t="shared" si="36"/>
        <v>0</v>
      </c>
      <c r="M53" s="11"/>
      <c r="N53" s="10"/>
      <c r="O53" s="21"/>
      <c r="P53" s="21"/>
      <c r="Q53" s="21"/>
      <c r="R53" s="23"/>
      <c r="S53" s="50"/>
      <c r="T53" s="48"/>
      <c r="U53" s="82"/>
      <c r="V53" s="32"/>
      <c r="W53" s="200"/>
      <c r="X53" s="17"/>
      <c r="Z53">
        <v>9</v>
      </c>
      <c r="AA53" s="416"/>
      <c r="AB53" s="95">
        <v>3</v>
      </c>
      <c r="AC53" s="102" t="s">
        <v>126</v>
      </c>
      <c r="AD53" s="41">
        <f t="shared" si="2"/>
        <v>76.8</v>
      </c>
      <c r="AE53" s="70">
        <f t="shared" si="3"/>
        <v>0</v>
      </c>
      <c r="AF53" s="70">
        <f t="shared" si="4"/>
        <v>0</v>
      </c>
      <c r="AG53" s="70">
        <f t="shared" si="5"/>
        <v>76.8</v>
      </c>
      <c r="AH53" s="109">
        <f t="shared" si="6"/>
        <v>0</v>
      </c>
      <c r="AI53" s="120">
        <f t="shared" si="7"/>
        <v>1</v>
      </c>
      <c r="AJ53" s="121">
        <f t="shared" si="8"/>
        <v>0</v>
      </c>
      <c r="AK53" s="121">
        <f t="shared" si="9"/>
        <v>0</v>
      </c>
      <c r="AL53" s="121">
        <f t="shared" si="10"/>
        <v>1</v>
      </c>
      <c r="AM53" s="122">
        <f t="shared" si="11"/>
        <v>0</v>
      </c>
      <c r="AN53" s="41">
        <f t="shared" si="12"/>
        <v>0.90500000000000003</v>
      </c>
      <c r="AO53" s="70">
        <f t="shared" si="13"/>
        <v>0</v>
      </c>
      <c r="AP53" s="70">
        <f t="shared" si="14"/>
        <v>0</v>
      </c>
      <c r="AQ53" s="70">
        <f t="shared" si="15"/>
        <v>0.90500000000000003</v>
      </c>
      <c r="AR53" s="70">
        <f t="shared" si="16"/>
        <v>0</v>
      </c>
    </row>
    <row r="54" spans="2:44" hidden="1" x14ac:dyDescent="0.25">
      <c r="B54" s="17">
        <v>52</v>
      </c>
      <c r="C54" s="10"/>
      <c r="D54" s="10"/>
      <c r="E54" s="72"/>
      <c r="F54" s="18"/>
      <c r="G54" s="10"/>
      <c r="H54" s="10"/>
      <c r="I54" s="10"/>
      <c r="J54" s="11"/>
      <c r="K54" s="11">
        <f t="shared" si="35"/>
        <v>0</v>
      </c>
      <c r="L54" s="37">
        <f t="shared" si="36"/>
        <v>0</v>
      </c>
      <c r="M54" s="11"/>
      <c r="N54" s="10"/>
      <c r="O54" s="21"/>
      <c r="P54" s="21"/>
      <c r="Q54" s="21"/>
      <c r="R54" s="23"/>
      <c r="S54" s="50"/>
      <c r="T54" s="48"/>
      <c r="U54" s="82"/>
      <c r="V54" s="26"/>
      <c r="W54" s="200"/>
      <c r="X54" s="17"/>
      <c r="Z54">
        <v>9</v>
      </c>
      <c r="AA54" s="416"/>
      <c r="AB54" s="95">
        <v>4</v>
      </c>
      <c r="AC54" s="102" t="s">
        <v>127</v>
      </c>
      <c r="AD54" s="41">
        <f t="shared" si="2"/>
        <v>0</v>
      </c>
      <c r="AE54" s="70">
        <f t="shared" si="3"/>
        <v>0</v>
      </c>
      <c r="AF54" s="70">
        <f t="shared" si="4"/>
        <v>0</v>
      </c>
      <c r="AG54" s="70">
        <f t="shared" si="5"/>
        <v>0</v>
      </c>
      <c r="AH54" s="109">
        <f t="shared" si="6"/>
        <v>0</v>
      </c>
      <c r="AI54" s="120">
        <f t="shared" si="7"/>
        <v>0</v>
      </c>
      <c r="AJ54" s="121">
        <f t="shared" si="8"/>
        <v>0</v>
      </c>
      <c r="AK54" s="121">
        <f t="shared" si="9"/>
        <v>0</v>
      </c>
      <c r="AL54" s="121">
        <f t="shared" si="10"/>
        <v>0</v>
      </c>
      <c r="AM54" s="122">
        <f t="shared" si="11"/>
        <v>0</v>
      </c>
      <c r="AN54" s="41">
        <f t="shared" si="12"/>
        <v>0</v>
      </c>
      <c r="AO54" s="70">
        <f t="shared" si="13"/>
        <v>0</v>
      </c>
      <c r="AP54" s="70">
        <f t="shared" si="14"/>
        <v>0</v>
      </c>
      <c r="AQ54" s="70">
        <f t="shared" si="15"/>
        <v>0</v>
      </c>
      <c r="AR54" s="70">
        <f t="shared" si="16"/>
        <v>0</v>
      </c>
    </row>
    <row r="55" spans="2:44" hidden="1" x14ac:dyDescent="0.25">
      <c r="B55" s="17">
        <v>53</v>
      </c>
      <c r="C55" s="10"/>
      <c r="D55" s="10"/>
      <c r="E55" s="72"/>
      <c r="F55" s="18"/>
      <c r="G55" s="10"/>
      <c r="H55" s="10"/>
      <c r="I55" s="10"/>
      <c r="J55" s="11"/>
      <c r="K55" s="11">
        <f t="shared" si="35"/>
        <v>0</v>
      </c>
      <c r="L55" s="37">
        <f t="shared" si="36"/>
        <v>0</v>
      </c>
      <c r="M55" s="11"/>
      <c r="N55" s="10"/>
      <c r="O55" s="21"/>
      <c r="P55" s="21"/>
      <c r="Q55" s="21"/>
      <c r="R55" s="23"/>
      <c r="S55" s="50"/>
      <c r="T55" s="48"/>
      <c r="U55" s="82"/>
      <c r="V55" s="26"/>
      <c r="W55" s="200"/>
      <c r="X55" s="17"/>
      <c r="Z55">
        <v>9</v>
      </c>
      <c r="AA55" s="416"/>
      <c r="AB55" s="96">
        <v>5</v>
      </c>
      <c r="AC55" s="105"/>
      <c r="AD55" s="41">
        <f t="shared" si="2"/>
        <v>0</v>
      </c>
      <c r="AE55" s="70">
        <f t="shared" si="3"/>
        <v>0</v>
      </c>
      <c r="AF55" s="70">
        <f t="shared" si="4"/>
        <v>0</v>
      </c>
      <c r="AG55" s="70">
        <f t="shared" si="5"/>
        <v>0</v>
      </c>
      <c r="AH55" s="109">
        <f t="shared" si="6"/>
        <v>0</v>
      </c>
      <c r="AI55" s="120">
        <f t="shared" si="7"/>
        <v>0</v>
      </c>
      <c r="AJ55" s="121">
        <f t="shared" si="8"/>
        <v>0</v>
      </c>
      <c r="AK55" s="121">
        <f t="shared" si="9"/>
        <v>0</v>
      </c>
      <c r="AL55" s="121">
        <f t="shared" si="10"/>
        <v>0</v>
      </c>
      <c r="AM55" s="122">
        <f t="shared" si="11"/>
        <v>0</v>
      </c>
      <c r="AN55" s="41">
        <f t="shared" si="12"/>
        <v>0</v>
      </c>
      <c r="AO55" s="70">
        <f t="shared" si="13"/>
        <v>0</v>
      </c>
      <c r="AP55" s="70">
        <f t="shared" si="14"/>
        <v>0</v>
      </c>
      <c r="AQ55" s="70">
        <f t="shared" si="15"/>
        <v>0</v>
      </c>
      <c r="AR55" s="70">
        <f t="shared" si="16"/>
        <v>0</v>
      </c>
    </row>
    <row r="56" spans="2:44" ht="14.25" hidden="1" thickBot="1" x14ac:dyDescent="0.3">
      <c r="B56" s="17">
        <v>54</v>
      </c>
      <c r="C56" s="10"/>
      <c r="D56" s="10"/>
      <c r="E56" s="72"/>
      <c r="F56" s="18"/>
      <c r="G56" s="10"/>
      <c r="H56" s="10"/>
      <c r="I56" s="10"/>
      <c r="J56" s="11"/>
      <c r="K56" s="11">
        <f t="shared" si="35"/>
        <v>0</v>
      </c>
      <c r="L56" s="37">
        <f t="shared" si="36"/>
        <v>0</v>
      </c>
      <c r="M56" s="11"/>
      <c r="N56" s="10"/>
      <c r="O56" s="21"/>
      <c r="P56" s="21"/>
      <c r="Q56" s="21"/>
      <c r="R56" s="23"/>
      <c r="S56" s="50"/>
      <c r="T56" s="48"/>
      <c r="U56" s="82"/>
      <c r="V56" s="26"/>
      <c r="W56" s="200"/>
      <c r="X56" s="17"/>
      <c r="Z56">
        <v>9</v>
      </c>
      <c r="AA56" s="417"/>
      <c r="AB56" s="97" t="s">
        <v>3</v>
      </c>
      <c r="AC56" s="106"/>
      <c r="AD56" s="99">
        <f>SUM(AD51:AD55)</f>
        <v>198.39999999999998</v>
      </c>
      <c r="AE56" s="99">
        <f t="shared" ref="AE56" si="137">SUM(AE51:AE55)</f>
        <v>0</v>
      </c>
      <c r="AF56" s="99">
        <f t="shared" ref="AF56" si="138">SUM(AF51:AF55)</f>
        <v>121.6</v>
      </c>
      <c r="AG56" s="99">
        <f t="shared" ref="AG56" si="139">SUM(AG51:AG55)</f>
        <v>76.8</v>
      </c>
      <c r="AH56" s="110">
        <f t="shared" ref="AH56" si="140">SUM(AH51:AH55)</f>
        <v>0</v>
      </c>
      <c r="AI56" s="123">
        <f t="shared" ref="AI56" si="141">SUM(AI51:AI55)</f>
        <v>2</v>
      </c>
      <c r="AJ56" s="124">
        <f t="shared" ref="AJ56" si="142">SUM(AJ51:AJ55)</f>
        <v>0</v>
      </c>
      <c r="AK56" s="124">
        <f t="shared" ref="AK56" si="143">SUM(AK51:AK55)</f>
        <v>1</v>
      </c>
      <c r="AL56" s="124">
        <f t="shared" ref="AL56" si="144">SUM(AL51:AL55)</f>
        <v>1</v>
      </c>
      <c r="AM56" s="125">
        <f t="shared" ref="AM56" si="145">SUM(AM51:AM55)</f>
        <v>0</v>
      </c>
      <c r="AN56" s="99">
        <f t="shared" ref="AN56" si="146">SUM(AN51:AN55)</f>
        <v>2.0949999999999998</v>
      </c>
      <c r="AO56" s="99">
        <f t="shared" ref="AO56" si="147">SUM(AO51:AO55)</f>
        <v>0</v>
      </c>
      <c r="AP56" s="99">
        <f t="shared" ref="AP56" si="148">SUM(AP51:AP55)</f>
        <v>1.19</v>
      </c>
      <c r="AQ56" s="99">
        <f t="shared" ref="AQ56" si="149">SUM(AQ51:AQ55)</f>
        <v>0.90500000000000003</v>
      </c>
      <c r="AR56" s="99">
        <f t="shared" ref="AR56" si="150">SUM(AR51:AR55)</f>
        <v>0</v>
      </c>
    </row>
    <row r="57" spans="2:44" hidden="1" x14ac:dyDescent="0.25">
      <c r="B57" s="17">
        <v>55</v>
      </c>
      <c r="C57" s="10"/>
      <c r="D57" s="10"/>
      <c r="E57" s="72"/>
      <c r="F57" s="18"/>
      <c r="G57" s="10"/>
      <c r="H57" s="10"/>
      <c r="I57" s="10"/>
      <c r="J57" s="11"/>
      <c r="K57" s="11">
        <f t="shared" si="35"/>
        <v>0</v>
      </c>
      <c r="L57" s="37">
        <f t="shared" si="36"/>
        <v>0</v>
      </c>
      <c r="M57" s="11"/>
      <c r="N57" s="10"/>
      <c r="O57" s="21"/>
      <c r="P57" s="21"/>
      <c r="Q57" s="21"/>
      <c r="R57" s="23"/>
      <c r="S57" s="50"/>
      <c r="T57" s="48"/>
      <c r="U57" s="82"/>
      <c r="V57" s="26"/>
      <c r="W57" s="200"/>
      <c r="X57" s="17"/>
      <c r="Z57">
        <v>10</v>
      </c>
      <c r="AA57" s="415">
        <v>10</v>
      </c>
      <c r="AB57" s="94">
        <v>1</v>
      </c>
      <c r="AC57" s="100" t="s">
        <v>128</v>
      </c>
      <c r="AD57" s="41">
        <f t="shared" si="2"/>
        <v>0</v>
      </c>
      <c r="AE57" s="70">
        <f t="shared" si="3"/>
        <v>0</v>
      </c>
      <c r="AF57" s="70">
        <f t="shared" si="4"/>
        <v>0</v>
      </c>
      <c r="AG57" s="70">
        <f t="shared" si="5"/>
        <v>0</v>
      </c>
      <c r="AH57" s="109">
        <f t="shared" si="6"/>
        <v>0</v>
      </c>
      <c r="AI57" s="120">
        <f t="shared" si="7"/>
        <v>0</v>
      </c>
      <c r="AJ57" s="121">
        <f t="shared" si="8"/>
        <v>0</v>
      </c>
      <c r="AK57" s="121">
        <f t="shared" si="9"/>
        <v>0</v>
      </c>
      <c r="AL57" s="121">
        <f t="shared" si="10"/>
        <v>0</v>
      </c>
      <c r="AM57" s="122">
        <f t="shared" si="11"/>
        <v>0</v>
      </c>
      <c r="AN57" s="41">
        <f t="shared" si="12"/>
        <v>0</v>
      </c>
      <c r="AO57" s="70">
        <f t="shared" si="13"/>
        <v>0</v>
      </c>
      <c r="AP57" s="70">
        <f t="shared" si="14"/>
        <v>0</v>
      </c>
      <c r="AQ57" s="70">
        <f t="shared" si="15"/>
        <v>0</v>
      </c>
      <c r="AR57" s="70">
        <f t="shared" si="16"/>
        <v>0</v>
      </c>
    </row>
    <row r="58" spans="2:44" hidden="1" x14ac:dyDescent="0.25">
      <c r="B58" s="17">
        <v>56</v>
      </c>
      <c r="C58" s="10"/>
      <c r="D58" s="10"/>
      <c r="E58" s="72"/>
      <c r="F58" s="18"/>
      <c r="G58" s="10"/>
      <c r="H58" s="10"/>
      <c r="I58" s="10"/>
      <c r="J58" s="11"/>
      <c r="K58" s="11">
        <f t="shared" si="35"/>
        <v>0</v>
      </c>
      <c r="L58" s="37">
        <f t="shared" si="36"/>
        <v>0</v>
      </c>
      <c r="M58" s="11"/>
      <c r="N58" s="10"/>
      <c r="O58" s="21"/>
      <c r="P58" s="21"/>
      <c r="Q58" s="21"/>
      <c r="R58" s="23"/>
      <c r="S58" s="50"/>
      <c r="T58" s="48"/>
      <c r="U58" s="82"/>
      <c r="V58" s="26"/>
      <c r="W58" s="200"/>
      <c r="X58" s="17"/>
      <c r="Z58">
        <v>10</v>
      </c>
      <c r="AA58" s="416"/>
      <c r="AB58" s="95">
        <v>2</v>
      </c>
      <c r="AC58" s="101" t="s">
        <v>61</v>
      </c>
      <c r="AD58" s="41">
        <f t="shared" si="2"/>
        <v>0</v>
      </c>
      <c r="AE58" s="70">
        <f t="shared" si="3"/>
        <v>0</v>
      </c>
      <c r="AF58" s="70">
        <f t="shared" si="4"/>
        <v>0</v>
      </c>
      <c r="AG58" s="70">
        <f t="shared" si="5"/>
        <v>0</v>
      </c>
      <c r="AH58" s="109">
        <f t="shared" si="6"/>
        <v>0</v>
      </c>
      <c r="AI58" s="120">
        <f t="shared" si="7"/>
        <v>0</v>
      </c>
      <c r="AJ58" s="121">
        <f t="shared" si="8"/>
        <v>0</v>
      </c>
      <c r="AK58" s="121">
        <f t="shared" si="9"/>
        <v>0</v>
      </c>
      <c r="AL58" s="121">
        <f t="shared" si="10"/>
        <v>0</v>
      </c>
      <c r="AM58" s="122">
        <f t="shared" si="11"/>
        <v>0</v>
      </c>
      <c r="AN58" s="41">
        <f t="shared" si="12"/>
        <v>0</v>
      </c>
      <c r="AO58" s="70">
        <f t="shared" si="13"/>
        <v>0</v>
      </c>
      <c r="AP58" s="70">
        <f t="shared" si="14"/>
        <v>0</v>
      </c>
      <c r="AQ58" s="70">
        <f t="shared" si="15"/>
        <v>0</v>
      </c>
      <c r="AR58" s="70">
        <f t="shared" si="16"/>
        <v>0</v>
      </c>
    </row>
    <row r="59" spans="2:44" hidden="1" x14ac:dyDescent="0.25">
      <c r="B59" s="17">
        <v>57</v>
      </c>
      <c r="C59" s="10"/>
      <c r="D59" s="10"/>
      <c r="E59" s="72"/>
      <c r="F59" s="18"/>
      <c r="G59" s="10"/>
      <c r="H59" s="10"/>
      <c r="I59" s="10"/>
      <c r="J59" s="11"/>
      <c r="K59" s="11">
        <f t="shared" si="35"/>
        <v>0</v>
      </c>
      <c r="L59" s="37">
        <f t="shared" si="36"/>
        <v>0</v>
      </c>
      <c r="M59" s="11"/>
      <c r="N59" s="10"/>
      <c r="O59" s="21"/>
      <c r="P59" s="21"/>
      <c r="Q59" s="21"/>
      <c r="R59" s="23"/>
      <c r="S59" s="50"/>
      <c r="T59" s="48"/>
      <c r="U59" s="82"/>
      <c r="V59" s="32"/>
      <c r="W59" s="200"/>
      <c r="X59" s="17"/>
      <c r="Z59">
        <v>10</v>
      </c>
      <c r="AA59" s="416"/>
      <c r="AB59" s="95">
        <v>3</v>
      </c>
      <c r="AC59" s="102" t="s">
        <v>62</v>
      </c>
      <c r="AD59" s="41">
        <f t="shared" si="2"/>
        <v>0</v>
      </c>
      <c r="AE59" s="70">
        <f t="shared" si="3"/>
        <v>0</v>
      </c>
      <c r="AF59" s="70">
        <f t="shared" si="4"/>
        <v>0</v>
      </c>
      <c r="AG59" s="70">
        <f t="shared" si="5"/>
        <v>0</v>
      </c>
      <c r="AH59" s="109">
        <f t="shared" si="6"/>
        <v>0</v>
      </c>
      <c r="AI59" s="120">
        <f t="shared" si="7"/>
        <v>0</v>
      </c>
      <c r="AJ59" s="121">
        <f t="shared" si="8"/>
        <v>0</v>
      </c>
      <c r="AK59" s="121">
        <f t="shared" si="9"/>
        <v>0</v>
      </c>
      <c r="AL59" s="121">
        <f t="shared" si="10"/>
        <v>0</v>
      </c>
      <c r="AM59" s="122">
        <f t="shared" si="11"/>
        <v>0</v>
      </c>
      <c r="AN59" s="41">
        <f t="shared" si="12"/>
        <v>0</v>
      </c>
      <c r="AO59" s="70">
        <f t="shared" si="13"/>
        <v>0</v>
      </c>
      <c r="AP59" s="70">
        <f t="shared" si="14"/>
        <v>0</v>
      </c>
      <c r="AQ59" s="70">
        <f t="shared" si="15"/>
        <v>0</v>
      </c>
      <c r="AR59" s="70">
        <f t="shared" si="16"/>
        <v>0</v>
      </c>
    </row>
    <row r="60" spans="2:44" hidden="1" x14ac:dyDescent="0.25">
      <c r="B60" s="17">
        <v>58</v>
      </c>
      <c r="C60" s="10"/>
      <c r="D60" s="10"/>
      <c r="E60" s="72"/>
      <c r="F60" s="18"/>
      <c r="G60" s="10"/>
      <c r="H60" s="10"/>
      <c r="I60" s="10"/>
      <c r="J60" s="11"/>
      <c r="K60" s="11">
        <f t="shared" si="35"/>
        <v>0</v>
      </c>
      <c r="L60" s="37">
        <f t="shared" si="36"/>
        <v>0</v>
      </c>
      <c r="M60" s="11"/>
      <c r="N60" s="10"/>
      <c r="O60" s="21"/>
      <c r="P60" s="21"/>
      <c r="Q60" s="21"/>
      <c r="R60" s="23"/>
      <c r="S60" s="50"/>
      <c r="T60" s="48"/>
      <c r="U60" s="82"/>
      <c r="V60" s="32"/>
      <c r="W60" s="200"/>
      <c r="X60" s="17"/>
      <c r="Z60">
        <v>10</v>
      </c>
      <c r="AA60" s="416"/>
      <c r="AB60" s="95">
        <v>4</v>
      </c>
      <c r="AC60" s="102" t="s">
        <v>63</v>
      </c>
      <c r="AD60" s="41">
        <f t="shared" si="2"/>
        <v>0</v>
      </c>
      <c r="AE60" s="70">
        <f t="shared" si="3"/>
        <v>0</v>
      </c>
      <c r="AF60" s="70">
        <f t="shared" si="4"/>
        <v>0</v>
      </c>
      <c r="AG60" s="70">
        <f t="shared" si="5"/>
        <v>0</v>
      </c>
      <c r="AH60" s="109">
        <f t="shared" si="6"/>
        <v>0</v>
      </c>
      <c r="AI60" s="120">
        <f t="shared" si="7"/>
        <v>0</v>
      </c>
      <c r="AJ60" s="121">
        <f t="shared" si="8"/>
        <v>0</v>
      </c>
      <c r="AK60" s="121">
        <f t="shared" si="9"/>
        <v>0</v>
      </c>
      <c r="AL60" s="121">
        <f t="shared" si="10"/>
        <v>0</v>
      </c>
      <c r="AM60" s="122">
        <f t="shared" si="11"/>
        <v>0</v>
      </c>
      <c r="AN60" s="41">
        <f t="shared" si="12"/>
        <v>0</v>
      </c>
      <c r="AO60" s="70">
        <f t="shared" si="13"/>
        <v>0</v>
      </c>
      <c r="AP60" s="70">
        <f t="shared" si="14"/>
        <v>0</v>
      </c>
      <c r="AQ60" s="70">
        <f t="shared" si="15"/>
        <v>0</v>
      </c>
      <c r="AR60" s="70">
        <f t="shared" si="16"/>
        <v>0</v>
      </c>
    </row>
    <row r="61" spans="2:44" hidden="1" x14ac:dyDescent="0.25">
      <c r="B61" s="17">
        <v>59</v>
      </c>
      <c r="C61" s="10"/>
      <c r="D61" s="10"/>
      <c r="E61" s="72"/>
      <c r="F61" s="18"/>
      <c r="G61" s="10"/>
      <c r="H61" s="10"/>
      <c r="I61" s="10"/>
      <c r="J61" s="11"/>
      <c r="K61" s="11">
        <f t="shared" si="35"/>
        <v>0</v>
      </c>
      <c r="L61" s="37">
        <f t="shared" si="36"/>
        <v>0</v>
      </c>
      <c r="M61" s="11"/>
      <c r="N61" s="10"/>
      <c r="O61" s="21"/>
      <c r="P61" s="21"/>
      <c r="Q61" s="21"/>
      <c r="R61" s="23"/>
      <c r="S61" s="50"/>
      <c r="T61" s="48"/>
      <c r="U61" s="82"/>
      <c r="V61" s="26"/>
      <c r="W61" s="200"/>
      <c r="X61" s="17"/>
      <c r="Z61">
        <v>10</v>
      </c>
      <c r="AA61" s="416"/>
      <c r="AB61" s="96">
        <v>5</v>
      </c>
      <c r="AC61" s="56" t="s">
        <v>64</v>
      </c>
      <c r="AD61" s="41">
        <f t="shared" si="2"/>
        <v>0</v>
      </c>
      <c r="AE61" s="70">
        <f t="shared" si="3"/>
        <v>0</v>
      </c>
      <c r="AF61" s="70">
        <f t="shared" si="4"/>
        <v>0</v>
      </c>
      <c r="AG61" s="70">
        <f t="shared" si="5"/>
        <v>0</v>
      </c>
      <c r="AH61" s="109">
        <f t="shared" si="6"/>
        <v>0</v>
      </c>
      <c r="AI61" s="120">
        <f t="shared" si="7"/>
        <v>0</v>
      </c>
      <c r="AJ61" s="121">
        <f t="shared" si="8"/>
        <v>0</v>
      </c>
      <c r="AK61" s="121">
        <f t="shared" si="9"/>
        <v>0</v>
      </c>
      <c r="AL61" s="121">
        <f t="shared" si="10"/>
        <v>0</v>
      </c>
      <c r="AM61" s="122">
        <f t="shared" si="11"/>
        <v>0</v>
      </c>
      <c r="AN61" s="41">
        <f t="shared" si="12"/>
        <v>0</v>
      </c>
      <c r="AO61" s="70">
        <f t="shared" si="13"/>
        <v>0</v>
      </c>
      <c r="AP61" s="70">
        <f t="shared" si="14"/>
        <v>0</v>
      </c>
      <c r="AQ61" s="70">
        <f t="shared" si="15"/>
        <v>0</v>
      </c>
      <c r="AR61" s="70">
        <f t="shared" si="16"/>
        <v>0</v>
      </c>
    </row>
    <row r="62" spans="2:44" ht="14.25" hidden="1" thickBot="1" x14ac:dyDescent="0.3">
      <c r="B62" s="17">
        <v>60</v>
      </c>
      <c r="C62" s="10"/>
      <c r="D62" s="10"/>
      <c r="E62" s="72"/>
      <c r="F62" s="18"/>
      <c r="G62" s="10"/>
      <c r="H62" s="10"/>
      <c r="I62" s="10"/>
      <c r="J62" s="11"/>
      <c r="K62" s="11">
        <f t="shared" si="35"/>
        <v>0</v>
      </c>
      <c r="L62" s="37">
        <f t="shared" si="36"/>
        <v>0</v>
      </c>
      <c r="M62" s="11"/>
      <c r="N62" s="10"/>
      <c r="O62" s="21"/>
      <c r="P62" s="21"/>
      <c r="Q62" s="21"/>
      <c r="R62" s="23"/>
      <c r="S62" s="50"/>
      <c r="T62" s="48"/>
      <c r="U62" s="82"/>
      <c r="V62" s="26"/>
      <c r="W62" s="200"/>
      <c r="X62" s="17"/>
      <c r="Z62">
        <v>10</v>
      </c>
      <c r="AA62" s="417"/>
      <c r="AB62" s="97" t="s">
        <v>3</v>
      </c>
      <c r="AC62" s="106"/>
      <c r="AD62" s="99">
        <f>SUM(AD57:AD61)</f>
        <v>0</v>
      </c>
      <c r="AE62" s="99">
        <f t="shared" ref="AE62" si="151">SUM(AE57:AE61)</f>
        <v>0</v>
      </c>
      <c r="AF62" s="99">
        <f t="shared" ref="AF62" si="152">SUM(AF57:AF61)</f>
        <v>0</v>
      </c>
      <c r="AG62" s="99">
        <f t="shared" ref="AG62" si="153">SUM(AG57:AG61)</f>
        <v>0</v>
      </c>
      <c r="AH62" s="110">
        <f t="shared" ref="AH62" si="154">SUM(AH57:AH61)</f>
        <v>0</v>
      </c>
      <c r="AI62" s="123">
        <f t="shared" ref="AI62" si="155">SUM(AI57:AI61)</f>
        <v>0</v>
      </c>
      <c r="AJ62" s="124">
        <f t="shared" ref="AJ62" si="156">SUM(AJ57:AJ61)</f>
        <v>0</v>
      </c>
      <c r="AK62" s="124">
        <f t="shared" ref="AK62" si="157">SUM(AK57:AK61)</f>
        <v>0</v>
      </c>
      <c r="AL62" s="124">
        <f t="shared" ref="AL62" si="158">SUM(AL57:AL61)</f>
        <v>0</v>
      </c>
      <c r="AM62" s="125">
        <f t="shared" ref="AM62" si="159">SUM(AM57:AM61)</f>
        <v>0</v>
      </c>
      <c r="AN62" s="99">
        <f t="shared" ref="AN62" si="160">SUM(AN57:AN61)</f>
        <v>0</v>
      </c>
      <c r="AO62" s="99">
        <f t="shared" ref="AO62" si="161">SUM(AO57:AO61)</f>
        <v>0</v>
      </c>
      <c r="AP62" s="99">
        <f t="shared" ref="AP62" si="162">SUM(AP57:AP61)</f>
        <v>0</v>
      </c>
      <c r="AQ62" s="99">
        <f t="shared" ref="AQ62" si="163">SUM(AQ57:AQ61)</f>
        <v>0</v>
      </c>
      <c r="AR62" s="99">
        <f t="shared" ref="AR62" si="164">SUM(AR57:AR61)</f>
        <v>0</v>
      </c>
    </row>
    <row r="63" spans="2:44" hidden="1" x14ac:dyDescent="0.25">
      <c r="B63" s="17">
        <v>61</v>
      </c>
      <c r="C63" s="10"/>
      <c r="D63" s="10"/>
      <c r="E63" s="72"/>
      <c r="F63" s="18"/>
      <c r="G63" s="10"/>
      <c r="H63" s="10"/>
      <c r="I63" s="10"/>
      <c r="J63" s="11"/>
      <c r="K63" s="11">
        <f t="shared" si="35"/>
        <v>0</v>
      </c>
      <c r="L63" s="37">
        <f t="shared" si="36"/>
        <v>0</v>
      </c>
      <c r="M63" s="11"/>
      <c r="N63" s="10"/>
      <c r="O63" s="21"/>
      <c r="P63" s="21"/>
      <c r="Q63" s="21"/>
      <c r="R63" s="23"/>
      <c r="S63" s="50"/>
      <c r="T63" s="48"/>
      <c r="U63" s="82"/>
      <c r="V63" s="26"/>
      <c r="W63" s="200"/>
      <c r="X63" s="17"/>
      <c r="Z63">
        <v>11</v>
      </c>
      <c r="AA63" s="415">
        <v>11</v>
      </c>
      <c r="AB63" s="94">
        <v>1</v>
      </c>
      <c r="AC63" s="100" t="s">
        <v>129</v>
      </c>
      <c r="AD63" s="41">
        <f t="shared" si="2"/>
        <v>0</v>
      </c>
      <c r="AE63" s="70">
        <f t="shared" si="3"/>
        <v>0</v>
      </c>
      <c r="AF63" s="70">
        <f t="shared" si="4"/>
        <v>0</v>
      </c>
      <c r="AG63" s="70">
        <f t="shared" si="5"/>
        <v>0</v>
      </c>
      <c r="AH63" s="109">
        <f t="shared" si="6"/>
        <v>0</v>
      </c>
      <c r="AI63" s="120">
        <f t="shared" si="7"/>
        <v>0</v>
      </c>
      <c r="AJ63" s="121">
        <f t="shared" si="8"/>
        <v>0</v>
      </c>
      <c r="AK63" s="121">
        <f t="shared" si="9"/>
        <v>0</v>
      </c>
      <c r="AL63" s="121">
        <f t="shared" si="10"/>
        <v>0</v>
      </c>
      <c r="AM63" s="122">
        <f t="shared" si="11"/>
        <v>0</v>
      </c>
      <c r="AN63" s="41">
        <f t="shared" si="12"/>
        <v>0</v>
      </c>
      <c r="AO63" s="70">
        <f t="shared" si="13"/>
        <v>0</v>
      </c>
      <c r="AP63" s="70">
        <f t="shared" si="14"/>
        <v>0</v>
      </c>
      <c r="AQ63" s="70">
        <f t="shared" si="15"/>
        <v>0</v>
      </c>
      <c r="AR63" s="70">
        <f t="shared" si="16"/>
        <v>0</v>
      </c>
    </row>
    <row r="64" spans="2:44" hidden="1" x14ac:dyDescent="0.25">
      <c r="B64" s="17">
        <v>62</v>
      </c>
      <c r="C64" s="10"/>
      <c r="D64" s="10"/>
      <c r="E64" s="72"/>
      <c r="F64" s="18"/>
      <c r="G64" s="10"/>
      <c r="H64" s="10"/>
      <c r="I64" s="10"/>
      <c r="J64" s="11"/>
      <c r="K64" s="11">
        <f t="shared" si="35"/>
        <v>0</v>
      </c>
      <c r="L64" s="37">
        <f t="shared" si="36"/>
        <v>0</v>
      </c>
      <c r="M64" s="11"/>
      <c r="N64" s="10"/>
      <c r="O64" s="21"/>
      <c r="P64" s="21"/>
      <c r="Q64" s="21"/>
      <c r="R64" s="23"/>
      <c r="S64" s="50"/>
      <c r="T64" s="48"/>
      <c r="U64" s="82"/>
      <c r="V64" s="26"/>
      <c r="W64" s="200"/>
      <c r="X64" s="17"/>
      <c r="Z64">
        <v>11</v>
      </c>
      <c r="AA64" s="416"/>
      <c r="AB64" s="95">
        <v>2</v>
      </c>
      <c r="AC64" s="102" t="s">
        <v>65</v>
      </c>
      <c r="AD64" s="41">
        <f t="shared" si="2"/>
        <v>0</v>
      </c>
      <c r="AE64" s="70">
        <f t="shared" si="3"/>
        <v>0</v>
      </c>
      <c r="AF64" s="70">
        <f t="shared" si="4"/>
        <v>0</v>
      </c>
      <c r="AG64" s="70">
        <f t="shared" si="5"/>
        <v>0</v>
      </c>
      <c r="AH64" s="109">
        <f t="shared" si="6"/>
        <v>0</v>
      </c>
      <c r="AI64" s="120">
        <f t="shared" si="7"/>
        <v>0</v>
      </c>
      <c r="AJ64" s="121">
        <f t="shared" si="8"/>
        <v>0</v>
      </c>
      <c r="AK64" s="121">
        <f t="shared" si="9"/>
        <v>0</v>
      </c>
      <c r="AL64" s="121">
        <f t="shared" si="10"/>
        <v>0</v>
      </c>
      <c r="AM64" s="122">
        <f t="shared" si="11"/>
        <v>0</v>
      </c>
      <c r="AN64" s="41">
        <f t="shared" si="12"/>
        <v>0</v>
      </c>
      <c r="AO64" s="70">
        <f t="shared" si="13"/>
        <v>0</v>
      </c>
      <c r="AP64" s="70">
        <f t="shared" si="14"/>
        <v>0</v>
      </c>
      <c r="AQ64" s="70">
        <f t="shared" si="15"/>
        <v>0</v>
      </c>
      <c r="AR64" s="70">
        <f t="shared" si="16"/>
        <v>0</v>
      </c>
    </row>
    <row r="65" spans="2:44" hidden="1" x14ac:dyDescent="0.25">
      <c r="B65" s="17">
        <v>63</v>
      </c>
      <c r="C65" s="10"/>
      <c r="D65" s="10"/>
      <c r="E65" s="72"/>
      <c r="F65" s="18"/>
      <c r="G65" s="10"/>
      <c r="H65" s="10"/>
      <c r="I65" s="10"/>
      <c r="J65" s="11"/>
      <c r="K65" s="11">
        <f t="shared" si="35"/>
        <v>0</v>
      </c>
      <c r="L65" s="37">
        <f t="shared" si="36"/>
        <v>0</v>
      </c>
      <c r="M65" s="11"/>
      <c r="N65" s="10"/>
      <c r="O65" s="21"/>
      <c r="P65" s="21"/>
      <c r="Q65" s="21"/>
      <c r="R65" s="23"/>
      <c r="S65" s="50"/>
      <c r="T65" s="48"/>
      <c r="U65" s="82"/>
      <c r="V65" s="26"/>
      <c r="W65" s="200"/>
      <c r="X65" s="17"/>
      <c r="Z65">
        <v>11</v>
      </c>
      <c r="AA65" s="416"/>
      <c r="AB65" s="95">
        <v>3</v>
      </c>
      <c r="AC65" s="102" t="s">
        <v>66</v>
      </c>
      <c r="AD65" s="41">
        <f t="shared" si="2"/>
        <v>625.28</v>
      </c>
      <c r="AE65" s="70">
        <f t="shared" si="3"/>
        <v>625.28</v>
      </c>
      <c r="AF65" s="70">
        <f t="shared" si="4"/>
        <v>0</v>
      </c>
      <c r="AG65" s="70">
        <f t="shared" si="5"/>
        <v>0</v>
      </c>
      <c r="AH65" s="109">
        <f t="shared" si="6"/>
        <v>0</v>
      </c>
      <c r="AI65" s="120">
        <f t="shared" si="7"/>
        <v>2</v>
      </c>
      <c r="AJ65" s="121">
        <f t="shared" si="8"/>
        <v>2</v>
      </c>
      <c r="AK65" s="121">
        <f t="shared" si="9"/>
        <v>0</v>
      </c>
      <c r="AL65" s="121">
        <f t="shared" si="10"/>
        <v>0</v>
      </c>
      <c r="AM65" s="122">
        <f t="shared" si="11"/>
        <v>0</v>
      </c>
      <c r="AN65" s="41">
        <f t="shared" si="12"/>
        <v>5.9</v>
      </c>
      <c r="AO65" s="70">
        <f t="shared" si="13"/>
        <v>5.9</v>
      </c>
      <c r="AP65" s="70">
        <f t="shared" si="14"/>
        <v>0</v>
      </c>
      <c r="AQ65" s="70">
        <f t="shared" si="15"/>
        <v>0</v>
      </c>
      <c r="AR65" s="70">
        <f t="shared" si="16"/>
        <v>0</v>
      </c>
    </row>
    <row r="66" spans="2:44" hidden="1" x14ac:dyDescent="0.25">
      <c r="B66" s="17">
        <v>64</v>
      </c>
      <c r="C66" s="10"/>
      <c r="D66" s="10"/>
      <c r="E66" s="72"/>
      <c r="F66" s="18"/>
      <c r="G66" s="10"/>
      <c r="H66" s="10"/>
      <c r="I66" s="10"/>
      <c r="J66" s="11"/>
      <c r="K66" s="11">
        <f t="shared" si="35"/>
        <v>0</v>
      </c>
      <c r="L66" s="37">
        <f t="shared" si="36"/>
        <v>0</v>
      </c>
      <c r="M66" s="11"/>
      <c r="N66" s="10"/>
      <c r="O66" s="21"/>
      <c r="P66" s="21"/>
      <c r="Q66" s="21"/>
      <c r="R66" s="23"/>
      <c r="S66" s="50"/>
      <c r="T66" s="48"/>
      <c r="U66" s="82"/>
      <c r="V66" s="32"/>
      <c r="W66" s="200"/>
      <c r="X66" s="17"/>
      <c r="Z66">
        <v>11</v>
      </c>
      <c r="AA66" s="416"/>
      <c r="AB66" s="95">
        <v>4</v>
      </c>
      <c r="AC66" s="102" t="s">
        <v>67</v>
      </c>
      <c r="AD66" s="41">
        <f t="shared" si="2"/>
        <v>0</v>
      </c>
      <c r="AE66" s="70">
        <f t="shared" si="3"/>
        <v>0</v>
      </c>
      <c r="AF66" s="70">
        <f t="shared" si="4"/>
        <v>0</v>
      </c>
      <c r="AG66" s="70">
        <f t="shared" si="5"/>
        <v>0</v>
      </c>
      <c r="AH66" s="109">
        <f t="shared" si="6"/>
        <v>0</v>
      </c>
      <c r="AI66" s="120">
        <f t="shared" si="7"/>
        <v>0</v>
      </c>
      <c r="AJ66" s="121">
        <f t="shared" si="8"/>
        <v>0</v>
      </c>
      <c r="AK66" s="121">
        <f t="shared" si="9"/>
        <v>0</v>
      </c>
      <c r="AL66" s="121">
        <f t="shared" si="10"/>
        <v>0</v>
      </c>
      <c r="AM66" s="122">
        <f t="shared" si="11"/>
        <v>0</v>
      </c>
      <c r="AN66" s="41">
        <f t="shared" si="12"/>
        <v>0</v>
      </c>
      <c r="AO66" s="70">
        <f t="shared" si="13"/>
        <v>0</v>
      </c>
      <c r="AP66" s="70">
        <f t="shared" si="14"/>
        <v>0</v>
      </c>
      <c r="AQ66" s="70">
        <f t="shared" si="15"/>
        <v>0</v>
      </c>
      <c r="AR66" s="70">
        <f t="shared" si="16"/>
        <v>0</v>
      </c>
    </row>
    <row r="67" spans="2:44" hidden="1" x14ac:dyDescent="0.25">
      <c r="B67" s="17">
        <v>65</v>
      </c>
      <c r="C67" s="10"/>
      <c r="D67" s="10"/>
      <c r="E67" s="72"/>
      <c r="F67" s="18"/>
      <c r="G67" s="10"/>
      <c r="H67" s="10"/>
      <c r="I67" s="10"/>
      <c r="J67" s="11"/>
      <c r="K67" s="11">
        <f t="shared" si="35"/>
        <v>0</v>
      </c>
      <c r="L67" s="37">
        <f t="shared" si="36"/>
        <v>0</v>
      </c>
      <c r="M67" s="11"/>
      <c r="N67" s="10"/>
      <c r="O67" s="21"/>
      <c r="P67" s="21"/>
      <c r="Q67" s="21"/>
      <c r="R67" s="23"/>
      <c r="S67" s="50"/>
      <c r="T67" s="48"/>
      <c r="U67" s="82"/>
      <c r="V67" s="32"/>
      <c r="W67" s="200"/>
      <c r="X67" s="17"/>
      <c r="Z67">
        <v>11</v>
      </c>
      <c r="AA67" s="416"/>
      <c r="AB67" s="96">
        <v>5</v>
      </c>
      <c r="AC67" s="105"/>
      <c r="AD67" s="41">
        <f t="shared" si="2"/>
        <v>0</v>
      </c>
      <c r="AE67" s="70">
        <f t="shared" si="3"/>
        <v>0</v>
      </c>
      <c r="AF67" s="70">
        <f t="shared" si="4"/>
        <v>0</v>
      </c>
      <c r="AG67" s="70">
        <f t="shared" si="5"/>
        <v>0</v>
      </c>
      <c r="AH67" s="109">
        <f t="shared" si="6"/>
        <v>0</v>
      </c>
      <c r="AI67" s="120">
        <f t="shared" si="7"/>
        <v>0</v>
      </c>
      <c r="AJ67" s="121">
        <f t="shared" si="8"/>
        <v>0</v>
      </c>
      <c r="AK67" s="121">
        <f t="shared" si="9"/>
        <v>0</v>
      </c>
      <c r="AL67" s="121">
        <f t="shared" si="10"/>
        <v>0</v>
      </c>
      <c r="AM67" s="122">
        <f t="shared" si="11"/>
        <v>0</v>
      </c>
      <c r="AN67" s="41">
        <f t="shared" si="12"/>
        <v>0</v>
      </c>
      <c r="AO67" s="70">
        <f t="shared" si="13"/>
        <v>0</v>
      </c>
      <c r="AP67" s="70">
        <f t="shared" si="14"/>
        <v>0</v>
      </c>
      <c r="AQ67" s="70">
        <f t="shared" si="15"/>
        <v>0</v>
      </c>
      <c r="AR67" s="70">
        <f t="shared" si="16"/>
        <v>0</v>
      </c>
    </row>
    <row r="68" spans="2:44" ht="14.25" hidden="1" thickBot="1" x14ac:dyDescent="0.3">
      <c r="B68" s="17">
        <v>66</v>
      </c>
      <c r="C68" s="10"/>
      <c r="D68" s="10"/>
      <c r="E68" s="72"/>
      <c r="F68" s="18"/>
      <c r="G68" s="10"/>
      <c r="H68" s="10"/>
      <c r="I68" s="10"/>
      <c r="J68" s="11"/>
      <c r="K68" s="11">
        <f t="shared" ref="K68:K131" si="165">J68*1.1</f>
        <v>0</v>
      </c>
      <c r="L68" s="37">
        <f t="shared" ref="L68:L131" si="166">J68*0.00000001</f>
        <v>0</v>
      </c>
      <c r="M68" s="11"/>
      <c r="N68" s="10"/>
      <c r="O68" s="21"/>
      <c r="P68" s="21"/>
      <c r="Q68" s="21"/>
      <c r="R68" s="23"/>
      <c r="S68" s="50"/>
      <c r="T68" s="48"/>
      <c r="U68" s="82"/>
      <c r="V68" s="32"/>
      <c r="W68" s="200"/>
      <c r="X68" s="17"/>
      <c r="Z68">
        <v>11</v>
      </c>
      <c r="AA68" s="417"/>
      <c r="AB68" s="97" t="s">
        <v>3</v>
      </c>
      <c r="AC68" s="106"/>
      <c r="AD68" s="99">
        <f>SUM(AD63:AD67)</f>
        <v>625.28</v>
      </c>
      <c r="AE68" s="99">
        <f t="shared" ref="AE68" si="167">SUM(AE63:AE67)</f>
        <v>625.28</v>
      </c>
      <c r="AF68" s="99">
        <f t="shared" ref="AF68" si="168">SUM(AF63:AF67)</f>
        <v>0</v>
      </c>
      <c r="AG68" s="99">
        <f t="shared" ref="AG68" si="169">SUM(AG63:AG67)</f>
        <v>0</v>
      </c>
      <c r="AH68" s="110">
        <f t="shared" ref="AH68" si="170">SUM(AH63:AH67)</f>
        <v>0</v>
      </c>
      <c r="AI68" s="123">
        <f t="shared" ref="AI68" si="171">SUM(AI63:AI67)</f>
        <v>2</v>
      </c>
      <c r="AJ68" s="124">
        <f t="shared" ref="AJ68" si="172">SUM(AJ63:AJ67)</f>
        <v>2</v>
      </c>
      <c r="AK68" s="124">
        <f t="shared" ref="AK68" si="173">SUM(AK63:AK67)</f>
        <v>0</v>
      </c>
      <c r="AL68" s="124">
        <f t="shared" ref="AL68" si="174">SUM(AL63:AL67)</f>
        <v>0</v>
      </c>
      <c r="AM68" s="125">
        <f t="shared" ref="AM68" si="175">SUM(AM63:AM67)</f>
        <v>0</v>
      </c>
      <c r="AN68" s="99">
        <f t="shared" ref="AN68" si="176">SUM(AN63:AN67)</f>
        <v>5.9</v>
      </c>
      <c r="AO68" s="99">
        <f t="shared" ref="AO68" si="177">SUM(AO63:AO67)</f>
        <v>5.9</v>
      </c>
      <c r="AP68" s="99">
        <f t="shared" ref="AP68" si="178">SUM(AP63:AP67)</f>
        <v>0</v>
      </c>
      <c r="AQ68" s="99">
        <f t="shared" ref="AQ68" si="179">SUM(AQ63:AQ67)</f>
        <v>0</v>
      </c>
      <c r="AR68" s="99">
        <f t="shared" ref="AR68" si="180">SUM(AR63:AR67)</f>
        <v>0</v>
      </c>
    </row>
    <row r="69" spans="2:44" hidden="1" x14ac:dyDescent="0.25">
      <c r="B69" s="17">
        <v>67</v>
      </c>
      <c r="C69" s="10"/>
      <c r="D69" s="10"/>
      <c r="E69" s="72"/>
      <c r="F69" s="18"/>
      <c r="G69" s="10"/>
      <c r="H69" s="10"/>
      <c r="I69" s="10"/>
      <c r="J69" s="11"/>
      <c r="K69" s="11">
        <f t="shared" si="165"/>
        <v>0</v>
      </c>
      <c r="L69" s="37">
        <f t="shared" si="166"/>
        <v>0</v>
      </c>
      <c r="M69" s="11"/>
      <c r="N69" s="10"/>
      <c r="O69" s="21"/>
      <c r="P69" s="21"/>
      <c r="Q69" s="21"/>
      <c r="R69" s="23"/>
      <c r="S69" s="50"/>
      <c r="T69" s="48"/>
      <c r="U69" s="82"/>
      <c r="V69" s="32"/>
      <c r="W69" s="200"/>
      <c r="X69" s="17"/>
      <c r="Z69">
        <v>12</v>
      </c>
      <c r="AA69" s="422">
        <v>12</v>
      </c>
      <c r="AB69" s="98">
        <v>1</v>
      </c>
      <c r="AC69" s="107" t="s">
        <v>130</v>
      </c>
      <c r="AD69" s="41">
        <f t="shared" ref="AD69:AD73" si="181">SUM(AE69:AH69)</f>
        <v>428.8</v>
      </c>
      <c r="AE69" s="70">
        <f t="shared" ref="AE69:AE73" si="182">SUMIFS($I:$I,$C:$C, $AE$2,$G:$G,$Z69,$H:$H,$AB69)</f>
        <v>428.8</v>
      </c>
      <c r="AF69" s="70">
        <f t="shared" ref="AF69:AF73" si="183">SUMIFS($I:$I,$C:$C, $AF$2,$G:$G,$Z69,$H:$H,$AB69)</f>
        <v>0</v>
      </c>
      <c r="AG69" s="70">
        <f t="shared" ref="AG69:AG73" si="184">SUMIFS($I:$I,$C:$C, $AG$2,$G:$G,$Z69,$H:$H,$AB69)</f>
        <v>0</v>
      </c>
      <c r="AH69" s="109">
        <f t="shared" ref="AH69:AH73" si="185">SUMIFS($I:$I,$C:$C, $AH$2,$G:$G,$Z69,$H:$H,$AB69)</f>
        <v>0</v>
      </c>
      <c r="AI69" s="120">
        <f t="shared" ref="AI69:AI73" si="186">SUM(AJ69:AM69)</f>
        <v>1</v>
      </c>
      <c r="AJ69" s="121">
        <f t="shared" ref="AJ69:AJ73" si="187">COUNTIFS($C:$C, $AJ$2,$G:$G,$Z69,$H:$H,$AB69)</f>
        <v>1</v>
      </c>
      <c r="AK69" s="121">
        <f t="shared" ref="AK69:AK73" si="188">COUNTIFS($C:$C, $AK$2,$G:$G,$Z69,$H:$H,$AB69)</f>
        <v>0</v>
      </c>
      <c r="AL69" s="121">
        <f t="shared" ref="AL69:AL73" si="189">COUNTIFS($C:$C, $AL$2,$G:$G,$Z69,$H:$H,$AB69)</f>
        <v>0</v>
      </c>
      <c r="AM69" s="122">
        <f t="shared" ref="AM69:AM73" si="190">COUNTIFS($C:$C, $AM$2,$G:$G,$Z69,$H:$H,$AB69)</f>
        <v>0</v>
      </c>
      <c r="AN69" s="41">
        <f t="shared" ref="AN69:AN73" si="191">SUM(AO69:AR69)</f>
        <v>4.07</v>
      </c>
      <c r="AO69" s="70">
        <f t="shared" ref="AO69:AO73" si="192">SUMIFS($L:$L,$C:$C, $AO$2,$G:$G,$Z69,$H:$H,$AB69)</f>
        <v>4.07</v>
      </c>
      <c r="AP69" s="70">
        <f t="shared" ref="AP69:AP73" si="193">SUMIFS($L:$L,$C:$C, $AP$2,$G:$G,$Z69,$H:$H,$AB69)</f>
        <v>0</v>
      </c>
      <c r="AQ69" s="70">
        <f t="shared" ref="AQ69:AQ73" si="194">SUMIFS($L:$L,$C:$C, $AQ$2,$G:$G,$Z69,$H:$H,$AB69)</f>
        <v>0</v>
      </c>
      <c r="AR69" s="70">
        <f t="shared" ref="AR69:AR73" si="195">SUMIFS($L:$L,$C:$C, $AR$2,$G:$G,$Z69,$H:$H,$AB69)</f>
        <v>0</v>
      </c>
    </row>
    <row r="70" spans="2:44" hidden="1" x14ac:dyDescent="0.25">
      <c r="B70" s="17">
        <v>68</v>
      </c>
      <c r="C70" s="10"/>
      <c r="D70" s="10"/>
      <c r="E70" s="72"/>
      <c r="F70" s="18"/>
      <c r="G70" s="10"/>
      <c r="H70" s="10"/>
      <c r="I70" s="10"/>
      <c r="J70" s="11"/>
      <c r="K70" s="11">
        <f t="shared" si="165"/>
        <v>0</v>
      </c>
      <c r="L70" s="37">
        <f t="shared" si="166"/>
        <v>0</v>
      </c>
      <c r="M70" s="11"/>
      <c r="N70" s="10"/>
      <c r="O70" s="21"/>
      <c r="P70" s="21"/>
      <c r="Q70" s="21"/>
      <c r="R70" s="23"/>
      <c r="S70" s="50"/>
      <c r="T70" s="48"/>
      <c r="U70" s="82"/>
      <c r="V70" s="26"/>
      <c r="W70" s="200"/>
      <c r="X70" s="17"/>
      <c r="Z70">
        <v>12</v>
      </c>
      <c r="AA70" s="416"/>
      <c r="AB70" s="95">
        <v>2</v>
      </c>
      <c r="AC70" s="102" t="s">
        <v>125</v>
      </c>
      <c r="AD70" s="41">
        <f t="shared" si="181"/>
        <v>0</v>
      </c>
      <c r="AE70" s="70">
        <f t="shared" si="182"/>
        <v>0</v>
      </c>
      <c r="AF70" s="70">
        <f t="shared" si="183"/>
        <v>0</v>
      </c>
      <c r="AG70" s="70">
        <f t="shared" si="184"/>
        <v>0</v>
      </c>
      <c r="AH70" s="109">
        <f t="shared" si="185"/>
        <v>0</v>
      </c>
      <c r="AI70" s="120">
        <f t="shared" si="186"/>
        <v>0</v>
      </c>
      <c r="AJ70" s="121">
        <f t="shared" si="187"/>
        <v>0</v>
      </c>
      <c r="AK70" s="121">
        <f t="shared" si="188"/>
        <v>0</v>
      </c>
      <c r="AL70" s="121">
        <f t="shared" si="189"/>
        <v>0</v>
      </c>
      <c r="AM70" s="122">
        <f t="shared" si="190"/>
        <v>0</v>
      </c>
      <c r="AN70" s="41">
        <f t="shared" si="191"/>
        <v>0</v>
      </c>
      <c r="AO70" s="70">
        <f t="shared" si="192"/>
        <v>0</v>
      </c>
      <c r="AP70" s="70">
        <f t="shared" si="193"/>
        <v>0</v>
      </c>
      <c r="AQ70" s="70">
        <f t="shared" si="194"/>
        <v>0</v>
      </c>
      <c r="AR70" s="70">
        <f t="shared" si="195"/>
        <v>0</v>
      </c>
    </row>
    <row r="71" spans="2:44" hidden="1" x14ac:dyDescent="0.25">
      <c r="B71" s="17">
        <v>69</v>
      </c>
      <c r="C71" s="10"/>
      <c r="D71" s="10"/>
      <c r="E71" s="72"/>
      <c r="F71" s="18"/>
      <c r="G71" s="10"/>
      <c r="H71" s="10"/>
      <c r="I71" s="10"/>
      <c r="J71" s="11"/>
      <c r="K71" s="11">
        <f t="shared" si="165"/>
        <v>0</v>
      </c>
      <c r="L71" s="37">
        <f t="shared" si="166"/>
        <v>0</v>
      </c>
      <c r="M71" s="11"/>
      <c r="N71" s="10"/>
      <c r="O71" s="21"/>
      <c r="P71" s="21"/>
      <c r="Q71" s="21"/>
      <c r="R71" s="23"/>
      <c r="S71" s="50"/>
      <c r="T71" s="48"/>
      <c r="U71" s="82"/>
      <c r="V71" s="26"/>
      <c r="W71" s="200"/>
      <c r="X71" s="17"/>
      <c r="Z71">
        <v>12</v>
      </c>
      <c r="AA71" s="416"/>
      <c r="AB71" s="95">
        <v>3</v>
      </c>
      <c r="AC71" s="102" t="s">
        <v>126</v>
      </c>
      <c r="AD71" s="41">
        <f t="shared" si="181"/>
        <v>0</v>
      </c>
      <c r="AE71" s="70">
        <f t="shared" si="182"/>
        <v>0</v>
      </c>
      <c r="AF71" s="70">
        <f t="shared" si="183"/>
        <v>0</v>
      </c>
      <c r="AG71" s="70">
        <f t="shared" si="184"/>
        <v>0</v>
      </c>
      <c r="AH71" s="109">
        <f t="shared" si="185"/>
        <v>0</v>
      </c>
      <c r="AI71" s="120">
        <f t="shared" si="186"/>
        <v>0</v>
      </c>
      <c r="AJ71" s="121">
        <f t="shared" si="187"/>
        <v>0</v>
      </c>
      <c r="AK71" s="121">
        <f t="shared" si="188"/>
        <v>0</v>
      </c>
      <c r="AL71" s="121">
        <f t="shared" si="189"/>
        <v>0</v>
      </c>
      <c r="AM71" s="122">
        <f t="shared" si="190"/>
        <v>0</v>
      </c>
      <c r="AN71" s="41">
        <f t="shared" si="191"/>
        <v>0</v>
      </c>
      <c r="AO71" s="70">
        <f t="shared" si="192"/>
        <v>0</v>
      </c>
      <c r="AP71" s="70">
        <f t="shared" si="193"/>
        <v>0</v>
      </c>
      <c r="AQ71" s="70">
        <f t="shared" si="194"/>
        <v>0</v>
      </c>
      <c r="AR71" s="70">
        <f t="shared" si="195"/>
        <v>0</v>
      </c>
    </row>
    <row r="72" spans="2:44" hidden="1" x14ac:dyDescent="0.25">
      <c r="B72" s="17">
        <v>70</v>
      </c>
      <c r="C72" s="10"/>
      <c r="D72" s="10"/>
      <c r="E72" s="72"/>
      <c r="F72" s="18"/>
      <c r="G72" s="10"/>
      <c r="H72" s="10"/>
      <c r="I72" s="10"/>
      <c r="J72" s="11"/>
      <c r="K72" s="11">
        <f t="shared" si="165"/>
        <v>0</v>
      </c>
      <c r="L72" s="37">
        <f t="shared" si="166"/>
        <v>0</v>
      </c>
      <c r="M72" s="11"/>
      <c r="N72" s="10"/>
      <c r="O72" s="21"/>
      <c r="P72" s="21"/>
      <c r="Q72" s="21"/>
      <c r="R72" s="23"/>
      <c r="S72" s="50"/>
      <c r="T72" s="48"/>
      <c r="U72" s="82"/>
      <c r="V72" s="26"/>
      <c r="W72" s="200"/>
      <c r="X72" s="17"/>
      <c r="Z72">
        <v>12</v>
      </c>
      <c r="AA72" s="416"/>
      <c r="AB72" s="95">
        <v>4</v>
      </c>
      <c r="AC72" s="102" t="s">
        <v>127</v>
      </c>
      <c r="AD72" s="41">
        <f t="shared" si="181"/>
        <v>0</v>
      </c>
      <c r="AE72" s="70">
        <f t="shared" si="182"/>
        <v>0</v>
      </c>
      <c r="AF72" s="70">
        <f t="shared" si="183"/>
        <v>0</v>
      </c>
      <c r="AG72" s="70">
        <f t="shared" si="184"/>
        <v>0</v>
      </c>
      <c r="AH72" s="109">
        <f t="shared" si="185"/>
        <v>0</v>
      </c>
      <c r="AI72" s="120">
        <f t="shared" si="186"/>
        <v>0</v>
      </c>
      <c r="AJ72" s="121">
        <f t="shared" si="187"/>
        <v>0</v>
      </c>
      <c r="AK72" s="121">
        <f t="shared" si="188"/>
        <v>0</v>
      </c>
      <c r="AL72" s="121">
        <f t="shared" si="189"/>
        <v>0</v>
      </c>
      <c r="AM72" s="122">
        <f t="shared" si="190"/>
        <v>0</v>
      </c>
      <c r="AN72" s="41">
        <f t="shared" si="191"/>
        <v>0</v>
      </c>
      <c r="AO72" s="70">
        <f t="shared" si="192"/>
        <v>0</v>
      </c>
      <c r="AP72" s="70">
        <f t="shared" si="193"/>
        <v>0</v>
      </c>
      <c r="AQ72" s="70">
        <f t="shared" si="194"/>
        <v>0</v>
      </c>
      <c r="AR72" s="70">
        <f t="shared" si="195"/>
        <v>0</v>
      </c>
    </row>
    <row r="73" spans="2:44" hidden="1" x14ac:dyDescent="0.25">
      <c r="B73" s="17">
        <v>71</v>
      </c>
      <c r="C73" s="10"/>
      <c r="D73" s="10"/>
      <c r="E73" s="72"/>
      <c r="F73" s="18"/>
      <c r="G73" s="10"/>
      <c r="H73" s="10"/>
      <c r="I73" s="10"/>
      <c r="J73" s="11"/>
      <c r="K73" s="11">
        <f t="shared" si="165"/>
        <v>0</v>
      </c>
      <c r="L73" s="37">
        <f t="shared" si="166"/>
        <v>0</v>
      </c>
      <c r="M73" s="11"/>
      <c r="N73" s="10"/>
      <c r="O73" s="21"/>
      <c r="P73" s="21"/>
      <c r="Q73" s="21"/>
      <c r="R73" s="23"/>
      <c r="S73" s="50"/>
      <c r="T73" s="48"/>
      <c r="U73" s="82"/>
      <c r="V73" s="26"/>
      <c r="W73" s="200"/>
      <c r="X73" s="17"/>
      <c r="Z73">
        <v>12</v>
      </c>
      <c r="AA73" s="416"/>
      <c r="AB73" s="96">
        <v>5</v>
      </c>
      <c r="AC73" s="105" t="s">
        <v>131</v>
      </c>
      <c r="AD73" s="41">
        <f t="shared" si="181"/>
        <v>0</v>
      </c>
      <c r="AE73" s="70">
        <f t="shared" si="182"/>
        <v>0</v>
      </c>
      <c r="AF73" s="70">
        <f t="shared" si="183"/>
        <v>0</v>
      </c>
      <c r="AG73" s="70">
        <f t="shared" si="184"/>
        <v>0</v>
      </c>
      <c r="AH73" s="109">
        <f t="shared" si="185"/>
        <v>0</v>
      </c>
      <c r="AI73" s="120">
        <f t="shared" si="186"/>
        <v>0</v>
      </c>
      <c r="AJ73" s="121">
        <f t="shared" si="187"/>
        <v>0</v>
      </c>
      <c r="AK73" s="121">
        <f t="shared" si="188"/>
        <v>0</v>
      </c>
      <c r="AL73" s="121">
        <f t="shared" si="189"/>
        <v>0</v>
      </c>
      <c r="AM73" s="122">
        <f t="shared" si="190"/>
        <v>0</v>
      </c>
      <c r="AN73" s="41">
        <f t="shared" si="191"/>
        <v>0</v>
      </c>
      <c r="AO73" s="70">
        <f t="shared" si="192"/>
        <v>0</v>
      </c>
      <c r="AP73" s="70">
        <f t="shared" si="193"/>
        <v>0</v>
      </c>
      <c r="AQ73" s="70">
        <f t="shared" si="194"/>
        <v>0</v>
      </c>
      <c r="AR73" s="70">
        <f t="shared" si="195"/>
        <v>0</v>
      </c>
    </row>
    <row r="74" spans="2:44" ht="14.25" hidden="1" thickBot="1" x14ac:dyDescent="0.3">
      <c r="B74" s="17">
        <v>72</v>
      </c>
      <c r="C74" s="10"/>
      <c r="D74" s="10"/>
      <c r="E74" s="72"/>
      <c r="F74" s="18"/>
      <c r="G74" s="10"/>
      <c r="H74" s="10"/>
      <c r="I74" s="10"/>
      <c r="J74" s="11"/>
      <c r="K74" s="11">
        <f t="shared" si="165"/>
        <v>0</v>
      </c>
      <c r="L74" s="37">
        <f t="shared" si="166"/>
        <v>0</v>
      </c>
      <c r="M74" s="11"/>
      <c r="N74" s="10"/>
      <c r="O74" s="21"/>
      <c r="P74" s="21"/>
      <c r="Q74" s="21"/>
      <c r="R74" s="23"/>
      <c r="S74" s="50"/>
      <c r="T74" s="48"/>
      <c r="U74" s="82"/>
      <c r="V74" s="26"/>
      <c r="W74" s="200"/>
      <c r="X74" s="17"/>
      <c r="Z74">
        <v>12</v>
      </c>
      <c r="AA74" s="417"/>
      <c r="AB74" s="97" t="s">
        <v>3</v>
      </c>
      <c r="AC74" s="106"/>
      <c r="AD74" s="99">
        <f>SUM(AD69:AD73)</f>
        <v>428.8</v>
      </c>
      <c r="AE74" s="99">
        <f t="shared" ref="AE74:AR74" si="196">SUM(AE69:AE73)</f>
        <v>428.8</v>
      </c>
      <c r="AF74" s="99">
        <f t="shared" si="196"/>
        <v>0</v>
      </c>
      <c r="AG74" s="99">
        <f t="shared" si="196"/>
        <v>0</v>
      </c>
      <c r="AH74" s="110">
        <f t="shared" si="196"/>
        <v>0</v>
      </c>
      <c r="AI74" s="123">
        <f t="shared" si="196"/>
        <v>1</v>
      </c>
      <c r="AJ74" s="124">
        <f t="shared" si="196"/>
        <v>1</v>
      </c>
      <c r="AK74" s="124">
        <f t="shared" si="196"/>
        <v>0</v>
      </c>
      <c r="AL74" s="124">
        <f t="shared" si="196"/>
        <v>0</v>
      </c>
      <c r="AM74" s="125">
        <f t="shared" si="196"/>
        <v>0</v>
      </c>
      <c r="AN74" s="99">
        <f t="shared" si="196"/>
        <v>4.07</v>
      </c>
      <c r="AO74" s="99">
        <f t="shared" si="196"/>
        <v>4.07</v>
      </c>
      <c r="AP74" s="99">
        <f t="shared" si="196"/>
        <v>0</v>
      </c>
      <c r="AQ74" s="99">
        <f t="shared" si="196"/>
        <v>0</v>
      </c>
      <c r="AR74" s="99">
        <f t="shared" si="196"/>
        <v>0</v>
      </c>
    </row>
    <row r="75" spans="2:44" ht="17.25" hidden="1" thickBot="1" x14ac:dyDescent="0.3">
      <c r="B75" s="17">
        <v>73</v>
      </c>
      <c r="C75" s="10"/>
      <c r="D75" s="10"/>
      <c r="E75" s="72"/>
      <c r="F75" s="18"/>
      <c r="G75" s="10"/>
      <c r="H75" s="10"/>
      <c r="I75" s="10"/>
      <c r="J75" s="11"/>
      <c r="K75" s="11">
        <f t="shared" si="165"/>
        <v>0</v>
      </c>
      <c r="L75" s="37">
        <f t="shared" si="166"/>
        <v>0</v>
      </c>
      <c r="M75" s="11"/>
      <c r="N75" s="10"/>
      <c r="O75" s="21"/>
      <c r="P75" s="21"/>
      <c r="Q75" s="21"/>
      <c r="R75" s="23"/>
      <c r="S75" s="50"/>
      <c r="T75" s="48"/>
      <c r="U75" s="82"/>
      <c r="V75" s="32"/>
      <c r="W75" s="200"/>
      <c r="X75" s="17"/>
      <c r="AA75" s="418" t="s">
        <v>36</v>
      </c>
      <c r="AB75" s="419"/>
      <c r="AC75" s="108"/>
      <c r="AD75" s="90">
        <f>SUM(AD8,AD14,AD20,AD26,AD32,AD38,AD44,AD50,AD56,AD62,AD68,AD74)</f>
        <v>6540.61</v>
      </c>
      <c r="AE75" s="90"/>
      <c r="AF75" s="90"/>
      <c r="AG75" s="91"/>
      <c r="AH75" s="91"/>
      <c r="AI75" s="126"/>
      <c r="AJ75" s="127"/>
      <c r="AK75" s="127"/>
      <c r="AL75" s="127"/>
      <c r="AM75" s="128"/>
      <c r="AN75" s="92"/>
      <c r="AO75" s="92"/>
      <c r="AP75" s="92"/>
      <c r="AQ75" s="92"/>
      <c r="AR75" s="93"/>
    </row>
    <row r="76" spans="2:44" hidden="1" x14ac:dyDescent="0.25">
      <c r="B76" s="17">
        <v>74</v>
      </c>
      <c r="C76" s="10"/>
      <c r="D76" s="10"/>
      <c r="E76" s="72"/>
      <c r="F76" s="18"/>
      <c r="G76" s="10"/>
      <c r="H76" s="10"/>
      <c r="I76" s="10"/>
      <c r="J76" s="11"/>
      <c r="K76" s="11">
        <f t="shared" si="165"/>
        <v>0</v>
      </c>
      <c r="L76" s="37">
        <f t="shared" si="166"/>
        <v>0</v>
      </c>
      <c r="M76" s="11"/>
      <c r="N76" s="10"/>
      <c r="O76" s="21"/>
      <c r="P76" s="21"/>
      <c r="Q76" s="21"/>
      <c r="R76" s="23"/>
      <c r="S76" s="50"/>
      <c r="T76" s="48"/>
      <c r="U76" s="82"/>
      <c r="V76" s="32"/>
      <c r="W76" s="200"/>
      <c r="X76" s="17"/>
    </row>
    <row r="77" spans="2:44" hidden="1" x14ac:dyDescent="0.25">
      <c r="B77" s="17">
        <v>75</v>
      </c>
      <c r="C77" s="10"/>
      <c r="D77" s="10"/>
      <c r="E77" s="72"/>
      <c r="F77" s="18"/>
      <c r="G77" s="10"/>
      <c r="H77" s="10"/>
      <c r="I77" s="10"/>
      <c r="J77" s="11"/>
      <c r="K77" s="11">
        <f t="shared" si="165"/>
        <v>0</v>
      </c>
      <c r="L77" s="37">
        <f t="shared" si="166"/>
        <v>0</v>
      </c>
      <c r="M77" s="11"/>
      <c r="N77" s="10"/>
      <c r="O77" s="21"/>
      <c r="P77" s="21"/>
      <c r="Q77" s="21"/>
      <c r="R77" s="23"/>
      <c r="S77" s="50"/>
      <c r="T77" s="48"/>
      <c r="U77" s="82"/>
      <c r="V77" s="26"/>
      <c r="W77" s="200"/>
      <c r="X77" s="17"/>
    </row>
    <row r="78" spans="2:44" hidden="1" x14ac:dyDescent="0.25">
      <c r="B78" s="17">
        <v>76</v>
      </c>
      <c r="C78" s="10"/>
      <c r="D78" s="10"/>
      <c r="E78" s="72"/>
      <c r="F78" s="18"/>
      <c r="G78" s="10"/>
      <c r="H78" s="10"/>
      <c r="I78" s="10"/>
      <c r="J78" s="11"/>
      <c r="K78" s="11">
        <f t="shared" si="165"/>
        <v>0</v>
      </c>
      <c r="L78" s="37">
        <f t="shared" si="166"/>
        <v>0</v>
      </c>
      <c r="M78" s="11"/>
      <c r="N78" s="10"/>
      <c r="O78" s="21"/>
      <c r="P78" s="21"/>
      <c r="Q78" s="21"/>
      <c r="R78" s="23"/>
      <c r="S78" s="50"/>
      <c r="T78" s="48"/>
      <c r="U78" s="82"/>
      <c r="V78" s="26"/>
      <c r="W78" s="200"/>
      <c r="X78" s="17"/>
    </row>
    <row r="79" spans="2:44" hidden="1" x14ac:dyDescent="0.25">
      <c r="B79" s="17">
        <v>77</v>
      </c>
      <c r="C79" s="10"/>
      <c r="D79" s="10"/>
      <c r="E79" s="72"/>
      <c r="F79" s="18"/>
      <c r="G79" s="10"/>
      <c r="H79" s="10"/>
      <c r="I79" s="10"/>
      <c r="J79" s="11"/>
      <c r="K79" s="11">
        <f t="shared" si="165"/>
        <v>0</v>
      </c>
      <c r="L79" s="37">
        <f t="shared" si="166"/>
        <v>0</v>
      </c>
      <c r="M79" s="11"/>
      <c r="N79" s="10"/>
      <c r="O79" s="21"/>
      <c r="P79" s="21"/>
      <c r="Q79" s="21"/>
      <c r="R79" s="23"/>
      <c r="S79" s="50"/>
      <c r="T79" s="48"/>
      <c r="U79" s="82"/>
      <c r="V79" s="26"/>
      <c r="W79" s="200"/>
      <c r="X79" s="17"/>
    </row>
    <row r="80" spans="2:44" hidden="1" x14ac:dyDescent="0.25">
      <c r="B80" s="17">
        <v>78</v>
      </c>
      <c r="C80" s="10"/>
      <c r="D80" s="10"/>
      <c r="E80" s="72"/>
      <c r="F80" s="18"/>
      <c r="G80" s="10"/>
      <c r="H80" s="10"/>
      <c r="I80" s="10"/>
      <c r="J80" s="11"/>
      <c r="K80" s="11">
        <f t="shared" si="165"/>
        <v>0</v>
      </c>
      <c r="L80" s="37">
        <f t="shared" si="166"/>
        <v>0</v>
      </c>
      <c r="M80" s="11"/>
      <c r="N80" s="10"/>
      <c r="O80" s="21"/>
      <c r="P80" s="21"/>
      <c r="Q80" s="21"/>
      <c r="R80" s="23"/>
      <c r="S80" s="50"/>
      <c r="T80" s="48"/>
      <c r="U80" s="82"/>
      <c r="V80" s="26"/>
      <c r="W80" s="200"/>
      <c r="X80" s="17"/>
    </row>
    <row r="81" spans="2:24" hidden="1" x14ac:dyDescent="0.25">
      <c r="B81" s="17">
        <v>79</v>
      </c>
      <c r="C81" s="10"/>
      <c r="D81" s="10"/>
      <c r="E81" s="72"/>
      <c r="F81" s="18"/>
      <c r="G81" s="10"/>
      <c r="H81" s="10"/>
      <c r="I81" s="10"/>
      <c r="J81" s="11"/>
      <c r="K81" s="11">
        <f t="shared" si="165"/>
        <v>0</v>
      </c>
      <c r="L81" s="37">
        <f t="shared" si="166"/>
        <v>0</v>
      </c>
      <c r="M81" s="11"/>
      <c r="N81" s="10"/>
      <c r="O81" s="21"/>
      <c r="P81" s="21"/>
      <c r="Q81" s="21"/>
      <c r="R81" s="23"/>
      <c r="S81" s="50"/>
      <c r="T81" s="48"/>
      <c r="U81" s="82"/>
      <c r="V81" s="32"/>
      <c r="W81" s="200"/>
      <c r="X81" s="17"/>
    </row>
    <row r="82" spans="2:24" hidden="1" x14ac:dyDescent="0.25">
      <c r="B82" s="17">
        <v>80</v>
      </c>
      <c r="C82" s="10"/>
      <c r="D82" s="10"/>
      <c r="E82" s="72"/>
      <c r="F82" s="18"/>
      <c r="G82" s="10"/>
      <c r="H82" s="10"/>
      <c r="I82" s="10"/>
      <c r="J82" s="11"/>
      <c r="K82" s="11">
        <f t="shared" si="165"/>
        <v>0</v>
      </c>
      <c r="L82" s="37">
        <f t="shared" si="166"/>
        <v>0</v>
      </c>
      <c r="M82" s="11"/>
      <c r="N82" s="10"/>
      <c r="O82" s="21"/>
      <c r="P82" s="21"/>
      <c r="Q82" s="21"/>
      <c r="R82" s="23"/>
      <c r="S82" s="50"/>
      <c r="T82" s="48"/>
      <c r="U82" s="82"/>
      <c r="V82" s="32"/>
      <c r="W82" s="200"/>
      <c r="X82" s="17"/>
    </row>
    <row r="83" spans="2:24" hidden="1" x14ac:dyDescent="0.25">
      <c r="B83" s="17">
        <v>81</v>
      </c>
      <c r="C83" s="10"/>
      <c r="D83" s="10"/>
      <c r="E83" s="72"/>
      <c r="F83" s="18"/>
      <c r="G83" s="10"/>
      <c r="H83" s="10"/>
      <c r="I83" s="10"/>
      <c r="J83" s="11"/>
      <c r="K83" s="11">
        <f t="shared" si="165"/>
        <v>0</v>
      </c>
      <c r="L83" s="37">
        <f t="shared" si="166"/>
        <v>0</v>
      </c>
      <c r="M83" s="11"/>
      <c r="N83" s="10"/>
      <c r="O83" s="21"/>
      <c r="P83" s="21"/>
      <c r="Q83" s="21"/>
      <c r="R83" s="23"/>
      <c r="S83" s="50"/>
      <c r="T83" s="48"/>
      <c r="U83" s="82"/>
      <c r="V83" s="26"/>
      <c r="W83" s="200"/>
      <c r="X83" s="17"/>
    </row>
    <row r="84" spans="2:24" hidden="1" x14ac:dyDescent="0.25">
      <c r="B84" s="17">
        <v>82</v>
      </c>
      <c r="C84" s="10"/>
      <c r="D84" s="10"/>
      <c r="E84" s="72"/>
      <c r="F84" s="18"/>
      <c r="G84" s="10"/>
      <c r="H84" s="10"/>
      <c r="I84" s="10"/>
      <c r="J84" s="11"/>
      <c r="K84" s="11">
        <f t="shared" si="165"/>
        <v>0</v>
      </c>
      <c r="L84" s="37">
        <f t="shared" si="166"/>
        <v>0</v>
      </c>
      <c r="M84" s="11"/>
      <c r="N84" s="10"/>
      <c r="O84" s="21"/>
      <c r="P84" s="21"/>
      <c r="Q84" s="21"/>
      <c r="R84" s="23"/>
      <c r="S84" s="50"/>
      <c r="T84" s="48"/>
      <c r="U84" s="82"/>
      <c r="V84" s="26"/>
      <c r="W84" s="200"/>
      <c r="X84" s="17"/>
    </row>
    <row r="85" spans="2:24" hidden="1" x14ac:dyDescent="0.25">
      <c r="B85" s="17">
        <v>83</v>
      </c>
      <c r="C85" s="10"/>
      <c r="D85" s="10"/>
      <c r="E85" s="72"/>
      <c r="F85" s="18"/>
      <c r="G85" s="10"/>
      <c r="H85" s="10"/>
      <c r="I85" s="10"/>
      <c r="J85" s="11"/>
      <c r="K85" s="11">
        <f t="shared" si="165"/>
        <v>0</v>
      </c>
      <c r="L85" s="37">
        <f t="shared" si="166"/>
        <v>0</v>
      </c>
      <c r="M85" s="11"/>
      <c r="N85" s="10"/>
      <c r="O85" s="21"/>
      <c r="P85" s="21"/>
      <c r="Q85" s="21"/>
      <c r="R85" s="23"/>
      <c r="S85" s="50"/>
      <c r="T85" s="48"/>
      <c r="U85" s="82"/>
      <c r="V85" s="26"/>
      <c r="W85" s="200"/>
      <c r="X85" s="17"/>
    </row>
    <row r="86" spans="2:24" hidden="1" x14ac:dyDescent="0.25">
      <c r="B86" s="17">
        <v>84</v>
      </c>
      <c r="C86" s="10"/>
      <c r="D86" s="10"/>
      <c r="E86" s="72"/>
      <c r="F86" s="18"/>
      <c r="G86" s="10"/>
      <c r="H86" s="10"/>
      <c r="I86" s="10"/>
      <c r="J86" s="11"/>
      <c r="K86" s="11">
        <f t="shared" si="165"/>
        <v>0</v>
      </c>
      <c r="L86" s="37">
        <f t="shared" si="166"/>
        <v>0</v>
      </c>
      <c r="M86" s="11"/>
      <c r="N86" s="10"/>
      <c r="O86" s="21"/>
      <c r="P86" s="21"/>
      <c r="Q86" s="21"/>
      <c r="R86" s="23"/>
      <c r="S86" s="50"/>
      <c r="T86" s="48"/>
      <c r="U86" s="82"/>
      <c r="V86" s="26"/>
      <c r="W86" s="200"/>
      <c r="X86" s="17"/>
    </row>
    <row r="87" spans="2:24" hidden="1" x14ac:dyDescent="0.25">
      <c r="B87" s="17">
        <v>85</v>
      </c>
      <c r="C87" s="10"/>
      <c r="D87" s="10"/>
      <c r="E87" s="72"/>
      <c r="F87" s="18"/>
      <c r="G87" s="10"/>
      <c r="H87" s="10"/>
      <c r="I87" s="10"/>
      <c r="J87" s="11"/>
      <c r="K87" s="11">
        <f t="shared" si="165"/>
        <v>0</v>
      </c>
      <c r="L87" s="37">
        <f t="shared" si="166"/>
        <v>0</v>
      </c>
      <c r="M87" s="11"/>
      <c r="N87" s="10"/>
      <c r="O87" s="21"/>
      <c r="P87" s="21"/>
      <c r="Q87" s="21"/>
      <c r="R87" s="23"/>
      <c r="S87" s="50"/>
      <c r="T87" s="48"/>
      <c r="U87" s="82"/>
      <c r="V87" s="26"/>
      <c r="W87" s="200"/>
      <c r="X87" s="17"/>
    </row>
    <row r="88" spans="2:24" hidden="1" x14ac:dyDescent="0.25">
      <c r="B88" s="17">
        <v>86</v>
      </c>
      <c r="C88" s="10"/>
      <c r="D88" s="10"/>
      <c r="E88" s="72"/>
      <c r="F88" s="18"/>
      <c r="G88" s="10"/>
      <c r="H88" s="10"/>
      <c r="I88" s="10"/>
      <c r="J88" s="11"/>
      <c r="K88" s="11">
        <f t="shared" si="165"/>
        <v>0</v>
      </c>
      <c r="L88" s="37">
        <f t="shared" si="166"/>
        <v>0</v>
      </c>
      <c r="M88" s="11"/>
      <c r="N88" s="10"/>
      <c r="O88" s="21"/>
      <c r="P88" s="21"/>
      <c r="Q88" s="21"/>
      <c r="R88" s="23"/>
      <c r="S88" s="50"/>
      <c r="T88" s="48"/>
      <c r="U88" s="82"/>
      <c r="V88" s="32"/>
      <c r="W88" s="200"/>
      <c r="X88" s="17"/>
    </row>
    <row r="89" spans="2:24" hidden="1" x14ac:dyDescent="0.25">
      <c r="B89" s="17">
        <v>87</v>
      </c>
      <c r="C89" s="10"/>
      <c r="D89" s="10"/>
      <c r="E89" s="72"/>
      <c r="F89" s="18"/>
      <c r="G89" s="10"/>
      <c r="H89" s="10"/>
      <c r="I89" s="10"/>
      <c r="J89" s="11"/>
      <c r="K89" s="11">
        <f t="shared" si="165"/>
        <v>0</v>
      </c>
      <c r="L89" s="37">
        <f t="shared" si="166"/>
        <v>0</v>
      </c>
      <c r="M89" s="11"/>
      <c r="N89" s="10"/>
      <c r="O89" s="21"/>
      <c r="P89" s="21"/>
      <c r="Q89" s="21"/>
      <c r="R89" s="23"/>
      <c r="S89" s="50"/>
      <c r="T89" s="48"/>
      <c r="U89" s="82"/>
      <c r="V89" s="32"/>
      <c r="W89" s="200"/>
      <c r="X89" s="17"/>
    </row>
    <row r="90" spans="2:24" hidden="1" x14ac:dyDescent="0.25">
      <c r="B90" s="17">
        <v>88</v>
      </c>
      <c r="C90" s="10"/>
      <c r="D90" s="10"/>
      <c r="E90" s="72"/>
      <c r="F90" s="18"/>
      <c r="G90" s="10"/>
      <c r="H90" s="10"/>
      <c r="I90" s="10"/>
      <c r="J90" s="11"/>
      <c r="K90" s="11">
        <f t="shared" si="165"/>
        <v>0</v>
      </c>
      <c r="L90" s="37">
        <f t="shared" si="166"/>
        <v>0</v>
      </c>
      <c r="M90" s="11"/>
      <c r="N90" s="10"/>
      <c r="O90" s="21"/>
      <c r="P90" s="21"/>
      <c r="Q90" s="21"/>
      <c r="R90" s="23"/>
      <c r="S90" s="50"/>
      <c r="T90" s="48"/>
      <c r="U90" s="82"/>
      <c r="V90" s="26"/>
      <c r="W90" s="200"/>
      <c r="X90" s="17"/>
    </row>
    <row r="91" spans="2:24" hidden="1" x14ac:dyDescent="0.25">
      <c r="B91" s="17">
        <v>89</v>
      </c>
      <c r="C91" s="10"/>
      <c r="D91" s="10"/>
      <c r="E91" s="72"/>
      <c r="F91" s="18"/>
      <c r="G91" s="10"/>
      <c r="H91" s="10"/>
      <c r="I91" s="10"/>
      <c r="J91" s="11"/>
      <c r="K91" s="11">
        <f t="shared" si="165"/>
        <v>0</v>
      </c>
      <c r="L91" s="37">
        <f t="shared" si="166"/>
        <v>0</v>
      </c>
      <c r="M91" s="11"/>
      <c r="N91" s="10"/>
      <c r="O91" s="21"/>
      <c r="P91" s="21"/>
      <c r="Q91" s="21"/>
      <c r="R91" s="23"/>
      <c r="S91" s="50"/>
      <c r="T91" s="48"/>
      <c r="U91" s="82"/>
      <c r="V91" s="26"/>
      <c r="W91" s="200"/>
      <c r="X91" s="17"/>
    </row>
    <row r="92" spans="2:24" hidden="1" x14ac:dyDescent="0.25">
      <c r="B92" s="17">
        <v>90</v>
      </c>
      <c r="C92" s="10"/>
      <c r="D92" s="10"/>
      <c r="E92" s="72"/>
      <c r="F92" s="18"/>
      <c r="G92" s="10"/>
      <c r="H92" s="10"/>
      <c r="I92" s="10"/>
      <c r="J92" s="11"/>
      <c r="K92" s="11">
        <f t="shared" si="165"/>
        <v>0</v>
      </c>
      <c r="L92" s="37">
        <f t="shared" si="166"/>
        <v>0</v>
      </c>
      <c r="M92" s="11"/>
      <c r="N92" s="10"/>
      <c r="O92" s="21"/>
      <c r="P92" s="21"/>
      <c r="Q92" s="21"/>
      <c r="R92" s="23"/>
      <c r="S92" s="50"/>
      <c r="T92" s="48"/>
      <c r="U92" s="82"/>
      <c r="V92" s="26"/>
      <c r="W92" s="200"/>
      <c r="X92" s="17"/>
    </row>
    <row r="93" spans="2:24" hidden="1" x14ac:dyDescent="0.25">
      <c r="B93" s="17">
        <v>91</v>
      </c>
      <c r="C93" s="10"/>
      <c r="D93" s="10"/>
      <c r="E93" s="72"/>
      <c r="F93" s="18"/>
      <c r="G93" s="10"/>
      <c r="H93" s="10"/>
      <c r="I93" s="10"/>
      <c r="J93" s="11"/>
      <c r="K93" s="11">
        <f t="shared" si="165"/>
        <v>0</v>
      </c>
      <c r="L93" s="37">
        <f t="shared" si="166"/>
        <v>0</v>
      </c>
      <c r="M93" s="11"/>
      <c r="N93" s="10"/>
      <c r="O93" s="21"/>
      <c r="P93" s="21"/>
      <c r="Q93" s="21"/>
      <c r="R93" s="23"/>
      <c r="S93" s="50"/>
      <c r="T93" s="48"/>
      <c r="U93" s="82"/>
      <c r="V93" s="26"/>
      <c r="W93" s="200"/>
      <c r="X93" s="17"/>
    </row>
    <row r="94" spans="2:24" hidden="1" x14ac:dyDescent="0.25">
      <c r="B94" s="17">
        <v>92</v>
      </c>
      <c r="C94" s="10"/>
      <c r="D94" s="10"/>
      <c r="E94" s="72"/>
      <c r="F94" s="18"/>
      <c r="G94" s="10"/>
      <c r="H94" s="10"/>
      <c r="I94" s="10"/>
      <c r="J94" s="11"/>
      <c r="K94" s="11">
        <f t="shared" si="165"/>
        <v>0</v>
      </c>
      <c r="L94" s="37">
        <f t="shared" si="166"/>
        <v>0</v>
      </c>
      <c r="M94" s="11"/>
      <c r="N94" s="10"/>
      <c r="O94" s="21"/>
      <c r="P94" s="21"/>
      <c r="Q94" s="21"/>
      <c r="R94" s="23"/>
      <c r="S94" s="50"/>
      <c r="T94" s="48"/>
      <c r="U94" s="82"/>
      <c r="V94" s="26"/>
      <c r="W94" s="200"/>
      <c r="X94" s="17"/>
    </row>
    <row r="95" spans="2:24" hidden="1" x14ac:dyDescent="0.25">
      <c r="B95" s="17">
        <v>93</v>
      </c>
      <c r="C95" s="10"/>
      <c r="D95" s="10"/>
      <c r="E95" s="72"/>
      <c r="F95" s="18"/>
      <c r="G95" s="10"/>
      <c r="H95" s="10"/>
      <c r="I95" s="10"/>
      <c r="J95" s="11"/>
      <c r="K95" s="11">
        <f t="shared" si="165"/>
        <v>0</v>
      </c>
      <c r="L95" s="37">
        <f t="shared" si="166"/>
        <v>0</v>
      </c>
      <c r="M95" s="11"/>
      <c r="N95" s="10"/>
      <c r="O95" s="21"/>
      <c r="P95" s="21"/>
      <c r="Q95" s="21"/>
      <c r="R95" s="23"/>
      <c r="S95" s="50"/>
      <c r="T95" s="48"/>
      <c r="U95" s="82"/>
      <c r="V95" s="32"/>
      <c r="W95" s="200"/>
      <c r="X95" s="17"/>
    </row>
    <row r="96" spans="2:24" hidden="1" x14ac:dyDescent="0.25">
      <c r="B96" s="17">
        <v>94</v>
      </c>
      <c r="C96" s="10"/>
      <c r="D96" s="10"/>
      <c r="E96" s="72"/>
      <c r="F96" s="18"/>
      <c r="G96" s="10"/>
      <c r="H96" s="10"/>
      <c r="I96" s="10"/>
      <c r="J96" s="11"/>
      <c r="K96" s="11">
        <f t="shared" si="165"/>
        <v>0</v>
      </c>
      <c r="L96" s="37">
        <f t="shared" si="166"/>
        <v>0</v>
      </c>
      <c r="M96" s="11"/>
      <c r="N96" s="10"/>
      <c r="O96" s="21"/>
      <c r="P96" s="21"/>
      <c r="Q96" s="21"/>
      <c r="R96" s="23"/>
      <c r="S96" s="50"/>
      <c r="T96" s="48"/>
      <c r="U96" s="82"/>
      <c r="V96" s="32"/>
      <c r="W96" s="200"/>
      <c r="X96" s="17"/>
    </row>
    <row r="97" spans="2:24" hidden="1" x14ac:dyDescent="0.25">
      <c r="B97" s="17">
        <v>95</v>
      </c>
      <c r="C97" s="10"/>
      <c r="D97" s="10"/>
      <c r="E97" s="72"/>
      <c r="F97" s="18"/>
      <c r="G97" s="10"/>
      <c r="H97" s="10"/>
      <c r="I97" s="10"/>
      <c r="J97" s="11"/>
      <c r="K97" s="11">
        <f t="shared" si="165"/>
        <v>0</v>
      </c>
      <c r="L97" s="37">
        <f t="shared" si="166"/>
        <v>0</v>
      </c>
      <c r="M97" s="11"/>
      <c r="N97" s="10"/>
      <c r="O97" s="21"/>
      <c r="P97" s="21"/>
      <c r="Q97" s="21"/>
      <c r="R97" s="23"/>
      <c r="S97" s="50"/>
      <c r="T97" s="48"/>
      <c r="U97" s="82"/>
      <c r="V97" s="32"/>
      <c r="W97" s="200"/>
      <c r="X97" s="17"/>
    </row>
    <row r="98" spans="2:24" hidden="1" x14ac:dyDescent="0.25">
      <c r="B98" s="17">
        <v>96</v>
      </c>
      <c r="C98" s="10"/>
      <c r="D98" s="10"/>
      <c r="E98" s="72"/>
      <c r="F98" s="18"/>
      <c r="G98" s="10"/>
      <c r="H98" s="10"/>
      <c r="I98" s="10"/>
      <c r="J98" s="11"/>
      <c r="K98" s="11">
        <f t="shared" si="165"/>
        <v>0</v>
      </c>
      <c r="L98" s="37">
        <f t="shared" si="166"/>
        <v>0</v>
      </c>
      <c r="M98" s="11"/>
      <c r="N98" s="10"/>
      <c r="O98" s="21"/>
      <c r="P98" s="21"/>
      <c r="Q98" s="21"/>
      <c r="R98" s="23"/>
      <c r="S98" s="50"/>
      <c r="T98" s="48"/>
      <c r="U98" s="82"/>
      <c r="V98" s="32"/>
      <c r="W98" s="200"/>
      <c r="X98" s="17"/>
    </row>
    <row r="99" spans="2:24" hidden="1" x14ac:dyDescent="0.25">
      <c r="B99" s="17">
        <v>97</v>
      </c>
      <c r="C99" s="10"/>
      <c r="D99" s="10"/>
      <c r="E99" s="72"/>
      <c r="F99" s="18"/>
      <c r="G99" s="10"/>
      <c r="H99" s="10"/>
      <c r="I99" s="10"/>
      <c r="J99" s="11"/>
      <c r="K99" s="11">
        <f t="shared" si="165"/>
        <v>0</v>
      </c>
      <c r="L99" s="37">
        <f t="shared" si="166"/>
        <v>0</v>
      </c>
      <c r="M99" s="11"/>
      <c r="N99" s="10"/>
      <c r="O99" s="21"/>
      <c r="P99" s="21"/>
      <c r="Q99" s="21"/>
      <c r="R99" s="23"/>
      <c r="S99" s="50"/>
      <c r="T99" s="48"/>
      <c r="U99" s="82"/>
      <c r="V99" s="26"/>
      <c r="W99" s="200"/>
      <c r="X99" s="17"/>
    </row>
    <row r="100" spans="2:24" hidden="1" x14ac:dyDescent="0.25">
      <c r="B100" s="17">
        <v>98</v>
      </c>
      <c r="C100" s="10"/>
      <c r="D100" s="10"/>
      <c r="E100" s="72"/>
      <c r="F100" s="18"/>
      <c r="G100" s="10"/>
      <c r="H100" s="10"/>
      <c r="I100" s="10"/>
      <c r="J100" s="11"/>
      <c r="K100" s="11">
        <f t="shared" si="165"/>
        <v>0</v>
      </c>
      <c r="L100" s="37">
        <f t="shared" si="166"/>
        <v>0</v>
      </c>
      <c r="M100" s="11"/>
      <c r="N100" s="10"/>
      <c r="O100" s="21"/>
      <c r="P100" s="21"/>
      <c r="Q100" s="21"/>
      <c r="R100" s="23"/>
      <c r="S100" s="50"/>
      <c r="T100" s="48"/>
      <c r="U100" s="82"/>
      <c r="V100" s="26"/>
      <c r="W100" s="200"/>
      <c r="X100" s="17"/>
    </row>
    <row r="101" spans="2:24" hidden="1" x14ac:dyDescent="0.25">
      <c r="B101" s="17">
        <v>99</v>
      </c>
      <c r="C101" s="10"/>
      <c r="D101" s="10"/>
      <c r="E101" s="72"/>
      <c r="F101" s="18"/>
      <c r="G101" s="10"/>
      <c r="H101" s="10"/>
      <c r="I101" s="10"/>
      <c r="J101" s="11"/>
      <c r="K101" s="11">
        <f t="shared" si="165"/>
        <v>0</v>
      </c>
      <c r="L101" s="37">
        <f t="shared" si="166"/>
        <v>0</v>
      </c>
      <c r="M101" s="11"/>
      <c r="N101" s="10"/>
      <c r="O101" s="21"/>
      <c r="P101" s="21"/>
      <c r="Q101" s="21"/>
      <c r="R101" s="23"/>
      <c r="S101" s="50"/>
      <c r="T101" s="48"/>
      <c r="U101" s="82"/>
      <c r="V101" s="26"/>
      <c r="W101" s="200"/>
      <c r="X101" s="17"/>
    </row>
    <row r="102" spans="2:24" hidden="1" x14ac:dyDescent="0.25">
      <c r="B102" s="17">
        <v>100</v>
      </c>
      <c r="C102" s="10"/>
      <c r="D102" s="10"/>
      <c r="E102" s="72"/>
      <c r="F102" s="18"/>
      <c r="G102" s="10"/>
      <c r="H102" s="10"/>
      <c r="I102" s="10"/>
      <c r="J102" s="11"/>
      <c r="K102" s="11">
        <f t="shared" si="165"/>
        <v>0</v>
      </c>
      <c r="L102" s="37">
        <f t="shared" si="166"/>
        <v>0</v>
      </c>
      <c r="M102" s="11"/>
      <c r="N102" s="10"/>
      <c r="O102" s="21"/>
      <c r="P102" s="21"/>
      <c r="Q102" s="21"/>
      <c r="R102" s="23"/>
      <c r="S102" s="50"/>
      <c r="T102" s="48"/>
      <c r="U102" s="82"/>
      <c r="V102" s="26"/>
      <c r="W102" s="200"/>
      <c r="X102" s="17"/>
    </row>
    <row r="103" spans="2:24" hidden="1" x14ac:dyDescent="0.25">
      <c r="B103" s="17">
        <v>101</v>
      </c>
      <c r="C103" s="10"/>
      <c r="D103" s="10"/>
      <c r="E103" s="72"/>
      <c r="F103" s="18"/>
      <c r="G103" s="10"/>
      <c r="H103" s="10"/>
      <c r="I103" s="10"/>
      <c r="J103" s="11"/>
      <c r="K103" s="11">
        <f t="shared" si="165"/>
        <v>0</v>
      </c>
      <c r="L103" s="37">
        <f t="shared" si="166"/>
        <v>0</v>
      </c>
      <c r="M103" s="11"/>
      <c r="N103" s="10"/>
      <c r="O103" s="21"/>
      <c r="P103" s="21"/>
      <c r="Q103" s="21"/>
      <c r="R103" s="23"/>
      <c r="S103" s="50"/>
      <c r="T103" s="48"/>
      <c r="U103" s="82"/>
      <c r="V103" s="32"/>
      <c r="W103" s="200"/>
      <c r="X103" s="17"/>
    </row>
    <row r="104" spans="2:24" hidden="1" x14ac:dyDescent="0.25">
      <c r="B104" s="17">
        <v>102</v>
      </c>
      <c r="C104" s="10"/>
      <c r="D104" s="10"/>
      <c r="E104" s="72"/>
      <c r="F104" s="18"/>
      <c r="G104" s="10"/>
      <c r="H104" s="10"/>
      <c r="I104" s="10"/>
      <c r="J104" s="11"/>
      <c r="K104" s="11">
        <f t="shared" si="165"/>
        <v>0</v>
      </c>
      <c r="L104" s="37">
        <f t="shared" si="166"/>
        <v>0</v>
      </c>
      <c r="M104" s="11"/>
      <c r="N104" s="10"/>
      <c r="O104" s="21"/>
      <c r="P104" s="21"/>
      <c r="Q104" s="21"/>
      <c r="R104" s="23"/>
      <c r="S104" s="50"/>
      <c r="T104" s="48"/>
      <c r="U104" s="82"/>
      <c r="V104" s="32"/>
      <c r="W104" s="200"/>
      <c r="X104" s="17"/>
    </row>
    <row r="105" spans="2:24" hidden="1" x14ac:dyDescent="0.25">
      <c r="B105" s="17">
        <v>103</v>
      </c>
      <c r="C105" s="10"/>
      <c r="D105" s="10"/>
      <c r="E105" s="72"/>
      <c r="F105" s="18"/>
      <c r="G105" s="10"/>
      <c r="H105" s="10"/>
      <c r="I105" s="10"/>
      <c r="J105" s="11"/>
      <c r="K105" s="11">
        <f t="shared" si="165"/>
        <v>0</v>
      </c>
      <c r="L105" s="37">
        <f t="shared" si="166"/>
        <v>0</v>
      </c>
      <c r="M105" s="11"/>
      <c r="N105" s="10"/>
      <c r="O105" s="21"/>
      <c r="P105" s="21"/>
      <c r="Q105" s="21"/>
      <c r="R105" s="23"/>
      <c r="S105" s="50"/>
      <c r="T105" s="48"/>
      <c r="U105" s="82"/>
      <c r="V105" s="26"/>
      <c r="W105" s="200"/>
      <c r="X105" s="17"/>
    </row>
    <row r="106" spans="2:24" hidden="1" x14ac:dyDescent="0.25">
      <c r="B106" s="17">
        <v>104</v>
      </c>
      <c r="C106" s="10"/>
      <c r="D106" s="10"/>
      <c r="E106" s="72"/>
      <c r="F106" s="18"/>
      <c r="G106" s="10"/>
      <c r="H106" s="10"/>
      <c r="I106" s="10"/>
      <c r="J106" s="11"/>
      <c r="K106" s="11">
        <f t="shared" si="165"/>
        <v>0</v>
      </c>
      <c r="L106" s="37">
        <f t="shared" si="166"/>
        <v>0</v>
      </c>
      <c r="M106" s="11"/>
      <c r="N106" s="10"/>
      <c r="O106" s="21"/>
      <c r="P106" s="21"/>
      <c r="Q106" s="21"/>
      <c r="R106" s="23"/>
      <c r="S106" s="50"/>
      <c r="T106" s="48"/>
      <c r="U106" s="82"/>
      <c r="V106" s="26"/>
      <c r="W106" s="200"/>
      <c r="X106" s="17"/>
    </row>
    <row r="107" spans="2:24" hidden="1" x14ac:dyDescent="0.25">
      <c r="B107" s="17">
        <v>105</v>
      </c>
      <c r="C107" s="10"/>
      <c r="D107" s="10"/>
      <c r="E107" s="72"/>
      <c r="F107" s="18"/>
      <c r="G107" s="10"/>
      <c r="H107" s="10"/>
      <c r="I107" s="10"/>
      <c r="J107" s="11"/>
      <c r="K107" s="11">
        <f t="shared" si="165"/>
        <v>0</v>
      </c>
      <c r="L107" s="37">
        <f t="shared" si="166"/>
        <v>0</v>
      </c>
      <c r="M107" s="11"/>
      <c r="N107" s="10"/>
      <c r="O107" s="21"/>
      <c r="P107" s="21"/>
      <c r="Q107" s="21"/>
      <c r="R107" s="23"/>
      <c r="S107" s="50"/>
      <c r="T107" s="48"/>
      <c r="U107" s="82"/>
      <c r="V107" s="26"/>
      <c r="W107" s="200"/>
      <c r="X107" s="17"/>
    </row>
    <row r="108" spans="2:24" hidden="1" x14ac:dyDescent="0.25">
      <c r="B108" s="17">
        <v>106</v>
      </c>
      <c r="C108" s="10"/>
      <c r="D108" s="10"/>
      <c r="E108" s="72"/>
      <c r="F108" s="18"/>
      <c r="G108" s="10"/>
      <c r="H108" s="10"/>
      <c r="I108" s="10"/>
      <c r="J108" s="11"/>
      <c r="K108" s="11">
        <f t="shared" si="165"/>
        <v>0</v>
      </c>
      <c r="L108" s="37">
        <f t="shared" si="166"/>
        <v>0</v>
      </c>
      <c r="M108" s="11"/>
      <c r="N108" s="10"/>
      <c r="O108" s="21"/>
      <c r="P108" s="21"/>
      <c r="Q108" s="21"/>
      <c r="R108" s="23"/>
      <c r="S108" s="50"/>
      <c r="T108" s="48"/>
      <c r="U108" s="82"/>
      <c r="V108" s="26"/>
      <c r="W108" s="200"/>
      <c r="X108" s="17"/>
    </row>
    <row r="109" spans="2:24" hidden="1" x14ac:dyDescent="0.25">
      <c r="B109" s="17">
        <v>107</v>
      </c>
      <c r="C109" s="10"/>
      <c r="D109" s="10"/>
      <c r="E109" s="72"/>
      <c r="F109" s="18"/>
      <c r="G109" s="10"/>
      <c r="H109" s="10"/>
      <c r="I109" s="10"/>
      <c r="J109" s="11"/>
      <c r="K109" s="11">
        <f t="shared" si="165"/>
        <v>0</v>
      </c>
      <c r="L109" s="37">
        <f t="shared" si="166"/>
        <v>0</v>
      </c>
      <c r="M109" s="11"/>
      <c r="N109" s="10"/>
      <c r="O109" s="21"/>
      <c r="P109" s="21"/>
      <c r="Q109" s="21"/>
      <c r="R109" s="23"/>
      <c r="S109" s="50"/>
      <c r="T109" s="48"/>
      <c r="U109" s="82"/>
      <c r="V109" s="26"/>
      <c r="W109" s="200"/>
      <c r="X109" s="17"/>
    </row>
    <row r="110" spans="2:24" hidden="1" x14ac:dyDescent="0.25">
      <c r="B110" s="17">
        <v>108</v>
      </c>
      <c r="C110" s="10"/>
      <c r="D110" s="10"/>
      <c r="E110" s="72"/>
      <c r="F110" s="18"/>
      <c r="G110" s="10"/>
      <c r="H110" s="10"/>
      <c r="I110" s="10"/>
      <c r="J110" s="11"/>
      <c r="K110" s="11">
        <f t="shared" si="165"/>
        <v>0</v>
      </c>
      <c r="L110" s="37">
        <f t="shared" si="166"/>
        <v>0</v>
      </c>
      <c r="M110" s="11"/>
      <c r="N110" s="10"/>
      <c r="O110" s="21"/>
      <c r="P110" s="21"/>
      <c r="Q110" s="21"/>
      <c r="R110" s="23"/>
      <c r="S110" s="50"/>
      <c r="T110" s="48"/>
      <c r="U110" s="82"/>
      <c r="V110" s="32"/>
      <c r="W110" s="200"/>
      <c r="X110" s="17"/>
    </row>
    <row r="111" spans="2:24" hidden="1" x14ac:dyDescent="0.25">
      <c r="B111" s="17">
        <v>109</v>
      </c>
      <c r="C111" s="10"/>
      <c r="D111" s="10"/>
      <c r="E111" s="72"/>
      <c r="F111" s="18"/>
      <c r="G111" s="10"/>
      <c r="H111" s="10"/>
      <c r="I111" s="10"/>
      <c r="J111" s="11"/>
      <c r="K111" s="11">
        <f t="shared" si="165"/>
        <v>0</v>
      </c>
      <c r="L111" s="37">
        <f t="shared" si="166"/>
        <v>0</v>
      </c>
      <c r="M111" s="11"/>
      <c r="N111" s="10"/>
      <c r="O111" s="21"/>
      <c r="P111" s="21"/>
      <c r="Q111" s="21"/>
      <c r="R111" s="23"/>
      <c r="S111" s="50"/>
      <c r="T111" s="48"/>
      <c r="U111" s="82"/>
      <c r="V111" s="32"/>
      <c r="W111" s="200"/>
      <c r="X111" s="17"/>
    </row>
    <row r="112" spans="2:24" hidden="1" x14ac:dyDescent="0.25">
      <c r="B112" s="17">
        <v>110</v>
      </c>
      <c r="C112" s="10"/>
      <c r="D112" s="10"/>
      <c r="E112" s="72"/>
      <c r="F112" s="18"/>
      <c r="G112" s="10"/>
      <c r="H112" s="10"/>
      <c r="I112" s="10"/>
      <c r="J112" s="11"/>
      <c r="K112" s="11">
        <f t="shared" si="165"/>
        <v>0</v>
      </c>
      <c r="L112" s="37">
        <f t="shared" si="166"/>
        <v>0</v>
      </c>
      <c r="M112" s="11"/>
      <c r="N112" s="10"/>
      <c r="O112" s="21"/>
      <c r="P112" s="21"/>
      <c r="Q112" s="21"/>
      <c r="R112" s="23"/>
      <c r="S112" s="50"/>
      <c r="T112" s="48"/>
      <c r="U112" s="82"/>
      <c r="V112" s="26"/>
      <c r="W112" s="200"/>
      <c r="X112" s="17"/>
    </row>
    <row r="113" spans="2:24" hidden="1" x14ac:dyDescent="0.25">
      <c r="B113" s="17">
        <v>111</v>
      </c>
      <c r="C113" s="10"/>
      <c r="D113" s="10"/>
      <c r="E113" s="72"/>
      <c r="F113" s="18"/>
      <c r="G113" s="10"/>
      <c r="H113" s="10"/>
      <c r="I113" s="10"/>
      <c r="J113" s="11"/>
      <c r="K113" s="11">
        <f t="shared" si="165"/>
        <v>0</v>
      </c>
      <c r="L113" s="37">
        <f t="shared" si="166"/>
        <v>0</v>
      </c>
      <c r="M113" s="11"/>
      <c r="N113" s="10"/>
      <c r="O113" s="21"/>
      <c r="P113" s="21"/>
      <c r="Q113" s="21"/>
      <c r="R113" s="23"/>
      <c r="S113" s="50"/>
      <c r="T113" s="48"/>
      <c r="U113" s="82"/>
      <c r="V113" s="26"/>
      <c r="W113" s="200"/>
      <c r="X113" s="17"/>
    </row>
    <row r="114" spans="2:24" hidden="1" x14ac:dyDescent="0.25">
      <c r="B114" s="17">
        <v>112</v>
      </c>
      <c r="C114" s="10"/>
      <c r="D114" s="10"/>
      <c r="E114" s="72"/>
      <c r="F114" s="18"/>
      <c r="G114" s="10"/>
      <c r="H114" s="10"/>
      <c r="I114" s="10"/>
      <c r="J114" s="11"/>
      <c r="K114" s="11">
        <f t="shared" si="165"/>
        <v>0</v>
      </c>
      <c r="L114" s="37">
        <f t="shared" si="166"/>
        <v>0</v>
      </c>
      <c r="M114" s="11"/>
      <c r="N114" s="10"/>
      <c r="O114" s="21"/>
      <c r="P114" s="21"/>
      <c r="Q114" s="21"/>
      <c r="R114" s="23"/>
      <c r="S114" s="50"/>
      <c r="T114" s="48"/>
      <c r="U114" s="82"/>
      <c r="V114" s="26"/>
      <c r="W114" s="200"/>
      <c r="X114" s="17"/>
    </row>
    <row r="115" spans="2:24" hidden="1" x14ac:dyDescent="0.25">
      <c r="B115" s="17">
        <v>113</v>
      </c>
      <c r="C115" s="10"/>
      <c r="D115" s="10"/>
      <c r="E115" s="72"/>
      <c r="F115" s="18"/>
      <c r="G115" s="10"/>
      <c r="H115" s="10"/>
      <c r="I115" s="10"/>
      <c r="J115" s="11"/>
      <c r="K115" s="11">
        <f t="shared" si="165"/>
        <v>0</v>
      </c>
      <c r="L115" s="37">
        <f t="shared" si="166"/>
        <v>0</v>
      </c>
      <c r="M115" s="11"/>
      <c r="N115" s="10"/>
      <c r="O115" s="21"/>
      <c r="P115" s="21"/>
      <c r="Q115" s="21"/>
      <c r="R115" s="23"/>
      <c r="S115" s="50"/>
      <c r="T115" s="48"/>
      <c r="U115" s="82"/>
      <c r="V115" s="26"/>
      <c r="W115" s="200"/>
      <c r="X115" s="17"/>
    </row>
    <row r="116" spans="2:24" hidden="1" x14ac:dyDescent="0.25">
      <c r="B116" s="17">
        <v>114</v>
      </c>
      <c r="C116" s="10"/>
      <c r="D116" s="10"/>
      <c r="E116" s="72"/>
      <c r="F116" s="18"/>
      <c r="G116" s="10"/>
      <c r="H116" s="10"/>
      <c r="I116" s="10"/>
      <c r="J116" s="11"/>
      <c r="K116" s="11">
        <f t="shared" si="165"/>
        <v>0</v>
      </c>
      <c r="L116" s="37">
        <f t="shared" si="166"/>
        <v>0</v>
      </c>
      <c r="M116" s="11"/>
      <c r="N116" s="10"/>
      <c r="O116" s="21"/>
      <c r="P116" s="21"/>
      <c r="Q116" s="21"/>
      <c r="R116" s="23"/>
      <c r="S116" s="50"/>
      <c r="T116" s="48"/>
      <c r="U116" s="82"/>
      <c r="V116" s="26"/>
      <c r="W116" s="200"/>
      <c r="X116" s="17"/>
    </row>
    <row r="117" spans="2:24" hidden="1" x14ac:dyDescent="0.25">
      <c r="B117" s="17">
        <v>115</v>
      </c>
      <c r="C117" s="10"/>
      <c r="D117" s="10"/>
      <c r="E117" s="72"/>
      <c r="F117" s="18"/>
      <c r="G117" s="10"/>
      <c r="H117" s="10"/>
      <c r="I117" s="10"/>
      <c r="J117" s="11"/>
      <c r="K117" s="11">
        <f t="shared" si="165"/>
        <v>0</v>
      </c>
      <c r="L117" s="37">
        <f t="shared" si="166"/>
        <v>0</v>
      </c>
      <c r="M117" s="11"/>
      <c r="N117" s="10"/>
      <c r="O117" s="21"/>
      <c r="P117" s="21"/>
      <c r="Q117" s="21"/>
      <c r="R117" s="23"/>
      <c r="S117" s="50"/>
      <c r="T117" s="48"/>
      <c r="U117" s="82"/>
      <c r="V117" s="32"/>
      <c r="W117" s="200"/>
      <c r="X117" s="17"/>
    </row>
    <row r="118" spans="2:24" hidden="1" x14ac:dyDescent="0.25">
      <c r="B118" s="17">
        <v>116</v>
      </c>
      <c r="C118" s="10"/>
      <c r="D118" s="10"/>
      <c r="E118" s="72"/>
      <c r="F118" s="18"/>
      <c r="G118" s="10"/>
      <c r="H118" s="10"/>
      <c r="I118" s="10"/>
      <c r="J118" s="11"/>
      <c r="K118" s="11">
        <f t="shared" si="165"/>
        <v>0</v>
      </c>
      <c r="L118" s="37">
        <f t="shared" si="166"/>
        <v>0</v>
      </c>
      <c r="M118" s="11"/>
      <c r="N118" s="10"/>
      <c r="O118" s="21"/>
      <c r="P118" s="21"/>
      <c r="Q118" s="21"/>
      <c r="R118" s="23"/>
      <c r="S118" s="50"/>
      <c r="T118" s="48"/>
      <c r="U118" s="82"/>
      <c r="V118" s="32"/>
      <c r="W118" s="200"/>
      <c r="X118" s="17"/>
    </row>
    <row r="119" spans="2:24" hidden="1" x14ac:dyDescent="0.25">
      <c r="B119" s="17">
        <v>117</v>
      </c>
      <c r="C119" s="10"/>
      <c r="D119" s="10"/>
      <c r="E119" s="72"/>
      <c r="F119" s="18"/>
      <c r="G119" s="10"/>
      <c r="H119" s="10"/>
      <c r="I119" s="10"/>
      <c r="J119" s="11"/>
      <c r="K119" s="11">
        <f t="shared" si="165"/>
        <v>0</v>
      </c>
      <c r="L119" s="37">
        <f t="shared" si="166"/>
        <v>0</v>
      </c>
      <c r="M119" s="11"/>
      <c r="N119" s="10"/>
      <c r="O119" s="21"/>
      <c r="P119" s="21"/>
      <c r="Q119" s="21"/>
      <c r="R119" s="23"/>
      <c r="S119" s="50"/>
      <c r="T119" s="48"/>
      <c r="U119" s="82"/>
      <c r="V119" s="32"/>
      <c r="W119" s="200"/>
      <c r="X119" s="17"/>
    </row>
    <row r="120" spans="2:24" hidden="1" x14ac:dyDescent="0.25">
      <c r="B120" s="17">
        <v>118</v>
      </c>
      <c r="C120" s="10"/>
      <c r="D120" s="10"/>
      <c r="E120" s="72"/>
      <c r="F120" s="18"/>
      <c r="G120" s="10"/>
      <c r="H120" s="10"/>
      <c r="I120" s="10"/>
      <c r="J120" s="11"/>
      <c r="K120" s="11">
        <f t="shared" si="165"/>
        <v>0</v>
      </c>
      <c r="L120" s="37">
        <f t="shared" si="166"/>
        <v>0</v>
      </c>
      <c r="M120" s="11"/>
      <c r="N120" s="10"/>
      <c r="O120" s="21"/>
      <c r="P120" s="21"/>
      <c r="Q120" s="21"/>
      <c r="R120" s="23"/>
      <c r="S120" s="50"/>
      <c r="T120" s="48"/>
      <c r="U120" s="82"/>
      <c r="V120" s="32"/>
      <c r="W120" s="200"/>
      <c r="X120" s="17"/>
    </row>
    <row r="121" spans="2:24" hidden="1" x14ac:dyDescent="0.25">
      <c r="B121" s="17">
        <v>119</v>
      </c>
      <c r="C121" s="10"/>
      <c r="D121" s="10"/>
      <c r="E121" s="72"/>
      <c r="F121" s="18"/>
      <c r="G121" s="10"/>
      <c r="H121" s="10"/>
      <c r="I121" s="10"/>
      <c r="J121" s="11"/>
      <c r="K121" s="11">
        <f t="shared" si="165"/>
        <v>0</v>
      </c>
      <c r="L121" s="37">
        <f t="shared" si="166"/>
        <v>0</v>
      </c>
      <c r="M121" s="11"/>
      <c r="N121" s="10"/>
      <c r="O121" s="21"/>
      <c r="P121" s="21"/>
      <c r="Q121" s="21"/>
      <c r="R121" s="23"/>
      <c r="S121" s="50"/>
      <c r="T121" s="48"/>
      <c r="U121" s="82"/>
      <c r="V121" s="26"/>
      <c r="W121" s="200"/>
      <c r="X121" s="17"/>
    </row>
    <row r="122" spans="2:24" hidden="1" x14ac:dyDescent="0.25">
      <c r="B122" s="17">
        <v>120</v>
      </c>
      <c r="C122" s="10"/>
      <c r="D122" s="10"/>
      <c r="E122" s="72"/>
      <c r="F122" s="18"/>
      <c r="G122" s="10"/>
      <c r="H122" s="10"/>
      <c r="I122" s="10"/>
      <c r="J122" s="11"/>
      <c r="K122" s="11">
        <f t="shared" si="165"/>
        <v>0</v>
      </c>
      <c r="L122" s="37">
        <f t="shared" si="166"/>
        <v>0</v>
      </c>
      <c r="M122" s="11"/>
      <c r="N122" s="10"/>
      <c r="O122" s="21"/>
      <c r="P122" s="21"/>
      <c r="Q122" s="21"/>
      <c r="R122" s="23"/>
      <c r="S122" s="50"/>
      <c r="T122" s="48"/>
      <c r="U122" s="82"/>
      <c r="V122" s="26"/>
      <c r="W122" s="200"/>
      <c r="X122" s="17"/>
    </row>
    <row r="123" spans="2:24" hidden="1" x14ac:dyDescent="0.25">
      <c r="B123" s="17">
        <v>121</v>
      </c>
      <c r="C123" s="10"/>
      <c r="D123" s="10"/>
      <c r="E123" s="72"/>
      <c r="F123" s="18"/>
      <c r="G123" s="10"/>
      <c r="H123" s="10"/>
      <c r="I123" s="10"/>
      <c r="J123" s="11"/>
      <c r="K123" s="11">
        <f t="shared" si="165"/>
        <v>0</v>
      </c>
      <c r="L123" s="37">
        <f t="shared" si="166"/>
        <v>0</v>
      </c>
      <c r="M123" s="11"/>
      <c r="N123" s="10"/>
      <c r="O123" s="21"/>
      <c r="P123" s="21"/>
      <c r="Q123" s="21"/>
      <c r="R123" s="23"/>
      <c r="S123" s="50"/>
      <c r="T123" s="48"/>
      <c r="U123" s="82"/>
      <c r="V123" s="26"/>
      <c r="W123" s="200"/>
      <c r="X123" s="17"/>
    </row>
    <row r="124" spans="2:24" hidden="1" x14ac:dyDescent="0.25">
      <c r="B124" s="17">
        <v>122</v>
      </c>
      <c r="C124" s="10"/>
      <c r="D124" s="10"/>
      <c r="E124" s="72"/>
      <c r="F124" s="18"/>
      <c r="G124" s="10"/>
      <c r="H124" s="10"/>
      <c r="I124" s="10"/>
      <c r="J124" s="11"/>
      <c r="K124" s="11">
        <f t="shared" si="165"/>
        <v>0</v>
      </c>
      <c r="L124" s="37">
        <f t="shared" si="166"/>
        <v>0</v>
      </c>
      <c r="M124" s="11"/>
      <c r="N124" s="10"/>
      <c r="O124" s="21"/>
      <c r="P124" s="21"/>
      <c r="Q124" s="21"/>
      <c r="R124" s="23"/>
      <c r="S124" s="50"/>
      <c r="T124" s="48"/>
      <c r="U124" s="82"/>
      <c r="V124" s="26"/>
      <c r="W124" s="200"/>
      <c r="X124" s="17"/>
    </row>
    <row r="125" spans="2:24" hidden="1" x14ac:dyDescent="0.25">
      <c r="B125" s="17">
        <v>123</v>
      </c>
      <c r="C125" s="10"/>
      <c r="D125" s="10"/>
      <c r="E125" s="72"/>
      <c r="F125" s="18"/>
      <c r="G125" s="10"/>
      <c r="H125" s="10"/>
      <c r="I125" s="10"/>
      <c r="J125" s="11"/>
      <c r="K125" s="11">
        <f t="shared" si="165"/>
        <v>0</v>
      </c>
      <c r="L125" s="37">
        <f t="shared" si="166"/>
        <v>0</v>
      </c>
      <c r="M125" s="11"/>
      <c r="N125" s="10"/>
      <c r="O125" s="21"/>
      <c r="P125" s="21"/>
      <c r="Q125" s="21"/>
      <c r="R125" s="23"/>
      <c r="S125" s="50"/>
      <c r="T125" s="48"/>
      <c r="U125" s="82"/>
      <c r="V125" s="26"/>
      <c r="W125" s="200"/>
      <c r="X125" s="17"/>
    </row>
    <row r="126" spans="2:24" hidden="1" x14ac:dyDescent="0.25">
      <c r="B126" s="17">
        <v>124</v>
      </c>
      <c r="C126" s="10"/>
      <c r="D126" s="10"/>
      <c r="E126" s="72"/>
      <c r="F126" s="18"/>
      <c r="G126" s="10"/>
      <c r="H126" s="10"/>
      <c r="I126" s="10"/>
      <c r="J126" s="11"/>
      <c r="K126" s="11">
        <f t="shared" si="165"/>
        <v>0</v>
      </c>
      <c r="L126" s="37">
        <f t="shared" si="166"/>
        <v>0</v>
      </c>
      <c r="M126" s="11"/>
      <c r="N126" s="10"/>
      <c r="O126" s="21"/>
      <c r="P126" s="21"/>
      <c r="Q126" s="21"/>
      <c r="R126" s="23"/>
      <c r="S126" s="50"/>
      <c r="T126" s="48"/>
      <c r="U126" s="82"/>
      <c r="V126" s="32"/>
      <c r="W126" s="200"/>
      <c r="X126" s="17"/>
    </row>
    <row r="127" spans="2:24" hidden="1" x14ac:dyDescent="0.25">
      <c r="B127" s="17">
        <v>125</v>
      </c>
      <c r="C127" s="10"/>
      <c r="D127" s="10"/>
      <c r="E127" s="72"/>
      <c r="F127" s="18"/>
      <c r="G127" s="10"/>
      <c r="H127" s="10"/>
      <c r="I127" s="10"/>
      <c r="J127" s="11"/>
      <c r="K127" s="11">
        <f t="shared" si="165"/>
        <v>0</v>
      </c>
      <c r="L127" s="37">
        <f t="shared" si="166"/>
        <v>0</v>
      </c>
      <c r="M127" s="11"/>
      <c r="N127" s="10"/>
      <c r="O127" s="21"/>
      <c r="P127" s="21"/>
      <c r="Q127" s="21"/>
      <c r="R127" s="23"/>
      <c r="S127" s="50"/>
      <c r="T127" s="48"/>
      <c r="U127" s="82"/>
      <c r="V127" s="32"/>
      <c r="W127" s="200"/>
      <c r="X127" s="17"/>
    </row>
    <row r="128" spans="2:24" hidden="1" x14ac:dyDescent="0.25">
      <c r="B128" s="17">
        <v>126</v>
      </c>
      <c r="C128" s="10"/>
      <c r="D128" s="10"/>
      <c r="E128" s="72"/>
      <c r="F128" s="18"/>
      <c r="G128" s="10"/>
      <c r="H128" s="10"/>
      <c r="I128" s="10"/>
      <c r="J128" s="11"/>
      <c r="K128" s="11">
        <f t="shared" si="165"/>
        <v>0</v>
      </c>
      <c r="L128" s="37">
        <f t="shared" si="166"/>
        <v>0</v>
      </c>
      <c r="M128" s="11"/>
      <c r="N128" s="10"/>
      <c r="O128" s="21"/>
      <c r="P128" s="21"/>
      <c r="Q128" s="21"/>
      <c r="R128" s="23"/>
      <c r="S128" s="50"/>
      <c r="T128" s="48"/>
      <c r="U128" s="82"/>
      <c r="V128" s="26"/>
      <c r="W128" s="200"/>
      <c r="X128" s="17"/>
    </row>
    <row r="129" spans="2:24" hidden="1" x14ac:dyDescent="0.25">
      <c r="B129" s="17">
        <v>127</v>
      </c>
      <c r="C129" s="10"/>
      <c r="D129" s="10"/>
      <c r="E129" s="72"/>
      <c r="F129" s="18"/>
      <c r="G129" s="10"/>
      <c r="H129" s="10"/>
      <c r="I129" s="10"/>
      <c r="J129" s="11"/>
      <c r="K129" s="11">
        <f t="shared" si="165"/>
        <v>0</v>
      </c>
      <c r="L129" s="37">
        <f t="shared" si="166"/>
        <v>0</v>
      </c>
      <c r="M129" s="11"/>
      <c r="N129" s="10"/>
      <c r="O129" s="21"/>
      <c r="P129" s="21"/>
      <c r="Q129" s="21"/>
      <c r="R129" s="23"/>
      <c r="S129" s="50"/>
      <c r="T129" s="48"/>
      <c r="U129" s="82"/>
      <c r="V129" s="26"/>
      <c r="W129" s="200"/>
      <c r="X129" s="17"/>
    </row>
    <row r="130" spans="2:24" hidden="1" x14ac:dyDescent="0.25">
      <c r="B130" s="17">
        <v>128</v>
      </c>
      <c r="C130" s="10"/>
      <c r="D130" s="10"/>
      <c r="E130" s="72"/>
      <c r="F130" s="18"/>
      <c r="G130" s="10"/>
      <c r="H130" s="10"/>
      <c r="I130" s="10"/>
      <c r="J130" s="11"/>
      <c r="K130" s="11">
        <f t="shared" si="165"/>
        <v>0</v>
      </c>
      <c r="L130" s="37">
        <f t="shared" si="166"/>
        <v>0</v>
      </c>
      <c r="M130" s="11"/>
      <c r="N130" s="10"/>
      <c r="O130" s="21"/>
      <c r="P130" s="21"/>
      <c r="Q130" s="21"/>
      <c r="R130" s="23"/>
      <c r="S130" s="50"/>
      <c r="T130" s="48"/>
      <c r="U130" s="82"/>
      <c r="V130" s="26"/>
      <c r="W130" s="200"/>
      <c r="X130" s="17"/>
    </row>
    <row r="131" spans="2:24" hidden="1" x14ac:dyDescent="0.25">
      <c r="B131" s="17">
        <v>129</v>
      </c>
      <c r="C131" s="10"/>
      <c r="D131" s="10"/>
      <c r="E131" s="72"/>
      <c r="F131" s="18"/>
      <c r="G131" s="10"/>
      <c r="H131" s="10"/>
      <c r="I131" s="10"/>
      <c r="J131" s="11"/>
      <c r="K131" s="11">
        <f t="shared" si="165"/>
        <v>0</v>
      </c>
      <c r="L131" s="37">
        <f t="shared" si="166"/>
        <v>0</v>
      </c>
      <c r="M131" s="11"/>
      <c r="N131" s="10"/>
      <c r="O131" s="21"/>
      <c r="P131" s="21"/>
      <c r="Q131" s="21"/>
      <c r="R131" s="23"/>
      <c r="S131" s="50"/>
      <c r="T131" s="48"/>
      <c r="U131" s="82"/>
      <c r="V131" s="26"/>
      <c r="W131" s="200"/>
      <c r="X131" s="17"/>
    </row>
    <row r="132" spans="2:24" hidden="1" x14ac:dyDescent="0.25">
      <c r="B132" s="17">
        <v>130</v>
      </c>
      <c r="C132" s="10"/>
      <c r="D132" s="10"/>
      <c r="E132" s="72"/>
      <c r="F132" s="18"/>
      <c r="G132" s="10"/>
      <c r="H132" s="10"/>
      <c r="I132" s="10"/>
      <c r="J132" s="11"/>
      <c r="K132" s="11">
        <f t="shared" ref="K132:K195" si="197">J132*1.1</f>
        <v>0</v>
      </c>
      <c r="L132" s="37">
        <f t="shared" ref="L132:L195" si="198">J132*0.00000001</f>
        <v>0</v>
      </c>
      <c r="M132" s="11"/>
      <c r="N132" s="10"/>
      <c r="O132" s="21"/>
      <c r="P132" s="21"/>
      <c r="Q132" s="21"/>
      <c r="R132" s="23"/>
      <c r="S132" s="50"/>
      <c r="T132" s="48"/>
      <c r="U132" s="82"/>
      <c r="V132" s="26"/>
      <c r="W132" s="200"/>
      <c r="X132" s="17"/>
    </row>
    <row r="133" spans="2:24" hidden="1" x14ac:dyDescent="0.25">
      <c r="B133" s="17">
        <v>131</v>
      </c>
      <c r="C133" s="10"/>
      <c r="D133" s="10"/>
      <c r="E133" s="72"/>
      <c r="F133" s="18"/>
      <c r="G133" s="10"/>
      <c r="H133" s="10"/>
      <c r="I133" s="10"/>
      <c r="J133" s="11"/>
      <c r="K133" s="11">
        <f t="shared" si="197"/>
        <v>0</v>
      </c>
      <c r="L133" s="37">
        <f t="shared" si="198"/>
        <v>0</v>
      </c>
      <c r="M133" s="11"/>
      <c r="N133" s="10"/>
      <c r="O133" s="21"/>
      <c r="P133" s="21"/>
      <c r="Q133" s="21"/>
      <c r="R133" s="23"/>
      <c r="S133" s="50"/>
      <c r="T133" s="48"/>
      <c r="U133" s="82"/>
      <c r="V133" s="32"/>
      <c r="W133" s="200"/>
      <c r="X133" s="17"/>
    </row>
    <row r="134" spans="2:24" hidden="1" x14ac:dyDescent="0.25">
      <c r="B134" s="17">
        <v>132</v>
      </c>
      <c r="C134" s="10"/>
      <c r="D134" s="10"/>
      <c r="E134" s="72"/>
      <c r="F134" s="18"/>
      <c r="G134" s="10"/>
      <c r="H134" s="10"/>
      <c r="I134" s="10"/>
      <c r="J134" s="11"/>
      <c r="K134" s="11">
        <f t="shared" si="197"/>
        <v>0</v>
      </c>
      <c r="L134" s="37">
        <f t="shared" si="198"/>
        <v>0</v>
      </c>
      <c r="M134" s="11"/>
      <c r="N134" s="10"/>
      <c r="O134" s="21"/>
      <c r="P134" s="21"/>
      <c r="Q134" s="21"/>
      <c r="R134" s="23"/>
      <c r="S134" s="50"/>
      <c r="T134" s="48"/>
      <c r="U134" s="82"/>
      <c r="V134" s="32"/>
      <c r="W134" s="200"/>
      <c r="X134" s="17"/>
    </row>
    <row r="135" spans="2:24" hidden="1" x14ac:dyDescent="0.25">
      <c r="B135" s="17">
        <v>133</v>
      </c>
      <c r="C135" s="10"/>
      <c r="D135" s="10"/>
      <c r="E135" s="72"/>
      <c r="F135" s="18"/>
      <c r="G135" s="10"/>
      <c r="H135" s="10"/>
      <c r="I135" s="10"/>
      <c r="J135" s="11"/>
      <c r="K135" s="11">
        <f t="shared" si="197"/>
        <v>0</v>
      </c>
      <c r="L135" s="37">
        <f t="shared" si="198"/>
        <v>0</v>
      </c>
      <c r="M135" s="11"/>
      <c r="N135" s="10"/>
      <c r="O135" s="21"/>
      <c r="P135" s="21"/>
      <c r="Q135" s="21"/>
      <c r="R135" s="23"/>
      <c r="S135" s="50"/>
      <c r="T135" s="48"/>
      <c r="U135" s="82"/>
      <c r="V135" s="32"/>
      <c r="W135" s="200"/>
      <c r="X135" s="17"/>
    </row>
    <row r="136" spans="2:24" hidden="1" x14ac:dyDescent="0.25">
      <c r="B136" s="17">
        <v>134</v>
      </c>
      <c r="C136" s="10"/>
      <c r="D136" s="10"/>
      <c r="E136" s="72"/>
      <c r="F136" s="18"/>
      <c r="G136" s="10"/>
      <c r="H136" s="10"/>
      <c r="I136" s="10"/>
      <c r="J136" s="11"/>
      <c r="K136" s="11">
        <f t="shared" si="197"/>
        <v>0</v>
      </c>
      <c r="L136" s="37">
        <f t="shared" si="198"/>
        <v>0</v>
      </c>
      <c r="M136" s="11"/>
      <c r="N136" s="10"/>
      <c r="O136" s="21"/>
      <c r="P136" s="21"/>
      <c r="Q136" s="21"/>
      <c r="R136" s="23"/>
      <c r="S136" s="50"/>
      <c r="T136" s="48"/>
      <c r="U136" s="82"/>
      <c r="V136" s="32"/>
      <c r="W136" s="200"/>
      <c r="X136" s="17"/>
    </row>
    <row r="137" spans="2:24" hidden="1" x14ac:dyDescent="0.25">
      <c r="B137" s="17">
        <v>135</v>
      </c>
      <c r="C137" s="10"/>
      <c r="D137" s="10"/>
      <c r="E137" s="72"/>
      <c r="F137" s="18"/>
      <c r="G137" s="10"/>
      <c r="H137" s="10"/>
      <c r="I137" s="10"/>
      <c r="J137" s="11"/>
      <c r="K137" s="11">
        <f t="shared" si="197"/>
        <v>0</v>
      </c>
      <c r="L137" s="37">
        <f t="shared" si="198"/>
        <v>0</v>
      </c>
      <c r="M137" s="11"/>
      <c r="N137" s="10"/>
      <c r="O137" s="21"/>
      <c r="P137" s="21"/>
      <c r="Q137" s="21"/>
      <c r="R137" s="23"/>
      <c r="S137" s="50"/>
      <c r="T137" s="48"/>
      <c r="U137" s="82"/>
      <c r="V137" s="26"/>
      <c r="W137" s="200"/>
      <c r="X137" s="17"/>
    </row>
    <row r="138" spans="2:24" hidden="1" x14ac:dyDescent="0.25">
      <c r="B138" s="17">
        <v>136</v>
      </c>
      <c r="C138" s="10"/>
      <c r="D138" s="10"/>
      <c r="E138" s="72"/>
      <c r="F138" s="18"/>
      <c r="G138" s="10"/>
      <c r="H138" s="10"/>
      <c r="I138" s="10"/>
      <c r="J138" s="11"/>
      <c r="K138" s="11">
        <f t="shared" si="197"/>
        <v>0</v>
      </c>
      <c r="L138" s="37">
        <f t="shared" si="198"/>
        <v>0</v>
      </c>
      <c r="M138" s="11"/>
      <c r="N138" s="10"/>
      <c r="O138" s="21"/>
      <c r="P138" s="21"/>
      <c r="Q138" s="21"/>
      <c r="R138" s="23"/>
      <c r="S138" s="50"/>
      <c r="T138" s="48"/>
      <c r="U138" s="82"/>
      <c r="V138" s="26"/>
      <c r="W138" s="200"/>
      <c r="X138" s="17"/>
    </row>
    <row r="139" spans="2:24" hidden="1" x14ac:dyDescent="0.25">
      <c r="B139" s="17">
        <v>137</v>
      </c>
      <c r="C139" s="10"/>
      <c r="D139" s="10"/>
      <c r="E139" s="72"/>
      <c r="F139" s="18"/>
      <c r="G139" s="10"/>
      <c r="H139" s="10"/>
      <c r="I139" s="10"/>
      <c r="J139" s="11"/>
      <c r="K139" s="11">
        <f t="shared" si="197"/>
        <v>0</v>
      </c>
      <c r="L139" s="37">
        <f t="shared" si="198"/>
        <v>0</v>
      </c>
      <c r="M139" s="11"/>
      <c r="N139" s="10"/>
      <c r="O139" s="21"/>
      <c r="P139" s="21"/>
      <c r="Q139" s="21"/>
      <c r="R139" s="23"/>
      <c r="S139" s="50"/>
      <c r="T139" s="48"/>
      <c r="U139" s="82"/>
      <c r="V139" s="26"/>
      <c r="W139" s="200"/>
      <c r="X139" s="17"/>
    </row>
    <row r="140" spans="2:24" hidden="1" x14ac:dyDescent="0.25">
      <c r="B140" s="17">
        <v>138</v>
      </c>
      <c r="C140" s="10"/>
      <c r="D140" s="10"/>
      <c r="E140" s="72"/>
      <c r="F140" s="18"/>
      <c r="G140" s="10"/>
      <c r="H140" s="10"/>
      <c r="I140" s="10"/>
      <c r="J140" s="11"/>
      <c r="K140" s="11">
        <f t="shared" si="197"/>
        <v>0</v>
      </c>
      <c r="L140" s="37">
        <f t="shared" si="198"/>
        <v>0</v>
      </c>
      <c r="M140" s="11"/>
      <c r="N140" s="10"/>
      <c r="O140" s="21"/>
      <c r="P140" s="21"/>
      <c r="Q140" s="21"/>
      <c r="R140" s="23"/>
      <c r="S140" s="50"/>
      <c r="T140" s="48"/>
      <c r="U140" s="82"/>
      <c r="V140" s="26"/>
      <c r="W140" s="200"/>
      <c r="X140" s="17"/>
    </row>
    <row r="141" spans="2:24" hidden="1" x14ac:dyDescent="0.25">
      <c r="B141" s="17">
        <v>139</v>
      </c>
      <c r="C141" s="10"/>
      <c r="D141" s="10"/>
      <c r="E141" s="72"/>
      <c r="F141" s="18"/>
      <c r="G141" s="10"/>
      <c r="H141" s="10"/>
      <c r="I141" s="10"/>
      <c r="J141" s="11"/>
      <c r="K141" s="11">
        <f t="shared" si="197"/>
        <v>0</v>
      </c>
      <c r="L141" s="37">
        <f t="shared" si="198"/>
        <v>0</v>
      </c>
      <c r="M141" s="11"/>
      <c r="N141" s="10"/>
      <c r="O141" s="21"/>
      <c r="P141" s="21"/>
      <c r="Q141" s="21"/>
      <c r="R141" s="23"/>
      <c r="S141" s="50"/>
      <c r="T141" s="48"/>
      <c r="U141" s="82"/>
      <c r="V141" s="26"/>
      <c r="W141" s="200"/>
      <c r="X141" s="17"/>
    </row>
    <row r="142" spans="2:24" hidden="1" x14ac:dyDescent="0.25">
      <c r="B142" s="17">
        <v>140</v>
      </c>
      <c r="C142" s="10"/>
      <c r="D142" s="10"/>
      <c r="E142" s="72"/>
      <c r="F142" s="18"/>
      <c r="G142" s="10"/>
      <c r="H142" s="10"/>
      <c r="I142" s="10"/>
      <c r="J142" s="11"/>
      <c r="K142" s="11">
        <f t="shared" si="197"/>
        <v>0</v>
      </c>
      <c r="L142" s="37">
        <f t="shared" si="198"/>
        <v>0</v>
      </c>
      <c r="M142" s="11"/>
      <c r="N142" s="10"/>
      <c r="O142" s="21"/>
      <c r="P142" s="21"/>
      <c r="Q142" s="21"/>
      <c r="R142" s="23"/>
      <c r="S142" s="50"/>
      <c r="T142" s="48"/>
      <c r="U142" s="82"/>
      <c r="V142" s="32"/>
      <c r="W142" s="200"/>
      <c r="X142" s="17"/>
    </row>
    <row r="143" spans="2:24" hidden="1" x14ac:dyDescent="0.25">
      <c r="B143" s="17">
        <v>141</v>
      </c>
      <c r="C143" s="10"/>
      <c r="D143" s="10"/>
      <c r="E143" s="72"/>
      <c r="F143" s="18"/>
      <c r="G143" s="10"/>
      <c r="H143" s="10"/>
      <c r="I143" s="10"/>
      <c r="J143" s="11"/>
      <c r="K143" s="11">
        <f t="shared" si="197"/>
        <v>0</v>
      </c>
      <c r="L143" s="37">
        <f t="shared" si="198"/>
        <v>0</v>
      </c>
      <c r="M143" s="11"/>
      <c r="N143" s="10"/>
      <c r="O143" s="21"/>
      <c r="P143" s="21"/>
      <c r="Q143" s="21"/>
      <c r="R143" s="23"/>
      <c r="S143" s="50"/>
      <c r="T143" s="48"/>
      <c r="U143" s="82"/>
      <c r="V143" s="32"/>
      <c r="W143" s="200"/>
      <c r="X143" s="17"/>
    </row>
    <row r="144" spans="2:24" hidden="1" x14ac:dyDescent="0.25">
      <c r="B144" s="17">
        <v>142</v>
      </c>
      <c r="C144" s="10"/>
      <c r="D144" s="10"/>
      <c r="E144" s="72"/>
      <c r="F144" s="18"/>
      <c r="G144" s="10"/>
      <c r="H144" s="10"/>
      <c r="I144" s="10"/>
      <c r="J144" s="11"/>
      <c r="K144" s="11">
        <f t="shared" si="197"/>
        <v>0</v>
      </c>
      <c r="L144" s="37">
        <f t="shared" si="198"/>
        <v>0</v>
      </c>
      <c r="M144" s="11"/>
      <c r="N144" s="10"/>
      <c r="O144" s="21"/>
      <c r="P144" s="21"/>
      <c r="Q144" s="21"/>
      <c r="R144" s="23"/>
      <c r="S144" s="50"/>
      <c r="T144" s="48"/>
      <c r="U144" s="82"/>
      <c r="V144" s="26"/>
      <c r="W144" s="200"/>
      <c r="X144" s="17"/>
    </row>
    <row r="145" spans="2:24" hidden="1" x14ac:dyDescent="0.25">
      <c r="B145" s="17">
        <v>143</v>
      </c>
      <c r="C145" s="10"/>
      <c r="D145" s="10"/>
      <c r="E145" s="72"/>
      <c r="F145" s="18"/>
      <c r="G145" s="10"/>
      <c r="H145" s="10"/>
      <c r="I145" s="10"/>
      <c r="J145" s="11"/>
      <c r="K145" s="11">
        <f t="shared" si="197"/>
        <v>0</v>
      </c>
      <c r="L145" s="37">
        <f t="shared" si="198"/>
        <v>0</v>
      </c>
      <c r="M145" s="11"/>
      <c r="N145" s="10"/>
      <c r="O145" s="21"/>
      <c r="P145" s="21"/>
      <c r="Q145" s="21"/>
      <c r="R145" s="23"/>
      <c r="S145" s="50"/>
      <c r="T145" s="48"/>
      <c r="U145" s="82"/>
      <c r="V145" s="26"/>
      <c r="W145" s="200"/>
      <c r="X145" s="17"/>
    </row>
    <row r="146" spans="2:24" hidden="1" x14ac:dyDescent="0.25">
      <c r="B146" s="17">
        <v>144</v>
      </c>
      <c r="C146" s="10"/>
      <c r="D146" s="10"/>
      <c r="E146" s="72"/>
      <c r="F146" s="18"/>
      <c r="G146" s="10"/>
      <c r="H146" s="10"/>
      <c r="I146" s="10"/>
      <c r="J146" s="11"/>
      <c r="K146" s="11">
        <f t="shared" si="197"/>
        <v>0</v>
      </c>
      <c r="L146" s="37">
        <f t="shared" si="198"/>
        <v>0</v>
      </c>
      <c r="M146" s="11"/>
      <c r="N146" s="10"/>
      <c r="O146" s="21"/>
      <c r="P146" s="21"/>
      <c r="Q146" s="21"/>
      <c r="R146" s="23"/>
      <c r="S146" s="50"/>
      <c r="T146" s="48"/>
      <c r="U146" s="82"/>
      <c r="V146" s="26"/>
      <c r="W146" s="200"/>
      <c r="X146" s="17"/>
    </row>
    <row r="147" spans="2:24" hidden="1" x14ac:dyDescent="0.25">
      <c r="B147" s="17">
        <v>145</v>
      </c>
      <c r="C147" s="10"/>
      <c r="D147" s="10"/>
      <c r="E147" s="72"/>
      <c r="F147" s="18"/>
      <c r="G147" s="10"/>
      <c r="H147" s="10"/>
      <c r="I147" s="10"/>
      <c r="J147" s="11"/>
      <c r="K147" s="11">
        <f t="shared" si="197"/>
        <v>0</v>
      </c>
      <c r="L147" s="37">
        <f t="shared" si="198"/>
        <v>0</v>
      </c>
      <c r="M147" s="11"/>
      <c r="N147" s="10"/>
      <c r="O147" s="21"/>
      <c r="P147" s="21"/>
      <c r="Q147" s="21"/>
      <c r="R147" s="23"/>
      <c r="S147" s="50"/>
      <c r="T147" s="48"/>
      <c r="U147" s="82"/>
      <c r="V147" s="26"/>
      <c r="W147" s="200"/>
      <c r="X147" s="17"/>
    </row>
    <row r="148" spans="2:24" hidden="1" x14ac:dyDescent="0.25">
      <c r="B148" s="17">
        <v>146</v>
      </c>
      <c r="C148" s="10"/>
      <c r="D148" s="10"/>
      <c r="E148" s="72"/>
      <c r="F148" s="18"/>
      <c r="G148" s="10"/>
      <c r="H148" s="10"/>
      <c r="I148" s="10"/>
      <c r="J148" s="11"/>
      <c r="K148" s="11">
        <f t="shared" si="197"/>
        <v>0</v>
      </c>
      <c r="L148" s="37">
        <f t="shared" si="198"/>
        <v>0</v>
      </c>
      <c r="M148" s="11"/>
      <c r="N148" s="10"/>
      <c r="O148" s="21"/>
      <c r="P148" s="21"/>
      <c r="Q148" s="21"/>
      <c r="R148" s="23"/>
      <c r="S148" s="50"/>
      <c r="T148" s="48"/>
      <c r="U148" s="82"/>
      <c r="V148" s="32"/>
      <c r="W148" s="200"/>
      <c r="X148" s="17"/>
    </row>
    <row r="149" spans="2:24" hidden="1" x14ac:dyDescent="0.25">
      <c r="B149" s="17">
        <v>147</v>
      </c>
      <c r="C149" s="10"/>
      <c r="D149" s="10"/>
      <c r="E149" s="72"/>
      <c r="F149" s="18"/>
      <c r="G149" s="10"/>
      <c r="H149" s="10"/>
      <c r="I149" s="10"/>
      <c r="J149" s="11"/>
      <c r="K149" s="11">
        <f t="shared" si="197"/>
        <v>0</v>
      </c>
      <c r="L149" s="37">
        <f t="shared" si="198"/>
        <v>0</v>
      </c>
      <c r="M149" s="11"/>
      <c r="N149" s="10"/>
      <c r="O149" s="21"/>
      <c r="P149" s="21"/>
      <c r="Q149" s="21"/>
      <c r="R149" s="23"/>
      <c r="S149" s="50"/>
      <c r="T149" s="48"/>
      <c r="U149" s="82"/>
      <c r="V149" s="32"/>
      <c r="W149" s="200"/>
      <c r="X149" s="17"/>
    </row>
    <row r="150" spans="2:24" hidden="1" x14ac:dyDescent="0.25">
      <c r="B150" s="17">
        <v>148</v>
      </c>
      <c r="C150" s="10"/>
      <c r="D150" s="10"/>
      <c r="E150" s="72"/>
      <c r="F150" s="18"/>
      <c r="G150" s="10"/>
      <c r="H150" s="10"/>
      <c r="I150" s="10"/>
      <c r="J150" s="11"/>
      <c r="K150" s="11">
        <f t="shared" si="197"/>
        <v>0</v>
      </c>
      <c r="L150" s="37">
        <f t="shared" si="198"/>
        <v>0</v>
      </c>
      <c r="M150" s="11"/>
      <c r="N150" s="10"/>
      <c r="O150" s="21"/>
      <c r="P150" s="21"/>
      <c r="Q150" s="21"/>
      <c r="R150" s="23"/>
      <c r="S150" s="50"/>
      <c r="T150" s="48"/>
      <c r="U150" s="82"/>
      <c r="V150" s="26"/>
      <c r="W150" s="200"/>
      <c r="X150" s="17"/>
    </row>
    <row r="151" spans="2:24" hidden="1" x14ac:dyDescent="0.25">
      <c r="B151" s="17">
        <v>149</v>
      </c>
      <c r="C151" s="10"/>
      <c r="D151" s="10"/>
      <c r="E151" s="72"/>
      <c r="F151" s="18"/>
      <c r="G151" s="10"/>
      <c r="H151" s="10"/>
      <c r="I151" s="10"/>
      <c r="J151" s="11"/>
      <c r="K151" s="11">
        <f t="shared" si="197"/>
        <v>0</v>
      </c>
      <c r="L151" s="37">
        <f t="shared" si="198"/>
        <v>0</v>
      </c>
      <c r="M151" s="11"/>
      <c r="N151" s="10"/>
      <c r="O151" s="21"/>
      <c r="P151" s="21"/>
      <c r="Q151" s="21"/>
      <c r="R151" s="23"/>
      <c r="S151" s="50"/>
      <c r="T151" s="48"/>
      <c r="U151" s="82"/>
      <c r="V151" s="26"/>
      <c r="W151" s="200"/>
      <c r="X151" s="17"/>
    </row>
    <row r="152" spans="2:24" hidden="1" x14ac:dyDescent="0.25">
      <c r="B152" s="17">
        <v>150</v>
      </c>
      <c r="C152" s="10"/>
      <c r="D152" s="10"/>
      <c r="E152" s="72"/>
      <c r="F152" s="18"/>
      <c r="G152" s="10"/>
      <c r="H152" s="10"/>
      <c r="I152" s="10"/>
      <c r="J152" s="11"/>
      <c r="K152" s="11">
        <f t="shared" si="197"/>
        <v>0</v>
      </c>
      <c r="L152" s="37">
        <f t="shared" si="198"/>
        <v>0</v>
      </c>
      <c r="M152" s="11"/>
      <c r="N152" s="10"/>
      <c r="O152" s="21"/>
      <c r="P152" s="21"/>
      <c r="Q152" s="21"/>
      <c r="R152" s="23"/>
      <c r="S152" s="50"/>
      <c r="T152" s="48"/>
      <c r="U152" s="82"/>
      <c r="V152" s="26"/>
      <c r="W152" s="200"/>
      <c r="X152" s="17"/>
    </row>
    <row r="153" spans="2:24" hidden="1" x14ac:dyDescent="0.25">
      <c r="B153" s="17">
        <v>151</v>
      </c>
      <c r="C153" s="10"/>
      <c r="D153" s="10"/>
      <c r="E153" s="72"/>
      <c r="F153" s="18"/>
      <c r="G153" s="10"/>
      <c r="H153" s="10"/>
      <c r="I153" s="10"/>
      <c r="J153" s="11"/>
      <c r="K153" s="11">
        <f t="shared" si="197"/>
        <v>0</v>
      </c>
      <c r="L153" s="37">
        <f t="shared" si="198"/>
        <v>0</v>
      </c>
      <c r="M153" s="11"/>
      <c r="N153" s="10"/>
      <c r="O153" s="21"/>
      <c r="P153" s="21"/>
      <c r="Q153" s="21"/>
      <c r="R153" s="23"/>
      <c r="S153" s="50"/>
      <c r="T153" s="48"/>
      <c r="U153" s="82"/>
      <c r="V153" s="26"/>
      <c r="W153" s="200"/>
      <c r="X153" s="17"/>
    </row>
    <row r="154" spans="2:24" hidden="1" x14ac:dyDescent="0.25">
      <c r="B154" s="17">
        <v>152</v>
      </c>
      <c r="C154" s="10"/>
      <c r="D154" s="10"/>
      <c r="E154" s="72"/>
      <c r="F154" s="18"/>
      <c r="G154" s="10"/>
      <c r="H154" s="10"/>
      <c r="I154" s="10"/>
      <c r="J154" s="11"/>
      <c r="K154" s="11">
        <f t="shared" si="197"/>
        <v>0</v>
      </c>
      <c r="L154" s="37">
        <f t="shared" si="198"/>
        <v>0</v>
      </c>
      <c r="M154" s="11"/>
      <c r="N154" s="10"/>
      <c r="O154" s="21"/>
      <c r="P154" s="21"/>
      <c r="Q154" s="21"/>
      <c r="R154" s="23"/>
      <c r="S154" s="50"/>
      <c r="T154" s="48"/>
      <c r="U154" s="82"/>
      <c r="V154" s="26"/>
      <c r="W154" s="200"/>
      <c r="X154" s="17"/>
    </row>
    <row r="155" spans="2:24" hidden="1" x14ac:dyDescent="0.25">
      <c r="B155" s="17">
        <v>153</v>
      </c>
      <c r="C155" s="10"/>
      <c r="D155" s="10"/>
      <c r="E155" s="72"/>
      <c r="F155" s="18"/>
      <c r="G155" s="10"/>
      <c r="H155" s="10"/>
      <c r="I155" s="10"/>
      <c r="J155" s="11"/>
      <c r="K155" s="11">
        <f t="shared" si="197"/>
        <v>0</v>
      </c>
      <c r="L155" s="37">
        <f t="shared" si="198"/>
        <v>0</v>
      </c>
      <c r="M155" s="11"/>
      <c r="N155" s="10"/>
      <c r="O155" s="21"/>
      <c r="P155" s="21"/>
      <c r="Q155" s="21"/>
      <c r="R155" s="23"/>
      <c r="S155" s="50"/>
      <c r="T155" s="48"/>
      <c r="U155" s="82"/>
      <c r="V155" s="32"/>
      <c r="W155" s="200"/>
      <c r="X155" s="17"/>
    </row>
    <row r="156" spans="2:24" hidden="1" x14ac:dyDescent="0.25">
      <c r="B156" s="17">
        <v>154</v>
      </c>
      <c r="C156" s="10"/>
      <c r="D156" s="10"/>
      <c r="E156" s="72"/>
      <c r="F156" s="18"/>
      <c r="G156" s="10"/>
      <c r="H156" s="10"/>
      <c r="I156" s="10"/>
      <c r="J156" s="11"/>
      <c r="K156" s="11">
        <f t="shared" si="197"/>
        <v>0</v>
      </c>
      <c r="L156" s="37">
        <f t="shared" si="198"/>
        <v>0</v>
      </c>
      <c r="M156" s="11"/>
      <c r="N156" s="10"/>
      <c r="O156" s="21"/>
      <c r="P156" s="21"/>
      <c r="Q156" s="21"/>
      <c r="R156" s="23"/>
      <c r="S156" s="50"/>
      <c r="T156" s="48"/>
      <c r="U156" s="82"/>
      <c r="V156" s="32"/>
      <c r="W156" s="200"/>
      <c r="X156" s="17"/>
    </row>
    <row r="157" spans="2:24" hidden="1" x14ac:dyDescent="0.25">
      <c r="B157" s="17">
        <v>155</v>
      </c>
      <c r="C157" s="10"/>
      <c r="D157" s="10"/>
      <c r="E157" s="72"/>
      <c r="F157" s="18"/>
      <c r="G157" s="10"/>
      <c r="H157" s="10"/>
      <c r="I157" s="10"/>
      <c r="J157" s="11"/>
      <c r="K157" s="11">
        <f t="shared" si="197"/>
        <v>0</v>
      </c>
      <c r="L157" s="37">
        <f t="shared" si="198"/>
        <v>0</v>
      </c>
      <c r="M157" s="11"/>
      <c r="N157" s="10"/>
      <c r="O157" s="21"/>
      <c r="P157" s="21"/>
      <c r="Q157" s="21"/>
      <c r="R157" s="23"/>
      <c r="S157" s="50"/>
      <c r="T157" s="48"/>
      <c r="U157" s="82"/>
      <c r="V157" s="26"/>
      <c r="W157" s="200"/>
      <c r="X157" s="17"/>
    </row>
    <row r="158" spans="2:24" hidden="1" x14ac:dyDescent="0.25">
      <c r="B158" s="17">
        <v>156</v>
      </c>
      <c r="C158" s="10"/>
      <c r="D158" s="10"/>
      <c r="E158" s="72"/>
      <c r="F158" s="18"/>
      <c r="G158" s="10"/>
      <c r="H158" s="10"/>
      <c r="I158" s="10"/>
      <c r="J158" s="11"/>
      <c r="K158" s="11">
        <f t="shared" si="197"/>
        <v>0</v>
      </c>
      <c r="L158" s="37">
        <f t="shared" si="198"/>
        <v>0</v>
      </c>
      <c r="M158" s="11"/>
      <c r="N158" s="10"/>
      <c r="O158" s="21"/>
      <c r="P158" s="21"/>
      <c r="Q158" s="21"/>
      <c r="R158" s="23"/>
      <c r="S158" s="50"/>
      <c r="T158" s="48"/>
      <c r="U158" s="82"/>
      <c r="V158" s="26"/>
      <c r="W158" s="200"/>
      <c r="X158" s="17"/>
    </row>
    <row r="159" spans="2:24" hidden="1" x14ac:dyDescent="0.25">
      <c r="B159" s="17">
        <v>157</v>
      </c>
      <c r="C159" s="10"/>
      <c r="D159" s="10"/>
      <c r="E159" s="72"/>
      <c r="F159" s="18"/>
      <c r="G159" s="10"/>
      <c r="H159" s="10"/>
      <c r="I159" s="10"/>
      <c r="J159" s="11"/>
      <c r="K159" s="11">
        <f t="shared" si="197"/>
        <v>0</v>
      </c>
      <c r="L159" s="37">
        <f t="shared" si="198"/>
        <v>0</v>
      </c>
      <c r="M159" s="11"/>
      <c r="N159" s="10"/>
      <c r="O159" s="21"/>
      <c r="P159" s="21"/>
      <c r="Q159" s="21"/>
      <c r="R159" s="23"/>
      <c r="S159" s="50"/>
      <c r="T159" s="48"/>
      <c r="U159" s="82"/>
      <c r="V159" s="26"/>
      <c r="W159" s="200"/>
      <c r="X159" s="17"/>
    </row>
    <row r="160" spans="2:24" hidden="1" x14ac:dyDescent="0.25">
      <c r="B160" s="17">
        <v>158</v>
      </c>
      <c r="C160" s="10"/>
      <c r="D160" s="10"/>
      <c r="E160" s="72"/>
      <c r="F160" s="18"/>
      <c r="G160" s="10"/>
      <c r="H160" s="10"/>
      <c r="I160" s="10"/>
      <c r="J160" s="11"/>
      <c r="K160" s="11">
        <f t="shared" si="197"/>
        <v>0</v>
      </c>
      <c r="L160" s="37">
        <f t="shared" si="198"/>
        <v>0</v>
      </c>
      <c r="M160" s="11"/>
      <c r="N160" s="10"/>
      <c r="O160" s="21"/>
      <c r="P160" s="21"/>
      <c r="Q160" s="21"/>
      <c r="R160" s="23"/>
      <c r="S160" s="50"/>
      <c r="T160" s="48"/>
      <c r="U160" s="82"/>
      <c r="V160" s="26"/>
      <c r="W160" s="200"/>
      <c r="X160" s="17"/>
    </row>
    <row r="161" spans="2:24" hidden="1" x14ac:dyDescent="0.25">
      <c r="B161" s="17">
        <v>159</v>
      </c>
      <c r="C161" s="10"/>
      <c r="D161" s="10"/>
      <c r="E161" s="72"/>
      <c r="F161" s="18"/>
      <c r="G161" s="10"/>
      <c r="H161" s="10"/>
      <c r="I161" s="10"/>
      <c r="J161" s="11"/>
      <c r="K161" s="11">
        <f t="shared" si="197"/>
        <v>0</v>
      </c>
      <c r="L161" s="37">
        <f t="shared" si="198"/>
        <v>0</v>
      </c>
      <c r="M161" s="11"/>
      <c r="N161" s="10"/>
      <c r="O161" s="21"/>
      <c r="P161" s="21"/>
      <c r="Q161" s="21"/>
      <c r="R161" s="23"/>
      <c r="S161" s="50"/>
      <c r="T161" s="48"/>
      <c r="U161" s="82"/>
      <c r="V161" s="26"/>
      <c r="W161" s="200"/>
      <c r="X161" s="17"/>
    </row>
    <row r="162" spans="2:24" hidden="1" x14ac:dyDescent="0.25">
      <c r="B162" s="17">
        <v>160</v>
      </c>
      <c r="C162" s="10"/>
      <c r="D162" s="10"/>
      <c r="E162" s="72"/>
      <c r="F162" s="18"/>
      <c r="G162" s="10"/>
      <c r="H162" s="10"/>
      <c r="I162" s="10"/>
      <c r="J162" s="11"/>
      <c r="K162" s="11">
        <f t="shared" si="197"/>
        <v>0</v>
      </c>
      <c r="L162" s="37">
        <f t="shared" si="198"/>
        <v>0</v>
      </c>
      <c r="M162" s="11"/>
      <c r="N162" s="10"/>
      <c r="O162" s="21"/>
      <c r="P162" s="21"/>
      <c r="Q162" s="21"/>
      <c r="R162" s="23"/>
      <c r="S162" s="50"/>
      <c r="T162" s="48"/>
      <c r="U162" s="82"/>
      <c r="V162" s="32"/>
      <c r="W162" s="200"/>
      <c r="X162" s="17"/>
    </row>
    <row r="163" spans="2:24" hidden="1" x14ac:dyDescent="0.25">
      <c r="B163" s="17">
        <v>161</v>
      </c>
      <c r="C163" s="10"/>
      <c r="D163" s="10"/>
      <c r="E163" s="72"/>
      <c r="F163" s="18"/>
      <c r="G163" s="10"/>
      <c r="H163" s="10"/>
      <c r="I163" s="10"/>
      <c r="J163" s="11"/>
      <c r="K163" s="11">
        <f t="shared" si="197"/>
        <v>0</v>
      </c>
      <c r="L163" s="37">
        <f t="shared" si="198"/>
        <v>0</v>
      </c>
      <c r="M163" s="11"/>
      <c r="N163" s="10"/>
      <c r="O163" s="21"/>
      <c r="P163" s="21"/>
      <c r="Q163" s="21"/>
      <c r="R163" s="23"/>
      <c r="S163" s="50"/>
      <c r="T163" s="48"/>
      <c r="U163" s="82"/>
      <c r="V163" s="32"/>
      <c r="W163" s="200"/>
      <c r="X163" s="17"/>
    </row>
    <row r="164" spans="2:24" hidden="1" x14ac:dyDescent="0.25">
      <c r="B164" s="17">
        <v>162</v>
      </c>
      <c r="C164" s="10"/>
      <c r="D164" s="10"/>
      <c r="E164" s="72"/>
      <c r="F164" s="18"/>
      <c r="G164" s="10"/>
      <c r="H164" s="10"/>
      <c r="I164" s="10"/>
      <c r="J164" s="11"/>
      <c r="K164" s="11">
        <f t="shared" si="197"/>
        <v>0</v>
      </c>
      <c r="L164" s="37">
        <f t="shared" si="198"/>
        <v>0</v>
      </c>
      <c r="M164" s="11"/>
      <c r="N164" s="10"/>
      <c r="O164" s="21"/>
      <c r="P164" s="21"/>
      <c r="Q164" s="21"/>
      <c r="R164" s="23"/>
      <c r="S164" s="50"/>
      <c r="T164" s="48"/>
      <c r="U164" s="82"/>
      <c r="V164" s="32"/>
      <c r="W164" s="200"/>
      <c r="X164" s="17"/>
    </row>
    <row r="165" spans="2:24" hidden="1" x14ac:dyDescent="0.25">
      <c r="B165" s="17">
        <v>163</v>
      </c>
      <c r="C165" s="10"/>
      <c r="D165" s="10"/>
      <c r="E165" s="72"/>
      <c r="F165" s="18"/>
      <c r="G165" s="10"/>
      <c r="H165" s="10"/>
      <c r="I165" s="10"/>
      <c r="J165" s="11"/>
      <c r="K165" s="11">
        <f t="shared" si="197"/>
        <v>0</v>
      </c>
      <c r="L165" s="37">
        <f t="shared" si="198"/>
        <v>0</v>
      </c>
      <c r="M165" s="11"/>
      <c r="N165" s="10"/>
      <c r="O165" s="21"/>
      <c r="P165" s="21"/>
      <c r="Q165" s="21"/>
      <c r="R165" s="23"/>
      <c r="S165" s="50"/>
      <c r="T165" s="48"/>
      <c r="U165" s="82"/>
      <c r="V165" s="32"/>
      <c r="W165" s="200"/>
      <c r="X165" s="17"/>
    </row>
    <row r="166" spans="2:24" hidden="1" x14ac:dyDescent="0.25">
      <c r="B166" s="17">
        <v>164</v>
      </c>
      <c r="C166" s="10"/>
      <c r="D166" s="10"/>
      <c r="E166" s="72"/>
      <c r="F166" s="18"/>
      <c r="G166" s="10"/>
      <c r="H166" s="10"/>
      <c r="I166" s="10"/>
      <c r="J166" s="11"/>
      <c r="K166" s="11">
        <f t="shared" si="197"/>
        <v>0</v>
      </c>
      <c r="L166" s="37">
        <f t="shared" si="198"/>
        <v>0</v>
      </c>
      <c r="M166" s="11"/>
      <c r="N166" s="10"/>
      <c r="O166" s="21"/>
      <c r="P166" s="21"/>
      <c r="Q166" s="21"/>
      <c r="R166" s="23"/>
      <c r="S166" s="50"/>
      <c r="T166" s="48"/>
      <c r="U166" s="82"/>
      <c r="V166" s="26"/>
      <c r="W166" s="200"/>
      <c r="X166" s="17"/>
    </row>
    <row r="167" spans="2:24" hidden="1" x14ac:dyDescent="0.25">
      <c r="B167" s="17">
        <v>165</v>
      </c>
      <c r="C167" s="10"/>
      <c r="D167" s="10"/>
      <c r="E167" s="72"/>
      <c r="F167" s="18"/>
      <c r="G167" s="10"/>
      <c r="H167" s="10"/>
      <c r="I167" s="10"/>
      <c r="J167" s="11"/>
      <c r="K167" s="11">
        <f t="shared" si="197"/>
        <v>0</v>
      </c>
      <c r="L167" s="37">
        <f t="shared" si="198"/>
        <v>0</v>
      </c>
      <c r="M167" s="11"/>
      <c r="N167" s="10"/>
      <c r="O167" s="21"/>
      <c r="P167" s="21"/>
      <c r="Q167" s="21"/>
      <c r="R167" s="23"/>
      <c r="S167" s="50"/>
      <c r="T167" s="48"/>
      <c r="U167" s="82"/>
      <c r="V167" s="26"/>
      <c r="W167" s="200"/>
      <c r="X167" s="17"/>
    </row>
    <row r="168" spans="2:24" hidden="1" x14ac:dyDescent="0.25">
      <c r="B168" s="17">
        <v>166</v>
      </c>
      <c r="C168" s="10"/>
      <c r="D168" s="10"/>
      <c r="E168" s="72"/>
      <c r="F168" s="18"/>
      <c r="G168" s="10"/>
      <c r="H168" s="10"/>
      <c r="I168" s="10"/>
      <c r="J168" s="11"/>
      <c r="K168" s="11">
        <f t="shared" si="197"/>
        <v>0</v>
      </c>
      <c r="L168" s="37">
        <f t="shared" si="198"/>
        <v>0</v>
      </c>
      <c r="M168" s="11"/>
      <c r="N168" s="10"/>
      <c r="O168" s="21"/>
      <c r="P168" s="21"/>
      <c r="Q168" s="21"/>
      <c r="R168" s="23"/>
      <c r="S168" s="50"/>
      <c r="T168" s="48"/>
      <c r="U168" s="82"/>
      <c r="V168" s="26"/>
      <c r="W168" s="200"/>
      <c r="X168" s="17"/>
    </row>
    <row r="169" spans="2:24" hidden="1" x14ac:dyDescent="0.25">
      <c r="B169" s="17">
        <v>167</v>
      </c>
      <c r="C169" s="10"/>
      <c r="D169" s="10"/>
      <c r="E169" s="72"/>
      <c r="F169" s="18"/>
      <c r="G169" s="10"/>
      <c r="H169" s="10"/>
      <c r="I169" s="10"/>
      <c r="J169" s="11"/>
      <c r="K169" s="11">
        <f t="shared" si="197"/>
        <v>0</v>
      </c>
      <c r="L169" s="37">
        <f t="shared" si="198"/>
        <v>0</v>
      </c>
      <c r="M169" s="11"/>
      <c r="N169" s="10"/>
      <c r="O169" s="21"/>
      <c r="P169" s="21"/>
      <c r="Q169" s="21"/>
      <c r="R169" s="23"/>
      <c r="S169" s="50"/>
      <c r="T169" s="48"/>
      <c r="U169" s="82"/>
      <c r="V169" s="26"/>
      <c r="W169" s="200"/>
      <c r="X169" s="17"/>
    </row>
    <row r="170" spans="2:24" hidden="1" x14ac:dyDescent="0.25">
      <c r="B170" s="17">
        <v>168</v>
      </c>
      <c r="C170" s="10"/>
      <c r="D170" s="10"/>
      <c r="E170" s="72"/>
      <c r="F170" s="18"/>
      <c r="G170" s="10"/>
      <c r="H170" s="10"/>
      <c r="I170" s="10"/>
      <c r="J170" s="11"/>
      <c r="K170" s="11">
        <f t="shared" si="197"/>
        <v>0</v>
      </c>
      <c r="L170" s="37">
        <f t="shared" si="198"/>
        <v>0</v>
      </c>
      <c r="M170" s="11"/>
      <c r="N170" s="10"/>
      <c r="O170" s="21"/>
      <c r="P170" s="21"/>
      <c r="Q170" s="21"/>
      <c r="R170" s="23"/>
      <c r="S170" s="50"/>
      <c r="T170" s="48"/>
      <c r="U170" s="82"/>
      <c r="V170" s="32"/>
      <c r="W170" s="200"/>
      <c r="X170" s="17"/>
    </row>
    <row r="171" spans="2:24" hidden="1" x14ac:dyDescent="0.25">
      <c r="B171" s="17">
        <v>169</v>
      </c>
      <c r="C171" s="10"/>
      <c r="D171" s="10"/>
      <c r="E171" s="72"/>
      <c r="F171" s="18"/>
      <c r="G171" s="10"/>
      <c r="H171" s="10"/>
      <c r="I171" s="10"/>
      <c r="J171" s="11"/>
      <c r="K171" s="11">
        <f t="shared" si="197"/>
        <v>0</v>
      </c>
      <c r="L171" s="37">
        <f t="shared" si="198"/>
        <v>0</v>
      </c>
      <c r="M171" s="11"/>
      <c r="N171" s="10"/>
      <c r="O171" s="21"/>
      <c r="P171" s="21"/>
      <c r="Q171" s="21"/>
      <c r="R171" s="23"/>
      <c r="S171" s="50"/>
      <c r="T171" s="48"/>
      <c r="U171" s="82"/>
      <c r="V171" s="32"/>
      <c r="W171" s="200"/>
      <c r="X171" s="17"/>
    </row>
    <row r="172" spans="2:24" hidden="1" x14ac:dyDescent="0.25">
      <c r="B172" s="17">
        <v>170</v>
      </c>
      <c r="C172" s="10"/>
      <c r="D172" s="10"/>
      <c r="E172" s="72"/>
      <c r="F172" s="18"/>
      <c r="G172" s="10"/>
      <c r="H172" s="10"/>
      <c r="I172" s="10"/>
      <c r="J172" s="11"/>
      <c r="K172" s="11">
        <f t="shared" si="197"/>
        <v>0</v>
      </c>
      <c r="L172" s="37">
        <f t="shared" si="198"/>
        <v>0</v>
      </c>
      <c r="M172" s="11"/>
      <c r="N172" s="10"/>
      <c r="O172" s="21"/>
      <c r="P172" s="21"/>
      <c r="Q172" s="21"/>
      <c r="R172" s="23"/>
      <c r="S172" s="50"/>
      <c r="T172" s="48"/>
      <c r="U172" s="82"/>
      <c r="V172" s="26"/>
      <c r="W172" s="200"/>
      <c r="X172" s="17"/>
    </row>
    <row r="173" spans="2:24" hidden="1" x14ac:dyDescent="0.25">
      <c r="B173" s="17">
        <v>171</v>
      </c>
      <c r="C173" s="10"/>
      <c r="D173" s="10"/>
      <c r="E173" s="72"/>
      <c r="F173" s="18"/>
      <c r="G173" s="10"/>
      <c r="H173" s="10"/>
      <c r="I173" s="10"/>
      <c r="J173" s="11"/>
      <c r="K173" s="11">
        <f t="shared" si="197"/>
        <v>0</v>
      </c>
      <c r="L173" s="37">
        <f t="shared" si="198"/>
        <v>0</v>
      </c>
      <c r="M173" s="11"/>
      <c r="N173" s="10"/>
      <c r="O173" s="21"/>
      <c r="P173" s="21"/>
      <c r="Q173" s="21"/>
      <c r="R173" s="23"/>
      <c r="S173" s="50"/>
      <c r="T173" s="48"/>
      <c r="U173" s="82"/>
      <c r="V173" s="26"/>
      <c r="W173" s="200"/>
      <c r="X173" s="17"/>
    </row>
    <row r="174" spans="2:24" hidden="1" x14ac:dyDescent="0.25">
      <c r="B174" s="17">
        <v>172</v>
      </c>
      <c r="C174" s="10"/>
      <c r="D174" s="10"/>
      <c r="E174" s="72"/>
      <c r="F174" s="18"/>
      <c r="G174" s="10"/>
      <c r="H174" s="10"/>
      <c r="I174" s="10"/>
      <c r="J174" s="11"/>
      <c r="K174" s="11">
        <f t="shared" si="197"/>
        <v>0</v>
      </c>
      <c r="L174" s="37">
        <f t="shared" si="198"/>
        <v>0</v>
      </c>
      <c r="M174" s="11"/>
      <c r="N174" s="10"/>
      <c r="O174" s="21"/>
      <c r="P174" s="21"/>
      <c r="Q174" s="21"/>
      <c r="R174" s="23"/>
      <c r="S174" s="50"/>
      <c r="T174" s="48"/>
      <c r="U174" s="82"/>
      <c r="V174" s="26"/>
      <c r="W174" s="200"/>
      <c r="X174" s="17"/>
    </row>
    <row r="175" spans="2:24" hidden="1" x14ac:dyDescent="0.25">
      <c r="B175" s="17">
        <v>173</v>
      </c>
      <c r="C175" s="10"/>
      <c r="D175" s="10"/>
      <c r="E175" s="72"/>
      <c r="F175" s="18"/>
      <c r="G175" s="10"/>
      <c r="H175" s="10"/>
      <c r="I175" s="10"/>
      <c r="J175" s="11"/>
      <c r="K175" s="11">
        <f t="shared" si="197"/>
        <v>0</v>
      </c>
      <c r="L175" s="37">
        <f t="shared" si="198"/>
        <v>0</v>
      </c>
      <c r="M175" s="11"/>
      <c r="N175" s="10"/>
      <c r="O175" s="21"/>
      <c r="P175" s="21"/>
      <c r="Q175" s="21"/>
      <c r="R175" s="23"/>
      <c r="S175" s="50"/>
      <c r="T175" s="48"/>
      <c r="U175" s="82"/>
      <c r="V175" s="26"/>
      <c r="W175" s="200"/>
      <c r="X175" s="17"/>
    </row>
    <row r="176" spans="2:24" hidden="1" x14ac:dyDescent="0.25">
      <c r="B176" s="17">
        <v>174</v>
      </c>
      <c r="C176" s="10"/>
      <c r="D176" s="10"/>
      <c r="E176" s="72"/>
      <c r="F176" s="18"/>
      <c r="G176" s="10"/>
      <c r="H176" s="10"/>
      <c r="I176" s="10"/>
      <c r="J176" s="11"/>
      <c r="K176" s="11">
        <f t="shared" si="197"/>
        <v>0</v>
      </c>
      <c r="L176" s="37">
        <f t="shared" si="198"/>
        <v>0</v>
      </c>
      <c r="M176" s="11"/>
      <c r="N176" s="10"/>
      <c r="O176" s="21"/>
      <c r="P176" s="21"/>
      <c r="Q176" s="21"/>
      <c r="R176" s="23"/>
      <c r="S176" s="50"/>
      <c r="T176" s="48"/>
      <c r="U176" s="82"/>
      <c r="V176" s="26"/>
      <c r="W176" s="200"/>
      <c r="X176" s="17"/>
    </row>
    <row r="177" spans="2:24" hidden="1" x14ac:dyDescent="0.25">
      <c r="B177" s="17">
        <v>175</v>
      </c>
      <c r="C177" s="10"/>
      <c r="D177" s="10"/>
      <c r="E177" s="72"/>
      <c r="F177" s="18"/>
      <c r="G177" s="10"/>
      <c r="H177" s="10"/>
      <c r="I177" s="10"/>
      <c r="J177" s="11"/>
      <c r="K177" s="11">
        <f t="shared" si="197"/>
        <v>0</v>
      </c>
      <c r="L177" s="37">
        <f t="shared" si="198"/>
        <v>0</v>
      </c>
      <c r="M177" s="11"/>
      <c r="N177" s="10"/>
      <c r="O177" s="21"/>
      <c r="P177" s="21"/>
      <c r="Q177" s="21"/>
      <c r="R177" s="23"/>
      <c r="S177" s="50"/>
      <c r="T177" s="48"/>
      <c r="U177" s="82"/>
      <c r="V177" s="32"/>
      <c r="W177" s="200"/>
      <c r="X177" s="17"/>
    </row>
    <row r="178" spans="2:24" hidden="1" x14ac:dyDescent="0.25">
      <c r="B178" s="17">
        <v>176</v>
      </c>
      <c r="C178" s="10"/>
      <c r="D178" s="10"/>
      <c r="E178" s="72"/>
      <c r="F178" s="18"/>
      <c r="G178" s="10"/>
      <c r="H178" s="10"/>
      <c r="I178" s="10"/>
      <c r="J178" s="11"/>
      <c r="K178" s="11">
        <f t="shared" si="197"/>
        <v>0</v>
      </c>
      <c r="L178" s="37">
        <f t="shared" si="198"/>
        <v>0</v>
      </c>
      <c r="M178" s="11"/>
      <c r="N178" s="10"/>
      <c r="O178" s="21"/>
      <c r="P178" s="21"/>
      <c r="Q178" s="21"/>
      <c r="R178" s="23"/>
      <c r="S178" s="50"/>
      <c r="T178" s="48"/>
      <c r="U178" s="82"/>
      <c r="V178" s="32"/>
      <c r="W178" s="200"/>
      <c r="X178" s="17"/>
    </row>
    <row r="179" spans="2:24" hidden="1" x14ac:dyDescent="0.25">
      <c r="B179" s="17">
        <v>177</v>
      </c>
      <c r="C179" s="10"/>
      <c r="D179" s="10"/>
      <c r="E179" s="72"/>
      <c r="F179" s="18"/>
      <c r="G179" s="10"/>
      <c r="H179" s="10"/>
      <c r="I179" s="10"/>
      <c r="J179" s="11"/>
      <c r="K179" s="11">
        <f t="shared" si="197"/>
        <v>0</v>
      </c>
      <c r="L179" s="37">
        <f t="shared" si="198"/>
        <v>0</v>
      </c>
      <c r="M179" s="11"/>
      <c r="N179" s="10"/>
      <c r="O179" s="21"/>
      <c r="P179" s="21"/>
      <c r="Q179" s="21"/>
      <c r="R179" s="23"/>
      <c r="S179" s="50"/>
      <c r="T179" s="48"/>
      <c r="U179" s="82"/>
      <c r="V179" s="26"/>
      <c r="W179" s="200"/>
      <c r="X179" s="17"/>
    </row>
    <row r="180" spans="2:24" hidden="1" x14ac:dyDescent="0.25">
      <c r="B180" s="17">
        <v>178</v>
      </c>
      <c r="C180" s="10"/>
      <c r="D180" s="10"/>
      <c r="E180" s="72"/>
      <c r="F180" s="18"/>
      <c r="G180" s="10"/>
      <c r="H180" s="10"/>
      <c r="I180" s="10"/>
      <c r="J180" s="11"/>
      <c r="K180" s="11">
        <f t="shared" si="197"/>
        <v>0</v>
      </c>
      <c r="L180" s="37">
        <f t="shared" si="198"/>
        <v>0</v>
      </c>
      <c r="M180" s="11"/>
      <c r="N180" s="10"/>
      <c r="O180" s="21"/>
      <c r="P180" s="21"/>
      <c r="Q180" s="21"/>
      <c r="R180" s="23"/>
      <c r="S180" s="50"/>
      <c r="T180" s="48"/>
      <c r="U180" s="82"/>
      <c r="V180" s="26"/>
      <c r="W180" s="200"/>
      <c r="X180" s="17"/>
    </row>
    <row r="181" spans="2:24" hidden="1" x14ac:dyDescent="0.25">
      <c r="B181" s="17">
        <v>179</v>
      </c>
      <c r="C181" s="10"/>
      <c r="D181" s="10"/>
      <c r="E181" s="72"/>
      <c r="F181" s="18"/>
      <c r="G181" s="10"/>
      <c r="H181" s="10"/>
      <c r="I181" s="10"/>
      <c r="J181" s="11"/>
      <c r="K181" s="11">
        <f t="shared" si="197"/>
        <v>0</v>
      </c>
      <c r="L181" s="37">
        <f t="shared" si="198"/>
        <v>0</v>
      </c>
      <c r="M181" s="11"/>
      <c r="N181" s="10"/>
      <c r="O181" s="21"/>
      <c r="P181" s="21"/>
      <c r="Q181" s="21"/>
      <c r="R181" s="23"/>
      <c r="S181" s="50"/>
      <c r="T181" s="48"/>
      <c r="U181" s="82"/>
      <c r="V181" s="26"/>
      <c r="W181" s="200"/>
      <c r="X181" s="17"/>
    </row>
    <row r="182" spans="2:24" hidden="1" x14ac:dyDescent="0.25">
      <c r="B182" s="17">
        <v>180</v>
      </c>
      <c r="C182" s="10"/>
      <c r="D182" s="10"/>
      <c r="E182" s="72"/>
      <c r="F182" s="18"/>
      <c r="G182" s="10"/>
      <c r="H182" s="10"/>
      <c r="I182" s="10"/>
      <c r="J182" s="11"/>
      <c r="K182" s="11">
        <f t="shared" si="197"/>
        <v>0</v>
      </c>
      <c r="L182" s="37">
        <f t="shared" si="198"/>
        <v>0</v>
      </c>
      <c r="M182" s="11"/>
      <c r="N182" s="10"/>
      <c r="O182" s="21"/>
      <c r="P182" s="21"/>
      <c r="Q182" s="21"/>
      <c r="R182" s="23"/>
      <c r="S182" s="50"/>
      <c r="T182" s="48"/>
      <c r="U182" s="82"/>
      <c r="V182" s="26"/>
      <c r="W182" s="200"/>
      <c r="X182" s="17"/>
    </row>
    <row r="183" spans="2:24" hidden="1" x14ac:dyDescent="0.25">
      <c r="B183" s="17">
        <v>181</v>
      </c>
      <c r="C183" s="10"/>
      <c r="D183" s="10"/>
      <c r="E183" s="72"/>
      <c r="F183" s="18"/>
      <c r="G183" s="10"/>
      <c r="H183" s="10"/>
      <c r="I183" s="10"/>
      <c r="J183" s="11"/>
      <c r="K183" s="11">
        <f t="shared" si="197"/>
        <v>0</v>
      </c>
      <c r="L183" s="37">
        <f t="shared" si="198"/>
        <v>0</v>
      </c>
      <c r="M183" s="11"/>
      <c r="N183" s="10"/>
      <c r="O183" s="21"/>
      <c r="P183" s="21"/>
      <c r="Q183" s="21"/>
      <c r="R183" s="23"/>
      <c r="S183" s="50"/>
      <c r="T183" s="48"/>
      <c r="U183" s="82"/>
      <c r="V183" s="26"/>
      <c r="W183" s="200"/>
      <c r="X183" s="17"/>
    </row>
    <row r="184" spans="2:24" hidden="1" x14ac:dyDescent="0.25">
      <c r="B184" s="17">
        <v>182</v>
      </c>
      <c r="C184" s="10"/>
      <c r="D184" s="10"/>
      <c r="E184" s="72"/>
      <c r="F184" s="18"/>
      <c r="G184" s="10"/>
      <c r="H184" s="10"/>
      <c r="I184" s="10"/>
      <c r="J184" s="11"/>
      <c r="K184" s="11">
        <f t="shared" si="197"/>
        <v>0</v>
      </c>
      <c r="L184" s="37">
        <f t="shared" si="198"/>
        <v>0</v>
      </c>
      <c r="M184" s="11"/>
      <c r="N184" s="10"/>
      <c r="O184" s="21"/>
      <c r="P184" s="21"/>
      <c r="Q184" s="21"/>
      <c r="R184" s="23"/>
      <c r="S184" s="50"/>
      <c r="T184" s="48"/>
      <c r="U184" s="82"/>
      <c r="V184" s="32"/>
      <c r="W184" s="200"/>
      <c r="X184" s="17"/>
    </row>
    <row r="185" spans="2:24" hidden="1" x14ac:dyDescent="0.25">
      <c r="B185" s="17">
        <v>183</v>
      </c>
      <c r="C185" s="10"/>
      <c r="D185" s="10"/>
      <c r="E185" s="72"/>
      <c r="F185" s="18"/>
      <c r="G185" s="10"/>
      <c r="H185" s="10"/>
      <c r="I185" s="10"/>
      <c r="J185" s="11"/>
      <c r="K185" s="11">
        <f t="shared" si="197"/>
        <v>0</v>
      </c>
      <c r="L185" s="37">
        <f t="shared" si="198"/>
        <v>0</v>
      </c>
      <c r="M185" s="11"/>
      <c r="N185" s="10"/>
      <c r="O185" s="21"/>
      <c r="P185" s="21"/>
      <c r="Q185" s="21"/>
      <c r="R185" s="23"/>
      <c r="S185" s="50"/>
      <c r="T185" s="48"/>
      <c r="U185" s="82"/>
      <c r="V185" s="32"/>
      <c r="W185" s="200"/>
      <c r="X185" s="17"/>
    </row>
    <row r="186" spans="2:24" hidden="1" x14ac:dyDescent="0.25">
      <c r="B186" s="17">
        <v>184</v>
      </c>
      <c r="C186" s="10"/>
      <c r="D186" s="10"/>
      <c r="E186" s="72"/>
      <c r="F186" s="18"/>
      <c r="G186" s="10"/>
      <c r="H186" s="10"/>
      <c r="I186" s="10"/>
      <c r="J186" s="11"/>
      <c r="K186" s="11">
        <f t="shared" si="197"/>
        <v>0</v>
      </c>
      <c r="L186" s="37">
        <f t="shared" si="198"/>
        <v>0</v>
      </c>
      <c r="M186" s="11"/>
      <c r="N186" s="10"/>
      <c r="O186" s="21"/>
      <c r="P186" s="21"/>
      <c r="Q186" s="21"/>
      <c r="R186" s="23"/>
      <c r="S186" s="50"/>
      <c r="T186" s="48"/>
      <c r="U186" s="82"/>
      <c r="V186" s="32"/>
      <c r="W186" s="200"/>
      <c r="X186" s="17"/>
    </row>
    <row r="187" spans="2:24" hidden="1" x14ac:dyDescent="0.25">
      <c r="B187" s="17">
        <v>185</v>
      </c>
      <c r="C187" s="10"/>
      <c r="D187" s="10"/>
      <c r="E187" s="72"/>
      <c r="F187" s="18"/>
      <c r="G187" s="10"/>
      <c r="H187" s="10"/>
      <c r="I187" s="10"/>
      <c r="J187" s="11"/>
      <c r="K187" s="11">
        <f t="shared" si="197"/>
        <v>0</v>
      </c>
      <c r="L187" s="37">
        <f t="shared" si="198"/>
        <v>0</v>
      </c>
      <c r="M187" s="11"/>
      <c r="N187" s="10"/>
      <c r="O187" s="21"/>
      <c r="P187" s="21"/>
      <c r="Q187" s="21"/>
      <c r="R187" s="23"/>
      <c r="S187" s="50"/>
      <c r="T187" s="48"/>
      <c r="U187" s="82"/>
      <c r="V187" s="32"/>
      <c r="W187" s="200"/>
      <c r="X187" s="17"/>
    </row>
    <row r="188" spans="2:24" hidden="1" x14ac:dyDescent="0.25">
      <c r="B188" s="17">
        <v>186</v>
      </c>
      <c r="C188" s="10"/>
      <c r="D188" s="10"/>
      <c r="E188" s="72"/>
      <c r="F188" s="18"/>
      <c r="G188" s="10"/>
      <c r="H188" s="10"/>
      <c r="I188" s="10"/>
      <c r="J188" s="11"/>
      <c r="K188" s="11">
        <f t="shared" si="197"/>
        <v>0</v>
      </c>
      <c r="L188" s="37">
        <f t="shared" si="198"/>
        <v>0</v>
      </c>
      <c r="M188" s="11"/>
      <c r="N188" s="10"/>
      <c r="O188" s="21"/>
      <c r="P188" s="21"/>
      <c r="Q188" s="21"/>
      <c r="R188" s="23"/>
      <c r="S188" s="50"/>
      <c r="T188" s="48"/>
      <c r="U188" s="82"/>
      <c r="V188" s="26"/>
      <c r="W188" s="200"/>
      <c r="X188" s="17"/>
    </row>
    <row r="189" spans="2:24" hidden="1" x14ac:dyDescent="0.25">
      <c r="B189" s="17">
        <v>187</v>
      </c>
      <c r="C189" s="10"/>
      <c r="D189" s="10"/>
      <c r="E189" s="72"/>
      <c r="F189" s="18"/>
      <c r="G189" s="10"/>
      <c r="H189" s="10"/>
      <c r="I189" s="10"/>
      <c r="J189" s="11"/>
      <c r="K189" s="11">
        <f t="shared" si="197"/>
        <v>0</v>
      </c>
      <c r="L189" s="37">
        <f t="shared" si="198"/>
        <v>0</v>
      </c>
      <c r="M189" s="11"/>
      <c r="N189" s="10"/>
      <c r="O189" s="21"/>
      <c r="P189" s="21"/>
      <c r="Q189" s="21"/>
      <c r="R189" s="23"/>
      <c r="S189" s="50"/>
      <c r="T189" s="48"/>
      <c r="U189" s="82"/>
      <c r="V189" s="26"/>
      <c r="W189" s="200"/>
      <c r="X189" s="17"/>
    </row>
    <row r="190" spans="2:24" hidden="1" x14ac:dyDescent="0.25">
      <c r="B190" s="17">
        <v>188</v>
      </c>
      <c r="C190" s="10"/>
      <c r="D190" s="10"/>
      <c r="E190" s="72"/>
      <c r="F190" s="18"/>
      <c r="G190" s="10"/>
      <c r="H190" s="10"/>
      <c r="I190" s="10"/>
      <c r="J190" s="11"/>
      <c r="K190" s="11">
        <f t="shared" si="197"/>
        <v>0</v>
      </c>
      <c r="L190" s="37">
        <f t="shared" si="198"/>
        <v>0</v>
      </c>
      <c r="M190" s="11"/>
      <c r="N190" s="10"/>
      <c r="O190" s="21"/>
      <c r="P190" s="21"/>
      <c r="Q190" s="21"/>
      <c r="R190" s="23"/>
      <c r="S190" s="50"/>
      <c r="T190" s="48"/>
      <c r="U190" s="82"/>
      <c r="V190" s="26"/>
      <c r="W190" s="200"/>
      <c r="X190" s="17"/>
    </row>
    <row r="191" spans="2:24" hidden="1" x14ac:dyDescent="0.25">
      <c r="B191" s="17">
        <v>189</v>
      </c>
      <c r="C191" s="10"/>
      <c r="D191" s="10"/>
      <c r="E191" s="72"/>
      <c r="F191" s="18"/>
      <c r="G191" s="10"/>
      <c r="H191" s="10"/>
      <c r="I191" s="10"/>
      <c r="J191" s="11"/>
      <c r="K191" s="11">
        <f t="shared" si="197"/>
        <v>0</v>
      </c>
      <c r="L191" s="37">
        <f t="shared" si="198"/>
        <v>0</v>
      </c>
      <c r="M191" s="11"/>
      <c r="N191" s="10"/>
      <c r="O191" s="21"/>
      <c r="P191" s="21"/>
      <c r="Q191" s="21"/>
      <c r="R191" s="23"/>
      <c r="S191" s="50"/>
      <c r="T191" s="48"/>
      <c r="U191" s="82"/>
      <c r="V191" s="26"/>
      <c r="W191" s="200"/>
      <c r="X191" s="17"/>
    </row>
    <row r="192" spans="2:24" hidden="1" x14ac:dyDescent="0.25">
      <c r="B192" s="17">
        <v>190</v>
      </c>
      <c r="C192" s="10"/>
      <c r="D192" s="10"/>
      <c r="E192" s="72"/>
      <c r="F192" s="18"/>
      <c r="G192" s="10"/>
      <c r="H192" s="10"/>
      <c r="I192" s="10"/>
      <c r="J192" s="11"/>
      <c r="K192" s="11">
        <f t="shared" si="197"/>
        <v>0</v>
      </c>
      <c r="L192" s="37">
        <f t="shared" si="198"/>
        <v>0</v>
      </c>
      <c r="M192" s="11"/>
      <c r="N192" s="10"/>
      <c r="O192" s="21"/>
      <c r="P192" s="21"/>
      <c r="Q192" s="21"/>
      <c r="R192" s="23"/>
      <c r="S192" s="50"/>
      <c r="T192" s="48"/>
      <c r="U192" s="82"/>
      <c r="V192" s="26"/>
      <c r="W192" s="200"/>
      <c r="X192" s="17"/>
    </row>
    <row r="193" spans="2:24" hidden="1" x14ac:dyDescent="0.25">
      <c r="B193" s="17">
        <v>191</v>
      </c>
      <c r="C193" s="10"/>
      <c r="D193" s="10"/>
      <c r="E193" s="72"/>
      <c r="F193" s="18"/>
      <c r="G193" s="10"/>
      <c r="H193" s="10"/>
      <c r="I193" s="10"/>
      <c r="J193" s="11"/>
      <c r="K193" s="11">
        <f t="shared" si="197"/>
        <v>0</v>
      </c>
      <c r="L193" s="37">
        <f t="shared" si="198"/>
        <v>0</v>
      </c>
      <c r="M193" s="11"/>
      <c r="N193" s="10"/>
      <c r="O193" s="21"/>
      <c r="P193" s="21"/>
      <c r="Q193" s="21"/>
      <c r="R193" s="23"/>
      <c r="S193" s="50"/>
      <c r="T193" s="48"/>
      <c r="U193" s="82"/>
      <c r="V193" s="32"/>
      <c r="W193" s="200"/>
      <c r="X193" s="17"/>
    </row>
    <row r="194" spans="2:24" hidden="1" x14ac:dyDescent="0.25">
      <c r="B194" s="17">
        <v>192</v>
      </c>
      <c r="C194" s="10"/>
      <c r="D194" s="10"/>
      <c r="E194" s="72"/>
      <c r="F194" s="18"/>
      <c r="G194" s="10"/>
      <c r="H194" s="10"/>
      <c r="I194" s="10"/>
      <c r="J194" s="11"/>
      <c r="K194" s="11">
        <f t="shared" si="197"/>
        <v>0</v>
      </c>
      <c r="L194" s="37">
        <f t="shared" si="198"/>
        <v>0</v>
      </c>
      <c r="M194" s="11"/>
      <c r="N194" s="10"/>
      <c r="O194" s="21"/>
      <c r="P194" s="21"/>
      <c r="Q194" s="21"/>
      <c r="R194" s="23"/>
      <c r="S194" s="50"/>
      <c r="T194" s="48"/>
      <c r="U194" s="82"/>
      <c r="V194" s="32"/>
      <c r="W194" s="200"/>
      <c r="X194" s="17"/>
    </row>
    <row r="195" spans="2:24" hidden="1" x14ac:dyDescent="0.25">
      <c r="B195" s="17">
        <v>193</v>
      </c>
      <c r="C195" s="10"/>
      <c r="D195" s="10"/>
      <c r="E195" s="72"/>
      <c r="F195" s="18"/>
      <c r="G195" s="10"/>
      <c r="H195" s="10"/>
      <c r="I195" s="10"/>
      <c r="J195" s="11"/>
      <c r="K195" s="11">
        <f t="shared" si="197"/>
        <v>0</v>
      </c>
      <c r="L195" s="37">
        <f t="shared" si="198"/>
        <v>0</v>
      </c>
      <c r="M195" s="11"/>
      <c r="N195" s="10"/>
      <c r="O195" s="21"/>
      <c r="P195" s="21"/>
      <c r="Q195" s="21"/>
      <c r="R195" s="23"/>
      <c r="S195" s="50"/>
      <c r="T195" s="48"/>
      <c r="U195" s="82"/>
      <c r="V195" s="26"/>
      <c r="W195" s="200"/>
      <c r="X195" s="17"/>
    </row>
    <row r="196" spans="2:24" hidden="1" x14ac:dyDescent="0.25">
      <c r="B196" s="17">
        <v>194</v>
      </c>
      <c r="C196" s="10"/>
      <c r="D196" s="10"/>
      <c r="E196" s="72"/>
      <c r="F196" s="18"/>
      <c r="G196" s="10"/>
      <c r="H196" s="10"/>
      <c r="I196" s="10"/>
      <c r="J196" s="11"/>
      <c r="K196" s="11">
        <f t="shared" ref="K196:K259" si="199">J196*1.1</f>
        <v>0</v>
      </c>
      <c r="L196" s="37">
        <f t="shared" ref="L196:L259" si="200">J196*0.00000001</f>
        <v>0</v>
      </c>
      <c r="M196" s="11"/>
      <c r="N196" s="10"/>
      <c r="O196" s="21"/>
      <c r="P196" s="21"/>
      <c r="Q196" s="21"/>
      <c r="R196" s="23"/>
      <c r="S196" s="50"/>
      <c r="T196" s="48"/>
      <c r="U196" s="82"/>
      <c r="V196" s="26"/>
      <c r="W196" s="200"/>
      <c r="X196" s="17"/>
    </row>
    <row r="197" spans="2:24" hidden="1" x14ac:dyDescent="0.25">
      <c r="B197" s="17">
        <v>195</v>
      </c>
      <c r="C197" s="10"/>
      <c r="D197" s="10"/>
      <c r="E197" s="72"/>
      <c r="F197" s="18"/>
      <c r="G197" s="10"/>
      <c r="H197" s="10"/>
      <c r="I197" s="10"/>
      <c r="J197" s="11"/>
      <c r="K197" s="11">
        <f t="shared" si="199"/>
        <v>0</v>
      </c>
      <c r="L197" s="37">
        <f t="shared" si="200"/>
        <v>0</v>
      </c>
      <c r="M197" s="11"/>
      <c r="N197" s="10"/>
      <c r="O197" s="21"/>
      <c r="P197" s="21"/>
      <c r="Q197" s="21"/>
      <c r="R197" s="23"/>
      <c r="S197" s="50"/>
      <c r="T197" s="48"/>
      <c r="U197" s="82"/>
      <c r="V197" s="26"/>
      <c r="W197" s="200"/>
      <c r="X197" s="17"/>
    </row>
    <row r="198" spans="2:24" hidden="1" x14ac:dyDescent="0.25">
      <c r="B198" s="17">
        <v>196</v>
      </c>
      <c r="C198" s="10"/>
      <c r="D198" s="10"/>
      <c r="E198" s="72"/>
      <c r="F198" s="18"/>
      <c r="G198" s="10"/>
      <c r="H198" s="10"/>
      <c r="I198" s="10"/>
      <c r="J198" s="11"/>
      <c r="K198" s="11">
        <f t="shared" si="199"/>
        <v>0</v>
      </c>
      <c r="L198" s="37">
        <f t="shared" si="200"/>
        <v>0</v>
      </c>
      <c r="M198" s="11"/>
      <c r="N198" s="10"/>
      <c r="O198" s="21"/>
      <c r="P198" s="21"/>
      <c r="Q198" s="21"/>
      <c r="R198" s="23"/>
      <c r="S198" s="50"/>
      <c r="T198" s="48"/>
      <c r="U198" s="82"/>
      <c r="V198" s="26"/>
      <c r="W198" s="200"/>
      <c r="X198" s="17"/>
    </row>
    <row r="199" spans="2:24" hidden="1" x14ac:dyDescent="0.25">
      <c r="B199" s="17">
        <v>197</v>
      </c>
      <c r="C199" s="10"/>
      <c r="D199" s="10"/>
      <c r="E199" s="72"/>
      <c r="F199" s="18"/>
      <c r="G199" s="10"/>
      <c r="H199" s="10"/>
      <c r="I199" s="10"/>
      <c r="J199" s="11"/>
      <c r="K199" s="11">
        <f t="shared" si="199"/>
        <v>0</v>
      </c>
      <c r="L199" s="37">
        <f t="shared" si="200"/>
        <v>0</v>
      </c>
      <c r="M199" s="11"/>
      <c r="N199" s="10"/>
      <c r="O199" s="21"/>
      <c r="P199" s="21"/>
      <c r="Q199" s="21"/>
      <c r="R199" s="23"/>
      <c r="S199" s="50"/>
      <c r="T199" s="48"/>
      <c r="U199" s="82"/>
      <c r="V199" s="26"/>
      <c r="W199" s="200"/>
      <c r="X199" s="17"/>
    </row>
    <row r="200" spans="2:24" hidden="1" x14ac:dyDescent="0.25">
      <c r="B200" s="17">
        <v>198</v>
      </c>
      <c r="C200" s="10"/>
      <c r="D200" s="10"/>
      <c r="E200" s="72"/>
      <c r="F200" s="18"/>
      <c r="G200" s="10"/>
      <c r="H200" s="10"/>
      <c r="I200" s="10"/>
      <c r="J200" s="11"/>
      <c r="K200" s="11">
        <f t="shared" si="199"/>
        <v>0</v>
      </c>
      <c r="L200" s="37">
        <f t="shared" si="200"/>
        <v>0</v>
      </c>
      <c r="M200" s="11"/>
      <c r="N200" s="10"/>
      <c r="O200" s="21"/>
      <c r="P200" s="21"/>
      <c r="Q200" s="21"/>
      <c r="R200" s="23"/>
      <c r="S200" s="50"/>
      <c r="T200" s="48"/>
      <c r="U200" s="82"/>
      <c r="V200" s="32"/>
      <c r="W200" s="200"/>
      <c r="X200" s="17"/>
    </row>
    <row r="201" spans="2:24" hidden="1" x14ac:dyDescent="0.25">
      <c r="B201" s="17">
        <v>199</v>
      </c>
      <c r="C201" s="10"/>
      <c r="D201" s="10"/>
      <c r="E201" s="72"/>
      <c r="F201" s="18"/>
      <c r="G201" s="10"/>
      <c r="H201" s="10"/>
      <c r="I201" s="10"/>
      <c r="J201" s="11"/>
      <c r="K201" s="11">
        <f t="shared" si="199"/>
        <v>0</v>
      </c>
      <c r="L201" s="37">
        <f t="shared" si="200"/>
        <v>0</v>
      </c>
      <c r="M201" s="11"/>
      <c r="N201" s="10"/>
      <c r="O201" s="21"/>
      <c r="P201" s="21"/>
      <c r="Q201" s="21"/>
      <c r="R201" s="23"/>
      <c r="S201" s="50"/>
      <c r="T201" s="48"/>
      <c r="U201" s="82"/>
      <c r="V201" s="32"/>
      <c r="W201" s="200"/>
      <c r="X201" s="17"/>
    </row>
    <row r="202" spans="2:24" hidden="1" x14ac:dyDescent="0.25">
      <c r="B202" s="17">
        <v>200</v>
      </c>
      <c r="C202" s="10"/>
      <c r="D202" s="10"/>
      <c r="E202" s="72"/>
      <c r="F202" s="18"/>
      <c r="G202" s="10"/>
      <c r="H202" s="10"/>
      <c r="I202" s="10"/>
      <c r="J202" s="11"/>
      <c r="K202" s="11">
        <f t="shared" si="199"/>
        <v>0</v>
      </c>
      <c r="L202" s="37">
        <f t="shared" si="200"/>
        <v>0</v>
      </c>
      <c r="M202" s="11"/>
      <c r="N202" s="10"/>
      <c r="O202" s="21"/>
      <c r="P202" s="21"/>
      <c r="Q202" s="21"/>
      <c r="R202" s="23"/>
      <c r="S202" s="50"/>
      <c r="T202" s="48"/>
      <c r="U202" s="82"/>
      <c r="V202" s="32"/>
      <c r="W202" s="200"/>
      <c r="X202" s="17"/>
    </row>
    <row r="203" spans="2:24" hidden="1" x14ac:dyDescent="0.25">
      <c r="B203" s="17">
        <v>201</v>
      </c>
      <c r="C203" s="10"/>
      <c r="D203" s="10"/>
      <c r="E203" s="72"/>
      <c r="F203" s="18"/>
      <c r="G203" s="10"/>
      <c r="H203" s="10"/>
      <c r="I203" s="10"/>
      <c r="J203" s="11"/>
      <c r="K203" s="11">
        <f t="shared" si="199"/>
        <v>0</v>
      </c>
      <c r="L203" s="37">
        <f t="shared" si="200"/>
        <v>0</v>
      </c>
      <c r="M203" s="11"/>
      <c r="N203" s="10"/>
      <c r="O203" s="21"/>
      <c r="P203" s="21"/>
      <c r="Q203" s="21"/>
      <c r="R203" s="23"/>
      <c r="S203" s="50"/>
      <c r="T203" s="48"/>
      <c r="U203" s="82"/>
      <c r="V203" s="32"/>
      <c r="W203" s="200"/>
      <c r="X203" s="17"/>
    </row>
    <row r="204" spans="2:24" hidden="1" x14ac:dyDescent="0.25">
      <c r="B204" s="17">
        <v>202</v>
      </c>
      <c r="C204" s="10"/>
      <c r="D204" s="10"/>
      <c r="E204" s="72"/>
      <c r="F204" s="18"/>
      <c r="G204" s="10"/>
      <c r="H204" s="10"/>
      <c r="I204" s="10"/>
      <c r="J204" s="11"/>
      <c r="K204" s="11">
        <f t="shared" si="199"/>
        <v>0</v>
      </c>
      <c r="L204" s="37">
        <f t="shared" si="200"/>
        <v>0</v>
      </c>
      <c r="M204" s="11"/>
      <c r="N204" s="10"/>
      <c r="O204" s="21"/>
      <c r="P204" s="21"/>
      <c r="Q204" s="21"/>
      <c r="R204" s="23"/>
      <c r="S204" s="50"/>
      <c r="T204" s="48"/>
      <c r="U204" s="82"/>
      <c r="V204" s="26"/>
      <c r="W204" s="200"/>
      <c r="X204" s="17"/>
    </row>
    <row r="205" spans="2:24" hidden="1" x14ac:dyDescent="0.25">
      <c r="B205" s="17">
        <v>203</v>
      </c>
      <c r="C205" s="10"/>
      <c r="D205" s="10"/>
      <c r="E205" s="72"/>
      <c r="F205" s="18"/>
      <c r="G205" s="10"/>
      <c r="H205" s="10"/>
      <c r="I205" s="10"/>
      <c r="J205" s="11"/>
      <c r="K205" s="11">
        <f t="shared" si="199"/>
        <v>0</v>
      </c>
      <c r="L205" s="37">
        <f t="shared" si="200"/>
        <v>0</v>
      </c>
      <c r="M205" s="11"/>
      <c r="N205" s="10"/>
      <c r="O205" s="21"/>
      <c r="P205" s="21"/>
      <c r="Q205" s="21"/>
      <c r="R205" s="23"/>
      <c r="S205" s="50"/>
      <c r="T205" s="48"/>
      <c r="U205" s="82"/>
      <c r="V205" s="26"/>
      <c r="W205" s="200"/>
      <c r="X205" s="17"/>
    </row>
    <row r="206" spans="2:24" hidden="1" x14ac:dyDescent="0.25">
      <c r="B206" s="17">
        <v>204</v>
      </c>
      <c r="C206" s="10"/>
      <c r="D206" s="10"/>
      <c r="E206" s="72"/>
      <c r="F206" s="18"/>
      <c r="G206" s="10"/>
      <c r="H206" s="10"/>
      <c r="I206" s="10"/>
      <c r="J206" s="11"/>
      <c r="K206" s="11">
        <f t="shared" si="199"/>
        <v>0</v>
      </c>
      <c r="L206" s="37">
        <f t="shared" si="200"/>
        <v>0</v>
      </c>
      <c r="M206" s="11"/>
      <c r="N206" s="10"/>
      <c r="O206" s="21"/>
      <c r="P206" s="21"/>
      <c r="Q206" s="21"/>
      <c r="R206" s="23"/>
      <c r="S206" s="50"/>
      <c r="T206" s="48"/>
      <c r="U206" s="82"/>
      <c r="V206" s="26"/>
      <c r="W206" s="200"/>
      <c r="X206" s="17"/>
    </row>
    <row r="207" spans="2:24" hidden="1" x14ac:dyDescent="0.25">
      <c r="B207" s="17">
        <v>205</v>
      </c>
      <c r="C207" s="10"/>
      <c r="D207" s="10"/>
      <c r="E207" s="72"/>
      <c r="F207" s="18"/>
      <c r="G207" s="10"/>
      <c r="H207" s="10"/>
      <c r="I207" s="10"/>
      <c r="J207" s="11"/>
      <c r="K207" s="11">
        <f t="shared" si="199"/>
        <v>0</v>
      </c>
      <c r="L207" s="37">
        <f t="shared" si="200"/>
        <v>0</v>
      </c>
      <c r="M207" s="11"/>
      <c r="N207" s="10"/>
      <c r="O207" s="21"/>
      <c r="P207" s="21"/>
      <c r="Q207" s="21"/>
      <c r="R207" s="23"/>
      <c r="S207" s="50"/>
      <c r="T207" s="48"/>
      <c r="U207" s="82"/>
      <c r="V207" s="26"/>
      <c r="W207" s="200"/>
      <c r="X207" s="17"/>
    </row>
    <row r="208" spans="2:24" hidden="1" x14ac:dyDescent="0.25">
      <c r="B208" s="17">
        <v>206</v>
      </c>
      <c r="C208" s="10"/>
      <c r="D208" s="10"/>
      <c r="E208" s="72"/>
      <c r="F208" s="18"/>
      <c r="G208" s="10"/>
      <c r="H208" s="10"/>
      <c r="I208" s="10"/>
      <c r="J208" s="11"/>
      <c r="K208" s="11">
        <f t="shared" si="199"/>
        <v>0</v>
      </c>
      <c r="L208" s="37">
        <f t="shared" si="200"/>
        <v>0</v>
      </c>
      <c r="M208" s="11"/>
      <c r="N208" s="10"/>
      <c r="O208" s="21"/>
      <c r="P208" s="21"/>
      <c r="Q208" s="21"/>
      <c r="R208" s="23"/>
      <c r="S208" s="50"/>
      <c r="T208" s="48"/>
      <c r="U208" s="82"/>
      <c r="V208" s="26"/>
      <c r="W208" s="200"/>
      <c r="X208" s="17"/>
    </row>
    <row r="209" spans="2:24" hidden="1" x14ac:dyDescent="0.25">
      <c r="B209" s="17">
        <v>207</v>
      </c>
      <c r="C209" s="10"/>
      <c r="D209" s="10"/>
      <c r="E209" s="72"/>
      <c r="F209" s="18"/>
      <c r="G209" s="10"/>
      <c r="H209" s="10"/>
      <c r="I209" s="10"/>
      <c r="J209" s="11"/>
      <c r="K209" s="11">
        <f t="shared" si="199"/>
        <v>0</v>
      </c>
      <c r="L209" s="37">
        <f t="shared" si="200"/>
        <v>0</v>
      </c>
      <c r="M209" s="11"/>
      <c r="N209" s="10"/>
      <c r="O209" s="21"/>
      <c r="P209" s="21"/>
      <c r="Q209" s="21"/>
      <c r="R209" s="23"/>
      <c r="S209" s="50"/>
      <c r="T209" s="48"/>
      <c r="U209" s="82"/>
      <c r="V209" s="32"/>
      <c r="W209" s="200"/>
      <c r="X209" s="17"/>
    </row>
    <row r="210" spans="2:24" hidden="1" x14ac:dyDescent="0.25">
      <c r="B210" s="17">
        <v>208</v>
      </c>
      <c r="C210" s="10"/>
      <c r="D210" s="10"/>
      <c r="E210" s="72"/>
      <c r="F210" s="18"/>
      <c r="G210" s="10"/>
      <c r="H210" s="10"/>
      <c r="I210" s="10"/>
      <c r="J210" s="11"/>
      <c r="K210" s="11">
        <f t="shared" si="199"/>
        <v>0</v>
      </c>
      <c r="L210" s="37">
        <f t="shared" si="200"/>
        <v>0</v>
      </c>
      <c r="M210" s="11"/>
      <c r="N210" s="10"/>
      <c r="O210" s="21"/>
      <c r="P210" s="21"/>
      <c r="Q210" s="21"/>
      <c r="R210" s="23"/>
      <c r="S210" s="50"/>
      <c r="T210" s="48"/>
      <c r="U210" s="82"/>
      <c r="V210" s="32"/>
      <c r="W210" s="200"/>
      <c r="X210" s="17"/>
    </row>
    <row r="211" spans="2:24" hidden="1" x14ac:dyDescent="0.25">
      <c r="B211" s="17">
        <v>209</v>
      </c>
      <c r="C211" s="10"/>
      <c r="D211" s="10"/>
      <c r="E211" s="72"/>
      <c r="F211" s="18"/>
      <c r="G211" s="10"/>
      <c r="H211" s="10"/>
      <c r="I211" s="10"/>
      <c r="J211" s="11"/>
      <c r="K211" s="11">
        <f t="shared" si="199"/>
        <v>0</v>
      </c>
      <c r="L211" s="37">
        <f t="shared" si="200"/>
        <v>0</v>
      </c>
      <c r="M211" s="11"/>
      <c r="N211" s="10"/>
      <c r="O211" s="21"/>
      <c r="P211" s="21"/>
      <c r="Q211" s="21"/>
      <c r="R211" s="23"/>
      <c r="S211" s="50"/>
      <c r="T211" s="48"/>
      <c r="U211" s="82"/>
      <c r="V211" s="26"/>
      <c r="W211" s="200"/>
      <c r="X211" s="17"/>
    </row>
    <row r="212" spans="2:24" hidden="1" x14ac:dyDescent="0.25">
      <c r="B212" s="17">
        <v>210</v>
      </c>
      <c r="C212" s="10"/>
      <c r="D212" s="10"/>
      <c r="E212" s="72"/>
      <c r="F212" s="18"/>
      <c r="G212" s="10"/>
      <c r="H212" s="10"/>
      <c r="I212" s="10"/>
      <c r="J212" s="11"/>
      <c r="K212" s="11">
        <f t="shared" si="199"/>
        <v>0</v>
      </c>
      <c r="L212" s="37">
        <f t="shared" si="200"/>
        <v>0</v>
      </c>
      <c r="M212" s="11"/>
      <c r="N212" s="10"/>
      <c r="O212" s="21"/>
      <c r="P212" s="21"/>
      <c r="Q212" s="21"/>
      <c r="R212" s="23"/>
      <c r="S212" s="50"/>
      <c r="T212" s="48"/>
      <c r="U212" s="82"/>
      <c r="V212" s="26"/>
      <c r="W212" s="200"/>
      <c r="X212" s="17"/>
    </row>
    <row r="213" spans="2:24" hidden="1" x14ac:dyDescent="0.25">
      <c r="B213" s="17">
        <v>211</v>
      </c>
      <c r="C213" s="10"/>
      <c r="D213" s="10"/>
      <c r="E213" s="72"/>
      <c r="F213" s="18"/>
      <c r="G213" s="10"/>
      <c r="H213" s="10"/>
      <c r="I213" s="10"/>
      <c r="J213" s="11"/>
      <c r="K213" s="11">
        <f t="shared" si="199"/>
        <v>0</v>
      </c>
      <c r="L213" s="37">
        <f t="shared" si="200"/>
        <v>0</v>
      </c>
      <c r="M213" s="11"/>
      <c r="N213" s="10"/>
      <c r="O213" s="21"/>
      <c r="P213" s="21"/>
      <c r="Q213" s="21"/>
      <c r="R213" s="23"/>
      <c r="S213" s="50"/>
      <c r="T213" s="48"/>
      <c r="U213" s="82"/>
      <c r="V213" s="26"/>
      <c r="W213" s="200"/>
      <c r="X213" s="17"/>
    </row>
    <row r="214" spans="2:24" hidden="1" x14ac:dyDescent="0.25">
      <c r="B214" s="17">
        <v>212</v>
      </c>
      <c r="C214" s="10"/>
      <c r="D214" s="10"/>
      <c r="E214" s="72"/>
      <c r="F214" s="18"/>
      <c r="G214" s="10"/>
      <c r="H214" s="10"/>
      <c r="I214" s="10"/>
      <c r="J214" s="11"/>
      <c r="K214" s="11">
        <f t="shared" si="199"/>
        <v>0</v>
      </c>
      <c r="L214" s="37">
        <f t="shared" si="200"/>
        <v>0</v>
      </c>
      <c r="M214" s="11"/>
      <c r="N214" s="10"/>
      <c r="O214" s="21"/>
      <c r="P214" s="21"/>
      <c r="Q214" s="21"/>
      <c r="R214" s="23"/>
      <c r="S214" s="50"/>
      <c r="T214" s="48"/>
      <c r="U214" s="82"/>
      <c r="V214" s="26"/>
      <c r="W214" s="200"/>
      <c r="X214" s="17"/>
    </row>
    <row r="215" spans="2:24" hidden="1" x14ac:dyDescent="0.25">
      <c r="B215" s="17">
        <v>213</v>
      </c>
      <c r="C215" s="10"/>
      <c r="D215" s="10"/>
      <c r="E215" s="72"/>
      <c r="F215" s="18"/>
      <c r="G215" s="10"/>
      <c r="H215" s="10"/>
      <c r="I215" s="10"/>
      <c r="J215" s="11"/>
      <c r="K215" s="11">
        <f t="shared" si="199"/>
        <v>0</v>
      </c>
      <c r="L215" s="37">
        <f t="shared" si="200"/>
        <v>0</v>
      </c>
      <c r="M215" s="11"/>
      <c r="N215" s="10"/>
      <c r="O215" s="21"/>
      <c r="P215" s="21"/>
      <c r="Q215" s="21"/>
      <c r="R215" s="23"/>
      <c r="S215" s="50"/>
      <c r="T215" s="48"/>
      <c r="U215" s="82"/>
      <c r="V215" s="26"/>
      <c r="W215" s="200"/>
      <c r="X215" s="17"/>
    </row>
    <row r="216" spans="2:24" hidden="1" x14ac:dyDescent="0.25">
      <c r="B216" s="17">
        <v>214</v>
      </c>
      <c r="C216" s="10"/>
      <c r="D216" s="10"/>
      <c r="E216" s="72"/>
      <c r="F216" s="18"/>
      <c r="G216" s="10"/>
      <c r="H216" s="10"/>
      <c r="I216" s="10"/>
      <c r="J216" s="11"/>
      <c r="K216" s="11">
        <f t="shared" si="199"/>
        <v>0</v>
      </c>
      <c r="L216" s="37">
        <f t="shared" si="200"/>
        <v>0</v>
      </c>
      <c r="M216" s="11"/>
      <c r="N216" s="10"/>
      <c r="O216" s="21"/>
      <c r="P216" s="21"/>
      <c r="Q216" s="21"/>
      <c r="R216" s="23"/>
      <c r="S216" s="50"/>
      <c r="T216" s="48"/>
      <c r="U216" s="82"/>
      <c r="V216" s="32"/>
      <c r="W216" s="200"/>
      <c r="X216" s="17"/>
    </row>
    <row r="217" spans="2:24" hidden="1" x14ac:dyDescent="0.25">
      <c r="B217" s="17">
        <v>215</v>
      </c>
      <c r="C217" s="10"/>
      <c r="D217" s="10"/>
      <c r="E217" s="72"/>
      <c r="F217" s="18"/>
      <c r="G217" s="10"/>
      <c r="H217" s="10"/>
      <c r="I217" s="10"/>
      <c r="J217" s="11"/>
      <c r="K217" s="11">
        <f t="shared" si="199"/>
        <v>0</v>
      </c>
      <c r="L217" s="37">
        <f t="shared" si="200"/>
        <v>0</v>
      </c>
      <c r="M217" s="11"/>
      <c r="N217" s="10"/>
      <c r="O217" s="21"/>
      <c r="P217" s="21"/>
      <c r="Q217" s="21"/>
      <c r="R217" s="23"/>
      <c r="S217" s="50"/>
      <c r="T217" s="48"/>
      <c r="U217" s="82"/>
      <c r="V217" s="32"/>
      <c r="W217" s="200"/>
      <c r="X217" s="17"/>
    </row>
    <row r="218" spans="2:24" hidden="1" x14ac:dyDescent="0.25">
      <c r="B218" s="17">
        <v>216</v>
      </c>
      <c r="C218" s="10"/>
      <c r="D218" s="10"/>
      <c r="E218" s="72"/>
      <c r="F218" s="18"/>
      <c r="G218" s="10"/>
      <c r="H218" s="10"/>
      <c r="I218" s="10"/>
      <c r="J218" s="11"/>
      <c r="K218" s="11">
        <f t="shared" si="199"/>
        <v>0</v>
      </c>
      <c r="L218" s="37">
        <f t="shared" si="200"/>
        <v>0</v>
      </c>
      <c r="M218" s="11"/>
      <c r="N218" s="10"/>
      <c r="O218" s="21"/>
      <c r="P218" s="21"/>
      <c r="Q218" s="21"/>
      <c r="R218" s="23"/>
      <c r="S218" s="50"/>
      <c r="T218" s="48"/>
      <c r="U218" s="82"/>
      <c r="V218" s="32"/>
      <c r="W218" s="200"/>
      <c r="X218" s="17"/>
    </row>
    <row r="219" spans="2:24" hidden="1" x14ac:dyDescent="0.25">
      <c r="B219" s="17">
        <v>217</v>
      </c>
      <c r="C219" s="10"/>
      <c r="D219" s="10"/>
      <c r="E219" s="72"/>
      <c r="F219" s="18"/>
      <c r="G219" s="10"/>
      <c r="H219" s="10"/>
      <c r="I219" s="10"/>
      <c r="J219" s="11"/>
      <c r="K219" s="11">
        <f t="shared" si="199"/>
        <v>0</v>
      </c>
      <c r="L219" s="37">
        <f t="shared" si="200"/>
        <v>0</v>
      </c>
      <c r="M219" s="11"/>
      <c r="N219" s="10"/>
      <c r="O219" s="21"/>
      <c r="P219" s="21"/>
      <c r="Q219" s="21"/>
      <c r="R219" s="23"/>
      <c r="S219" s="50"/>
      <c r="T219" s="48"/>
      <c r="U219" s="82"/>
      <c r="V219" s="32"/>
      <c r="W219" s="200"/>
      <c r="X219" s="17"/>
    </row>
    <row r="220" spans="2:24" hidden="1" x14ac:dyDescent="0.25">
      <c r="B220" s="17">
        <v>218</v>
      </c>
      <c r="C220" s="10"/>
      <c r="D220" s="10"/>
      <c r="E220" s="72"/>
      <c r="F220" s="18"/>
      <c r="G220" s="10"/>
      <c r="H220" s="10"/>
      <c r="I220" s="10"/>
      <c r="J220" s="11"/>
      <c r="K220" s="11">
        <f t="shared" si="199"/>
        <v>0</v>
      </c>
      <c r="L220" s="37">
        <f t="shared" si="200"/>
        <v>0</v>
      </c>
      <c r="M220" s="11"/>
      <c r="N220" s="10"/>
      <c r="O220" s="21"/>
      <c r="P220" s="21"/>
      <c r="Q220" s="21"/>
      <c r="R220" s="23"/>
      <c r="S220" s="50"/>
      <c r="T220" s="48"/>
      <c r="U220" s="82"/>
      <c r="V220" s="26"/>
      <c r="W220" s="200"/>
      <c r="X220" s="17"/>
    </row>
    <row r="221" spans="2:24" hidden="1" x14ac:dyDescent="0.25">
      <c r="B221" s="17">
        <v>219</v>
      </c>
      <c r="C221" s="10"/>
      <c r="D221" s="10"/>
      <c r="E221" s="72"/>
      <c r="F221" s="18"/>
      <c r="G221" s="10"/>
      <c r="H221" s="10"/>
      <c r="I221" s="10"/>
      <c r="J221" s="11"/>
      <c r="K221" s="11">
        <f t="shared" si="199"/>
        <v>0</v>
      </c>
      <c r="L221" s="37">
        <f t="shared" si="200"/>
        <v>0</v>
      </c>
      <c r="M221" s="11"/>
      <c r="N221" s="10"/>
      <c r="O221" s="21"/>
      <c r="P221" s="21"/>
      <c r="Q221" s="21"/>
      <c r="R221" s="23"/>
      <c r="S221" s="50"/>
      <c r="T221" s="48"/>
      <c r="U221" s="82"/>
      <c r="V221" s="26"/>
      <c r="W221" s="200"/>
      <c r="X221" s="17"/>
    </row>
    <row r="222" spans="2:24" hidden="1" x14ac:dyDescent="0.25">
      <c r="B222" s="17">
        <v>220</v>
      </c>
      <c r="C222" s="10"/>
      <c r="D222" s="10"/>
      <c r="E222" s="72"/>
      <c r="F222" s="18"/>
      <c r="G222" s="10"/>
      <c r="H222" s="10"/>
      <c r="I222" s="10"/>
      <c r="J222" s="11"/>
      <c r="K222" s="11">
        <f t="shared" si="199"/>
        <v>0</v>
      </c>
      <c r="L222" s="37">
        <f t="shared" si="200"/>
        <v>0</v>
      </c>
      <c r="M222" s="11"/>
      <c r="N222" s="10"/>
      <c r="O222" s="21"/>
      <c r="P222" s="21"/>
      <c r="Q222" s="21"/>
      <c r="R222" s="23"/>
      <c r="S222" s="50"/>
      <c r="T222" s="48"/>
      <c r="U222" s="82"/>
      <c r="V222" s="26"/>
      <c r="W222" s="200"/>
      <c r="X222" s="17"/>
    </row>
    <row r="223" spans="2:24" hidden="1" x14ac:dyDescent="0.25">
      <c r="B223" s="17">
        <v>221</v>
      </c>
      <c r="C223" s="10"/>
      <c r="D223" s="10"/>
      <c r="E223" s="72"/>
      <c r="F223" s="18"/>
      <c r="G223" s="10"/>
      <c r="H223" s="10"/>
      <c r="I223" s="10"/>
      <c r="J223" s="11"/>
      <c r="K223" s="11">
        <f t="shared" si="199"/>
        <v>0</v>
      </c>
      <c r="L223" s="37">
        <f t="shared" si="200"/>
        <v>0</v>
      </c>
      <c r="M223" s="11"/>
      <c r="N223" s="10"/>
      <c r="O223" s="21"/>
      <c r="P223" s="21"/>
      <c r="Q223" s="21"/>
      <c r="R223" s="23"/>
      <c r="S223" s="50"/>
      <c r="T223" s="48"/>
      <c r="U223" s="82"/>
      <c r="V223" s="26"/>
      <c r="W223" s="200"/>
      <c r="X223" s="17"/>
    </row>
    <row r="224" spans="2:24" hidden="1" x14ac:dyDescent="0.25">
      <c r="B224" s="17">
        <v>222</v>
      </c>
      <c r="C224" s="10"/>
      <c r="D224" s="10"/>
      <c r="E224" s="72"/>
      <c r="F224" s="18"/>
      <c r="G224" s="10"/>
      <c r="H224" s="10"/>
      <c r="I224" s="10"/>
      <c r="J224" s="11"/>
      <c r="K224" s="11">
        <f t="shared" si="199"/>
        <v>0</v>
      </c>
      <c r="L224" s="37">
        <f t="shared" si="200"/>
        <v>0</v>
      </c>
      <c r="M224" s="11"/>
      <c r="N224" s="10"/>
      <c r="O224" s="21"/>
      <c r="P224" s="21"/>
      <c r="Q224" s="21"/>
      <c r="R224" s="23"/>
      <c r="S224" s="50"/>
      <c r="T224" s="48"/>
      <c r="U224" s="82"/>
      <c r="V224" s="26"/>
      <c r="W224" s="200"/>
      <c r="X224" s="17"/>
    </row>
    <row r="225" spans="2:24" hidden="1" x14ac:dyDescent="0.25">
      <c r="B225" s="17">
        <v>223</v>
      </c>
      <c r="C225" s="10"/>
      <c r="D225" s="10"/>
      <c r="E225" s="72"/>
      <c r="F225" s="18"/>
      <c r="G225" s="10"/>
      <c r="H225" s="10"/>
      <c r="I225" s="10"/>
      <c r="J225" s="11"/>
      <c r="K225" s="11">
        <f t="shared" si="199"/>
        <v>0</v>
      </c>
      <c r="L225" s="37">
        <f t="shared" si="200"/>
        <v>0</v>
      </c>
      <c r="M225" s="11"/>
      <c r="N225" s="10"/>
      <c r="O225" s="21"/>
      <c r="P225" s="21"/>
      <c r="Q225" s="21"/>
      <c r="R225" s="23"/>
      <c r="S225" s="50"/>
      <c r="T225" s="48"/>
      <c r="U225" s="82"/>
      <c r="V225" s="32"/>
      <c r="W225" s="200"/>
      <c r="X225" s="17"/>
    </row>
    <row r="226" spans="2:24" hidden="1" x14ac:dyDescent="0.25">
      <c r="B226" s="17">
        <v>224</v>
      </c>
      <c r="C226" s="10"/>
      <c r="D226" s="10"/>
      <c r="E226" s="72"/>
      <c r="F226" s="18"/>
      <c r="G226" s="10"/>
      <c r="H226" s="10"/>
      <c r="I226" s="10"/>
      <c r="J226" s="11"/>
      <c r="K226" s="11">
        <f t="shared" si="199"/>
        <v>0</v>
      </c>
      <c r="L226" s="37">
        <f t="shared" si="200"/>
        <v>0</v>
      </c>
      <c r="M226" s="11"/>
      <c r="N226" s="10"/>
      <c r="O226" s="21"/>
      <c r="P226" s="21"/>
      <c r="Q226" s="21"/>
      <c r="R226" s="23"/>
      <c r="S226" s="50"/>
      <c r="T226" s="48"/>
      <c r="U226" s="82"/>
      <c r="V226" s="32"/>
      <c r="W226" s="200"/>
      <c r="X226" s="17"/>
    </row>
    <row r="227" spans="2:24" hidden="1" x14ac:dyDescent="0.25">
      <c r="B227" s="17">
        <v>225</v>
      </c>
      <c r="C227" s="10"/>
      <c r="D227" s="10"/>
      <c r="E227" s="72"/>
      <c r="F227" s="18"/>
      <c r="G227" s="10"/>
      <c r="H227" s="10"/>
      <c r="I227" s="10"/>
      <c r="J227" s="11"/>
      <c r="K227" s="11">
        <f t="shared" si="199"/>
        <v>0</v>
      </c>
      <c r="L227" s="37">
        <f t="shared" si="200"/>
        <v>0</v>
      </c>
      <c r="M227" s="11"/>
      <c r="N227" s="10"/>
      <c r="O227" s="21"/>
      <c r="P227" s="21"/>
      <c r="Q227" s="21"/>
      <c r="R227" s="23"/>
      <c r="S227" s="50"/>
      <c r="T227" s="48"/>
      <c r="U227" s="82"/>
      <c r="V227" s="26"/>
      <c r="W227" s="200"/>
      <c r="X227" s="17"/>
    </row>
    <row r="228" spans="2:24" hidden="1" x14ac:dyDescent="0.25">
      <c r="B228" s="17">
        <v>226</v>
      </c>
      <c r="C228" s="10"/>
      <c r="D228" s="10"/>
      <c r="E228" s="72"/>
      <c r="F228" s="18"/>
      <c r="G228" s="10"/>
      <c r="H228" s="10"/>
      <c r="I228" s="10"/>
      <c r="J228" s="11"/>
      <c r="K228" s="11">
        <f t="shared" si="199"/>
        <v>0</v>
      </c>
      <c r="L228" s="37">
        <f t="shared" si="200"/>
        <v>0</v>
      </c>
      <c r="M228" s="11"/>
      <c r="N228" s="10"/>
      <c r="O228" s="21"/>
      <c r="P228" s="21"/>
      <c r="Q228" s="21"/>
      <c r="R228" s="23"/>
      <c r="S228" s="50"/>
      <c r="T228" s="48"/>
      <c r="U228" s="82"/>
      <c r="V228" s="26"/>
      <c r="W228" s="200"/>
      <c r="X228" s="17"/>
    </row>
    <row r="229" spans="2:24" hidden="1" x14ac:dyDescent="0.25">
      <c r="B229" s="17">
        <v>227</v>
      </c>
      <c r="C229" s="10"/>
      <c r="D229" s="10"/>
      <c r="E229" s="72"/>
      <c r="F229" s="18"/>
      <c r="G229" s="10"/>
      <c r="H229" s="10"/>
      <c r="I229" s="10"/>
      <c r="J229" s="11"/>
      <c r="K229" s="11">
        <f t="shared" si="199"/>
        <v>0</v>
      </c>
      <c r="L229" s="37">
        <f t="shared" si="200"/>
        <v>0</v>
      </c>
      <c r="M229" s="11"/>
      <c r="N229" s="10"/>
      <c r="O229" s="21"/>
      <c r="P229" s="21"/>
      <c r="Q229" s="21"/>
      <c r="R229" s="23"/>
      <c r="S229" s="50"/>
      <c r="T229" s="48"/>
      <c r="U229" s="82"/>
      <c r="V229" s="26"/>
      <c r="W229" s="200"/>
      <c r="X229" s="17"/>
    </row>
    <row r="230" spans="2:24" hidden="1" x14ac:dyDescent="0.25">
      <c r="B230" s="17">
        <v>228</v>
      </c>
      <c r="C230" s="10"/>
      <c r="D230" s="10"/>
      <c r="E230" s="72"/>
      <c r="F230" s="18"/>
      <c r="G230" s="10"/>
      <c r="H230" s="10"/>
      <c r="I230" s="10"/>
      <c r="J230" s="11"/>
      <c r="K230" s="11">
        <f t="shared" si="199"/>
        <v>0</v>
      </c>
      <c r="L230" s="37">
        <f t="shared" si="200"/>
        <v>0</v>
      </c>
      <c r="M230" s="11"/>
      <c r="N230" s="10"/>
      <c r="O230" s="21"/>
      <c r="P230" s="21"/>
      <c r="Q230" s="21"/>
      <c r="R230" s="23"/>
      <c r="S230" s="50"/>
      <c r="T230" s="48"/>
      <c r="U230" s="82"/>
      <c r="V230" s="26"/>
      <c r="W230" s="200"/>
      <c r="X230" s="17"/>
    </row>
    <row r="231" spans="2:24" hidden="1" x14ac:dyDescent="0.25">
      <c r="B231" s="17">
        <v>229</v>
      </c>
      <c r="C231" s="10"/>
      <c r="D231" s="10"/>
      <c r="E231" s="72"/>
      <c r="F231" s="18"/>
      <c r="G231" s="10"/>
      <c r="H231" s="10"/>
      <c r="I231" s="10"/>
      <c r="J231" s="11"/>
      <c r="K231" s="11">
        <f t="shared" si="199"/>
        <v>0</v>
      </c>
      <c r="L231" s="37">
        <f t="shared" si="200"/>
        <v>0</v>
      </c>
      <c r="M231" s="11"/>
      <c r="N231" s="10"/>
      <c r="O231" s="21"/>
      <c r="P231" s="21"/>
      <c r="Q231" s="21"/>
      <c r="R231" s="23"/>
      <c r="S231" s="50"/>
      <c r="T231" s="48"/>
      <c r="U231" s="82"/>
      <c r="V231" s="32"/>
      <c r="W231" s="200"/>
      <c r="X231" s="17"/>
    </row>
    <row r="232" spans="2:24" hidden="1" x14ac:dyDescent="0.25">
      <c r="B232" s="17">
        <v>230</v>
      </c>
      <c r="C232" s="10"/>
      <c r="D232" s="10"/>
      <c r="E232" s="72"/>
      <c r="F232" s="18"/>
      <c r="G232" s="10"/>
      <c r="H232" s="10"/>
      <c r="I232" s="10"/>
      <c r="J232" s="11"/>
      <c r="K232" s="11">
        <f t="shared" si="199"/>
        <v>0</v>
      </c>
      <c r="L232" s="37">
        <f t="shared" si="200"/>
        <v>0</v>
      </c>
      <c r="M232" s="11"/>
      <c r="N232" s="10"/>
      <c r="O232" s="21"/>
      <c r="P232" s="21"/>
      <c r="Q232" s="21"/>
      <c r="R232" s="23"/>
      <c r="S232" s="50"/>
      <c r="T232" s="48"/>
      <c r="U232" s="82"/>
      <c r="V232" s="32"/>
      <c r="W232" s="200"/>
      <c r="X232" s="17"/>
    </row>
    <row r="233" spans="2:24" hidden="1" x14ac:dyDescent="0.25">
      <c r="B233" s="17">
        <v>231</v>
      </c>
      <c r="C233" s="10"/>
      <c r="D233" s="10"/>
      <c r="E233" s="72"/>
      <c r="F233" s="18"/>
      <c r="G233" s="10"/>
      <c r="H233" s="10"/>
      <c r="I233" s="10"/>
      <c r="J233" s="11"/>
      <c r="K233" s="11">
        <f t="shared" si="199"/>
        <v>0</v>
      </c>
      <c r="L233" s="37">
        <f t="shared" si="200"/>
        <v>0</v>
      </c>
      <c r="M233" s="11"/>
      <c r="N233" s="10"/>
      <c r="O233" s="21"/>
      <c r="P233" s="21"/>
      <c r="Q233" s="21"/>
      <c r="R233" s="23"/>
      <c r="S233" s="50"/>
      <c r="T233" s="48"/>
      <c r="U233" s="82"/>
      <c r="V233" s="26"/>
      <c r="W233" s="200"/>
      <c r="X233" s="17"/>
    </row>
    <row r="234" spans="2:24" hidden="1" x14ac:dyDescent="0.25">
      <c r="B234" s="17">
        <v>232</v>
      </c>
      <c r="C234" s="10"/>
      <c r="D234" s="10"/>
      <c r="E234" s="72"/>
      <c r="F234" s="18"/>
      <c r="G234" s="10"/>
      <c r="H234" s="10"/>
      <c r="I234" s="10"/>
      <c r="J234" s="11"/>
      <c r="K234" s="11">
        <f t="shared" si="199"/>
        <v>0</v>
      </c>
      <c r="L234" s="37">
        <f t="shared" si="200"/>
        <v>0</v>
      </c>
      <c r="M234" s="11"/>
      <c r="N234" s="10"/>
      <c r="O234" s="21"/>
      <c r="P234" s="21"/>
      <c r="Q234" s="21"/>
      <c r="R234" s="23"/>
      <c r="S234" s="50"/>
      <c r="T234" s="48"/>
      <c r="U234" s="82"/>
      <c r="V234" s="26"/>
      <c r="W234" s="200"/>
      <c r="X234" s="17"/>
    </row>
    <row r="235" spans="2:24" hidden="1" x14ac:dyDescent="0.25">
      <c r="B235" s="17">
        <v>233</v>
      </c>
      <c r="C235" s="10"/>
      <c r="D235" s="10"/>
      <c r="E235" s="72"/>
      <c r="F235" s="18"/>
      <c r="G235" s="10"/>
      <c r="H235" s="10"/>
      <c r="I235" s="10"/>
      <c r="J235" s="11"/>
      <c r="K235" s="11">
        <f t="shared" si="199"/>
        <v>0</v>
      </c>
      <c r="L235" s="37">
        <f t="shared" si="200"/>
        <v>0</v>
      </c>
      <c r="M235" s="11"/>
      <c r="N235" s="10"/>
      <c r="O235" s="21"/>
      <c r="P235" s="21"/>
      <c r="Q235" s="21"/>
      <c r="R235" s="23"/>
      <c r="S235" s="50"/>
      <c r="T235" s="48"/>
      <c r="U235" s="82"/>
      <c r="V235" s="26"/>
      <c r="W235" s="200"/>
      <c r="X235" s="17"/>
    </row>
    <row r="236" spans="2:24" hidden="1" x14ac:dyDescent="0.25">
      <c r="B236" s="17">
        <v>234</v>
      </c>
      <c r="C236" s="10"/>
      <c r="D236" s="10"/>
      <c r="E236" s="72"/>
      <c r="F236" s="18"/>
      <c r="G236" s="10"/>
      <c r="H236" s="10"/>
      <c r="I236" s="10"/>
      <c r="J236" s="11"/>
      <c r="K236" s="11">
        <f t="shared" si="199"/>
        <v>0</v>
      </c>
      <c r="L236" s="37">
        <f t="shared" si="200"/>
        <v>0</v>
      </c>
      <c r="M236" s="11"/>
      <c r="N236" s="10"/>
      <c r="O236" s="21"/>
      <c r="P236" s="21"/>
      <c r="Q236" s="21"/>
      <c r="R236" s="23"/>
      <c r="S236" s="50"/>
      <c r="T236" s="48"/>
      <c r="U236" s="82"/>
      <c r="V236" s="26"/>
      <c r="W236" s="200"/>
      <c r="X236" s="17"/>
    </row>
    <row r="237" spans="2:24" hidden="1" x14ac:dyDescent="0.25">
      <c r="B237" s="17">
        <v>235</v>
      </c>
      <c r="C237" s="10"/>
      <c r="D237" s="10"/>
      <c r="E237" s="72"/>
      <c r="F237" s="18"/>
      <c r="G237" s="10"/>
      <c r="H237" s="10"/>
      <c r="I237" s="10"/>
      <c r="J237" s="11"/>
      <c r="K237" s="11">
        <f t="shared" si="199"/>
        <v>0</v>
      </c>
      <c r="L237" s="37">
        <f t="shared" si="200"/>
        <v>0</v>
      </c>
      <c r="M237" s="11"/>
      <c r="N237" s="10"/>
      <c r="O237" s="21"/>
      <c r="P237" s="21"/>
      <c r="Q237" s="21"/>
      <c r="R237" s="23"/>
      <c r="S237" s="50"/>
      <c r="T237" s="48"/>
      <c r="U237" s="82"/>
      <c r="V237" s="26"/>
      <c r="W237" s="200"/>
      <c r="X237" s="17"/>
    </row>
    <row r="238" spans="2:24" hidden="1" x14ac:dyDescent="0.25">
      <c r="B238" s="17">
        <v>236</v>
      </c>
      <c r="C238" s="10"/>
      <c r="D238" s="10"/>
      <c r="E238" s="72"/>
      <c r="F238" s="18"/>
      <c r="G238" s="10"/>
      <c r="H238" s="10"/>
      <c r="I238" s="10"/>
      <c r="J238" s="11"/>
      <c r="K238" s="11">
        <f t="shared" si="199"/>
        <v>0</v>
      </c>
      <c r="L238" s="37">
        <f t="shared" si="200"/>
        <v>0</v>
      </c>
      <c r="M238" s="11"/>
      <c r="N238" s="10"/>
      <c r="O238" s="21"/>
      <c r="P238" s="21"/>
      <c r="Q238" s="21"/>
      <c r="R238" s="23"/>
      <c r="S238" s="50"/>
      <c r="T238" s="48"/>
      <c r="U238" s="82"/>
      <c r="V238" s="32"/>
      <c r="W238" s="200"/>
      <c r="X238" s="17"/>
    </row>
    <row r="239" spans="2:24" hidden="1" x14ac:dyDescent="0.25">
      <c r="B239" s="17">
        <v>237</v>
      </c>
      <c r="C239" s="10"/>
      <c r="D239" s="10"/>
      <c r="E239" s="72"/>
      <c r="F239" s="18"/>
      <c r="G239" s="10"/>
      <c r="H239" s="10"/>
      <c r="I239" s="10"/>
      <c r="J239" s="11"/>
      <c r="K239" s="11">
        <f t="shared" si="199"/>
        <v>0</v>
      </c>
      <c r="L239" s="37">
        <f t="shared" si="200"/>
        <v>0</v>
      </c>
      <c r="M239" s="11"/>
      <c r="N239" s="10"/>
      <c r="O239" s="21"/>
      <c r="P239" s="21"/>
      <c r="Q239" s="21"/>
      <c r="R239" s="23"/>
      <c r="S239" s="50"/>
      <c r="T239" s="48"/>
      <c r="U239" s="82"/>
      <c r="V239" s="32"/>
      <c r="W239" s="200"/>
      <c r="X239" s="17"/>
    </row>
    <row r="240" spans="2:24" hidden="1" x14ac:dyDescent="0.25">
      <c r="B240" s="17">
        <v>238</v>
      </c>
      <c r="C240" s="10"/>
      <c r="D240" s="10"/>
      <c r="E240" s="72"/>
      <c r="F240" s="18"/>
      <c r="G240" s="10"/>
      <c r="H240" s="10"/>
      <c r="I240" s="10"/>
      <c r="J240" s="11"/>
      <c r="K240" s="11">
        <f t="shared" si="199"/>
        <v>0</v>
      </c>
      <c r="L240" s="37">
        <f t="shared" si="200"/>
        <v>0</v>
      </c>
      <c r="M240" s="11"/>
      <c r="N240" s="10"/>
      <c r="O240" s="21"/>
      <c r="P240" s="21"/>
      <c r="Q240" s="21"/>
      <c r="R240" s="23"/>
      <c r="S240" s="50"/>
      <c r="T240" s="48"/>
      <c r="U240" s="82"/>
      <c r="V240" s="26"/>
      <c r="W240" s="200"/>
      <c r="X240" s="17"/>
    </row>
    <row r="241" spans="2:24" hidden="1" x14ac:dyDescent="0.25">
      <c r="B241" s="17">
        <v>239</v>
      </c>
      <c r="C241" s="10"/>
      <c r="D241" s="10"/>
      <c r="E241" s="72"/>
      <c r="F241" s="18"/>
      <c r="G241" s="10"/>
      <c r="H241" s="10"/>
      <c r="I241" s="10"/>
      <c r="J241" s="11"/>
      <c r="K241" s="11">
        <f t="shared" si="199"/>
        <v>0</v>
      </c>
      <c r="L241" s="37">
        <f t="shared" si="200"/>
        <v>0</v>
      </c>
      <c r="M241" s="11"/>
      <c r="N241" s="10"/>
      <c r="O241" s="21"/>
      <c r="P241" s="21"/>
      <c r="Q241" s="21"/>
      <c r="R241" s="23"/>
      <c r="S241" s="50"/>
      <c r="T241" s="48"/>
      <c r="U241" s="82"/>
      <c r="V241" s="26"/>
      <c r="W241" s="200"/>
      <c r="X241" s="17"/>
    </row>
    <row r="242" spans="2:24" hidden="1" x14ac:dyDescent="0.25">
      <c r="B242" s="17">
        <v>240</v>
      </c>
      <c r="C242" s="10"/>
      <c r="D242" s="10"/>
      <c r="E242" s="72"/>
      <c r="F242" s="18"/>
      <c r="G242" s="10"/>
      <c r="H242" s="10"/>
      <c r="I242" s="10"/>
      <c r="J242" s="11"/>
      <c r="K242" s="11">
        <f t="shared" si="199"/>
        <v>0</v>
      </c>
      <c r="L242" s="37">
        <f t="shared" si="200"/>
        <v>0</v>
      </c>
      <c r="M242" s="11"/>
      <c r="N242" s="10"/>
      <c r="O242" s="21"/>
      <c r="P242" s="21"/>
      <c r="Q242" s="21"/>
      <c r="R242" s="23"/>
      <c r="S242" s="50"/>
      <c r="T242" s="48"/>
      <c r="U242" s="82"/>
      <c r="V242" s="26"/>
      <c r="W242" s="200"/>
      <c r="X242" s="17"/>
    </row>
    <row r="243" spans="2:24" hidden="1" x14ac:dyDescent="0.25">
      <c r="B243" s="17">
        <v>241</v>
      </c>
      <c r="C243" s="10"/>
      <c r="D243" s="10"/>
      <c r="E243" s="72"/>
      <c r="F243" s="18"/>
      <c r="G243" s="10"/>
      <c r="H243" s="10"/>
      <c r="I243" s="10"/>
      <c r="J243" s="11"/>
      <c r="K243" s="11">
        <f t="shared" si="199"/>
        <v>0</v>
      </c>
      <c r="L243" s="37">
        <f t="shared" si="200"/>
        <v>0</v>
      </c>
      <c r="M243" s="11"/>
      <c r="N243" s="10"/>
      <c r="O243" s="21"/>
      <c r="P243" s="21"/>
      <c r="Q243" s="21"/>
      <c r="R243" s="23"/>
      <c r="S243" s="50"/>
      <c r="T243" s="48"/>
      <c r="U243" s="82"/>
      <c r="V243" s="26"/>
      <c r="W243" s="200"/>
      <c r="X243" s="17"/>
    </row>
    <row r="244" spans="2:24" hidden="1" x14ac:dyDescent="0.25">
      <c r="B244" s="17">
        <v>242</v>
      </c>
      <c r="C244" s="10"/>
      <c r="D244" s="10"/>
      <c r="E244" s="72"/>
      <c r="F244" s="18"/>
      <c r="G244" s="10"/>
      <c r="H244" s="10"/>
      <c r="I244" s="10"/>
      <c r="J244" s="11"/>
      <c r="K244" s="11">
        <f t="shared" si="199"/>
        <v>0</v>
      </c>
      <c r="L244" s="37">
        <f t="shared" si="200"/>
        <v>0</v>
      </c>
      <c r="M244" s="11"/>
      <c r="N244" s="10"/>
      <c r="O244" s="21"/>
      <c r="P244" s="21"/>
      <c r="Q244" s="21"/>
      <c r="R244" s="23"/>
      <c r="S244" s="50"/>
      <c r="T244" s="48"/>
      <c r="U244" s="82"/>
      <c r="V244" s="26"/>
      <c r="W244" s="200"/>
      <c r="X244" s="17"/>
    </row>
    <row r="245" spans="2:24" hidden="1" x14ac:dyDescent="0.25">
      <c r="B245" s="17">
        <v>243</v>
      </c>
      <c r="C245" s="10"/>
      <c r="D245" s="10"/>
      <c r="E245" s="72"/>
      <c r="F245" s="18"/>
      <c r="G245" s="10"/>
      <c r="H245" s="10"/>
      <c r="I245" s="10"/>
      <c r="J245" s="11"/>
      <c r="K245" s="11">
        <f t="shared" si="199"/>
        <v>0</v>
      </c>
      <c r="L245" s="37">
        <f t="shared" si="200"/>
        <v>0</v>
      </c>
      <c r="M245" s="11"/>
      <c r="N245" s="10"/>
      <c r="O245" s="21"/>
      <c r="P245" s="21"/>
      <c r="Q245" s="21"/>
      <c r="R245" s="23"/>
      <c r="S245" s="50"/>
      <c r="T245" s="48"/>
      <c r="U245" s="82"/>
      <c r="V245" s="32"/>
      <c r="W245" s="200"/>
      <c r="X245" s="17"/>
    </row>
    <row r="246" spans="2:24" hidden="1" x14ac:dyDescent="0.25">
      <c r="B246" s="17">
        <v>244</v>
      </c>
      <c r="C246" s="10"/>
      <c r="D246" s="10"/>
      <c r="E246" s="72"/>
      <c r="F246" s="18"/>
      <c r="G246" s="10"/>
      <c r="H246" s="10"/>
      <c r="I246" s="10"/>
      <c r="J246" s="11"/>
      <c r="K246" s="11">
        <f t="shared" si="199"/>
        <v>0</v>
      </c>
      <c r="L246" s="37">
        <f t="shared" si="200"/>
        <v>0</v>
      </c>
      <c r="M246" s="11"/>
      <c r="N246" s="10"/>
      <c r="O246" s="21"/>
      <c r="P246" s="21"/>
      <c r="Q246" s="21"/>
      <c r="R246" s="23"/>
      <c r="S246" s="50"/>
      <c r="T246" s="48"/>
      <c r="U246" s="82"/>
      <c r="V246" s="32"/>
      <c r="W246" s="200"/>
      <c r="X246" s="17"/>
    </row>
    <row r="247" spans="2:24" hidden="1" x14ac:dyDescent="0.25">
      <c r="B247" s="17">
        <v>245</v>
      </c>
      <c r="C247" s="10"/>
      <c r="D247" s="10"/>
      <c r="E247" s="72"/>
      <c r="F247" s="18"/>
      <c r="G247" s="10"/>
      <c r="H247" s="10"/>
      <c r="I247" s="10"/>
      <c r="J247" s="11"/>
      <c r="K247" s="11">
        <f t="shared" si="199"/>
        <v>0</v>
      </c>
      <c r="L247" s="37">
        <f t="shared" si="200"/>
        <v>0</v>
      </c>
      <c r="M247" s="11"/>
      <c r="N247" s="10"/>
      <c r="O247" s="21"/>
      <c r="P247" s="21"/>
      <c r="Q247" s="21"/>
      <c r="R247" s="23"/>
      <c r="S247" s="50"/>
      <c r="T247" s="48"/>
      <c r="U247" s="82"/>
      <c r="V247" s="32"/>
      <c r="W247" s="200"/>
      <c r="X247" s="17"/>
    </row>
    <row r="248" spans="2:24" hidden="1" x14ac:dyDescent="0.25">
      <c r="B248" s="17">
        <v>246</v>
      </c>
      <c r="C248" s="10"/>
      <c r="D248" s="10"/>
      <c r="E248" s="72"/>
      <c r="F248" s="18"/>
      <c r="G248" s="10"/>
      <c r="H248" s="10"/>
      <c r="I248" s="10"/>
      <c r="J248" s="11"/>
      <c r="K248" s="11">
        <f t="shared" si="199"/>
        <v>0</v>
      </c>
      <c r="L248" s="37">
        <f t="shared" si="200"/>
        <v>0</v>
      </c>
      <c r="M248" s="11"/>
      <c r="N248" s="10"/>
      <c r="O248" s="21"/>
      <c r="P248" s="21"/>
      <c r="Q248" s="21"/>
      <c r="R248" s="23"/>
      <c r="S248" s="50"/>
      <c r="T248" s="48"/>
      <c r="U248" s="82"/>
      <c r="V248" s="32"/>
      <c r="W248" s="200"/>
      <c r="X248" s="17"/>
    </row>
    <row r="249" spans="2:24" hidden="1" x14ac:dyDescent="0.25">
      <c r="B249" s="17">
        <v>247</v>
      </c>
      <c r="C249" s="10"/>
      <c r="D249" s="10"/>
      <c r="E249" s="72"/>
      <c r="F249" s="18"/>
      <c r="G249" s="10"/>
      <c r="H249" s="10"/>
      <c r="I249" s="10"/>
      <c r="J249" s="11"/>
      <c r="K249" s="11">
        <f t="shared" si="199"/>
        <v>0</v>
      </c>
      <c r="L249" s="37">
        <f t="shared" si="200"/>
        <v>0</v>
      </c>
      <c r="M249" s="11"/>
      <c r="N249" s="10"/>
      <c r="O249" s="21"/>
      <c r="P249" s="21"/>
      <c r="Q249" s="21"/>
      <c r="R249" s="23"/>
      <c r="S249" s="50"/>
      <c r="T249" s="48"/>
      <c r="U249" s="82"/>
      <c r="V249" s="26"/>
      <c r="W249" s="200"/>
      <c r="X249" s="17"/>
    </row>
    <row r="250" spans="2:24" hidden="1" x14ac:dyDescent="0.25">
      <c r="B250" s="17">
        <v>248</v>
      </c>
      <c r="C250" s="10"/>
      <c r="D250" s="10"/>
      <c r="E250" s="72"/>
      <c r="F250" s="18"/>
      <c r="G250" s="10"/>
      <c r="H250" s="10"/>
      <c r="I250" s="10"/>
      <c r="J250" s="11"/>
      <c r="K250" s="11">
        <f t="shared" si="199"/>
        <v>0</v>
      </c>
      <c r="L250" s="37">
        <f t="shared" si="200"/>
        <v>0</v>
      </c>
      <c r="M250" s="11"/>
      <c r="N250" s="10"/>
      <c r="O250" s="21"/>
      <c r="P250" s="21"/>
      <c r="Q250" s="21"/>
      <c r="R250" s="23"/>
      <c r="S250" s="50"/>
      <c r="T250" s="48"/>
      <c r="U250" s="82"/>
      <c r="V250" s="26"/>
      <c r="W250" s="200"/>
      <c r="X250" s="17"/>
    </row>
    <row r="251" spans="2:24" hidden="1" x14ac:dyDescent="0.25">
      <c r="B251" s="17">
        <v>249</v>
      </c>
      <c r="C251" s="10"/>
      <c r="D251" s="10"/>
      <c r="E251" s="72"/>
      <c r="F251" s="18"/>
      <c r="G251" s="10"/>
      <c r="H251" s="10"/>
      <c r="I251" s="10"/>
      <c r="J251" s="11"/>
      <c r="K251" s="11">
        <f t="shared" si="199"/>
        <v>0</v>
      </c>
      <c r="L251" s="37">
        <f t="shared" si="200"/>
        <v>0</v>
      </c>
      <c r="M251" s="11"/>
      <c r="N251" s="10"/>
      <c r="O251" s="21"/>
      <c r="P251" s="21"/>
      <c r="Q251" s="21"/>
      <c r="R251" s="23"/>
      <c r="S251" s="50"/>
      <c r="T251" s="48"/>
      <c r="U251" s="82"/>
      <c r="V251" s="26"/>
      <c r="W251" s="200"/>
      <c r="X251" s="17"/>
    </row>
    <row r="252" spans="2:24" hidden="1" x14ac:dyDescent="0.25">
      <c r="B252" s="17">
        <v>250</v>
      </c>
      <c r="C252" s="10"/>
      <c r="D252" s="10"/>
      <c r="E252" s="72"/>
      <c r="F252" s="18"/>
      <c r="G252" s="10"/>
      <c r="H252" s="10"/>
      <c r="I252" s="10"/>
      <c r="J252" s="11"/>
      <c r="K252" s="11">
        <f t="shared" si="199"/>
        <v>0</v>
      </c>
      <c r="L252" s="37">
        <f t="shared" si="200"/>
        <v>0</v>
      </c>
      <c r="M252" s="11"/>
      <c r="N252" s="10"/>
      <c r="O252" s="21"/>
      <c r="P252" s="21"/>
      <c r="Q252" s="21"/>
      <c r="R252" s="23"/>
      <c r="S252" s="50"/>
      <c r="T252" s="48"/>
      <c r="U252" s="82"/>
      <c r="V252" s="26"/>
      <c r="W252" s="200"/>
      <c r="X252" s="17"/>
    </row>
    <row r="253" spans="2:24" hidden="1" x14ac:dyDescent="0.25">
      <c r="B253" s="17">
        <v>251</v>
      </c>
      <c r="C253" s="10"/>
      <c r="D253" s="10"/>
      <c r="E253" s="72"/>
      <c r="F253" s="18"/>
      <c r="G253" s="10"/>
      <c r="H253" s="10"/>
      <c r="I253" s="10"/>
      <c r="J253" s="11"/>
      <c r="K253" s="11">
        <f t="shared" si="199"/>
        <v>0</v>
      </c>
      <c r="L253" s="37">
        <f t="shared" si="200"/>
        <v>0</v>
      </c>
      <c r="M253" s="11"/>
      <c r="N253" s="10"/>
      <c r="O253" s="21"/>
      <c r="P253" s="21"/>
      <c r="Q253" s="21"/>
      <c r="R253" s="23"/>
      <c r="S253" s="50"/>
      <c r="T253" s="48"/>
      <c r="U253" s="82"/>
      <c r="V253" s="32"/>
      <c r="W253" s="200"/>
      <c r="X253" s="17"/>
    </row>
    <row r="254" spans="2:24" hidden="1" x14ac:dyDescent="0.25">
      <c r="B254" s="17">
        <v>252</v>
      </c>
      <c r="C254" s="10"/>
      <c r="D254" s="10"/>
      <c r="E254" s="72"/>
      <c r="F254" s="18"/>
      <c r="G254" s="10"/>
      <c r="H254" s="10"/>
      <c r="I254" s="10"/>
      <c r="J254" s="11"/>
      <c r="K254" s="11">
        <f t="shared" si="199"/>
        <v>0</v>
      </c>
      <c r="L254" s="37">
        <f t="shared" si="200"/>
        <v>0</v>
      </c>
      <c r="M254" s="11"/>
      <c r="N254" s="10"/>
      <c r="O254" s="21"/>
      <c r="P254" s="21"/>
      <c r="Q254" s="21"/>
      <c r="R254" s="23"/>
      <c r="S254" s="50"/>
      <c r="T254" s="48"/>
      <c r="U254" s="82"/>
      <c r="V254" s="32"/>
      <c r="W254" s="200"/>
      <c r="X254" s="17"/>
    </row>
    <row r="255" spans="2:24" hidden="1" x14ac:dyDescent="0.25">
      <c r="B255" s="17">
        <v>253</v>
      </c>
      <c r="C255" s="10"/>
      <c r="D255" s="10"/>
      <c r="E255" s="72"/>
      <c r="F255" s="18"/>
      <c r="G255" s="10"/>
      <c r="H255" s="10"/>
      <c r="I255" s="10"/>
      <c r="J255" s="11"/>
      <c r="K255" s="11">
        <f t="shared" si="199"/>
        <v>0</v>
      </c>
      <c r="L255" s="37">
        <f t="shared" si="200"/>
        <v>0</v>
      </c>
      <c r="M255" s="11"/>
      <c r="N255" s="10"/>
      <c r="O255" s="21"/>
      <c r="P255" s="21"/>
      <c r="Q255" s="21"/>
      <c r="R255" s="23"/>
      <c r="S255" s="50"/>
      <c r="T255" s="48"/>
      <c r="U255" s="82"/>
      <c r="V255" s="26"/>
      <c r="W255" s="200"/>
      <c r="X255" s="17"/>
    </row>
    <row r="256" spans="2:24" hidden="1" x14ac:dyDescent="0.25">
      <c r="B256" s="17">
        <v>254</v>
      </c>
      <c r="C256" s="10"/>
      <c r="D256" s="10"/>
      <c r="E256" s="72"/>
      <c r="F256" s="18"/>
      <c r="G256" s="10"/>
      <c r="H256" s="10"/>
      <c r="I256" s="10"/>
      <c r="J256" s="11"/>
      <c r="K256" s="11">
        <f t="shared" si="199"/>
        <v>0</v>
      </c>
      <c r="L256" s="37">
        <f t="shared" si="200"/>
        <v>0</v>
      </c>
      <c r="M256" s="11"/>
      <c r="N256" s="10"/>
      <c r="O256" s="21"/>
      <c r="P256" s="21"/>
      <c r="Q256" s="21"/>
      <c r="R256" s="23"/>
      <c r="S256" s="50"/>
      <c r="T256" s="48"/>
      <c r="U256" s="82"/>
      <c r="V256" s="26"/>
      <c r="W256" s="200"/>
      <c r="X256" s="17"/>
    </row>
    <row r="257" spans="2:24" hidden="1" x14ac:dyDescent="0.25">
      <c r="B257" s="17">
        <v>255</v>
      </c>
      <c r="C257" s="10"/>
      <c r="D257" s="10"/>
      <c r="E257" s="72"/>
      <c r="F257" s="18"/>
      <c r="G257" s="10"/>
      <c r="H257" s="10"/>
      <c r="I257" s="10"/>
      <c r="J257" s="11"/>
      <c r="K257" s="11">
        <f t="shared" si="199"/>
        <v>0</v>
      </c>
      <c r="L257" s="37">
        <f t="shared" si="200"/>
        <v>0</v>
      </c>
      <c r="M257" s="11"/>
      <c r="N257" s="10"/>
      <c r="O257" s="21"/>
      <c r="P257" s="21"/>
      <c r="Q257" s="21"/>
      <c r="R257" s="23"/>
      <c r="S257" s="50"/>
      <c r="T257" s="48"/>
      <c r="U257" s="82"/>
      <c r="V257" s="26"/>
      <c r="W257" s="200"/>
      <c r="X257" s="17"/>
    </row>
    <row r="258" spans="2:24" hidden="1" x14ac:dyDescent="0.25">
      <c r="B258" s="17">
        <v>256</v>
      </c>
      <c r="C258" s="10"/>
      <c r="D258" s="10"/>
      <c r="E258" s="72"/>
      <c r="F258" s="18"/>
      <c r="G258" s="10"/>
      <c r="H258" s="10"/>
      <c r="I258" s="10"/>
      <c r="J258" s="11"/>
      <c r="K258" s="11">
        <f t="shared" si="199"/>
        <v>0</v>
      </c>
      <c r="L258" s="37">
        <f t="shared" si="200"/>
        <v>0</v>
      </c>
      <c r="M258" s="11"/>
      <c r="N258" s="10"/>
      <c r="O258" s="21"/>
      <c r="P258" s="21"/>
      <c r="Q258" s="21"/>
      <c r="R258" s="23"/>
      <c r="S258" s="50"/>
      <c r="T258" s="48"/>
      <c r="U258" s="82"/>
      <c r="V258" s="26"/>
      <c r="W258" s="200"/>
      <c r="X258" s="17"/>
    </row>
    <row r="259" spans="2:24" hidden="1" x14ac:dyDescent="0.25">
      <c r="B259" s="17">
        <v>257</v>
      </c>
      <c r="C259" s="10"/>
      <c r="D259" s="10"/>
      <c r="E259" s="72"/>
      <c r="F259" s="18"/>
      <c r="G259" s="10"/>
      <c r="H259" s="10"/>
      <c r="I259" s="10"/>
      <c r="J259" s="11"/>
      <c r="K259" s="11">
        <f t="shared" si="199"/>
        <v>0</v>
      </c>
      <c r="L259" s="37">
        <f t="shared" si="200"/>
        <v>0</v>
      </c>
      <c r="M259" s="11"/>
      <c r="N259" s="10"/>
      <c r="O259" s="21"/>
      <c r="P259" s="21"/>
      <c r="Q259" s="21"/>
      <c r="R259" s="23"/>
      <c r="S259" s="50"/>
      <c r="T259" s="48"/>
      <c r="U259" s="82"/>
      <c r="V259" s="26"/>
      <c r="W259" s="200"/>
      <c r="X259" s="17"/>
    </row>
    <row r="260" spans="2:24" hidden="1" x14ac:dyDescent="0.25">
      <c r="B260" s="17">
        <v>258</v>
      </c>
      <c r="C260" s="10"/>
      <c r="D260" s="10"/>
      <c r="E260" s="72"/>
      <c r="F260" s="18"/>
      <c r="G260" s="10"/>
      <c r="H260" s="10"/>
      <c r="I260" s="10"/>
      <c r="J260" s="11"/>
      <c r="K260" s="11">
        <f t="shared" ref="K260:K284" si="201">J260*1.1</f>
        <v>0</v>
      </c>
      <c r="L260" s="37">
        <f t="shared" ref="L260:L284" si="202">J260*0.00000001</f>
        <v>0</v>
      </c>
      <c r="M260" s="11"/>
      <c r="N260" s="10"/>
      <c r="O260" s="21"/>
      <c r="P260" s="21"/>
      <c r="Q260" s="21"/>
      <c r="R260" s="23"/>
      <c r="S260" s="50"/>
      <c r="T260" s="48"/>
      <c r="U260" s="82"/>
      <c r="V260" s="32"/>
      <c r="W260" s="200"/>
      <c r="X260" s="17"/>
    </row>
    <row r="261" spans="2:24" hidden="1" x14ac:dyDescent="0.25">
      <c r="B261" s="17">
        <v>259</v>
      </c>
      <c r="C261" s="10"/>
      <c r="D261" s="10"/>
      <c r="E261" s="72"/>
      <c r="F261" s="18"/>
      <c r="G261" s="10"/>
      <c r="H261" s="10"/>
      <c r="I261" s="10"/>
      <c r="J261" s="11"/>
      <c r="K261" s="11">
        <f t="shared" si="201"/>
        <v>0</v>
      </c>
      <c r="L261" s="37">
        <f t="shared" si="202"/>
        <v>0</v>
      </c>
      <c r="M261" s="11"/>
      <c r="N261" s="10"/>
      <c r="O261" s="21"/>
      <c r="P261" s="21"/>
      <c r="Q261" s="21"/>
      <c r="R261" s="23"/>
      <c r="S261" s="50"/>
      <c r="T261" s="48"/>
      <c r="U261" s="82"/>
      <c r="V261" s="32"/>
      <c r="W261" s="200"/>
      <c r="X261" s="17"/>
    </row>
    <row r="262" spans="2:24" hidden="1" x14ac:dyDescent="0.25">
      <c r="B262" s="17">
        <v>260</v>
      </c>
      <c r="C262" s="10"/>
      <c r="D262" s="10"/>
      <c r="E262" s="72"/>
      <c r="F262" s="18"/>
      <c r="G262" s="10"/>
      <c r="H262" s="10"/>
      <c r="I262" s="10"/>
      <c r="J262" s="11"/>
      <c r="K262" s="11">
        <f t="shared" si="201"/>
        <v>0</v>
      </c>
      <c r="L262" s="37">
        <f t="shared" si="202"/>
        <v>0</v>
      </c>
      <c r="M262" s="11"/>
      <c r="N262" s="10"/>
      <c r="O262" s="21"/>
      <c r="P262" s="21"/>
      <c r="Q262" s="21"/>
      <c r="R262" s="23"/>
      <c r="S262" s="50"/>
      <c r="T262" s="48"/>
      <c r="U262" s="82"/>
      <c r="V262" s="26"/>
      <c r="W262" s="200"/>
      <c r="X262" s="17"/>
    </row>
    <row r="263" spans="2:24" hidden="1" x14ac:dyDescent="0.25">
      <c r="B263" s="17">
        <v>261</v>
      </c>
      <c r="C263" s="10"/>
      <c r="D263" s="10"/>
      <c r="E263" s="72"/>
      <c r="F263" s="18"/>
      <c r="G263" s="10"/>
      <c r="H263" s="10"/>
      <c r="I263" s="10"/>
      <c r="J263" s="11"/>
      <c r="K263" s="11">
        <f t="shared" si="201"/>
        <v>0</v>
      </c>
      <c r="L263" s="37">
        <f t="shared" si="202"/>
        <v>0</v>
      </c>
      <c r="M263" s="11"/>
      <c r="N263" s="10"/>
      <c r="O263" s="21"/>
      <c r="P263" s="21"/>
      <c r="Q263" s="21"/>
      <c r="R263" s="23"/>
      <c r="S263" s="50"/>
      <c r="T263" s="48"/>
      <c r="U263" s="82"/>
      <c r="V263" s="26"/>
      <c r="W263" s="200"/>
      <c r="X263" s="17"/>
    </row>
    <row r="264" spans="2:24" hidden="1" x14ac:dyDescent="0.25">
      <c r="B264" s="17">
        <v>262</v>
      </c>
      <c r="C264" s="10"/>
      <c r="D264" s="10"/>
      <c r="E264" s="72"/>
      <c r="F264" s="18"/>
      <c r="G264" s="10"/>
      <c r="H264" s="10"/>
      <c r="I264" s="10"/>
      <c r="J264" s="11"/>
      <c r="K264" s="11">
        <f t="shared" si="201"/>
        <v>0</v>
      </c>
      <c r="L264" s="37">
        <f t="shared" si="202"/>
        <v>0</v>
      </c>
      <c r="M264" s="11"/>
      <c r="N264" s="10"/>
      <c r="O264" s="21"/>
      <c r="P264" s="21"/>
      <c r="Q264" s="21"/>
      <c r="R264" s="23"/>
      <c r="S264" s="50"/>
      <c r="T264" s="48"/>
      <c r="U264" s="82"/>
      <c r="V264" s="26"/>
      <c r="W264" s="200"/>
      <c r="X264" s="17"/>
    </row>
    <row r="265" spans="2:24" hidden="1" x14ac:dyDescent="0.25">
      <c r="B265" s="17">
        <v>263</v>
      </c>
      <c r="C265" s="10"/>
      <c r="D265" s="10"/>
      <c r="E265" s="72"/>
      <c r="F265" s="18"/>
      <c r="G265" s="10"/>
      <c r="H265" s="10"/>
      <c r="I265" s="10"/>
      <c r="J265" s="11"/>
      <c r="K265" s="11">
        <f t="shared" si="201"/>
        <v>0</v>
      </c>
      <c r="L265" s="37">
        <f t="shared" si="202"/>
        <v>0</v>
      </c>
      <c r="M265" s="11"/>
      <c r="N265" s="10"/>
      <c r="O265" s="21"/>
      <c r="P265" s="21"/>
      <c r="Q265" s="21"/>
      <c r="R265" s="23"/>
      <c r="S265" s="50"/>
      <c r="T265" s="48"/>
      <c r="U265" s="82"/>
      <c r="V265" s="26"/>
      <c r="W265" s="200"/>
      <c r="X265" s="17"/>
    </row>
    <row r="266" spans="2:24" hidden="1" x14ac:dyDescent="0.25">
      <c r="B266" s="17">
        <v>264</v>
      </c>
      <c r="C266" s="10"/>
      <c r="D266" s="10"/>
      <c r="E266" s="72"/>
      <c r="F266" s="18"/>
      <c r="G266" s="10"/>
      <c r="H266" s="10"/>
      <c r="I266" s="10"/>
      <c r="J266" s="11"/>
      <c r="K266" s="11">
        <f t="shared" si="201"/>
        <v>0</v>
      </c>
      <c r="L266" s="37">
        <f t="shared" si="202"/>
        <v>0</v>
      </c>
      <c r="M266" s="11"/>
      <c r="N266" s="10"/>
      <c r="O266" s="21"/>
      <c r="P266" s="21"/>
      <c r="Q266" s="21"/>
      <c r="R266" s="23"/>
      <c r="S266" s="50"/>
      <c r="T266" s="48"/>
      <c r="U266" s="82"/>
      <c r="V266" s="26"/>
      <c r="W266" s="200"/>
      <c r="X266" s="17"/>
    </row>
    <row r="267" spans="2:24" hidden="1" x14ac:dyDescent="0.25">
      <c r="B267" s="17">
        <v>265</v>
      </c>
      <c r="C267" s="10"/>
      <c r="D267" s="10"/>
      <c r="E267" s="72"/>
      <c r="F267" s="18"/>
      <c r="G267" s="10"/>
      <c r="H267" s="10"/>
      <c r="I267" s="10"/>
      <c r="J267" s="11"/>
      <c r="K267" s="11">
        <f t="shared" si="201"/>
        <v>0</v>
      </c>
      <c r="L267" s="37">
        <f t="shared" si="202"/>
        <v>0</v>
      </c>
      <c r="M267" s="11"/>
      <c r="N267" s="10"/>
      <c r="O267" s="21"/>
      <c r="P267" s="21"/>
      <c r="Q267" s="21"/>
      <c r="R267" s="23"/>
      <c r="S267" s="50"/>
      <c r="T267" s="48"/>
      <c r="U267" s="82"/>
      <c r="V267" s="32"/>
      <c r="W267" s="200"/>
      <c r="X267" s="17"/>
    </row>
    <row r="268" spans="2:24" hidden="1" x14ac:dyDescent="0.25">
      <c r="B268" s="17">
        <v>266</v>
      </c>
      <c r="C268" s="10"/>
      <c r="D268" s="10"/>
      <c r="E268" s="72"/>
      <c r="F268" s="18"/>
      <c r="G268" s="10"/>
      <c r="H268" s="10"/>
      <c r="I268" s="10"/>
      <c r="J268" s="11"/>
      <c r="K268" s="11">
        <f t="shared" si="201"/>
        <v>0</v>
      </c>
      <c r="L268" s="37">
        <f t="shared" si="202"/>
        <v>0</v>
      </c>
      <c r="M268" s="11"/>
      <c r="N268" s="10"/>
      <c r="O268" s="21"/>
      <c r="P268" s="21"/>
      <c r="Q268" s="21"/>
      <c r="R268" s="23"/>
      <c r="S268" s="50"/>
      <c r="T268" s="48"/>
      <c r="U268" s="82"/>
      <c r="V268" s="32"/>
      <c r="W268" s="200"/>
      <c r="X268" s="17"/>
    </row>
    <row r="269" spans="2:24" hidden="1" x14ac:dyDescent="0.25">
      <c r="B269" s="17">
        <v>267</v>
      </c>
      <c r="C269" s="10"/>
      <c r="D269" s="10"/>
      <c r="E269" s="72"/>
      <c r="F269" s="18"/>
      <c r="G269" s="10"/>
      <c r="H269" s="10"/>
      <c r="I269" s="10"/>
      <c r="J269" s="11"/>
      <c r="K269" s="11">
        <f t="shared" si="201"/>
        <v>0</v>
      </c>
      <c r="L269" s="37">
        <f t="shared" si="202"/>
        <v>0</v>
      </c>
      <c r="M269" s="11"/>
      <c r="N269" s="10"/>
      <c r="O269" s="21"/>
      <c r="P269" s="21"/>
      <c r="Q269" s="21"/>
      <c r="R269" s="23"/>
      <c r="S269" s="50"/>
      <c r="T269" s="48"/>
      <c r="U269" s="82"/>
      <c r="V269" s="32"/>
      <c r="W269" s="200"/>
      <c r="X269" s="17"/>
    </row>
    <row r="270" spans="2:24" hidden="1" x14ac:dyDescent="0.25">
      <c r="B270" s="17">
        <v>268</v>
      </c>
      <c r="C270" s="10"/>
      <c r="D270" s="10"/>
      <c r="E270" s="72"/>
      <c r="F270" s="18"/>
      <c r="G270" s="10"/>
      <c r="H270" s="10"/>
      <c r="I270" s="10"/>
      <c r="J270" s="11"/>
      <c r="K270" s="11">
        <f t="shared" si="201"/>
        <v>0</v>
      </c>
      <c r="L270" s="37">
        <f t="shared" si="202"/>
        <v>0</v>
      </c>
      <c r="M270" s="11"/>
      <c r="N270" s="10"/>
      <c r="O270" s="21"/>
      <c r="P270" s="21"/>
      <c r="Q270" s="21"/>
      <c r="R270" s="23"/>
      <c r="S270" s="50"/>
      <c r="T270" s="48"/>
      <c r="U270" s="82"/>
      <c r="V270" s="32"/>
      <c r="W270" s="200"/>
      <c r="X270" s="17"/>
    </row>
    <row r="271" spans="2:24" hidden="1" x14ac:dyDescent="0.25">
      <c r="B271" s="17">
        <v>269</v>
      </c>
      <c r="C271" s="10"/>
      <c r="D271" s="10"/>
      <c r="E271" s="72"/>
      <c r="F271" s="18"/>
      <c r="G271" s="10"/>
      <c r="H271" s="10"/>
      <c r="I271" s="10"/>
      <c r="J271" s="11"/>
      <c r="K271" s="11">
        <f t="shared" si="201"/>
        <v>0</v>
      </c>
      <c r="L271" s="37">
        <f t="shared" si="202"/>
        <v>0</v>
      </c>
      <c r="M271" s="11"/>
      <c r="N271" s="10"/>
      <c r="O271" s="21"/>
      <c r="P271" s="21"/>
      <c r="Q271" s="21"/>
      <c r="R271" s="23"/>
      <c r="S271" s="50"/>
      <c r="T271" s="48"/>
      <c r="U271" s="82"/>
      <c r="V271" s="26"/>
      <c r="W271" s="200"/>
      <c r="X271" s="17"/>
    </row>
    <row r="272" spans="2:24" hidden="1" x14ac:dyDescent="0.25">
      <c r="B272" s="17">
        <v>270</v>
      </c>
      <c r="C272" s="10"/>
      <c r="D272" s="10"/>
      <c r="E272" s="72"/>
      <c r="F272" s="18"/>
      <c r="G272" s="10"/>
      <c r="H272" s="10"/>
      <c r="I272" s="10"/>
      <c r="J272" s="11"/>
      <c r="K272" s="11">
        <f t="shared" si="201"/>
        <v>0</v>
      </c>
      <c r="L272" s="37">
        <f t="shared" si="202"/>
        <v>0</v>
      </c>
      <c r="M272" s="11"/>
      <c r="N272" s="10"/>
      <c r="O272" s="21"/>
      <c r="P272" s="21"/>
      <c r="Q272" s="21"/>
      <c r="R272" s="23"/>
      <c r="S272" s="50"/>
      <c r="T272" s="48"/>
      <c r="U272" s="82"/>
      <c r="V272" s="26"/>
      <c r="W272" s="200"/>
      <c r="X272" s="17"/>
    </row>
    <row r="273" spans="2:24" hidden="1" x14ac:dyDescent="0.25">
      <c r="B273" s="17">
        <v>271</v>
      </c>
      <c r="C273" s="10"/>
      <c r="D273" s="10"/>
      <c r="E273" s="72"/>
      <c r="F273" s="18"/>
      <c r="G273" s="10"/>
      <c r="H273" s="10"/>
      <c r="I273" s="10"/>
      <c r="J273" s="11"/>
      <c r="K273" s="11">
        <f t="shared" si="201"/>
        <v>0</v>
      </c>
      <c r="L273" s="37">
        <f t="shared" si="202"/>
        <v>0</v>
      </c>
      <c r="M273" s="11"/>
      <c r="N273" s="10"/>
      <c r="O273" s="21"/>
      <c r="P273" s="21"/>
      <c r="Q273" s="21"/>
      <c r="R273" s="23"/>
      <c r="S273" s="50"/>
      <c r="T273" s="48"/>
      <c r="U273" s="82"/>
      <c r="V273" s="26"/>
      <c r="W273" s="200"/>
      <c r="X273" s="17"/>
    </row>
    <row r="274" spans="2:24" hidden="1" x14ac:dyDescent="0.25">
      <c r="B274" s="17">
        <v>272</v>
      </c>
      <c r="C274" s="10"/>
      <c r="D274" s="10"/>
      <c r="E274" s="72"/>
      <c r="F274" s="18"/>
      <c r="G274" s="10"/>
      <c r="H274" s="10"/>
      <c r="I274" s="10"/>
      <c r="J274" s="11"/>
      <c r="K274" s="11">
        <f t="shared" si="201"/>
        <v>0</v>
      </c>
      <c r="L274" s="37">
        <f t="shared" si="202"/>
        <v>0</v>
      </c>
      <c r="M274" s="11"/>
      <c r="N274" s="10"/>
      <c r="O274" s="21"/>
      <c r="P274" s="21"/>
      <c r="Q274" s="21"/>
      <c r="R274" s="23"/>
      <c r="S274" s="50"/>
      <c r="T274" s="48"/>
      <c r="U274" s="82"/>
      <c r="V274" s="26"/>
      <c r="W274" s="200"/>
      <c r="X274" s="17"/>
    </row>
    <row r="275" spans="2:24" hidden="1" x14ac:dyDescent="0.25">
      <c r="B275" s="17">
        <v>273</v>
      </c>
      <c r="C275" s="10"/>
      <c r="D275" s="10"/>
      <c r="E275" s="72"/>
      <c r="F275" s="18"/>
      <c r="G275" s="10"/>
      <c r="H275" s="10"/>
      <c r="I275" s="10"/>
      <c r="J275" s="11"/>
      <c r="K275" s="11">
        <f t="shared" si="201"/>
        <v>0</v>
      </c>
      <c r="L275" s="37">
        <f t="shared" si="202"/>
        <v>0</v>
      </c>
      <c r="M275" s="11"/>
      <c r="N275" s="10"/>
      <c r="O275" s="21"/>
      <c r="P275" s="21"/>
      <c r="Q275" s="21"/>
      <c r="R275" s="23"/>
      <c r="S275" s="50"/>
      <c r="T275" s="48"/>
      <c r="U275" s="82"/>
      <c r="V275" s="26"/>
      <c r="W275" s="200"/>
      <c r="X275" s="17"/>
    </row>
    <row r="276" spans="2:24" hidden="1" x14ac:dyDescent="0.25">
      <c r="B276" s="17">
        <v>274</v>
      </c>
      <c r="C276" s="10"/>
      <c r="D276" s="10"/>
      <c r="E276" s="72"/>
      <c r="F276" s="18"/>
      <c r="G276" s="10"/>
      <c r="H276" s="10"/>
      <c r="I276" s="10"/>
      <c r="J276" s="11"/>
      <c r="K276" s="11">
        <f t="shared" si="201"/>
        <v>0</v>
      </c>
      <c r="L276" s="37">
        <f t="shared" si="202"/>
        <v>0</v>
      </c>
      <c r="M276" s="11"/>
      <c r="N276" s="10"/>
      <c r="O276" s="21"/>
      <c r="P276" s="21"/>
      <c r="Q276" s="21"/>
      <c r="R276" s="23"/>
      <c r="S276" s="50"/>
      <c r="T276" s="48"/>
      <c r="U276" s="82"/>
      <c r="V276" s="32"/>
      <c r="W276" s="200"/>
      <c r="X276" s="17"/>
    </row>
    <row r="277" spans="2:24" hidden="1" x14ac:dyDescent="0.25">
      <c r="B277" s="17">
        <v>275</v>
      </c>
      <c r="C277" s="10"/>
      <c r="D277" s="10"/>
      <c r="E277" s="72"/>
      <c r="F277" s="18"/>
      <c r="G277" s="10"/>
      <c r="H277" s="10"/>
      <c r="I277" s="10"/>
      <c r="J277" s="11"/>
      <c r="K277" s="11">
        <f t="shared" si="201"/>
        <v>0</v>
      </c>
      <c r="L277" s="37">
        <f t="shared" si="202"/>
        <v>0</v>
      </c>
      <c r="M277" s="11"/>
      <c r="N277" s="10"/>
      <c r="O277" s="21"/>
      <c r="P277" s="21"/>
      <c r="Q277" s="21"/>
      <c r="R277" s="23"/>
      <c r="S277" s="50"/>
      <c r="T277" s="48"/>
      <c r="U277" s="82"/>
      <c r="V277" s="32"/>
      <c r="W277" s="200"/>
      <c r="X277" s="17"/>
    </row>
    <row r="278" spans="2:24" hidden="1" x14ac:dyDescent="0.25">
      <c r="B278" s="17">
        <v>276</v>
      </c>
      <c r="C278" s="10"/>
      <c r="D278" s="10"/>
      <c r="E278" s="72"/>
      <c r="F278" s="18"/>
      <c r="G278" s="10"/>
      <c r="H278" s="10"/>
      <c r="I278" s="10"/>
      <c r="J278" s="11"/>
      <c r="K278" s="11">
        <f t="shared" si="201"/>
        <v>0</v>
      </c>
      <c r="L278" s="37">
        <f t="shared" si="202"/>
        <v>0</v>
      </c>
      <c r="M278" s="11"/>
      <c r="N278" s="10"/>
      <c r="O278" s="21"/>
      <c r="P278" s="21"/>
      <c r="Q278" s="21"/>
      <c r="R278" s="23"/>
      <c r="S278" s="50"/>
      <c r="T278" s="48"/>
      <c r="U278" s="82"/>
      <c r="V278" s="26"/>
      <c r="W278" s="200"/>
      <c r="X278" s="17"/>
    </row>
    <row r="279" spans="2:24" hidden="1" x14ac:dyDescent="0.25">
      <c r="B279" s="17">
        <v>277</v>
      </c>
      <c r="C279" s="10"/>
      <c r="D279" s="10"/>
      <c r="E279" s="72"/>
      <c r="F279" s="18"/>
      <c r="G279" s="10"/>
      <c r="H279" s="10"/>
      <c r="I279" s="10"/>
      <c r="J279" s="11"/>
      <c r="K279" s="11">
        <f t="shared" si="201"/>
        <v>0</v>
      </c>
      <c r="L279" s="37">
        <f t="shared" si="202"/>
        <v>0</v>
      </c>
      <c r="M279" s="11"/>
      <c r="N279" s="10"/>
      <c r="O279" s="21"/>
      <c r="P279" s="21"/>
      <c r="Q279" s="21"/>
      <c r="R279" s="23"/>
      <c r="S279" s="50"/>
      <c r="T279" s="48"/>
      <c r="U279" s="82"/>
      <c r="V279" s="26"/>
      <c r="W279" s="200"/>
      <c r="X279" s="17"/>
    </row>
    <row r="280" spans="2:24" hidden="1" x14ac:dyDescent="0.25">
      <c r="B280" s="17">
        <v>278</v>
      </c>
      <c r="C280" s="10"/>
      <c r="D280" s="10"/>
      <c r="E280" s="72"/>
      <c r="F280" s="18"/>
      <c r="G280" s="10"/>
      <c r="H280" s="10"/>
      <c r="I280" s="10"/>
      <c r="J280" s="11"/>
      <c r="K280" s="11">
        <f t="shared" si="201"/>
        <v>0</v>
      </c>
      <c r="L280" s="37">
        <f t="shared" si="202"/>
        <v>0</v>
      </c>
      <c r="M280" s="11"/>
      <c r="N280" s="10"/>
      <c r="O280" s="21"/>
      <c r="P280" s="21"/>
      <c r="Q280" s="21"/>
      <c r="R280" s="23"/>
      <c r="S280" s="50"/>
      <c r="T280" s="48"/>
      <c r="U280" s="82"/>
      <c r="V280" s="26"/>
      <c r="W280" s="200"/>
      <c r="X280" s="17"/>
    </row>
    <row r="281" spans="2:24" hidden="1" x14ac:dyDescent="0.25">
      <c r="B281" s="17">
        <v>279</v>
      </c>
      <c r="C281" s="10"/>
      <c r="D281" s="10"/>
      <c r="E281" s="72"/>
      <c r="F281" s="18"/>
      <c r="G281" s="10"/>
      <c r="H281" s="10"/>
      <c r="I281" s="10"/>
      <c r="J281" s="11"/>
      <c r="K281" s="11">
        <f t="shared" si="201"/>
        <v>0</v>
      </c>
      <c r="L281" s="37">
        <f t="shared" si="202"/>
        <v>0</v>
      </c>
      <c r="M281" s="11"/>
      <c r="N281" s="10"/>
      <c r="O281" s="21"/>
      <c r="P281" s="21"/>
      <c r="Q281" s="21"/>
      <c r="R281" s="23"/>
      <c r="S281" s="50"/>
      <c r="T281" s="48"/>
      <c r="U281" s="82"/>
      <c r="V281" s="26"/>
      <c r="W281" s="200"/>
      <c r="X281" s="17"/>
    </row>
    <row r="282" spans="2:24" hidden="1" x14ac:dyDescent="0.25">
      <c r="B282" s="17">
        <v>280</v>
      </c>
      <c r="C282" s="10"/>
      <c r="D282" s="10"/>
      <c r="E282" s="72"/>
      <c r="F282" s="18"/>
      <c r="G282" s="10"/>
      <c r="H282" s="10"/>
      <c r="I282" s="10"/>
      <c r="J282" s="11"/>
      <c r="K282" s="11">
        <f t="shared" si="201"/>
        <v>0</v>
      </c>
      <c r="L282" s="37">
        <f t="shared" si="202"/>
        <v>0</v>
      </c>
      <c r="M282" s="11"/>
      <c r="N282" s="10"/>
      <c r="O282" s="21"/>
      <c r="P282" s="21"/>
      <c r="Q282" s="21"/>
      <c r="R282" s="23"/>
      <c r="S282" s="50"/>
      <c r="T282" s="48"/>
      <c r="U282" s="82"/>
      <c r="V282" s="26"/>
      <c r="W282" s="200"/>
      <c r="X282" s="17"/>
    </row>
    <row r="283" spans="2:24" hidden="1" x14ac:dyDescent="0.25">
      <c r="B283" s="17">
        <v>281</v>
      </c>
      <c r="C283" s="10"/>
      <c r="D283" s="10"/>
      <c r="E283" s="72"/>
      <c r="F283" s="18"/>
      <c r="G283" s="10"/>
      <c r="H283" s="10"/>
      <c r="I283" s="10"/>
      <c r="J283" s="11"/>
      <c r="K283" s="11">
        <f t="shared" si="201"/>
        <v>0</v>
      </c>
      <c r="L283" s="37">
        <f t="shared" si="202"/>
        <v>0</v>
      </c>
      <c r="M283" s="11"/>
      <c r="N283" s="10"/>
      <c r="O283" s="21"/>
      <c r="P283" s="21"/>
      <c r="Q283" s="21"/>
      <c r="R283" s="23"/>
      <c r="S283" s="50"/>
      <c r="T283" s="48"/>
      <c r="U283" s="82"/>
      <c r="V283" s="32"/>
      <c r="W283" s="200"/>
      <c r="X283" s="17"/>
    </row>
    <row r="284" spans="2:24" hidden="1" x14ac:dyDescent="0.25">
      <c r="B284" s="17">
        <v>282</v>
      </c>
      <c r="C284" s="10"/>
      <c r="D284" s="10"/>
      <c r="E284" s="72"/>
      <c r="F284" s="18"/>
      <c r="G284" s="10"/>
      <c r="H284" s="10"/>
      <c r="I284" s="10"/>
      <c r="J284" s="11"/>
      <c r="K284" s="11">
        <f t="shared" si="201"/>
        <v>0</v>
      </c>
      <c r="L284" s="37">
        <f t="shared" si="202"/>
        <v>0</v>
      </c>
      <c r="M284" s="11"/>
      <c r="N284" s="10"/>
      <c r="O284" s="21"/>
      <c r="P284" s="21"/>
      <c r="Q284" s="21"/>
      <c r="R284" s="23"/>
      <c r="S284" s="50"/>
      <c r="T284" s="48"/>
      <c r="U284" s="82"/>
      <c r="V284" s="32"/>
      <c r="W284" s="200"/>
      <c r="X284" s="17"/>
    </row>
    <row r="285" spans="2:24" hidden="1" x14ac:dyDescent="0.25">
      <c r="B285" s="17">
        <v>283</v>
      </c>
      <c r="C285" s="10"/>
      <c r="D285" s="10"/>
      <c r="E285" s="72"/>
      <c r="F285" s="18"/>
      <c r="G285" s="10"/>
      <c r="H285" s="10"/>
      <c r="I285" s="10"/>
      <c r="J285" s="11"/>
      <c r="K285" s="11">
        <f t="shared" ref="K285:K302" si="203">J285*1.1</f>
        <v>0</v>
      </c>
      <c r="L285" s="37">
        <f t="shared" ref="L285:L302" si="204">J285*0.00000001</f>
        <v>0</v>
      </c>
      <c r="M285" s="11"/>
      <c r="N285" s="10"/>
      <c r="O285" s="21"/>
      <c r="P285" s="21"/>
      <c r="Q285" s="21"/>
      <c r="R285" s="23"/>
      <c r="S285" s="50"/>
      <c r="T285" s="48"/>
      <c r="U285" s="82"/>
      <c r="V285" s="32"/>
      <c r="W285" s="200"/>
      <c r="X285" s="17"/>
    </row>
    <row r="286" spans="2:24" hidden="1" x14ac:dyDescent="0.25">
      <c r="B286" s="17">
        <v>284</v>
      </c>
      <c r="C286" s="10"/>
      <c r="D286" s="10"/>
      <c r="K286" s="11">
        <f t="shared" si="203"/>
        <v>0</v>
      </c>
      <c r="L286" s="37">
        <f t="shared" si="204"/>
        <v>0</v>
      </c>
      <c r="Q286" s="21"/>
      <c r="T286" s="56"/>
      <c r="U286" s="82"/>
      <c r="V286" s="84"/>
      <c r="W286" s="200"/>
      <c r="X286" s="17"/>
    </row>
    <row r="287" spans="2:24" hidden="1" x14ac:dyDescent="0.25">
      <c r="B287" s="17">
        <v>285</v>
      </c>
      <c r="C287" s="10"/>
      <c r="D287" s="10"/>
      <c r="K287" s="11">
        <f t="shared" si="203"/>
        <v>0</v>
      </c>
      <c r="L287" s="37">
        <f t="shared" si="204"/>
        <v>0</v>
      </c>
      <c r="Q287" s="21"/>
      <c r="T287" s="56"/>
      <c r="U287" s="82"/>
      <c r="V287" s="84"/>
      <c r="W287" s="200"/>
      <c r="X287" s="17"/>
    </row>
    <row r="288" spans="2:24" hidden="1" x14ac:dyDescent="0.25">
      <c r="B288" s="17">
        <v>286</v>
      </c>
      <c r="C288" s="10"/>
      <c r="D288" s="10"/>
      <c r="K288" s="11">
        <f t="shared" si="203"/>
        <v>0</v>
      </c>
      <c r="L288" s="37">
        <f t="shared" si="204"/>
        <v>0</v>
      </c>
      <c r="Q288" s="21"/>
      <c r="T288" s="56"/>
      <c r="U288" s="82"/>
      <c r="V288" s="84"/>
      <c r="W288" s="200"/>
      <c r="X288" s="17"/>
    </row>
    <row r="289" spans="2:24" hidden="1" x14ac:dyDescent="0.25">
      <c r="B289" s="17">
        <v>287</v>
      </c>
      <c r="C289" s="10"/>
      <c r="D289" s="10"/>
      <c r="K289" s="11">
        <f t="shared" si="203"/>
        <v>0</v>
      </c>
      <c r="L289" s="37">
        <f t="shared" si="204"/>
        <v>0</v>
      </c>
      <c r="Q289" s="21"/>
      <c r="T289" s="56"/>
      <c r="U289" s="82"/>
      <c r="V289" s="84"/>
      <c r="W289" s="200"/>
      <c r="X289" s="17"/>
    </row>
    <row r="290" spans="2:24" hidden="1" x14ac:dyDescent="0.25">
      <c r="B290" s="17">
        <v>288</v>
      </c>
      <c r="C290" s="10"/>
      <c r="D290" s="10"/>
      <c r="K290" s="11">
        <f t="shared" si="203"/>
        <v>0</v>
      </c>
      <c r="L290" s="37">
        <f t="shared" si="204"/>
        <v>0</v>
      </c>
      <c r="Q290" s="21"/>
      <c r="T290" s="56"/>
      <c r="U290" s="82"/>
      <c r="V290" s="84"/>
      <c r="W290" s="200"/>
      <c r="X290" s="17"/>
    </row>
    <row r="291" spans="2:24" hidden="1" x14ac:dyDescent="0.25">
      <c r="B291" s="17">
        <v>289</v>
      </c>
      <c r="C291" s="10"/>
      <c r="D291" s="10"/>
      <c r="K291" s="11">
        <f t="shared" si="203"/>
        <v>0</v>
      </c>
      <c r="L291" s="37">
        <f t="shared" si="204"/>
        <v>0</v>
      </c>
      <c r="Q291" s="21"/>
      <c r="T291" s="56"/>
      <c r="U291" s="82"/>
      <c r="V291" s="84"/>
      <c r="W291" s="200"/>
      <c r="X291" s="17"/>
    </row>
    <row r="292" spans="2:24" hidden="1" x14ac:dyDescent="0.25">
      <c r="B292" s="17">
        <v>290</v>
      </c>
      <c r="C292" s="10"/>
      <c r="D292" s="10"/>
      <c r="K292" s="11">
        <f t="shared" si="203"/>
        <v>0</v>
      </c>
      <c r="L292" s="37">
        <f t="shared" si="204"/>
        <v>0</v>
      </c>
      <c r="T292" s="56"/>
      <c r="U292" s="82"/>
      <c r="V292" s="84"/>
      <c r="W292" s="200"/>
      <c r="X292" s="17"/>
    </row>
    <row r="293" spans="2:24" hidden="1" x14ac:dyDescent="0.25">
      <c r="B293" s="17">
        <v>291</v>
      </c>
      <c r="C293" s="10"/>
      <c r="D293" s="10"/>
      <c r="K293" s="11">
        <f t="shared" si="203"/>
        <v>0</v>
      </c>
      <c r="L293" s="37">
        <f t="shared" si="204"/>
        <v>0</v>
      </c>
      <c r="T293" s="56"/>
      <c r="U293" s="82"/>
      <c r="V293" s="84"/>
      <c r="W293" s="200"/>
      <c r="X293" s="17"/>
    </row>
    <row r="294" spans="2:24" hidden="1" x14ac:dyDescent="0.25">
      <c r="B294" s="17">
        <v>292</v>
      </c>
      <c r="C294" s="10"/>
      <c r="D294" s="10"/>
      <c r="K294" s="11">
        <f t="shared" si="203"/>
        <v>0</v>
      </c>
      <c r="L294" s="37">
        <f t="shared" si="204"/>
        <v>0</v>
      </c>
      <c r="T294" s="56"/>
      <c r="U294" s="82"/>
      <c r="V294" s="84"/>
      <c r="W294" s="200"/>
      <c r="X294" s="17"/>
    </row>
    <row r="295" spans="2:24" hidden="1" x14ac:dyDescent="0.25">
      <c r="B295" s="17">
        <v>293</v>
      </c>
      <c r="C295" s="10"/>
      <c r="D295" s="10"/>
      <c r="K295" s="11">
        <f t="shared" si="203"/>
        <v>0</v>
      </c>
      <c r="L295" s="37">
        <f t="shared" si="204"/>
        <v>0</v>
      </c>
      <c r="T295" s="56"/>
      <c r="U295" s="82"/>
      <c r="V295" s="84"/>
      <c r="W295" s="200"/>
      <c r="X295" s="17"/>
    </row>
    <row r="296" spans="2:24" hidden="1" x14ac:dyDescent="0.25">
      <c r="B296" s="17">
        <v>294</v>
      </c>
      <c r="C296" s="10"/>
      <c r="D296" s="10"/>
      <c r="K296" s="11">
        <f t="shared" si="203"/>
        <v>0</v>
      </c>
      <c r="L296" s="37">
        <f t="shared" si="204"/>
        <v>0</v>
      </c>
      <c r="T296" s="56"/>
      <c r="U296" s="82"/>
      <c r="V296" s="84"/>
      <c r="W296" s="200"/>
      <c r="X296" s="17"/>
    </row>
    <row r="297" spans="2:24" hidden="1" x14ac:dyDescent="0.25">
      <c r="B297" s="17">
        <v>295</v>
      </c>
      <c r="C297" s="10"/>
      <c r="D297" s="10"/>
      <c r="K297" s="11">
        <f t="shared" si="203"/>
        <v>0</v>
      </c>
      <c r="L297" s="37">
        <f t="shared" si="204"/>
        <v>0</v>
      </c>
      <c r="T297" s="56"/>
      <c r="U297" s="82"/>
      <c r="V297" s="84"/>
      <c r="W297" s="200"/>
      <c r="X297" s="17"/>
    </row>
    <row r="298" spans="2:24" hidden="1" x14ac:dyDescent="0.25">
      <c r="B298" s="17">
        <v>296</v>
      </c>
      <c r="C298" s="10"/>
      <c r="D298" s="10"/>
      <c r="K298" s="11">
        <f t="shared" si="203"/>
        <v>0</v>
      </c>
      <c r="L298" s="37">
        <f t="shared" si="204"/>
        <v>0</v>
      </c>
      <c r="T298" s="56"/>
      <c r="U298" s="82"/>
      <c r="V298" s="84"/>
      <c r="W298" s="200"/>
      <c r="X298" s="17"/>
    </row>
    <row r="299" spans="2:24" hidden="1" x14ac:dyDescent="0.25">
      <c r="B299" s="17">
        <v>297</v>
      </c>
      <c r="C299" s="10"/>
      <c r="D299" s="10"/>
      <c r="K299" s="11">
        <f t="shared" si="203"/>
        <v>0</v>
      </c>
      <c r="L299" s="37">
        <f t="shared" si="204"/>
        <v>0</v>
      </c>
      <c r="T299" s="56"/>
      <c r="U299" s="82"/>
      <c r="V299" s="84"/>
      <c r="W299" s="200"/>
      <c r="X299" s="17"/>
    </row>
    <row r="300" spans="2:24" hidden="1" x14ac:dyDescent="0.25">
      <c r="B300" s="17">
        <v>298</v>
      </c>
      <c r="C300" s="10"/>
      <c r="D300" s="10"/>
      <c r="K300" s="11">
        <f t="shared" si="203"/>
        <v>0</v>
      </c>
      <c r="L300" s="37">
        <f t="shared" si="204"/>
        <v>0</v>
      </c>
      <c r="T300" s="56"/>
      <c r="U300" s="82"/>
      <c r="V300" s="84"/>
      <c r="W300" s="200"/>
      <c r="X300" s="17"/>
    </row>
    <row r="301" spans="2:24" hidden="1" x14ac:dyDescent="0.25">
      <c r="B301" s="17">
        <v>299</v>
      </c>
      <c r="C301" s="10"/>
      <c r="D301" s="10"/>
      <c r="K301" s="11">
        <f t="shared" si="203"/>
        <v>0</v>
      </c>
      <c r="L301" s="37">
        <f t="shared" si="204"/>
        <v>0</v>
      </c>
      <c r="T301" s="56"/>
      <c r="U301" s="82"/>
      <c r="V301" s="84"/>
      <c r="W301" s="200"/>
      <c r="X301" s="17"/>
    </row>
    <row r="302" spans="2:24" hidden="1" x14ac:dyDescent="0.25">
      <c r="B302" s="17">
        <v>300</v>
      </c>
      <c r="C302" s="10"/>
      <c r="D302" s="10"/>
      <c r="K302" s="11">
        <f t="shared" si="203"/>
        <v>0</v>
      </c>
      <c r="L302" s="37">
        <f t="shared" si="204"/>
        <v>0</v>
      </c>
      <c r="T302" s="56"/>
      <c r="U302" s="82"/>
      <c r="V302" s="84"/>
      <c r="W302" s="200"/>
      <c r="X302" s="17"/>
    </row>
    <row r="303" spans="2:24" ht="13.5" customHeight="1" x14ac:dyDescent="0.25"/>
    <row r="312" spans="17:17" x14ac:dyDescent="0.25">
      <c r="Q312" s="21"/>
    </row>
    <row r="313" spans="17:17" x14ac:dyDescent="0.25">
      <c r="Q313" s="21"/>
    </row>
    <row r="314" spans="17:17" x14ac:dyDescent="0.25">
      <c r="Q314" s="21"/>
    </row>
    <row r="315" spans="17:17" x14ac:dyDescent="0.25">
      <c r="Q315" s="21"/>
    </row>
    <row r="316" spans="17:17" x14ac:dyDescent="0.25">
      <c r="Q316" s="21"/>
    </row>
    <row r="317" spans="17:17" x14ac:dyDescent="0.25">
      <c r="Q317" s="21"/>
    </row>
    <row r="318" spans="17:17" x14ac:dyDescent="0.25">
      <c r="Q318" s="21"/>
    </row>
    <row r="319" spans="17:17" x14ac:dyDescent="0.25">
      <c r="Q319" s="21"/>
    </row>
    <row r="320" spans="17:17" x14ac:dyDescent="0.25">
      <c r="Q320" s="21"/>
    </row>
    <row r="321" spans="17:17" x14ac:dyDescent="0.25">
      <c r="Q321" s="21"/>
    </row>
    <row r="322" spans="17:17" x14ac:dyDescent="0.25">
      <c r="Q322" s="21"/>
    </row>
    <row r="323" spans="17:17" x14ac:dyDescent="0.25">
      <c r="Q323" s="21"/>
    </row>
    <row r="324" spans="17:17" x14ac:dyDescent="0.25">
      <c r="Q324" s="21"/>
    </row>
    <row r="325" spans="17:17" x14ac:dyDescent="0.25">
      <c r="Q325" s="21"/>
    </row>
  </sheetData>
  <autoFilter ref="B2:AV302" xr:uid="{00000000-0001-0000-0800-000000000000}">
    <filterColumn colId="1">
      <filters>
        <filter val="직영(가)"/>
      </filters>
    </filterColumn>
    <filterColumn colId="25" showButton="0"/>
  </autoFilter>
  <mergeCells count="15">
    <mergeCell ref="AA21:AA26"/>
    <mergeCell ref="AA27:AA32"/>
    <mergeCell ref="AA1:AR1"/>
    <mergeCell ref="AA2:AB2"/>
    <mergeCell ref="AA3:AA8"/>
    <mergeCell ref="AA9:AA14"/>
    <mergeCell ref="AA15:AA20"/>
    <mergeCell ref="AA69:AA74"/>
    <mergeCell ref="AA75:AB75"/>
    <mergeCell ref="AA33:AA38"/>
    <mergeCell ref="AA39:AA44"/>
    <mergeCell ref="AA45:AA50"/>
    <mergeCell ref="AA51:AA56"/>
    <mergeCell ref="AA57:AA62"/>
    <mergeCell ref="AA63:AA68"/>
  </mergeCells>
  <phoneticPr fontId="5" type="noConversion"/>
  <conditionalFormatting sqref="U1:U1048576">
    <cfRule type="cellIs" dxfId="16" priority="5" operator="equal">
      <formula>"그 외"</formula>
    </cfRule>
    <cfRule type="cellIs" dxfId="15" priority="6" operator="equal">
      <formula>"마케팅"</formula>
    </cfRule>
  </conditionalFormatting>
  <conditionalFormatting sqref="W1:W1048576">
    <cfRule type="cellIs" dxfId="14" priority="1" operator="equal">
      <formula>"마케팅"</formula>
    </cfRule>
  </conditionalFormatting>
  <dataValidations count="7">
    <dataValidation type="list" allowBlank="1" showInputMessage="1" showErrorMessage="1" sqref="S3:S285" xr:uid="{00000000-0002-0000-0800-000000000000}">
      <formula1>"(주)그랜드썬기술단, (주)그랜드썬,지에스피,유지에스"</formula1>
    </dataValidation>
    <dataValidation type="list" allowBlank="1" showInputMessage="1" showErrorMessage="1" sqref="U3:U285" xr:uid="{00000000-0002-0000-0800-000001000000}">
      <formula1>"소개,그 외"</formula1>
    </dataValidation>
    <dataValidation type="list" allowBlank="1" showInputMessage="1" showErrorMessage="1" sqref="D3:D302" xr:uid="{00000000-0002-0000-0800-000002000000}">
      <formula1>"기존시설물(A),일반부지(B),수면(C)"</formula1>
    </dataValidation>
    <dataValidation type="list" allowBlank="1" showInputMessage="1" showErrorMessage="1" sqref="C3:C302" xr:uid="{00000000-0002-0000-0800-000003000000}">
      <formula1>"직영(가),외주(나),입찰(다),검토(라)"</formula1>
    </dataValidation>
    <dataValidation type="list" allowBlank="1" showInputMessage="1" showErrorMessage="1" sqref="W3:W302" xr:uid="{00000000-0002-0000-0800-000004000000}">
      <formula1>"산단,공장,창고,축사,근생,자원순환,토지,업무시설"</formula1>
    </dataValidation>
    <dataValidation type="list" allowBlank="1" showInputMessage="1" showErrorMessage="1" sqref="X3:X302" xr:uid="{00000000-0002-0000-0800-000005000000}">
      <formula1>"유지,보류,취소"</formula1>
    </dataValidation>
    <dataValidation type="list" allowBlank="1" showInputMessage="1" showErrorMessage="1" sqref="Q3:Q325" xr:uid="{E4B93F1C-1E6E-4564-9C83-11E31DC6022A}">
      <formula1>"경기,강원,충남,충북,서울,인천,대전,세종,경남,경북,전남,전북,부산,대구,울산,제주,광주"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3" fitToHeight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V318"/>
  <sheetViews>
    <sheetView zoomScale="75" zoomScaleNormal="75" workbookViewId="0">
      <pane ySplit="2" topLeftCell="A3" activePane="bottomLeft" state="frozen"/>
      <selection activeCell="O33" sqref="O33"/>
      <selection pane="bottomLeft" activeCell="O33" sqref="O33"/>
    </sheetView>
  </sheetViews>
  <sheetFormatPr defaultRowHeight="13.5" x14ac:dyDescent="0.25"/>
  <cols>
    <col min="1" max="1" width="3.7109375" customWidth="1"/>
    <col min="2" max="4" width="10.7109375" customWidth="1"/>
    <col min="5" max="5" width="10.7109375" style="75" customWidth="1"/>
    <col min="6" max="6" width="12.7109375" style="19" customWidth="1"/>
    <col min="7" max="8" width="10.7109375" customWidth="1"/>
    <col min="9" max="9" width="11.85546875" customWidth="1"/>
    <col min="10" max="11" width="15.7109375" style="6" customWidth="1"/>
    <col min="12" max="12" width="15.7109375" style="38" customWidth="1"/>
    <col min="13" max="13" width="15.7109375" style="6" customWidth="1"/>
    <col min="14" max="14" width="15.7109375" customWidth="1"/>
    <col min="15" max="15" width="21.42578125" customWidth="1"/>
    <col min="16" max="17" width="6" customWidth="1"/>
    <col min="18" max="18" width="38.42578125" style="22" customWidth="1"/>
    <col min="19" max="19" width="20.7109375" customWidth="1"/>
    <col min="20" max="20" width="13.42578125" customWidth="1"/>
    <col min="21" max="21" width="9.140625" style="34"/>
    <col min="22" max="22" width="47" style="7" customWidth="1"/>
    <col min="23" max="23" width="9.140625" style="34"/>
    <col min="29" max="29" width="11.140625" customWidth="1"/>
    <col min="30" max="34" width="11.7109375" customWidth="1"/>
    <col min="35" max="39" width="11.7109375" style="129" customWidth="1"/>
    <col min="40" max="44" width="11.7109375" customWidth="1"/>
  </cols>
  <sheetData>
    <row r="1" spans="2:48" ht="27" thickBot="1" x14ac:dyDescent="0.3">
      <c r="B1" s="33"/>
      <c r="C1" s="33"/>
      <c r="D1" s="33"/>
      <c r="E1" s="73"/>
      <c r="G1" s="8"/>
      <c r="H1" s="8"/>
      <c r="I1" s="24"/>
      <c r="J1" s="9"/>
      <c r="K1" s="9"/>
      <c r="L1" s="35"/>
      <c r="M1" s="9"/>
      <c r="U1" s="45"/>
      <c r="W1" s="45"/>
      <c r="AA1" s="423" t="s">
        <v>3</v>
      </c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5"/>
    </row>
    <row r="2" spans="2:48" ht="43.5" customHeight="1" thickTop="1" thickBot="1" x14ac:dyDescent="0.3">
      <c r="B2" s="16" t="s">
        <v>0</v>
      </c>
      <c r="C2" s="71" t="s">
        <v>90</v>
      </c>
      <c r="D2" s="71" t="s">
        <v>91</v>
      </c>
      <c r="E2" s="74" t="s">
        <v>92</v>
      </c>
      <c r="F2" s="20" t="s">
        <v>1</v>
      </c>
      <c r="G2" s="12" t="s">
        <v>22</v>
      </c>
      <c r="H2" s="12" t="s">
        <v>21</v>
      </c>
      <c r="I2" s="13" t="s">
        <v>2</v>
      </c>
      <c r="J2" s="14" t="s">
        <v>20</v>
      </c>
      <c r="K2" s="14" t="s">
        <v>4</v>
      </c>
      <c r="L2" s="36" t="s">
        <v>50</v>
      </c>
      <c r="M2" s="14" t="s">
        <v>29</v>
      </c>
      <c r="N2" s="12" t="s">
        <v>26</v>
      </c>
      <c r="O2" s="12" t="s">
        <v>28</v>
      </c>
      <c r="P2" s="12" t="s">
        <v>48</v>
      </c>
      <c r="Q2" s="12" t="s">
        <v>2158</v>
      </c>
      <c r="R2" s="12" t="s">
        <v>27</v>
      </c>
      <c r="S2" s="15" t="s">
        <v>5</v>
      </c>
      <c r="T2" s="25" t="s">
        <v>38</v>
      </c>
      <c r="U2" s="206" t="s">
        <v>54</v>
      </c>
      <c r="V2" s="16" t="s">
        <v>37</v>
      </c>
      <c r="W2" s="205" t="s">
        <v>256</v>
      </c>
      <c r="X2" s="108" t="s">
        <v>271</v>
      </c>
      <c r="AA2" s="420" t="s">
        <v>132</v>
      </c>
      <c r="AB2" s="421"/>
      <c r="AC2" s="111" t="s">
        <v>1</v>
      </c>
      <c r="AD2" s="112" t="s">
        <v>133</v>
      </c>
      <c r="AE2" s="113" t="s">
        <v>102</v>
      </c>
      <c r="AF2" s="113" t="s">
        <v>101</v>
      </c>
      <c r="AG2" s="113" t="s">
        <v>103</v>
      </c>
      <c r="AH2" s="114" t="s">
        <v>104</v>
      </c>
      <c r="AI2" s="117" t="s">
        <v>134</v>
      </c>
      <c r="AJ2" s="118" t="s">
        <v>102</v>
      </c>
      <c r="AK2" s="118" t="s">
        <v>101</v>
      </c>
      <c r="AL2" s="118" t="s">
        <v>103</v>
      </c>
      <c r="AM2" s="119" t="s">
        <v>104</v>
      </c>
      <c r="AN2" s="115" t="s">
        <v>135</v>
      </c>
      <c r="AO2" s="116" t="s">
        <v>102</v>
      </c>
      <c r="AP2" s="116" t="s">
        <v>101</v>
      </c>
      <c r="AQ2" s="116" t="s">
        <v>103</v>
      </c>
      <c r="AR2" s="116" t="s">
        <v>104</v>
      </c>
      <c r="AT2" s="151"/>
      <c r="AU2" s="152" t="s">
        <v>148</v>
      </c>
      <c r="AV2" s="153"/>
    </row>
    <row r="3" spans="2:48" s="10" customFormat="1" ht="13.5" customHeight="1" x14ac:dyDescent="0.25">
      <c r="B3" s="17">
        <v>1</v>
      </c>
      <c r="E3" s="72"/>
      <c r="F3" s="18"/>
      <c r="J3" s="11"/>
      <c r="K3" s="11">
        <f t="shared" ref="K3:K12" si="0">J3*1.1</f>
        <v>0</v>
      </c>
      <c r="L3" s="37">
        <f t="shared" ref="L3:L12" si="1">J3*0.00000001</f>
        <v>0</v>
      </c>
      <c r="M3" s="11"/>
      <c r="O3" s="21"/>
      <c r="P3" s="21"/>
      <c r="Q3" s="21"/>
      <c r="R3" s="23"/>
      <c r="S3" s="50"/>
      <c r="T3" s="86"/>
      <c r="U3" s="81"/>
      <c r="V3" s="83"/>
      <c r="W3" s="199"/>
      <c r="X3" s="208"/>
      <c r="Z3">
        <v>1</v>
      </c>
      <c r="AA3" s="415">
        <v>1</v>
      </c>
      <c r="AB3" s="94">
        <v>1</v>
      </c>
      <c r="AC3" s="100" t="s">
        <v>105</v>
      </c>
      <c r="AD3" s="41">
        <f>SUM(AE3:AH3)</f>
        <v>0</v>
      </c>
      <c r="AE3" s="70">
        <f>SUMIFS($I:$I,$C:$C, $AE$2,$G:$G,$Z3,$H:$H,$AB3)</f>
        <v>0</v>
      </c>
      <c r="AF3" s="70">
        <f>SUMIFS($I:$I,$C:$C, $AF$2,$G:$G,$Z3,$H:$H,$AB3)</f>
        <v>0</v>
      </c>
      <c r="AG3" s="70">
        <f>SUMIFS($I:$I,$C:$C, $AG$2,$G:$G,$Z3,$H:$H,$AB3)</f>
        <v>0</v>
      </c>
      <c r="AH3" s="109">
        <f>SUMIFS($I:$I,$C:$C, $AH$2,$G:$G,$Z3,$H:$H,$AB3)</f>
        <v>0</v>
      </c>
      <c r="AI3" s="120">
        <f>SUM(AJ3:AM3)</f>
        <v>0</v>
      </c>
      <c r="AJ3" s="121">
        <f>COUNTIFS($C:$C, $AJ$2,$G:$G,$Z3,$H:$H,$AB3)</f>
        <v>0</v>
      </c>
      <c r="AK3" s="121">
        <f>COUNTIFS($C:$C, $AK$2,$G:$G,$Z3,$H:$H,$AB3)</f>
        <v>0</v>
      </c>
      <c r="AL3" s="121">
        <f>COUNTIFS($C:$C, $AL$2,$G:$G,$Z3,$H:$H,$AB3)</f>
        <v>0</v>
      </c>
      <c r="AM3" s="122">
        <f>COUNTIFS($C:$C, $AM$2,$G:$G,$Z3,$H:$H,$AB3)</f>
        <v>0</v>
      </c>
      <c r="AN3" s="41">
        <f>SUM(AO3:AR3)</f>
        <v>0</v>
      </c>
      <c r="AO3" s="70">
        <f>SUMIFS($L:$L,$C:$C, $AO$2,$G:$G,$Z3,$H:$H,$AB3)</f>
        <v>0</v>
      </c>
      <c r="AP3" s="70">
        <f>SUMIFS($L:$L,$C:$C, $AP$2,$G:$G,$Z3,$H:$H,$AB3)</f>
        <v>0</v>
      </c>
      <c r="AQ3" s="70">
        <f>SUMIFS($L:$L,$C:$C, $AQ$2,$G:$G,$Z3,$H:$H,$AB3)</f>
        <v>0</v>
      </c>
      <c r="AR3" s="70">
        <f>SUMIFS($L:$L,$C:$C, $AR$2,$G:$G,$Z3,$H:$H,$AB3)</f>
        <v>0</v>
      </c>
      <c r="AT3" s="154" t="s">
        <v>149</v>
      </c>
      <c r="AU3" s="155" t="s">
        <v>150</v>
      </c>
      <c r="AV3" s="156" t="s">
        <v>151</v>
      </c>
    </row>
    <row r="4" spans="2:48" s="10" customFormat="1" ht="13.5" customHeight="1" x14ac:dyDescent="0.25">
      <c r="B4" s="17">
        <v>2</v>
      </c>
      <c r="E4" s="72"/>
      <c r="F4" s="18"/>
      <c r="J4" s="11"/>
      <c r="K4" s="11">
        <f t="shared" si="0"/>
        <v>0</v>
      </c>
      <c r="L4" s="37">
        <f t="shared" si="1"/>
        <v>0</v>
      </c>
      <c r="M4" s="11"/>
      <c r="O4" s="21"/>
      <c r="P4" s="21"/>
      <c r="Q4" s="21"/>
      <c r="R4" s="23"/>
      <c r="S4" s="50"/>
      <c r="T4" s="48"/>
      <c r="U4" s="81"/>
      <c r="V4" s="26"/>
      <c r="W4" s="200"/>
      <c r="X4" s="17"/>
      <c r="Z4">
        <v>1</v>
      </c>
      <c r="AA4" s="416"/>
      <c r="AB4" s="95">
        <v>2</v>
      </c>
      <c r="AC4" s="101" t="s">
        <v>61</v>
      </c>
      <c r="AD4" s="41">
        <f t="shared" ref="AD4:AD67" si="2">SUM(AE4:AH4)</f>
        <v>0</v>
      </c>
      <c r="AE4" s="70">
        <f t="shared" ref="AE4:AE67" si="3">SUMIFS($I:$I,$C:$C, $AE$2,$G:$G,$Z4,$H:$H,$AB4)</f>
        <v>0</v>
      </c>
      <c r="AF4" s="70">
        <f t="shared" ref="AF4:AF67" si="4">SUMIFS($I:$I,$C:$C, $AF$2,$G:$G,$Z4,$H:$H,$AB4)</f>
        <v>0</v>
      </c>
      <c r="AG4" s="70">
        <f t="shared" ref="AG4:AG67" si="5">SUMIFS($I:$I,$C:$C, $AG$2,$G:$G,$Z4,$H:$H,$AB4)</f>
        <v>0</v>
      </c>
      <c r="AH4" s="109">
        <f t="shared" ref="AH4:AH67" si="6">SUMIFS($I:$I,$C:$C, $AH$2,$G:$G,$Z4,$H:$H,$AB4)</f>
        <v>0</v>
      </c>
      <c r="AI4" s="120">
        <f t="shared" ref="AI4:AI67" si="7">SUM(AJ4:AM4)</f>
        <v>0</v>
      </c>
      <c r="AJ4" s="121">
        <f t="shared" ref="AJ4:AJ67" si="8">COUNTIFS($C:$C, $AJ$2,$G:$G,$Z4,$H:$H,$AB4)</f>
        <v>0</v>
      </c>
      <c r="AK4" s="121">
        <f t="shared" ref="AK4:AK67" si="9">COUNTIFS($C:$C, $AK$2,$G:$G,$Z4,$H:$H,$AB4)</f>
        <v>0</v>
      </c>
      <c r="AL4" s="121">
        <f t="shared" ref="AL4:AL67" si="10">COUNTIFS($C:$C, $AL$2,$G:$G,$Z4,$H:$H,$AB4)</f>
        <v>0</v>
      </c>
      <c r="AM4" s="122">
        <f t="shared" ref="AM4:AM67" si="11">COUNTIFS($C:$C, $AM$2,$G:$G,$Z4,$H:$H,$AB4)</f>
        <v>0</v>
      </c>
      <c r="AN4" s="41">
        <f t="shared" ref="AN4:AN67" si="12">SUM(AO4:AR4)</f>
        <v>0</v>
      </c>
      <c r="AO4" s="70">
        <f t="shared" ref="AO4:AO67" si="13">SUMIFS($L:$L,$C:$C, $AO$2,$G:$G,$Z4,$H:$H,$AB4)</f>
        <v>0</v>
      </c>
      <c r="AP4" s="70">
        <f t="shared" ref="AP4:AP67" si="14">SUMIFS($L:$L,$C:$C, $AP$2,$G:$G,$Z4,$H:$H,$AB4)</f>
        <v>0</v>
      </c>
      <c r="AQ4" s="70">
        <f t="shared" ref="AQ4:AQ67" si="15">SUMIFS($L:$L,$C:$C, $AQ$2,$G:$G,$Z4,$H:$H,$AB4)</f>
        <v>0</v>
      </c>
      <c r="AR4" s="70">
        <f t="shared" ref="AR4:AR67" si="16">SUMIFS($L:$L,$C:$C, $AR$2,$G:$G,$Z4,$H:$H,$AB4)</f>
        <v>0</v>
      </c>
      <c r="AT4" s="157">
        <v>1</v>
      </c>
      <c r="AU4" s="158">
        <f>COUNTIFS($U:$U,$AU$3,$G:$G,$AT4)</f>
        <v>0</v>
      </c>
      <c r="AV4" s="159">
        <f>COUNTIFS($U:$U,$AV$3,$G:$G,$AT4)</f>
        <v>0</v>
      </c>
    </row>
    <row r="5" spans="2:48" s="10" customFormat="1" ht="13.5" customHeight="1" x14ac:dyDescent="0.25">
      <c r="B5" s="17">
        <v>3</v>
      </c>
      <c r="E5" s="72"/>
      <c r="F5" s="18"/>
      <c r="J5" s="11"/>
      <c r="K5" s="11">
        <f t="shared" si="0"/>
        <v>0</v>
      </c>
      <c r="L5" s="37">
        <f t="shared" si="1"/>
        <v>0</v>
      </c>
      <c r="M5" s="11"/>
      <c r="O5" s="21"/>
      <c r="P5" s="21"/>
      <c r="Q5" s="21"/>
      <c r="R5" s="23"/>
      <c r="S5" s="50"/>
      <c r="T5" s="48"/>
      <c r="U5" s="81"/>
      <c r="V5" s="26"/>
      <c r="W5" s="200"/>
      <c r="X5" s="17"/>
      <c r="Z5">
        <v>1</v>
      </c>
      <c r="AA5" s="416"/>
      <c r="AB5" s="95">
        <v>3</v>
      </c>
      <c r="AC5" s="102" t="s">
        <v>62</v>
      </c>
      <c r="AD5" s="41">
        <f t="shared" si="2"/>
        <v>0</v>
      </c>
      <c r="AE5" s="70">
        <f t="shared" si="3"/>
        <v>0</v>
      </c>
      <c r="AF5" s="70">
        <f t="shared" si="4"/>
        <v>0</v>
      </c>
      <c r="AG5" s="70">
        <f t="shared" si="5"/>
        <v>0</v>
      </c>
      <c r="AH5" s="109">
        <f t="shared" si="6"/>
        <v>0</v>
      </c>
      <c r="AI5" s="120">
        <f t="shared" si="7"/>
        <v>0</v>
      </c>
      <c r="AJ5" s="121">
        <f t="shared" si="8"/>
        <v>0</v>
      </c>
      <c r="AK5" s="121">
        <f t="shared" si="9"/>
        <v>0</v>
      </c>
      <c r="AL5" s="121">
        <f t="shared" si="10"/>
        <v>0</v>
      </c>
      <c r="AM5" s="122">
        <f t="shared" si="11"/>
        <v>0</v>
      </c>
      <c r="AN5" s="41">
        <f t="shared" si="12"/>
        <v>0</v>
      </c>
      <c r="AO5" s="70">
        <f t="shared" si="13"/>
        <v>0</v>
      </c>
      <c r="AP5" s="70">
        <f t="shared" si="14"/>
        <v>0</v>
      </c>
      <c r="AQ5" s="70">
        <f t="shared" si="15"/>
        <v>0</v>
      </c>
      <c r="AR5" s="70">
        <f t="shared" si="16"/>
        <v>0</v>
      </c>
      <c r="AT5" s="157">
        <v>2</v>
      </c>
      <c r="AU5" s="158">
        <f t="shared" ref="AU5:AU15" si="17">COUNTIFS($U:$U,$AU$3,$G:$G,$AT5)</f>
        <v>0</v>
      </c>
      <c r="AV5" s="159">
        <f t="shared" ref="AV5:AV15" si="18">COUNTIFS($U:$U,$AV$3,$G:$G,$AT5)</f>
        <v>0</v>
      </c>
    </row>
    <row r="6" spans="2:48" s="10" customFormat="1" ht="13.5" customHeight="1" x14ac:dyDescent="0.25">
      <c r="B6" s="17">
        <v>4</v>
      </c>
      <c r="E6" s="72"/>
      <c r="F6" s="18"/>
      <c r="J6" s="11"/>
      <c r="K6" s="11">
        <f t="shared" si="0"/>
        <v>0</v>
      </c>
      <c r="L6" s="37">
        <f t="shared" si="1"/>
        <v>0</v>
      </c>
      <c r="M6" s="11"/>
      <c r="O6" s="21"/>
      <c r="P6" s="21"/>
      <c r="Q6" s="21"/>
      <c r="R6" s="23"/>
      <c r="S6" s="50"/>
      <c r="T6" s="48"/>
      <c r="U6" s="81"/>
      <c r="V6" s="26"/>
      <c r="W6" s="200"/>
      <c r="X6" s="17"/>
      <c r="Z6">
        <v>1</v>
      </c>
      <c r="AA6" s="416"/>
      <c r="AB6" s="95">
        <v>4</v>
      </c>
      <c r="AC6" s="102" t="s">
        <v>63</v>
      </c>
      <c r="AD6" s="41">
        <f t="shared" si="2"/>
        <v>0</v>
      </c>
      <c r="AE6" s="70">
        <f t="shared" si="3"/>
        <v>0</v>
      </c>
      <c r="AF6" s="70">
        <f t="shared" si="4"/>
        <v>0</v>
      </c>
      <c r="AG6" s="70">
        <f t="shared" si="5"/>
        <v>0</v>
      </c>
      <c r="AH6" s="109">
        <f t="shared" si="6"/>
        <v>0</v>
      </c>
      <c r="AI6" s="120">
        <f t="shared" si="7"/>
        <v>0</v>
      </c>
      <c r="AJ6" s="121">
        <f t="shared" si="8"/>
        <v>0</v>
      </c>
      <c r="AK6" s="121">
        <f t="shared" si="9"/>
        <v>0</v>
      </c>
      <c r="AL6" s="121">
        <f t="shared" si="10"/>
        <v>0</v>
      </c>
      <c r="AM6" s="122">
        <f t="shared" si="11"/>
        <v>0</v>
      </c>
      <c r="AN6" s="41">
        <f t="shared" si="12"/>
        <v>0</v>
      </c>
      <c r="AO6" s="70">
        <f t="shared" si="13"/>
        <v>0</v>
      </c>
      <c r="AP6" s="70">
        <f t="shared" si="14"/>
        <v>0</v>
      </c>
      <c r="AQ6" s="70">
        <f t="shared" si="15"/>
        <v>0</v>
      </c>
      <c r="AR6" s="70">
        <f t="shared" si="16"/>
        <v>0</v>
      </c>
      <c r="AT6" s="157">
        <v>3</v>
      </c>
      <c r="AU6" s="158">
        <f t="shared" si="17"/>
        <v>0</v>
      </c>
      <c r="AV6" s="159">
        <f t="shared" si="18"/>
        <v>0</v>
      </c>
    </row>
    <row r="7" spans="2:48" s="10" customFormat="1" ht="13.5" customHeight="1" x14ac:dyDescent="0.25">
      <c r="B7" s="17">
        <v>5</v>
      </c>
      <c r="E7" s="72"/>
      <c r="F7" s="18"/>
      <c r="J7" s="11"/>
      <c r="K7" s="11">
        <f t="shared" si="0"/>
        <v>0</v>
      </c>
      <c r="L7" s="37">
        <f t="shared" si="1"/>
        <v>0</v>
      </c>
      <c r="M7" s="11"/>
      <c r="O7" s="21"/>
      <c r="P7" s="21"/>
      <c r="Q7" s="21"/>
      <c r="R7" s="23"/>
      <c r="S7" s="50"/>
      <c r="T7" s="48"/>
      <c r="U7" s="81"/>
      <c r="V7" s="26"/>
      <c r="W7" s="200"/>
      <c r="X7" s="17"/>
      <c r="Z7">
        <v>1</v>
      </c>
      <c r="AA7" s="416"/>
      <c r="AB7" s="96">
        <v>5</v>
      </c>
      <c r="AC7" s="102" t="s">
        <v>64</v>
      </c>
      <c r="AD7" s="41">
        <f t="shared" si="2"/>
        <v>0</v>
      </c>
      <c r="AE7" s="70">
        <f t="shared" si="3"/>
        <v>0</v>
      </c>
      <c r="AF7" s="70">
        <f t="shared" si="4"/>
        <v>0</v>
      </c>
      <c r="AG7" s="70">
        <f t="shared" si="5"/>
        <v>0</v>
      </c>
      <c r="AH7" s="109">
        <f t="shared" si="6"/>
        <v>0</v>
      </c>
      <c r="AI7" s="120">
        <f t="shared" si="7"/>
        <v>0</v>
      </c>
      <c r="AJ7" s="121">
        <f t="shared" si="8"/>
        <v>0</v>
      </c>
      <c r="AK7" s="121">
        <f t="shared" si="9"/>
        <v>0</v>
      </c>
      <c r="AL7" s="121">
        <f t="shared" si="10"/>
        <v>0</v>
      </c>
      <c r="AM7" s="122">
        <f t="shared" si="11"/>
        <v>0</v>
      </c>
      <c r="AN7" s="41">
        <f t="shared" si="12"/>
        <v>0</v>
      </c>
      <c r="AO7" s="70">
        <f t="shared" si="13"/>
        <v>0</v>
      </c>
      <c r="AP7" s="70">
        <f t="shared" si="14"/>
        <v>0</v>
      </c>
      <c r="AQ7" s="70">
        <f t="shared" si="15"/>
        <v>0</v>
      </c>
      <c r="AR7" s="70">
        <f t="shared" si="16"/>
        <v>0</v>
      </c>
      <c r="AT7" s="157">
        <v>4</v>
      </c>
      <c r="AU7" s="158">
        <f t="shared" si="17"/>
        <v>0</v>
      </c>
      <c r="AV7" s="159">
        <f t="shared" si="18"/>
        <v>0</v>
      </c>
    </row>
    <row r="8" spans="2:48" s="10" customFormat="1" ht="13.5" customHeight="1" thickBot="1" x14ac:dyDescent="0.3">
      <c r="B8" s="17">
        <v>6</v>
      </c>
      <c r="E8" s="72"/>
      <c r="F8" s="18"/>
      <c r="J8" s="11"/>
      <c r="K8" s="11">
        <f t="shared" si="0"/>
        <v>0</v>
      </c>
      <c r="L8" s="37">
        <f t="shared" si="1"/>
        <v>0</v>
      </c>
      <c r="M8" s="11"/>
      <c r="O8" s="21"/>
      <c r="P8" s="21"/>
      <c r="Q8" s="21"/>
      <c r="R8" s="23"/>
      <c r="S8" s="50"/>
      <c r="T8" s="48"/>
      <c r="U8" s="81"/>
      <c r="V8" s="26"/>
      <c r="W8" s="200"/>
      <c r="X8" s="17"/>
      <c r="Z8">
        <v>1</v>
      </c>
      <c r="AA8" s="417"/>
      <c r="AB8" s="97" t="s">
        <v>3</v>
      </c>
      <c r="AC8" s="103"/>
      <c r="AD8" s="99">
        <f>SUM(AD3:AD7)</f>
        <v>0</v>
      </c>
      <c r="AE8" s="99">
        <f t="shared" ref="AE8" si="19">SUM(AE3:AE7)</f>
        <v>0</v>
      </c>
      <c r="AF8" s="99">
        <f t="shared" ref="AF8" si="20">SUM(AF3:AF7)</f>
        <v>0</v>
      </c>
      <c r="AG8" s="99">
        <f t="shared" ref="AG8" si="21">SUM(AG3:AG7)</f>
        <v>0</v>
      </c>
      <c r="AH8" s="110">
        <f t="shared" ref="AH8" si="22">SUM(AH3:AH7)</f>
        <v>0</v>
      </c>
      <c r="AI8" s="123">
        <f t="shared" ref="AI8" si="23">SUM(AI3:AI7)</f>
        <v>0</v>
      </c>
      <c r="AJ8" s="124">
        <f t="shared" ref="AJ8" si="24">SUM(AJ3:AJ7)</f>
        <v>0</v>
      </c>
      <c r="AK8" s="124">
        <f t="shared" ref="AK8" si="25">SUM(AK3:AK7)</f>
        <v>0</v>
      </c>
      <c r="AL8" s="124">
        <f t="shared" ref="AL8" si="26">SUM(AL3:AL7)</f>
        <v>0</v>
      </c>
      <c r="AM8" s="125">
        <f t="shared" ref="AM8" si="27">SUM(AM3:AM7)</f>
        <v>0</v>
      </c>
      <c r="AN8" s="99">
        <f t="shared" ref="AN8" si="28">SUM(AN3:AN7)</f>
        <v>0</v>
      </c>
      <c r="AO8" s="99">
        <f t="shared" ref="AO8" si="29">SUM(AO3:AO7)</f>
        <v>0</v>
      </c>
      <c r="AP8" s="99">
        <f t="shared" ref="AP8" si="30">SUM(AP3:AP7)</f>
        <v>0</v>
      </c>
      <c r="AQ8" s="99">
        <f t="shared" ref="AQ8" si="31">SUM(AQ3:AQ7)</f>
        <v>0</v>
      </c>
      <c r="AR8" s="99">
        <f t="shared" ref="AR8" si="32">SUM(AR3:AR7)</f>
        <v>0</v>
      </c>
      <c r="AT8" s="157">
        <v>5</v>
      </c>
      <c r="AU8" s="158">
        <f t="shared" si="17"/>
        <v>0</v>
      </c>
      <c r="AV8" s="159">
        <f t="shared" si="18"/>
        <v>0</v>
      </c>
    </row>
    <row r="9" spans="2:48" s="10" customFormat="1" ht="13.5" customHeight="1" x14ac:dyDescent="0.25">
      <c r="B9" s="17">
        <v>7</v>
      </c>
      <c r="E9" s="72"/>
      <c r="F9" s="18"/>
      <c r="J9" s="11"/>
      <c r="K9" s="11">
        <f t="shared" si="0"/>
        <v>0</v>
      </c>
      <c r="L9" s="37">
        <f t="shared" si="1"/>
        <v>0</v>
      </c>
      <c r="M9" s="11"/>
      <c r="O9" s="21"/>
      <c r="P9" s="21"/>
      <c r="Q9" s="21"/>
      <c r="R9" s="23"/>
      <c r="S9" s="50"/>
      <c r="T9" s="48"/>
      <c r="U9" s="81"/>
      <c r="V9" s="26"/>
      <c r="W9" s="200"/>
      <c r="X9" s="17"/>
      <c r="Z9">
        <v>2</v>
      </c>
      <c r="AA9" s="415">
        <v>2</v>
      </c>
      <c r="AB9" s="94">
        <v>1</v>
      </c>
      <c r="AC9" s="104" t="s">
        <v>106</v>
      </c>
      <c r="AD9" s="41">
        <f t="shared" si="2"/>
        <v>0</v>
      </c>
      <c r="AE9" s="70">
        <f t="shared" si="3"/>
        <v>0</v>
      </c>
      <c r="AF9" s="70">
        <f t="shared" si="4"/>
        <v>0</v>
      </c>
      <c r="AG9" s="70">
        <f t="shared" si="5"/>
        <v>0</v>
      </c>
      <c r="AH9" s="109">
        <f t="shared" si="6"/>
        <v>0</v>
      </c>
      <c r="AI9" s="120">
        <f t="shared" si="7"/>
        <v>0</v>
      </c>
      <c r="AJ9" s="121">
        <f t="shared" si="8"/>
        <v>0</v>
      </c>
      <c r="AK9" s="121">
        <f t="shared" si="9"/>
        <v>0</v>
      </c>
      <c r="AL9" s="121">
        <f t="shared" si="10"/>
        <v>0</v>
      </c>
      <c r="AM9" s="122">
        <f t="shared" si="11"/>
        <v>0</v>
      </c>
      <c r="AN9" s="41">
        <f t="shared" si="12"/>
        <v>0</v>
      </c>
      <c r="AO9" s="70">
        <f t="shared" si="13"/>
        <v>0</v>
      </c>
      <c r="AP9" s="70">
        <f t="shared" si="14"/>
        <v>0</v>
      </c>
      <c r="AQ9" s="70">
        <f t="shared" si="15"/>
        <v>0</v>
      </c>
      <c r="AR9" s="70">
        <f t="shared" si="16"/>
        <v>0</v>
      </c>
      <c r="AT9" s="157">
        <v>6</v>
      </c>
      <c r="AU9" s="158">
        <f t="shared" si="17"/>
        <v>0</v>
      </c>
      <c r="AV9" s="159">
        <f t="shared" si="18"/>
        <v>0</v>
      </c>
    </row>
    <row r="10" spans="2:48" s="10" customFormat="1" ht="13.5" customHeight="1" x14ac:dyDescent="0.25">
      <c r="B10" s="17">
        <v>8</v>
      </c>
      <c r="E10" s="72"/>
      <c r="F10" s="18"/>
      <c r="J10" s="11"/>
      <c r="K10" s="11">
        <f t="shared" si="0"/>
        <v>0</v>
      </c>
      <c r="L10" s="37">
        <f t="shared" si="1"/>
        <v>0</v>
      </c>
      <c r="M10" s="11"/>
      <c r="O10" s="21"/>
      <c r="P10" s="21"/>
      <c r="Q10" s="21"/>
      <c r="R10" s="23"/>
      <c r="S10" s="50"/>
      <c r="T10" s="48"/>
      <c r="U10" s="81"/>
      <c r="V10" s="26"/>
      <c r="W10" s="200"/>
      <c r="X10" s="17"/>
      <c r="Z10">
        <v>2</v>
      </c>
      <c r="AA10" s="416"/>
      <c r="AB10" s="95">
        <v>2</v>
      </c>
      <c r="AC10" s="102" t="s">
        <v>65</v>
      </c>
      <c r="AD10" s="41">
        <f t="shared" si="2"/>
        <v>0</v>
      </c>
      <c r="AE10" s="70">
        <f t="shared" si="3"/>
        <v>0</v>
      </c>
      <c r="AF10" s="70">
        <f t="shared" si="4"/>
        <v>0</v>
      </c>
      <c r="AG10" s="70">
        <f t="shared" si="5"/>
        <v>0</v>
      </c>
      <c r="AH10" s="109">
        <f t="shared" si="6"/>
        <v>0</v>
      </c>
      <c r="AI10" s="120">
        <f t="shared" si="7"/>
        <v>0</v>
      </c>
      <c r="AJ10" s="121">
        <f t="shared" si="8"/>
        <v>0</v>
      </c>
      <c r="AK10" s="121">
        <f t="shared" si="9"/>
        <v>0</v>
      </c>
      <c r="AL10" s="121">
        <f t="shared" si="10"/>
        <v>0</v>
      </c>
      <c r="AM10" s="122">
        <f t="shared" si="11"/>
        <v>0</v>
      </c>
      <c r="AN10" s="41">
        <f t="shared" si="12"/>
        <v>0</v>
      </c>
      <c r="AO10" s="70">
        <f t="shared" si="13"/>
        <v>0</v>
      </c>
      <c r="AP10" s="70">
        <f t="shared" si="14"/>
        <v>0</v>
      </c>
      <c r="AQ10" s="70">
        <f t="shared" si="15"/>
        <v>0</v>
      </c>
      <c r="AR10" s="70">
        <f t="shared" si="16"/>
        <v>0</v>
      </c>
      <c r="AT10" s="157">
        <v>7</v>
      </c>
      <c r="AU10" s="158">
        <f t="shared" si="17"/>
        <v>0</v>
      </c>
      <c r="AV10" s="159">
        <f t="shared" si="18"/>
        <v>0</v>
      </c>
    </row>
    <row r="11" spans="2:48" s="10" customFormat="1" ht="13.5" customHeight="1" x14ac:dyDescent="0.25">
      <c r="B11" s="17">
        <v>9</v>
      </c>
      <c r="E11" s="72"/>
      <c r="F11" s="18"/>
      <c r="J11" s="11"/>
      <c r="K11" s="11">
        <f t="shared" si="0"/>
        <v>0</v>
      </c>
      <c r="L11" s="37">
        <f t="shared" si="1"/>
        <v>0</v>
      </c>
      <c r="M11" s="11"/>
      <c r="O11" s="21"/>
      <c r="P11" s="21"/>
      <c r="Q11" s="21"/>
      <c r="R11" s="23"/>
      <c r="S11" s="50"/>
      <c r="T11" s="48"/>
      <c r="U11" s="81"/>
      <c r="V11" s="26"/>
      <c r="W11" s="200"/>
      <c r="X11" s="17"/>
      <c r="Z11">
        <v>2</v>
      </c>
      <c r="AA11" s="416"/>
      <c r="AB11" s="95">
        <v>3</v>
      </c>
      <c r="AC11" s="102" t="s">
        <v>66</v>
      </c>
      <c r="AD11" s="41">
        <f t="shared" si="2"/>
        <v>0</v>
      </c>
      <c r="AE11" s="70">
        <f t="shared" si="3"/>
        <v>0</v>
      </c>
      <c r="AF11" s="70">
        <f t="shared" si="4"/>
        <v>0</v>
      </c>
      <c r="AG11" s="70">
        <f t="shared" si="5"/>
        <v>0</v>
      </c>
      <c r="AH11" s="109">
        <f t="shared" si="6"/>
        <v>0</v>
      </c>
      <c r="AI11" s="120">
        <f t="shared" si="7"/>
        <v>0</v>
      </c>
      <c r="AJ11" s="121">
        <f t="shared" si="8"/>
        <v>0</v>
      </c>
      <c r="AK11" s="121">
        <f t="shared" si="9"/>
        <v>0</v>
      </c>
      <c r="AL11" s="121">
        <f t="shared" si="10"/>
        <v>0</v>
      </c>
      <c r="AM11" s="122">
        <f t="shared" si="11"/>
        <v>0</v>
      </c>
      <c r="AN11" s="41">
        <f t="shared" si="12"/>
        <v>0</v>
      </c>
      <c r="AO11" s="70">
        <f t="shared" si="13"/>
        <v>0</v>
      </c>
      <c r="AP11" s="70">
        <f t="shared" si="14"/>
        <v>0</v>
      </c>
      <c r="AQ11" s="70">
        <f t="shared" si="15"/>
        <v>0</v>
      </c>
      <c r="AR11" s="70">
        <f t="shared" si="16"/>
        <v>0</v>
      </c>
      <c r="AT11" s="157">
        <v>8</v>
      </c>
      <c r="AU11" s="158">
        <f t="shared" si="17"/>
        <v>0</v>
      </c>
      <c r="AV11" s="159">
        <f t="shared" si="18"/>
        <v>0</v>
      </c>
    </row>
    <row r="12" spans="2:48" s="10" customFormat="1" ht="13.5" customHeight="1" x14ac:dyDescent="0.25">
      <c r="B12" s="17">
        <v>10</v>
      </c>
      <c r="E12" s="72"/>
      <c r="F12" s="18"/>
      <c r="J12" s="11"/>
      <c r="K12" s="11">
        <f t="shared" si="0"/>
        <v>0</v>
      </c>
      <c r="L12" s="37">
        <f t="shared" si="1"/>
        <v>0</v>
      </c>
      <c r="M12" s="11"/>
      <c r="O12" s="21"/>
      <c r="P12" s="21"/>
      <c r="Q12" s="21"/>
      <c r="R12" s="23"/>
      <c r="S12" s="50"/>
      <c r="T12" s="48"/>
      <c r="U12" s="81"/>
      <c r="V12" s="26"/>
      <c r="W12" s="200"/>
      <c r="X12" s="17"/>
      <c r="Z12">
        <v>2</v>
      </c>
      <c r="AA12" s="416"/>
      <c r="AB12" s="95">
        <v>4</v>
      </c>
      <c r="AC12" s="102" t="s">
        <v>67</v>
      </c>
      <c r="AD12" s="41">
        <f t="shared" si="2"/>
        <v>0</v>
      </c>
      <c r="AE12" s="70">
        <f t="shared" si="3"/>
        <v>0</v>
      </c>
      <c r="AF12" s="70">
        <f t="shared" si="4"/>
        <v>0</v>
      </c>
      <c r="AG12" s="70">
        <f t="shared" si="5"/>
        <v>0</v>
      </c>
      <c r="AH12" s="109">
        <f t="shared" si="6"/>
        <v>0</v>
      </c>
      <c r="AI12" s="120">
        <f t="shared" si="7"/>
        <v>0</v>
      </c>
      <c r="AJ12" s="121">
        <f t="shared" si="8"/>
        <v>0</v>
      </c>
      <c r="AK12" s="121">
        <f t="shared" si="9"/>
        <v>0</v>
      </c>
      <c r="AL12" s="121">
        <f t="shared" si="10"/>
        <v>0</v>
      </c>
      <c r="AM12" s="122">
        <f t="shared" si="11"/>
        <v>0</v>
      </c>
      <c r="AN12" s="41">
        <f t="shared" si="12"/>
        <v>0</v>
      </c>
      <c r="AO12" s="70">
        <f t="shared" si="13"/>
        <v>0</v>
      </c>
      <c r="AP12" s="70">
        <f t="shared" si="14"/>
        <v>0</v>
      </c>
      <c r="AQ12" s="70">
        <f t="shared" si="15"/>
        <v>0</v>
      </c>
      <c r="AR12" s="70">
        <f t="shared" si="16"/>
        <v>0</v>
      </c>
      <c r="AT12" s="157">
        <v>9</v>
      </c>
      <c r="AU12" s="158">
        <f t="shared" si="17"/>
        <v>0</v>
      </c>
      <c r="AV12" s="159">
        <f t="shared" si="18"/>
        <v>0</v>
      </c>
    </row>
    <row r="13" spans="2:48" s="10" customFormat="1" ht="13.5" customHeight="1" x14ac:dyDescent="0.25">
      <c r="B13" s="17">
        <v>11</v>
      </c>
      <c r="E13" s="72"/>
      <c r="F13" s="18"/>
      <c r="J13" s="11"/>
      <c r="K13" s="11">
        <f t="shared" ref="K13:K67" si="33">J13*1.1</f>
        <v>0</v>
      </c>
      <c r="L13" s="37">
        <f t="shared" ref="L13:L67" si="34">J13*0.00000001</f>
        <v>0</v>
      </c>
      <c r="M13" s="11"/>
      <c r="O13" s="21"/>
      <c r="P13" s="21"/>
      <c r="Q13" s="21"/>
      <c r="R13" s="23"/>
      <c r="S13" s="50"/>
      <c r="T13" s="48"/>
      <c r="U13" s="81"/>
      <c r="V13" s="26"/>
      <c r="W13" s="200"/>
      <c r="X13" s="17"/>
      <c r="Z13">
        <v>2</v>
      </c>
      <c r="AA13" s="416"/>
      <c r="AB13" s="96">
        <v>5</v>
      </c>
      <c r="AC13" s="102"/>
      <c r="AD13" s="41">
        <f t="shared" si="2"/>
        <v>0</v>
      </c>
      <c r="AE13" s="70">
        <f t="shared" si="3"/>
        <v>0</v>
      </c>
      <c r="AF13" s="70">
        <f t="shared" si="4"/>
        <v>0</v>
      </c>
      <c r="AG13" s="70">
        <f t="shared" si="5"/>
        <v>0</v>
      </c>
      <c r="AH13" s="109">
        <f t="shared" si="6"/>
        <v>0</v>
      </c>
      <c r="AI13" s="120">
        <f t="shared" si="7"/>
        <v>0</v>
      </c>
      <c r="AJ13" s="121">
        <f t="shared" si="8"/>
        <v>0</v>
      </c>
      <c r="AK13" s="121">
        <f t="shared" si="9"/>
        <v>0</v>
      </c>
      <c r="AL13" s="121">
        <f t="shared" si="10"/>
        <v>0</v>
      </c>
      <c r="AM13" s="122">
        <f t="shared" si="11"/>
        <v>0</v>
      </c>
      <c r="AN13" s="41">
        <f t="shared" si="12"/>
        <v>0</v>
      </c>
      <c r="AO13" s="70">
        <f t="shared" si="13"/>
        <v>0</v>
      </c>
      <c r="AP13" s="70">
        <f t="shared" si="14"/>
        <v>0</v>
      </c>
      <c r="AQ13" s="70">
        <f t="shared" si="15"/>
        <v>0</v>
      </c>
      <c r="AR13" s="70">
        <f t="shared" si="16"/>
        <v>0</v>
      </c>
      <c r="AT13" s="157">
        <v>10</v>
      </c>
      <c r="AU13" s="158">
        <f t="shared" si="17"/>
        <v>0</v>
      </c>
      <c r="AV13" s="159">
        <f t="shared" si="18"/>
        <v>0</v>
      </c>
    </row>
    <row r="14" spans="2:48" s="10" customFormat="1" ht="13.5" customHeight="1" thickBot="1" x14ac:dyDescent="0.3">
      <c r="B14" s="17">
        <v>12</v>
      </c>
      <c r="E14" s="72"/>
      <c r="F14" s="18"/>
      <c r="J14" s="11"/>
      <c r="K14" s="11">
        <f t="shared" si="33"/>
        <v>0</v>
      </c>
      <c r="L14" s="37">
        <f t="shared" si="34"/>
        <v>0</v>
      </c>
      <c r="M14" s="11"/>
      <c r="O14" s="21"/>
      <c r="P14" s="21"/>
      <c r="Q14" s="21"/>
      <c r="R14" s="23"/>
      <c r="S14" s="50"/>
      <c r="T14" s="48"/>
      <c r="U14" s="81"/>
      <c r="V14" s="31"/>
      <c r="W14" s="200"/>
      <c r="X14" s="17"/>
      <c r="Z14">
        <v>2</v>
      </c>
      <c r="AA14" s="417"/>
      <c r="AB14" s="97" t="s">
        <v>3</v>
      </c>
      <c r="AC14" s="103"/>
      <c r="AD14" s="99">
        <f>SUM(AD9:AD13)</f>
        <v>0</v>
      </c>
      <c r="AE14" s="99">
        <f t="shared" ref="AE14" si="35">SUM(AE9:AE13)</f>
        <v>0</v>
      </c>
      <c r="AF14" s="99">
        <f t="shared" ref="AF14" si="36">SUM(AF9:AF13)</f>
        <v>0</v>
      </c>
      <c r="AG14" s="99">
        <f t="shared" ref="AG14" si="37">SUM(AG9:AG13)</f>
        <v>0</v>
      </c>
      <c r="AH14" s="110">
        <f t="shared" ref="AH14" si="38">SUM(AH9:AH13)</f>
        <v>0</v>
      </c>
      <c r="AI14" s="123">
        <f t="shared" ref="AI14" si="39">SUM(AI9:AI13)</f>
        <v>0</v>
      </c>
      <c r="AJ14" s="124">
        <f t="shared" ref="AJ14" si="40">SUM(AJ9:AJ13)</f>
        <v>0</v>
      </c>
      <c r="AK14" s="124">
        <f t="shared" ref="AK14" si="41">SUM(AK9:AK13)</f>
        <v>0</v>
      </c>
      <c r="AL14" s="124">
        <f t="shared" ref="AL14" si="42">SUM(AL9:AL13)</f>
        <v>0</v>
      </c>
      <c r="AM14" s="125">
        <f t="shared" ref="AM14" si="43">SUM(AM9:AM13)</f>
        <v>0</v>
      </c>
      <c r="AN14" s="99">
        <f t="shared" ref="AN14" si="44">SUM(AN9:AN13)</f>
        <v>0</v>
      </c>
      <c r="AO14" s="99">
        <f t="shared" ref="AO14" si="45">SUM(AO9:AO13)</f>
        <v>0</v>
      </c>
      <c r="AP14" s="99">
        <f t="shared" ref="AP14" si="46">SUM(AP9:AP13)</f>
        <v>0</v>
      </c>
      <c r="AQ14" s="99">
        <f t="shared" ref="AQ14" si="47">SUM(AQ9:AQ13)</f>
        <v>0</v>
      </c>
      <c r="AR14" s="99">
        <f t="shared" ref="AR14" si="48">SUM(AR9:AR13)</f>
        <v>0</v>
      </c>
      <c r="AT14" s="157">
        <v>11</v>
      </c>
      <c r="AU14" s="158">
        <f t="shared" si="17"/>
        <v>0</v>
      </c>
      <c r="AV14" s="159">
        <f t="shared" si="18"/>
        <v>0</v>
      </c>
    </row>
    <row r="15" spans="2:48" s="10" customFormat="1" ht="13.5" customHeight="1" thickBot="1" x14ac:dyDescent="0.3">
      <c r="B15" s="17">
        <v>13</v>
      </c>
      <c r="E15" s="72"/>
      <c r="F15" s="18"/>
      <c r="J15" s="11"/>
      <c r="K15" s="11">
        <f t="shared" si="33"/>
        <v>0</v>
      </c>
      <c r="L15" s="37">
        <f t="shared" si="34"/>
        <v>0</v>
      </c>
      <c r="M15" s="11"/>
      <c r="O15" s="21"/>
      <c r="P15" s="21"/>
      <c r="Q15" s="21"/>
      <c r="R15" s="23"/>
      <c r="S15" s="50"/>
      <c r="T15" s="48"/>
      <c r="U15" s="81"/>
      <c r="V15" s="32"/>
      <c r="W15" s="200"/>
      <c r="X15" s="17"/>
      <c r="Z15">
        <v>3</v>
      </c>
      <c r="AA15" s="415">
        <v>3</v>
      </c>
      <c r="AB15" s="94">
        <v>1</v>
      </c>
      <c r="AC15" s="100" t="s">
        <v>107</v>
      </c>
      <c r="AD15" s="41">
        <f t="shared" si="2"/>
        <v>0</v>
      </c>
      <c r="AE15" s="70">
        <f t="shared" si="3"/>
        <v>0</v>
      </c>
      <c r="AF15" s="70">
        <f t="shared" si="4"/>
        <v>0</v>
      </c>
      <c r="AG15" s="70">
        <f t="shared" si="5"/>
        <v>0</v>
      </c>
      <c r="AH15" s="109">
        <f t="shared" si="6"/>
        <v>0</v>
      </c>
      <c r="AI15" s="120">
        <f t="shared" si="7"/>
        <v>0</v>
      </c>
      <c r="AJ15" s="121">
        <f t="shared" si="8"/>
        <v>0</v>
      </c>
      <c r="AK15" s="121">
        <f t="shared" si="9"/>
        <v>0</v>
      </c>
      <c r="AL15" s="121">
        <f t="shared" si="10"/>
        <v>0</v>
      </c>
      <c r="AM15" s="122">
        <f t="shared" si="11"/>
        <v>0</v>
      </c>
      <c r="AN15" s="41">
        <f t="shared" si="12"/>
        <v>0</v>
      </c>
      <c r="AO15" s="70">
        <f t="shared" si="13"/>
        <v>0</v>
      </c>
      <c r="AP15" s="70">
        <f t="shared" si="14"/>
        <v>0</v>
      </c>
      <c r="AQ15" s="70">
        <f t="shared" si="15"/>
        <v>0</v>
      </c>
      <c r="AR15" s="70">
        <f t="shared" si="16"/>
        <v>0</v>
      </c>
      <c r="AT15" s="160">
        <v>12</v>
      </c>
      <c r="AU15" s="158">
        <f t="shared" si="17"/>
        <v>0</v>
      </c>
      <c r="AV15" s="159">
        <f t="shared" si="18"/>
        <v>0</v>
      </c>
    </row>
    <row r="16" spans="2:48" s="10" customFormat="1" ht="13.5" customHeight="1" thickBot="1" x14ac:dyDescent="0.3">
      <c r="B16" s="17">
        <v>14</v>
      </c>
      <c r="E16" s="72"/>
      <c r="F16" s="18"/>
      <c r="J16" s="11"/>
      <c r="K16" s="11">
        <f t="shared" si="33"/>
        <v>0</v>
      </c>
      <c r="L16" s="37">
        <f t="shared" si="34"/>
        <v>0</v>
      </c>
      <c r="M16" s="11"/>
      <c r="O16" s="21"/>
      <c r="P16" s="21"/>
      <c r="Q16" s="21"/>
      <c r="R16" s="23"/>
      <c r="S16" s="50"/>
      <c r="T16" s="48"/>
      <c r="U16" s="81"/>
      <c r="V16" s="32"/>
      <c r="W16" s="200"/>
      <c r="X16" s="17"/>
      <c r="Z16">
        <v>3</v>
      </c>
      <c r="AA16" s="416"/>
      <c r="AB16" s="95">
        <v>2</v>
      </c>
      <c r="AC16" s="101" t="s">
        <v>65</v>
      </c>
      <c r="AD16" s="41">
        <f t="shared" si="2"/>
        <v>0</v>
      </c>
      <c r="AE16" s="70">
        <f t="shared" si="3"/>
        <v>0</v>
      </c>
      <c r="AF16" s="70">
        <f t="shared" si="4"/>
        <v>0</v>
      </c>
      <c r="AG16" s="70">
        <f t="shared" si="5"/>
        <v>0</v>
      </c>
      <c r="AH16" s="109">
        <f t="shared" si="6"/>
        <v>0</v>
      </c>
      <c r="AI16" s="120">
        <f t="shared" si="7"/>
        <v>0</v>
      </c>
      <c r="AJ16" s="121">
        <f t="shared" si="8"/>
        <v>0</v>
      </c>
      <c r="AK16" s="121">
        <f t="shared" si="9"/>
        <v>0</v>
      </c>
      <c r="AL16" s="121">
        <f t="shared" si="10"/>
        <v>0</v>
      </c>
      <c r="AM16" s="122">
        <f t="shared" si="11"/>
        <v>0</v>
      </c>
      <c r="AN16" s="41">
        <f t="shared" si="12"/>
        <v>0</v>
      </c>
      <c r="AO16" s="70">
        <f t="shared" si="13"/>
        <v>0</v>
      </c>
      <c r="AP16" s="70">
        <f t="shared" si="14"/>
        <v>0</v>
      </c>
      <c r="AQ16" s="70">
        <f t="shared" si="15"/>
        <v>0</v>
      </c>
      <c r="AR16" s="70">
        <f t="shared" si="16"/>
        <v>0</v>
      </c>
      <c r="AT16" s="161" t="s">
        <v>3</v>
      </c>
      <c r="AU16" s="162">
        <f>SUM(AU4:AU15)</f>
        <v>0</v>
      </c>
      <c r="AV16" s="162">
        <f>SUM(AV4:AV15)</f>
        <v>0</v>
      </c>
    </row>
    <row r="17" spans="2:48" s="10" customFormat="1" ht="13.5" customHeight="1" thickBot="1" x14ac:dyDescent="0.3">
      <c r="B17" s="17">
        <v>15</v>
      </c>
      <c r="E17" s="72"/>
      <c r="F17" s="18"/>
      <c r="J17" s="11"/>
      <c r="K17" s="11">
        <f t="shared" si="33"/>
        <v>0</v>
      </c>
      <c r="L17" s="37">
        <f t="shared" si="34"/>
        <v>0</v>
      </c>
      <c r="M17" s="11"/>
      <c r="O17" s="21"/>
      <c r="P17" s="21"/>
      <c r="Q17" s="21"/>
      <c r="R17" s="23"/>
      <c r="S17" s="50"/>
      <c r="T17" s="48"/>
      <c r="U17" s="81"/>
      <c r="V17" s="32"/>
      <c r="W17" s="200"/>
      <c r="X17" s="17"/>
      <c r="Z17">
        <v>3</v>
      </c>
      <c r="AA17" s="416"/>
      <c r="AB17" s="95">
        <v>3</v>
      </c>
      <c r="AC17" s="102" t="s">
        <v>66</v>
      </c>
      <c r="AD17" s="41">
        <f t="shared" si="2"/>
        <v>0</v>
      </c>
      <c r="AE17" s="70">
        <f t="shared" si="3"/>
        <v>0</v>
      </c>
      <c r="AF17" s="70">
        <f t="shared" si="4"/>
        <v>0</v>
      </c>
      <c r="AG17" s="70">
        <f t="shared" si="5"/>
        <v>0</v>
      </c>
      <c r="AH17" s="109">
        <f t="shared" si="6"/>
        <v>0</v>
      </c>
      <c r="AI17" s="120">
        <f t="shared" si="7"/>
        <v>0</v>
      </c>
      <c r="AJ17" s="121">
        <f t="shared" si="8"/>
        <v>0</v>
      </c>
      <c r="AK17" s="121">
        <f t="shared" si="9"/>
        <v>0</v>
      </c>
      <c r="AL17" s="121">
        <f t="shared" si="10"/>
        <v>0</v>
      </c>
      <c r="AM17" s="122">
        <f t="shared" si="11"/>
        <v>0</v>
      </c>
      <c r="AN17" s="41">
        <f t="shared" si="12"/>
        <v>0</v>
      </c>
      <c r="AO17" s="70">
        <f t="shared" si="13"/>
        <v>0</v>
      </c>
      <c r="AP17" s="70">
        <f t="shared" si="14"/>
        <v>0</v>
      </c>
      <c r="AQ17" s="70">
        <f t="shared" si="15"/>
        <v>0</v>
      </c>
      <c r="AR17" s="70">
        <f t="shared" si="16"/>
        <v>0</v>
      </c>
      <c r="AT17" s="161" t="s">
        <v>152</v>
      </c>
      <c r="AU17" s="163" t="e">
        <f>AU16/($AU$16+$AV$16)</f>
        <v>#DIV/0!</v>
      </c>
      <c r="AV17" s="164" t="e">
        <f>AV16/($AV$16+$AU$16)</f>
        <v>#DIV/0!</v>
      </c>
    </row>
    <row r="18" spans="2:48" s="10" customFormat="1" ht="13.5" customHeight="1" x14ac:dyDescent="0.25">
      <c r="B18" s="17">
        <v>16</v>
      </c>
      <c r="E18" s="72"/>
      <c r="F18" s="18"/>
      <c r="J18" s="11"/>
      <c r="K18" s="11">
        <f t="shared" si="33"/>
        <v>0</v>
      </c>
      <c r="L18" s="37">
        <f t="shared" si="34"/>
        <v>0</v>
      </c>
      <c r="M18" s="11"/>
      <c r="O18" s="21"/>
      <c r="P18" s="21"/>
      <c r="Q18" s="21"/>
      <c r="R18" s="23"/>
      <c r="S18" s="50"/>
      <c r="T18" s="48"/>
      <c r="U18" s="81"/>
      <c r="V18" s="26"/>
      <c r="W18" s="200"/>
      <c r="X18" s="17"/>
      <c r="Z18">
        <v>3</v>
      </c>
      <c r="AA18" s="416"/>
      <c r="AB18" s="95">
        <v>4</v>
      </c>
      <c r="AC18" s="102" t="s">
        <v>67</v>
      </c>
      <c r="AD18" s="41">
        <f t="shared" si="2"/>
        <v>0</v>
      </c>
      <c r="AE18" s="70">
        <f t="shared" si="3"/>
        <v>0</v>
      </c>
      <c r="AF18" s="70">
        <f t="shared" si="4"/>
        <v>0</v>
      </c>
      <c r="AG18" s="70">
        <f t="shared" si="5"/>
        <v>0</v>
      </c>
      <c r="AH18" s="109">
        <f t="shared" si="6"/>
        <v>0</v>
      </c>
      <c r="AI18" s="120">
        <f t="shared" si="7"/>
        <v>0</v>
      </c>
      <c r="AJ18" s="121">
        <f t="shared" si="8"/>
        <v>0</v>
      </c>
      <c r="AK18" s="121">
        <f t="shared" si="9"/>
        <v>0</v>
      </c>
      <c r="AL18" s="121">
        <f t="shared" si="10"/>
        <v>0</v>
      </c>
      <c r="AM18" s="122">
        <f t="shared" si="11"/>
        <v>0</v>
      </c>
      <c r="AN18" s="41">
        <f t="shared" si="12"/>
        <v>0</v>
      </c>
      <c r="AO18" s="70">
        <f t="shared" si="13"/>
        <v>0</v>
      </c>
      <c r="AP18" s="70">
        <f t="shared" si="14"/>
        <v>0</v>
      </c>
      <c r="AQ18" s="70">
        <f t="shared" si="15"/>
        <v>0</v>
      </c>
      <c r="AR18" s="70">
        <f t="shared" si="16"/>
        <v>0</v>
      </c>
    </row>
    <row r="19" spans="2:48" s="10" customFormat="1" ht="13.5" customHeight="1" x14ac:dyDescent="0.25">
      <c r="B19" s="17">
        <v>17</v>
      </c>
      <c r="E19" s="72"/>
      <c r="F19" s="18"/>
      <c r="J19" s="11"/>
      <c r="K19" s="11">
        <f t="shared" si="33"/>
        <v>0</v>
      </c>
      <c r="L19" s="37">
        <f t="shared" si="34"/>
        <v>0</v>
      </c>
      <c r="M19" s="11"/>
      <c r="O19" s="21"/>
      <c r="P19" s="21"/>
      <c r="Q19" s="21"/>
      <c r="R19" s="23"/>
      <c r="S19" s="50"/>
      <c r="T19" s="48"/>
      <c r="U19" s="81"/>
      <c r="V19" s="26"/>
      <c r="W19" s="200"/>
      <c r="X19" s="17"/>
      <c r="Z19">
        <v>3</v>
      </c>
      <c r="AA19" s="416"/>
      <c r="AB19" s="96">
        <v>5</v>
      </c>
      <c r="AC19" s="102"/>
      <c r="AD19" s="41">
        <f t="shared" si="2"/>
        <v>0</v>
      </c>
      <c r="AE19" s="70">
        <f t="shared" si="3"/>
        <v>0</v>
      </c>
      <c r="AF19" s="70">
        <f t="shared" si="4"/>
        <v>0</v>
      </c>
      <c r="AG19" s="70">
        <f t="shared" si="5"/>
        <v>0</v>
      </c>
      <c r="AH19" s="109">
        <f t="shared" si="6"/>
        <v>0</v>
      </c>
      <c r="AI19" s="120">
        <f t="shared" si="7"/>
        <v>0</v>
      </c>
      <c r="AJ19" s="121">
        <f t="shared" si="8"/>
        <v>0</v>
      </c>
      <c r="AK19" s="121">
        <f t="shared" si="9"/>
        <v>0</v>
      </c>
      <c r="AL19" s="121">
        <f t="shared" si="10"/>
        <v>0</v>
      </c>
      <c r="AM19" s="122">
        <f t="shared" si="11"/>
        <v>0</v>
      </c>
      <c r="AN19" s="41">
        <f t="shared" si="12"/>
        <v>0</v>
      </c>
      <c r="AO19" s="70">
        <f t="shared" si="13"/>
        <v>0</v>
      </c>
      <c r="AP19" s="70">
        <f t="shared" si="14"/>
        <v>0</v>
      </c>
      <c r="AQ19" s="70">
        <f t="shared" si="15"/>
        <v>0</v>
      </c>
      <c r="AR19" s="70">
        <f t="shared" si="16"/>
        <v>0</v>
      </c>
    </row>
    <row r="20" spans="2:48" s="10" customFormat="1" ht="13.5" customHeight="1" thickBot="1" x14ac:dyDescent="0.3">
      <c r="B20" s="17">
        <v>18</v>
      </c>
      <c r="E20" s="72"/>
      <c r="F20" s="18"/>
      <c r="J20" s="11"/>
      <c r="K20" s="11">
        <f t="shared" si="33"/>
        <v>0</v>
      </c>
      <c r="L20" s="37">
        <f t="shared" si="34"/>
        <v>0</v>
      </c>
      <c r="M20" s="11"/>
      <c r="O20" s="21"/>
      <c r="P20" s="21"/>
      <c r="Q20" s="21"/>
      <c r="R20" s="23"/>
      <c r="S20" s="50"/>
      <c r="T20" s="48"/>
      <c r="U20" s="81"/>
      <c r="V20" s="26"/>
      <c r="W20" s="200"/>
      <c r="X20" s="17"/>
      <c r="Z20">
        <v>3</v>
      </c>
      <c r="AA20" s="417"/>
      <c r="AB20" s="97" t="s">
        <v>3</v>
      </c>
      <c r="AC20" s="103"/>
      <c r="AD20" s="99">
        <f>SUM(AD15:AD19)</f>
        <v>0</v>
      </c>
      <c r="AE20" s="99">
        <f t="shared" ref="AE20" si="49">SUM(AE15:AE19)</f>
        <v>0</v>
      </c>
      <c r="AF20" s="99">
        <f t="shared" ref="AF20" si="50">SUM(AF15:AF19)</f>
        <v>0</v>
      </c>
      <c r="AG20" s="99">
        <f t="shared" ref="AG20" si="51">SUM(AG15:AG19)</f>
        <v>0</v>
      </c>
      <c r="AH20" s="110">
        <f t="shared" ref="AH20" si="52">SUM(AH15:AH19)</f>
        <v>0</v>
      </c>
      <c r="AI20" s="123">
        <f t="shared" ref="AI20" si="53">SUM(AI15:AI19)</f>
        <v>0</v>
      </c>
      <c r="AJ20" s="124">
        <f t="shared" ref="AJ20" si="54">SUM(AJ15:AJ19)</f>
        <v>0</v>
      </c>
      <c r="AK20" s="124">
        <f t="shared" ref="AK20" si="55">SUM(AK15:AK19)</f>
        <v>0</v>
      </c>
      <c r="AL20" s="124">
        <f t="shared" ref="AL20" si="56">SUM(AL15:AL19)</f>
        <v>0</v>
      </c>
      <c r="AM20" s="125">
        <f t="shared" ref="AM20" si="57">SUM(AM15:AM19)</f>
        <v>0</v>
      </c>
      <c r="AN20" s="99">
        <f t="shared" ref="AN20" si="58">SUM(AN15:AN19)</f>
        <v>0</v>
      </c>
      <c r="AO20" s="99">
        <f t="shared" ref="AO20" si="59">SUM(AO15:AO19)</f>
        <v>0</v>
      </c>
      <c r="AP20" s="99">
        <f t="shared" ref="AP20" si="60">SUM(AP15:AP19)</f>
        <v>0</v>
      </c>
      <c r="AQ20" s="99">
        <f t="shared" ref="AQ20" si="61">SUM(AQ15:AQ19)</f>
        <v>0</v>
      </c>
      <c r="AR20" s="99">
        <f t="shared" ref="AR20" si="62">SUM(AR15:AR19)</f>
        <v>0</v>
      </c>
    </row>
    <row r="21" spans="2:48" s="10" customFormat="1" ht="13.5" customHeight="1" x14ac:dyDescent="0.25">
      <c r="B21" s="17">
        <v>19</v>
      </c>
      <c r="E21" s="72"/>
      <c r="F21" s="18"/>
      <c r="J21" s="11"/>
      <c r="K21" s="11">
        <f t="shared" si="33"/>
        <v>0</v>
      </c>
      <c r="L21" s="37">
        <f t="shared" si="34"/>
        <v>0</v>
      </c>
      <c r="M21" s="11"/>
      <c r="O21" s="21"/>
      <c r="P21" s="21"/>
      <c r="Q21" s="21"/>
      <c r="R21" s="23"/>
      <c r="S21" s="50"/>
      <c r="T21" s="48"/>
      <c r="U21" s="81"/>
      <c r="V21" s="26"/>
      <c r="W21" s="200"/>
      <c r="X21" s="17"/>
      <c r="Z21">
        <v>4</v>
      </c>
      <c r="AA21" s="415">
        <v>4</v>
      </c>
      <c r="AB21" s="94">
        <v>1</v>
      </c>
      <c r="AC21" s="100" t="s">
        <v>108</v>
      </c>
      <c r="AD21" s="41">
        <f t="shared" si="2"/>
        <v>0</v>
      </c>
      <c r="AE21" s="70">
        <f t="shared" si="3"/>
        <v>0</v>
      </c>
      <c r="AF21" s="70">
        <f t="shared" si="4"/>
        <v>0</v>
      </c>
      <c r="AG21" s="70">
        <f t="shared" si="5"/>
        <v>0</v>
      </c>
      <c r="AH21" s="109">
        <f t="shared" si="6"/>
        <v>0</v>
      </c>
      <c r="AI21" s="120">
        <f t="shared" si="7"/>
        <v>0</v>
      </c>
      <c r="AJ21" s="121">
        <f t="shared" si="8"/>
        <v>0</v>
      </c>
      <c r="AK21" s="121">
        <f t="shared" si="9"/>
        <v>0</v>
      </c>
      <c r="AL21" s="121">
        <f t="shared" si="10"/>
        <v>0</v>
      </c>
      <c r="AM21" s="122">
        <f t="shared" si="11"/>
        <v>0</v>
      </c>
      <c r="AN21" s="41">
        <f t="shared" si="12"/>
        <v>0</v>
      </c>
      <c r="AO21" s="70">
        <f t="shared" si="13"/>
        <v>0</v>
      </c>
      <c r="AP21" s="70">
        <f t="shared" si="14"/>
        <v>0</v>
      </c>
      <c r="AQ21" s="70">
        <f t="shared" si="15"/>
        <v>0</v>
      </c>
      <c r="AR21" s="70">
        <f t="shared" si="16"/>
        <v>0</v>
      </c>
    </row>
    <row r="22" spans="2:48" s="10" customFormat="1" ht="13.5" customHeight="1" x14ac:dyDescent="0.25">
      <c r="B22" s="17">
        <v>20</v>
      </c>
      <c r="E22" s="72"/>
      <c r="F22" s="18"/>
      <c r="J22" s="11"/>
      <c r="K22" s="11">
        <f t="shared" si="33"/>
        <v>0</v>
      </c>
      <c r="L22" s="37">
        <f t="shared" si="34"/>
        <v>0</v>
      </c>
      <c r="M22" s="11"/>
      <c r="O22" s="21"/>
      <c r="P22" s="21"/>
      <c r="Q22" s="21"/>
      <c r="R22" s="23"/>
      <c r="S22" s="50"/>
      <c r="T22" s="48"/>
      <c r="U22" s="81"/>
      <c r="V22" s="26"/>
      <c r="W22" s="200"/>
      <c r="X22" s="17"/>
      <c r="Z22">
        <v>4</v>
      </c>
      <c r="AA22" s="416"/>
      <c r="AB22" s="95">
        <v>2</v>
      </c>
      <c r="AC22" s="102" t="s">
        <v>68</v>
      </c>
      <c r="AD22" s="41">
        <f t="shared" si="2"/>
        <v>0</v>
      </c>
      <c r="AE22" s="70">
        <f t="shared" si="3"/>
        <v>0</v>
      </c>
      <c r="AF22" s="70">
        <f t="shared" si="4"/>
        <v>0</v>
      </c>
      <c r="AG22" s="70">
        <f t="shared" si="5"/>
        <v>0</v>
      </c>
      <c r="AH22" s="109">
        <f t="shared" si="6"/>
        <v>0</v>
      </c>
      <c r="AI22" s="120">
        <f t="shared" si="7"/>
        <v>0</v>
      </c>
      <c r="AJ22" s="121">
        <f t="shared" si="8"/>
        <v>0</v>
      </c>
      <c r="AK22" s="121">
        <f t="shared" si="9"/>
        <v>0</v>
      </c>
      <c r="AL22" s="121">
        <f t="shared" si="10"/>
        <v>0</v>
      </c>
      <c r="AM22" s="122">
        <f t="shared" si="11"/>
        <v>0</v>
      </c>
      <c r="AN22" s="41">
        <f t="shared" si="12"/>
        <v>0</v>
      </c>
      <c r="AO22" s="70">
        <f t="shared" si="13"/>
        <v>0</v>
      </c>
      <c r="AP22" s="70">
        <f t="shared" si="14"/>
        <v>0</v>
      </c>
      <c r="AQ22" s="70">
        <f t="shared" si="15"/>
        <v>0</v>
      </c>
      <c r="AR22" s="70">
        <f t="shared" si="16"/>
        <v>0</v>
      </c>
    </row>
    <row r="23" spans="2:48" s="10" customFormat="1" ht="13.5" customHeight="1" x14ac:dyDescent="0.25">
      <c r="B23" s="17">
        <v>21</v>
      </c>
      <c r="E23" s="72"/>
      <c r="F23" s="18"/>
      <c r="J23" s="11"/>
      <c r="K23" s="11">
        <f t="shared" si="33"/>
        <v>0</v>
      </c>
      <c r="L23" s="37">
        <f t="shared" si="34"/>
        <v>0</v>
      </c>
      <c r="M23" s="11"/>
      <c r="O23" s="21"/>
      <c r="P23" s="21"/>
      <c r="Q23" s="21"/>
      <c r="R23" s="23"/>
      <c r="S23" s="50"/>
      <c r="T23" s="48"/>
      <c r="U23" s="81"/>
      <c r="V23" s="26"/>
      <c r="W23" s="200"/>
      <c r="X23" s="17"/>
      <c r="Z23">
        <v>4</v>
      </c>
      <c r="AA23" s="416"/>
      <c r="AB23" s="95">
        <v>3</v>
      </c>
      <c r="AC23" s="102" t="s">
        <v>69</v>
      </c>
      <c r="AD23" s="41">
        <f t="shared" si="2"/>
        <v>0</v>
      </c>
      <c r="AE23" s="70">
        <f t="shared" si="3"/>
        <v>0</v>
      </c>
      <c r="AF23" s="70">
        <f t="shared" si="4"/>
        <v>0</v>
      </c>
      <c r="AG23" s="70">
        <f t="shared" si="5"/>
        <v>0</v>
      </c>
      <c r="AH23" s="109">
        <f t="shared" si="6"/>
        <v>0</v>
      </c>
      <c r="AI23" s="120">
        <f t="shared" si="7"/>
        <v>0</v>
      </c>
      <c r="AJ23" s="121">
        <f t="shared" si="8"/>
        <v>0</v>
      </c>
      <c r="AK23" s="121">
        <f t="shared" si="9"/>
        <v>0</v>
      </c>
      <c r="AL23" s="121">
        <f t="shared" si="10"/>
        <v>0</v>
      </c>
      <c r="AM23" s="122">
        <f t="shared" si="11"/>
        <v>0</v>
      </c>
      <c r="AN23" s="41">
        <f t="shared" si="12"/>
        <v>0</v>
      </c>
      <c r="AO23" s="70">
        <f t="shared" si="13"/>
        <v>0</v>
      </c>
      <c r="AP23" s="70">
        <f t="shared" si="14"/>
        <v>0</v>
      </c>
      <c r="AQ23" s="70">
        <f t="shared" si="15"/>
        <v>0</v>
      </c>
      <c r="AR23" s="70">
        <f t="shared" si="16"/>
        <v>0</v>
      </c>
    </row>
    <row r="24" spans="2:48" s="10" customFormat="1" ht="13.5" customHeight="1" x14ac:dyDescent="0.25">
      <c r="B24" s="17">
        <v>22</v>
      </c>
      <c r="E24" s="72"/>
      <c r="F24" s="18"/>
      <c r="J24" s="11"/>
      <c r="K24" s="11">
        <f t="shared" si="33"/>
        <v>0</v>
      </c>
      <c r="L24" s="37">
        <f t="shared" si="34"/>
        <v>0</v>
      </c>
      <c r="M24" s="11"/>
      <c r="O24" s="21"/>
      <c r="P24" s="21"/>
      <c r="Q24" s="21"/>
      <c r="R24" s="23"/>
      <c r="S24" s="50"/>
      <c r="T24" s="48"/>
      <c r="U24" s="81"/>
      <c r="V24" s="26"/>
      <c r="W24" s="200"/>
      <c r="X24" s="17"/>
      <c r="Z24">
        <v>4</v>
      </c>
      <c r="AA24" s="416"/>
      <c r="AB24" s="95">
        <v>4</v>
      </c>
      <c r="AC24" s="102" t="s">
        <v>70</v>
      </c>
      <c r="AD24" s="41">
        <f t="shared" si="2"/>
        <v>0</v>
      </c>
      <c r="AE24" s="70">
        <f t="shared" si="3"/>
        <v>0</v>
      </c>
      <c r="AF24" s="70">
        <f t="shared" si="4"/>
        <v>0</v>
      </c>
      <c r="AG24" s="70">
        <f t="shared" si="5"/>
        <v>0</v>
      </c>
      <c r="AH24" s="109">
        <f t="shared" si="6"/>
        <v>0</v>
      </c>
      <c r="AI24" s="120">
        <f t="shared" si="7"/>
        <v>0</v>
      </c>
      <c r="AJ24" s="121">
        <f t="shared" si="8"/>
        <v>0</v>
      </c>
      <c r="AK24" s="121">
        <f t="shared" si="9"/>
        <v>0</v>
      </c>
      <c r="AL24" s="121">
        <f t="shared" si="10"/>
        <v>0</v>
      </c>
      <c r="AM24" s="122">
        <f t="shared" si="11"/>
        <v>0</v>
      </c>
      <c r="AN24" s="41">
        <f t="shared" si="12"/>
        <v>0</v>
      </c>
      <c r="AO24" s="70">
        <f t="shared" si="13"/>
        <v>0</v>
      </c>
      <c r="AP24" s="70">
        <f t="shared" si="14"/>
        <v>0</v>
      </c>
      <c r="AQ24" s="70">
        <f t="shared" si="15"/>
        <v>0</v>
      </c>
      <c r="AR24" s="70">
        <f t="shared" si="16"/>
        <v>0</v>
      </c>
      <c r="AT24" s="201" t="s">
        <v>256</v>
      </c>
      <c r="AU24" s="201" t="s">
        <v>257</v>
      </c>
      <c r="AV24" s="201" t="s">
        <v>152</v>
      </c>
    </row>
    <row r="25" spans="2:48" s="10" customFormat="1" ht="13.5" customHeight="1" x14ac:dyDescent="0.25">
      <c r="B25" s="17">
        <v>23</v>
      </c>
      <c r="E25" s="72"/>
      <c r="F25" s="18"/>
      <c r="J25" s="11"/>
      <c r="K25" s="11">
        <f t="shared" si="33"/>
        <v>0</v>
      </c>
      <c r="L25" s="37">
        <f t="shared" si="34"/>
        <v>0</v>
      </c>
      <c r="M25" s="11"/>
      <c r="O25" s="21"/>
      <c r="P25" s="21"/>
      <c r="Q25" s="21"/>
      <c r="R25" s="23"/>
      <c r="S25" s="50"/>
      <c r="T25" s="48"/>
      <c r="U25" s="81"/>
      <c r="V25" s="26"/>
      <c r="W25" s="200"/>
      <c r="X25" s="17"/>
      <c r="Z25">
        <v>4</v>
      </c>
      <c r="AA25" s="416"/>
      <c r="AB25" s="96">
        <v>5</v>
      </c>
      <c r="AC25" s="102" t="s">
        <v>109</v>
      </c>
      <c r="AD25" s="41">
        <f t="shared" si="2"/>
        <v>0</v>
      </c>
      <c r="AE25" s="70">
        <f t="shared" si="3"/>
        <v>0</v>
      </c>
      <c r="AF25" s="70">
        <f t="shared" si="4"/>
        <v>0</v>
      </c>
      <c r="AG25" s="70">
        <f t="shared" si="5"/>
        <v>0</v>
      </c>
      <c r="AH25" s="109">
        <f t="shared" si="6"/>
        <v>0</v>
      </c>
      <c r="AI25" s="120">
        <f t="shared" si="7"/>
        <v>0</v>
      </c>
      <c r="AJ25" s="121">
        <f t="shared" si="8"/>
        <v>0</v>
      </c>
      <c r="AK25" s="121">
        <f t="shared" si="9"/>
        <v>0</v>
      </c>
      <c r="AL25" s="121">
        <f t="shared" si="10"/>
        <v>0</v>
      </c>
      <c r="AM25" s="122">
        <f t="shared" si="11"/>
        <v>0</v>
      </c>
      <c r="AN25" s="41">
        <f t="shared" si="12"/>
        <v>0</v>
      </c>
      <c r="AO25" s="70">
        <f t="shared" si="13"/>
        <v>0</v>
      </c>
      <c r="AP25" s="70">
        <f t="shared" si="14"/>
        <v>0</v>
      </c>
      <c r="AQ25" s="70">
        <f t="shared" si="15"/>
        <v>0</v>
      </c>
      <c r="AR25" s="70">
        <f t="shared" si="16"/>
        <v>0</v>
      </c>
      <c r="AT25" s="202" t="s">
        <v>270</v>
      </c>
      <c r="AU25" s="202">
        <f>COUNTIF($W:$W, AT25)</f>
        <v>0</v>
      </c>
      <c r="AV25" s="203" t="e">
        <f>AU25/$AU$33</f>
        <v>#DIV/0!</v>
      </c>
    </row>
    <row r="26" spans="2:48" s="10" customFormat="1" ht="13.5" customHeight="1" thickBot="1" x14ac:dyDescent="0.3">
      <c r="B26" s="17">
        <v>24</v>
      </c>
      <c r="E26" s="72"/>
      <c r="F26" s="18"/>
      <c r="J26" s="11"/>
      <c r="K26" s="11">
        <f t="shared" si="33"/>
        <v>0</v>
      </c>
      <c r="L26" s="37">
        <f t="shared" si="34"/>
        <v>0</v>
      </c>
      <c r="M26" s="11"/>
      <c r="O26" s="21"/>
      <c r="P26" s="21"/>
      <c r="Q26" s="21"/>
      <c r="R26" s="23"/>
      <c r="S26" s="50"/>
      <c r="T26" s="48"/>
      <c r="U26" s="81"/>
      <c r="V26" s="26"/>
      <c r="W26" s="200"/>
      <c r="X26" s="17"/>
      <c r="Z26">
        <v>4</v>
      </c>
      <c r="AA26" s="417"/>
      <c r="AB26" s="97" t="s">
        <v>3</v>
      </c>
      <c r="AC26" s="103"/>
      <c r="AD26" s="99">
        <f>SUM(AD21:AD25)</f>
        <v>0</v>
      </c>
      <c r="AE26" s="99">
        <f t="shared" ref="AE26" si="63">SUM(AE21:AE25)</f>
        <v>0</v>
      </c>
      <c r="AF26" s="99">
        <f t="shared" ref="AF26" si="64">SUM(AF21:AF25)</f>
        <v>0</v>
      </c>
      <c r="AG26" s="99">
        <f t="shared" ref="AG26" si="65">SUM(AG21:AG25)</f>
        <v>0</v>
      </c>
      <c r="AH26" s="110">
        <f t="shared" ref="AH26" si="66">SUM(AH21:AH25)</f>
        <v>0</v>
      </c>
      <c r="AI26" s="123">
        <f t="shared" ref="AI26" si="67">SUM(AI21:AI25)</f>
        <v>0</v>
      </c>
      <c r="AJ26" s="124">
        <f t="shared" ref="AJ26" si="68">SUM(AJ21:AJ25)</f>
        <v>0</v>
      </c>
      <c r="AK26" s="124">
        <f t="shared" ref="AK26" si="69">SUM(AK21:AK25)</f>
        <v>0</v>
      </c>
      <c r="AL26" s="124">
        <f t="shared" ref="AL26" si="70">SUM(AL21:AL25)</f>
        <v>0</v>
      </c>
      <c r="AM26" s="125">
        <f t="shared" ref="AM26" si="71">SUM(AM21:AM25)</f>
        <v>0</v>
      </c>
      <c r="AN26" s="99">
        <f t="shared" ref="AN26" si="72">SUM(AN21:AN25)</f>
        <v>0</v>
      </c>
      <c r="AO26" s="99">
        <f t="shared" ref="AO26" si="73">SUM(AO21:AO25)</f>
        <v>0</v>
      </c>
      <c r="AP26" s="99">
        <f t="shared" ref="AP26" si="74">SUM(AP21:AP25)</f>
        <v>0</v>
      </c>
      <c r="AQ26" s="99">
        <f t="shared" ref="AQ26" si="75">SUM(AQ21:AQ25)</f>
        <v>0</v>
      </c>
      <c r="AR26" s="99">
        <f t="shared" ref="AR26" si="76">SUM(AR21:AR25)</f>
        <v>0</v>
      </c>
      <c r="AT26" s="202" t="s">
        <v>259</v>
      </c>
      <c r="AU26" s="202">
        <f t="shared" ref="AU26:AU32" si="77">COUNTIF($W:$W, AT26)</f>
        <v>0</v>
      </c>
      <c r="AV26" s="203" t="e">
        <f t="shared" ref="AV26:AV33" si="78">AU26/$AU$33</f>
        <v>#DIV/0!</v>
      </c>
    </row>
    <row r="27" spans="2:48" s="10" customFormat="1" ht="13.5" customHeight="1" x14ac:dyDescent="0.25">
      <c r="B27" s="17">
        <v>25</v>
      </c>
      <c r="E27" s="72"/>
      <c r="F27" s="18"/>
      <c r="J27" s="11"/>
      <c r="K27" s="11">
        <f t="shared" si="33"/>
        <v>0</v>
      </c>
      <c r="L27" s="37">
        <f t="shared" si="34"/>
        <v>0</v>
      </c>
      <c r="M27" s="11"/>
      <c r="O27" s="21"/>
      <c r="P27" s="21"/>
      <c r="Q27" s="21"/>
      <c r="R27" s="23"/>
      <c r="S27" s="50"/>
      <c r="T27" s="48"/>
      <c r="U27" s="81"/>
      <c r="V27" s="26"/>
      <c r="W27" s="200"/>
      <c r="X27" s="17"/>
      <c r="Z27">
        <v>5</v>
      </c>
      <c r="AA27" s="415">
        <v>5</v>
      </c>
      <c r="AB27" s="94">
        <v>1</v>
      </c>
      <c r="AC27" s="100" t="s">
        <v>110</v>
      </c>
      <c r="AD27" s="41">
        <f t="shared" si="2"/>
        <v>0</v>
      </c>
      <c r="AE27" s="70">
        <f t="shared" si="3"/>
        <v>0</v>
      </c>
      <c r="AF27" s="70">
        <f t="shared" si="4"/>
        <v>0</v>
      </c>
      <c r="AG27" s="70">
        <f t="shared" si="5"/>
        <v>0</v>
      </c>
      <c r="AH27" s="109">
        <f t="shared" si="6"/>
        <v>0</v>
      </c>
      <c r="AI27" s="120">
        <f t="shared" si="7"/>
        <v>0</v>
      </c>
      <c r="AJ27" s="121">
        <f t="shared" si="8"/>
        <v>0</v>
      </c>
      <c r="AK27" s="121">
        <f t="shared" si="9"/>
        <v>0</v>
      </c>
      <c r="AL27" s="121">
        <f t="shared" si="10"/>
        <v>0</v>
      </c>
      <c r="AM27" s="122">
        <f t="shared" si="11"/>
        <v>0</v>
      </c>
      <c r="AN27" s="41">
        <f t="shared" si="12"/>
        <v>0</v>
      </c>
      <c r="AO27" s="70">
        <f t="shared" si="13"/>
        <v>0</v>
      </c>
      <c r="AP27" s="70">
        <f t="shared" si="14"/>
        <v>0</v>
      </c>
      <c r="AQ27" s="70">
        <f t="shared" si="15"/>
        <v>0</v>
      </c>
      <c r="AR27" s="70">
        <f t="shared" si="16"/>
        <v>0</v>
      </c>
      <c r="AT27" s="202" t="s">
        <v>260</v>
      </c>
      <c r="AU27" s="202">
        <f t="shared" si="77"/>
        <v>0</v>
      </c>
      <c r="AV27" s="203" t="e">
        <f t="shared" si="78"/>
        <v>#DIV/0!</v>
      </c>
    </row>
    <row r="28" spans="2:48" s="10" customFormat="1" ht="13.5" customHeight="1" x14ac:dyDescent="0.25">
      <c r="B28" s="17">
        <v>26</v>
      </c>
      <c r="E28" s="72"/>
      <c r="F28" s="18"/>
      <c r="J28" s="11"/>
      <c r="K28" s="11">
        <f t="shared" si="33"/>
        <v>0</v>
      </c>
      <c r="L28" s="37">
        <f t="shared" si="34"/>
        <v>0</v>
      </c>
      <c r="M28" s="11"/>
      <c r="O28" s="21"/>
      <c r="P28" s="21"/>
      <c r="Q28" s="21"/>
      <c r="R28" s="23"/>
      <c r="S28" s="50"/>
      <c r="T28" s="48"/>
      <c r="U28" s="81"/>
      <c r="V28" s="26"/>
      <c r="W28" s="200"/>
      <c r="X28" s="17"/>
      <c r="Z28">
        <v>5</v>
      </c>
      <c r="AA28" s="416"/>
      <c r="AB28" s="95">
        <v>2</v>
      </c>
      <c r="AC28" s="102" t="s">
        <v>111</v>
      </c>
      <c r="AD28" s="41">
        <f t="shared" si="2"/>
        <v>0</v>
      </c>
      <c r="AE28" s="70">
        <f t="shared" si="3"/>
        <v>0</v>
      </c>
      <c r="AF28" s="70">
        <f t="shared" si="4"/>
        <v>0</v>
      </c>
      <c r="AG28" s="70">
        <f t="shared" si="5"/>
        <v>0</v>
      </c>
      <c r="AH28" s="109">
        <f t="shared" si="6"/>
        <v>0</v>
      </c>
      <c r="AI28" s="120">
        <f t="shared" si="7"/>
        <v>0</v>
      </c>
      <c r="AJ28" s="121">
        <f t="shared" si="8"/>
        <v>0</v>
      </c>
      <c r="AK28" s="121">
        <f t="shared" si="9"/>
        <v>0</v>
      </c>
      <c r="AL28" s="121">
        <f t="shared" si="10"/>
        <v>0</v>
      </c>
      <c r="AM28" s="122">
        <f t="shared" si="11"/>
        <v>0</v>
      </c>
      <c r="AN28" s="41">
        <f t="shared" si="12"/>
        <v>0</v>
      </c>
      <c r="AO28" s="70">
        <f t="shared" si="13"/>
        <v>0</v>
      </c>
      <c r="AP28" s="70">
        <f t="shared" si="14"/>
        <v>0</v>
      </c>
      <c r="AQ28" s="70">
        <f t="shared" si="15"/>
        <v>0</v>
      </c>
      <c r="AR28" s="70">
        <f t="shared" si="16"/>
        <v>0</v>
      </c>
      <c r="AT28" s="202" t="s">
        <v>261</v>
      </c>
      <c r="AU28" s="202">
        <f t="shared" si="77"/>
        <v>0</v>
      </c>
      <c r="AV28" s="203" t="e">
        <f t="shared" si="78"/>
        <v>#DIV/0!</v>
      </c>
    </row>
    <row r="29" spans="2:48" s="10" customFormat="1" ht="13.5" customHeight="1" x14ac:dyDescent="0.25">
      <c r="B29" s="17">
        <v>27</v>
      </c>
      <c r="E29" s="72"/>
      <c r="F29" s="18"/>
      <c r="J29" s="11"/>
      <c r="K29" s="11">
        <f t="shared" si="33"/>
        <v>0</v>
      </c>
      <c r="L29" s="37">
        <f t="shared" si="34"/>
        <v>0</v>
      </c>
      <c r="M29" s="11"/>
      <c r="O29" s="21"/>
      <c r="P29" s="21"/>
      <c r="Q29" s="21"/>
      <c r="R29" s="23"/>
      <c r="S29" s="50"/>
      <c r="T29" s="48"/>
      <c r="U29" s="81"/>
      <c r="V29" s="26"/>
      <c r="W29" s="200"/>
      <c r="X29" s="17"/>
      <c r="Z29">
        <v>5</v>
      </c>
      <c r="AA29" s="416"/>
      <c r="AB29" s="95">
        <v>3</v>
      </c>
      <c r="AC29" s="102" t="s">
        <v>112</v>
      </c>
      <c r="AD29" s="41">
        <f t="shared" si="2"/>
        <v>0</v>
      </c>
      <c r="AE29" s="70">
        <f t="shared" si="3"/>
        <v>0</v>
      </c>
      <c r="AF29" s="70">
        <f t="shared" si="4"/>
        <v>0</v>
      </c>
      <c r="AG29" s="70">
        <f t="shared" si="5"/>
        <v>0</v>
      </c>
      <c r="AH29" s="109">
        <f t="shared" si="6"/>
        <v>0</v>
      </c>
      <c r="AI29" s="120">
        <f t="shared" si="7"/>
        <v>0</v>
      </c>
      <c r="AJ29" s="121">
        <f t="shared" si="8"/>
        <v>0</v>
      </c>
      <c r="AK29" s="121">
        <f t="shared" si="9"/>
        <v>0</v>
      </c>
      <c r="AL29" s="121">
        <f t="shared" si="10"/>
        <v>0</v>
      </c>
      <c r="AM29" s="122">
        <f t="shared" si="11"/>
        <v>0</v>
      </c>
      <c r="AN29" s="41">
        <f t="shared" si="12"/>
        <v>0</v>
      </c>
      <c r="AO29" s="70">
        <f t="shared" si="13"/>
        <v>0</v>
      </c>
      <c r="AP29" s="70">
        <f t="shared" si="14"/>
        <v>0</v>
      </c>
      <c r="AQ29" s="70">
        <f t="shared" si="15"/>
        <v>0</v>
      </c>
      <c r="AR29" s="70">
        <f t="shared" si="16"/>
        <v>0</v>
      </c>
      <c r="AT29" s="202" t="s">
        <v>262</v>
      </c>
      <c r="AU29" s="202">
        <f t="shared" si="77"/>
        <v>0</v>
      </c>
      <c r="AV29" s="203" t="e">
        <f t="shared" si="78"/>
        <v>#DIV/0!</v>
      </c>
    </row>
    <row r="30" spans="2:48" s="10" customFormat="1" ht="13.5" customHeight="1" x14ac:dyDescent="0.25">
      <c r="B30" s="17">
        <v>28</v>
      </c>
      <c r="E30" s="72"/>
      <c r="F30" s="18"/>
      <c r="J30" s="11"/>
      <c r="K30" s="11">
        <f t="shared" si="33"/>
        <v>0</v>
      </c>
      <c r="L30" s="37">
        <f t="shared" si="34"/>
        <v>0</v>
      </c>
      <c r="M30" s="11"/>
      <c r="O30" s="21"/>
      <c r="P30" s="21"/>
      <c r="Q30" s="21"/>
      <c r="R30" s="23"/>
      <c r="S30" s="50"/>
      <c r="T30" s="48"/>
      <c r="U30" s="81"/>
      <c r="V30" s="26"/>
      <c r="W30" s="200"/>
      <c r="X30" s="17"/>
      <c r="Z30">
        <v>5</v>
      </c>
      <c r="AA30" s="416"/>
      <c r="AB30" s="95">
        <v>4</v>
      </c>
      <c r="AC30" s="102" t="s">
        <v>113</v>
      </c>
      <c r="AD30" s="41">
        <f t="shared" si="2"/>
        <v>0</v>
      </c>
      <c r="AE30" s="70">
        <f t="shared" si="3"/>
        <v>0</v>
      </c>
      <c r="AF30" s="70">
        <f t="shared" si="4"/>
        <v>0</v>
      </c>
      <c r="AG30" s="70">
        <f t="shared" si="5"/>
        <v>0</v>
      </c>
      <c r="AH30" s="109">
        <f t="shared" si="6"/>
        <v>0</v>
      </c>
      <c r="AI30" s="120">
        <f t="shared" si="7"/>
        <v>0</v>
      </c>
      <c r="AJ30" s="121">
        <f t="shared" si="8"/>
        <v>0</v>
      </c>
      <c r="AK30" s="121">
        <f t="shared" si="9"/>
        <v>0</v>
      </c>
      <c r="AL30" s="121">
        <f t="shared" si="10"/>
        <v>0</v>
      </c>
      <c r="AM30" s="122">
        <f t="shared" si="11"/>
        <v>0</v>
      </c>
      <c r="AN30" s="41">
        <f t="shared" si="12"/>
        <v>0</v>
      </c>
      <c r="AO30" s="70">
        <f t="shared" si="13"/>
        <v>0</v>
      </c>
      <c r="AP30" s="70">
        <f t="shared" si="14"/>
        <v>0</v>
      </c>
      <c r="AQ30" s="70">
        <f t="shared" si="15"/>
        <v>0</v>
      </c>
      <c r="AR30" s="70">
        <f t="shared" si="16"/>
        <v>0</v>
      </c>
      <c r="AT30" s="202" t="s">
        <v>263</v>
      </c>
      <c r="AU30" s="202">
        <f t="shared" si="77"/>
        <v>0</v>
      </c>
      <c r="AV30" s="203" t="e">
        <f t="shared" si="78"/>
        <v>#DIV/0!</v>
      </c>
    </row>
    <row r="31" spans="2:48" s="10" customFormat="1" ht="13.5" customHeight="1" x14ac:dyDescent="0.25">
      <c r="B31" s="17">
        <v>29</v>
      </c>
      <c r="E31" s="72"/>
      <c r="F31" s="18"/>
      <c r="J31" s="11"/>
      <c r="K31" s="11">
        <f t="shared" si="33"/>
        <v>0</v>
      </c>
      <c r="L31" s="37">
        <f t="shared" si="34"/>
        <v>0</v>
      </c>
      <c r="M31" s="11"/>
      <c r="O31" s="21"/>
      <c r="P31" s="21"/>
      <c r="Q31" s="21"/>
      <c r="R31" s="23"/>
      <c r="S31" s="50"/>
      <c r="T31" s="48"/>
      <c r="U31" s="81"/>
      <c r="V31" s="26"/>
      <c r="W31" s="200"/>
      <c r="X31" s="17"/>
      <c r="Z31">
        <v>5</v>
      </c>
      <c r="AA31" s="416"/>
      <c r="AB31" s="96">
        <v>5</v>
      </c>
      <c r="AC31" s="102"/>
      <c r="AD31" s="41">
        <f t="shared" si="2"/>
        <v>0</v>
      </c>
      <c r="AE31" s="70">
        <f t="shared" si="3"/>
        <v>0</v>
      </c>
      <c r="AF31" s="70">
        <f t="shared" si="4"/>
        <v>0</v>
      </c>
      <c r="AG31" s="70">
        <f t="shared" si="5"/>
        <v>0</v>
      </c>
      <c r="AH31" s="109">
        <f t="shared" si="6"/>
        <v>0</v>
      </c>
      <c r="AI31" s="120">
        <f t="shared" si="7"/>
        <v>0</v>
      </c>
      <c r="AJ31" s="121">
        <f t="shared" si="8"/>
        <v>0</v>
      </c>
      <c r="AK31" s="121">
        <f t="shared" si="9"/>
        <v>0</v>
      </c>
      <c r="AL31" s="121">
        <f t="shared" si="10"/>
        <v>0</v>
      </c>
      <c r="AM31" s="122">
        <f t="shared" si="11"/>
        <v>0</v>
      </c>
      <c r="AN31" s="41">
        <f t="shared" si="12"/>
        <v>0</v>
      </c>
      <c r="AO31" s="70">
        <f t="shared" si="13"/>
        <v>0</v>
      </c>
      <c r="AP31" s="70">
        <f t="shared" si="14"/>
        <v>0</v>
      </c>
      <c r="AQ31" s="70">
        <f t="shared" si="15"/>
        <v>0</v>
      </c>
      <c r="AR31" s="70">
        <f t="shared" si="16"/>
        <v>0</v>
      </c>
      <c r="AT31" s="202" t="s">
        <v>264</v>
      </c>
      <c r="AU31" s="202">
        <f t="shared" si="77"/>
        <v>0</v>
      </c>
      <c r="AV31" s="203" t="e">
        <f t="shared" si="78"/>
        <v>#DIV/0!</v>
      </c>
    </row>
    <row r="32" spans="2:48" s="10" customFormat="1" ht="13.5" customHeight="1" thickBot="1" x14ac:dyDescent="0.3">
      <c r="B32" s="17">
        <v>30</v>
      </c>
      <c r="E32" s="72"/>
      <c r="F32" s="18"/>
      <c r="J32" s="11"/>
      <c r="K32" s="11">
        <f t="shared" si="33"/>
        <v>0</v>
      </c>
      <c r="L32" s="37">
        <f t="shared" si="34"/>
        <v>0</v>
      </c>
      <c r="M32" s="11"/>
      <c r="O32" s="21"/>
      <c r="P32" s="21"/>
      <c r="Q32" s="21"/>
      <c r="R32" s="23"/>
      <c r="S32" s="50"/>
      <c r="T32" s="48"/>
      <c r="U32" s="81"/>
      <c r="V32" s="26"/>
      <c r="W32" s="200"/>
      <c r="X32" s="17"/>
      <c r="Z32">
        <v>5</v>
      </c>
      <c r="AA32" s="417"/>
      <c r="AB32" s="97" t="s">
        <v>3</v>
      </c>
      <c r="AC32" s="103"/>
      <c r="AD32" s="99">
        <f>SUM(AD27:AD31)</f>
        <v>0</v>
      </c>
      <c r="AE32" s="99">
        <f t="shared" ref="AE32" si="79">SUM(AE27:AE31)</f>
        <v>0</v>
      </c>
      <c r="AF32" s="99">
        <f t="shared" ref="AF32" si="80">SUM(AF27:AF31)</f>
        <v>0</v>
      </c>
      <c r="AG32" s="99">
        <f t="shared" ref="AG32" si="81">SUM(AG27:AG31)</f>
        <v>0</v>
      </c>
      <c r="AH32" s="110">
        <f t="shared" ref="AH32" si="82">SUM(AH27:AH31)</f>
        <v>0</v>
      </c>
      <c r="AI32" s="123">
        <f t="shared" ref="AI32" si="83">SUM(AI27:AI31)</f>
        <v>0</v>
      </c>
      <c r="AJ32" s="124">
        <f t="shared" ref="AJ32" si="84">SUM(AJ27:AJ31)</f>
        <v>0</v>
      </c>
      <c r="AK32" s="124">
        <f t="shared" ref="AK32" si="85">SUM(AK27:AK31)</f>
        <v>0</v>
      </c>
      <c r="AL32" s="124">
        <f t="shared" ref="AL32" si="86">SUM(AL27:AL31)</f>
        <v>0</v>
      </c>
      <c r="AM32" s="125">
        <f t="shared" ref="AM32" si="87">SUM(AM27:AM31)</f>
        <v>0</v>
      </c>
      <c r="AN32" s="99">
        <f t="shared" ref="AN32" si="88">SUM(AN27:AN31)</f>
        <v>0</v>
      </c>
      <c r="AO32" s="99">
        <f t="shared" ref="AO32" si="89">SUM(AO27:AO31)</f>
        <v>0</v>
      </c>
      <c r="AP32" s="99">
        <f t="shared" ref="AP32" si="90">SUM(AP27:AP31)</f>
        <v>0</v>
      </c>
      <c r="AQ32" s="99">
        <f t="shared" ref="AQ32" si="91">SUM(AQ27:AQ31)</f>
        <v>0</v>
      </c>
      <c r="AR32" s="99">
        <f t="shared" ref="AR32" si="92">SUM(AR27:AR31)</f>
        <v>0</v>
      </c>
      <c r="AT32" s="202" t="s">
        <v>265</v>
      </c>
      <c r="AU32" s="202">
        <f t="shared" si="77"/>
        <v>0</v>
      </c>
      <c r="AV32" s="203" t="e">
        <f t="shared" si="78"/>
        <v>#DIV/0!</v>
      </c>
    </row>
    <row r="33" spans="2:48" s="10" customFormat="1" ht="13.5" customHeight="1" x14ac:dyDescent="0.25">
      <c r="B33" s="17">
        <v>31</v>
      </c>
      <c r="E33" s="72"/>
      <c r="F33" s="18"/>
      <c r="J33" s="11"/>
      <c r="K33" s="11">
        <f t="shared" si="33"/>
        <v>0</v>
      </c>
      <c r="L33" s="37">
        <f t="shared" si="34"/>
        <v>0</v>
      </c>
      <c r="M33" s="11"/>
      <c r="O33" s="21"/>
      <c r="P33" s="21"/>
      <c r="Q33" s="21"/>
      <c r="R33" s="23"/>
      <c r="S33" s="50"/>
      <c r="T33" s="48"/>
      <c r="U33" s="81"/>
      <c r="V33" s="26"/>
      <c r="W33" s="200"/>
      <c r="X33" s="17"/>
      <c r="Z33">
        <v>6</v>
      </c>
      <c r="AA33" s="415">
        <v>6</v>
      </c>
      <c r="AB33" s="94">
        <v>1</v>
      </c>
      <c r="AC33" s="100" t="s">
        <v>114</v>
      </c>
      <c r="AD33" s="41">
        <f t="shared" si="2"/>
        <v>0</v>
      </c>
      <c r="AE33" s="70">
        <f t="shared" si="3"/>
        <v>0</v>
      </c>
      <c r="AF33" s="70">
        <f t="shared" si="4"/>
        <v>0</v>
      </c>
      <c r="AG33" s="70">
        <f t="shared" si="5"/>
        <v>0</v>
      </c>
      <c r="AH33" s="109">
        <f t="shared" si="6"/>
        <v>0</v>
      </c>
      <c r="AI33" s="120">
        <f t="shared" si="7"/>
        <v>0</v>
      </c>
      <c r="AJ33" s="121">
        <f t="shared" si="8"/>
        <v>0</v>
      </c>
      <c r="AK33" s="121">
        <f t="shared" si="9"/>
        <v>0</v>
      </c>
      <c r="AL33" s="121">
        <f t="shared" si="10"/>
        <v>0</v>
      </c>
      <c r="AM33" s="122">
        <f t="shared" si="11"/>
        <v>0</v>
      </c>
      <c r="AN33" s="41">
        <f t="shared" si="12"/>
        <v>0</v>
      </c>
      <c r="AO33" s="70">
        <f t="shared" si="13"/>
        <v>0</v>
      </c>
      <c r="AP33" s="70">
        <f t="shared" si="14"/>
        <v>0</v>
      </c>
      <c r="AQ33" s="70">
        <f t="shared" si="15"/>
        <v>0</v>
      </c>
      <c r="AR33" s="70">
        <f t="shared" si="16"/>
        <v>0</v>
      </c>
      <c r="AT33" s="201" t="s">
        <v>266</v>
      </c>
      <c r="AU33" s="201">
        <f>SUM(AU25:AU32)</f>
        <v>0</v>
      </c>
      <c r="AV33" s="204" t="e">
        <f t="shared" si="78"/>
        <v>#DIV/0!</v>
      </c>
    </row>
    <row r="34" spans="2:48" s="10" customFormat="1" ht="13.5" customHeight="1" x14ac:dyDescent="0.25">
      <c r="B34" s="17">
        <v>32</v>
      </c>
      <c r="E34" s="72"/>
      <c r="F34" s="18"/>
      <c r="J34" s="11"/>
      <c r="K34" s="11">
        <f t="shared" si="33"/>
        <v>0</v>
      </c>
      <c r="L34" s="37">
        <f t="shared" si="34"/>
        <v>0</v>
      </c>
      <c r="M34" s="11"/>
      <c r="O34" s="21"/>
      <c r="P34" s="21"/>
      <c r="Q34" s="21"/>
      <c r="R34" s="23"/>
      <c r="S34" s="50"/>
      <c r="T34" s="48"/>
      <c r="U34" s="81"/>
      <c r="V34" s="26"/>
      <c r="W34" s="200"/>
      <c r="X34" s="17"/>
      <c r="Z34">
        <v>6</v>
      </c>
      <c r="AA34" s="416"/>
      <c r="AB34" s="95">
        <v>2</v>
      </c>
      <c r="AC34" s="102" t="s">
        <v>115</v>
      </c>
      <c r="AD34" s="41">
        <f t="shared" si="2"/>
        <v>0</v>
      </c>
      <c r="AE34" s="70">
        <f t="shared" si="3"/>
        <v>0</v>
      </c>
      <c r="AF34" s="70">
        <f t="shared" si="4"/>
        <v>0</v>
      </c>
      <c r="AG34" s="70">
        <f t="shared" si="5"/>
        <v>0</v>
      </c>
      <c r="AH34" s="109">
        <f t="shared" si="6"/>
        <v>0</v>
      </c>
      <c r="AI34" s="120">
        <f t="shared" si="7"/>
        <v>0</v>
      </c>
      <c r="AJ34" s="121">
        <f t="shared" si="8"/>
        <v>0</v>
      </c>
      <c r="AK34" s="121">
        <f t="shared" si="9"/>
        <v>0</v>
      </c>
      <c r="AL34" s="121">
        <f t="shared" si="10"/>
        <v>0</v>
      </c>
      <c r="AM34" s="122">
        <f t="shared" si="11"/>
        <v>0</v>
      </c>
      <c r="AN34" s="41">
        <f t="shared" si="12"/>
        <v>0</v>
      </c>
      <c r="AO34" s="70">
        <f t="shared" si="13"/>
        <v>0</v>
      </c>
      <c r="AP34" s="70">
        <f t="shared" si="14"/>
        <v>0</v>
      </c>
      <c r="AQ34" s="70">
        <f t="shared" si="15"/>
        <v>0</v>
      </c>
      <c r="AR34" s="70">
        <f t="shared" si="16"/>
        <v>0</v>
      </c>
    </row>
    <row r="35" spans="2:48" s="10" customFormat="1" ht="13.5" customHeight="1" x14ac:dyDescent="0.25">
      <c r="B35" s="17">
        <v>33</v>
      </c>
      <c r="E35" s="72"/>
      <c r="F35" s="18"/>
      <c r="J35" s="11"/>
      <c r="K35" s="11">
        <f t="shared" si="33"/>
        <v>0</v>
      </c>
      <c r="L35" s="37">
        <f t="shared" si="34"/>
        <v>0</v>
      </c>
      <c r="M35" s="11"/>
      <c r="O35" s="21"/>
      <c r="P35" s="21"/>
      <c r="Q35" s="21"/>
      <c r="R35" s="23"/>
      <c r="S35" s="50"/>
      <c r="T35" s="48"/>
      <c r="U35" s="81"/>
      <c r="V35" s="26"/>
      <c r="W35" s="200"/>
      <c r="X35" s="17"/>
      <c r="Z35">
        <v>6</v>
      </c>
      <c r="AA35" s="416"/>
      <c r="AB35" s="95">
        <v>3</v>
      </c>
      <c r="AC35" s="102" t="s">
        <v>116</v>
      </c>
      <c r="AD35" s="41">
        <f t="shared" si="2"/>
        <v>0</v>
      </c>
      <c r="AE35" s="70">
        <f t="shared" si="3"/>
        <v>0</v>
      </c>
      <c r="AF35" s="70">
        <f t="shared" si="4"/>
        <v>0</v>
      </c>
      <c r="AG35" s="70">
        <f t="shared" si="5"/>
        <v>0</v>
      </c>
      <c r="AH35" s="109">
        <f t="shared" si="6"/>
        <v>0</v>
      </c>
      <c r="AI35" s="120">
        <f t="shared" si="7"/>
        <v>0</v>
      </c>
      <c r="AJ35" s="121">
        <f t="shared" si="8"/>
        <v>0</v>
      </c>
      <c r="AK35" s="121">
        <f t="shared" si="9"/>
        <v>0</v>
      </c>
      <c r="AL35" s="121">
        <f t="shared" si="10"/>
        <v>0</v>
      </c>
      <c r="AM35" s="122">
        <f t="shared" si="11"/>
        <v>0</v>
      </c>
      <c r="AN35" s="41">
        <f t="shared" si="12"/>
        <v>0</v>
      </c>
      <c r="AO35" s="70">
        <f t="shared" si="13"/>
        <v>0</v>
      </c>
      <c r="AP35" s="70">
        <f t="shared" si="14"/>
        <v>0</v>
      </c>
      <c r="AQ35" s="70">
        <f t="shared" si="15"/>
        <v>0</v>
      </c>
      <c r="AR35" s="70">
        <f t="shared" si="16"/>
        <v>0</v>
      </c>
    </row>
    <row r="36" spans="2:48" s="10" customFormat="1" ht="13.5" customHeight="1" x14ac:dyDescent="0.25">
      <c r="B36" s="17">
        <v>34</v>
      </c>
      <c r="E36" s="72"/>
      <c r="F36" s="18"/>
      <c r="J36" s="11"/>
      <c r="K36" s="11">
        <f t="shared" si="33"/>
        <v>0</v>
      </c>
      <c r="L36" s="37">
        <f t="shared" si="34"/>
        <v>0</v>
      </c>
      <c r="M36" s="11"/>
      <c r="O36" s="21"/>
      <c r="P36" s="21"/>
      <c r="Q36" s="21"/>
      <c r="R36" s="23"/>
      <c r="S36" s="50"/>
      <c r="T36" s="48"/>
      <c r="U36" s="81"/>
      <c r="V36" s="32"/>
      <c r="W36" s="200"/>
      <c r="X36" s="17"/>
      <c r="Z36">
        <v>6</v>
      </c>
      <c r="AA36" s="416"/>
      <c r="AB36" s="95">
        <v>4</v>
      </c>
      <c r="AC36" s="102" t="s">
        <v>117</v>
      </c>
      <c r="AD36" s="41">
        <f t="shared" si="2"/>
        <v>0</v>
      </c>
      <c r="AE36" s="70">
        <f t="shared" si="3"/>
        <v>0</v>
      </c>
      <c r="AF36" s="70">
        <f t="shared" si="4"/>
        <v>0</v>
      </c>
      <c r="AG36" s="70">
        <f t="shared" si="5"/>
        <v>0</v>
      </c>
      <c r="AH36" s="109">
        <f t="shared" si="6"/>
        <v>0</v>
      </c>
      <c r="AI36" s="120">
        <f t="shared" si="7"/>
        <v>0</v>
      </c>
      <c r="AJ36" s="121">
        <f t="shared" si="8"/>
        <v>0</v>
      </c>
      <c r="AK36" s="121">
        <f t="shared" si="9"/>
        <v>0</v>
      </c>
      <c r="AL36" s="121">
        <f t="shared" si="10"/>
        <v>0</v>
      </c>
      <c r="AM36" s="122">
        <f t="shared" si="11"/>
        <v>0</v>
      </c>
      <c r="AN36" s="41">
        <f t="shared" si="12"/>
        <v>0</v>
      </c>
      <c r="AO36" s="70">
        <f t="shared" si="13"/>
        <v>0</v>
      </c>
      <c r="AP36" s="70">
        <f t="shared" si="14"/>
        <v>0</v>
      </c>
      <c r="AQ36" s="70">
        <f t="shared" si="15"/>
        <v>0</v>
      </c>
      <c r="AR36" s="70">
        <f t="shared" si="16"/>
        <v>0</v>
      </c>
    </row>
    <row r="37" spans="2:48" s="10" customFormat="1" ht="13.5" customHeight="1" x14ac:dyDescent="0.25">
      <c r="B37" s="17">
        <v>35</v>
      </c>
      <c r="E37" s="72"/>
      <c r="F37" s="18"/>
      <c r="J37" s="11"/>
      <c r="K37" s="11">
        <f t="shared" si="33"/>
        <v>0</v>
      </c>
      <c r="L37" s="37">
        <f t="shared" si="34"/>
        <v>0</v>
      </c>
      <c r="M37" s="11"/>
      <c r="O37" s="21"/>
      <c r="P37" s="21"/>
      <c r="Q37" s="21"/>
      <c r="R37" s="23"/>
      <c r="S37" s="50"/>
      <c r="T37" s="48"/>
      <c r="U37" s="81"/>
      <c r="V37" s="32"/>
      <c r="W37" s="200"/>
      <c r="X37" s="17"/>
      <c r="Z37">
        <v>6</v>
      </c>
      <c r="AA37" s="416"/>
      <c r="AB37" s="96">
        <v>5</v>
      </c>
      <c r="AC37" s="102"/>
      <c r="AD37" s="41">
        <f t="shared" si="2"/>
        <v>0</v>
      </c>
      <c r="AE37" s="70">
        <f t="shared" si="3"/>
        <v>0</v>
      </c>
      <c r="AF37" s="70">
        <f t="shared" si="4"/>
        <v>0</v>
      </c>
      <c r="AG37" s="70">
        <f t="shared" si="5"/>
        <v>0</v>
      </c>
      <c r="AH37" s="109">
        <f t="shared" si="6"/>
        <v>0</v>
      </c>
      <c r="AI37" s="120">
        <f t="shared" si="7"/>
        <v>0</v>
      </c>
      <c r="AJ37" s="121">
        <f t="shared" si="8"/>
        <v>0</v>
      </c>
      <c r="AK37" s="121">
        <f t="shared" si="9"/>
        <v>0</v>
      </c>
      <c r="AL37" s="121">
        <f t="shared" si="10"/>
        <v>0</v>
      </c>
      <c r="AM37" s="122">
        <f t="shared" si="11"/>
        <v>0</v>
      </c>
      <c r="AN37" s="41">
        <f t="shared" si="12"/>
        <v>0</v>
      </c>
      <c r="AO37" s="70">
        <f t="shared" si="13"/>
        <v>0</v>
      </c>
      <c r="AP37" s="70">
        <f t="shared" si="14"/>
        <v>0</v>
      </c>
      <c r="AQ37" s="70">
        <f t="shared" si="15"/>
        <v>0</v>
      </c>
      <c r="AR37" s="70">
        <f t="shared" si="16"/>
        <v>0</v>
      </c>
    </row>
    <row r="38" spans="2:48" s="10" customFormat="1" ht="13.5" customHeight="1" thickBot="1" x14ac:dyDescent="0.3">
      <c r="B38" s="17">
        <v>36</v>
      </c>
      <c r="E38" s="72"/>
      <c r="F38" s="18"/>
      <c r="J38" s="11"/>
      <c r="K38" s="11">
        <f t="shared" si="33"/>
        <v>0</v>
      </c>
      <c r="L38" s="37">
        <f t="shared" si="34"/>
        <v>0</v>
      </c>
      <c r="M38" s="11"/>
      <c r="O38" s="21"/>
      <c r="P38" s="21"/>
      <c r="Q38" s="21"/>
      <c r="R38" s="23"/>
      <c r="S38" s="50"/>
      <c r="T38" s="48"/>
      <c r="U38" s="81"/>
      <c r="V38" s="26"/>
      <c r="W38" s="200"/>
      <c r="X38" s="17"/>
      <c r="Z38">
        <v>6</v>
      </c>
      <c r="AA38" s="417"/>
      <c r="AB38" s="97" t="s">
        <v>3</v>
      </c>
      <c r="AC38" s="103"/>
      <c r="AD38" s="99">
        <f>SUM(AD33:AD37)</f>
        <v>0</v>
      </c>
      <c r="AE38" s="99">
        <f t="shared" ref="AE38" si="93">SUM(AE33:AE37)</f>
        <v>0</v>
      </c>
      <c r="AF38" s="99">
        <f t="shared" ref="AF38" si="94">SUM(AF33:AF37)</f>
        <v>0</v>
      </c>
      <c r="AG38" s="99">
        <f t="shared" ref="AG38" si="95">SUM(AG33:AG37)</f>
        <v>0</v>
      </c>
      <c r="AH38" s="110">
        <f t="shared" ref="AH38" si="96">SUM(AH33:AH37)</f>
        <v>0</v>
      </c>
      <c r="AI38" s="123">
        <f t="shared" ref="AI38" si="97">SUM(AI33:AI37)</f>
        <v>0</v>
      </c>
      <c r="AJ38" s="124">
        <f t="shared" ref="AJ38" si="98">SUM(AJ33:AJ37)</f>
        <v>0</v>
      </c>
      <c r="AK38" s="124">
        <f t="shared" ref="AK38" si="99">SUM(AK33:AK37)</f>
        <v>0</v>
      </c>
      <c r="AL38" s="124">
        <f t="shared" ref="AL38" si="100">SUM(AL33:AL37)</f>
        <v>0</v>
      </c>
      <c r="AM38" s="125">
        <f t="shared" ref="AM38" si="101">SUM(AM33:AM37)</f>
        <v>0</v>
      </c>
      <c r="AN38" s="99">
        <f t="shared" ref="AN38" si="102">SUM(AN33:AN37)</f>
        <v>0</v>
      </c>
      <c r="AO38" s="99">
        <f t="shared" ref="AO38" si="103">SUM(AO33:AO37)</f>
        <v>0</v>
      </c>
      <c r="AP38" s="99">
        <f t="shared" ref="AP38" si="104">SUM(AP33:AP37)</f>
        <v>0</v>
      </c>
      <c r="AQ38" s="99">
        <f t="shared" ref="AQ38" si="105">SUM(AQ33:AQ37)</f>
        <v>0</v>
      </c>
      <c r="AR38" s="99">
        <f t="shared" ref="AR38" si="106">SUM(AR33:AR37)</f>
        <v>0</v>
      </c>
    </row>
    <row r="39" spans="2:48" s="10" customFormat="1" ht="13.5" customHeight="1" x14ac:dyDescent="0.25">
      <c r="B39" s="17">
        <v>37</v>
      </c>
      <c r="E39" s="72"/>
      <c r="F39" s="18"/>
      <c r="J39" s="11"/>
      <c r="K39" s="11">
        <f t="shared" si="33"/>
        <v>0</v>
      </c>
      <c r="L39" s="37">
        <f t="shared" si="34"/>
        <v>0</v>
      </c>
      <c r="M39" s="11"/>
      <c r="O39" s="21"/>
      <c r="P39" s="21"/>
      <c r="Q39" s="21"/>
      <c r="R39" s="23"/>
      <c r="S39" s="50"/>
      <c r="T39" s="48"/>
      <c r="U39" s="81"/>
      <c r="V39" s="26"/>
      <c r="W39" s="200"/>
      <c r="X39" s="17"/>
      <c r="Z39">
        <v>7</v>
      </c>
      <c r="AA39" s="415">
        <v>7</v>
      </c>
      <c r="AB39" s="94">
        <v>1</v>
      </c>
      <c r="AC39" s="100" t="s">
        <v>118</v>
      </c>
      <c r="AD39" s="41">
        <f t="shared" si="2"/>
        <v>0</v>
      </c>
      <c r="AE39" s="70">
        <f t="shared" si="3"/>
        <v>0</v>
      </c>
      <c r="AF39" s="70">
        <f t="shared" si="4"/>
        <v>0</v>
      </c>
      <c r="AG39" s="70">
        <f t="shared" si="5"/>
        <v>0</v>
      </c>
      <c r="AH39" s="109">
        <f t="shared" si="6"/>
        <v>0</v>
      </c>
      <c r="AI39" s="120">
        <f t="shared" si="7"/>
        <v>0</v>
      </c>
      <c r="AJ39" s="121">
        <f t="shared" si="8"/>
        <v>0</v>
      </c>
      <c r="AK39" s="121">
        <f t="shared" si="9"/>
        <v>0</v>
      </c>
      <c r="AL39" s="121">
        <f t="shared" si="10"/>
        <v>0</v>
      </c>
      <c r="AM39" s="122">
        <f t="shared" si="11"/>
        <v>0</v>
      </c>
      <c r="AN39" s="41">
        <f t="shared" si="12"/>
        <v>0</v>
      </c>
      <c r="AO39" s="70">
        <f t="shared" si="13"/>
        <v>0</v>
      </c>
      <c r="AP39" s="70">
        <f t="shared" si="14"/>
        <v>0</v>
      </c>
      <c r="AQ39" s="70">
        <f t="shared" si="15"/>
        <v>0</v>
      </c>
      <c r="AR39" s="70">
        <f t="shared" si="16"/>
        <v>0</v>
      </c>
    </row>
    <row r="40" spans="2:48" s="10" customFormat="1" ht="13.5" customHeight="1" x14ac:dyDescent="0.25">
      <c r="B40" s="17">
        <v>38</v>
      </c>
      <c r="E40" s="72"/>
      <c r="F40" s="18"/>
      <c r="J40" s="11"/>
      <c r="K40" s="11">
        <f t="shared" si="33"/>
        <v>0</v>
      </c>
      <c r="L40" s="37">
        <f t="shared" si="34"/>
        <v>0</v>
      </c>
      <c r="M40" s="11"/>
      <c r="O40" s="21"/>
      <c r="P40" s="21"/>
      <c r="Q40" s="21"/>
      <c r="R40" s="23"/>
      <c r="S40" s="50"/>
      <c r="T40" s="48"/>
      <c r="U40" s="81"/>
      <c r="V40" s="26"/>
      <c r="W40" s="200"/>
      <c r="X40" s="17"/>
      <c r="Z40">
        <v>7</v>
      </c>
      <c r="AA40" s="416"/>
      <c r="AB40" s="95">
        <v>2</v>
      </c>
      <c r="AC40" s="102" t="s">
        <v>68</v>
      </c>
      <c r="AD40" s="41">
        <f t="shared" si="2"/>
        <v>0</v>
      </c>
      <c r="AE40" s="70">
        <f t="shared" si="3"/>
        <v>0</v>
      </c>
      <c r="AF40" s="70">
        <f t="shared" si="4"/>
        <v>0</v>
      </c>
      <c r="AG40" s="70">
        <f t="shared" si="5"/>
        <v>0</v>
      </c>
      <c r="AH40" s="109">
        <f t="shared" si="6"/>
        <v>0</v>
      </c>
      <c r="AI40" s="120">
        <f t="shared" si="7"/>
        <v>0</v>
      </c>
      <c r="AJ40" s="121">
        <f t="shared" si="8"/>
        <v>0</v>
      </c>
      <c r="AK40" s="121">
        <f t="shared" si="9"/>
        <v>0</v>
      </c>
      <c r="AL40" s="121">
        <f t="shared" si="10"/>
        <v>0</v>
      </c>
      <c r="AM40" s="122">
        <f t="shared" si="11"/>
        <v>0</v>
      </c>
      <c r="AN40" s="41">
        <f t="shared" si="12"/>
        <v>0</v>
      </c>
      <c r="AO40" s="70">
        <f t="shared" si="13"/>
        <v>0</v>
      </c>
      <c r="AP40" s="70">
        <f t="shared" si="14"/>
        <v>0</v>
      </c>
      <c r="AQ40" s="70">
        <f t="shared" si="15"/>
        <v>0</v>
      </c>
      <c r="AR40" s="70">
        <f t="shared" si="16"/>
        <v>0</v>
      </c>
    </row>
    <row r="41" spans="2:48" s="10" customFormat="1" ht="13.5" customHeight="1" x14ac:dyDescent="0.25">
      <c r="B41" s="17">
        <v>39</v>
      </c>
      <c r="E41" s="72"/>
      <c r="F41" s="18"/>
      <c r="J41" s="11"/>
      <c r="K41" s="11">
        <f t="shared" si="33"/>
        <v>0</v>
      </c>
      <c r="L41" s="37">
        <f t="shared" si="34"/>
        <v>0</v>
      </c>
      <c r="M41" s="11"/>
      <c r="O41" s="21"/>
      <c r="P41" s="21"/>
      <c r="Q41" s="21"/>
      <c r="R41" s="23"/>
      <c r="S41" s="50"/>
      <c r="T41" s="48"/>
      <c r="U41" s="81"/>
      <c r="V41" s="26"/>
      <c r="W41" s="200"/>
      <c r="X41" s="17"/>
      <c r="Z41">
        <v>7</v>
      </c>
      <c r="AA41" s="416"/>
      <c r="AB41" s="95">
        <v>3</v>
      </c>
      <c r="AC41" s="102" t="s">
        <v>69</v>
      </c>
      <c r="AD41" s="41">
        <f t="shared" si="2"/>
        <v>0</v>
      </c>
      <c r="AE41" s="70">
        <f t="shared" si="3"/>
        <v>0</v>
      </c>
      <c r="AF41" s="70">
        <f t="shared" si="4"/>
        <v>0</v>
      </c>
      <c r="AG41" s="70">
        <f t="shared" si="5"/>
        <v>0</v>
      </c>
      <c r="AH41" s="109">
        <f t="shared" si="6"/>
        <v>0</v>
      </c>
      <c r="AI41" s="120">
        <f t="shared" si="7"/>
        <v>0</v>
      </c>
      <c r="AJ41" s="121">
        <f t="shared" si="8"/>
        <v>0</v>
      </c>
      <c r="AK41" s="121">
        <f t="shared" si="9"/>
        <v>0</v>
      </c>
      <c r="AL41" s="121">
        <f t="shared" si="10"/>
        <v>0</v>
      </c>
      <c r="AM41" s="122">
        <f t="shared" si="11"/>
        <v>0</v>
      </c>
      <c r="AN41" s="41">
        <f t="shared" si="12"/>
        <v>0</v>
      </c>
      <c r="AO41" s="70">
        <f t="shared" si="13"/>
        <v>0</v>
      </c>
      <c r="AP41" s="70">
        <f t="shared" si="14"/>
        <v>0</v>
      </c>
      <c r="AQ41" s="70">
        <f t="shared" si="15"/>
        <v>0</v>
      </c>
      <c r="AR41" s="70">
        <f t="shared" si="16"/>
        <v>0</v>
      </c>
    </row>
    <row r="42" spans="2:48" s="10" customFormat="1" ht="13.5" customHeight="1" x14ac:dyDescent="0.25">
      <c r="B42" s="17">
        <v>40</v>
      </c>
      <c r="E42" s="72"/>
      <c r="F42" s="18"/>
      <c r="J42" s="11"/>
      <c r="K42" s="11">
        <f t="shared" si="33"/>
        <v>0</v>
      </c>
      <c r="L42" s="37">
        <f t="shared" si="34"/>
        <v>0</v>
      </c>
      <c r="M42" s="11"/>
      <c r="O42" s="21"/>
      <c r="P42" s="21"/>
      <c r="Q42" s="21"/>
      <c r="R42" s="23"/>
      <c r="S42" s="50"/>
      <c r="T42" s="48"/>
      <c r="U42" s="81"/>
      <c r="V42" s="26"/>
      <c r="W42" s="200"/>
      <c r="X42" s="17"/>
      <c r="Z42">
        <v>7</v>
      </c>
      <c r="AA42" s="416"/>
      <c r="AB42" s="95">
        <v>4</v>
      </c>
      <c r="AC42" s="102" t="s">
        <v>70</v>
      </c>
      <c r="AD42" s="41">
        <f t="shared" si="2"/>
        <v>0</v>
      </c>
      <c r="AE42" s="70">
        <f t="shared" si="3"/>
        <v>0</v>
      </c>
      <c r="AF42" s="70">
        <f t="shared" si="4"/>
        <v>0</v>
      </c>
      <c r="AG42" s="70">
        <f t="shared" si="5"/>
        <v>0</v>
      </c>
      <c r="AH42" s="109">
        <f t="shared" si="6"/>
        <v>0</v>
      </c>
      <c r="AI42" s="120">
        <f t="shared" si="7"/>
        <v>0</v>
      </c>
      <c r="AJ42" s="121">
        <f t="shared" si="8"/>
        <v>0</v>
      </c>
      <c r="AK42" s="121">
        <f t="shared" si="9"/>
        <v>0</v>
      </c>
      <c r="AL42" s="121">
        <f t="shared" si="10"/>
        <v>0</v>
      </c>
      <c r="AM42" s="122">
        <f t="shared" si="11"/>
        <v>0</v>
      </c>
      <c r="AN42" s="41">
        <f t="shared" si="12"/>
        <v>0</v>
      </c>
      <c r="AO42" s="70">
        <f t="shared" si="13"/>
        <v>0</v>
      </c>
      <c r="AP42" s="70">
        <f t="shared" si="14"/>
        <v>0</v>
      </c>
      <c r="AQ42" s="70">
        <f t="shared" si="15"/>
        <v>0</v>
      </c>
      <c r="AR42" s="70">
        <f t="shared" si="16"/>
        <v>0</v>
      </c>
    </row>
    <row r="43" spans="2:48" x14ac:dyDescent="0.25">
      <c r="B43" s="17">
        <v>41</v>
      </c>
      <c r="C43" s="10"/>
      <c r="D43" s="10"/>
      <c r="E43" s="72"/>
      <c r="F43" s="18"/>
      <c r="G43" s="10"/>
      <c r="H43" s="10"/>
      <c r="I43" s="10"/>
      <c r="J43" s="11"/>
      <c r="K43" s="11">
        <f t="shared" si="33"/>
        <v>0</v>
      </c>
      <c r="L43" s="37">
        <f t="shared" si="34"/>
        <v>0</v>
      </c>
      <c r="M43" s="11"/>
      <c r="N43" s="10"/>
      <c r="O43" s="21"/>
      <c r="P43" s="21"/>
      <c r="Q43" s="21"/>
      <c r="R43" s="23"/>
      <c r="S43" s="50"/>
      <c r="T43" s="48"/>
      <c r="U43" s="82"/>
      <c r="V43" s="32"/>
      <c r="W43" s="200"/>
      <c r="X43" s="17"/>
      <c r="Z43">
        <v>7</v>
      </c>
      <c r="AA43" s="416"/>
      <c r="AB43" s="96">
        <v>5</v>
      </c>
      <c r="AC43" s="105" t="s">
        <v>119</v>
      </c>
      <c r="AD43" s="41">
        <f t="shared" si="2"/>
        <v>0</v>
      </c>
      <c r="AE43" s="70">
        <f t="shared" si="3"/>
        <v>0</v>
      </c>
      <c r="AF43" s="70">
        <f t="shared" si="4"/>
        <v>0</v>
      </c>
      <c r="AG43" s="70">
        <f t="shared" si="5"/>
        <v>0</v>
      </c>
      <c r="AH43" s="109">
        <f t="shared" si="6"/>
        <v>0</v>
      </c>
      <c r="AI43" s="120">
        <f t="shared" si="7"/>
        <v>0</v>
      </c>
      <c r="AJ43" s="121">
        <f t="shared" si="8"/>
        <v>0</v>
      </c>
      <c r="AK43" s="121">
        <f t="shared" si="9"/>
        <v>0</v>
      </c>
      <c r="AL43" s="121">
        <f t="shared" si="10"/>
        <v>0</v>
      </c>
      <c r="AM43" s="122">
        <f t="shared" si="11"/>
        <v>0</v>
      </c>
      <c r="AN43" s="41">
        <f t="shared" si="12"/>
        <v>0</v>
      </c>
      <c r="AO43" s="70">
        <f t="shared" si="13"/>
        <v>0</v>
      </c>
      <c r="AP43" s="70">
        <f t="shared" si="14"/>
        <v>0</v>
      </c>
      <c r="AQ43" s="70">
        <f t="shared" si="15"/>
        <v>0</v>
      </c>
      <c r="AR43" s="70">
        <f t="shared" si="16"/>
        <v>0</v>
      </c>
    </row>
    <row r="44" spans="2:48" ht="14.25" thickBot="1" x14ac:dyDescent="0.3">
      <c r="B44" s="17">
        <v>42</v>
      </c>
      <c r="C44" s="10"/>
      <c r="D44" s="10"/>
      <c r="E44" s="72"/>
      <c r="F44" s="18"/>
      <c r="G44" s="10"/>
      <c r="H44" s="10"/>
      <c r="I44" s="10"/>
      <c r="J44" s="11"/>
      <c r="K44" s="11">
        <f t="shared" si="33"/>
        <v>0</v>
      </c>
      <c r="L44" s="37">
        <f t="shared" si="34"/>
        <v>0</v>
      </c>
      <c r="M44" s="11"/>
      <c r="N44" s="10"/>
      <c r="O44" s="21"/>
      <c r="P44" s="21"/>
      <c r="Q44" s="21"/>
      <c r="R44" s="23"/>
      <c r="S44" s="50"/>
      <c r="T44" s="48"/>
      <c r="U44" s="82"/>
      <c r="V44" s="32"/>
      <c r="W44" s="200"/>
      <c r="X44" s="17"/>
      <c r="Z44">
        <v>7</v>
      </c>
      <c r="AA44" s="417"/>
      <c r="AB44" s="97" t="s">
        <v>3</v>
      </c>
      <c r="AC44" s="106"/>
      <c r="AD44" s="99">
        <f>SUM(AD39:AD43)</f>
        <v>0</v>
      </c>
      <c r="AE44" s="99">
        <f t="shared" ref="AE44" si="107">SUM(AE39:AE43)</f>
        <v>0</v>
      </c>
      <c r="AF44" s="99">
        <f t="shared" ref="AF44" si="108">SUM(AF39:AF43)</f>
        <v>0</v>
      </c>
      <c r="AG44" s="99">
        <f t="shared" ref="AG44" si="109">SUM(AG39:AG43)</f>
        <v>0</v>
      </c>
      <c r="AH44" s="110">
        <f t="shared" ref="AH44" si="110">SUM(AH39:AH43)</f>
        <v>0</v>
      </c>
      <c r="AI44" s="123">
        <f t="shared" ref="AI44" si="111">SUM(AI39:AI43)</f>
        <v>0</v>
      </c>
      <c r="AJ44" s="124">
        <f t="shared" ref="AJ44" si="112">SUM(AJ39:AJ43)</f>
        <v>0</v>
      </c>
      <c r="AK44" s="124">
        <f t="shared" ref="AK44" si="113">SUM(AK39:AK43)</f>
        <v>0</v>
      </c>
      <c r="AL44" s="124">
        <f t="shared" ref="AL44" si="114">SUM(AL39:AL43)</f>
        <v>0</v>
      </c>
      <c r="AM44" s="125">
        <f t="shared" ref="AM44" si="115">SUM(AM39:AM43)</f>
        <v>0</v>
      </c>
      <c r="AN44" s="99">
        <f t="shared" ref="AN44" si="116">SUM(AN39:AN43)</f>
        <v>0</v>
      </c>
      <c r="AO44" s="99">
        <f t="shared" ref="AO44" si="117">SUM(AO39:AO43)</f>
        <v>0</v>
      </c>
      <c r="AP44" s="99">
        <f t="shared" ref="AP44" si="118">SUM(AP39:AP43)</f>
        <v>0</v>
      </c>
      <c r="AQ44" s="99">
        <f t="shared" ref="AQ44" si="119">SUM(AQ39:AQ43)</f>
        <v>0</v>
      </c>
      <c r="AR44" s="99">
        <f t="shared" ref="AR44" si="120">SUM(AR39:AR43)</f>
        <v>0</v>
      </c>
    </row>
    <row r="45" spans="2:48" x14ac:dyDescent="0.25">
      <c r="B45" s="17">
        <v>43</v>
      </c>
      <c r="C45" s="10"/>
      <c r="D45" s="10"/>
      <c r="E45" s="72"/>
      <c r="F45" s="18"/>
      <c r="G45" s="10"/>
      <c r="H45" s="10"/>
      <c r="I45" s="10"/>
      <c r="J45" s="11"/>
      <c r="K45" s="11">
        <f t="shared" si="33"/>
        <v>0</v>
      </c>
      <c r="L45" s="37">
        <f t="shared" si="34"/>
        <v>0</v>
      </c>
      <c r="M45" s="11"/>
      <c r="N45" s="10"/>
      <c r="O45" s="21"/>
      <c r="P45" s="21"/>
      <c r="Q45" s="21"/>
      <c r="R45" s="23"/>
      <c r="S45" s="50"/>
      <c r="T45" s="48"/>
      <c r="U45" s="82"/>
      <c r="V45" s="26"/>
      <c r="W45" s="200"/>
      <c r="X45" s="17"/>
      <c r="Z45">
        <v>8</v>
      </c>
      <c r="AA45" s="415">
        <v>8</v>
      </c>
      <c r="AB45" s="94">
        <v>1</v>
      </c>
      <c r="AC45" s="100" t="s">
        <v>120</v>
      </c>
      <c r="AD45" s="41">
        <f t="shared" si="2"/>
        <v>0</v>
      </c>
      <c r="AE45" s="70">
        <f t="shared" si="3"/>
        <v>0</v>
      </c>
      <c r="AF45" s="70">
        <f t="shared" si="4"/>
        <v>0</v>
      </c>
      <c r="AG45" s="70">
        <f t="shared" si="5"/>
        <v>0</v>
      </c>
      <c r="AH45" s="109">
        <f t="shared" si="6"/>
        <v>0</v>
      </c>
      <c r="AI45" s="120">
        <f t="shared" si="7"/>
        <v>0</v>
      </c>
      <c r="AJ45" s="121">
        <f t="shared" si="8"/>
        <v>0</v>
      </c>
      <c r="AK45" s="121">
        <f t="shared" si="9"/>
        <v>0</v>
      </c>
      <c r="AL45" s="121">
        <f t="shared" si="10"/>
        <v>0</v>
      </c>
      <c r="AM45" s="122">
        <f t="shared" si="11"/>
        <v>0</v>
      </c>
      <c r="AN45" s="41">
        <f t="shared" si="12"/>
        <v>0</v>
      </c>
      <c r="AO45" s="70">
        <f t="shared" si="13"/>
        <v>0</v>
      </c>
      <c r="AP45" s="70">
        <f t="shared" si="14"/>
        <v>0</v>
      </c>
      <c r="AQ45" s="70">
        <f t="shared" si="15"/>
        <v>0</v>
      </c>
      <c r="AR45" s="70">
        <f t="shared" si="16"/>
        <v>0</v>
      </c>
    </row>
    <row r="46" spans="2:48" x14ac:dyDescent="0.25">
      <c r="B46" s="17">
        <v>44</v>
      </c>
      <c r="C46" s="10"/>
      <c r="D46" s="10"/>
      <c r="E46" s="72"/>
      <c r="F46" s="18"/>
      <c r="G46" s="10"/>
      <c r="H46" s="10"/>
      <c r="I46" s="10"/>
      <c r="J46" s="11"/>
      <c r="K46" s="11">
        <f t="shared" si="33"/>
        <v>0</v>
      </c>
      <c r="L46" s="37">
        <f t="shared" si="34"/>
        <v>0</v>
      </c>
      <c r="M46" s="11"/>
      <c r="N46" s="10"/>
      <c r="O46" s="21"/>
      <c r="P46" s="21"/>
      <c r="Q46" s="21"/>
      <c r="R46" s="23"/>
      <c r="S46" s="50"/>
      <c r="T46" s="48"/>
      <c r="U46" s="82"/>
      <c r="V46" s="26"/>
      <c r="W46" s="200"/>
      <c r="X46" s="17"/>
      <c r="Z46">
        <v>8</v>
      </c>
      <c r="AA46" s="416"/>
      <c r="AB46" s="95">
        <v>2</v>
      </c>
      <c r="AC46" s="102" t="s">
        <v>121</v>
      </c>
      <c r="AD46" s="41">
        <f t="shared" si="2"/>
        <v>0</v>
      </c>
      <c r="AE46" s="70">
        <f t="shared" si="3"/>
        <v>0</v>
      </c>
      <c r="AF46" s="70">
        <f t="shared" si="4"/>
        <v>0</v>
      </c>
      <c r="AG46" s="70">
        <f t="shared" si="5"/>
        <v>0</v>
      </c>
      <c r="AH46" s="109">
        <f t="shared" si="6"/>
        <v>0</v>
      </c>
      <c r="AI46" s="120">
        <f t="shared" si="7"/>
        <v>0</v>
      </c>
      <c r="AJ46" s="121">
        <f t="shared" si="8"/>
        <v>0</v>
      </c>
      <c r="AK46" s="121">
        <f t="shared" si="9"/>
        <v>0</v>
      </c>
      <c r="AL46" s="121">
        <f t="shared" si="10"/>
        <v>0</v>
      </c>
      <c r="AM46" s="122">
        <f t="shared" si="11"/>
        <v>0</v>
      </c>
      <c r="AN46" s="41">
        <f t="shared" si="12"/>
        <v>0</v>
      </c>
      <c r="AO46" s="70">
        <f t="shared" si="13"/>
        <v>0</v>
      </c>
      <c r="AP46" s="70">
        <f t="shared" si="14"/>
        <v>0</v>
      </c>
      <c r="AQ46" s="70">
        <f t="shared" si="15"/>
        <v>0</v>
      </c>
      <c r="AR46" s="70">
        <f t="shared" si="16"/>
        <v>0</v>
      </c>
    </row>
    <row r="47" spans="2:48" x14ac:dyDescent="0.25">
      <c r="B47" s="17">
        <v>45</v>
      </c>
      <c r="C47" s="10"/>
      <c r="D47" s="10"/>
      <c r="E47" s="72"/>
      <c r="F47" s="18"/>
      <c r="G47" s="10"/>
      <c r="H47" s="10"/>
      <c r="I47" s="10"/>
      <c r="J47" s="11"/>
      <c r="K47" s="11">
        <f t="shared" si="33"/>
        <v>0</v>
      </c>
      <c r="L47" s="37">
        <f t="shared" si="34"/>
        <v>0</v>
      </c>
      <c r="M47" s="11"/>
      <c r="N47" s="10"/>
      <c r="O47" s="21"/>
      <c r="P47" s="21"/>
      <c r="Q47" s="21"/>
      <c r="R47" s="23"/>
      <c r="S47" s="50"/>
      <c r="T47" s="48"/>
      <c r="U47" s="82"/>
      <c r="V47" s="26"/>
      <c r="W47" s="200"/>
      <c r="X47" s="17"/>
      <c r="Z47">
        <v>8</v>
      </c>
      <c r="AA47" s="416"/>
      <c r="AB47" s="95">
        <v>3</v>
      </c>
      <c r="AC47" s="102" t="s">
        <v>122</v>
      </c>
      <c r="AD47" s="41">
        <f t="shared" si="2"/>
        <v>0</v>
      </c>
      <c r="AE47" s="70">
        <f t="shared" si="3"/>
        <v>0</v>
      </c>
      <c r="AF47" s="70">
        <f t="shared" si="4"/>
        <v>0</v>
      </c>
      <c r="AG47" s="70">
        <f t="shared" si="5"/>
        <v>0</v>
      </c>
      <c r="AH47" s="109">
        <f t="shared" si="6"/>
        <v>0</v>
      </c>
      <c r="AI47" s="120">
        <f t="shared" si="7"/>
        <v>0</v>
      </c>
      <c r="AJ47" s="121">
        <f t="shared" si="8"/>
        <v>0</v>
      </c>
      <c r="AK47" s="121">
        <f t="shared" si="9"/>
        <v>0</v>
      </c>
      <c r="AL47" s="121">
        <f t="shared" si="10"/>
        <v>0</v>
      </c>
      <c r="AM47" s="122">
        <f t="shared" si="11"/>
        <v>0</v>
      </c>
      <c r="AN47" s="41">
        <f t="shared" si="12"/>
        <v>0</v>
      </c>
      <c r="AO47" s="70">
        <f t="shared" si="13"/>
        <v>0</v>
      </c>
      <c r="AP47" s="70">
        <f t="shared" si="14"/>
        <v>0</v>
      </c>
      <c r="AQ47" s="70">
        <f t="shared" si="15"/>
        <v>0</v>
      </c>
      <c r="AR47" s="70">
        <f t="shared" si="16"/>
        <v>0</v>
      </c>
    </row>
    <row r="48" spans="2:48" x14ac:dyDescent="0.25">
      <c r="B48" s="17">
        <v>46</v>
      </c>
      <c r="C48" s="10"/>
      <c r="D48" s="10"/>
      <c r="E48" s="72"/>
      <c r="F48" s="18"/>
      <c r="G48" s="10"/>
      <c r="H48" s="10"/>
      <c r="I48" s="10"/>
      <c r="J48" s="11"/>
      <c r="K48" s="11">
        <f t="shared" si="33"/>
        <v>0</v>
      </c>
      <c r="L48" s="37">
        <f t="shared" si="34"/>
        <v>0</v>
      </c>
      <c r="M48" s="11"/>
      <c r="N48" s="10"/>
      <c r="O48" s="21"/>
      <c r="P48" s="21"/>
      <c r="Q48" s="21"/>
      <c r="R48" s="23"/>
      <c r="S48" s="50"/>
      <c r="T48" s="48"/>
      <c r="U48" s="82"/>
      <c r="V48" s="26"/>
      <c r="W48" s="200"/>
      <c r="X48" s="17"/>
      <c r="Z48">
        <v>8</v>
      </c>
      <c r="AA48" s="416"/>
      <c r="AB48" s="95">
        <v>4</v>
      </c>
      <c r="AC48" s="102" t="s">
        <v>123</v>
      </c>
      <c r="AD48" s="41">
        <f t="shared" si="2"/>
        <v>0</v>
      </c>
      <c r="AE48" s="70">
        <f t="shared" si="3"/>
        <v>0</v>
      </c>
      <c r="AF48" s="70">
        <f t="shared" si="4"/>
        <v>0</v>
      </c>
      <c r="AG48" s="70">
        <f t="shared" si="5"/>
        <v>0</v>
      </c>
      <c r="AH48" s="109">
        <f t="shared" si="6"/>
        <v>0</v>
      </c>
      <c r="AI48" s="120">
        <f t="shared" si="7"/>
        <v>0</v>
      </c>
      <c r="AJ48" s="121">
        <f t="shared" si="8"/>
        <v>0</v>
      </c>
      <c r="AK48" s="121">
        <f t="shared" si="9"/>
        <v>0</v>
      </c>
      <c r="AL48" s="121">
        <f t="shared" si="10"/>
        <v>0</v>
      </c>
      <c r="AM48" s="122">
        <f t="shared" si="11"/>
        <v>0</v>
      </c>
      <c r="AN48" s="41">
        <f t="shared" si="12"/>
        <v>0</v>
      </c>
      <c r="AO48" s="70">
        <f t="shared" si="13"/>
        <v>0</v>
      </c>
      <c r="AP48" s="70">
        <f t="shared" si="14"/>
        <v>0</v>
      </c>
      <c r="AQ48" s="70">
        <f t="shared" si="15"/>
        <v>0</v>
      </c>
      <c r="AR48" s="70">
        <f t="shared" si="16"/>
        <v>0</v>
      </c>
    </row>
    <row r="49" spans="2:44" x14ac:dyDescent="0.25">
      <c r="B49" s="17">
        <v>47</v>
      </c>
      <c r="C49" s="10"/>
      <c r="D49" s="10"/>
      <c r="E49" s="72"/>
      <c r="F49" s="18"/>
      <c r="G49" s="10"/>
      <c r="H49" s="10"/>
      <c r="I49" s="10"/>
      <c r="J49" s="11"/>
      <c r="K49" s="11">
        <f t="shared" si="33"/>
        <v>0</v>
      </c>
      <c r="L49" s="37">
        <f t="shared" si="34"/>
        <v>0</v>
      </c>
      <c r="M49" s="11"/>
      <c r="N49" s="10"/>
      <c r="O49" s="21"/>
      <c r="P49" s="21"/>
      <c r="Q49" s="21"/>
      <c r="R49" s="23"/>
      <c r="S49" s="50"/>
      <c r="T49" s="48"/>
      <c r="U49" s="82"/>
      <c r="V49" s="26"/>
      <c r="W49" s="200"/>
      <c r="X49" s="17"/>
      <c r="Z49">
        <v>8</v>
      </c>
      <c r="AA49" s="416"/>
      <c r="AB49" s="96">
        <v>5</v>
      </c>
      <c r="AC49" s="105"/>
      <c r="AD49" s="41">
        <f t="shared" si="2"/>
        <v>0</v>
      </c>
      <c r="AE49" s="70">
        <f t="shared" si="3"/>
        <v>0</v>
      </c>
      <c r="AF49" s="70">
        <f t="shared" si="4"/>
        <v>0</v>
      </c>
      <c r="AG49" s="70">
        <f t="shared" si="5"/>
        <v>0</v>
      </c>
      <c r="AH49" s="109">
        <f t="shared" si="6"/>
        <v>0</v>
      </c>
      <c r="AI49" s="120">
        <f t="shared" si="7"/>
        <v>0</v>
      </c>
      <c r="AJ49" s="121">
        <f t="shared" si="8"/>
        <v>0</v>
      </c>
      <c r="AK49" s="121">
        <f t="shared" si="9"/>
        <v>0</v>
      </c>
      <c r="AL49" s="121">
        <f t="shared" si="10"/>
        <v>0</v>
      </c>
      <c r="AM49" s="122">
        <f t="shared" si="11"/>
        <v>0</v>
      </c>
      <c r="AN49" s="41">
        <f t="shared" si="12"/>
        <v>0</v>
      </c>
      <c r="AO49" s="70">
        <f t="shared" si="13"/>
        <v>0</v>
      </c>
      <c r="AP49" s="70">
        <f t="shared" si="14"/>
        <v>0</v>
      </c>
      <c r="AQ49" s="70">
        <f t="shared" si="15"/>
        <v>0</v>
      </c>
      <c r="AR49" s="70">
        <f t="shared" si="16"/>
        <v>0</v>
      </c>
    </row>
    <row r="50" spans="2:44" ht="14.25" thickBot="1" x14ac:dyDescent="0.3">
      <c r="B50" s="17">
        <v>48</v>
      </c>
      <c r="C50" s="10"/>
      <c r="D50" s="10"/>
      <c r="E50" s="72"/>
      <c r="F50" s="18"/>
      <c r="G50" s="10"/>
      <c r="H50" s="10"/>
      <c r="I50" s="10"/>
      <c r="J50" s="11"/>
      <c r="K50" s="11">
        <f t="shared" si="33"/>
        <v>0</v>
      </c>
      <c r="L50" s="37">
        <f t="shared" si="34"/>
        <v>0</v>
      </c>
      <c r="M50" s="11"/>
      <c r="N50" s="10"/>
      <c r="O50" s="21"/>
      <c r="P50" s="21"/>
      <c r="Q50" s="21"/>
      <c r="R50" s="23"/>
      <c r="S50" s="50"/>
      <c r="T50" s="48"/>
      <c r="U50" s="82"/>
      <c r="V50" s="32"/>
      <c r="W50" s="200"/>
      <c r="X50" s="17"/>
      <c r="Z50">
        <v>8</v>
      </c>
      <c r="AA50" s="417"/>
      <c r="AB50" s="97" t="s">
        <v>3</v>
      </c>
      <c r="AC50" s="106"/>
      <c r="AD50" s="99">
        <f>SUM(AD45:AD49)</f>
        <v>0</v>
      </c>
      <c r="AE50" s="99">
        <f t="shared" ref="AE50" si="121">SUM(AE45:AE49)</f>
        <v>0</v>
      </c>
      <c r="AF50" s="99">
        <f t="shared" ref="AF50" si="122">SUM(AF45:AF49)</f>
        <v>0</v>
      </c>
      <c r="AG50" s="99">
        <f t="shared" ref="AG50" si="123">SUM(AG45:AG49)</f>
        <v>0</v>
      </c>
      <c r="AH50" s="110">
        <f t="shared" ref="AH50" si="124">SUM(AH45:AH49)</f>
        <v>0</v>
      </c>
      <c r="AI50" s="123">
        <f t="shared" ref="AI50" si="125">SUM(AI45:AI49)</f>
        <v>0</v>
      </c>
      <c r="AJ50" s="124">
        <f t="shared" ref="AJ50" si="126">SUM(AJ45:AJ49)</f>
        <v>0</v>
      </c>
      <c r="AK50" s="124">
        <f t="shared" ref="AK50" si="127">SUM(AK45:AK49)</f>
        <v>0</v>
      </c>
      <c r="AL50" s="124">
        <f t="shared" ref="AL50" si="128">SUM(AL45:AL49)</f>
        <v>0</v>
      </c>
      <c r="AM50" s="125">
        <f t="shared" ref="AM50" si="129">SUM(AM45:AM49)</f>
        <v>0</v>
      </c>
      <c r="AN50" s="99">
        <f t="shared" ref="AN50" si="130">SUM(AN45:AN49)</f>
        <v>0</v>
      </c>
      <c r="AO50" s="99">
        <f t="shared" ref="AO50" si="131">SUM(AO45:AO49)</f>
        <v>0</v>
      </c>
      <c r="AP50" s="99">
        <f t="shared" ref="AP50" si="132">SUM(AP45:AP49)</f>
        <v>0</v>
      </c>
      <c r="AQ50" s="99">
        <f t="shared" ref="AQ50" si="133">SUM(AQ45:AQ49)</f>
        <v>0</v>
      </c>
      <c r="AR50" s="99">
        <f t="shared" ref="AR50" si="134">SUM(AR45:AR49)</f>
        <v>0</v>
      </c>
    </row>
    <row r="51" spans="2:44" x14ac:dyDescent="0.25">
      <c r="B51" s="17">
        <v>49</v>
      </c>
      <c r="C51" s="10"/>
      <c r="D51" s="10"/>
      <c r="E51" s="72"/>
      <c r="F51" s="18"/>
      <c r="G51" s="10"/>
      <c r="H51" s="10"/>
      <c r="I51" s="10"/>
      <c r="J51" s="11"/>
      <c r="K51" s="11">
        <f t="shared" si="33"/>
        <v>0</v>
      </c>
      <c r="L51" s="37">
        <f t="shared" si="34"/>
        <v>0</v>
      </c>
      <c r="M51" s="11"/>
      <c r="N51" s="10"/>
      <c r="O51" s="21"/>
      <c r="P51" s="21"/>
      <c r="Q51" s="21"/>
      <c r="R51" s="23"/>
      <c r="S51" s="50"/>
      <c r="T51" s="48"/>
      <c r="U51" s="82"/>
      <c r="V51" s="32"/>
      <c r="W51" s="200"/>
      <c r="X51" s="17"/>
      <c r="Z51">
        <v>9</v>
      </c>
      <c r="AA51" s="415">
        <v>9</v>
      </c>
      <c r="AB51" s="94">
        <v>1</v>
      </c>
      <c r="AC51" s="100" t="s">
        <v>124</v>
      </c>
      <c r="AD51" s="41">
        <f t="shared" si="2"/>
        <v>0</v>
      </c>
      <c r="AE51" s="70">
        <f t="shared" si="3"/>
        <v>0</v>
      </c>
      <c r="AF51" s="70">
        <f t="shared" si="4"/>
        <v>0</v>
      </c>
      <c r="AG51" s="70">
        <f t="shared" si="5"/>
        <v>0</v>
      </c>
      <c r="AH51" s="109">
        <f t="shared" si="6"/>
        <v>0</v>
      </c>
      <c r="AI51" s="120">
        <f t="shared" si="7"/>
        <v>0</v>
      </c>
      <c r="AJ51" s="121">
        <f t="shared" si="8"/>
        <v>0</v>
      </c>
      <c r="AK51" s="121">
        <f t="shared" si="9"/>
        <v>0</v>
      </c>
      <c r="AL51" s="121">
        <f t="shared" si="10"/>
        <v>0</v>
      </c>
      <c r="AM51" s="122">
        <f t="shared" si="11"/>
        <v>0</v>
      </c>
      <c r="AN51" s="41">
        <f t="shared" si="12"/>
        <v>0</v>
      </c>
      <c r="AO51" s="70">
        <f t="shared" si="13"/>
        <v>0</v>
      </c>
      <c r="AP51" s="70">
        <f t="shared" si="14"/>
        <v>0</v>
      </c>
      <c r="AQ51" s="70">
        <f t="shared" si="15"/>
        <v>0</v>
      </c>
      <c r="AR51" s="70">
        <f t="shared" si="16"/>
        <v>0</v>
      </c>
    </row>
    <row r="52" spans="2:44" x14ac:dyDescent="0.25">
      <c r="B52" s="17">
        <v>50</v>
      </c>
      <c r="C52" s="10"/>
      <c r="D52" s="10"/>
      <c r="E52" s="72"/>
      <c r="F52" s="18"/>
      <c r="G52" s="10"/>
      <c r="H52" s="10"/>
      <c r="I52" s="10"/>
      <c r="J52" s="11"/>
      <c r="K52" s="11">
        <f t="shared" si="33"/>
        <v>0</v>
      </c>
      <c r="L52" s="37">
        <f t="shared" si="34"/>
        <v>0</v>
      </c>
      <c r="M52" s="11"/>
      <c r="N52" s="10"/>
      <c r="O52" s="21"/>
      <c r="P52" s="21"/>
      <c r="Q52" s="21"/>
      <c r="R52" s="23"/>
      <c r="S52" s="50"/>
      <c r="T52" s="48"/>
      <c r="U52" s="82"/>
      <c r="V52" s="32"/>
      <c r="W52" s="200"/>
      <c r="X52" s="17"/>
      <c r="Z52">
        <v>9</v>
      </c>
      <c r="AA52" s="416"/>
      <c r="AB52" s="95">
        <v>2</v>
      </c>
      <c r="AC52" s="102" t="s">
        <v>125</v>
      </c>
      <c r="AD52" s="41">
        <f t="shared" si="2"/>
        <v>0</v>
      </c>
      <c r="AE52" s="70">
        <f t="shared" si="3"/>
        <v>0</v>
      </c>
      <c r="AF52" s="70">
        <f t="shared" si="4"/>
        <v>0</v>
      </c>
      <c r="AG52" s="70">
        <f t="shared" si="5"/>
        <v>0</v>
      </c>
      <c r="AH52" s="109">
        <f t="shared" si="6"/>
        <v>0</v>
      </c>
      <c r="AI52" s="120">
        <f t="shared" si="7"/>
        <v>0</v>
      </c>
      <c r="AJ52" s="121">
        <f t="shared" si="8"/>
        <v>0</v>
      </c>
      <c r="AK52" s="121">
        <f t="shared" si="9"/>
        <v>0</v>
      </c>
      <c r="AL52" s="121">
        <f t="shared" si="10"/>
        <v>0</v>
      </c>
      <c r="AM52" s="122">
        <f t="shared" si="11"/>
        <v>0</v>
      </c>
      <c r="AN52" s="41">
        <f t="shared" si="12"/>
        <v>0</v>
      </c>
      <c r="AO52" s="70">
        <f t="shared" si="13"/>
        <v>0</v>
      </c>
      <c r="AP52" s="70">
        <f t="shared" si="14"/>
        <v>0</v>
      </c>
      <c r="AQ52" s="70">
        <f t="shared" si="15"/>
        <v>0</v>
      </c>
      <c r="AR52" s="70">
        <f t="shared" si="16"/>
        <v>0</v>
      </c>
    </row>
    <row r="53" spans="2:44" x14ac:dyDescent="0.25">
      <c r="B53" s="17">
        <v>51</v>
      </c>
      <c r="C53" s="10"/>
      <c r="D53" s="10"/>
      <c r="E53" s="72"/>
      <c r="F53" s="18"/>
      <c r="G53" s="10"/>
      <c r="H53" s="10"/>
      <c r="I53" s="10"/>
      <c r="J53" s="11"/>
      <c r="K53" s="11">
        <f t="shared" si="33"/>
        <v>0</v>
      </c>
      <c r="L53" s="37">
        <f t="shared" si="34"/>
        <v>0</v>
      </c>
      <c r="M53" s="11"/>
      <c r="N53" s="10"/>
      <c r="O53" s="21"/>
      <c r="P53" s="21"/>
      <c r="Q53" s="21"/>
      <c r="R53" s="23"/>
      <c r="S53" s="50"/>
      <c r="T53" s="48"/>
      <c r="U53" s="82"/>
      <c r="V53" s="32"/>
      <c r="W53" s="200"/>
      <c r="X53" s="17"/>
      <c r="Z53">
        <v>9</v>
      </c>
      <c r="AA53" s="416"/>
      <c r="AB53" s="95">
        <v>3</v>
      </c>
      <c r="AC53" s="102" t="s">
        <v>126</v>
      </c>
      <c r="AD53" s="41">
        <f t="shared" si="2"/>
        <v>0</v>
      </c>
      <c r="AE53" s="70">
        <f t="shared" si="3"/>
        <v>0</v>
      </c>
      <c r="AF53" s="70">
        <f t="shared" si="4"/>
        <v>0</v>
      </c>
      <c r="AG53" s="70">
        <f t="shared" si="5"/>
        <v>0</v>
      </c>
      <c r="AH53" s="109">
        <f t="shared" si="6"/>
        <v>0</v>
      </c>
      <c r="AI53" s="120">
        <f t="shared" si="7"/>
        <v>0</v>
      </c>
      <c r="AJ53" s="121">
        <f t="shared" si="8"/>
        <v>0</v>
      </c>
      <c r="AK53" s="121">
        <f t="shared" si="9"/>
        <v>0</v>
      </c>
      <c r="AL53" s="121">
        <f t="shared" si="10"/>
        <v>0</v>
      </c>
      <c r="AM53" s="122">
        <f t="shared" si="11"/>
        <v>0</v>
      </c>
      <c r="AN53" s="41">
        <f t="shared" si="12"/>
        <v>0</v>
      </c>
      <c r="AO53" s="70">
        <f t="shared" si="13"/>
        <v>0</v>
      </c>
      <c r="AP53" s="70">
        <f t="shared" si="14"/>
        <v>0</v>
      </c>
      <c r="AQ53" s="70">
        <f t="shared" si="15"/>
        <v>0</v>
      </c>
      <c r="AR53" s="70">
        <f t="shared" si="16"/>
        <v>0</v>
      </c>
    </row>
    <row r="54" spans="2:44" x14ac:dyDescent="0.25">
      <c r="B54" s="17">
        <v>52</v>
      </c>
      <c r="C54" s="10"/>
      <c r="D54" s="10"/>
      <c r="E54" s="72"/>
      <c r="F54" s="18"/>
      <c r="G54" s="10"/>
      <c r="H54" s="10"/>
      <c r="I54" s="10"/>
      <c r="J54" s="11"/>
      <c r="K54" s="11">
        <f t="shared" si="33"/>
        <v>0</v>
      </c>
      <c r="L54" s="37">
        <f t="shared" si="34"/>
        <v>0</v>
      </c>
      <c r="M54" s="11"/>
      <c r="N54" s="10"/>
      <c r="O54" s="21"/>
      <c r="P54" s="21"/>
      <c r="Q54" s="21"/>
      <c r="R54" s="23"/>
      <c r="S54" s="50"/>
      <c r="T54" s="48"/>
      <c r="U54" s="82"/>
      <c r="V54" s="26"/>
      <c r="W54" s="200"/>
      <c r="X54" s="17"/>
      <c r="Z54">
        <v>9</v>
      </c>
      <c r="AA54" s="416"/>
      <c r="AB54" s="95">
        <v>4</v>
      </c>
      <c r="AC54" s="102" t="s">
        <v>127</v>
      </c>
      <c r="AD54" s="41">
        <f t="shared" si="2"/>
        <v>0</v>
      </c>
      <c r="AE54" s="70">
        <f t="shared" si="3"/>
        <v>0</v>
      </c>
      <c r="AF54" s="70">
        <f t="shared" si="4"/>
        <v>0</v>
      </c>
      <c r="AG54" s="70">
        <f t="shared" si="5"/>
        <v>0</v>
      </c>
      <c r="AH54" s="109">
        <f t="shared" si="6"/>
        <v>0</v>
      </c>
      <c r="AI54" s="120">
        <f t="shared" si="7"/>
        <v>0</v>
      </c>
      <c r="AJ54" s="121">
        <f t="shared" si="8"/>
        <v>0</v>
      </c>
      <c r="AK54" s="121">
        <f t="shared" si="9"/>
        <v>0</v>
      </c>
      <c r="AL54" s="121">
        <f t="shared" si="10"/>
        <v>0</v>
      </c>
      <c r="AM54" s="122">
        <f t="shared" si="11"/>
        <v>0</v>
      </c>
      <c r="AN54" s="41">
        <f t="shared" si="12"/>
        <v>0</v>
      </c>
      <c r="AO54" s="70">
        <f t="shared" si="13"/>
        <v>0</v>
      </c>
      <c r="AP54" s="70">
        <f t="shared" si="14"/>
        <v>0</v>
      </c>
      <c r="AQ54" s="70">
        <f t="shared" si="15"/>
        <v>0</v>
      </c>
      <c r="AR54" s="70">
        <f t="shared" si="16"/>
        <v>0</v>
      </c>
    </row>
    <row r="55" spans="2:44" x14ac:dyDescent="0.25">
      <c r="B55" s="17">
        <v>53</v>
      </c>
      <c r="C55" s="10"/>
      <c r="D55" s="10"/>
      <c r="E55" s="72"/>
      <c r="F55" s="18"/>
      <c r="G55" s="10"/>
      <c r="H55" s="10"/>
      <c r="I55" s="10"/>
      <c r="J55" s="11"/>
      <c r="K55" s="11">
        <f t="shared" si="33"/>
        <v>0</v>
      </c>
      <c r="L55" s="37">
        <f t="shared" si="34"/>
        <v>0</v>
      </c>
      <c r="M55" s="11"/>
      <c r="N55" s="10"/>
      <c r="O55" s="21"/>
      <c r="P55" s="21"/>
      <c r="Q55" s="21"/>
      <c r="R55" s="23"/>
      <c r="S55" s="50"/>
      <c r="T55" s="48"/>
      <c r="U55" s="82"/>
      <c r="V55" s="26"/>
      <c r="W55" s="200"/>
      <c r="X55" s="17"/>
      <c r="Z55">
        <v>9</v>
      </c>
      <c r="AA55" s="416"/>
      <c r="AB55" s="96">
        <v>5</v>
      </c>
      <c r="AC55" s="105"/>
      <c r="AD55" s="41">
        <f t="shared" si="2"/>
        <v>0</v>
      </c>
      <c r="AE55" s="70">
        <f t="shared" si="3"/>
        <v>0</v>
      </c>
      <c r="AF55" s="70">
        <f t="shared" si="4"/>
        <v>0</v>
      </c>
      <c r="AG55" s="70">
        <f t="shared" si="5"/>
        <v>0</v>
      </c>
      <c r="AH55" s="109">
        <f t="shared" si="6"/>
        <v>0</v>
      </c>
      <c r="AI55" s="120">
        <f t="shared" si="7"/>
        <v>0</v>
      </c>
      <c r="AJ55" s="121">
        <f t="shared" si="8"/>
        <v>0</v>
      </c>
      <c r="AK55" s="121">
        <f t="shared" si="9"/>
        <v>0</v>
      </c>
      <c r="AL55" s="121">
        <f t="shared" si="10"/>
        <v>0</v>
      </c>
      <c r="AM55" s="122">
        <f t="shared" si="11"/>
        <v>0</v>
      </c>
      <c r="AN55" s="41">
        <f t="shared" si="12"/>
        <v>0</v>
      </c>
      <c r="AO55" s="70">
        <f t="shared" si="13"/>
        <v>0</v>
      </c>
      <c r="AP55" s="70">
        <f t="shared" si="14"/>
        <v>0</v>
      </c>
      <c r="AQ55" s="70">
        <f t="shared" si="15"/>
        <v>0</v>
      </c>
      <c r="AR55" s="70">
        <f t="shared" si="16"/>
        <v>0</v>
      </c>
    </row>
    <row r="56" spans="2:44" ht="14.25" thickBot="1" x14ac:dyDescent="0.3">
      <c r="B56" s="17">
        <v>54</v>
      </c>
      <c r="C56" s="10"/>
      <c r="D56" s="10"/>
      <c r="E56" s="72"/>
      <c r="F56" s="18"/>
      <c r="G56" s="10"/>
      <c r="H56" s="10"/>
      <c r="I56" s="10"/>
      <c r="J56" s="11"/>
      <c r="K56" s="11">
        <f t="shared" si="33"/>
        <v>0</v>
      </c>
      <c r="L56" s="37">
        <f t="shared" si="34"/>
        <v>0</v>
      </c>
      <c r="M56" s="11"/>
      <c r="N56" s="10"/>
      <c r="O56" s="21"/>
      <c r="P56" s="21"/>
      <c r="Q56" s="21"/>
      <c r="R56" s="23"/>
      <c r="S56" s="50"/>
      <c r="T56" s="48"/>
      <c r="U56" s="82"/>
      <c r="V56" s="26"/>
      <c r="W56" s="200"/>
      <c r="X56" s="17"/>
      <c r="Z56">
        <v>9</v>
      </c>
      <c r="AA56" s="417"/>
      <c r="AB56" s="97" t="s">
        <v>3</v>
      </c>
      <c r="AC56" s="106"/>
      <c r="AD56" s="99">
        <f>SUM(AD51:AD55)</f>
        <v>0</v>
      </c>
      <c r="AE56" s="99">
        <f t="shared" ref="AE56" si="135">SUM(AE51:AE55)</f>
        <v>0</v>
      </c>
      <c r="AF56" s="99">
        <f t="shared" ref="AF56" si="136">SUM(AF51:AF55)</f>
        <v>0</v>
      </c>
      <c r="AG56" s="99">
        <f t="shared" ref="AG56" si="137">SUM(AG51:AG55)</f>
        <v>0</v>
      </c>
      <c r="AH56" s="110">
        <f t="shared" ref="AH56" si="138">SUM(AH51:AH55)</f>
        <v>0</v>
      </c>
      <c r="AI56" s="123">
        <f t="shared" ref="AI56" si="139">SUM(AI51:AI55)</f>
        <v>0</v>
      </c>
      <c r="AJ56" s="124">
        <f t="shared" ref="AJ56" si="140">SUM(AJ51:AJ55)</f>
        <v>0</v>
      </c>
      <c r="AK56" s="124">
        <f t="shared" ref="AK56" si="141">SUM(AK51:AK55)</f>
        <v>0</v>
      </c>
      <c r="AL56" s="124">
        <f t="shared" ref="AL56" si="142">SUM(AL51:AL55)</f>
        <v>0</v>
      </c>
      <c r="AM56" s="125">
        <f t="shared" ref="AM56" si="143">SUM(AM51:AM55)</f>
        <v>0</v>
      </c>
      <c r="AN56" s="99">
        <f t="shared" ref="AN56" si="144">SUM(AN51:AN55)</f>
        <v>0</v>
      </c>
      <c r="AO56" s="99">
        <f t="shared" ref="AO56" si="145">SUM(AO51:AO55)</f>
        <v>0</v>
      </c>
      <c r="AP56" s="99">
        <f t="shared" ref="AP56" si="146">SUM(AP51:AP55)</f>
        <v>0</v>
      </c>
      <c r="AQ56" s="99">
        <f t="shared" ref="AQ56" si="147">SUM(AQ51:AQ55)</f>
        <v>0</v>
      </c>
      <c r="AR56" s="99">
        <f t="shared" ref="AR56" si="148">SUM(AR51:AR55)</f>
        <v>0</v>
      </c>
    </row>
    <row r="57" spans="2:44" x14ac:dyDescent="0.25">
      <c r="B57" s="17">
        <v>55</v>
      </c>
      <c r="C57" s="10"/>
      <c r="D57" s="10"/>
      <c r="E57" s="72"/>
      <c r="F57" s="18"/>
      <c r="G57" s="10"/>
      <c r="H57" s="10"/>
      <c r="I57" s="10"/>
      <c r="J57" s="11"/>
      <c r="K57" s="11">
        <f t="shared" si="33"/>
        <v>0</v>
      </c>
      <c r="L57" s="37">
        <f t="shared" si="34"/>
        <v>0</v>
      </c>
      <c r="M57" s="11"/>
      <c r="N57" s="10"/>
      <c r="O57" s="21"/>
      <c r="P57" s="21"/>
      <c r="Q57" s="21"/>
      <c r="R57" s="23"/>
      <c r="S57" s="50"/>
      <c r="T57" s="48"/>
      <c r="U57" s="82"/>
      <c r="V57" s="26"/>
      <c r="W57" s="200"/>
      <c r="X57" s="17"/>
      <c r="Z57">
        <v>10</v>
      </c>
      <c r="AA57" s="415">
        <v>10</v>
      </c>
      <c r="AB57" s="94">
        <v>1</v>
      </c>
      <c r="AC57" s="100" t="s">
        <v>128</v>
      </c>
      <c r="AD57" s="41">
        <f t="shared" si="2"/>
        <v>0</v>
      </c>
      <c r="AE57" s="70">
        <f t="shared" si="3"/>
        <v>0</v>
      </c>
      <c r="AF57" s="70">
        <f t="shared" si="4"/>
        <v>0</v>
      </c>
      <c r="AG57" s="70">
        <f t="shared" si="5"/>
        <v>0</v>
      </c>
      <c r="AH57" s="109">
        <f t="shared" si="6"/>
        <v>0</v>
      </c>
      <c r="AI57" s="120">
        <f t="shared" si="7"/>
        <v>0</v>
      </c>
      <c r="AJ57" s="121">
        <f t="shared" si="8"/>
        <v>0</v>
      </c>
      <c r="AK57" s="121">
        <f t="shared" si="9"/>
        <v>0</v>
      </c>
      <c r="AL57" s="121">
        <f t="shared" si="10"/>
        <v>0</v>
      </c>
      <c r="AM57" s="122">
        <f t="shared" si="11"/>
        <v>0</v>
      </c>
      <c r="AN57" s="41">
        <f t="shared" si="12"/>
        <v>0</v>
      </c>
      <c r="AO57" s="70">
        <f t="shared" si="13"/>
        <v>0</v>
      </c>
      <c r="AP57" s="70">
        <f t="shared" si="14"/>
        <v>0</v>
      </c>
      <c r="AQ57" s="70">
        <f t="shared" si="15"/>
        <v>0</v>
      </c>
      <c r="AR57" s="70">
        <f t="shared" si="16"/>
        <v>0</v>
      </c>
    </row>
    <row r="58" spans="2:44" x14ac:dyDescent="0.25">
      <c r="B58" s="17">
        <v>56</v>
      </c>
      <c r="C58" s="10"/>
      <c r="D58" s="10"/>
      <c r="E58" s="72"/>
      <c r="F58" s="18"/>
      <c r="G58" s="10"/>
      <c r="H58" s="10"/>
      <c r="I58" s="10"/>
      <c r="J58" s="11"/>
      <c r="K58" s="11">
        <f t="shared" si="33"/>
        <v>0</v>
      </c>
      <c r="L58" s="37">
        <f t="shared" si="34"/>
        <v>0</v>
      </c>
      <c r="M58" s="11"/>
      <c r="N58" s="10"/>
      <c r="O58" s="21"/>
      <c r="P58" s="21"/>
      <c r="Q58" s="21"/>
      <c r="R58" s="23"/>
      <c r="S58" s="50"/>
      <c r="T58" s="48"/>
      <c r="U58" s="82"/>
      <c r="V58" s="26"/>
      <c r="W58" s="200"/>
      <c r="X58" s="17"/>
      <c r="Z58">
        <v>10</v>
      </c>
      <c r="AA58" s="416"/>
      <c r="AB58" s="95">
        <v>2</v>
      </c>
      <c r="AC58" s="101" t="s">
        <v>61</v>
      </c>
      <c r="AD58" s="41">
        <f t="shared" si="2"/>
        <v>0</v>
      </c>
      <c r="AE58" s="70">
        <f t="shared" si="3"/>
        <v>0</v>
      </c>
      <c r="AF58" s="70">
        <f t="shared" si="4"/>
        <v>0</v>
      </c>
      <c r="AG58" s="70">
        <f t="shared" si="5"/>
        <v>0</v>
      </c>
      <c r="AH58" s="109">
        <f t="shared" si="6"/>
        <v>0</v>
      </c>
      <c r="AI58" s="120">
        <f t="shared" si="7"/>
        <v>0</v>
      </c>
      <c r="AJ58" s="121">
        <f t="shared" si="8"/>
        <v>0</v>
      </c>
      <c r="AK58" s="121">
        <f t="shared" si="9"/>
        <v>0</v>
      </c>
      <c r="AL58" s="121">
        <f t="shared" si="10"/>
        <v>0</v>
      </c>
      <c r="AM58" s="122">
        <f t="shared" si="11"/>
        <v>0</v>
      </c>
      <c r="AN58" s="41">
        <f t="shared" si="12"/>
        <v>0</v>
      </c>
      <c r="AO58" s="70">
        <f t="shared" si="13"/>
        <v>0</v>
      </c>
      <c r="AP58" s="70">
        <f t="shared" si="14"/>
        <v>0</v>
      </c>
      <c r="AQ58" s="70">
        <f t="shared" si="15"/>
        <v>0</v>
      </c>
      <c r="AR58" s="70">
        <f t="shared" si="16"/>
        <v>0</v>
      </c>
    </row>
    <row r="59" spans="2:44" x14ac:dyDescent="0.25">
      <c r="B59" s="17">
        <v>57</v>
      </c>
      <c r="C59" s="10"/>
      <c r="D59" s="10"/>
      <c r="E59" s="72"/>
      <c r="F59" s="18"/>
      <c r="G59" s="10"/>
      <c r="H59" s="10"/>
      <c r="I59" s="10"/>
      <c r="J59" s="11"/>
      <c r="K59" s="11">
        <f t="shared" si="33"/>
        <v>0</v>
      </c>
      <c r="L59" s="37">
        <f t="shared" si="34"/>
        <v>0</v>
      </c>
      <c r="M59" s="11"/>
      <c r="N59" s="10"/>
      <c r="O59" s="21"/>
      <c r="P59" s="21"/>
      <c r="Q59" s="21"/>
      <c r="R59" s="23"/>
      <c r="S59" s="50"/>
      <c r="T59" s="48"/>
      <c r="U59" s="82"/>
      <c r="V59" s="32"/>
      <c r="W59" s="200"/>
      <c r="X59" s="17"/>
      <c r="Z59">
        <v>10</v>
      </c>
      <c r="AA59" s="416"/>
      <c r="AB59" s="95">
        <v>3</v>
      </c>
      <c r="AC59" s="102" t="s">
        <v>62</v>
      </c>
      <c r="AD59" s="41">
        <f t="shared" si="2"/>
        <v>0</v>
      </c>
      <c r="AE59" s="70">
        <f t="shared" si="3"/>
        <v>0</v>
      </c>
      <c r="AF59" s="70">
        <f t="shared" si="4"/>
        <v>0</v>
      </c>
      <c r="AG59" s="70">
        <f t="shared" si="5"/>
        <v>0</v>
      </c>
      <c r="AH59" s="109">
        <f t="shared" si="6"/>
        <v>0</v>
      </c>
      <c r="AI59" s="120">
        <f t="shared" si="7"/>
        <v>0</v>
      </c>
      <c r="AJ59" s="121">
        <f t="shared" si="8"/>
        <v>0</v>
      </c>
      <c r="AK59" s="121">
        <f t="shared" si="9"/>
        <v>0</v>
      </c>
      <c r="AL59" s="121">
        <f t="shared" si="10"/>
        <v>0</v>
      </c>
      <c r="AM59" s="122">
        <f t="shared" si="11"/>
        <v>0</v>
      </c>
      <c r="AN59" s="41">
        <f t="shared" si="12"/>
        <v>0</v>
      </c>
      <c r="AO59" s="70">
        <f t="shared" si="13"/>
        <v>0</v>
      </c>
      <c r="AP59" s="70">
        <f t="shared" si="14"/>
        <v>0</v>
      </c>
      <c r="AQ59" s="70">
        <f t="shared" si="15"/>
        <v>0</v>
      </c>
      <c r="AR59" s="70">
        <f t="shared" si="16"/>
        <v>0</v>
      </c>
    </row>
    <row r="60" spans="2:44" x14ac:dyDescent="0.25">
      <c r="B60" s="17">
        <v>58</v>
      </c>
      <c r="C60" s="10"/>
      <c r="D60" s="10"/>
      <c r="E60" s="72"/>
      <c r="F60" s="18"/>
      <c r="G60" s="10"/>
      <c r="H60" s="10"/>
      <c r="I60" s="10"/>
      <c r="J60" s="11"/>
      <c r="K60" s="11">
        <f t="shared" si="33"/>
        <v>0</v>
      </c>
      <c r="L60" s="37">
        <f t="shared" si="34"/>
        <v>0</v>
      </c>
      <c r="M60" s="11"/>
      <c r="N60" s="10"/>
      <c r="O60" s="21"/>
      <c r="P60" s="21"/>
      <c r="Q60" s="21"/>
      <c r="R60" s="23"/>
      <c r="S60" s="50"/>
      <c r="T60" s="48"/>
      <c r="U60" s="82"/>
      <c r="V60" s="32"/>
      <c r="W60" s="200"/>
      <c r="X60" s="17"/>
      <c r="Z60">
        <v>10</v>
      </c>
      <c r="AA60" s="416"/>
      <c r="AB60" s="95">
        <v>4</v>
      </c>
      <c r="AC60" s="102" t="s">
        <v>63</v>
      </c>
      <c r="AD60" s="41">
        <f t="shared" si="2"/>
        <v>0</v>
      </c>
      <c r="AE60" s="70">
        <f t="shared" si="3"/>
        <v>0</v>
      </c>
      <c r="AF60" s="70">
        <f t="shared" si="4"/>
        <v>0</v>
      </c>
      <c r="AG60" s="70">
        <f t="shared" si="5"/>
        <v>0</v>
      </c>
      <c r="AH60" s="109">
        <f t="shared" si="6"/>
        <v>0</v>
      </c>
      <c r="AI60" s="120">
        <f t="shared" si="7"/>
        <v>0</v>
      </c>
      <c r="AJ60" s="121">
        <f t="shared" si="8"/>
        <v>0</v>
      </c>
      <c r="AK60" s="121">
        <f t="shared" si="9"/>
        <v>0</v>
      </c>
      <c r="AL60" s="121">
        <f t="shared" si="10"/>
        <v>0</v>
      </c>
      <c r="AM60" s="122">
        <f t="shared" si="11"/>
        <v>0</v>
      </c>
      <c r="AN60" s="41">
        <f t="shared" si="12"/>
        <v>0</v>
      </c>
      <c r="AO60" s="70">
        <f t="shared" si="13"/>
        <v>0</v>
      </c>
      <c r="AP60" s="70">
        <f t="shared" si="14"/>
        <v>0</v>
      </c>
      <c r="AQ60" s="70">
        <f t="shared" si="15"/>
        <v>0</v>
      </c>
      <c r="AR60" s="70">
        <f t="shared" si="16"/>
        <v>0</v>
      </c>
    </row>
    <row r="61" spans="2:44" x14ac:dyDescent="0.25">
      <c r="B61" s="17">
        <v>59</v>
      </c>
      <c r="C61" s="10"/>
      <c r="D61" s="10"/>
      <c r="E61" s="72"/>
      <c r="F61" s="18"/>
      <c r="G61" s="10"/>
      <c r="H61" s="10"/>
      <c r="I61" s="10"/>
      <c r="J61" s="11"/>
      <c r="K61" s="11">
        <f t="shared" si="33"/>
        <v>0</v>
      </c>
      <c r="L61" s="37">
        <f t="shared" si="34"/>
        <v>0</v>
      </c>
      <c r="M61" s="11"/>
      <c r="N61" s="10"/>
      <c r="O61" s="21"/>
      <c r="P61" s="21"/>
      <c r="Q61" s="21"/>
      <c r="R61" s="23"/>
      <c r="S61" s="50"/>
      <c r="T61" s="48"/>
      <c r="U61" s="82"/>
      <c r="V61" s="26"/>
      <c r="W61" s="200"/>
      <c r="X61" s="17"/>
      <c r="Z61">
        <v>10</v>
      </c>
      <c r="AA61" s="416"/>
      <c r="AB61" s="96">
        <v>5</v>
      </c>
      <c r="AC61" s="56" t="s">
        <v>64</v>
      </c>
      <c r="AD61" s="41">
        <f t="shared" si="2"/>
        <v>0</v>
      </c>
      <c r="AE61" s="70">
        <f t="shared" si="3"/>
        <v>0</v>
      </c>
      <c r="AF61" s="70">
        <f t="shared" si="4"/>
        <v>0</v>
      </c>
      <c r="AG61" s="70">
        <f t="shared" si="5"/>
        <v>0</v>
      </c>
      <c r="AH61" s="109">
        <f t="shared" si="6"/>
        <v>0</v>
      </c>
      <c r="AI61" s="120">
        <f t="shared" si="7"/>
        <v>0</v>
      </c>
      <c r="AJ61" s="121">
        <f t="shared" si="8"/>
        <v>0</v>
      </c>
      <c r="AK61" s="121">
        <f t="shared" si="9"/>
        <v>0</v>
      </c>
      <c r="AL61" s="121">
        <f t="shared" si="10"/>
        <v>0</v>
      </c>
      <c r="AM61" s="122">
        <f t="shared" si="11"/>
        <v>0</v>
      </c>
      <c r="AN61" s="41">
        <f t="shared" si="12"/>
        <v>0</v>
      </c>
      <c r="AO61" s="70">
        <f t="shared" si="13"/>
        <v>0</v>
      </c>
      <c r="AP61" s="70">
        <f t="shared" si="14"/>
        <v>0</v>
      </c>
      <c r="AQ61" s="70">
        <f t="shared" si="15"/>
        <v>0</v>
      </c>
      <c r="AR61" s="70">
        <f t="shared" si="16"/>
        <v>0</v>
      </c>
    </row>
    <row r="62" spans="2:44" ht="14.25" thickBot="1" x14ac:dyDescent="0.3">
      <c r="B62" s="17">
        <v>60</v>
      </c>
      <c r="C62" s="10"/>
      <c r="D62" s="10"/>
      <c r="E62" s="72"/>
      <c r="F62" s="18"/>
      <c r="G62" s="10"/>
      <c r="H62" s="10"/>
      <c r="I62" s="10"/>
      <c r="J62" s="11"/>
      <c r="K62" s="11">
        <f t="shared" si="33"/>
        <v>0</v>
      </c>
      <c r="L62" s="37">
        <f t="shared" si="34"/>
        <v>0</v>
      </c>
      <c r="M62" s="11"/>
      <c r="N62" s="10"/>
      <c r="O62" s="21"/>
      <c r="P62" s="21"/>
      <c r="Q62" s="21"/>
      <c r="R62" s="23"/>
      <c r="S62" s="50"/>
      <c r="T62" s="48"/>
      <c r="U62" s="82"/>
      <c r="V62" s="26"/>
      <c r="W62" s="200"/>
      <c r="X62" s="17"/>
      <c r="Z62">
        <v>10</v>
      </c>
      <c r="AA62" s="417"/>
      <c r="AB62" s="97" t="s">
        <v>3</v>
      </c>
      <c r="AC62" s="106"/>
      <c r="AD62" s="99">
        <f>SUM(AD57:AD61)</f>
        <v>0</v>
      </c>
      <c r="AE62" s="99">
        <f t="shared" ref="AE62" si="149">SUM(AE57:AE61)</f>
        <v>0</v>
      </c>
      <c r="AF62" s="99">
        <f t="shared" ref="AF62" si="150">SUM(AF57:AF61)</f>
        <v>0</v>
      </c>
      <c r="AG62" s="99">
        <f t="shared" ref="AG62" si="151">SUM(AG57:AG61)</f>
        <v>0</v>
      </c>
      <c r="AH62" s="110">
        <f t="shared" ref="AH62" si="152">SUM(AH57:AH61)</f>
        <v>0</v>
      </c>
      <c r="AI62" s="123">
        <f t="shared" ref="AI62" si="153">SUM(AI57:AI61)</f>
        <v>0</v>
      </c>
      <c r="AJ62" s="124">
        <f t="shared" ref="AJ62" si="154">SUM(AJ57:AJ61)</f>
        <v>0</v>
      </c>
      <c r="AK62" s="124">
        <f t="shared" ref="AK62" si="155">SUM(AK57:AK61)</f>
        <v>0</v>
      </c>
      <c r="AL62" s="124">
        <f t="shared" ref="AL62" si="156">SUM(AL57:AL61)</f>
        <v>0</v>
      </c>
      <c r="AM62" s="125">
        <f t="shared" ref="AM62" si="157">SUM(AM57:AM61)</f>
        <v>0</v>
      </c>
      <c r="AN62" s="99">
        <f t="shared" ref="AN62" si="158">SUM(AN57:AN61)</f>
        <v>0</v>
      </c>
      <c r="AO62" s="99">
        <f t="shared" ref="AO62" si="159">SUM(AO57:AO61)</f>
        <v>0</v>
      </c>
      <c r="AP62" s="99">
        <f t="shared" ref="AP62" si="160">SUM(AP57:AP61)</f>
        <v>0</v>
      </c>
      <c r="AQ62" s="99">
        <f t="shared" ref="AQ62" si="161">SUM(AQ57:AQ61)</f>
        <v>0</v>
      </c>
      <c r="AR62" s="99">
        <f t="shared" ref="AR62" si="162">SUM(AR57:AR61)</f>
        <v>0</v>
      </c>
    </row>
    <row r="63" spans="2:44" x14ac:dyDescent="0.25">
      <c r="B63" s="17">
        <v>61</v>
      </c>
      <c r="C63" s="10"/>
      <c r="D63" s="10"/>
      <c r="E63" s="72"/>
      <c r="F63" s="18"/>
      <c r="G63" s="10"/>
      <c r="H63" s="10"/>
      <c r="I63" s="10"/>
      <c r="J63" s="11"/>
      <c r="K63" s="11">
        <f t="shared" si="33"/>
        <v>0</v>
      </c>
      <c r="L63" s="37">
        <f t="shared" si="34"/>
        <v>0</v>
      </c>
      <c r="M63" s="11"/>
      <c r="N63" s="10"/>
      <c r="O63" s="21"/>
      <c r="P63" s="21"/>
      <c r="Q63" s="21"/>
      <c r="R63" s="23"/>
      <c r="S63" s="50"/>
      <c r="T63" s="48"/>
      <c r="U63" s="82"/>
      <c r="V63" s="26"/>
      <c r="W63" s="200"/>
      <c r="X63" s="17"/>
      <c r="Z63">
        <v>11</v>
      </c>
      <c r="AA63" s="415">
        <v>11</v>
      </c>
      <c r="AB63" s="94">
        <v>1</v>
      </c>
      <c r="AC63" s="100" t="s">
        <v>129</v>
      </c>
      <c r="AD63" s="41">
        <f t="shared" si="2"/>
        <v>0</v>
      </c>
      <c r="AE63" s="70">
        <f t="shared" si="3"/>
        <v>0</v>
      </c>
      <c r="AF63" s="70">
        <f t="shared" si="4"/>
        <v>0</v>
      </c>
      <c r="AG63" s="70">
        <f t="shared" si="5"/>
        <v>0</v>
      </c>
      <c r="AH63" s="109">
        <f t="shared" si="6"/>
        <v>0</v>
      </c>
      <c r="AI63" s="120">
        <f t="shared" si="7"/>
        <v>0</v>
      </c>
      <c r="AJ63" s="121">
        <f t="shared" si="8"/>
        <v>0</v>
      </c>
      <c r="AK63" s="121">
        <f t="shared" si="9"/>
        <v>0</v>
      </c>
      <c r="AL63" s="121">
        <f t="shared" si="10"/>
        <v>0</v>
      </c>
      <c r="AM63" s="122">
        <f t="shared" si="11"/>
        <v>0</v>
      </c>
      <c r="AN63" s="41">
        <f t="shared" si="12"/>
        <v>0</v>
      </c>
      <c r="AO63" s="70">
        <f t="shared" si="13"/>
        <v>0</v>
      </c>
      <c r="AP63" s="70">
        <f t="shared" si="14"/>
        <v>0</v>
      </c>
      <c r="AQ63" s="70">
        <f t="shared" si="15"/>
        <v>0</v>
      </c>
      <c r="AR63" s="70">
        <f t="shared" si="16"/>
        <v>0</v>
      </c>
    </row>
    <row r="64" spans="2:44" x14ac:dyDescent="0.25">
      <c r="B64" s="17">
        <v>62</v>
      </c>
      <c r="C64" s="10"/>
      <c r="D64" s="10"/>
      <c r="E64" s="72"/>
      <c r="F64" s="18"/>
      <c r="G64" s="10"/>
      <c r="H64" s="10"/>
      <c r="I64" s="10"/>
      <c r="J64" s="11"/>
      <c r="K64" s="11">
        <f t="shared" si="33"/>
        <v>0</v>
      </c>
      <c r="L64" s="37">
        <f t="shared" si="34"/>
        <v>0</v>
      </c>
      <c r="M64" s="11"/>
      <c r="N64" s="10"/>
      <c r="O64" s="21"/>
      <c r="P64" s="21"/>
      <c r="Q64" s="21"/>
      <c r="R64" s="23"/>
      <c r="S64" s="50"/>
      <c r="T64" s="48"/>
      <c r="U64" s="82"/>
      <c r="V64" s="26"/>
      <c r="W64" s="200"/>
      <c r="X64" s="17"/>
      <c r="Z64">
        <v>11</v>
      </c>
      <c r="AA64" s="416"/>
      <c r="AB64" s="95">
        <v>2</v>
      </c>
      <c r="AC64" s="102" t="s">
        <v>65</v>
      </c>
      <c r="AD64" s="41">
        <f t="shared" si="2"/>
        <v>0</v>
      </c>
      <c r="AE64" s="70">
        <f t="shared" si="3"/>
        <v>0</v>
      </c>
      <c r="AF64" s="70">
        <f t="shared" si="4"/>
        <v>0</v>
      </c>
      <c r="AG64" s="70">
        <f t="shared" si="5"/>
        <v>0</v>
      </c>
      <c r="AH64" s="109">
        <f t="shared" si="6"/>
        <v>0</v>
      </c>
      <c r="AI64" s="120">
        <f t="shared" si="7"/>
        <v>0</v>
      </c>
      <c r="AJ64" s="121">
        <f t="shared" si="8"/>
        <v>0</v>
      </c>
      <c r="AK64" s="121">
        <f t="shared" si="9"/>
        <v>0</v>
      </c>
      <c r="AL64" s="121">
        <f t="shared" si="10"/>
        <v>0</v>
      </c>
      <c r="AM64" s="122">
        <f t="shared" si="11"/>
        <v>0</v>
      </c>
      <c r="AN64" s="41">
        <f t="shared" si="12"/>
        <v>0</v>
      </c>
      <c r="AO64" s="70">
        <f t="shared" si="13"/>
        <v>0</v>
      </c>
      <c r="AP64" s="70">
        <f t="shared" si="14"/>
        <v>0</v>
      </c>
      <c r="AQ64" s="70">
        <f t="shared" si="15"/>
        <v>0</v>
      </c>
      <c r="AR64" s="70">
        <f t="shared" si="16"/>
        <v>0</v>
      </c>
    </row>
    <row r="65" spans="2:44" x14ac:dyDescent="0.25">
      <c r="B65" s="17">
        <v>63</v>
      </c>
      <c r="C65" s="10"/>
      <c r="D65" s="10"/>
      <c r="E65" s="72"/>
      <c r="F65" s="18"/>
      <c r="G65" s="10"/>
      <c r="H65" s="10"/>
      <c r="I65" s="10"/>
      <c r="J65" s="11"/>
      <c r="K65" s="11">
        <f t="shared" si="33"/>
        <v>0</v>
      </c>
      <c r="L65" s="37">
        <f t="shared" si="34"/>
        <v>0</v>
      </c>
      <c r="M65" s="11"/>
      <c r="N65" s="10"/>
      <c r="O65" s="21"/>
      <c r="P65" s="21"/>
      <c r="Q65" s="21"/>
      <c r="R65" s="23"/>
      <c r="S65" s="50"/>
      <c r="T65" s="48"/>
      <c r="U65" s="82"/>
      <c r="V65" s="26"/>
      <c r="W65" s="200"/>
      <c r="X65" s="17"/>
      <c r="Z65">
        <v>11</v>
      </c>
      <c r="AA65" s="416"/>
      <c r="AB65" s="95">
        <v>3</v>
      </c>
      <c r="AC65" s="102" t="s">
        <v>66</v>
      </c>
      <c r="AD65" s="41">
        <f t="shared" si="2"/>
        <v>0</v>
      </c>
      <c r="AE65" s="70">
        <f t="shared" si="3"/>
        <v>0</v>
      </c>
      <c r="AF65" s="70">
        <f t="shared" si="4"/>
        <v>0</v>
      </c>
      <c r="AG65" s="70">
        <f t="shared" si="5"/>
        <v>0</v>
      </c>
      <c r="AH65" s="109">
        <f t="shared" si="6"/>
        <v>0</v>
      </c>
      <c r="AI65" s="120">
        <f t="shared" si="7"/>
        <v>0</v>
      </c>
      <c r="AJ65" s="121">
        <f t="shared" si="8"/>
        <v>0</v>
      </c>
      <c r="AK65" s="121">
        <f t="shared" si="9"/>
        <v>0</v>
      </c>
      <c r="AL65" s="121">
        <f t="shared" si="10"/>
        <v>0</v>
      </c>
      <c r="AM65" s="122">
        <f t="shared" si="11"/>
        <v>0</v>
      </c>
      <c r="AN65" s="41">
        <f t="shared" si="12"/>
        <v>0</v>
      </c>
      <c r="AO65" s="70">
        <f t="shared" si="13"/>
        <v>0</v>
      </c>
      <c r="AP65" s="70">
        <f t="shared" si="14"/>
        <v>0</v>
      </c>
      <c r="AQ65" s="70">
        <f t="shared" si="15"/>
        <v>0</v>
      </c>
      <c r="AR65" s="70">
        <f t="shared" si="16"/>
        <v>0</v>
      </c>
    </row>
    <row r="66" spans="2:44" x14ac:dyDescent="0.25">
      <c r="B66" s="17">
        <v>64</v>
      </c>
      <c r="C66" s="10"/>
      <c r="D66" s="10"/>
      <c r="E66" s="72"/>
      <c r="F66" s="18"/>
      <c r="G66" s="10"/>
      <c r="H66" s="10"/>
      <c r="I66" s="10"/>
      <c r="J66" s="11"/>
      <c r="K66" s="11">
        <f t="shared" si="33"/>
        <v>0</v>
      </c>
      <c r="L66" s="37">
        <f t="shared" si="34"/>
        <v>0</v>
      </c>
      <c r="M66" s="11"/>
      <c r="N66" s="10"/>
      <c r="O66" s="21"/>
      <c r="P66" s="21"/>
      <c r="Q66" s="21"/>
      <c r="R66" s="23"/>
      <c r="S66" s="50"/>
      <c r="T66" s="48"/>
      <c r="U66" s="82"/>
      <c r="V66" s="32"/>
      <c r="W66" s="200"/>
      <c r="X66" s="17"/>
      <c r="Z66">
        <v>11</v>
      </c>
      <c r="AA66" s="416"/>
      <c r="AB66" s="95">
        <v>4</v>
      </c>
      <c r="AC66" s="102" t="s">
        <v>67</v>
      </c>
      <c r="AD66" s="41">
        <f t="shared" si="2"/>
        <v>0</v>
      </c>
      <c r="AE66" s="70">
        <f t="shared" si="3"/>
        <v>0</v>
      </c>
      <c r="AF66" s="70">
        <f t="shared" si="4"/>
        <v>0</v>
      </c>
      <c r="AG66" s="70">
        <f t="shared" si="5"/>
        <v>0</v>
      </c>
      <c r="AH66" s="109">
        <f t="shared" si="6"/>
        <v>0</v>
      </c>
      <c r="AI66" s="120">
        <f t="shared" si="7"/>
        <v>0</v>
      </c>
      <c r="AJ66" s="121">
        <f t="shared" si="8"/>
        <v>0</v>
      </c>
      <c r="AK66" s="121">
        <f t="shared" si="9"/>
        <v>0</v>
      </c>
      <c r="AL66" s="121">
        <f t="shared" si="10"/>
        <v>0</v>
      </c>
      <c r="AM66" s="122">
        <f t="shared" si="11"/>
        <v>0</v>
      </c>
      <c r="AN66" s="41">
        <f t="shared" si="12"/>
        <v>0</v>
      </c>
      <c r="AO66" s="70">
        <f t="shared" si="13"/>
        <v>0</v>
      </c>
      <c r="AP66" s="70">
        <f t="shared" si="14"/>
        <v>0</v>
      </c>
      <c r="AQ66" s="70">
        <f t="shared" si="15"/>
        <v>0</v>
      </c>
      <c r="AR66" s="70">
        <f t="shared" si="16"/>
        <v>0</v>
      </c>
    </row>
    <row r="67" spans="2:44" x14ac:dyDescent="0.25">
      <c r="B67" s="17">
        <v>65</v>
      </c>
      <c r="C67" s="10"/>
      <c r="D67" s="10"/>
      <c r="E67" s="72"/>
      <c r="F67" s="18"/>
      <c r="G67" s="10"/>
      <c r="H67" s="10"/>
      <c r="I67" s="10"/>
      <c r="J67" s="11"/>
      <c r="K67" s="11">
        <f t="shared" si="33"/>
        <v>0</v>
      </c>
      <c r="L67" s="37">
        <f t="shared" si="34"/>
        <v>0</v>
      </c>
      <c r="M67" s="11"/>
      <c r="N67" s="10"/>
      <c r="O67" s="21"/>
      <c r="P67" s="21"/>
      <c r="Q67" s="21"/>
      <c r="R67" s="23"/>
      <c r="S67" s="50"/>
      <c r="T67" s="48"/>
      <c r="U67" s="82"/>
      <c r="V67" s="32"/>
      <c r="W67" s="200"/>
      <c r="X67" s="17"/>
      <c r="Z67">
        <v>11</v>
      </c>
      <c r="AA67" s="416"/>
      <c r="AB67" s="96">
        <v>5</v>
      </c>
      <c r="AC67" s="105"/>
      <c r="AD67" s="41">
        <f t="shared" si="2"/>
        <v>0</v>
      </c>
      <c r="AE67" s="70">
        <f t="shared" si="3"/>
        <v>0</v>
      </c>
      <c r="AF67" s="70">
        <f t="shared" si="4"/>
        <v>0</v>
      </c>
      <c r="AG67" s="70">
        <f t="shared" si="5"/>
        <v>0</v>
      </c>
      <c r="AH67" s="109">
        <f t="shared" si="6"/>
        <v>0</v>
      </c>
      <c r="AI67" s="120">
        <f t="shared" si="7"/>
        <v>0</v>
      </c>
      <c r="AJ67" s="121">
        <f t="shared" si="8"/>
        <v>0</v>
      </c>
      <c r="AK67" s="121">
        <f t="shared" si="9"/>
        <v>0</v>
      </c>
      <c r="AL67" s="121">
        <f t="shared" si="10"/>
        <v>0</v>
      </c>
      <c r="AM67" s="122">
        <f t="shared" si="11"/>
        <v>0</v>
      </c>
      <c r="AN67" s="41">
        <f t="shared" si="12"/>
        <v>0</v>
      </c>
      <c r="AO67" s="70">
        <f t="shared" si="13"/>
        <v>0</v>
      </c>
      <c r="AP67" s="70">
        <f t="shared" si="14"/>
        <v>0</v>
      </c>
      <c r="AQ67" s="70">
        <f t="shared" si="15"/>
        <v>0</v>
      </c>
      <c r="AR67" s="70">
        <f t="shared" si="16"/>
        <v>0</v>
      </c>
    </row>
    <row r="68" spans="2:44" ht="14.25" thickBot="1" x14ac:dyDescent="0.3">
      <c r="B68" s="17">
        <v>66</v>
      </c>
      <c r="C68" s="10"/>
      <c r="D68" s="10"/>
      <c r="E68" s="72"/>
      <c r="F68" s="18"/>
      <c r="G68" s="10"/>
      <c r="H68" s="10"/>
      <c r="I68" s="10"/>
      <c r="J68" s="11"/>
      <c r="K68" s="11">
        <f t="shared" ref="K68:K131" si="163">J68*1.1</f>
        <v>0</v>
      </c>
      <c r="L68" s="37">
        <f t="shared" ref="L68:L131" si="164">J68*0.00000001</f>
        <v>0</v>
      </c>
      <c r="M68" s="11"/>
      <c r="N68" s="10"/>
      <c r="O68" s="21"/>
      <c r="P68" s="21"/>
      <c r="Q68" s="21"/>
      <c r="R68" s="23"/>
      <c r="S68" s="50"/>
      <c r="T68" s="48"/>
      <c r="U68" s="82"/>
      <c r="V68" s="32"/>
      <c r="W68" s="200"/>
      <c r="X68" s="17"/>
      <c r="Z68">
        <v>11</v>
      </c>
      <c r="AA68" s="417"/>
      <c r="AB68" s="97" t="s">
        <v>3</v>
      </c>
      <c r="AC68" s="106"/>
      <c r="AD68" s="99">
        <f>SUM(AD63:AD67)</f>
        <v>0</v>
      </c>
      <c r="AE68" s="99">
        <f t="shared" ref="AE68" si="165">SUM(AE63:AE67)</f>
        <v>0</v>
      </c>
      <c r="AF68" s="99">
        <f t="shared" ref="AF68" si="166">SUM(AF63:AF67)</f>
        <v>0</v>
      </c>
      <c r="AG68" s="99">
        <f t="shared" ref="AG68" si="167">SUM(AG63:AG67)</f>
        <v>0</v>
      </c>
      <c r="AH68" s="110">
        <f t="shared" ref="AH68" si="168">SUM(AH63:AH67)</f>
        <v>0</v>
      </c>
      <c r="AI68" s="123">
        <f t="shared" ref="AI68" si="169">SUM(AI63:AI67)</f>
        <v>0</v>
      </c>
      <c r="AJ68" s="124">
        <f t="shared" ref="AJ68" si="170">SUM(AJ63:AJ67)</f>
        <v>0</v>
      </c>
      <c r="AK68" s="124">
        <f t="shared" ref="AK68" si="171">SUM(AK63:AK67)</f>
        <v>0</v>
      </c>
      <c r="AL68" s="124">
        <f t="shared" ref="AL68" si="172">SUM(AL63:AL67)</f>
        <v>0</v>
      </c>
      <c r="AM68" s="125">
        <f t="shared" ref="AM68" si="173">SUM(AM63:AM67)</f>
        <v>0</v>
      </c>
      <c r="AN68" s="99">
        <f t="shared" ref="AN68" si="174">SUM(AN63:AN67)</f>
        <v>0</v>
      </c>
      <c r="AO68" s="99">
        <f t="shared" ref="AO68" si="175">SUM(AO63:AO67)</f>
        <v>0</v>
      </c>
      <c r="AP68" s="99">
        <f t="shared" ref="AP68" si="176">SUM(AP63:AP67)</f>
        <v>0</v>
      </c>
      <c r="AQ68" s="99">
        <f t="shared" ref="AQ68" si="177">SUM(AQ63:AQ67)</f>
        <v>0</v>
      </c>
      <c r="AR68" s="99">
        <f t="shared" ref="AR68" si="178">SUM(AR63:AR67)</f>
        <v>0</v>
      </c>
    </row>
    <row r="69" spans="2:44" x14ac:dyDescent="0.25">
      <c r="B69" s="17">
        <v>67</v>
      </c>
      <c r="C69" s="10"/>
      <c r="D69" s="10"/>
      <c r="E69" s="72"/>
      <c r="F69" s="18"/>
      <c r="G69" s="10"/>
      <c r="H69" s="10"/>
      <c r="I69" s="10"/>
      <c r="J69" s="11"/>
      <c r="K69" s="11">
        <f t="shared" si="163"/>
        <v>0</v>
      </c>
      <c r="L69" s="37">
        <f t="shared" si="164"/>
        <v>0</v>
      </c>
      <c r="M69" s="11"/>
      <c r="N69" s="10"/>
      <c r="O69" s="21"/>
      <c r="P69" s="21"/>
      <c r="Q69" s="21"/>
      <c r="R69" s="23"/>
      <c r="S69" s="50"/>
      <c r="T69" s="48"/>
      <c r="U69" s="82"/>
      <c r="V69" s="32"/>
      <c r="W69" s="200"/>
      <c r="X69" s="17"/>
      <c r="Z69">
        <v>12</v>
      </c>
      <c r="AA69" s="422">
        <v>12</v>
      </c>
      <c r="AB69" s="98">
        <v>1</v>
      </c>
      <c r="AC69" s="107" t="s">
        <v>130</v>
      </c>
      <c r="AD69" s="41">
        <f t="shared" ref="AD69:AD73" si="179">SUM(AE69:AH69)</f>
        <v>0</v>
      </c>
      <c r="AE69" s="70">
        <f t="shared" ref="AE69:AE73" si="180">SUMIFS($I:$I,$C:$C, $AE$2,$G:$G,$Z69,$H:$H,$AB69)</f>
        <v>0</v>
      </c>
      <c r="AF69" s="70">
        <f t="shared" ref="AF69:AF73" si="181">SUMIFS($I:$I,$C:$C, $AF$2,$G:$G,$Z69,$H:$H,$AB69)</f>
        <v>0</v>
      </c>
      <c r="AG69" s="70">
        <f t="shared" ref="AG69:AG73" si="182">SUMIFS($I:$I,$C:$C, $AG$2,$G:$G,$Z69,$H:$H,$AB69)</f>
        <v>0</v>
      </c>
      <c r="AH69" s="109">
        <f t="shared" ref="AH69:AH73" si="183">SUMIFS($I:$I,$C:$C, $AH$2,$G:$G,$Z69,$H:$H,$AB69)</f>
        <v>0</v>
      </c>
      <c r="AI69" s="120">
        <f t="shared" ref="AI69:AI73" si="184">SUM(AJ69:AM69)</f>
        <v>0</v>
      </c>
      <c r="AJ69" s="121">
        <f t="shared" ref="AJ69:AJ73" si="185">COUNTIFS($C:$C, $AJ$2,$G:$G,$Z69,$H:$H,$AB69)</f>
        <v>0</v>
      </c>
      <c r="AK69" s="121">
        <f t="shared" ref="AK69:AK73" si="186">COUNTIFS($C:$C, $AK$2,$G:$G,$Z69,$H:$H,$AB69)</f>
        <v>0</v>
      </c>
      <c r="AL69" s="121">
        <f t="shared" ref="AL69:AL73" si="187">COUNTIFS($C:$C, $AL$2,$G:$G,$Z69,$H:$H,$AB69)</f>
        <v>0</v>
      </c>
      <c r="AM69" s="122">
        <f t="shared" ref="AM69:AM73" si="188">COUNTIFS($C:$C, $AM$2,$G:$G,$Z69,$H:$H,$AB69)</f>
        <v>0</v>
      </c>
      <c r="AN69" s="41">
        <f t="shared" ref="AN69:AN73" si="189">SUM(AO69:AR69)</f>
        <v>0</v>
      </c>
      <c r="AO69" s="70">
        <f t="shared" ref="AO69:AO73" si="190">SUMIFS($L:$L,$C:$C, $AO$2,$G:$G,$Z69,$H:$H,$AB69)</f>
        <v>0</v>
      </c>
      <c r="AP69" s="70">
        <f t="shared" ref="AP69:AP73" si="191">SUMIFS($L:$L,$C:$C, $AP$2,$G:$G,$Z69,$H:$H,$AB69)</f>
        <v>0</v>
      </c>
      <c r="AQ69" s="70">
        <f t="shared" ref="AQ69:AQ73" si="192">SUMIFS($L:$L,$C:$C, $AQ$2,$G:$G,$Z69,$H:$H,$AB69)</f>
        <v>0</v>
      </c>
      <c r="AR69" s="70">
        <f t="shared" ref="AR69:AR73" si="193">SUMIFS($L:$L,$C:$C, $AR$2,$G:$G,$Z69,$H:$H,$AB69)</f>
        <v>0</v>
      </c>
    </row>
    <row r="70" spans="2:44" x14ac:dyDescent="0.25">
      <c r="B70" s="17">
        <v>68</v>
      </c>
      <c r="C70" s="10"/>
      <c r="D70" s="10"/>
      <c r="E70" s="72"/>
      <c r="F70" s="18"/>
      <c r="G70" s="10"/>
      <c r="H70" s="10"/>
      <c r="I70" s="10"/>
      <c r="J70" s="11"/>
      <c r="K70" s="11">
        <f t="shared" si="163"/>
        <v>0</v>
      </c>
      <c r="L70" s="37">
        <f t="shared" si="164"/>
        <v>0</v>
      </c>
      <c r="M70" s="11"/>
      <c r="N70" s="10"/>
      <c r="O70" s="21"/>
      <c r="P70" s="21"/>
      <c r="Q70" s="21"/>
      <c r="R70" s="23"/>
      <c r="S70" s="50"/>
      <c r="T70" s="48"/>
      <c r="U70" s="82"/>
      <c r="V70" s="26"/>
      <c r="W70" s="200"/>
      <c r="X70" s="17"/>
      <c r="Z70">
        <v>12</v>
      </c>
      <c r="AA70" s="416"/>
      <c r="AB70" s="95">
        <v>2</v>
      </c>
      <c r="AC70" s="102" t="s">
        <v>125</v>
      </c>
      <c r="AD70" s="41">
        <f t="shared" si="179"/>
        <v>0</v>
      </c>
      <c r="AE70" s="70">
        <f t="shared" si="180"/>
        <v>0</v>
      </c>
      <c r="AF70" s="70">
        <f t="shared" si="181"/>
        <v>0</v>
      </c>
      <c r="AG70" s="70">
        <f t="shared" si="182"/>
        <v>0</v>
      </c>
      <c r="AH70" s="109">
        <f t="shared" si="183"/>
        <v>0</v>
      </c>
      <c r="AI70" s="120">
        <f t="shared" si="184"/>
        <v>0</v>
      </c>
      <c r="AJ70" s="121">
        <f t="shared" si="185"/>
        <v>0</v>
      </c>
      <c r="AK70" s="121">
        <f t="shared" si="186"/>
        <v>0</v>
      </c>
      <c r="AL70" s="121">
        <f t="shared" si="187"/>
        <v>0</v>
      </c>
      <c r="AM70" s="122">
        <f t="shared" si="188"/>
        <v>0</v>
      </c>
      <c r="AN70" s="41">
        <f t="shared" si="189"/>
        <v>0</v>
      </c>
      <c r="AO70" s="70">
        <f t="shared" si="190"/>
        <v>0</v>
      </c>
      <c r="AP70" s="70">
        <f t="shared" si="191"/>
        <v>0</v>
      </c>
      <c r="AQ70" s="70">
        <f t="shared" si="192"/>
        <v>0</v>
      </c>
      <c r="AR70" s="70">
        <f t="shared" si="193"/>
        <v>0</v>
      </c>
    </row>
    <row r="71" spans="2:44" x14ac:dyDescent="0.25">
      <c r="B71" s="17">
        <v>69</v>
      </c>
      <c r="C71" s="10"/>
      <c r="D71" s="10"/>
      <c r="E71" s="72"/>
      <c r="F71" s="18"/>
      <c r="G71" s="10"/>
      <c r="H71" s="10"/>
      <c r="I71" s="10"/>
      <c r="J71" s="11"/>
      <c r="K71" s="11">
        <f t="shared" si="163"/>
        <v>0</v>
      </c>
      <c r="L71" s="37">
        <f t="shared" si="164"/>
        <v>0</v>
      </c>
      <c r="M71" s="11"/>
      <c r="N71" s="10"/>
      <c r="O71" s="21"/>
      <c r="P71" s="21"/>
      <c r="Q71" s="21"/>
      <c r="R71" s="23"/>
      <c r="S71" s="50"/>
      <c r="T71" s="48"/>
      <c r="U71" s="82"/>
      <c r="V71" s="26"/>
      <c r="W71" s="200"/>
      <c r="X71" s="17"/>
      <c r="Z71">
        <v>12</v>
      </c>
      <c r="AA71" s="416"/>
      <c r="AB71" s="95">
        <v>3</v>
      </c>
      <c r="AC71" s="102" t="s">
        <v>126</v>
      </c>
      <c r="AD71" s="41">
        <f t="shared" si="179"/>
        <v>0</v>
      </c>
      <c r="AE71" s="70">
        <f t="shared" si="180"/>
        <v>0</v>
      </c>
      <c r="AF71" s="70">
        <f t="shared" si="181"/>
        <v>0</v>
      </c>
      <c r="AG71" s="70">
        <f t="shared" si="182"/>
        <v>0</v>
      </c>
      <c r="AH71" s="109">
        <f t="shared" si="183"/>
        <v>0</v>
      </c>
      <c r="AI71" s="120">
        <f t="shared" si="184"/>
        <v>0</v>
      </c>
      <c r="AJ71" s="121">
        <f t="shared" si="185"/>
        <v>0</v>
      </c>
      <c r="AK71" s="121">
        <f t="shared" si="186"/>
        <v>0</v>
      </c>
      <c r="AL71" s="121">
        <f t="shared" si="187"/>
        <v>0</v>
      </c>
      <c r="AM71" s="122">
        <f t="shared" si="188"/>
        <v>0</v>
      </c>
      <c r="AN71" s="41">
        <f t="shared" si="189"/>
        <v>0</v>
      </c>
      <c r="AO71" s="70">
        <f t="shared" si="190"/>
        <v>0</v>
      </c>
      <c r="AP71" s="70">
        <f t="shared" si="191"/>
        <v>0</v>
      </c>
      <c r="AQ71" s="70">
        <f t="shared" si="192"/>
        <v>0</v>
      </c>
      <c r="AR71" s="70">
        <f t="shared" si="193"/>
        <v>0</v>
      </c>
    </row>
    <row r="72" spans="2:44" x14ac:dyDescent="0.25">
      <c r="B72" s="17">
        <v>70</v>
      </c>
      <c r="C72" s="10"/>
      <c r="D72" s="10"/>
      <c r="E72" s="72"/>
      <c r="F72" s="18"/>
      <c r="G72" s="10"/>
      <c r="H72" s="10"/>
      <c r="I72" s="10"/>
      <c r="J72" s="11"/>
      <c r="K72" s="11">
        <f t="shared" si="163"/>
        <v>0</v>
      </c>
      <c r="L72" s="37">
        <f t="shared" si="164"/>
        <v>0</v>
      </c>
      <c r="M72" s="11"/>
      <c r="N72" s="10"/>
      <c r="O72" s="21"/>
      <c r="P72" s="21"/>
      <c r="Q72" s="21"/>
      <c r="R72" s="23"/>
      <c r="S72" s="50"/>
      <c r="T72" s="48"/>
      <c r="U72" s="82"/>
      <c r="V72" s="26"/>
      <c r="W72" s="200"/>
      <c r="X72" s="17"/>
      <c r="Z72">
        <v>12</v>
      </c>
      <c r="AA72" s="416"/>
      <c r="AB72" s="95">
        <v>4</v>
      </c>
      <c r="AC72" s="102" t="s">
        <v>127</v>
      </c>
      <c r="AD72" s="41">
        <f t="shared" si="179"/>
        <v>0</v>
      </c>
      <c r="AE72" s="70">
        <f t="shared" si="180"/>
        <v>0</v>
      </c>
      <c r="AF72" s="70">
        <f t="shared" si="181"/>
        <v>0</v>
      </c>
      <c r="AG72" s="70">
        <f t="shared" si="182"/>
        <v>0</v>
      </c>
      <c r="AH72" s="109">
        <f t="shared" si="183"/>
        <v>0</v>
      </c>
      <c r="AI72" s="120">
        <f t="shared" si="184"/>
        <v>0</v>
      </c>
      <c r="AJ72" s="121">
        <f t="shared" si="185"/>
        <v>0</v>
      </c>
      <c r="AK72" s="121">
        <f t="shared" si="186"/>
        <v>0</v>
      </c>
      <c r="AL72" s="121">
        <f t="shared" si="187"/>
        <v>0</v>
      </c>
      <c r="AM72" s="122">
        <f t="shared" si="188"/>
        <v>0</v>
      </c>
      <c r="AN72" s="41">
        <f t="shared" si="189"/>
        <v>0</v>
      </c>
      <c r="AO72" s="70">
        <f t="shared" si="190"/>
        <v>0</v>
      </c>
      <c r="AP72" s="70">
        <f t="shared" si="191"/>
        <v>0</v>
      </c>
      <c r="AQ72" s="70">
        <f t="shared" si="192"/>
        <v>0</v>
      </c>
      <c r="AR72" s="70">
        <f t="shared" si="193"/>
        <v>0</v>
      </c>
    </row>
    <row r="73" spans="2:44" x14ac:dyDescent="0.25">
      <c r="B73" s="17">
        <v>71</v>
      </c>
      <c r="C73" s="10"/>
      <c r="D73" s="10"/>
      <c r="E73" s="72"/>
      <c r="F73" s="18"/>
      <c r="G73" s="10"/>
      <c r="H73" s="10"/>
      <c r="I73" s="10"/>
      <c r="J73" s="11"/>
      <c r="K73" s="11">
        <f t="shared" si="163"/>
        <v>0</v>
      </c>
      <c r="L73" s="37">
        <f t="shared" si="164"/>
        <v>0</v>
      </c>
      <c r="M73" s="11"/>
      <c r="N73" s="10"/>
      <c r="O73" s="21"/>
      <c r="P73" s="21"/>
      <c r="Q73" s="21"/>
      <c r="R73" s="23"/>
      <c r="S73" s="50"/>
      <c r="T73" s="48"/>
      <c r="U73" s="82"/>
      <c r="V73" s="26"/>
      <c r="W73" s="200"/>
      <c r="X73" s="17"/>
      <c r="Z73">
        <v>12</v>
      </c>
      <c r="AA73" s="416"/>
      <c r="AB73" s="96">
        <v>5</v>
      </c>
      <c r="AC73" s="105" t="s">
        <v>131</v>
      </c>
      <c r="AD73" s="41">
        <f t="shared" si="179"/>
        <v>0</v>
      </c>
      <c r="AE73" s="70">
        <f t="shared" si="180"/>
        <v>0</v>
      </c>
      <c r="AF73" s="70">
        <f t="shared" si="181"/>
        <v>0</v>
      </c>
      <c r="AG73" s="70">
        <f t="shared" si="182"/>
        <v>0</v>
      </c>
      <c r="AH73" s="109">
        <f t="shared" si="183"/>
        <v>0</v>
      </c>
      <c r="AI73" s="120">
        <f t="shared" si="184"/>
        <v>0</v>
      </c>
      <c r="AJ73" s="121">
        <f t="shared" si="185"/>
        <v>0</v>
      </c>
      <c r="AK73" s="121">
        <f t="shared" si="186"/>
        <v>0</v>
      </c>
      <c r="AL73" s="121">
        <f t="shared" si="187"/>
        <v>0</v>
      </c>
      <c r="AM73" s="122">
        <f t="shared" si="188"/>
        <v>0</v>
      </c>
      <c r="AN73" s="41">
        <f t="shared" si="189"/>
        <v>0</v>
      </c>
      <c r="AO73" s="70">
        <f t="shared" si="190"/>
        <v>0</v>
      </c>
      <c r="AP73" s="70">
        <f t="shared" si="191"/>
        <v>0</v>
      </c>
      <c r="AQ73" s="70">
        <f t="shared" si="192"/>
        <v>0</v>
      </c>
      <c r="AR73" s="70">
        <f t="shared" si="193"/>
        <v>0</v>
      </c>
    </row>
    <row r="74" spans="2:44" ht="14.25" thickBot="1" x14ac:dyDescent="0.3">
      <c r="B74" s="17">
        <v>72</v>
      </c>
      <c r="C74" s="10"/>
      <c r="D74" s="10"/>
      <c r="E74" s="72"/>
      <c r="F74" s="18"/>
      <c r="G74" s="10"/>
      <c r="H74" s="10"/>
      <c r="I74" s="10"/>
      <c r="J74" s="11"/>
      <c r="K74" s="11">
        <f t="shared" si="163"/>
        <v>0</v>
      </c>
      <c r="L74" s="37">
        <f t="shared" si="164"/>
        <v>0</v>
      </c>
      <c r="M74" s="11"/>
      <c r="N74" s="10"/>
      <c r="O74" s="21"/>
      <c r="P74" s="21"/>
      <c r="Q74" s="21"/>
      <c r="R74" s="23"/>
      <c r="S74" s="50"/>
      <c r="T74" s="48"/>
      <c r="U74" s="82"/>
      <c r="V74" s="26"/>
      <c r="W74" s="200"/>
      <c r="X74" s="17"/>
      <c r="Z74">
        <v>12</v>
      </c>
      <c r="AA74" s="417"/>
      <c r="AB74" s="97" t="s">
        <v>3</v>
      </c>
      <c r="AC74" s="106"/>
      <c r="AD74" s="99">
        <f>SUM(AD69:AD73)</f>
        <v>0</v>
      </c>
      <c r="AE74" s="99">
        <f t="shared" ref="AE74:AR74" si="194">SUM(AE69:AE73)</f>
        <v>0</v>
      </c>
      <c r="AF74" s="99">
        <f t="shared" si="194"/>
        <v>0</v>
      </c>
      <c r="AG74" s="99">
        <f t="shared" si="194"/>
        <v>0</v>
      </c>
      <c r="AH74" s="110">
        <f t="shared" si="194"/>
        <v>0</v>
      </c>
      <c r="AI74" s="123">
        <f t="shared" si="194"/>
        <v>0</v>
      </c>
      <c r="AJ74" s="124">
        <f t="shared" si="194"/>
        <v>0</v>
      </c>
      <c r="AK74" s="124">
        <f t="shared" si="194"/>
        <v>0</v>
      </c>
      <c r="AL74" s="124">
        <f t="shared" si="194"/>
        <v>0</v>
      </c>
      <c r="AM74" s="125">
        <f t="shared" si="194"/>
        <v>0</v>
      </c>
      <c r="AN74" s="99">
        <f t="shared" si="194"/>
        <v>0</v>
      </c>
      <c r="AO74" s="99">
        <f t="shared" si="194"/>
        <v>0</v>
      </c>
      <c r="AP74" s="99">
        <f t="shared" si="194"/>
        <v>0</v>
      </c>
      <c r="AQ74" s="99">
        <f t="shared" si="194"/>
        <v>0</v>
      </c>
      <c r="AR74" s="99">
        <f t="shared" si="194"/>
        <v>0</v>
      </c>
    </row>
    <row r="75" spans="2:44" ht="17.25" thickBot="1" x14ac:dyDescent="0.3">
      <c r="B75" s="17">
        <v>73</v>
      </c>
      <c r="C75" s="10"/>
      <c r="D75" s="10"/>
      <c r="E75" s="72"/>
      <c r="F75" s="18"/>
      <c r="G75" s="10"/>
      <c r="H75" s="10"/>
      <c r="I75" s="10"/>
      <c r="J75" s="11"/>
      <c r="K75" s="11">
        <f t="shared" si="163"/>
        <v>0</v>
      </c>
      <c r="L75" s="37">
        <f t="shared" si="164"/>
        <v>0</v>
      </c>
      <c r="M75" s="11"/>
      <c r="N75" s="10"/>
      <c r="O75" s="21"/>
      <c r="P75" s="21"/>
      <c r="Q75" s="21"/>
      <c r="R75" s="23"/>
      <c r="S75" s="50"/>
      <c r="T75" s="48"/>
      <c r="U75" s="82"/>
      <c r="V75" s="32"/>
      <c r="W75" s="200"/>
      <c r="X75" s="17"/>
      <c r="AA75" s="418" t="s">
        <v>36</v>
      </c>
      <c r="AB75" s="419"/>
      <c r="AC75" s="108"/>
      <c r="AD75" s="90">
        <f>SUM(AD8,AD14,AD20,AD26,AD32,AD38,AD44,AD50,AD56,AD62,AD68,AD74)</f>
        <v>0</v>
      </c>
      <c r="AE75" s="90"/>
      <c r="AF75" s="90"/>
      <c r="AG75" s="91"/>
      <c r="AH75" s="91"/>
      <c r="AI75" s="126"/>
      <c r="AJ75" s="127"/>
      <c r="AK75" s="127"/>
      <c r="AL75" s="127"/>
      <c r="AM75" s="128"/>
      <c r="AN75" s="92"/>
      <c r="AO75" s="92"/>
      <c r="AP75" s="92"/>
      <c r="AQ75" s="92"/>
      <c r="AR75" s="93"/>
    </row>
    <row r="76" spans="2:44" x14ac:dyDescent="0.25">
      <c r="B76" s="17">
        <v>74</v>
      </c>
      <c r="C76" s="10"/>
      <c r="D76" s="10"/>
      <c r="E76" s="72"/>
      <c r="F76" s="18"/>
      <c r="G76" s="10"/>
      <c r="H76" s="10"/>
      <c r="I76" s="10"/>
      <c r="J76" s="11"/>
      <c r="K76" s="11">
        <f t="shared" si="163"/>
        <v>0</v>
      </c>
      <c r="L76" s="37">
        <f t="shared" si="164"/>
        <v>0</v>
      </c>
      <c r="M76" s="11"/>
      <c r="N76" s="10"/>
      <c r="O76" s="21"/>
      <c r="P76" s="21"/>
      <c r="Q76" s="21"/>
      <c r="R76" s="23"/>
      <c r="S76" s="50"/>
      <c r="T76" s="48"/>
      <c r="U76" s="82"/>
      <c r="V76" s="32"/>
      <c r="W76" s="200"/>
      <c r="X76" s="17"/>
    </row>
    <row r="77" spans="2:44" x14ac:dyDescent="0.25">
      <c r="B77" s="17">
        <v>75</v>
      </c>
      <c r="C77" s="10"/>
      <c r="D77" s="10"/>
      <c r="E77" s="72"/>
      <c r="F77" s="18"/>
      <c r="G77" s="10"/>
      <c r="H77" s="10"/>
      <c r="I77" s="10"/>
      <c r="J77" s="11"/>
      <c r="K77" s="11">
        <f t="shared" si="163"/>
        <v>0</v>
      </c>
      <c r="L77" s="37">
        <f t="shared" si="164"/>
        <v>0</v>
      </c>
      <c r="M77" s="11"/>
      <c r="N77" s="10"/>
      <c r="O77" s="21"/>
      <c r="P77" s="21"/>
      <c r="Q77" s="21"/>
      <c r="R77" s="23"/>
      <c r="S77" s="50"/>
      <c r="T77" s="48"/>
      <c r="U77" s="82"/>
      <c r="V77" s="26"/>
      <c r="W77" s="200"/>
      <c r="X77" s="17"/>
    </row>
    <row r="78" spans="2:44" x14ac:dyDescent="0.25">
      <c r="B78" s="17">
        <v>76</v>
      </c>
      <c r="C78" s="10"/>
      <c r="D78" s="10"/>
      <c r="E78" s="72"/>
      <c r="F78" s="18"/>
      <c r="G78" s="10"/>
      <c r="H78" s="10"/>
      <c r="I78" s="10"/>
      <c r="J78" s="11"/>
      <c r="K78" s="11">
        <f t="shared" si="163"/>
        <v>0</v>
      </c>
      <c r="L78" s="37">
        <f t="shared" si="164"/>
        <v>0</v>
      </c>
      <c r="M78" s="11"/>
      <c r="N78" s="10"/>
      <c r="O78" s="21"/>
      <c r="P78" s="21"/>
      <c r="Q78" s="21"/>
      <c r="R78" s="23"/>
      <c r="S78" s="50"/>
      <c r="T78" s="48"/>
      <c r="U78" s="82"/>
      <c r="V78" s="26"/>
      <c r="W78" s="200"/>
      <c r="X78" s="17"/>
    </row>
    <row r="79" spans="2:44" x14ac:dyDescent="0.25">
      <c r="B79" s="17">
        <v>77</v>
      </c>
      <c r="C79" s="10"/>
      <c r="D79" s="10"/>
      <c r="E79" s="72"/>
      <c r="F79" s="18"/>
      <c r="G79" s="10"/>
      <c r="H79" s="10"/>
      <c r="I79" s="10"/>
      <c r="J79" s="11"/>
      <c r="K79" s="11">
        <f t="shared" si="163"/>
        <v>0</v>
      </c>
      <c r="L79" s="37">
        <f t="shared" si="164"/>
        <v>0</v>
      </c>
      <c r="M79" s="11"/>
      <c r="N79" s="10"/>
      <c r="O79" s="21"/>
      <c r="P79" s="21"/>
      <c r="Q79" s="21"/>
      <c r="R79" s="23"/>
      <c r="S79" s="50"/>
      <c r="T79" s="48"/>
      <c r="U79" s="82"/>
      <c r="V79" s="26"/>
      <c r="W79" s="200"/>
      <c r="X79" s="17"/>
    </row>
    <row r="80" spans="2:44" x14ac:dyDescent="0.25">
      <c r="B80" s="17">
        <v>78</v>
      </c>
      <c r="C80" s="10"/>
      <c r="D80" s="10"/>
      <c r="E80" s="72"/>
      <c r="F80" s="18"/>
      <c r="G80" s="10"/>
      <c r="H80" s="10"/>
      <c r="I80" s="10"/>
      <c r="J80" s="11"/>
      <c r="K80" s="11">
        <f t="shared" si="163"/>
        <v>0</v>
      </c>
      <c r="L80" s="37">
        <f t="shared" si="164"/>
        <v>0</v>
      </c>
      <c r="M80" s="11"/>
      <c r="N80" s="10"/>
      <c r="O80" s="21"/>
      <c r="P80" s="21"/>
      <c r="Q80" s="21"/>
      <c r="R80" s="23"/>
      <c r="S80" s="50"/>
      <c r="T80" s="48"/>
      <c r="U80" s="82"/>
      <c r="V80" s="26"/>
      <c r="W80" s="200"/>
      <c r="X80" s="17"/>
    </row>
    <row r="81" spans="2:24" x14ac:dyDescent="0.25">
      <c r="B81" s="17">
        <v>79</v>
      </c>
      <c r="C81" s="10"/>
      <c r="D81" s="10"/>
      <c r="E81" s="72"/>
      <c r="F81" s="18"/>
      <c r="G81" s="10"/>
      <c r="H81" s="10"/>
      <c r="I81" s="10"/>
      <c r="J81" s="11"/>
      <c r="K81" s="11">
        <f t="shared" si="163"/>
        <v>0</v>
      </c>
      <c r="L81" s="37">
        <f t="shared" si="164"/>
        <v>0</v>
      </c>
      <c r="M81" s="11"/>
      <c r="N81" s="10"/>
      <c r="O81" s="21"/>
      <c r="P81" s="21"/>
      <c r="Q81" s="21"/>
      <c r="R81" s="23"/>
      <c r="S81" s="50"/>
      <c r="T81" s="48"/>
      <c r="U81" s="82"/>
      <c r="V81" s="32"/>
      <c r="W81" s="200"/>
      <c r="X81" s="17"/>
    </row>
    <row r="82" spans="2:24" x14ac:dyDescent="0.25">
      <c r="B82" s="17">
        <v>80</v>
      </c>
      <c r="C82" s="10"/>
      <c r="D82" s="10"/>
      <c r="E82" s="72"/>
      <c r="F82" s="18"/>
      <c r="G82" s="10"/>
      <c r="H82" s="10"/>
      <c r="I82" s="10"/>
      <c r="J82" s="11"/>
      <c r="K82" s="11">
        <f t="shared" si="163"/>
        <v>0</v>
      </c>
      <c r="L82" s="37">
        <f t="shared" si="164"/>
        <v>0</v>
      </c>
      <c r="M82" s="11"/>
      <c r="N82" s="10"/>
      <c r="O82" s="21"/>
      <c r="P82" s="21"/>
      <c r="Q82" s="21"/>
      <c r="R82" s="23"/>
      <c r="S82" s="50"/>
      <c r="T82" s="48"/>
      <c r="U82" s="82"/>
      <c r="V82" s="32"/>
      <c r="W82" s="200"/>
      <c r="X82" s="17"/>
    </row>
    <row r="83" spans="2:24" x14ac:dyDescent="0.25">
      <c r="B83" s="17">
        <v>81</v>
      </c>
      <c r="C83" s="10"/>
      <c r="D83" s="10"/>
      <c r="E83" s="72"/>
      <c r="F83" s="18"/>
      <c r="G83" s="10"/>
      <c r="H83" s="10"/>
      <c r="I83" s="10"/>
      <c r="J83" s="11"/>
      <c r="K83" s="11">
        <f t="shared" si="163"/>
        <v>0</v>
      </c>
      <c r="L83" s="37">
        <f t="shared" si="164"/>
        <v>0</v>
      </c>
      <c r="M83" s="11"/>
      <c r="N83" s="10"/>
      <c r="O83" s="21"/>
      <c r="P83" s="21"/>
      <c r="Q83" s="21"/>
      <c r="R83" s="23"/>
      <c r="S83" s="50"/>
      <c r="T83" s="48"/>
      <c r="U83" s="82"/>
      <c r="V83" s="26"/>
      <c r="W83" s="200"/>
      <c r="X83" s="17"/>
    </row>
    <row r="84" spans="2:24" x14ac:dyDescent="0.25">
      <c r="B84" s="17">
        <v>82</v>
      </c>
      <c r="C84" s="10"/>
      <c r="D84" s="10"/>
      <c r="E84" s="72"/>
      <c r="F84" s="18"/>
      <c r="G84" s="10"/>
      <c r="H84" s="10"/>
      <c r="I84" s="10"/>
      <c r="J84" s="11"/>
      <c r="K84" s="11">
        <f t="shared" si="163"/>
        <v>0</v>
      </c>
      <c r="L84" s="37">
        <f t="shared" si="164"/>
        <v>0</v>
      </c>
      <c r="M84" s="11"/>
      <c r="N84" s="10"/>
      <c r="O84" s="21"/>
      <c r="P84" s="21"/>
      <c r="Q84" s="21"/>
      <c r="R84" s="23"/>
      <c r="S84" s="50"/>
      <c r="T84" s="48"/>
      <c r="U84" s="82"/>
      <c r="V84" s="26"/>
      <c r="W84" s="200"/>
      <c r="X84" s="17"/>
    </row>
    <row r="85" spans="2:24" x14ac:dyDescent="0.25">
      <c r="B85" s="17">
        <v>83</v>
      </c>
      <c r="C85" s="10"/>
      <c r="D85" s="10"/>
      <c r="E85" s="72"/>
      <c r="F85" s="18"/>
      <c r="G85" s="10"/>
      <c r="H85" s="10"/>
      <c r="I85" s="10"/>
      <c r="J85" s="11"/>
      <c r="K85" s="11">
        <f t="shared" si="163"/>
        <v>0</v>
      </c>
      <c r="L85" s="37">
        <f t="shared" si="164"/>
        <v>0</v>
      </c>
      <c r="M85" s="11"/>
      <c r="N85" s="10"/>
      <c r="O85" s="21"/>
      <c r="P85" s="21"/>
      <c r="Q85" s="21"/>
      <c r="R85" s="23"/>
      <c r="S85" s="50"/>
      <c r="T85" s="48"/>
      <c r="U85" s="82"/>
      <c r="V85" s="26"/>
      <c r="W85" s="200"/>
      <c r="X85" s="17"/>
    </row>
    <row r="86" spans="2:24" x14ac:dyDescent="0.25">
      <c r="B86" s="17">
        <v>84</v>
      </c>
      <c r="C86" s="10"/>
      <c r="D86" s="10"/>
      <c r="E86" s="72"/>
      <c r="F86" s="18"/>
      <c r="G86" s="10"/>
      <c r="H86" s="10"/>
      <c r="I86" s="10"/>
      <c r="J86" s="11"/>
      <c r="K86" s="11">
        <f t="shared" si="163"/>
        <v>0</v>
      </c>
      <c r="L86" s="37">
        <f t="shared" si="164"/>
        <v>0</v>
      </c>
      <c r="M86" s="11"/>
      <c r="N86" s="10"/>
      <c r="O86" s="21"/>
      <c r="P86" s="21"/>
      <c r="Q86" s="21"/>
      <c r="R86" s="23"/>
      <c r="S86" s="50"/>
      <c r="T86" s="48"/>
      <c r="U86" s="82"/>
      <c r="V86" s="26"/>
      <c r="W86" s="200"/>
      <c r="X86" s="17"/>
    </row>
    <row r="87" spans="2:24" x14ac:dyDescent="0.25">
      <c r="B87" s="17">
        <v>85</v>
      </c>
      <c r="C87" s="10"/>
      <c r="D87" s="10"/>
      <c r="E87" s="72"/>
      <c r="F87" s="18"/>
      <c r="G87" s="10"/>
      <c r="H87" s="10"/>
      <c r="I87" s="10"/>
      <c r="J87" s="11"/>
      <c r="K87" s="11">
        <f t="shared" si="163"/>
        <v>0</v>
      </c>
      <c r="L87" s="37">
        <f t="shared" si="164"/>
        <v>0</v>
      </c>
      <c r="M87" s="11"/>
      <c r="N87" s="10"/>
      <c r="O87" s="21"/>
      <c r="P87" s="21"/>
      <c r="Q87" s="21"/>
      <c r="R87" s="23"/>
      <c r="S87" s="50"/>
      <c r="T87" s="48"/>
      <c r="U87" s="82"/>
      <c r="V87" s="26"/>
      <c r="W87" s="200"/>
      <c r="X87" s="17"/>
    </row>
    <row r="88" spans="2:24" x14ac:dyDescent="0.25">
      <c r="B88" s="17">
        <v>86</v>
      </c>
      <c r="C88" s="10"/>
      <c r="D88" s="10"/>
      <c r="E88" s="72"/>
      <c r="F88" s="18"/>
      <c r="G88" s="10"/>
      <c r="H88" s="10"/>
      <c r="I88" s="10"/>
      <c r="J88" s="11"/>
      <c r="K88" s="11">
        <f t="shared" si="163"/>
        <v>0</v>
      </c>
      <c r="L88" s="37">
        <f t="shared" si="164"/>
        <v>0</v>
      </c>
      <c r="M88" s="11"/>
      <c r="N88" s="10"/>
      <c r="O88" s="21"/>
      <c r="P88" s="21"/>
      <c r="Q88" s="21"/>
      <c r="R88" s="23"/>
      <c r="S88" s="50"/>
      <c r="T88" s="48"/>
      <c r="U88" s="82"/>
      <c r="V88" s="32"/>
      <c r="W88" s="200"/>
      <c r="X88" s="17"/>
    </row>
    <row r="89" spans="2:24" x14ac:dyDescent="0.25">
      <c r="B89" s="17">
        <v>87</v>
      </c>
      <c r="C89" s="10"/>
      <c r="D89" s="10"/>
      <c r="E89" s="72"/>
      <c r="F89" s="18"/>
      <c r="G89" s="10"/>
      <c r="H89" s="10"/>
      <c r="I89" s="10"/>
      <c r="J89" s="11"/>
      <c r="K89" s="11">
        <f t="shared" si="163"/>
        <v>0</v>
      </c>
      <c r="L89" s="37">
        <f t="shared" si="164"/>
        <v>0</v>
      </c>
      <c r="M89" s="11"/>
      <c r="N89" s="10"/>
      <c r="O89" s="21"/>
      <c r="P89" s="21"/>
      <c r="Q89" s="21"/>
      <c r="R89" s="23"/>
      <c r="S89" s="50"/>
      <c r="T89" s="48"/>
      <c r="U89" s="82"/>
      <c r="V89" s="32"/>
      <c r="W89" s="200"/>
      <c r="X89" s="17"/>
    </row>
    <row r="90" spans="2:24" x14ac:dyDescent="0.25">
      <c r="B90" s="17">
        <v>88</v>
      </c>
      <c r="C90" s="10"/>
      <c r="D90" s="10"/>
      <c r="E90" s="72"/>
      <c r="F90" s="18"/>
      <c r="G90" s="10"/>
      <c r="H90" s="10"/>
      <c r="I90" s="10"/>
      <c r="J90" s="11"/>
      <c r="K90" s="11">
        <f t="shared" si="163"/>
        <v>0</v>
      </c>
      <c r="L90" s="37">
        <f t="shared" si="164"/>
        <v>0</v>
      </c>
      <c r="M90" s="11"/>
      <c r="N90" s="10"/>
      <c r="O90" s="21"/>
      <c r="P90" s="21"/>
      <c r="Q90" s="21"/>
      <c r="R90" s="23"/>
      <c r="S90" s="50"/>
      <c r="T90" s="48"/>
      <c r="U90" s="82"/>
      <c r="V90" s="26"/>
      <c r="W90" s="200"/>
      <c r="X90" s="17"/>
    </row>
    <row r="91" spans="2:24" x14ac:dyDescent="0.25">
      <c r="B91" s="17">
        <v>89</v>
      </c>
      <c r="C91" s="10"/>
      <c r="D91" s="10"/>
      <c r="E91" s="72"/>
      <c r="F91" s="18"/>
      <c r="G91" s="10"/>
      <c r="H91" s="10"/>
      <c r="I91" s="10"/>
      <c r="J91" s="11"/>
      <c r="K91" s="11">
        <f t="shared" si="163"/>
        <v>0</v>
      </c>
      <c r="L91" s="37">
        <f t="shared" si="164"/>
        <v>0</v>
      </c>
      <c r="M91" s="11"/>
      <c r="N91" s="10"/>
      <c r="O91" s="21"/>
      <c r="P91" s="21"/>
      <c r="Q91" s="21"/>
      <c r="R91" s="23"/>
      <c r="S91" s="50"/>
      <c r="T91" s="48"/>
      <c r="U91" s="82"/>
      <c r="V91" s="26"/>
      <c r="W91" s="200"/>
      <c r="X91" s="17"/>
    </row>
    <row r="92" spans="2:24" x14ac:dyDescent="0.25">
      <c r="B92" s="17">
        <v>90</v>
      </c>
      <c r="C92" s="10"/>
      <c r="D92" s="10"/>
      <c r="E92" s="72"/>
      <c r="F92" s="18"/>
      <c r="G92" s="10"/>
      <c r="H92" s="10"/>
      <c r="I92" s="10"/>
      <c r="J92" s="11"/>
      <c r="K92" s="11">
        <f t="shared" si="163"/>
        <v>0</v>
      </c>
      <c r="L92" s="37">
        <f t="shared" si="164"/>
        <v>0</v>
      </c>
      <c r="M92" s="11"/>
      <c r="N92" s="10"/>
      <c r="O92" s="21"/>
      <c r="P92" s="21"/>
      <c r="Q92" s="21"/>
      <c r="R92" s="23"/>
      <c r="S92" s="50"/>
      <c r="T92" s="48"/>
      <c r="U92" s="82"/>
      <c r="V92" s="26"/>
      <c r="W92" s="200"/>
      <c r="X92" s="17"/>
    </row>
    <row r="93" spans="2:24" x14ac:dyDescent="0.25">
      <c r="B93" s="17">
        <v>91</v>
      </c>
      <c r="C93" s="10"/>
      <c r="D93" s="10"/>
      <c r="E93" s="72"/>
      <c r="F93" s="18"/>
      <c r="G93" s="10"/>
      <c r="H93" s="10"/>
      <c r="I93" s="10"/>
      <c r="J93" s="11"/>
      <c r="K93" s="11">
        <f t="shared" si="163"/>
        <v>0</v>
      </c>
      <c r="L93" s="37">
        <f t="shared" si="164"/>
        <v>0</v>
      </c>
      <c r="M93" s="11"/>
      <c r="N93" s="10"/>
      <c r="O93" s="21"/>
      <c r="P93" s="21"/>
      <c r="Q93" s="21"/>
      <c r="R93" s="23"/>
      <c r="S93" s="50"/>
      <c r="T93" s="48"/>
      <c r="U93" s="82"/>
      <c r="V93" s="26"/>
      <c r="W93" s="200"/>
      <c r="X93" s="17"/>
    </row>
    <row r="94" spans="2:24" x14ac:dyDescent="0.25">
      <c r="B94" s="17">
        <v>92</v>
      </c>
      <c r="C94" s="10"/>
      <c r="D94" s="10"/>
      <c r="E94" s="72"/>
      <c r="F94" s="18"/>
      <c r="G94" s="10"/>
      <c r="H94" s="10"/>
      <c r="I94" s="10"/>
      <c r="J94" s="11"/>
      <c r="K94" s="11">
        <f t="shared" si="163"/>
        <v>0</v>
      </c>
      <c r="L94" s="37">
        <f t="shared" si="164"/>
        <v>0</v>
      </c>
      <c r="M94" s="11"/>
      <c r="N94" s="10"/>
      <c r="O94" s="21"/>
      <c r="P94" s="21"/>
      <c r="Q94" s="21"/>
      <c r="R94" s="23"/>
      <c r="S94" s="50"/>
      <c r="T94" s="48"/>
      <c r="U94" s="82"/>
      <c r="V94" s="26"/>
      <c r="W94" s="200"/>
      <c r="X94" s="17"/>
    </row>
    <row r="95" spans="2:24" x14ac:dyDescent="0.25">
      <c r="B95" s="17">
        <v>93</v>
      </c>
      <c r="C95" s="10"/>
      <c r="D95" s="10"/>
      <c r="E95" s="72"/>
      <c r="F95" s="18"/>
      <c r="G95" s="10"/>
      <c r="H95" s="10"/>
      <c r="I95" s="10"/>
      <c r="J95" s="11"/>
      <c r="K95" s="11">
        <f t="shared" si="163"/>
        <v>0</v>
      </c>
      <c r="L95" s="37">
        <f t="shared" si="164"/>
        <v>0</v>
      </c>
      <c r="M95" s="11"/>
      <c r="N95" s="10"/>
      <c r="O95" s="21"/>
      <c r="P95" s="21"/>
      <c r="Q95" s="21"/>
      <c r="R95" s="23"/>
      <c r="S95" s="50"/>
      <c r="T95" s="48"/>
      <c r="U95" s="82"/>
      <c r="V95" s="32"/>
      <c r="W95" s="200"/>
      <c r="X95" s="17"/>
    </row>
    <row r="96" spans="2:24" x14ac:dyDescent="0.25">
      <c r="B96" s="17">
        <v>94</v>
      </c>
      <c r="C96" s="10"/>
      <c r="D96" s="10"/>
      <c r="E96" s="72"/>
      <c r="F96" s="18"/>
      <c r="G96" s="10"/>
      <c r="H96" s="10"/>
      <c r="I96" s="10"/>
      <c r="J96" s="11"/>
      <c r="K96" s="11">
        <f t="shared" si="163"/>
        <v>0</v>
      </c>
      <c r="L96" s="37">
        <f t="shared" si="164"/>
        <v>0</v>
      </c>
      <c r="M96" s="11"/>
      <c r="N96" s="10"/>
      <c r="O96" s="21"/>
      <c r="P96" s="21"/>
      <c r="Q96" s="21"/>
      <c r="R96" s="23"/>
      <c r="S96" s="50"/>
      <c r="T96" s="48"/>
      <c r="U96" s="82"/>
      <c r="V96" s="32"/>
      <c r="W96" s="200"/>
      <c r="X96" s="17"/>
    </row>
    <row r="97" spans="2:24" x14ac:dyDescent="0.25">
      <c r="B97" s="17">
        <v>95</v>
      </c>
      <c r="C97" s="10"/>
      <c r="D97" s="10"/>
      <c r="E97" s="72"/>
      <c r="F97" s="18"/>
      <c r="G97" s="10"/>
      <c r="H97" s="10"/>
      <c r="I97" s="10"/>
      <c r="J97" s="11"/>
      <c r="K97" s="11">
        <f t="shared" si="163"/>
        <v>0</v>
      </c>
      <c r="L97" s="37">
        <f t="shared" si="164"/>
        <v>0</v>
      </c>
      <c r="M97" s="11"/>
      <c r="N97" s="10"/>
      <c r="O97" s="21"/>
      <c r="P97" s="21"/>
      <c r="Q97" s="21"/>
      <c r="R97" s="23"/>
      <c r="S97" s="50"/>
      <c r="T97" s="48"/>
      <c r="U97" s="82"/>
      <c r="V97" s="32"/>
      <c r="W97" s="200"/>
      <c r="X97" s="17"/>
    </row>
    <row r="98" spans="2:24" x14ac:dyDescent="0.25">
      <c r="B98" s="17">
        <v>96</v>
      </c>
      <c r="C98" s="10"/>
      <c r="D98" s="10"/>
      <c r="E98" s="72"/>
      <c r="F98" s="18"/>
      <c r="G98" s="10"/>
      <c r="H98" s="10"/>
      <c r="I98" s="10"/>
      <c r="J98" s="11"/>
      <c r="K98" s="11">
        <f t="shared" si="163"/>
        <v>0</v>
      </c>
      <c r="L98" s="37">
        <f t="shared" si="164"/>
        <v>0</v>
      </c>
      <c r="M98" s="11"/>
      <c r="N98" s="10"/>
      <c r="O98" s="21"/>
      <c r="P98" s="21"/>
      <c r="Q98" s="21"/>
      <c r="R98" s="23"/>
      <c r="S98" s="50"/>
      <c r="T98" s="48"/>
      <c r="U98" s="82"/>
      <c r="V98" s="32"/>
      <c r="W98" s="200"/>
      <c r="X98" s="17"/>
    </row>
    <row r="99" spans="2:24" x14ac:dyDescent="0.25">
      <c r="B99" s="17">
        <v>97</v>
      </c>
      <c r="C99" s="10"/>
      <c r="D99" s="10"/>
      <c r="E99" s="72"/>
      <c r="F99" s="18"/>
      <c r="G99" s="10"/>
      <c r="H99" s="10"/>
      <c r="I99" s="10"/>
      <c r="J99" s="11"/>
      <c r="K99" s="11">
        <f t="shared" si="163"/>
        <v>0</v>
      </c>
      <c r="L99" s="37">
        <f t="shared" si="164"/>
        <v>0</v>
      </c>
      <c r="M99" s="11"/>
      <c r="N99" s="10"/>
      <c r="O99" s="21"/>
      <c r="P99" s="21"/>
      <c r="Q99" s="21"/>
      <c r="R99" s="23"/>
      <c r="S99" s="50"/>
      <c r="T99" s="48"/>
      <c r="U99" s="82"/>
      <c r="V99" s="26"/>
      <c r="W99" s="200"/>
      <c r="X99" s="17"/>
    </row>
    <row r="100" spans="2:24" x14ac:dyDescent="0.25">
      <c r="B100" s="17">
        <v>98</v>
      </c>
      <c r="C100" s="10"/>
      <c r="D100" s="10"/>
      <c r="E100" s="72"/>
      <c r="F100" s="18"/>
      <c r="G100" s="10"/>
      <c r="H100" s="10"/>
      <c r="I100" s="10"/>
      <c r="J100" s="11"/>
      <c r="K100" s="11">
        <f t="shared" si="163"/>
        <v>0</v>
      </c>
      <c r="L100" s="37">
        <f t="shared" si="164"/>
        <v>0</v>
      </c>
      <c r="M100" s="11"/>
      <c r="N100" s="10"/>
      <c r="O100" s="21"/>
      <c r="P100" s="21"/>
      <c r="Q100" s="21"/>
      <c r="R100" s="23"/>
      <c r="S100" s="50"/>
      <c r="T100" s="48"/>
      <c r="U100" s="82"/>
      <c r="V100" s="26"/>
      <c r="W100" s="200"/>
      <c r="X100" s="17"/>
    </row>
    <row r="101" spans="2:24" x14ac:dyDescent="0.25">
      <c r="B101" s="17">
        <v>99</v>
      </c>
      <c r="C101" s="10"/>
      <c r="D101" s="10"/>
      <c r="E101" s="72"/>
      <c r="F101" s="18"/>
      <c r="G101" s="10"/>
      <c r="H101" s="10"/>
      <c r="I101" s="10"/>
      <c r="J101" s="11"/>
      <c r="K101" s="11">
        <f t="shared" si="163"/>
        <v>0</v>
      </c>
      <c r="L101" s="37">
        <f t="shared" si="164"/>
        <v>0</v>
      </c>
      <c r="M101" s="11"/>
      <c r="N101" s="10"/>
      <c r="O101" s="21"/>
      <c r="P101" s="21"/>
      <c r="Q101" s="21"/>
      <c r="R101" s="23"/>
      <c r="S101" s="50"/>
      <c r="T101" s="48"/>
      <c r="U101" s="82"/>
      <c r="V101" s="26"/>
      <c r="W101" s="200"/>
      <c r="X101" s="17"/>
    </row>
    <row r="102" spans="2:24" x14ac:dyDescent="0.25">
      <c r="B102" s="17">
        <v>100</v>
      </c>
      <c r="C102" s="10"/>
      <c r="D102" s="10"/>
      <c r="E102" s="72"/>
      <c r="F102" s="18"/>
      <c r="G102" s="10"/>
      <c r="H102" s="10"/>
      <c r="I102" s="10"/>
      <c r="J102" s="11"/>
      <c r="K102" s="11">
        <f t="shared" si="163"/>
        <v>0</v>
      </c>
      <c r="L102" s="37">
        <f t="shared" si="164"/>
        <v>0</v>
      </c>
      <c r="M102" s="11"/>
      <c r="N102" s="10"/>
      <c r="O102" s="21"/>
      <c r="P102" s="21"/>
      <c r="Q102" s="21"/>
      <c r="R102" s="23"/>
      <c r="S102" s="50"/>
      <c r="T102" s="48"/>
      <c r="U102" s="82"/>
      <c r="V102" s="26"/>
      <c r="W102" s="200"/>
      <c r="X102" s="17"/>
    </row>
    <row r="103" spans="2:24" x14ac:dyDescent="0.25">
      <c r="B103" s="17">
        <v>101</v>
      </c>
      <c r="C103" s="10"/>
      <c r="D103" s="10"/>
      <c r="E103" s="72"/>
      <c r="F103" s="18"/>
      <c r="G103" s="10"/>
      <c r="H103" s="10"/>
      <c r="I103" s="10"/>
      <c r="J103" s="11"/>
      <c r="K103" s="11">
        <f t="shared" si="163"/>
        <v>0</v>
      </c>
      <c r="L103" s="37">
        <f t="shared" si="164"/>
        <v>0</v>
      </c>
      <c r="M103" s="11"/>
      <c r="N103" s="10"/>
      <c r="O103" s="21"/>
      <c r="P103" s="21"/>
      <c r="Q103" s="21"/>
      <c r="R103" s="23"/>
      <c r="S103" s="50"/>
      <c r="T103" s="48"/>
      <c r="U103" s="82"/>
      <c r="V103" s="32"/>
      <c r="W103" s="200"/>
      <c r="X103" s="17"/>
    </row>
    <row r="104" spans="2:24" x14ac:dyDescent="0.25">
      <c r="B104" s="17">
        <v>102</v>
      </c>
      <c r="C104" s="10"/>
      <c r="D104" s="10"/>
      <c r="E104" s="72"/>
      <c r="F104" s="18"/>
      <c r="G104" s="10"/>
      <c r="H104" s="10"/>
      <c r="I104" s="10"/>
      <c r="J104" s="11"/>
      <c r="K104" s="11">
        <f t="shared" si="163"/>
        <v>0</v>
      </c>
      <c r="L104" s="37">
        <f t="shared" si="164"/>
        <v>0</v>
      </c>
      <c r="M104" s="11"/>
      <c r="N104" s="10"/>
      <c r="O104" s="21"/>
      <c r="P104" s="21"/>
      <c r="Q104" s="21"/>
      <c r="R104" s="23"/>
      <c r="S104" s="50"/>
      <c r="T104" s="48"/>
      <c r="U104" s="82"/>
      <c r="V104" s="32"/>
      <c r="W104" s="200"/>
      <c r="X104" s="17"/>
    </row>
    <row r="105" spans="2:24" x14ac:dyDescent="0.25">
      <c r="B105" s="17">
        <v>103</v>
      </c>
      <c r="C105" s="10"/>
      <c r="D105" s="10"/>
      <c r="E105" s="72"/>
      <c r="F105" s="18"/>
      <c r="G105" s="10"/>
      <c r="H105" s="10"/>
      <c r="I105" s="10"/>
      <c r="J105" s="11"/>
      <c r="K105" s="11">
        <f t="shared" si="163"/>
        <v>0</v>
      </c>
      <c r="L105" s="37">
        <f t="shared" si="164"/>
        <v>0</v>
      </c>
      <c r="M105" s="11"/>
      <c r="N105" s="10"/>
      <c r="O105" s="21"/>
      <c r="P105" s="21"/>
      <c r="Q105" s="21"/>
      <c r="R105" s="23"/>
      <c r="S105" s="50"/>
      <c r="T105" s="48"/>
      <c r="U105" s="82"/>
      <c r="V105" s="26"/>
      <c r="W105" s="200"/>
      <c r="X105" s="17"/>
    </row>
    <row r="106" spans="2:24" x14ac:dyDescent="0.25">
      <c r="B106" s="17">
        <v>104</v>
      </c>
      <c r="C106" s="10"/>
      <c r="D106" s="10"/>
      <c r="E106" s="72"/>
      <c r="F106" s="18"/>
      <c r="G106" s="10"/>
      <c r="H106" s="10"/>
      <c r="I106" s="10"/>
      <c r="J106" s="11"/>
      <c r="K106" s="11">
        <f t="shared" si="163"/>
        <v>0</v>
      </c>
      <c r="L106" s="37">
        <f t="shared" si="164"/>
        <v>0</v>
      </c>
      <c r="M106" s="11"/>
      <c r="N106" s="10"/>
      <c r="O106" s="21"/>
      <c r="P106" s="21"/>
      <c r="Q106" s="21"/>
      <c r="R106" s="23"/>
      <c r="S106" s="50"/>
      <c r="T106" s="48"/>
      <c r="U106" s="82"/>
      <c r="V106" s="26"/>
      <c r="W106" s="200"/>
      <c r="X106" s="17"/>
    </row>
    <row r="107" spans="2:24" x14ac:dyDescent="0.25">
      <c r="B107" s="17">
        <v>105</v>
      </c>
      <c r="C107" s="10"/>
      <c r="D107" s="10"/>
      <c r="E107" s="72"/>
      <c r="F107" s="18"/>
      <c r="G107" s="10"/>
      <c r="H107" s="10"/>
      <c r="I107" s="10"/>
      <c r="J107" s="11"/>
      <c r="K107" s="11">
        <f t="shared" si="163"/>
        <v>0</v>
      </c>
      <c r="L107" s="37">
        <f t="shared" si="164"/>
        <v>0</v>
      </c>
      <c r="M107" s="11"/>
      <c r="N107" s="10"/>
      <c r="O107" s="21"/>
      <c r="P107" s="21"/>
      <c r="Q107" s="21"/>
      <c r="R107" s="23"/>
      <c r="S107" s="50"/>
      <c r="T107" s="48"/>
      <c r="U107" s="82"/>
      <c r="V107" s="26"/>
      <c r="W107" s="200"/>
      <c r="X107" s="17"/>
    </row>
    <row r="108" spans="2:24" x14ac:dyDescent="0.25">
      <c r="B108" s="17">
        <v>106</v>
      </c>
      <c r="C108" s="10"/>
      <c r="D108" s="10"/>
      <c r="E108" s="72"/>
      <c r="F108" s="18"/>
      <c r="G108" s="10"/>
      <c r="H108" s="10"/>
      <c r="I108" s="10"/>
      <c r="J108" s="11"/>
      <c r="K108" s="11">
        <f t="shared" si="163"/>
        <v>0</v>
      </c>
      <c r="L108" s="37">
        <f t="shared" si="164"/>
        <v>0</v>
      </c>
      <c r="M108" s="11"/>
      <c r="N108" s="10"/>
      <c r="O108" s="21"/>
      <c r="P108" s="21"/>
      <c r="Q108" s="21"/>
      <c r="R108" s="23"/>
      <c r="S108" s="50"/>
      <c r="T108" s="48"/>
      <c r="U108" s="82"/>
      <c r="V108" s="26"/>
      <c r="W108" s="200"/>
      <c r="X108" s="17"/>
    </row>
    <row r="109" spans="2:24" x14ac:dyDescent="0.25">
      <c r="B109" s="17">
        <v>107</v>
      </c>
      <c r="C109" s="10"/>
      <c r="D109" s="10"/>
      <c r="E109" s="72"/>
      <c r="F109" s="18"/>
      <c r="G109" s="10"/>
      <c r="H109" s="10"/>
      <c r="I109" s="10"/>
      <c r="J109" s="11"/>
      <c r="K109" s="11">
        <f t="shared" si="163"/>
        <v>0</v>
      </c>
      <c r="L109" s="37">
        <f t="shared" si="164"/>
        <v>0</v>
      </c>
      <c r="M109" s="11"/>
      <c r="N109" s="10"/>
      <c r="O109" s="21"/>
      <c r="P109" s="21"/>
      <c r="Q109" s="21"/>
      <c r="R109" s="23"/>
      <c r="S109" s="50"/>
      <c r="T109" s="48"/>
      <c r="U109" s="82"/>
      <c r="V109" s="26"/>
      <c r="W109" s="200"/>
      <c r="X109" s="17"/>
    </row>
    <row r="110" spans="2:24" x14ac:dyDescent="0.25">
      <c r="B110" s="17">
        <v>108</v>
      </c>
      <c r="C110" s="10"/>
      <c r="D110" s="10"/>
      <c r="E110" s="72"/>
      <c r="F110" s="18"/>
      <c r="G110" s="10"/>
      <c r="H110" s="10"/>
      <c r="I110" s="10"/>
      <c r="J110" s="11"/>
      <c r="K110" s="11">
        <f t="shared" si="163"/>
        <v>0</v>
      </c>
      <c r="L110" s="37">
        <f t="shared" si="164"/>
        <v>0</v>
      </c>
      <c r="M110" s="11"/>
      <c r="N110" s="10"/>
      <c r="O110" s="21"/>
      <c r="P110" s="21"/>
      <c r="Q110" s="21"/>
      <c r="R110" s="23"/>
      <c r="S110" s="50"/>
      <c r="T110" s="48"/>
      <c r="U110" s="82"/>
      <c r="V110" s="32"/>
      <c r="W110" s="200"/>
      <c r="X110" s="17"/>
    </row>
    <row r="111" spans="2:24" x14ac:dyDescent="0.25">
      <c r="B111" s="17">
        <v>109</v>
      </c>
      <c r="C111" s="10"/>
      <c r="D111" s="10"/>
      <c r="E111" s="72"/>
      <c r="F111" s="18"/>
      <c r="G111" s="10"/>
      <c r="H111" s="10"/>
      <c r="I111" s="10"/>
      <c r="J111" s="11"/>
      <c r="K111" s="11">
        <f t="shared" si="163"/>
        <v>0</v>
      </c>
      <c r="L111" s="37">
        <f t="shared" si="164"/>
        <v>0</v>
      </c>
      <c r="M111" s="11"/>
      <c r="N111" s="10"/>
      <c r="O111" s="21"/>
      <c r="P111" s="21"/>
      <c r="Q111" s="21"/>
      <c r="R111" s="23"/>
      <c r="S111" s="50"/>
      <c r="T111" s="48"/>
      <c r="U111" s="82"/>
      <c r="V111" s="32"/>
      <c r="W111" s="200"/>
      <c r="X111" s="17"/>
    </row>
    <row r="112" spans="2:24" x14ac:dyDescent="0.25">
      <c r="B112" s="17">
        <v>110</v>
      </c>
      <c r="C112" s="10"/>
      <c r="D112" s="10"/>
      <c r="E112" s="72"/>
      <c r="F112" s="18"/>
      <c r="G112" s="10"/>
      <c r="H112" s="10"/>
      <c r="I112" s="10"/>
      <c r="J112" s="11"/>
      <c r="K112" s="11">
        <f t="shared" si="163"/>
        <v>0</v>
      </c>
      <c r="L112" s="37">
        <f t="shared" si="164"/>
        <v>0</v>
      </c>
      <c r="M112" s="11"/>
      <c r="N112" s="10"/>
      <c r="O112" s="21"/>
      <c r="P112" s="21"/>
      <c r="Q112" s="21"/>
      <c r="R112" s="23"/>
      <c r="S112" s="50"/>
      <c r="T112" s="48"/>
      <c r="U112" s="82"/>
      <c r="V112" s="26"/>
      <c r="W112" s="200"/>
      <c r="X112" s="17"/>
    </row>
    <row r="113" spans="2:24" x14ac:dyDescent="0.25">
      <c r="B113" s="17">
        <v>111</v>
      </c>
      <c r="C113" s="10"/>
      <c r="D113" s="10"/>
      <c r="E113" s="72"/>
      <c r="F113" s="18"/>
      <c r="G113" s="10"/>
      <c r="H113" s="10"/>
      <c r="I113" s="10"/>
      <c r="J113" s="11"/>
      <c r="K113" s="11">
        <f t="shared" si="163"/>
        <v>0</v>
      </c>
      <c r="L113" s="37">
        <f t="shared" si="164"/>
        <v>0</v>
      </c>
      <c r="M113" s="11"/>
      <c r="N113" s="10"/>
      <c r="O113" s="21"/>
      <c r="P113" s="21"/>
      <c r="Q113" s="21"/>
      <c r="R113" s="23"/>
      <c r="S113" s="50"/>
      <c r="T113" s="48"/>
      <c r="U113" s="82"/>
      <c r="V113" s="26"/>
      <c r="W113" s="200"/>
      <c r="X113" s="17"/>
    </row>
    <row r="114" spans="2:24" x14ac:dyDescent="0.25">
      <c r="B114" s="17">
        <v>112</v>
      </c>
      <c r="C114" s="10"/>
      <c r="D114" s="10"/>
      <c r="E114" s="72"/>
      <c r="F114" s="18"/>
      <c r="G114" s="10"/>
      <c r="H114" s="10"/>
      <c r="I114" s="10"/>
      <c r="J114" s="11"/>
      <c r="K114" s="11">
        <f t="shared" si="163"/>
        <v>0</v>
      </c>
      <c r="L114" s="37">
        <f t="shared" si="164"/>
        <v>0</v>
      </c>
      <c r="M114" s="11"/>
      <c r="N114" s="10"/>
      <c r="O114" s="21"/>
      <c r="P114" s="21"/>
      <c r="Q114" s="21"/>
      <c r="R114" s="23"/>
      <c r="S114" s="50"/>
      <c r="T114" s="48"/>
      <c r="U114" s="82"/>
      <c r="V114" s="26"/>
      <c r="W114" s="200"/>
      <c r="X114" s="17"/>
    </row>
    <row r="115" spans="2:24" x14ac:dyDescent="0.25">
      <c r="B115" s="17">
        <v>113</v>
      </c>
      <c r="C115" s="10"/>
      <c r="D115" s="10"/>
      <c r="E115" s="72"/>
      <c r="F115" s="18"/>
      <c r="G115" s="10"/>
      <c r="H115" s="10"/>
      <c r="I115" s="10"/>
      <c r="J115" s="11"/>
      <c r="K115" s="11">
        <f t="shared" si="163"/>
        <v>0</v>
      </c>
      <c r="L115" s="37">
        <f t="shared" si="164"/>
        <v>0</v>
      </c>
      <c r="M115" s="11"/>
      <c r="N115" s="10"/>
      <c r="O115" s="21"/>
      <c r="P115" s="21"/>
      <c r="Q115" s="21"/>
      <c r="R115" s="23"/>
      <c r="S115" s="50"/>
      <c r="T115" s="48"/>
      <c r="U115" s="82"/>
      <c r="V115" s="26"/>
      <c r="W115" s="200"/>
      <c r="X115" s="17"/>
    </row>
    <row r="116" spans="2:24" x14ac:dyDescent="0.25">
      <c r="B116" s="17">
        <v>114</v>
      </c>
      <c r="C116" s="10"/>
      <c r="D116" s="10"/>
      <c r="E116" s="72"/>
      <c r="F116" s="18"/>
      <c r="G116" s="10"/>
      <c r="H116" s="10"/>
      <c r="I116" s="10"/>
      <c r="J116" s="11"/>
      <c r="K116" s="11">
        <f t="shared" si="163"/>
        <v>0</v>
      </c>
      <c r="L116" s="37">
        <f t="shared" si="164"/>
        <v>0</v>
      </c>
      <c r="M116" s="11"/>
      <c r="N116" s="10"/>
      <c r="O116" s="21"/>
      <c r="P116" s="21"/>
      <c r="Q116" s="21"/>
      <c r="R116" s="23"/>
      <c r="S116" s="50"/>
      <c r="T116" s="48"/>
      <c r="U116" s="82"/>
      <c r="V116" s="26"/>
      <c r="W116" s="200"/>
      <c r="X116" s="17"/>
    </row>
    <row r="117" spans="2:24" x14ac:dyDescent="0.25">
      <c r="B117" s="17">
        <v>115</v>
      </c>
      <c r="C117" s="10"/>
      <c r="D117" s="10"/>
      <c r="E117" s="72"/>
      <c r="F117" s="18"/>
      <c r="G117" s="10"/>
      <c r="H117" s="10"/>
      <c r="I117" s="10"/>
      <c r="J117" s="11"/>
      <c r="K117" s="11">
        <f t="shared" si="163"/>
        <v>0</v>
      </c>
      <c r="L117" s="37">
        <f t="shared" si="164"/>
        <v>0</v>
      </c>
      <c r="M117" s="11"/>
      <c r="N117" s="10"/>
      <c r="O117" s="21"/>
      <c r="P117" s="21"/>
      <c r="Q117" s="21"/>
      <c r="R117" s="23"/>
      <c r="S117" s="50"/>
      <c r="T117" s="48"/>
      <c r="U117" s="82"/>
      <c r="V117" s="32"/>
      <c r="W117" s="200"/>
      <c r="X117" s="17"/>
    </row>
    <row r="118" spans="2:24" x14ac:dyDescent="0.25">
      <c r="B118" s="17">
        <v>116</v>
      </c>
      <c r="C118" s="10"/>
      <c r="D118" s="10"/>
      <c r="E118" s="72"/>
      <c r="F118" s="18"/>
      <c r="G118" s="10"/>
      <c r="H118" s="10"/>
      <c r="I118" s="10"/>
      <c r="J118" s="11"/>
      <c r="K118" s="11">
        <f t="shared" si="163"/>
        <v>0</v>
      </c>
      <c r="L118" s="37">
        <f t="shared" si="164"/>
        <v>0</v>
      </c>
      <c r="M118" s="11"/>
      <c r="N118" s="10"/>
      <c r="O118" s="21"/>
      <c r="P118" s="21"/>
      <c r="Q118" s="21"/>
      <c r="R118" s="23"/>
      <c r="S118" s="50"/>
      <c r="T118" s="48"/>
      <c r="U118" s="82"/>
      <c r="V118" s="32"/>
      <c r="W118" s="200"/>
      <c r="X118" s="17"/>
    </row>
    <row r="119" spans="2:24" x14ac:dyDescent="0.25">
      <c r="B119" s="17">
        <v>117</v>
      </c>
      <c r="C119" s="10"/>
      <c r="D119" s="10"/>
      <c r="E119" s="72"/>
      <c r="F119" s="18"/>
      <c r="G119" s="10"/>
      <c r="H119" s="10"/>
      <c r="I119" s="10"/>
      <c r="J119" s="11"/>
      <c r="K119" s="11">
        <f t="shared" si="163"/>
        <v>0</v>
      </c>
      <c r="L119" s="37">
        <f t="shared" si="164"/>
        <v>0</v>
      </c>
      <c r="M119" s="11"/>
      <c r="N119" s="10"/>
      <c r="O119" s="21"/>
      <c r="P119" s="21"/>
      <c r="Q119" s="21"/>
      <c r="R119" s="23"/>
      <c r="S119" s="50"/>
      <c r="T119" s="48"/>
      <c r="U119" s="82"/>
      <c r="V119" s="32"/>
      <c r="W119" s="200"/>
      <c r="X119" s="17"/>
    </row>
    <row r="120" spans="2:24" x14ac:dyDescent="0.25">
      <c r="B120" s="17">
        <v>118</v>
      </c>
      <c r="C120" s="10"/>
      <c r="D120" s="10"/>
      <c r="E120" s="72"/>
      <c r="F120" s="18"/>
      <c r="G120" s="10"/>
      <c r="H120" s="10"/>
      <c r="I120" s="10"/>
      <c r="J120" s="11"/>
      <c r="K120" s="11">
        <f t="shared" si="163"/>
        <v>0</v>
      </c>
      <c r="L120" s="37">
        <f t="shared" si="164"/>
        <v>0</v>
      </c>
      <c r="M120" s="11"/>
      <c r="N120" s="10"/>
      <c r="O120" s="21"/>
      <c r="P120" s="21"/>
      <c r="Q120" s="21"/>
      <c r="R120" s="23"/>
      <c r="S120" s="50"/>
      <c r="T120" s="48"/>
      <c r="U120" s="82"/>
      <c r="V120" s="32"/>
      <c r="W120" s="200"/>
      <c r="X120" s="17"/>
    </row>
    <row r="121" spans="2:24" x14ac:dyDescent="0.25">
      <c r="B121" s="17">
        <v>119</v>
      </c>
      <c r="C121" s="10"/>
      <c r="D121" s="10"/>
      <c r="E121" s="72"/>
      <c r="F121" s="18"/>
      <c r="G121" s="10"/>
      <c r="H121" s="10"/>
      <c r="I121" s="10"/>
      <c r="J121" s="11"/>
      <c r="K121" s="11">
        <f t="shared" si="163"/>
        <v>0</v>
      </c>
      <c r="L121" s="37">
        <f t="shared" si="164"/>
        <v>0</v>
      </c>
      <c r="M121" s="11"/>
      <c r="N121" s="10"/>
      <c r="O121" s="21"/>
      <c r="P121" s="21"/>
      <c r="Q121" s="21"/>
      <c r="R121" s="23"/>
      <c r="S121" s="50"/>
      <c r="T121" s="48"/>
      <c r="U121" s="82"/>
      <c r="V121" s="26"/>
      <c r="W121" s="200"/>
      <c r="X121" s="17"/>
    </row>
    <row r="122" spans="2:24" x14ac:dyDescent="0.25">
      <c r="B122" s="17">
        <v>120</v>
      </c>
      <c r="C122" s="10"/>
      <c r="D122" s="10"/>
      <c r="E122" s="72"/>
      <c r="F122" s="18"/>
      <c r="G122" s="10"/>
      <c r="H122" s="10"/>
      <c r="I122" s="10"/>
      <c r="J122" s="11"/>
      <c r="K122" s="11">
        <f t="shared" si="163"/>
        <v>0</v>
      </c>
      <c r="L122" s="37">
        <f t="shared" si="164"/>
        <v>0</v>
      </c>
      <c r="M122" s="11"/>
      <c r="N122" s="10"/>
      <c r="O122" s="21"/>
      <c r="P122" s="21"/>
      <c r="Q122" s="21"/>
      <c r="R122" s="23"/>
      <c r="S122" s="50"/>
      <c r="T122" s="48"/>
      <c r="U122" s="82"/>
      <c r="V122" s="26"/>
      <c r="W122" s="200"/>
      <c r="X122" s="17"/>
    </row>
    <row r="123" spans="2:24" x14ac:dyDescent="0.25">
      <c r="B123" s="17">
        <v>121</v>
      </c>
      <c r="C123" s="10"/>
      <c r="D123" s="10"/>
      <c r="E123" s="72"/>
      <c r="F123" s="18"/>
      <c r="G123" s="10"/>
      <c r="H123" s="10"/>
      <c r="I123" s="10"/>
      <c r="J123" s="11"/>
      <c r="K123" s="11">
        <f t="shared" si="163"/>
        <v>0</v>
      </c>
      <c r="L123" s="37">
        <f t="shared" si="164"/>
        <v>0</v>
      </c>
      <c r="M123" s="11"/>
      <c r="N123" s="10"/>
      <c r="O123" s="21"/>
      <c r="P123" s="21"/>
      <c r="Q123" s="21"/>
      <c r="R123" s="23"/>
      <c r="S123" s="50"/>
      <c r="T123" s="48"/>
      <c r="U123" s="82"/>
      <c r="V123" s="26"/>
      <c r="W123" s="200"/>
      <c r="X123" s="17"/>
    </row>
    <row r="124" spans="2:24" x14ac:dyDescent="0.25">
      <c r="B124" s="17">
        <v>122</v>
      </c>
      <c r="C124" s="10"/>
      <c r="D124" s="10"/>
      <c r="E124" s="72"/>
      <c r="F124" s="18"/>
      <c r="G124" s="10"/>
      <c r="H124" s="10"/>
      <c r="I124" s="10"/>
      <c r="J124" s="11"/>
      <c r="K124" s="11">
        <f t="shared" si="163"/>
        <v>0</v>
      </c>
      <c r="L124" s="37">
        <f t="shared" si="164"/>
        <v>0</v>
      </c>
      <c r="M124" s="11"/>
      <c r="N124" s="10"/>
      <c r="O124" s="21"/>
      <c r="P124" s="21"/>
      <c r="Q124" s="21"/>
      <c r="R124" s="23"/>
      <c r="S124" s="50"/>
      <c r="T124" s="48"/>
      <c r="U124" s="82"/>
      <c r="V124" s="26"/>
      <c r="W124" s="200"/>
      <c r="X124" s="17"/>
    </row>
    <row r="125" spans="2:24" x14ac:dyDescent="0.25">
      <c r="B125" s="17">
        <v>123</v>
      </c>
      <c r="C125" s="10"/>
      <c r="D125" s="10"/>
      <c r="E125" s="72"/>
      <c r="F125" s="18"/>
      <c r="G125" s="10"/>
      <c r="H125" s="10"/>
      <c r="I125" s="10"/>
      <c r="J125" s="11"/>
      <c r="K125" s="11">
        <f t="shared" si="163"/>
        <v>0</v>
      </c>
      <c r="L125" s="37">
        <f t="shared" si="164"/>
        <v>0</v>
      </c>
      <c r="M125" s="11"/>
      <c r="N125" s="10"/>
      <c r="O125" s="21"/>
      <c r="P125" s="21"/>
      <c r="Q125" s="21"/>
      <c r="R125" s="23"/>
      <c r="S125" s="50"/>
      <c r="T125" s="48"/>
      <c r="U125" s="82"/>
      <c r="V125" s="26"/>
      <c r="W125" s="200"/>
      <c r="X125" s="17"/>
    </row>
    <row r="126" spans="2:24" x14ac:dyDescent="0.25">
      <c r="B126" s="17">
        <v>124</v>
      </c>
      <c r="C126" s="10"/>
      <c r="D126" s="10"/>
      <c r="E126" s="72"/>
      <c r="F126" s="18"/>
      <c r="G126" s="10"/>
      <c r="H126" s="10"/>
      <c r="I126" s="10"/>
      <c r="J126" s="11"/>
      <c r="K126" s="11">
        <f t="shared" si="163"/>
        <v>0</v>
      </c>
      <c r="L126" s="37">
        <f t="shared" si="164"/>
        <v>0</v>
      </c>
      <c r="M126" s="11"/>
      <c r="N126" s="10"/>
      <c r="O126" s="21"/>
      <c r="P126" s="21"/>
      <c r="Q126" s="21"/>
      <c r="R126" s="23"/>
      <c r="S126" s="50"/>
      <c r="T126" s="48"/>
      <c r="U126" s="82"/>
      <c r="V126" s="32"/>
      <c r="W126" s="200"/>
      <c r="X126" s="17"/>
    </row>
    <row r="127" spans="2:24" x14ac:dyDescent="0.25">
      <c r="B127" s="17">
        <v>125</v>
      </c>
      <c r="C127" s="10"/>
      <c r="D127" s="10"/>
      <c r="E127" s="72"/>
      <c r="F127" s="18"/>
      <c r="G127" s="10"/>
      <c r="H127" s="10"/>
      <c r="I127" s="10"/>
      <c r="J127" s="11"/>
      <c r="K127" s="11">
        <f t="shared" si="163"/>
        <v>0</v>
      </c>
      <c r="L127" s="37">
        <f t="shared" si="164"/>
        <v>0</v>
      </c>
      <c r="M127" s="11"/>
      <c r="N127" s="10"/>
      <c r="O127" s="21"/>
      <c r="P127" s="21"/>
      <c r="Q127" s="21"/>
      <c r="R127" s="23"/>
      <c r="S127" s="50"/>
      <c r="T127" s="48"/>
      <c r="U127" s="82"/>
      <c r="V127" s="32"/>
      <c r="W127" s="200"/>
      <c r="X127" s="17"/>
    </row>
    <row r="128" spans="2:24" x14ac:dyDescent="0.25">
      <c r="B128" s="17">
        <v>126</v>
      </c>
      <c r="C128" s="10"/>
      <c r="D128" s="10"/>
      <c r="E128" s="72"/>
      <c r="F128" s="18"/>
      <c r="G128" s="10"/>
      <c r="H128" s="10"/>
      <c r="I128" s="10"/>
      <c r="J128" s="11"/>
      <c r="K128" s="11">
        <f t="shared" si="163"/>
        <v>0</v>
      </c>
      <c r="L128" s="37">
        <f t="shared" si="164"/>
        <v>0</v>
      </c>
      <c r="M128" s="11"/>
      <c r="N128" s="10"/>
      <c r="O128" s="21"/>
      <c r="P128" s="21"/>
      <c r="Q128" s="21"/>
      <c r="R128" s="23"/>
      <c r="S128" s="50"/>
      <c r="T128" s="48"/>
      <c r="U128" s="82"/>
      <c r="V128" s="26"/>
      <c r="W128" s="200"/>
      <c r="X128" s="17"/>
    </row>
    <row r="129" spans="2:24" x14ac:dyDescent="0.25">
      <c r="B129" s="17">
        <v>127</v>
      </c>
      <c r="C129" s="10"/>
      <c r="D129" s="10"/>
      <c r="E129" s="72"/>
      <c r="F129" s="18"/>
      <c r="G129" s="10"/>
      <c r="H129" s="10"/>
      <c r="I129" s="10"/>
      <c r="J129" s="11"/>
      <c r="K129" s="11">
        <f t="shared" si="163"/>
        <v>0</v>
      </c>
      <c r="L129" s="37">
        <f t="shared" si="164"/>
        <v>0</v>
      </c>
      <c r="M129" s="11"/>
      <c r="N129" s="10"/>
      <c r="O129" s="21"/>
      <c r="P129" s="21"/>
      <c r="Q129" s="21"/>
      <c r="R129" s="23"/>
      <c r="S129" s="50"/>
      <c r="T129" s="48"/>
      <c r="U129" s="82"/>
      <c r="V129" s="26"/>
      <c r="W129" s="200"/>
      <c r="X129" s="17"/>
    </row>
    <row r="130" spans="2:24" x14ac:dyDescent="0.25">
      <c r="B130" s="17">
        <v>128</v>
      </c>
      <c r="C130" s="10"/>
      <c r="D130" s="10"/>
      <c r="E130" s="72"/>
      <c r="F130" s="18"/>
      <c r="G130" s="10"/>
      <c r="H130" s="10"/>
      <c r="I130" s="10"/>
      <c r="J130" s="11"/>
      <c r="K130" s="11">
        <f t="shared" si="163"/>
        <v>0</v>
      </c>
      <c r="L130" s="37">
        <f t="shared" si="164"/>
        <v>0</v>
      </c>
      <c r="M130" s="11"/>
      <c r="N130" s="10"/>
      <c r="O130" s="21"/>
      <c r="P130" s="21"/>
      <c r="Q130" s="21"/>
      <c r="R130" s="23"/>
      <c r="S130" s="50"/>
      <c r="T130" s="48"/>
      <c r="U130" s="82"/>
      <c r="V130" s="26"/>
      <c r="W130" s="200"/>
      <c r="X130" s="17"/>
    </row>
    <row r="131" spans="2:24" x14ac:dyDescent="0.25">
      <c r="B131" s="17">
        <v>129</v>
      </c>
      <c r="C131" s="10"/>
      <c r="D131" s="10"/>
      <c r="E131" s="72"/>
      <c r="F131" s="18"/>
      <c r="G131" s="10"/>
      <c r="H131" s="10"/>
      <c r="I131" s="10"/>
      <c r="J131" s="11"/>
      <c r="K131" s="11">
        <f t="shared" si="163"/>
        <v>0</v>
      </c>
      <c r="L131" s="37">
        <f t="shared" si="164"/>
        <v>0</v>
      </c>
      <c r="M131" s="11"/>
      <c r="N131" s="10"/>
      <c r="O131" s="21"/>
      <c r="P131" s="21"/>
      <c r="Q131" s="21"/>
      <c r="R131" s="23"/>
      <c r="S131" s="50"/>
      <c r="T131" s="48"/>
      <c r="U131" s="82"/>
      <c r="V131" s="26"/>
      <c r="W131" s="200"/>
      <c r="X131" s="17"/>
    </row>
    <row r="132" spans="2:24" x14ac:dyDescent="0.25">
      <c r="B132" s="17">
        <v>130</v>
      </c>
      <c r="C132" s="10"/>
      <c r="D132" s="10"/>
      <c r="E132" s="72"/>
      <c r="F132" s="18"/>
      <c r="G132" s="10"/>
      <c r="H132" s="10"/>
      <c r="I132" s="10"/>
      <c r="J132" s="11"/>
      <c r="K132" s="11">
        <f t="shared" ref="K132:K195" si="195">J132*1.1</f>
        <v>0</v>
      </c>
      <c r="L132" s="37">
        <f t="shared" ref="L132:L195" si="196">J132*0.00000001</f>
        <v>0</v>
      </c>
      <c r="M132" s="11"/>
      <c r="N132" s="10"/>
      <c r="O132" s="21"/>
      <c r="P132" s="21"/>
      <c r="Q132" s="21"/>
      <c r="R132" s="23"/>
      <c r="S132" s="50"/>
      <c r="T132" s="48"/>
      <c r="U132" s="82"/>
      <c r="V132" s="26"/>
      <c r="W132" s="200"/>
      <c r="X132" s="17"/>
    </row>
    <row r="133" spans="2:24" x14ac:dyDescent="0.25">
      <c r="B133" s="17">
        <v>131</v>
      </c>
      <c r="C133" s="10"/>
      <c r="D133" s="10"/>
      <c r="E133" s="72"/>
      <c r="F133" s="18"/>
      <c r="G133" s="10"/>
      <c r="H133" s="10"/>
      <c r="I133" s="10"/>
      <c r="J133" s="11"/>
      <c r="K133" s="11">
        <f t="shared" si="195"/>
        <v>0</v>
      </c>
      <c r="L133" s="37">
        <f t="shared" si="196"/>
        <v>0</v>
      </c>
      <c r="M133" s="11"/>
      <c r="N133" s="10"/>
      <c r="O133" s="21"/>
      <c r="P133" s="21"/>
      <c r="Q133" s="21"/>
      <c r="R133" s="23"/>
      <c r="S133" s="50"/>
      <c r="T133" s="48"/>
      <c r="U133" s="82"/>
      <c r="V133" s="32"/>
      <c r="W133" s="200"/>
      <c r="X133" s="17"/>
    </row>
    <row r="134" spans="2:24" x14ac:dyDescent="0.25">
      <c r="B134" s="17">
        <v>132</v>
      </c>
      <c r="C134" s="10"/>
      <c r="D134" s="10"/>
      <c r="E134" s="72"/>
      <c r="F134" s="18"/>
      <c r="G134" s="10"/>
      <c r="H134" s="10"/>
      <c r="I134" s="10"/>
      <c r="J134" s="11"/>
      <c r="K134" s="11">
        <f t="shared" si="195"/>
        <v>0</v>
      </c>
      <c r="L134" s="37">
        <f t="shared" si="196"/>
        <v>0</v>
      </c>
      <c r="M134" s="11"/>
      <c r="N134" s="10"/>
      <c r="O134" s="21"/>
      <c r="P134" s="21"/>
      <c r="Q134" s="21"/>
      <c r="R134" s="23"/>
      <c r="S134" s="50"/>
      <c r="T134" s="48"/>
      <c r="U134" s="82"/>
      <c r="V134" s="32"/>
      <c r="W134" s="200"/>
      <c r="X134" s="17"/>
    </row>
    <row r="135" spans="2:24" x14ac:dyDescent="0.25">
      <c r="B135" s="17">
        <v>133</v>
      </c>
      <c r="C135" s="10"/>
      <c r="D135" s="10"/>
      <c r="E135" s="72"/>
      <c r="F135" s="18"/>
      <c r="G135" s="10"/>
      <c r="H135" s="10"/>
      <c r="I135" s="10"/>
      <c r="J135" s="11"/>
      <c r="K135" s="11">
        <f t="shared" si="195"/>
        <v>0</v>
      </c>
      <c r="L135" s="37">
        <f t="shared" si="196"/>
        <v>0</v>
      </c>
      <c r="M135" s="11"/>
      <c r="N135" s="10"/>
      <c r="O135" s="21"/>
      <c r="P135" s="21"/>
      <c r="Q135" s="21"/>
      <c r="R135" s="23"/>
      <c r="S135" s="50"/>
      <c r="T135" s="48"/>
      <c r="U135" s="82"/>
      <c r="V135" s="32"/>
      <c r="W135" s="200"/>
      <c r="X135" s="17"/>
    </row>
    <row r="136" spans="2:24" x14ac:dyDescent="0.25">
      <c r="B136" s="17">
        <v>134</v>
      </c>
      <c r="C136" s="10"/>
      <c r="D136" s="10"/>
      <c r="E136" s="72"/>
      <c r="F136" s="18"/>
      <c r="G136" s="10"/>
      <c r="H136" s="10"/>
      <c r="I136" s="10"/>
      <c r="J136" s="11"/>
      <c r="K136" s="11">
        <f t="shared" si="195"/>
        <v>0</v>
      </c>
      <c r="L136" s="37">
        <f t="shared" si="196"/>
        <v>0</v>
      </c>
      <c r="M136" s="11"/>
      <c r="N136" s="10"/>
      <c r="O136" s="21"/>
      <c r="P136" s="21"/>
      <c r="Q136" s="21"/>
      <c r="R136" s="23"/>
      <c r="S136" s="50"/>
      <c r="T136" s="48"/>
      <c r="U136" s="82"/>
      <c r="V136" s="32"/>
      <c r="W136" s="200"/>
      <c r="X136" s="17"/>
    </row>
    <row r="137" spans="2:24" x14ac:dyDescent="0.25">
      <c r="B137" s="17">
        <v>135</v>
      </c>
      <c r="C137" s="10"/>
      <c r="D137" s="10"/>
      <c r="E137" s="72"/>
      <c r="F137" s="18"/>
      <c r="G137" s="10"/>
      <c r="H137" s="10"/>
      <c r="I137" s="10"/>
      <c r="J137" s="11"/>
      <c r="K137" s="11">
        <f t="shared" si="195"/>
        <v>0</v>
      </c>
      <c r="L137" s="37">
        <f t="shared" si="196"/>
        <v>0</v>
      </c>
      <c r="M137" s="11"/>
      <c r="N137" s="10"/>
      <c r="O137" s="21"/>
      <c r="P137" s="21"/>
      <c r="Q137" s="21"/>
      <c r="R137" s="23"/>
      <c r="S137" s="50"/>
      <c r="T137" s="48"/>
      <c r="U137" s="82"/>
      <c r="V137" s="26"/>
      <c r="W137" s="200"/>
      <c r="X137" s="17"/>
    </row>
    <row r="138" spans="2:24" x14ac:dyDescent="0.25">
      <c r="B138" s="17">
        <v>136</v>
      </c>
      <c r="C138" s="10"/>
      <c r="D138" s="10"/>
      <c r="E138" s="72"/>
      <c r="F138" s="18"/>
      <c r="G138" s="10"/>
      <c r="H138" s="10"/>
      <c r="I138" s="10"/>
      <c r="J138" s="11"/>
      <c r="K138" s="11">
        <f t="shared" si="195"/>
        <v>0</v>
      </c>
      <c r="L138" s="37">
        <f t="shared" si="196"/>
        <v>0</v>
      </c>
      <c r="M138" s="11"/>
      <c r="N138" s="10"/>
      <c r="O138" s="21"/>
      <c r="P138" s="21"/>
      <c r="Q138" s="21"/>
      <c r="R138" s="23"/>
      <c r="S138" s="50"/>
      <c r="T138" s="48"/>
      <c r="U138" s="82"/>
      <c r="V138" s="26"/>
      <c r="W138" s="200"/>
      <c r="X138" s="17"/>
    </row>
    <row r="139" spans="2:24" x14ac:dyDescent="0.25">
      <c r="B139" s="17">
        <v>137</v>
      </c>
      <c r="C139" s="10"/>
      <c r="D139" s="10"/>
      <c r="E139" s="72"/>
      <c r="F139" s="18"/>
      <c r="G139" s="10"/>
      <c r="H139" s="10"/>
      <c r="I139" s="10"/>
      <c r="J139" s="11"/>
      <c r="K139" s="11">
        <f t="shared" si="195"/>
        <v>0</v>
      </c>
      <c r="L139" s="37">
        <f t="shared" si="196"/>
        <v>0</v>
      </c>
      <c r="M139" s="11"/>
      <c r="N139" s="10"/>
      <c r="O139" s="21"/>
      <c r="P139" s="21"/>
      <c r="Q139" s="21"/>
      <c r="R139" s="23"/>
      <c r="S139" s="50"/>
      <c r="T139" s="48"/>
      <c r="U139" s="82"/>
      <c r="V139" s="26"/>
      <c r="W139" s="200"/>
      <c r="X139" s="17"/>
    </row>
    <row r="140" spans="2:24" x14ac:dyDescent="0.25">
      <c r="B140" s="17">
        <v>138</v>
      </c>
      <c r="C140" s="10"/>
      <c r="D140" s="10"/>
      <c r="E140" s="72"/>
      <c r="F140" s="18"/>
      <c r="G140" s="10"/>
      <c r="H140" s="10"/>
      <c r="I140" s="10"/>
      <c r="J140" s="11"/>
      <c r="K140" s="11">
        <f t="shared" si="195"/>
        <v>0</v>
      </c>
      <c r="L140" s="37">
        <f t="shared" si="196"/>
        <v>0</v>
      </c>
      <c r="M140" s="11"/>
      <c r="N140" s="10"/>
      <c r="O140" s="21"/>
      <c r="P140" s="21"/>
      <c r="Q140" s="21"/>
      <c r="R140" s="23"/>
      <c r="S140" s="50"/>
      <c r="T140" s="48"/>
      <c r="U140" s="82"/>
      <c r="V140" s="26"/>
      <c r="W140" s="200"/>
      <c r="X140" s="17"/>
    </row>
    <row r="141" spans="2:24" x14ac:dyDescent="0.25">
      <c r="B141" s="17">
        <v>139</v>
      </c>
      <c r="C141" s="10"/>
      <c r="D141" s="10"/>
      <c r="E141" s="72"/>
      <c r="F141" s="18"/>
      <c r="G141" s="10"/>
      <c r="H141" s="10"/>
      <c r="I141" s="10"/>
      <c r="J141" s="11"/>
      <c r="K141" s="11">
        <f t="shared" si="195"/>
        <v>0</v>
      </c>
      <c r="L141" s="37">
        <f t="shared" si="196"/>
        <v>0</v>
      </c>
      <c r="M141" s="11"/>
      <c r="N141" s="10"/>
      <c r="O141" s="21"/>
      <c r="P141" s="21"/>
      <c r="Q141" s="21"/>
      <c r="R141" s="23"/>
      <c r="S141" s="50"/>
      <c r="T141" s="48"/>
      <c r="U141" s="82"/>
      <c r="V141" s="26"/>
      <c r="W141" s="200"/>
      <c r="X141" s="17"/>
    </row>
    <row r="142" spans="2:24" x14ac:dyDescent="0.25">
      <c r="B142" s="17">
        <v>140</v>
      </c>
      <c r="C142" s="10"/>
      <c r="D142" s="10"/>
      <c r="E142" s="72"/>
      <c r="F142" s="18"/>
      <c r="G142" s="10"/>
      <c r="H142" s="10"/>
      <c r="I142" s="10"/>
      <c r="J142" s="11"/>
      <c r="K142" s="11">
        <f t="shared" si="195"/>
        <v>0</v>
      </c>
      <c r="L142" s="37">
        <f t="shared" si="196"/>
        <v>0</v>
      </c>
      <c r="M142" s="11"/>
      <c r="N142" s="10"/>
      <c r="O142" s="21"/>
      <c r="P142" s="21"/>
      <c r="Q142" s="21"/>
      <c r="R142" s="23"/>
      <c r="S142" s="50"/>
      <c r="T142" s="48"/>
      <c r="U142" s="82"/>
      <c r="V142" s="32"/>
      <c r="W142" s="200"/>
      <c r="X142" s="17"/>
    </row>
    <row r="143" spans="2:24" x14ac:dyDescent="0.25">
      <c r="B143" s="17">
        <v>141</v>
      </c>
      <c r="C143" s="10"/>
      <c r="D143" s="10"/>
      <c r="E143" s="72"/>
      <c r="F143" s="18"/>
      <c r="G143" s="10"/>
      <c r="H143" s="10"/>
      <c r="I143" s="10"/>
      <c r="J143" s="11"/>
      <c r="K143" s="11">
        <f t="shared" si="195"/>
        <v>0</v>
      </c>
      <c r="L143" s="37">
        <f t="shared" si="196"/>
        <v>0</v>
      </c>
      <c r="M143" s="11"/>
      <c r="N143" s="10"/>
      <c r="O143" s="21"/>
      <c r="P143" s="21"/>
      <c r="Q143" s="21"/>
      <c r="R143" s="23"/>
      <c r="S143" s="50"/>
      <c r="T143" s="48"/>
      <c r="U143" s="82"/>
      <c r="V143" s="32"/>
      <c r="W143" s="200"/>
      <c r="X143" s="17"/>
    </row>
    <row r="144" spans="2:24" x14ac:dyDescent="0.25">
      <c r="B144" s="17">
        <v>142</v>
      </c>
      <c r="C144" s="10"/>
      <c r="D144" s="10"/>
      <c r="E144" s="72"/>
      <c r="F144" s="18"/>
      <c r="G144" s="10"/>
      <c r="H144" s="10"/>
      <c r="I144" s="10"/>
      <c r="J144" s="11"/>
      <c r="K144" s="11">
        <f t="shared" si="195"/>
        <v>0</v>
      </c>
      <c r="L144" s="37">
        <f t="shared" si="196"/>
        <v>0</v>
      </c>
      <c r="M144" s="11"/>
      <c r="N144" s="10"/>
      <c r="O144" s="21"/>
      <c r="P144" s="21"/>
      <c r="Q144" s="21"/>
      <c r="R144" s="23"/>
      <c r="S144" s="50"/>
      <c r="T144" s="48"/>
      <c r="U144" s="82"/>
      <c r="V144" s="26"/>
      <c r="W144" s="200"/>
      <c r="X144" s="17"/>
    </row>
    <row r="145" spans="2:24" x14ac:dyDescent="0.25">
      <c r="B145" s="17">
        <v>143</v>
      </c>
      <c r="C145" s="10"/>
      <c r="D145" s="10"/>
      <c r="E145" s="72"/>
      <c r="F145" s="18"/>
      <c r="G145" s="10"/>
      <c r="H145" s="10"/>
      <c r="I145" s="10"/>
      <c r="J145" s="11"/>
      <c r="K145" s="11">
        <f t="shared" si="195"/>
        <v>0</v>
      </c>
      <c r="L145" s="37">
        <f t="shared" si="196"/>
        <v>0</v>
      </c>
      <c r="M145" s="11"/>
      <c r="N145" s="10"/>
      <c r="O145" s="21"/>
      <c r="P145" s="21"/>
      <c r="Q145" s="21"/>
      <c r="R145" s="23"/>
      <c r="S145" s="50"/>
      <c r="T145" s="48"/>
      <c r="U145" s="82"/>
      <c r="V145" s="26"/>
      <c r="W145" s="200"/>
      <c r="X145" s="17"/>
    </row>
    <row r="146" spans="2:24" x14ac:dyDescent="0.25">
      <c r="B146" s="17">
        <v>144</v>
      </c>
      <c r="C146" s="10"/>
      <c r="D146" s="10"/>
      <c r="E146" s="72"/>
      <c r="F146" s="18"/>
      <c r="G146" s="10"/>
      <c r="H146" s="10"/>
      <c r="I146" s="10"/>
      <c r="J146" s="11"/>
      <c r="K146" s="11">
        <f t="shared" si="195"/>
        <v>0</v>
      </c>
      <c r="L146" s="37">
        <f t="shared" si="196"/>
        <v>0</v>
      </c>
      <c r="M146" s="11"/>
      <c r="N146" s="10"/>
      <c r="O146" s="21"/>
      <c r="P146" s="21"/>
      <c r="Q146" s="21"/>
      <c r="R146" s="23"/>
      <c r="S146" s="50"/>
      <c r="T146" s="48"/>
      <c r="U146" s="82"/>
      <c r="V146" s="26"/>
      <c r="W146" s="200"/>
      <c r="X146" s="17"/>
    </row>
    <row r="147" spans="2:24" x14ac:dyDescent="0.25">
      <c r="B147" s="17">
        <v>145</v>
      </c>
      <c r="C147" s="10"/>
      <c r="D147" s="10"/>
      <c r="E147" s="72"/>
      <c r="F147" s="18"/>
      <c r="G147" s="10"/>
      <c r="H147" s="10"/>
      <c r="I147" s="10"/>
      <c r="J147" s="11"/>
      <c r="K147" s="11">
        <f t="shared" si="195"/>
        <v>0</v>
      </c>
      <c r="L147" s="37">
        <f t="shared" si="196"/>
        <v>0</v>
      </c>
      <c r="M147" s="11"/>
      <c r="N147" s="10"/>
      <c r="O147" s="21"/>
      <c r="P147" s="21"/>
      <c r="Q147" s="21"/>
      <c r="R147" s="23"/>
      <c r="S147" s="50"/>
      <c r="T147" s="48"/>
      <c r="U147" s="82"/>
      <c r="V147" s="26"/>
      <c r="W147" s="200"/>
      <c r="X147" s="17"/>
    </row>
    <row r="148" spans="2:24" x14ac:dyDescent="0.25">
      <c r="B148" s="17">
        <v>146</v>
      </c>
      <c r="C148" s="10"/>
      <c r="D148" s="10"/>
      <c r="E148" s="72"/>
      <c r="F148" s="18"/>
      <c r="G148" s="10"/>
      <c r="H148" s="10"/>
      <c r="I148" s="10"/>
      <c r="J148" s="11"/>
      <c r="K148" s="11">
        <f t="shared" si="195"/>
        <v>0</v>
      </c>
      <c r="L148" s="37">
        <f t="shared" si="196"/>
        <v>0</v>
      </c>
      <c r="M148" s="11"/>
      <c r="N148" s="10"/>
      <c r="O148" s="21"/>
      <c r="P148" s="21"/>
      <c r="Q148" s="21"/>
      <c r="R148" s="23"/>
      <c r="S148" s="50"/>
      <c r="T148" s="48"/>
      <c r="U148" s="82"/>
      <c r="V148" s="32"/>
      <c r="W148" s="200"/>
      <c r="X148" s="17"/>
    </row>
    <row r="149" spans="2:24" x14ac:dyDescent="0.25">
      <c r="B149" s="17">
        <v>147</v>
      </c>
      <c r="C149" s="10"/>
      <c r="D149" s="10"/>
      <c r="E149" s="72"/>
      <c r="F149" s="18"/>
      <c r="G149" s="10"/>
      <c r="H149" s="10"/>
      <c r="I149" s="10"/>
      <c r="J149" s="11"/>
      <c r="K149" s="11">
        <f t="shared" si="195"/>
        <v>0</v>
      </c>
      <c r="L149" s="37">
        <f t="shared" si="196"/>
        <v>0</v>
      </c>
      <c r="M149" s="11"/>
      <c r="N149" s="10"/>
      <c r="O149" s="21"/>
      <c r="P149" s="21"/>
      <c r="Q149" s="21"/>
      <c r="R149" s="23"/>
      <c r="S149" s="50"/>
      <c r="T149" s="48"/>
      <c r="U149" s="82"/>
      <c r="V149" s="32"/>
      <c r="W149" s="200"/>
      <c r="X149" s="17"/>
    </row>
    <row r="150" spans="2:24" x14ac:dyDescent="0.25">
      <c r="B150" s="17">
        <v>148</v>
      </c>
      <c r="C150" s="10"/>
      <c r="D150" s="10"/>
      <c r="E150" s="72"/>
      <c r="F150" s="18"/>
      <c r="G150" s="10"/>
      <c r="H150" s="10"/>
      <c r="I150" s="10"/>
      <c r="J150" s="11"/>
      <c r="K150" s="11">
        <f t="shared" si="195"/>
        <v>0</v>
      </c>
      <c r="L150" s="37">
        <f t="shared" si="196"/>
        <v>0</v>
      </c>
      <c r="M150" s="11"/>
      <c r="N150" s="10"/>
      <c r="O150" s="21"/>
      <c r="P150" s="21"/>
      <c r="Q150" s="21"/>
      <c r="R150" s="23"/>
      <c r="S150" s="50"/>
      <c r="T150" s="48"/>
      <c r="U150" s="82"/>
      <c r="V150" s="26"/>
      <c r="W150" s="200"/>
      <c r="X150" s="17"/>
    </row>
    <row r="151" spans="2:24" x14ac:dyDescent="0.25">
      <c r="B151" s="17">
        <v>149</v>
      </c>
      <c r="C151" s="10"/>
      <c r="D151" s="10"/>
      <c r="E151" s="72"/>
      <c r="F151" s="18"/>
      <c r="G151" s="10"/>
      <c r="H151" s="10"/>
      <c r="I151" s="10"/>
      <c r="J151" s="11"/>
      <c r="K151" s="11">
        <f t="shared" si="195"/>
        <v>0</v>
      </c>
      <c r="L151" s="37">
        <f t="shared" si="196"/>
        <v>0</v>
      </c>
      <c r="M151" s="11"/>
      <c r="N151" s="10"/>
      <c r="O151" s="21"/>
      <c r="P151" s="21"/>
      <c r="Q151" s="21"/>
      <c r="R151" s="23"/>
      <c r="S151" s="50"/>
      <c r="T151" s="48"/>
      <c r="U151" s="82"/>
      <c r="V151" s="26"/>
      <c r="W151" s="200"/>
      <c r="X151" s="17"/>
    </row>
    <row r="152" spans="2:24" x14ac:dyDescent="0.25">
      <c r="B152" s="17">
        <v>150</v>
      </c>
      <c r="C152" s="10"/>
      <c r="D152" s="10"/>
      <c r="E152" s="72"/>
      <c r="F152" s="18"/>
      <c r="G152" s="10"/>
      <c r="H152" s="10"/>
      <c r="I152" s="10"/>
      <c r="J152" s="11"/>
      <c r="K152" s="11">
        <f t="shared" si="195"/>
        <v>0</v>
      </c>
      <c r="L152" s="37">
        <f t="shared" si="196"/>
        <v>0</v>
      </c>
      <c r="M152" s="11"/>
      <c r="N152" s="10"/>
      <c r="O152" s="21"/>
      <c r="P152" s="21"/>
      <c r="Q152" s="21"/>
      <c r="R152" s="23"/>
      <c r="S152" s="50"/>
      <c r="T152" s="48"/>
      <c r="U152" s="82"/>
      <c r="V152" s="26"/>
      <c r="W152" s="200"/>
      <c r="X152" s="17"/>
    </row>
    <row r="153" spans="2:24" x14ac:dyDescent="0.25">
      <c r="B153" s="17">
        <v>151</v>
      </c>
      <c r="C153" s="10"/>
      <c r="D153" s="10"/>
      <c r="E153" s="72"/>
      <c r="F153" s="18"/>
      <c r="G153" s="10"/>
      <c r="H153" s="10"/>
      <c r="I153" s="10"/>
      <c r="J153" s="11"/>
      <c r="K153" s="11">
        <f t="shared" si="195"/>
        <v>0</v>
      </c>
      <c r="L153" s="37">
        <f t="shared" si="196"/>
        <v>0</v>
      </c>
      <c r="M153" s="11"/>
      <c r="N153" s="10"/>
      <c r="O153" s="21"/>
      <c r="P153" s="21"/>
      <c r="Q153" s="21"/>
      <c r="R153" s="23"/>
      <c r="S153" s="50"/>
      <c r="T153" s="48"/>
      <c r="U153" s="82"/>
      <c r="V153" s="26"/>
      <c r="W153" s="200"/>
      <c r="X153" s="17"/>
    </row>
    <row r="154" spans="2:24" x14ac:dyDescent="0.25">
      <c r="B154" s="17">
        <v>152</v>
      </c>
      <c r="C154" s="10"/>
      <c r="D154" s="10"/>
      <c r="E154" s="72"/>
      <c r="F154" s="18"/>
      <c r="G154" s="10"/>
      <c r="H154" s="10"/>
      <c r="I154" s="10"/>
      <c r="J154" s="11"/>
      <c r="K154" s="11">
        <f t="shared" si="195"/>
        <v>0</v>
      </c>
      <c r="L154" s="37">
        <f t="shared" si="196"/>
        <v>0</v>
      </c>
      <c r="M154" s="11"/>
      <c r="N154" s="10"/>
      <c r="O154" s="21"/>
      <c r="P154" s="21"/>
      <c r="Q154" s="21"/>
      <c r="R154" s="23"/>
      <c r="S154" s="50"/>
      <c r="T154" s="48"/>
      <c r="U154" s="82"/>
      <c r="V154" s="26"/>
      <c r="W154" s="200"/>
      <c r="X154" s="17"/>
    </row>
    <row r="155" spans="2:24" x14ac:dyDescent="0.25">
      <c r="B155" s="17">
        <v>153</v>
      </c>
      <c r="C155" s="10"/>
      <c r="D155" s="10"/>
      <c r="E155" s="72"/>
      <c r="F155" s="18"/>
      <c r="G155" s="10"/>
      <c r="H155" s="10"/>
      <c r="I155" s="10"/>
      <c r="J155" s="11"/>
      <c r="K155" s="11">
        <f t="shared" si="195"/>
        <v>0</v>
      </c>
      <c r="L155" s="37">
        <f t="shared" si="196"/>
        <v>0</v>
      </c>
      <c r="M155" s="11"/>
      <c r="N155" s="10"/>
      <c r="O155" s="21"/>
      <c r="P155" s="21"/>
      <c r="Q155" s="21"/>
      <c r="R155" s="23"/>
      <c r="S155" s="50"/>
      <c r="T155" s="48"/>
      <c r="U155" s="82"/>
      <c r="V155" s="32"/>
      <c r="W155" s="200"/>
      <c r="X155" s="17"/>
    </row>
    <row r="156" spans="2:24" x14ac:dyDescent="0.25">
      <c r="B156" s="17">
        <v>154</v>
      </c>
      <c r="C156" s="10"/>
      <c r="D156" s="10"/>
      <c r="E156" s="72"/>
      <c r="F156" s="18"/>
      <c r="G156" s="10"/>
      <c r="H156" s="10"/>
      <c r="I156" s="10"/>
      <c r="J156" s="11"/>
      <c r="K156" s="11">
        <f t="shared" si="195"/>
        <v>0</v>
      </c>
      <c r="L156" s="37">
        <f t="shared" si="196"/>
        <v>0</v>
      </c>
      <c r="M156" s="11"/>
      <c r="N156" s="10"/>
      <c r="O156" s="21"/>
      <c r="P156" s="21"/>
      <c r="Q156" s="21"/>
      <c r="R156" s="23"/>
      <c r="S156" s="50"/>
      <c r="T156" s="48"/>
      <c r="U156" s="82"/>
      <c r="V156" s="32"/>
      <c r="W156" s="200"/>
      <c r="X156" s="17"/>
    </row>
    <row r="157" spans="2:24" x14ac:dyDescent="0.25">
      <c r="B157" s="17">
        <v>155</v>
      </c>
      <c r="C157" s="10"/>
      <c r="D157" s="10"/>
      <c r="E157" s="72"/>
      <c r="F157" s="18"/>
      <c r="G157" s="10"/>
      <c r="H157" s="10"/>
      <c r="I157" s="10"/>
      <c r="J157" s="11"/>
      <c r="K157" s="11">
        <f t="shared" si="195"/>
        <v>0</v>
      </c>
      <c r="L157" s="37">
        <f t="shared" si="196"/>
        <v>0</v>
      </c>
      <c r="M157" s="11"/>
      <c r="N157" s="10"/>
      <c r="O157" s="21"/>
      <c r="P157" s="21"/>
      <c r="Q157" s="21"/>
      <c r="R157" s="23"/>
      <c r="S157" s="50"/>
      <c r="T157" s="48"/>
      <c r="U157" s="82"/>
      <c r="V157" s="26"/>
      <c r="W157" s="200"/>
      <c r="X157" s="17"/>
    </row>
    <row r="158" spans="2:24" x14ac:dyDescent="0.25">
      <c r="B158" s="17">
        <v>156</v>
      </c>
      <c r="C158" s="10"/>
      <c r="D158" s="10"/>
      <c r="E158" s="72"/>
      <c r="F158" s="18"/>
      <c r="G158" s="10"/>
      <c r="H158" s="10"/>
      <c r="I158" s="10"/>
      <c r="J158" s="11"/>
      <c r="K158" s="11">
        <f t="shared" si="195"/>
        <v>0</v>
      </c>
      <c r="L158" s="37">
        <f t="shared" si="196"/>
        <v>0</v>
      </c>
      <c r="M158" s="11"/>
      <c r="N158" s="10"/>
      <c r="O158" s="21"/>
      <c r="P158" s="21"/>
      <c r="Q158" s="21"/>
      <c r="R158" s="23"/>
      <c r="S158" s="50"/>
      <c r="T158" s="48"/>
      <c r="U158" s="82"/>
      <c r="V158" s="26"/>
      <c r="W158" s="200"/>
      <c r="X158" s="17"/>
    </row>
    <row r="159" spans="2:24" x14ac:dyDescent="0.25">
      <c r="B159" s="17">
        <v>157</v>
      </c>
      <c r="C159" s="10"/>
      <c r="D159" s="10"/>
      <c r="E159" s="72"/>
      <c r="F159" s="18"/>
      <c r="G159" s="10"/>
      <c r="H159" s="10"/>
      <c r="I159" s="10"/>
      <c r="J159" s="11"/>
      <c r="K159" s="11">
        <f t="shared" si="195"/>
        <v>0</v>
      </c>
      <c r="L159" s="37">
        <f t="shared" si="196"/>
        <v>0</v>
      </c>
      <c r="M159" s="11"/>
      <c r="N159" s="10"/>
      <c r="O159" s="21"/>
      <c r="P159" s="21"/>
      <c r="Q159" s="21"/>
      <c r="R159" s="23"/>
      <c r="S159" s="50"/>
      <c r="T159" s="48"/>
      <c r="U159" s="82"/>
      <c r="V159" s="26"/>
      <c r="W159" s="200"/>
      <c r="X159" s="17"/>
    </row>
    <row r="160" spans="2:24" x14ac:dyDescent="0.25">
      <c r="B160" s="17">
        <v>158</v>
      </c>
      <c r="C160" s="10"/>
      <c r="D160" s="10"/>
      <c r="E160" s="72"/>
      <c r="F160" s="18"/>
      <c r="G160" s="10"/>
      <c r="H160" s="10"/>
      <c r="I160" s="10"/>
      <c r="J160" s="11"/>
      <c r="K160" s="11">
        <f t="shared" si="195"/>
        <v>0</v>
      </c>
      <c r="L160" s="37">
        <f t="shared" si="196"/>
        <v>0</v>
      </c>
      <c r="M160" s="11"/>
      <c r="N160" s="10"/>
      <c r="O160" s="21"/>
      <c r="P160" s="21"/>
      <c r="Q160" s="21"/>
      <c r="R160" s="23"/>
      <c r="S160" s="50"/>
      <c r="T160" s="48"/>
      <c r="U160" s="82"/>
      <c r="V160" s="26"/>
      <c r="W160" s="200"/>
      <c r="X160" s="17"/>
    </row>
    <row r="161" spans="2:24" x14ac:dyDescent="0.25">
      <c r="B161" s="17">
        <v>159</v>
      </c>
      <c r="C161" s="10"/>
      <c r="D161" s="10"/>
      <c r="E161" s="72"/>
      <c r="F161" s="18"/>
      <c r="G161" s="10"/>
      <c r="H161" s="10"/>
      <c r="I161" s="10"/>
      <c r="J161" s="11"/>
      <c r="K161" s="11">
        <f t="shared" si="195"/>
        <v>0</v>
      </c>
      <c r="L161" s="37">
        <f t="shared" si="196"/>
        <v>0</v>
      </c>
      <c r="M161" s="11"/>
      <c r="N161" s="10"/>
      <c r="O161" s="21"/>
      <c r="P161" s="21"/>
      <c r="Q161" s="21"/>
      <c r="R161" s="23"/>
      <c r="S161" s="50"/>
      <c r="T161" s="48"/>
      <c r="U161" s="82"/>
      <c r="V161" s="26"/>
      <c r="W161" s="200"/>
      <c r="X161" s="17"/>
    </row>
    <row r="162" spans="2:24" x14ac:dyDescent="0.25">
      <c r="B162" s="17">
        <v>160</v>
      </c>
      <c r="C162" s="10"/>
      <c r="D162" s="10"/>
      <c r="E162" s="72"/>
      <c r="F162" s="18"/>
      <c r="G162" s="10"/>
      <c r="H162" s="10"/>
      <c r="I162" s="10"/>
      <c r="J162" s="11"/>
      <c r="K162" s="11">
        <f t="shared" si="195"/>
        <v>0</v>
      </c>
      <c r="L162" s="37">
        <f t="shared" si="196"/>
        <v>0</v>
      </c>
      <c r="M162" s="11"/>
      <c r="N162" s="10"/>
      <c r="O162" s="21"/>
      <c r="P162" s="21"/>
      <c r="Q162" s="21"/>
      <c r="R162" s="23"/>
      <c r="S162" s="50"/>
      <c r="T162" s="48"/>
      <c r="U162" s="82"/>
      <c r="V162" s="32"/>
      <c r="W162" s="200"/>
      <c r="X162" s="17"/>
    </row>
    <row r="163" spans="2:24" x14ac:dyDescent="0.25">
      <c r="B163" s="17">
        <v>161</v>
      </c>
      <c r="C163" s="10"/>
      <c r="D163" s="10"/>
      <c r="E163" s="72"/>
      <c r="F163" s="18"/>
      <c r="G163" s="10"/>
      <c r="H163" s="10"/>
      <c r="I163" s="10"/>
      <c r="J163" s="11"/>
      <c r="K163" s="11">
        <f t="shared" si="195"/>
        <v>0</v>
      </c>
      <c r="L163" s="37">
        <f t="shared" si="196"/>
        <v>0</v>
      </c>
      <c r="M163" s="11"/>
      <c r="N163" s="10"/>
      <c r="O163" s="21"/>
      <c r="P163" s="21"/>
      <c r="Q163" s="21"/>
      <c r="R163" s="23"/>
      <c r="S163" s="50"/>
      <c r="T163" s="48"/>
      <c r="U163" s="82"/>
      <c r="V163" s="32"/>
      <c r="W163" s="200"/>
      <c r="X163" s="17"/>
    </row>
    <row r="164" spans="2:24" x14ac:dyDescent="0.25">
      <c r="B164" s="17">
        <v>162</v>
      </c>
      <c r="C164" s="10"/>
      <c r="D164" s="10"/>
      <c r="E164" s="72"/>
      <c r="F164" s="18"/>
      <c r="G164" s="10"/>
      <c r="H164" s="10"/>
      <c r="I164" s="10"/>
      <c r="J164" s="11"/>
      <c r="K164" s="11">
        <f t="shared" si="195"/>
        <v>0</v>
      </c>
      <c r="L164" s="37">
        <f t="shared" si="196"/>
        <v>0</v>
      </c>
      <c r="M164" s="11"/>
      <c r="N164" s="10"/>
      <c r="O164" s="21"/>
      <c r="P164" s="21"/>
      <c r="Q164" s="21"/>
      <c r="R164" s="23"/>
      <c r="S164" s="50"/>
      <c r="T164" s="48"/>
      <c r="U164" s="82"/>
      <c r="V164" s="32"/>
      <c r="W164" s="200"/>
      <c r="X164" s="17"/>
    </row>
    <row r="165" spans="2:24" x14ac:dyDescent="0.25">
      <c r="B165" s="17">
        <v>163</v>
      </c>
      <c r="C165" s="10"/>
      <c r="D165" s="10"/>
      <c r="E165" s="72"/>
      <c r="F165" s="18"/>
      <c r="G165" s="10"/>
      <c r="H165" s="10"/>
      <c r="I165" s="10"/>
      <c r="J165" s="11"/>
      <c r="K165" s="11">
        <f t="shared" si="195"/>
        <v>0</v>
      </c>
      <c r="L165" s="37">
        <f t="shared" si="196"/>
        <v>0</v>
      </c>
      <c r="M165" s="11"/>
      <c r="N165" s="10"/>
      <c r="O165" s="21"/>
      <c r="P165" s="21"/>
      <c r="Q165" s="21"/>
      <c r="R165" s="23"/>
      <c r="S165" s="50"/>
      <c r="T165" s="48"/>
      <c r="U165" s="82"/>
      <c r="V165" s="32"/>
      <c r="W165" s="200"/>
      <c r="X165" s="17"/>
    </row>
    <row r="166" spans="2:24" x14ac:dyDescent="0.25">
      <c r="B166" s="17">
        <v>164</v>
      </c>
      <c r="C166" s="10"/>
      <c r="D166" s="10"/>
      <c r="E166" s="72"/>
      <c r="F166" s="18"/>
      <c r="G166" s="10"/>
      <c r="H166" s="10"/>
      <c r="I166" s="10"/>
      <c r="J166" s="11"/>
      <c r="K166" s="11">
        <f t="shared" si="195"/>
        <v>0</v>
      </c>
      <c r="L166" s="37">
        <f t="shared" si="196"/>
        <v>0</v>
      </c>
      <c r="M166" s="11"/>
      <c r="N166" s="10"/>
      <c r="O166" s="21"/>
      <c r="P166" s="21"/>
      <c r="Q166" s="21"/>
      <c r="R166" s="23"/>
      <c r="S166" s="50"/>
      <c r="T166" s="48"/>
      <c r="U166" s="82"/>
      <c r="V166" s="26"/>
      <c r="W166" s="200"/>
      <c r="X166" s="17"/>
    </row>
    <row r="167" spans="2:24" x14ac:dyDescent="0.25">
      <c r="B167" s="17">
        <v>165</v>
      </c>
      <c r="C167" s="10"/>
      <c r="D167" s="10"/>
      <c r="E167" s="72"/>
      <c r="F167" s="18"/>
      <c r="G167" s="10"/>
      <c r="H167" s="10"/>
      <c r="I167" s="10"/>
      <c r="J167" s="11"/>
      <c r="K167" s="11">
        <f t="shared" si="195"/>
        <v>0</v>
      </c>
      <c r="L167" s="37">
        <f t="shared" si="196"/>
        <v>0</v>
      </c>
      <c r="M167" s="11"/>
      <c r="N167" s="10"/>
      <c r="O167" s="21"/>
      <c r="P167" s="21"/>
      <c r="Q167" s="21"/>
      <c r="R167" s="23"/>
      <c r="S167" s="50"/>
      <c r="T167" s="48"/>
      <c r="U167" s="82"/>
      <c r="V167" s="26"/>
      <c r="W167" s="200"/>
      <c r="X167" s="17"/>
    </row>
    <row r="168" spans="2:24" x14ac:dyDescent="0.25">
      <c r="B168" s="17">
        <v>166</v>
      </c>
      <c r="C168" s="10"/>
      <c r="D168" s="10"/>
      <c r="E168" s="72"/>
      <c r="F168" s="18"/>
      <c r="G168" s="10"/>
      <c r="H168" s="10"/>
      <c r="I168" s="10"/>
      <c r="J168" s="11"/>
      <c r="K168" s="11">
        <f t="shared" si="195"/>
        <v>0</v>
      </c>
      <c r="L168" s="37">
        <f t="shared" si="196"/>
        <v>0</v>
      </c>
      <c r="M168" s="11"/>
      <c r="N168" s="10"/>
      <c r="O168" s="21"/>
      <c r="P168" s="21"/>
      <c r="Q168" s="21"/>
      <c r="R168" s="23"/>
      <c r="S168" s="50"/>
      <c r="T168" s="48"/>
      <c r="U168" s="82"/>
      <c r="V168" s="26"/>
      <c r="W168" s="200"/>
      <c r="X168" s="17"/>
    </row>
    <row r="169" spans="2:24" x14ac:dyDescent="0.25">
      <c r="B169" s="17">
        <v>167</v>
      </c>
      <c r="C169" s="10"/>
      <c r="D169" s="10"/>
      <c r="E169" s="72"/>
      <c r="F169" s="18"/>
      <c r="G169" s="10"/>
      <c r="H169" s="10"/>
      <c r="I169" s="10"/>
      <c r="J169" s="11"/>
      <c r="K169" s="11">
        <f t="shared" si="195"/>
        <v>0</v>
      </c>
      <c r="L169" s="37">
        <f t="shared" si="196"/>
        <v>0</v>
      </c>
      <c r="M169" s="11"/>
      <c r="N169" s="10"/>
      <c r="O169" s="21"/>
      <c r="P169" s="21"/>
      <c r="Q169" s="21"/>
      <c r="R169" s="23"/>
      <c r="S169" s="50"/>
      <c r="T169" s="48"/>
      <c r="U169" s="82"/>
      <c r="V169" s="26"/>
      <c r="W169" s="200"/>
      <c r="X169" s="17"/>
    </row>
    <row r="170" spans="2:24" x14ac:dyDescent="0.25">
      <c r="B170" s="17">
        <v>168</v>
      </c>
      <c r="C170" s="10"/>
      <c r="D170" s="10"/>
      <c r="E170" s="72"/>
      <c r="F170" s="18"/>
      <c r="G170" s="10"/>
      <c r="H170" s="10"/>
      <c r="I170" s="10"/>
      <c r="J170" s="11"/>
      <c r="K170" s="11">
        <f t="shared" si="195"/>
        <v>0</v>
      </c>
      <c r="L170" s="37">
        <f t="shared" si="196"/>
        <v>0</v>
      </c>
      <c r="M170" s="11"/>
      <c r="N170" s="10"/>
      <c r="O170" s="21"/>
      <c r="P170" s="21"/>
      <c r="Q170" s="21"/>
      <c r="R170" s="23"/>
      <c r="S170" s="50"/>
      <c r="T170" s="48"/>
      <c r="U170" s="82"/>
      <c r="V170" s="32"/>
      <c r="W170" s="200"/>
      <c r="X170" s="17"/>
    </row>
    <row r="171" spans="2:24" x14ac:dyDescent="0.25">
      <c r="B171" s="17">
        <v>169</v>
      </c>
      <c r="C171" s="10"/>
      <c r="D171" s="10"/>
      <c r="E171" s="72"/>
      <c r="F171" s="18"/>
      <c r="G171" s="10"/>
      <c r="H171" s="10"/>
      <c r="I171" s="10"/>
      <c r="J171" s="11"/>
      <c r="K171" s="11">
        <f t="shared" si="195"/>
        <v>0</v>
      </c>
      <c r="L171" s="37">
        <f t="shared" si="196"/>
        <v>0</v>
      </c>
      <c r="M171" s="11"/>
      <c r="N171" s="10"/>
      <c r="O171" s="21"/>
      <c r="P171" s="21"/>
      <c r="Q171" s="21"/>
      <c r="R171" s="23"/>
      <c r="S171" s="50"/>
      <c r="T171" s="48"/>
      <c r="U171" s="82"/>
      <c r="V171" s="32"/>
      <c r="W171" s="200"/>
      <c r="X171" s="17"/>
    </row>
    <row r="172" spans="2:24" x14ac:dyDescent="0.25">
      <c r="B172" s="17">
        <v>170</v>
      </c>
      <c r="C172" s="10"/>
      <c r="D172" s="10"/>
      <c r="E172" s="72"/>
      <c r="F172" s="18"/>
      <c r="G172" s="10"/>
      <c r="H172" s="10"/>
      <c r="I172" s="10"/>
      <c r="J172" s="11"/>
      <c r="K172" s="11">
        <f t="shared" si="195"/>
        <v>0</v>
      </c>
      <c r="L172" s="37">
        <f t="shared" si="196"/>
        <v>0</v>
      </c>
      <c r="M172" s="11"/>
      <c r="N172" s="10"/>
      <c r="O172" s="21"/>
      <c r="P172" s="21"/>
      <c r="Q172" s="21"/>
      <c r="R172" s="23"/>
      <c r="S172" s="50"/>
      <c r="T172" s="48"/>
      <c r="U172" s="82"/>
      <c r="V172" s="26"/>
      <c r="W172" s="200"/>
      <c r="X172" s="17"/>
    </row>
    <row r="173" spans="2:24" x14ac:dyDescent="0.25">
      <c r="B173" s="17">
        <v>171</v>
      </c>
      <c r="C173" s="10"/>
      <c r="D173" s="10"/>
      <c r="E173" s="72"/>
      <c r="F173" s="18"/>
      <c r="G173" s="10"/>
      <c r="H173" s="10"/>
      <c r="I173" s="10"/>
      <c r="J173" s="11"/>
      <c r="K173" s="11">
        <f t="shared" si="195"/>
        <v>0</v>
      </c>
      <c r="L173" s="37">
        <f t="shared" si="196"/>
        <v>0</v>
      </c>
      <c r="M173" s="11"/>
      <c r="N173" s="10"/>
      <c r="O173" s="21"/>
      <c r="P173" s="21"/>
      <c r="Q173" s="21"/>
      <c r="R173" s="23"/>
      <c r="S173" s="50"/>
      <c r="T173" s="48"/>
      <c r="U173" s="82"/>
      <c r="V173" s="26"/>
      <c r="W173" s="200"/>
      <c r="X173" s="17"/>
    </row>
    <row r="174" spans="2:24" x14ac:dyDescent="0.25">
      <c r="B174" s="17">
        <v>172</v>
      </c>
      <c r="C174" s="10"/>
      <c r="D174" s="10"/>
      <c r="E174" s="72"/>
      <c r="F174" s="18"/>
      <c r="G174" s="10"/>
      <c r="H174" s="10"/>
      <c r="I174" s="10"/>
      <c r="J174" s="11"/>
      <c r="K174" s="11">
        <f t="shared" si="195"/>
        <v>0</v>
      </c>
      <c r="L174" s="37">
        <f t="shared" si="196"/>
        <v>0</v>
      </c>
      <c r="M174" s="11"/>
      <c r="N174" s="10"/>
      <c r="O174" s="21"/>
      <c r="P174" s="21"/>
      <c r="Q174" s="21"/>
      <c r="R174" s="23"/>
      <c r="S174" s="50"/>
      <c r="T174" s="48"/>
      <c r="U174" s="82"/>
      <c r="V174" s="26"/>
      <c r="W174" s="200"/>
      <c r="X174" s="17"/>
    </row>
    <row r="175" spans="2:24" x14ac:dyDescent="0.25">
      <c r="B175" s="17">
        <v>173</v>
      </c>
      <c r="C175" s="10"/>
      <c r="D175" s="10"/>
      <c r="E175" s="72"/>
      <c r="F175" s="18"/>
      <c r="G175" s="10"/>
      <c r="H175" s="10"/>
      <c r="I175" s="10"/>
      <c r="J175" s="11"/>
      <c r="K175" s="11">
        <f t="shared" si="195"/>
        <v>0</v>
      </c>
      <c r="L175" s="37">
        <f t="shared" si="196"/>
        <v>0</v>
      </c>
      <c r="M175" s="11"/>
      <c r="N175" s="10"/>
      <c r="O175" s="21"/>
      <c r="P175" s="21"/>
      <c r="Q175" s="21"/>
      <c r="R175" s="23"/>
      <c r="S175" s="50"/>
      <c r="T175" s="48"/>
      <c r="U175" s="82"/>
      <c r="V175" s="26"/>
      <c r="W175" s="200"/>
      <c r="X175" s="17"/>
    </row>
    <row r="176" spans="2:24" x14ac:dyDescent="0.25">
      <c r="B176" s="17">
        <v>174</v>
      </c>
      <c r="C176" s="10"/>
      <c r="D176" s="10"/>
      <c r="E176" s="72"/>
      <c r="F176" s="18"/>
      <c r="G176" s="10"/>
      <c r="H176" s="10"/>
      <c r="I176" s="10"/>
      <c r="J176" s="11"/>
      <c r="K176" s="11">
        <f t="shared" si="195"/>
        <v>0</v>
      </c>
      <c r="L176" s="37">
        <f t="shared" si="196"/>
        <v>0</v>
      </c>
      <c r="M176" s="11"/>
      <c r="N176" s="10"/>
      <c r="O176" s="21"/>
      <c r="P176" s="21"/>
      <c r="Q176" s="21"/>
      <c r="R176" s="23"/>
      <c r="S176" s="50"/>
      <c r="T176" s="48"/>
      <c r="U176" s="82"/>
      <c r="V176" s="26"/>
      <c r="W176" s="200"/>
      <c r="X176" s="17"/>
    </row>
    <row r="177" spans="2:24" x14ac:dyDescent="0.25">
      <c r="B177" s="17">
        <v>175</v>
      </c>
      <c r="C177" s="10"/>
      <c r="D177" s="10"/>
      <c r="E177" s="72"/>
      <c r="F177" s="18"/>
      <c r="G177" s="10"/>
      <c r="H177" s="10"/>
      <c r="I177" s="10"/>
      <c r="J177" s="11"/>
      <c r="K177" s="11">
        <f t="shared" si="195"/>
        <v>0</v>
      </c>
      <c r="L177" s="37">
        <f t="shared" si="196"/>
        <v>0</v>
      </c>
      <c r="M177" s="11"/>
      <c r="N177" s="10"/>
      <c r="O177" s="21"/>
      <c r="P177" s="21"/>
      <c r="Q177" s="21"/>
      <c r="R177" s="23"/>
      <c r="S177" s="50"/>
      <c r="T177" s="48"/>
      <c r="U177" s="82"/>
      <c r="V177" s="32"/>
      <c r="W177" s="200"/>
      <c r="X177" s="17"/>
    </row>
    <row r="178" spans="2:24" x14ac:dyDescent="0.25">
      <c r="B178" s="17">
        <v>176</v>
      </c>
      <c r="C178" s="10"/>
      <c r="D178" s="10"/>
      <c r="E178" s="72"/>
      <c r="F178" s="18"/>
      <c r="G178" s="10"/>
      <c r="H178" s="10"/>
      <c r="I178" s="10"/>
      <c r="J178" s="11"/>
      <c r="K178" s="11">
        <f t="shared" si="195"/>
        <v>0</v>
      </c>
      <c r="L178" s="37">
        <f t="shared" si="196"/>
        <v>0</v>
      </c>
      <c r="M178" s="11"/>
      <c r="N178" s="10"/>
      <c r="O178" s="21"/>
      <c r="P178" s="21"/>
      <c r="Q178" s="21"/>
      <c r="R178" s="23"/>
      <c r="S178" s="50"/>
      <c r="T178" s="48"/>
      <c r="U178" s="82"/>
      <c r="V178" s="32"/>
      <c r="W178" s="200"/>
      <c r="X178" s="17"/>
    </row>
    <row r="179" spans="2:24" x14ac:dyDescent="0.25">
      <c r="B179" s="17">
        <v>177</v>
      </c>
      <c r="C179" s="10"/>
      <c r="D179" s="10"/>
      <c r="E179" s="72"/>
      <c r="F179" s="18"/>
      <c r="G179" s="10"/>
      <c r="H179" s="10"/>
      <c r="I179" s="10"/>
      <c r="J179" s="11"/>
      <c r="K179" s="11">
        <f t="shared" si="195"/>
        <v>0</v>
      </c>
      <c r="L179" s="37">
        <f t="shared" si="196"/>
        <v>0</v>
      </c>
      <c r="M179" s="11"/>
      <c r="N179" s="10"/>
      <c r="O179" s="21"/>
      <c r="P179" s="21"/>
      <c r="Q179" s="21"/>
      <c r="R179" s="23"/>
      <c r="S179" s="50"/>
      <c r="T179" s="48"/>
      <c r="U179" s="82"/>
      <c r="V179" s="26"/>
      <c r="W179" s="200"/>
      <c r="X179" s="17"/>
    </row>
    <row r="180" spans="2:24" x14ac:dyDescent="0.25">
      <c r="B180" s="17">
        <v>178</v>
      </c>
      <c r="C180" s="10"/>
      <c r="D180" s="10"/>
      <c r="E180" s="72"/>
      <c r="F180" s="18"/>
      <c r="G180" s="10"/>
      <c r="H180" s="10"/>
      <c r="I180" s="10"/>
      <c r="J180" s="11"/>
      <c r="K180" s="11">
        <f t="shared" si="195"/>
        <v>0</v>
      </c>
      <c r="L180" s="37">
        <f t="shared" si="196"/>
        <v>0</v>
      </c>
      <c r="M180" s="11"/>
      <c r="N180" s="10"/>
      <c r="O180" s="21"/>
      <c r="P180" s="21"/>
      <c r="Q180" s="21"/>
      <c r="R180" s="23"/>
      <c r="S180" s="50"/>
      <c r="T180" s="48"/>
      <c r="U180" s="82"/>
      <c r="V180" s="26"/>
      <c r="W180" s="200"/>
      <c r="X180" s="17"/>
    </row>
    <row r="181" spans="2:24" x14ac:dyDescent="0.25">
      <c r="B181" s="17">
        <v>179</v>
      </c>
      <c r="C181" s="10"/>
      <c r="D181" s="10"/>
      <c r="E181" s="72"/>
      <c r="F181" s="18"/>
      <c r="G181" s="10"/>
      <c r="H181" s="10"/>
      <c r="I181" s="10"/>
      <c r="J181" s="11"/>
      <c r="K181" s="11">
        <f t="shared" si="195"/>
        <v>0</v>
      </c>
      <c r="L181" s="37">
        <f t="shared" si="196"/>
        <v>0</v>
      </c>
      <c r="M181" s="11"/>
      <c r="N181" s="10"/>
      <c r="O181" s="21"/>
      <c r="P181" s="21"/>
      <c r="Q181" s="21"/>
      <c r="R181" s="23"/>
      <c r="S181" s="50"/>
      <c r="T181" s="48"/>
      <c r="U181" s="82"/>
      <c r="V181" s="26"/>
      <c r="W181" s="200"/>
      <c r="X181" s="17"/>
    </row>
    <row r="182" spans="2:24" x14ac:dyDescent="0.25">
      <c r="B182" s="17">
        <v>180</v>
      </c>
      <c r="C182" s="10"/>
      <c r="D182" s="10"/>
      <c r="E182" s="72"/>
      <c r="F182" s="18"/>
      <c r="G182" s="10"/>
      <c r="H182" s="10"/>
      <c r="I182" s="10"/>
      <c r="J182" s="11"/>
      <c r="K182" s="11">
        <f t="shared" si="195"/>
        <v>0</v>
      </c>
      <c r="L182" s="37">
        <f t="shared" si="196"/>
        <v>0</v>
      </c>
      <c r="M182" s="11"/>
      <c r="N182" s="10"/>
      <c r="O182" s="21"/>
      <c r="P182" s="21"/>
      <c r="Q182" s="21"/>
      <c r="R182" s="23"/>
      <c r="S182" s="50"/>
      <c r="T182" s="48"/>
      <c r="U182" s="82"/>
      <c r="V182" s="26"/>
      <c r="W182" s="200"/>
      <c r="X182" s="17"/>
    </row>
    <row r="183" spans="2:24" x14ac:dyDescent="0.25">
      <c r="B183" s="17">
        <v>181</v>
      </c>
      <c r="C183" s="10"/>
      <c r="D183" s="10"/>
      <c r="E183" s="72"/>
      <c r="F183" s="18"/>
      <c r="G183" s="10"/>
      <c r="H183" s="10"/>
      <c r="I183" s="10"/>
      <c r="J183" s="11"/>
      <c r="K183" s="11">
        <f t="shared" si="195"/>
        <v>0</v>
      </c>
      <c r="L183" s="37">
        <f t="shared" si="196"/>
        <v>0</v>
      </c>
      <c r="M183" s="11"/>
      <c r="N183" s="10"/>
      <c r="O183" s="21"/>
      <c r="P183" s="21"/>
      <c r="Q183" s="21"/>
      <c r="R183" s="23"/>
      <c r="S183" s="50"/>
      <c r="T183" s="48"/>
      <c r="U183" s="82"/>
      <c r="V183" s="26"/>
      <c r="W183" s="200"/>
      <c r="X183" s="17"/>
    </row>
    <row r="184" spans="2:24" x14ac:dyDescent="0.25">
      <c r="B184" s="17">
        <v>182</v>
      </c>
      <c r="C184" s="10"/>
      <c r="D184" s="10"/>
      <c r="E184" s="72"/>
      <c r="F184" s="18"/>
      <c r="G184" s="10"/>
      <c r="H184" s="10"/>
      <c r="I184" s="10"/>
      <c r="J184" s="11"/>
      <c r="K184" s="11">
        <f t="shared" si="195"/>
        <v>0</v>
      </c>
      <c r="L184" s="37">
        <f t="shared" si="196"/>
        <v>0</v>
      </c>
      <c r="M184" s="11"/>
      <c r="N184" s="10"/>
      <c r="O184" s="21"/>
      <c r="P184" s="21"/>
      <c r="Q184" s="21"/>
      <c r="R184" s="23"/>
      <c r="S184" s="50"/>
      <c r="T184" s="48"/>
      <c r="U184" s="82"/>
      <c r="V184" s="32"/>
      <c r="W184" s="200"/>
      <c r="X184" s="17"/>
    </row>
    <row r="185" spans="2:24" x14ac:dyDescent="0.25">
      <c r="B185" s="17">
        <v>183</v>
      </c>
      <c r="C185" s="10"/>
      <c r="D185" s="10"/>
      <c r="E185" s="72"/>
      <c r="F185" s="18"/>
      <c r="G185" s="10"/>
      <c r="H185" s="10"/>
      <c r="I185" s="10"/>
      <c r="J185" s="11"/>
      <c r="K185" s="11">
        <f t="shared" si="195"/>
        <v>0</v>
      </c>
      <c r="L185" s="37">
        <f t="shared" si="196"/>
        <v>0</v>
      </c>
      <c r="M185" s="11"/>
      <c r="N185" s="10"/>
      <c r="O185" s="21"/>
      <c r="P185" s="21"/>
      <c r="Q185" s="21"/>
      <c r="R185" s="23"/>
      <c r="S185" s="50"/>
      <c r="T185" s="48"/>
      <c r="U185" s="82"/>
      <c r="V185" s="32"/>
      <c r="W185" s="200"/>
      <c r="X185" s="17"/>
    </row>
    <row r="186" spans="2:24" x14ac:dyDescent="0.25">
      <c r="B186" s="17">
        <v>184</v>
      </c>
      <c r="C186" s="10"/>
      <c r="D186" s="10"/>
      <c r="E186" s="72"/>
      <c r="F186" s="18"/>
      <c r="G186" s="10"/>
      <c r="H186" s="10"/>
      <c r="I186" s="10"/>
      <c r="J186" s="11"/>
      <c r="K186" s="11">
        <f t="shared" si="195"/>
        <v>0</v>
      </c>
      <c r="L186" s="37">
        <f t="shared" si="196"/>
        <v>0</v>
      </c>
      <c r="M186" s="11"/>
      <c r="N186" s="10"/>
      <c r="O186" s="21"/>
      <c r="P186" s="21"/>
      <c r="Q186" s="21"/>
      <c r="R186" s="23"/>
      <c r="S186" s="50"/>
      <c r="T186" s="48"/>
      <c r="U186" s="82"/>
      <c r="V186" s="32"/>
      <c r="W186" s="200"/>
      <c r="X186" s="17"/>
    </row>
    <row r="187" spans="2:24" x14ac:dyDescent="0.25">
      <c r="B187" s="17">
        <v>185</v>
      </c>
      <c r="C187" s="10"/>
      <c r="D187" s="10"/>
      <c r="E187" s="72"/>
      <c r="F187" s="18"/>
      <c r="G187" s="10"/>
      <c r="H187" s="10"/>
      <c r="I187" s="10"/>
      <c r="J187" s="11"/>
      <c r="K187" s="11">
        <f t="shared" si="195"/>
        <v>0</v>
      </c>
      <c r="L187" s="37">
        <f t="shared" si="196"/>
        <v>0</v>
      </c>
      <c r="M187" s="11"/>
      <c r="N187" s="10"/>
      <c r="O187" s="21"/>
      <c r="P187" s="21"/>
      <c r="Q187" s="21"/>
      <c r="R187" s="23"/>
      <c r="S187" s="50"/>
      <c r="T187" s="48"/>
      <c r="U187" s="82"/>
      <c r="V187" s="32"/>
      <c r="W187" s="200"/>
      <c r="X187" s="17"/>
    </row>
    <row r="188" spans="2:24" x14ac:dyDescent="0.25">
      <c r="B188" s="17">
        <v>186</v>
      </c>
      <c r="C188" s="10"/>
      <c r="D188" s="10"/>
      <c r="E188" s="72"/>
      <c r="F188" s="18"/>
      <c r="G188" s="10"/>
      <c r="H188" s="10"/>
      <c r="I188" s="10"/>
      <c r="J188" s="11"/>
      <c r="K188" s="11">
        <f t="shared" si="195"/>
        <v>0</v>
      </c>
      <c r="L188" s="37">
        <f t="shared" si="196"/>
        <v>0</v>
      </c>
      <c r="M188" s="11"/>
      <c r="N188" s="10"/>
      <c r="O188" s="21"/>
      <c r="P188" s="21"/>
      <c r="Q188" s="21"/>
      <c r="R188" s="23"/>
      <c r="S188" s="50"/>
      <c r="T188" s="48"/>
      <c r="U188" s="82"/>
      <c r="V188" s="26"/>
      <c r="W188" s="200"/>
      <c r="X188" s="17"/>
    </row>
    <row r="189" spans="2:24" x14ac:dyDescent="0.25">
      <c r="B189" s="17">
        <v>187</v>
      </c>
      <c r="C189" s="10"/>
      <c r="D189" s="10"/>
      <c r="E189" s="72"/>
      <c r="F189" s="18"/>
      <c r="G189" s="10"/>
      <c r="H189" s="10"/>
      <c r="I189" s="10"/>
      <c r="J189" s="11"/>
      <c r="K189" s="11">
        <f t="shared" si="195"/>
        <v>0</v>
      </c>
      <c r="L189" s="37">
        <f t="shared" si="196"/>
        <v>0</v>
      </c>
      <c r="M189" s="11"/>
      <c r="N189" s="10"/>
      <c r="O189" s="21"/>
      <c r="P189" s="21"/>
      <c r="Q189" s="21"/>
      <c r="R189" s="23"/>
      <c r="S189" s="50"/>
      <c r="T189" s="48"/>
      <c r="U189" s="82"/>
      <c r="V189" s="26"/>
      <c r="W189" s="200"/>
      <c r="X189" s="17"/>
    </row>
    <row r="190" spans="2:24" x14ac:dyDescent="0.25">
      <c r="B190" s="17">
        <v>188</v>
      </c>
      <c r="C190" s="10"/>
      <c r="D190" s="10"/>
      <c r="E190" s="72"/>
      <c r="F190" s="18"/>
      <c r="G190" s="10"/>
      <c r="H190" s="10"/>
      <c r="I190" s="10"/>
      <c r="J190" s="11"/>
      <c r="K190" s="11">
        <f t="shared" si="195"/>
        <v>0</v>
      </c>
      <c r="L190" s="37">
        <f t="shared" si="196"/>
        <v>0</v>
      </c>
      <c r="M190" s="11"/>
      <c r="N190" s="10"/>
      <c r="O190" s="21"/>
      <c r="P190" s="21"/>
      <c r="Q190" s="21"/>
      <c r="R190" s="23"/>
      <c r="S190" s="50"/>
      <c r="T190" s="48"/>
      <c r="U190" s="82"/>
      <c r="V190" s="26"/>
      <c r="W190" s="200"/>
      <c r="X190" s="17"/>
    </row>
    <row r="191" spans="2:24" x14ac:dyDescent="0.25">
      <c r="B191" s="17">
        <v>189</v>
      </c>
      <c r="C191" s="10"/>
      <c r="D191" s="10"/>
      <c r="E191" s="72"/>
      <c r="F191" s="18"/>
      <c r="G191" s="10"/>
      <c r="H191" s="10"/>
      <c r="I191" s="10"/>
      <c r="J191" s="11"/>
      <c r="K191" s="11">
        <f t="shared" si="195"/>
        <v>0</v>
      </c>
      <c r="L191" s="37">
        <f t="shared" si="196"/>
        <v>0</v>
      </c>
      <c r="M191" s="11"/>
      <c r="N191" s="10"/>
      <c r="O191" s="21"/>
      <c r="P191" s="21"/>
      <c r="Q191" s="21"/>
      <c r="R191" s="23"/>
      <c r="S191" s="50"/>
      <c r="T191" s="48"/>
      <c r="U191" s="82"/>
      <c r="V191" s="26"/>
      <c r="W191" s="200"/>
      <c r="X191" s="17"/>
    </row>
    <row r="192" spans="2:24" x14ac:dyDescent="0.25">
      <c r="B192" s="17">
        <v>190</v>
      </c>
      <c r="C192" s="10"/>
      <c r="D192" s="10"/>
      <c r="E192" s="72"/>
      <c r="F192" s="18"/>
      <c r="G192" s="10"/>
      <c r="H192" s="10"/>
      <c r="I192" s="10"/>
      <c r="J192" s="11"/>
      <c r="K192" s="11">
        <f t="shared" si="195"/>
        <v>0</v>
      </c>
      <c r="L192" s="37">
        <f t="shared" si="196"/>
        <v>0</v>
      </c>
      <c r="M192" s="11"/>
      <c r="N192" s="10"/>
      <c r="O192" s="21"/>
      <c r="P192" s="21"/>
      <c r="Q192" s="21"/>
      <c r="R192" s="23"/>
      <c r="S192" s="50"/>
      <c r="T192" s="48"/>
      <c r="U192" s="82"/>
      <c r="V192" s="26"/>
      <c r="W192" s="200"/>
      <c r="X192" s="17"/>
    </row>
    <row r="193" spans="2:24" x14ac:dyDescent="0.25">
      <c r="B193" s="17">
        <v>191</v>
      </c>
      <c r="C193" s="10"/>
      <c r="D193" s="10"/>
      <c r="E193" s="72"/>
      <c r="F193" s="18"/>
      <c r="G193" s="10"/>
      <c r="H193" s="10"/>
      <c r="I193" s="10"/>
      <c r="J193" s="11"/>
      <c r="K193" s="11">
        <f t="shared" si="195"/>
        <v>0</v>
      </c>
      <c r="L193" s="37">
        <f t="shared" si="196"/>
        <v>0</v>
      </c>
      <c r="M193" s="11"/>
      <c r="N193" s="10"/>
      <c r="O193" s="21"/>
      <c r="P193" s="21"/>
      <c r="Q193" s="21"/>
      <c r="R193" s="23"/>
      <c r="S193" s="50"/>
      <c r="T193" s="48"/>
      <c r="U193" s="82"/>
      <c r="V193" s="32"/>
      <c r="W193" s="200"/>
      <c r="X193" s="17"/>
    </row>
    <row r="194" spans="2:24" x14ac:dyDescent="0.25">
      <c r="B194" s="17">
        <v>192</v>
      </c>
      <c r="C194" s="10"/>
      <c r="D194" s="10"/>
      <c r="E194" s="72"/>
      <c r="F194" s="18"/>
      <c r="G194" s="10"/>
      <c r="H194" s="10"/>
      <c r="I194" s="10"/>
      <c r="J194" s="11"/>
      <c r="K194" s="11">
        <f t="shared" si="195"/>
        <v>0</v>
      </c>
      <c r="L194" s="37">
        <f t="shared" si="196"/>
        <v>0</v>
      </c>
      <c r="M194" s="11"/>
      <c r="N194" s="10"/>
      <c r="O194" s="21"/>
      <c r="P194" s="21"/>
      <c r="Q194" s="21"/>
      <c r="R194" s="23"/>
      <c r="S194" s="50"/>
      <c r="T194" s="48"/>
      <c r="U194" s="82"/>
      <c r="V194" s="32"/>
      <c r="W194" s="200"/>
      <c r="X194" s="17"/>
    </row>
    <row r="195" spans="2:24" x14ac:dyDescent="0.25">
      <c r="B195" s="17">
        <v>193</v>
      </c>
      <c r="C195" s="10"/>
      <c r="D195" s="10"/>
      <c r="E195" s="72"/>
      <c r="F195" s="18"/>
      <c r="G195" s="10"/>
      <c r="H195" s="10"/>
      <c r="I195" s="10"/>
      <c r="J195" s="11"/>
      <c r="K195" s="11">
        <f t="shared" si="195"/>
        <v>0</v>
      </c>
      <c r="L195" s="37">
        <f t="shared" si="196"/>
        <v>0</v>
      </c>
      <c r="M195" s="11"/>
      <c r="N195" s="10"/>
      <c r="O195" s="21"/>
      <c r="P195" s="21"/>
      <c r="Q195" s="21"/>
      <c r="R195" s="23"/>
      <c r="S195" s="50"/>
      <c r="T195" s="48"/>
      <c r="U195" s="82"/>
      <c r="V195" s="26"/>
      <c r="W195" s="200"/>
      <c r="X195" s="17"/>
    </row>
    <row r="196" spans="2:24" x14ac:dyDescent="0.25">
      <c r="B196" s="17">
        <v>194</v>
      </c>
      <c r="C196" s="10"/>
      <c r="D196" s="10"/>
      <c r="E196" s="72"/>
      <c r="F196" s="18"/>
      <c r="G196" s="10"/>
      <c r="H196" s="10"/>
      <c r="I196" s="10"/>
      <c r="J196" s="11"/>
      <c r="K196" s="11">
        <f t="shared" ref="K196:K259" si="197">J196*1.1</f>
        <v>0</v>
      </c>
      <c r="L196" s="37">
        <f t="shared" ref="L196:L259" si="198">J196*0.00000001</f>
        <v>0</v>
      </c>
      <c r="M196" s="11"/>
      <c r="N196" s="10"/>
      <c r="O196" s="21"/>
      <c r="P196" s="21"/>
      <c r="Q196" s="21"/>
      <c r="R196" s="23"/>
      <c r="S196" s="50"/>
      <c r="T196" s="48"/>
      <c r="U196" s="82"/>
      <c r="V196" s="26"/>
      <c r="W196" s="200"/>
      <c r="X196" s="17"/>
    </row>
    <row r="197" spans="2:24" x14ac:dyDescent="0.25">
      <c r="B197" s="17">
        <v>195</v>
      </c>
      <c r="C197" s="10"/>
      <c r="D197" s="10"/>
      <c r="E197" s="72"/>
      <c r="F197" s="18"/>
      <c r="G197" s="10"/>
      <c r="H197" s="10"/>
      <c r="I197" s="10"/>
      <c r="J197" s="11"/>
      <c r="K197" s="11">
        <f t="shared" si="197"/>
        <v>0</v>
      </c>
      <c r="L197" s="37">
        <f t="shared" si="198"/>
        <v>0</v>
      </c>
      <c r="M197" s="11"/>
      <c r="N197" s="10"/>
      <c r="O197" s="21"/>
      <c r="P197" s="21"/>
      <c r="Q197" s="21"/>
      <c r="R197" s="23"/>
      <c r="S197" s="50"/>
      <c r="T197" s="48"/>
      <c r="U197" s="82"/>
      <c r="V197" s="26"/>
      <c r="W197" s="200"/>
      <c r="X197" s="17"/>
    </row>
    <row r="198" spans="2:24" x14ac:dyDescent="0.25">
      <c r="B198" s="17">
        <v>196</v>
      </c>
      <c r="C198" s="10"/>
      <c r="D198" s="10"/>
      <c r="E198" s="72"/>
      <c r="F198" s="18"/>
      <c r="G198" s="10"/>
      <c r="H198" s="10"/>
      <c r="I198" s="10"/>
      <c r="J198" s="11"/>
      <c r="K198" s="11">
        <f t="shared" si="197"/>
        <v>0</v>
      </c>
      <c r="L198" s="37">
        <f t="shared" si="198"/>
        <v>0</v>
      </c>
      <c r="M198" s="11"/>
      <c r="N198" s="10"/>
      <c r="O198" s="21"/>
      <c r="P198" s="21"/>
      <c r="Q198" s="21"/>
      <c r="R198" s="23"/>
      <c r="S198" s="50"/>
      <c r="T198" s="48"/>
      <c r="U198" s="82"/>
      <c r="V198" s="26"/>
      <c r="W198" s="200"/>
      <c r="X198" s="17"/>
    </row>
    <row r="199" spans="2:24" x14ac:dyDescent="0.25">
      <c r="B199" s="17">
        <v>197</v>
      </c>
      <c r="C199" s="10"/>
      <c r="D199" s="10"/>
      <c r="E199" s="72"/>
      <c r="F199" s="18"/>
      <c r="G199" s="10"/>
      <c r="H199" s="10"/>
      <c r="I199" s="10"/>
      <c r="J199" s="11"/>
      <c r="K199" s="11">
        <f t="shared" si="197"/>
        <v>0</v>
      </c>
      <c r="L199" s="37">
        <f t="shared" si="198"/>
        <v>0</v>
      </c>
      <c r="M199" s="11"/>
      <c r="N199" s="10"/>
      <c r="O199" s="21"/>
      <c r="P199" s="21"/>
      <c r="Q199" s="21"/>
      <c r="R199" s="23"/>
      <c r="S199" s="50"/>
      <c r="T199" s="48"/>
      <c r="U199" s="82"/>
      <c r="V199" s="26"/>
      <c r="W199" s="200"/>
      <c r="X199" s="17"/>
    </row>
    <row r="200" spans="2:24" x14ac:dyDescent="0.25">
      <c r="B200" s="17">
        <v>198</v>
      </c>
      <c r="C200" s="10"/>
      <c r="D200" s="10"/>
      <c r="E200" s="72"/>
      <c r="F200" s="18"/>
      <c r="G200" s="10"/>
      <c r="H200" s="10"/>
      <c r="I200" s="10"/>
      <c r="J200" s="11"/>
      <c r="K200" s="11">
        <f t="shared" si="197"/>
        <v>0</v>
      </c>
      <c r="L200" s="37">
        <f t="shared" si="198"/>
        <v>0</v>
      </c>
      <c r="M200" s="11"/>
      <c r="N200" s="10"/>
      <c r="O200" s="21"/>
      <c r="P200" s="21"/>
      <c r="Q200" s="21"/>
      <c r="R200" s="23"/>
      <c r="S200" s="50"/>
      <c r="T200" s="48"/>
      <c r="U200" s="82"/>
      <c r="V200" s="32"/>
      <c r="W200" s="200"/>
      <c r="X200" s="17"/>
    </row>
    <row r="201" spans="2:24" x14ac:dyDescent="0.25">
      <c r="B201" s="17">
        <v>199</v>
      </c>
      <c r="C201" s="10"/>
      <c r="D201" s="10"/>
      <c r="E201" s="72"/>
      <c r="F201" s="18"/>
      <c r="G201" s="10"/>
      <c r="H201" s="10"/>
      <c r="I201" s="10"/>
      <c r="J201" s="11"/>
      <c r="K201" s="11">
        <f t="shared" si="197"/>
        <v>0</v>
      </c>
      <c r="L201" s="37">
        <f t="shared" si="198"/>
        <v>0</v>
      </c>
      <c r="M201" s="11"/>
      <c r="N201" s="10"/>
      <c r="O201" s="21"/>
      <c r="P201" s="21"/>
      <c r="Q201" s="21"/>
      <c r="R201" s="23"/>
      <c r="S201" s="50"/>
      <c r="T201" s="48"/>
      <c r="U201" s="82"/>
      <c r="V201" s="32"/>
      <c r="W201" s="200"/>
      <c r="X201" s="17"/>
    </row>
    <row r="202" spans="2:24" x14ac:dyDescent="0.25">
      <c r="B202" s="17">
        <v>200</v>
      </c>
      <c r="C202" s="10"/>
      <c r="D202" s="10"/>
      <c r="E202" s="72"/>
      <c r="F202" s="18"/>
      <c r="G202" s="10"/>
      <c r="H202" s="10"/>
      <c r="I202" s="10"/>
      <c r="J202" s="11"/>
      <c r="K202" s="11">
        <f t="shared" si="197"/>
        <v>0</v>
      </c>
      <c r="L202" s="37">
        <f t="shared" si="198"/>
        <v>0</v>
      </c>
      <c r="M202" s="11"/>
      <c r="N202" s="10"/>
      <c r="O202" s="21"/>
      <c r="P202" s="21"/>
      <c r="Q202" s="21"/>
      <c r="R202" s="23"/>
      <c r="S202" s="50"/>
      <c r="T202" s="48"/>
      <c r="U202" s="82"/>
      <c r="V202" s="32"/>
      <c r="W202" s="200"/>
      <c r="X202" s="17"/>
    </row>
    <row r="203" spans="2:24" x14ac:dyDescent="0.25">
      <c r="B203" s="17">
        <v>201</v>
      </c>
      <c r="C203" s="10"/>
      <c r="D203" s="10"/>
      <c r="E203" s="72"/>
      <c r="F203" s="18"/>
      <c r="G203" s="10"/>
      <c r="H203" s="10"/>
      <c r="I203" s="10"/>
      <c r="J203" s="11"/>
      <c r="K203" s="11">
        <f t="shared" si="197"/>
        <v>0</v>
      </c>
      <c r="L203" s="37">
        <f t="shared" si="198"/>
        <v>0</v>
      </c>
      <c r="M203" s="11"/>
      <c r="N203" s="10"/>
      <c r="O203" s="21"/>
      <c r="P203" s="21"/>
      <c r="Q203" s="21"/>
      <c r="R203" s="23"/>
      <c r="S203" s="50"/>
      <c r="T203" s="48"/>
      <c r="U203" s="82"/>
      <c r="V203" s="32"/>
      <c r="W203" s="200"/>
      <c r="X203" s="17"/>
    </row>
    <row r="204" spans="2:24" x14ac:dyDescent="0.25">
      <c r="B204" s="17">
        <v>202</v>
      </c>
      <c r="C204" s="10"/>
      <c r="D204" s="10"/>
      <c r="E204" s="72"/>
      <c r="F204" s="18"/>
      <c r="G204" s="10"/>
      <c r="H204" s="10"/>
      <c r="I204" s="10"/>
      <c r="J204" s="11"/>
      <c r="K204" s="11">
        <f t="shared" si="197"/>
        <v>0</v>
      </c>
      <c r="L204" s="37">
        <f t="shared" si="198"/>
        <v>0</v>
      </c>
      <c r="M204" s="11"/>
      <c r="N204" s="10"/>
      <c r="O204" s="21"/>
      <c r="P204" s="21"/>
      <c r="Q204" s="21"/>
      <c r="R204" s="23"/>
      <c r="S204" s="50"/>
      <c r="T204" s="48"/>
      <c r="U204" s="82"/>
      <c r="V204" s="26"/>
      <c r="W204" s="200"/>
      <c r="X204" s="17"/>
    </row>
    <row r="205" spans="2:24" x14ac:dyDescent="0.25">
      <c r="B205" s="17">
        <v>203</v>
      </c>
      <c r="C205" s="10"/>
      <c r="D205" s="10"/>
      <c r="E205" s="72"/>
      <c r="F205" s="18"/>
      <c r="G205" s="10"/>
      <c r="H205" s="10"/>
      <c r="I205" s="10"/>
      <c r="J205" s="11"/>
      <c r="K205" s="11">
        <f t="shared" si="197"/>
        <v>0</v>
      </c>
      <c r="L205" s="37">
        <f t="shared" si="198"/>
        <v>0</v>
      </c>
      <c r="M205" s="11"/>
      <c r="N205" s="10"/>
      <c r="O205" s="21"/>
      <c r="P205" s="21"/>
      <c r="Q205" s="21"/>
      <c r="R205" s="23"/>
      <c r="S205" s="50"/>
      <c r="T205" s="48"/>
      <c r="U205" s="82"/>
      <c r="V205" s="26"/>
      <c r="W205" s="200"/>
      <c r="X205" s="17"/>
    </row>
    <row r="206" spans="2:24" x14ac:dyDescent="0.25">
      <c r="B206" s="17">
        <v>204</v>
      </c>
      <c r="C206" s="10"/>
      <c r="D206" s="10"/>
      <c r="E206" s="72"/>
      <c r="F206" s="18"/>
      <c r="G206" s="10"/>
      <c r="H206" s="10"/>
      <c r="I206" s="10"/>
      <c r="J206" s="11"/>
      <c r="K206" s="11">
        <f t="shared" si="197"/>
        <v>0</v>
      </c>
      <c r="L206" s="37">
        <f t="shared" si="198"/>
        <v>0</v>
      </c>
      <c r="M206" s="11"/>
      <c r="N206" s="10"/>
      <c r="O206" s="21"/>
      <c r="P206" s="21"/>
      <c r="Q206" s="21"/>
      <c r="R206" s="23"/>
      <c r="S206" s="50"/>
      <c r="T206" s="48"/>
      <c r="U206" s="82"/>
      <c r="V206" s="26"/>
      <c r="W206" s="200"/>
      <c r="X206" s="17"/>
    </row>
    <row r="207" spans="2:24" x14ac:dyDescent="0.25">
      <c r="B207" s="17">
        <v>205</v>
      </c>
      <c r="C207" s="10"/>
      <c r="D207" s="10"/>
      <c r="E207" s="72"/>
      <c r="F207" s="18"/>
      <c r="G207" s="10"/>
      <c r="H207" s="10"/>
      <c r="I207" s="10"/>
      <c r="J207" s="11"/>
      <c r="K207" s="11">
        <f t="shared" si="197"/>
        <v>0</v>
      </c>
      <c r="L207" s="37">
        <f t="shared" si="198"/>
        <v>0</v>
      </c>
      <c r="M207" s="11"/>
      <c r="N207" s="10"/>
      <c r="O207" s="21"/>
      <c r="P207" s="21"/>
      <c r="Q207" s="21"/>
      <c r="R207" s="23"/>
      <c r="S207" s="50"/>
      <c r="T207" s="48"/>
      <c r="U207" s="82"/>
      <c r="V207" s="26"/>
      <c r="W207" s="200"/>
      <c r="X207" s="17"/>
    </row>
    <row r="208" spans="2:24" x14ac:dyDescent="0.25">
      <c r="B208" s="17">
        <v>206</v>
      </c>
      <c r="C208" s="10"/>
      <c r="D208" s="10"/>
      <c r="E208" s="72"/>
      <c r="F208" s="18"/>
      <c r="G208" s="10"/>
      <c r="H208" s="10"/>
      <c r="I208" s="10"/>
      <c r="J208" s="11"/>
      <c r="K208" s="11">
        <f t="shared" si="197"/>
        <v>0</v>
      </c>
      <c r="L208" s="37">
        <f t="shared" si="198"/>
        <v>0</v>
      </c>
      <c r="M208" s="11"/>
      <c r="N208" s="10"/>
      <c r="O208" s="21"/>
      <c r="P208" s="21"/>
      <c r="Q208" s="21"/>
      <c r="R208" s="23"/>
      <c r="S208" s="50"/>
      <c r="T208" s="48"/>
      <c r="U208" s="82"/>
      <c r="V208" s="26"/>
      <c r="W208" s="200"/>
      <c r="X208" s="17"/>
    </row>
    <row r="209" spans="2:24" x14ac:dyDescent="0.25">
      <c r="B209" s="17">
        <v>207</v>
      </c>
      <c r="C209" s="10"/>
      <c r="D209" s="10"/>
      <c r="E209" s="72"/>
      <c r="F209" s="18"/>
      <c r="G209" s="10"/>
      <c r="H209" s="10"/>
      <c r="I209" s="10"/>
      <c r="J209" s="11"/>
      <c r="K209" s="11">
        <f t="shared" si="197"/>
        <v>0</v>
      </c>
      <c r="L209" s="37">
        <f t="shared" si="198"/>
        <v>0</v>
      </c>
      <c r="M209" s="11"/>
      <c r="N209" s="10"/>
      <c r="O209" s="21"/>
      <c r="P209" s="21"/>
      <c r="Q209" s="21"/>
      <c r="R209" s="23"/>
      <c r="S209" s="50"/>
      <c r="T209" s="48"/>
      <c r="U209" s="82"/>
      <c r="V209" s="32"/>
      <c r="W209" s="200"/>
      <c r="X209" s="17"/>
    </row>
    <row r="210" spans="2:24" x14ac:dyDescent="0.25">
      <c r="B210" s="17">
        <v>208</v>
      </c>
      <c r="C210" s="10"/>
      <c r="D210" s="10"/>
      <c r="E210" s="72"/>
      <c r="F210" s="18"/>
      <c r="G210" s="10"/>
      <c r="H210" s="10"/>
      <c r="I210" s="10"/>
      <c r="J210" s="11"/>
      <c r="K210" s="11">
        <f t="shared" si="197"/>
        <v>0</v>
      </c>
      <c r="L210" s="37">
        <f t="shared" si="198"/>
        <v>0</v>
      </c>
      <c r="M210" s="11"/>
      <c r="N210" s="10"/>
      <c r="O210" s="21"/>
      <c r="P210" s="21"/>
      <c r="Q210" s="21"/>
      <c r="R210" s="23"/>
      <c r="S210" s="50"/>
      <c r="T210" s="48"/>
      <c r="U210" s="82"/>
      <c r="V210" s="32"/>
      <c r="W210" s="200"/>
      <c r="X210" s="17"/>
    </row>
    <row r="211" spans="2:24" x14ac:dyDescent="0.25">
      <c r="B211" s="17">
        <v>209</v>
      </c>
      <c r="C211" s="10"/>
      <c r="D211" s="10"/>
      <c r="E211" s="72"/>
      <c r="F211" s="18"/>
      <c r="G211" s="10"/>
      <c r="H211" s="10"/>
      <c r="I211" s="10"/>
      <c r="J211" s="11"/>
      <c r="K211" s="11">
        <f t="shared" si="197"/>
        <v>0</v>
      </c>
      <c r="L211" s="37">
        <f t="shared" si="198"/>
        <v>0</v>
      </c>
      <c r="M211" s="11"/>
      <c r="N211" s="10"/>
      <c r="O211" s="21"/>
      <c r="P211" s="21"/>
      <c r="Q211" s="21"/>
      <c r="R211" s="23"/>
      <c r="S211" s="50"/>
      <c r="T211" s="48"/>
      <c r="U211" s="82"/>
      <c r="V211" s="26"/>
      <c r="W211" s="200"/>
      <c r="X211" s="17"/>
    </row>
    <row r="212" spans="2:24" x14ac:dyDescent="0.25">
      <c r="B212" s="17">
        <v>210</v>
      </c>
      <c r="C212" s="10"/>
      <c r="D212" s="10"/>
      <c r="E212" s="72"/>
      <c r="F212" s="18"/>
      <c r="G212" s="10"/>
      <c r="H212" s="10"/>
      <c r="I212" s="10"/>
      <c r="J212" s="11"/>
      <c r="K212" s="11">
        <f t="shared" si="197"/>
        <v>0</v>
      </c>
      <c r="L212" s="37">
        <f t="shared" si="198"/>
        <v>0</v>
      </c>
      <c r="M212" s="11"/>
      <c r="N212" s="10"/>
      <c r="O212" s="21"/>
      <c r="P212" s="21"/>
      <c r="Q212" s="21"/>
      <c r="R212" s="23"/>
      <c r="S212" s="50"/>
      <c r="T212" s="48"/>
      <c r="U212" s="82"/>
      <c r="V212" s="26"/>
      <c r="W212" s="200"/>
      <c r="X212" s="17"/>
    </row>
    <row r="213" spans="2:24" x14ac:dyDescent="0.25">
      <c r="B213" s="17">
        <v>211</v>
      </c>
      <c r="C213" s="10"/>
      <c r="D213" s="10"/>
      <c r="E213" s="72"/>
      <c r="F213" s="18"/>
      <c r="G213" s="10"/>
      <c r="H213" s="10"/>
      <c r="I213" s="10"/>
      <c r="J213" s="11"/>
      <c r="K213" s="11">
        <f t="shared" si="197"/>
        <v>0</v>
      </c>
      <c r="L213" s="37">
        <f t="shared" si="198"/>
        <v>0</v>
      </c>
      <c r="M213" s="11"/>
      <c r="N213" s="10"/>
      <c r="O213" s="21"/>
      <c r="P213" s="21"/>
      <c r="Q213" s="21"/>
      <c r="R213" s="23"/>
      <c r="S213" s="50"/>
      <c r="T213" s="48"/>
      <c r="U213" s="82"/>
      <c r="V213" s="26"/>
      <c r="W213" s="200"/>
      <c r="X213" s="17"/>
    </row>
    <row r="214" spans="2:24" x14ac:dyDescent="0.25">
      <c r="B214" s="17">
        <v>212</v>
      </c>
      <c r="C214" s="10"/>
      <c r="D214" s="10"/>
      <c r="E214" s="72"/>
      <c r="F214" s="18"/>
      <c r="G214" s="10"/>
      <c r="H214" s="10"/>
      <c r="I214" s="10"/>
      <c r="J214" s="11"/>
      <c r="K214" s="11">
        <f t="shared" si="197"/>
        <v>0</v>
      </c>
      <c r="L214" s="37">
        <f t="shared" si="198"/>
        <v>0</v>
      </c>
      <c r="M214" s="11"/>
      <c r="N214" s="10"/>
      <c r="O214" s="21"/>
      <c r="P214" s="21"/>
      <c r="Q214" s="21"/>
      <c r="R214" s="23"/>
      <c r="S214" s="50"/>
      <c r="T214" s="48"/>
      <c r="U214" s="82"/>
      <c r="V214" s="26"/>
      <c r="W214" s="200"/>
      <c r="X214" s="17"/>
    </row>
    <row r="215" spans="2:24" x14ac:dyDescent="0.25">
      <c r="B215" s="17">
        <v>213</v>
      </c>
      <c r="C215" s="10"/>
      <c r="D215" s="10"/>
      <c r="E215" s="72"/>
      <c r="F215" s="18"/>
      <c r="G215" s="10"/>
      <c r="H215" s="10"/>
      <c r="I215" s="10"/>
      <c r="J215" s="11"/>
      <c r="K215" s="11">
        <f t="shared" si="197"/>
        <v>0</v>
      </c>
      <c r="L215" s="37">
        <f t="shared" si="198"/>
        <v>0</v>
      </c>
      <c r="M215" s="11"/>
      <c r="N215" s="10"/>
      <c r="O215" s="21"/>
      <c r="P215" s="21"/>
      <c r="Q215" s="21"/>
      <c r="R215" s="23"/>
      <c r="S215" s="50"/>
      <c r="T215" s="48"/>
      <c r="U215" s="82"/>
      <c r="V215" s="26"/>
      <c r="W215" s="200"/>
      <c r="X215" s="17"/>
    </row>
    <row r="216" spans="2:24" x14ac:dyDescent="0.25">
      <c r="B216" s="17">
        <v>214</v>
      </c>
      <c r="C216" s="10"/>
      <c r="D216" s="10"/>
      <c r="E216" s="72"/>
      <c r="F216" s="18"/>
      <c r="G216" s="10"/>
      <c r="H216" s="10"/>
      <c r="I216" s="10"/>
      <c r="J216" s="11"/>
      <c r="K216" s="11">
        <f t="shared" si="197"/>
        <v>0</v>
      </c>
      <c r="L216" s="37">
        <f t="shared" si="198"/>
        <v>0</v>
      </c>
      <c r="M216" s="11"/>
      <c r="N216" s="10"/>
      <c r="O216" s="21"/>
      <c r="P216" s="21"/>
      <c r="Q216" s="21"/>
      <c r="R216" s="23"/>
      <c r="S216" s="50"/>
      <c r="T216" s="48"/>
      <c r="U216" s="82"/>
      <c r="V216" s="32"/>
      <c r="W216" s="200"/>
      <c r="X216" s="17"/>
    </row>
    <row r="217" spans="2:24" x14ac:dyDescent="0.25">
      <c r="B217" s="17">
        <v>215</v>
      </c>
      <c r="C217" s="10"/>
      <c r="D217" s="10"/>
      <c r="E217" s="72"/>
      <c r="F217" s="18"/>
      <c r="G217" s="10"/>
      <c r="H217" s="10"/>
      <c r="I217" s="10"/>
      <c r="J217" s="11"/>
      <c r="K217" s="11">
        <f t="shared" si="197"/>
        <v>0</v>
      </c>
      <c r="L217" s="37">
        <f t="shared" si="198"/>
        <v>0</v>
      </c>
      <c r="M217" s="11"/>
      <c r="N217" s="10"/>
      <c r="O217" s="21"/>
      <c r="P217" s="21"/>
      <c r="Q217" s="21"/>
      <c r="R217" s="23"/>
      <c r="S217" s="50"/>
      <c r="T217" s="48"/>
      <c r="U217" s="82"/>
      <c r="V217" s="32"/>
      <c r="W217" s="200"/>
      <c r="X217" s="17"/>
    </row>
    <row r="218" spans="2:24" x14ac:dyDescent="0.25">
      <c r="B218" s="17">
        <v>216</v>
      </c>
      <c r="C218" s="10"/>
      <c r="D218" s="10"/>
      <c r="E218" s="72"/>
      <c r="F218" s="18"/>
      <c r="G218" s="10"/>
      <c r="H218" s="10"/>
      <c r="I218" s="10"/>
      <c r="J218" s="11"/>
      <c r="K218" s="11">
        <f t="shared" si="197"/>
        <v>0</v>
      </c>
      <c r="L218" s="37">
        <f t="shared" si="198"/>
        <v>0</v>
      </c>
      <c r="M218" s="11"/>
      <c r="N218" s="10"/>
      <c r="O218" s="21"/>
      <c r="P218" s="21"/>
      <c r="Q218" s="21"/>
      <c r="R218" s="23"/>
      <c r="S218" s="50"/>
      <c r="T218" s="48"/>
      <c r="U218" s="82"/>
      <c r="V218" s="32"/>
      <c r="W218" s="200"/>
      <c r="X218" s="17"/>
    </row>
    <row r="219" spans="2:24" x14ac:dyDescent="0.25">
      <c r="B219" s="17">
        <v>217</v>
      </c>
      <c r="C219" s="10"/>
      <c r="D219" s="10"/>
      <c r="E219" s="72"/>
      <c r="F219" s="18"/>
      <c r="G219" s="10"/>
      <c r="H219" s="10"/>
      <c r="I219" s="10"/>
      <c r="J219" s="11"/>
      <c r="K219" s="11">
        <f t="shared" si="197"/>
        <v>0</v>
      </c>
      <c r="L219" s="37">
        <f t="shared" si="198"/>
        <v>0</v>
      </c>
      <c r="M219" s="11"/>
      <c r="N219" s="10"/>
      <c r="O219" s="21"/>
      <c r="P219" s="21"/>
      <c r="Q219" s="21"/>
      <c r="R219" s="23"/>
      <c r="S219" s="50"/>
      <c r="T219" s="48"/>
      <c r="U219" s="82"/>
      <c r="V219" s="32"/>
      <c r="W219" s="200"/>
      <c r="X219" s="17"/>
    </row>
    <row r="220" spans="2:24" x14ac:dyDescent="0.25">
      <c r="B220" s="17">
        <v>218</v>
      </c>
      <c r="C220" s="10"/>
      <c r="D220" s="10"/>
      <c r="E220" s="72"/>
      <c r="F220" s="18"/>
      <c r="G220" s="10"/>
      <c r="H220" s="10"/>
      <c r="I220" s="10"/>
      <c r="J220" s="11"/>
      <c r="K220" s="11">
        <f t="shared" si="197"/>
        <v>0</v>
      </c>
      <c r="L220" s="37">
        <f t="shared" si="198"/>
        <v>0</v>
      </c>
      <c r="M220" s="11"/>
      <c r="N220" s="10"/>
      <c r="O220" s="21"/>
      <c r="P220" s="21"/>
      <c r="Q220" s="21"/>
      <c r="R220" s="23"/>
      <c r="S220" s="50"/>
      <c r="T220" s="48"/>
      <c r="U220" s="82"/>
      <c r="V220" s="26"/>
      <c r="W220" s="200"/>
      <c r="X220" s="17"/>
    </row>
    <row r="221" spans="2:24" x14ac:dyDescent="0.25">
      <c r="B221" s="17">
        <v>219</v>
      </c>
      <c r="C221" s="10"/>
      <c r="D221" s="10"/>
      <c r="E221" s="72"/>
      <c r="F221" s="18"/>
      <c r="G221" s="10"/>
      <c r="H221" s="10"/>
      <c r="I221" s="10"/>
      <c r="J221" s="11"/>
      <c r="K221" s="11">
        <f t="shared" si="197"/>
        <v>0</v>
      </c>
      <c r="L221" s="37">
        <f t="shared" si="198"/>
        <v>0</v>
      </c>
      <c r="M221" s="11"/>
      <c r="N221" s="10"/>
      <c r="O221" s="21"/>
      <c r="P221" s="21"/>
      <c r="Q221" s="21"/>
      <c r="R221" s="23"/>
      <c r="S221" s="50"/>
      <c r="T221" s="48"/>
      <c r="U221" s="82"/>
      <c r="V221" s="26"/>
      <c r="W221" s="200"/>
      <c r="X221" s="17"/>
    </row>
    <row r="222" spans="2:24" x14ac:dyDescent="0.25">
      <c r="B222" s="17">
        <v>220</v>
      </c>
      <c r="C222" s="10"/>
      <c r="D222" s="10"/>
      <c r="E222" s="72"/>
      <c r="F222" s="18"/>
      <c r="G222" s="10"/>
      <c r="H222" s="10"/>
      <c r="I222" s="10"/>
      <c r="J222" s="11"/>
      <c r="K222" s="11">
        <f t="shared" si="197"/>
        <v>0</v>
      </c>
      <c r="L222" s="37">
        <f t="shared" si="198"/>
        <v>0</v>
      </c>
      <c r="M222" s="11"/>
      <c r="N222" s="10"/>
      <c r="O222" s="21"/>
      <c r="P222" s="21"/>
      <c r="Q222" s="21"/>
      <c r="R222" s="23"/>
      <c r="S222" s="50"/>
      <c r="T222" s="48"/>
      <c r="U222" s="82"/>
      <c r="V222" s="26"/>
      <c r="W222" s="200"/>
      <c r="X222" s="17"/>
    </row>
    <row r="223" spans="2:24" x14ac:dyDescent="0.25">
      <c r="B223" s="17">
        <v>221</v>
      </c>
      <c r="C223" s="10"/>
      <c r="D223" s="10"/>
      <c r="E223" s="72"/>
      <c r="F223" s="18"/>
      <c r="G223" s="10"/>
      <c r="H223" s="10"/>
      <c r="I223" s="10"/>
      <c r="J223" s="11"/>
      <c r="K223" s="11">
        <f t="shared" si="197"/>
        <v>0</v>
      </c>
      <c r="L223" s="37">
        <f t="shared" si="198"/>
        <v>0</v>
      </c>
      <c r="M223" s="11"/>
      <c r="N223" s="10"/>
      <c r="O223" s="21"/>
      <c r="P223" s="21"/>
      <c r="Q223" s="21"/>
      <c r="R223" s="23"/>
      <c r="S223" s="50"/>
      <c r="T223" s="48"/>
      <c r="U223" s="82"/>
      <c r="V223" s="26"/>
      <c r="W223" s="200"/>
      <c r="X223" s="17"/>
    </row>
    <row r="224" spans="2:24" x14ac:dyDescent="0.25">
      <c r="B224" s="17">
        <v>222</v>
      </c>
      <c r="C224" s="10"/>
      <c r="D224" s="10"/>
      <c r="E224" s="72"/>
      <c r="F224" s="18"/>
      <c r="G224" s="10"/>
      <c r="H224" s="10"/>
      <c r="I224" s="10"/>
      <c r="J224" s="11"/>
      <c r="K224" s="11">
        <f t="shared" si="197"/>
        <v>0</v>
      </c>
      <c r="L224" s="37">
        <f t="shared" si="198"/>
        <v>0</v>
      </c>
      <c r="M224" s="11"/>
      <c r="N224" s="10"/>
      <c r="O224" s="21"/>
      <c r="P224" s="21"/>
      <c r="Q224" s="21"/>
      <c r="R224" s="23"/>
      <c r="S224" s="50"/>
      <c r="T224" s="48"/>
      <c r="U224" s="82"/>
      <c r="V224" s="26"/>
      <c r="W224" s="200"/>
      <c r="X224" s="17"/>
    </row>
    <row r="225" spans="2:24" x14ac:dyDescent="0.25">
      <c r="B225" s="17">
        <v>223</v>
      </c>
      <c r="C225" s="10"/>
      <c r="D225" s="10"/>
      <c r="E225" s="72"/>
      <c r="F225" s="18"/>
      <c r="G225" s="10"/>
      <c r="H225" s="10"/>
      <c r="I225" s="10"/>
      <c r="J225" s="11"/>
      <c r="K225" s="11">
        <f t="shared" si="197"/>
        <v>0</v>
      </c>
      <c r="L225" s="37">
        <f t="shared" si="198"/>
        <v>0</v>
      </c>
      <c r="M225" s="11"/>
      <c r="N225" s="10"/>
      <c r="O225" s="21"/>
      <c r="P225" s="21"/>
      <c r="Q225" s="21"/>
      <c r="R225" s="23"/>
      <c r="S225" s="50"/>
      <c r="T225" s="48"/>
      <c r="U225" s="82"/>
      <c r="V225" s="32"/>
      <c r="W225" s="200"/>
      <c r="X225" s="17"/>
    </row>
    <row r="226" spans="2:24" x14ac:dyDescent="0.25">
      <c r="B226" s="17">
        <v>224</v>
      </c>
      <c r="C226" s="10"/>
      <c r="D226" s="10"/>
      <c r="E226" s="72"/>
      <c r="F226" s="18"/>
      <c r="G226" s="10"/>
      <c r="H226" s="10"/>
      <c r="I226" s="10"/>
      <c r="J226" s="11"/>
      <c r="K226" s="11">
        <f t="shared" si="197"/>
        <v>0</v>
      </c>
      <c r="L226" s="37">
        <f t="shared" si="198"/>
        <v>0</v>
      </c>
      <c r="M226" s="11"/>
      <c r="N226" s="10"/>
      <c r="O226" s="21"/>
      <c r="P226" s="21"/>
      <c r="Q226" s="21"/>
      <c r="R226" s="23"/>
      <c r="S226" s="50"/>
      <c r="T226" s="48"/>
      <c r="U226" s="82"/>
      <c r="V226" s="32"/>
      <c r="W226" s="200"/>
      <c r="X226" s="17"/>
    </row>
    <row r="227" spans="2:24" x14ac:dyDescent="0.25">
      <c r="B227" s="17">
        <v>225</v>
      </c>
      <c r="C227" s="10"/>
      <c r="D227" s="10"/>
      <c r="E227" s="72"/>
      <c r="F227" s="18"/>
      <c r="G227" s="10"/>
      <c r="H227" s="10"/>
      <c r="I227" s="10"/>
      <c r="J227" s="11"/>
      <c r="K227" s="11">
        <f t="shared" si="197"/>
        <v>0</v>
      </c>
      <c r="L227" s="37">
        <f t="shared" si="198"/>
        <v>0</v>
      </c>
      <c r="M227" s="11"/>
      <c r="N227" s="10"/>
      <c r="O227" s="21"/>
      <c r="P227" s="21"/>
      <c r="Q227" s="21"/>
      <c r="R227" s="23"/>
      <c r="S227" s="50"/>
      <c r="T227" s="48"/>
      <c r="U227" s="82"/>
      <c r="V227" s="26"/>
      <c r="W227" s="200"/>
      <c r="X227" s="17"/>
    </row>
    <row r="228" spans="2:24" x14ac:dyDescent="0.25">
      <c r="B228" s="17">
        <v>226</v>
      </c>
      <c r="C228" s="10"/>
      <c r="D228" s="10"/>
      <c r="E228" s="72"/>
      <c r="F228" s="18"/>
      <c r="G228" s="10"/>
      <c r="H228" s="10"/>
      <c r="I228" s="10"/>
      <c r="J228" s="11"/>
      <c r="K228" s="11">
        <f t="shared" si="197"/>
        <v>0</v>
      </c>
      <c r="L228" s="37">
        <f t="shared" si="198"/>
        <v>0</v>
      </c>
      <c r="M228" s="11"/>
      <c r="N228" s="10"/>
      <c r="O228" s="21"/>
      <c r="P228" s="21"/>
      <c r="Q228" s="21"/>
      <c r="R228" s="23"/>
      <c r="S228" s="50"/>
      <c r="T228" s="48"/>
      <c r="U228" s="82"/>
      <c r="V228" s="26"/>
      <c r="W228" s="200"/>
      <c r="X228" s="17"/>
    </row>
    <row r="229" spans="2:24" x14ac:dyDescent="0.25">
      <c r="B229" s="17">
        <v>227</v>
      </c>
      <c r="C229" s="10"/>
      <c r="D229" s="10"/>
      <c r="E229" s="72"/>
      <c r="F229" s="18"/>
      <c r="G229" s="10"/>
      <c r="H229" s="10"/>
      <c r="I229" s="10"/>
      <c r="J229" s="11"/>
      <c r="K229" s="11">
        <f t="shared" si="197"/>
        <v>0</v>
      </c>
      <c r="L229" s="37">
        <f t="shared" si="198"/>
        <v>0</v>
      </c>
      <c r="M229" s="11"/>
      <c r="N229" s="10"/>
      <c r="O229" s="21"/>
      <c r="P229" s="21"/>
      <c r="Q229" s="21"/>
      <c r="R229" s="23"/>
      <c r="S229" s="50"/>
      <c r="T229" s="48"/>
      <c r="U229" s="82"/>
      <c r="V229" s="26"/>
      <c r="W229" s="200"/>
      <c r="X229" s="17"/>
    </row>
    <row r="230" spans="2:24" x14ac:dyDescent="0.25">
      <c r="B230" s="17">
        <v>228</v>
      </c>
      <c r="C230" s="10"/>
      <c r="D230" s="10"/>
      <c r="E230" s="72"/>
      <c r="F230" s="18"/>
      <c r="G230" s="10"/>
      <c r="H230" s="10"/>
      <c r="I230" s="10"/>
      <c r="J230" s="11"/>
      <c r="K230" s="11">
        <f t="shared" si="197"/>
        <v>0</v>
      </c>
      <c r="L230" s="37">
        <f t="shared" si="198"/>
        <v>0</v>
      </c>
      <c r="M230" s="11"/>
      <c r="N230" s="10"/>
      <c r="O230" s="21"/>
      <c r="P230" s="21"/>
      <c r="Q230" s="21"/>
      <c r="R230" s="23"/>
      <c r="S230" s="50"/>
      <c r="T230" s="48"/>
      <c r="U230" s="82"/>
      <c r="V230" s="26"/>
      <c r="W230" s="200"/>
      <c r="X230" s="17"/>
    </row>
    <row r="231" spans="2:24" x14ac:dyDescent="0.25">
      <c r="B231" s="17">
        <v>229</v>
      </c>
      <c r="C231" s="10"/>
      <c r="D231" s="10"/>
      <c r="E231" s="72"/>
      <c r="F231" s="18"/>
      <c r="G231" s="10"/>
      <c r="H231" s="10"/>
      <c r="I231" s="10"/>
      <c r="J231" s="11"/>
      <c r="K231" s="11">
        <f t="shared" si="197"/>
        <v>0</v>
      </c>
      <c r="L231" s="37">
        <f t="shared" si="198"/>
        <v>0</v>
      </c>
      <c r="M231" s="11"/>
      <c r="N231" s="10"/>
      <c r="O231" s="21"/>
      <c r="P231" s="21"/>
      <c r="Q231" s="21"/>
      <c r="R231" s="23"/>
      <c r="S231" s="50"/>
      <c r="T231" s="48"/>
      <c r="U231" s="82"/>
      <c r="V231" s="32"/>
      <c r="W231" s="200"/>
      <c r="X231" s="17"/>
    </row>
    <row r="232" spans="2:24" x14ac:dyDescent="0.25">
      <c r="B232" s="17">
        <v>230</v>
      </c>
      <c r="C232" s="10"/>
      <c r="D232" s="10"/>
      <c r="E232" s="72"/>
      <c r="F232" s="18"/>
      <c r="G232" s="10"/>
      <c r="H232" s="10"/>
      <c r="I232" s="10"/>
      <c r="J232" s="11"/>
      <c r="K232" s="11">
        <f t="shared" si="197"/>
        <v>0</v>
      </c>
      <c r="L232" s="37">
        <f t="shared" si="198"/>
        <v>0</v>
      </c>
      <c r="M232" s="11"/>
      <c r="N232" s="10"/>
      <c r="O232" s="21"/>
      <c r="P232" s="21"/>
      <c r="Q232" s="21"/>
      <c r="R232" s="23"/>
      <c r="S232" s="50"/>
      <c r="T232" s="48"/>
      <c r="U232" s="82"/>
      <c r="V232" s="32"/>
      <c r="W232" s="200"/>
      <c r="X232" s="17"/>
    </row>
    <row r="233" spans="2:24" x14ac:dyDescent="0.25">
      <c r="B233" s="17">
        <v>231</v>
      </c>
      <c r="C233" s="10"/>
      <c r="D233" s="10"/>
      <c r="E233" s="72"/>
      <c r="F233" s="18"/>
      <c r="G233" s="10"/>
      <c r="H233" s="10"/>
      <c r="I233" s="10"/>
      <c r="J233" s="11"/>
      <c r="K233" s="11">
        <f t="shared" si="197"/>
        <v>0</v>
      </c>
      <c r="L233" s="37">
        <f t="shared" si="198"/>
        <v>0</v>
      </c>
      <c r="M233" s="11"/>
      <c r="N233" s="10"/>
      <c r="O233" s="21"/>
      <c r="P233" s="21"/>
      <c r="Q233" s="21"/>
      <c r="R233" s="23"/>
      <c r="S233" s="50"/>
      <c r="T233" s="48"/>
      <c r="U233" s="82"/>
      <c r="V233" s="26"/>
      <c r="W233" s="200"/>
      <c r="X233" s="17"/>
    </row>
    <row r="234" spans="2:24" x14ac:dyDescent="0.25">
      <c r="B234" s="17">
        <v>232</v>
      </c>
      <c r="C234" s="10"/>
      <c r="D234" s="10"/>
      <c r="E234" s="72"/>
      <c r="F234" s="18"/>
      <c r="G234" s="10"/>
      <c r="H234" s="10"/>
      <c r="I234" s="10"/>
      <c r="J234" s="11"/>
      <c r="K234" s="11">
        <f t="shared" si="197"/>
        <v>0</v>
      </c>
      <c r="L234" s="37">
        <f t="shared" si="198"/>
        <v>0</v>
      </c>
      <c r="M234" s="11"/>
      <c r="N234" s="10"/>
      <c r="O234" s="21"/>
      <c r="P234" s="21"/>
      <c r="Q234" s="21"/>
      <c r="R234" s="23"/>
      <c r="S234" s="50"/>
      <c r="T234" s="48"/>
      <c r="U234" s="82"/>
      <c r="V234" s="26"/>
      <c r="W234" s="200"/>
      <c r="X234" s="17"/>
    </row>
    <row r="235" spans="2:24" x14ac:dyDescent="0.25">
      <c r="B235" s="17">
        <v>233</v>
      </c>
      <c r="C235" s="10"/>
      <c r="D235" s="10"/>
      <c r="E235" s="72"/>
      <c r="F235" s="18"/>
      <c r="G235" s="10"/>
      <c r="H235" s="10"/>
      <c r="I235" s="10"/>
      <c r="J235" s="11"/>
      <c r="K235" s="11">
        <f t="shared" si="197"/>
        <v>0</v>
      </c>
      <c r="L235" s="37">
        <f t="shared" si="198"/>
        <v>0</v>
      </c>
      <c r="M235" s="11"/>
      <c r="N235" s="10"/>
      <c r="O235" s="21"/>
      <c r="P235" s="21"/>
      <c r="Q235" s="21"/>
      <c r="R235" s="23"/>
      <c r="S235" s="50"/>
      <c r="T235" s="48"/>
      <c r="U235" s="82"/>
      <c r="V235" s="26"/>
      <c r="W235" s="200"/>
      <c r="X235" s="17"/>
    </row>
    <row r="236" spans="2:24" x14ac:dyDescent="0.25">
      <c r="B236" s="17">
        <v>234</v>
      </c>
      <c r="C236" s="10"/>
      <c r="D236" s="10"/>
      <c r="E236" s="72"/>
      <c r="F236" s="18"/>
      <c r="G236" s="10"/>
      <c r="H236" s="10"/>
      <c r="I236" s="10"/>
      <c r="J236" s="11"/>
      <c r="K236" s="11">
        <f t="shared" si="197"/>
        <v>0</v>
      </c>
      <c r="L236" s="37">
        <f t="shared" si="198"/>
        <v>0</v>
      </c>
      <c r="M236" s="11"/>
      <c r="N236" s="10"/>
      <c r="O236" s="21"/>
      <c r="P236" s="21"/>
      <c r="Q236" s="21"/>
      <c r="R236" s="23"/>
      <c r="S236" s="50"/>
      <c r="T236" s="48"/>
      <c r="U236" s="82"/>
      <c r="V236" s="26"/>
      <c r="W236" s="200"/>
      <c r="X236" s="17"/>
    </row>
    <row r="237" spans="2:24" x14ac:dyDescent="0.25">
      <c r="B237" s="17">
        <v>235</v>
      </c>
      <c r="C237" s="10"/>
      <c r="D237" s="10"/>
      <c r="E237" s="72"/>
      <c r="F237" s="18"/>
      <c r="G237" s="10"/>
      <c r="H237" s="10"/>
      <c r="I237" s="10"/>
      <c r="J237" s="11"/>
      <c r="K237" s="11">
        <f t="shared" si="197"/>
        <v>0</v>
      </c>
      <c r="L237" s="37">
        <f t="shared" si="198"/>
        <v>0</v>
      </c>
      <c r="M237" s="11"/>
      <c r="N237" s="10"/>
      <c r="O237" s="21"/>
      <c r="P237" s="21"/>
      <c r="Q237" s="21"/>
      <c r="R237" s="23"/>
      <c r="S237" s="50"/>
      <c r="T237" s="48"/>
      <c r="U237" s="82"/>
      <c r="V237" s="26"/>
      <c r="W237" s="200"/>
      <c r="X237" s="17"/>
    </row>
    <row r="238" spans="2:24" x14ac:dyDescent="0.25">
      <c r="B238" s="17">
        <v>236</v>
      </c>
      <c r="C238" s="10"/>
      <c r="D238" s="10"/>
      <c r="E238" s="72"/>
      <c r="F238" s="18"/>
      <c r="G238" s="10"/>
      <c r="H238" s="10"/>
      <c r="I238" s="10"/>
      <c r="J238" s="11"/>
      <c r="K238" s="11">
        <f t="shared" si="197"/>
        <v>0</v>
      </c>
      <c r="L238" s="37">
        <f t="shared" si="198"/>
        <v>0</v>
      </c>
      <c r="M238" s="11"/>
      <c r="N238" s="10"/>
      <c r="O238" s="21"/>
      <c r="P238" s="21"/>
      <c r="Q238" s="21"/>
      <c r="R238" s="23"/>
      <c r="S238" s="50"/>
      <c r="T238" s="48"/>
      <c r="U238" s="82"/>
      <c r="V238" s="32"/>
      <c r="W238" s="200"/>
      <c r="X238" s="17"/>
    </row>
    <row r="239" spans="2:24" x14ac:dyDescent="0.25">
      <c r="B239" s="17">
        <v>237</v>
      </c>
      <c r="C239" s="10"/>
      <c r="D239" s="10"/>
      <c r="E239" s="72"/>
      <c r="F239" s="18"/>
      <c r="G239" s="10"/>
      <c r="H239" s="10"/>
      <c r="I239" s="10"/>
      <c r="J239" s="11"/>
      <c r="K239" s="11">
        <f t="shared" si="197"/>
        <v>0</v>
      </c>
      <c r="L239" s="37">
        <f t="shared" si="198"/>
        <v>0</v>
      </c>
      <c r="M239" s="11"/>
      <c r="N239" s="10"/>
      <c r="O239" s="21"/>
      <c r="P239" s="21"/>
      <c r="Q239" s="21"/>
      <c r="R239" s="23"/>
      <c r="S239" s="50"/>
      <c r="T239" s="48"/>
      <c r="U239" s="82"/>
      <c r="V239" s="32"/>
      <c r="W239" s="200"/>
      <c r="X239" s="17"/>
    </row>
    <row r="240" spans="2:24" x14ac:dyDescent="0.25">
      <c r="B240" s="17">
        <v>238</v>
      </c>
      <c r="C240" s="10"/>
      <c r="D240" s="10"/>
      <c r="E240" s="72"/>
      <c r="F240" s="18"/>
      <c r="G240" s="10"/>
      <c r="H240" s="10"/>
      <c r="I240" s="10"/>
      <c r="J240" s="11"/>
      <c r="K240" s="11">
        <f t="shared" si="197"/>
        <v>0</v>
      </c>
      <c r="L240" s="37">
        <f t="shared" si="198"/>
        <v>0</v>
      </c>
      <c r="M240" s="11"/>
      <c r="N240" s="10"/>
      <c r="O240" s="21"/>
      <c r="P240" s="21"/>
      <c r="Q240" s="21"/>
      <c r="R240" s="23"/>
      <c r="S240" s="50"/>
      <c r="T240" s="48"/>
      <c r="U240" s="82"/>
      <c r="V240" s="26"/>
      <c r="W240" s="200"/>
      <c r="X240" s="17"/>
    </row>
    <row r="241" spans="2:24" x14ac:dyDescent="0.25">
      <c r="B241" s="17">
        <v>239</v>
      </c>
      <c r="C241" s="10"/>
      <c r="D241" s="10"/>
      <c r="E241" s="72"/>
      <c r="F241" s="18"/>
      <c r="G241" s="10"/>
      <c r="H241" s="10"/>
      <c r="I241" s="10"/>
      <c r="J241" s="11"/>
      <c r="K241" s="11">
        <f t="shared" si="197"/>
        <v>0</v>
      </c>
      <c r="L241" s="37">
        <f t="shared" si="198"/>
        <v>0</v>
      </c>
      <c r="M241" s="11"/>
      <c r="N241" s="10"/>
      <c r="O241" s="21"/>
      <c r="P241" s="21"/>
      <c r="Q241" s="21"/>
      <c r="R241" s="23"/>
      <c r="S241" s="50"/>
      <c r="T241" s="48"/>
      <c r="U241" s="82"/>
      <c r="V241" s="26"/>
      <c r="W241" s="200"/>
      <c r="X241" s="17"/>
    </row>
    <row r="242" spans="2:24" x14ac:dyDescent="0.25">
      <c r="B242" s="17">
        <v>240</v>
      </c>
      <c r="C242" s="10"/>
      <c r="D242" s="10"/>
      <c r="E242" s="72"/>
      <c r="F242" s="18"/>
      <c r="G242" s="10"/>
      <c r="H242" s="10"/>
      <c r="I242" s="10"/>
      <c r="J242" s="11"/>
      <c r="K242" s="11">
        <f t="shared" si="197"/>
        <v>0</v>
      </c>
      <c r="L242" s="37">
        <f t="shared" si="198"/>
        <v>0</v>
      </c>
      <c r="M242" s="11"/>
      <c r="N242" s="10"/>
      <c r="O242" s="21"/>
      <c r="P242" s="21"/>
      <c r="Q242" s="21"/>
      <c r="R242" s="23"/>
      <c r="S242" s="50"/>
      <c r="T242" s="48"/>
      <c r="U242" s="82"/>
      <c r="V242" s="26"/>
      <c r="W242" s="200"/>
      <c r="X242" s="17"/>
    </row>
    <row r="243" spans="2:24" x14ac:dyDescent="0.25">
      <c r="B243" s="17">
        <v>241</v>
      </c>
      <c r="C243" s="10"/>
      <c r="D243" s="10"/>
      <c r="E243" s="72"/>
      <c r="F243" s="18"/>
      <c r="G243" s="10"/>
      <c r="H243" s="10"/>
      <c r="I243" s="10"/>
      <c r="J243" s="11"/>
      <c r="K243" s="11">
        <f t="shared" si="197"/>
        <v>0</v>
      </c>
      <c r="L243" s="37">
        <f t="shared" si="198"/>
        <v>0</v>
      </c>
      <c r="M243" s="11"/>
      <c r="N243" s="10"/>
      <c r="O243" s="21"/>
      <c r="P243" s="21"/>
      <c r="Q243" s="21"/>
      <c r="R243" s="23"/>
      <c r="S243" s="50"/>
      <c r="T243" s="48"/>
      <c r="U243" s="82"/>
      <c r="V243" s="26"/>
      <c r="W243" s="200"/>
      <c r="X243" s="17"/>
    </row>
    <row r="244" spans="2:24" x14ac:dyDescent="0.25">
      <c r="B244" s="17">
        <v>242</v>
      </c>
      <c r="C244" s="10"/>
      <c r="D244" s="10"/>
      <c r="E244" s="72"/>
      <c r="F244" s="18"/>
      <c r="G244" s="10"/>
      <c r="H244" s="10"/>
      <c r="I244" s="10"/>
      <c r="J244" s="11"/>
      <c r="K244" s="11">
        <f t="shared" si="197"/>
        <v>0</v>
      </c>
      <c r="L244" s="37">
        <f t="shared" si="198"/>
        <v>0</v>
      </c>
      <c r="M244" s="11"/>
      <c r="N244" s="10"/>
      <c r="O244" s="21"/>
      <c r="P244" s="21"/>
      <c r="Q244" s="21"/>
      <c r="R244" s="23"/>
      <c r="S244" s="50"/>
      <c r="T244" s="48"/>
      <c r="U244" s="82"/>
      <c r="V244" s="26"/>
      <c r="W244" s="200"/>
      <c r="X244" s="17"/>
    </row>
    <row r="245" spans="2:24" x14ac:dyDescent="0.25">
      <c r="B245" s="17">
        <v>243</v>
      </c>
      <c r="C245" s="10"/>
      <c r="D245" s="10"/>
      <c r="E245" s="72"/>
      <c r="F245" s="18"/>
      <c r="G245" s="10"/>
      <c r="H245" s="10"/>
      <c r="I245" s="10"/>
      <c r="J245" s="11"/>
      <c r="K245" s="11">
        <f t="shared" si="197"/>
        <v>0</v>
      </c>
      <c r="L245" s="37">
        <f t="shared" si="198"/>
        <v>0</v>
      </c>
      <c r="M245" s="11"/>
      <c r="N245" s="10"/>
      <c r="O245" s="21"/>
      <c r="P245" s="21"/>
      <c r="Q245" s="21"/>
      <c r="R245" s="23"/>
      <c r="S245" s="50"/>
      <c r="T245" s="48"/>
      <c r="U245" s="82"/>
      <c r="V245" s="32"/>
      <c r="W245" s="200"/>
      <c r="X245" s="17"/>
    </row>
    <row r="246" spans="2:24" x14ac:dyDescent="0.25">
      <c r="B246" s="17">
        <v>244</v>
      </c>
      <c r="C246" s="10"/>
      <c r="D246" s="10"/>
      <c r="E246" s="72"/>
      <c r="F246" s="18"/>
      <c r="G246" s="10"/>
      <c r="H246" s="10"/>
      <c r="I246" s="10"/>
      <c r="J246" s="11"/>
      <c r="K246" s="11">
        <f t="shared" si="197"/>
        <v>0</v>
      </c>
      <c r="L246" s="37">
        <f t="shared" si="198"/>
        <v>0</v>
      </c>
      <c r="M246" s="11"/>
      <c r="N246" s="10"/>
      <c r="O246" s="21"/>
      <c r="P246" s="21"/>
      <c r="Q246" s="21"/>
      <c r="R246" s="23"/>
      <c r="S246" s="50"/>
      <c r="T246" s="48"/>
      <c r="U246" s="82"/>
      <c r="V246" s="32"/>
      <c r="W246" s="200"/>
      <c r="X246" s="17"/>
    </row>
    <row r="247" spans="2:24" x14ac:dyDescent="0.25">
      <c r="B247" s="17">
        <v>245</v>
      </c>
      <c r="C247" s="10"/>
      <c r="D247" s="10"/>
      <c r="E247" s="72"/>
      <c r="F247" s="18"/>
      <c r="G247" s="10"/>
      <c r="H247" s="10"/>
      <c r="I247" s="10"/>
      <c r="J247" s="11"/>
      <c r="K247" s="11">
        <f t="shared" si="197"/>
        <v>0</v>
      </c>
      <c r="L247" s="37">
        <f t="shared" si="198"/>
        <v>0</v>
      </c>
      <c r="M247" s="11"/>
      <c r="N247" s="10"/>
      <c r="O247" s="21"/>
      <c r="P247" s="21"/>
      <c r="Q247" s="21"/>
      <c r="R247" s="23"/>
      <c r="S247" s="50"/>
      <c r="T247" s="48"/>
      <c r="U247" s="82"/>
      <c r="V247" s="32"/>
      <c r="W247" s="200"/>
      <c r="X247" s="17"/>
    </row>
    <row r="248" spans="2:24" x14ac:dyDescent="0.25">
      <c r="B248" s="17">
        <v>246</v>
      </c>
      <c r="C248" s="10"/>
      <c r="D248" s="10"/>
      <c r="E248" s="72"/>
      <c r="F248" s="18"/>
      <c r="G248" s="10"/>
      <c r="H248" s="10"/>
      <c r="I248" s="10"/>
      <c r="J248" s="11"/>
      <c r="K248" s="11">
        <f t="shared" si="197"/>
        <v>0</v>
      </c>
      <c r="L248" s="37">
        <f t="shared" si="198"/>
        <v>0</v>
      </c>
      <c r="M248" s="11"/>
      <c r="N248" s="10"/>
      <c r="O248" s="21"/>
      <c r="P248" s="21"/>
      <c r="Q248" s="21"/>
      <c r="R248" s="23"/>
      <c r="S248" s="50"/>
      <c r="T248" s="48"/>
      <c r="U248" s="82"/>
      <c r="V248" s="32"/>
      <c r="W248" s="200"/>
      <c r="X248" s="17"/>
    </row>
    <row r="249" spans="2:24" x14ac:dyDescent="0.25">
      <c r="B249" s="17">
        <v>247</v>
      </c>
      <c r="C249" s="10"/>
      <c r="D249" s="10"/>
      <c r="E249" s="72"/>
      <c r="F249" s="18"/>
      <c r="G249" s="10"/>
      <c r="H249" s="10"/>
      <c r="I249" s="10"/>
      <c r="J249" s="11"/>
      <c r="K249" s="11">
        <f t="shared" si="197"/>
        <v>0</v>
      </c>
      <c r="L249" s="37">
        <f t="shared" si="198"/>
        <v>0</v>
      </c>
      <c r="M249" s="11"/>
      <c r="N249" s="10"/>
      <c r="O249" s="21"/>
      <c r="P249" s="21"/>
      <c r="Q249" s="21"/>
      <c r="R249" s="23"/>
      <c r="S249" s="50"/>
      <c r="T249" s="48"/>
      <c r="U249" s="82"/>
      <c r="V249" s="26"/>
      <c r="W249" s="200"/>
      <c r="X249" s="17"/>
    </row>
    <row r="250" spans="2:24" x14ac:dyDescent="0.25">
      <c r="B250" s="17">
        <v>248</v>
      </c>
      <c r="C250" s="10"/>
      <c r="D250" s="10"/>
      <c r="E250" s="72"/>
      <c r="F250" s="18"/>
      <c r="G250" s="10"/>
      <c r="H250" s="10"/>
      <c r="I250" s="10"/>
      <c r="J250" s="11"/>
      <c r="K250" s="11">
        <f t="shared" si="197"/>
        <v>0</v>
      </c>
      <c r="L250" s="37">
        <f t="shared" si="198"/>
        <v>0</v>
      </c>
      <c r="M250" s="11"/>
      <c r="N250" s="10"/>
      <c r="O250" s="21"/>
      <c r="P250" s="21"/>
      <c r="Q250" s="21"/>
      <c r="R250" s="23"/>
      <c r="S250" s="50"/>
      <c r="T250" s="48"/>
      <c r="U250" s="82"/>
      <c r="V250" s="26"/>
      <c r="W250" s="200"/>
      <c r="X250" s="17"/>
    </row>
    <row r="251" spans="2:24" x14ac:dyDescent="0.25">
      <c r="B251" s="17">
        <v>249</v>
      </c>
      <c r="C251" s="10"/>
      <c r="D251" s="10"/>
      <c r="E251" s="72"/>
      <c r="F251" s="18"/>
      <c r="G251" s="10"/>
      <c r="H251" s="10"/>
      <c r="I251" s="10"/>
      <c r="J251" s="11"/>
      <c r="K251" s="11">
        <f t="shared" si="197"/>
        <v>0</v>
      </c>
      <c r="L251" s="37">
        <f t="shared" si="198"/>
        <v>0</v>
      </c>
      <c r="M251" s="11"/>
      <c r="N251" s="10"/>
      <c r="O251" s="21"/>
      <c r="P251" s="21"/>
      <c r="Q251" s="21"/>
      <c r="R251" s="23"/>
      <c r="S251" s="50"/>
      <c r="T251" s="48"/>
      <c r="U251" s="82"/>
      <c r="V251" s="26"/>
      <c r="W251" s="200"/>
      <c r="X251" s="17"/>
    </row>
    <row r="252" spans="2:24" x14ac:dyDescent="0.25">
      <c r="B252" s="17">
        <v>250</v>
      </c>
      <c r="C252" s="10"/>
      <c r="D252" s="10"/>
      <c r="E252" s="72"/>
      <c r="F252" s="18"/>
      <c r="G252" s="10"/>
      <c r="H252" s="10"/>
      <c r="I252" s="10"/>
      <c r="J252" s="11"/>
      <c r="K252" s="11">
        <f t="shared" si="197"/>
        <v>0</v>
      </c>
      <c r="L252" s="37">
        <f t="shared" si="198"/>
        <v>0</v>
      </c>
      <c r="M252" s="11"/>
      <c r="N252" s="10"/>
      <c r="O252" s="21"/>
      <c r="P252" s="21"/>
      <c r="Q252" s="21"/>
      <c r="R252" s="23"/>
      <c r="S252" s="50"/>
      <c r="T252" s="48"/>
      <c r="U252" s="82"/>
      <c r="V252" s="26"/>
      <c r="W252" s="200"/>
      <c r="X252" s="17"/>
    </row>
    <row r="253" spans="2:24" x14ac:dyDescent="0.25">
      <c r="B253" s="17">
        <v>251</v>
      </c>
      <c r="C253" s="10"/>
      <c r="D253" s="10"/>
      <c r="E253" s="72"/>
      <c r="F253" s="18"/>
      <c r="G253" s="10"/>
      <c r="H253" s="10"/>
      <c r="I253" s="10"/>
      <c r="J253" s="11"/>
      <c r="K253" s="11">
        <f t="shared" si="197"/>
        <v>0</v>
      </c>
      <c r="L253" s="37">
        <f t="shared" si="198"/>
        <v>0</v>
      </c>
      <c r="M253" s="11"/>
      <c r="N253" s="10"/>
      <c r="O253" s="21"/>
      <c r="P253" s="21"/>
      <c r="Q253" s="21"/>
      <c r="R253" s="23"/>
      <c r="S253" s="50"/>
      <c r="T253" s="48"/>
      <c r="U253" s="82"/>
      <c r="V253" s="32"/>
      <c r="W253" s="200"/>
      <c r="X253" s="17"/>
    </row>
    <row r="254" spans="2:24" x14ac:dyDescent="0.25">
      <c r="B254" s="17">
        <v>252</v>
      </c>
      <c r="C254" s="10"/>
      <c r="D254" s="10"/>
      <c r="E254" s="72"/>
      <c r="F254" s="18"/>
      <c r="G254" s="10"/>
      <c r="H254" s="10"/>
      <c r="I254" s="10"/>
      <c r="J254" s="11"/>
      <c r="K254" s="11">
        <f t="shared" si="197"/>
        <v>0</v>
      </c>
      <c r="L254" s="37">
        <f t="shared" si="198"/>
        <v>0</v>
      </c>
      <c r="M254" s="11"/>
      <c r="N254" s="10"/>
      <c r="O254" s="21"/>
      <c r="P254" s="21"/>
      <c r="Q254" s="21"/>
      <c r="R254" s="23"/>
      <c r="S254" s="50"/>
      <c r="T254" s="48"/>
      <c r="U254" s="82"/>
      <c r="V254" s="32"/>
      <c r="W254" s="200"/>
      <c r="X254" s="17"/>
    </row>
    <row r="255" spans="2:24" x14ac:dyDescent="0.25">
      <c r="B255" s="17">
        <v>253</v>
      </c>
      <c r="C255" s="10"/>
      <c r="D255" s="10"/>
      <c r="E255" s="72"/>
      <c r="F255" s="18"/>
      <c r="G255" s="10"/>
      <c r="H255" s="10"/>
      <c r="I255" s="10"/>
      <c r="J255" s="11"/>
      <c r="K255" s="11">
        <f t="shared" si="197"/>
        <v>0</v>
      </c>
      <c r="L255" s="37">
        <f t="shared" si="198"/>
        <v>0</v>
      </c>
      <c r="M255" s="11"/>
      <c r="N255" s="10"/>
      <c r="O255" s="21"/>
      <c r="P255" s="21"/>
      <c r="Q255" s="21"/>
      <c r="R255" s="23"/>
      <c r="S255" s="50"/>
      <c r="T255" s="48"/>
      <c r="U255" s="82"/>
      <c r="V255" s="26"/>
      <c r="W255" s="200"/>
      <c r="X255" s="17"/>
    </row>
    <row r="256" spans="2:24" x14ac:dyDescent="0.25">
      <c r="B256" s="17">
        <v>254</v>
      </c>
      <c r="C256" s="10"/>
      <c r="D256" s="10"/>
      <c r="E256" s="72"/>
      <c r="F256" s="18"/>
      <c r="G256" s="10"/>
      <c r="H256" s="10"/>
      <c r="I256" s="10"/>
      <c r="J256" s="11"/>
      <c r="K256" s="11">
        <f t="shared" si="197"/>
        <v>0</v>
      </c>
      <c r="L256" s="37">
        <f t="shared" si="198"/>
        <v>0</v>
      </c>
      <c r="M256" s="11"/>
      <c r="N256" s="10"/>
      <c r="O256" s="21"/>
      <c r="P256" s="21"/>
      <c r="Q256" s="21"/>
      <c r="R256" s="23"/>
      <c r="S256" s="50"/>
      <c r="T256" s="48"/>
      <c r="U256" s="82"/>
      <c r="V256" s="26"/>
      <c r="W256" s="200"/>
      <c r="X256" s="17"/>
    </row>
    <row r="257" spans="2:24" x14ac:dyDescent="0.25">
      <c r="B257" s="17">
        <v>255</v>
      </c>
      <c r="C257" s="10"/>
      <c r="D257" s="10"/>
      <c r="E257" s="72"/>
      <c r="F257" s="18"/>
      <c r="G257" s="10"/>
      <c r="H257" s="10"/>
      <c r="I257" s="10"/>
      <c r="J257" s="11"/>
      <c r="K257" s="11">
        <f t="shared" si="197"/>
        <v>0</v>
      </c>
      <c r="L257" s="37">
        <f t="shared" si="198"/>
        <v>0</v>
      </c>
      <c r="M257" s="11"/>
      <c r="N257" s="10"/>
      <c r="O257" s="21"/>
      <c r="P257" s="21"/>
      <c r="Q257" s="21"/>
      <c r="R257" s="23"/>
      <c r="S257" s="50"/>
      <c r="T257" s="48"/>
      <c r="U257" s="82"/>
      <c r="V257" s="26"/>
      <c r="W257" s="200"/>
      <c r="X257" s="17"/>
    </row>
    <row r="258" spans="2:24" x14ac:dyDescent="0.25">
      <c r="B258" s="17">
        <v>256</v>
      </c>
      <c r="C258" s="10"/>
      <c r="D258" s="10"/>
      <c r="E258" s="72"/>
      <c r="F258" s="18"/>
      <c r="G258" s="10"/>
      <c r="H258" s="10"/>
      <c r="I258" s="10"/>
      <c r="J258" s="11"/>
      <c r="K258" s="11">
        <f t="shared" si="197"/>
        <v>0</v>
      </c>
      <c r="L258" s="37">
        <f t="shared" si="198"/>
        <v>0</v>
      </c>
      <c r="M258" s="11"/>
      <c r="N258" s="10"/>
      <c r="O258" s="21"/>
      <c r="P258" s="21"/>
      <c r="Q258" s="21"/>
      <c r="R258" s="23"/>
      <c r="S258" s="50"/>
      <c r="T258" s="48"/>
      <c r="U258" s="82"/>
      <c r="V258" s="26"/>
      <c r="W258" s="200"/>
      <c r="X258" s="17"/>
    </row>
    <row r="259" spans="2:24" x14ac:dyDescent="0.25">
      <c r="B259" s="17">
        <v>257</v>
      </c>
      <c r="C259" s="10"/>
      <c r="D259" s="10"/>
      <c r="E259" s="72"/>
      <c r="F259" s="18"/>
      <c r="G259" s="10"/>
      <c r="H259" s="10"/>
      <c r="I259" s="10"/>
      <c r="J259" s="11"/>
      <c r="K259" s="11">
        <f t="shared" si="197"/>
        <v>0</v>
      </c>
      <c r="L259" s="37">
        <f t="shared" si="198"/>
        <v>0</v>
      </c>
      <c r="M259" s="11"/>
      <c r="N259" s="10"/>
      <c r="O259" s="21"/>
      <c r="P259" s="21"/>
      <c r="Q259" s="21"/>
      <c r="R259" s="23"/>
      <c r="S259" s="50"/>
      <c r="T259" s="48"/>
      <c r="U259" s="82"/>
      <c r="V259" s="26"/>
      <c r="W259" s="200"/>
      <c r="X259" s="17"/>
    </row>
    <row r="260" spans="2:24" x14ac:dyDescent="0.25">
      <c r="B260" s="17">
        <v>258</v>
      </c>
      <c r="C260" s="10"/>
      <c r="D260" s="10"/>
      <c r="E260" s="72"/>
      <c r="F260" s="18"/>
      <c r="G260" s="10"/>
      <c r="H260" s="10"/>
      <c r="I260" s="10"/>
      <c r="J260" s="11"/>
      <c r="K260" s="11">
        <f t="shared" ref="K260:K284" si="199">J260*1.1</f>
        <v>0</v>
      </c>
      <c r="L260" s="37">
        <f t="shared" ref="L260:L284" si="200">J260*0.00000001</f>
        <v>0</v>
      </c>
      <c r="M260" s="11"/>
      <c r="N260" s="10"/>
      <c r="O260" s="21"/>
      <c r="P260" s="21"/>
      <c r="Q260" s="21"/>
      <c r="R260" s="23"/>
      <c r="S260" s="50"/>
      <c r="T260" s="48"/>
      <c r="U260" s="82"/>
      <c r="V260" s="32"/>
      <c r="W260" s="200"/>
      <c r="X260" s="17"/>
    </row>
    <row r="261" spans="2:24" x14ac:dyDescent="0.25">
      <c r="B261" s="17">
        <v>259</v>
      </c>
      <c r="C261" s="10"/>
      <c r="D261" s="10"/>
      <c r="E261" s="72"/>
      <c r="F261" s="18"/>
      <c r="G261" s="10"/>
      <c r="H261" s="10"/>
      <c r="I261" s="10"/>
      <c r="J261" s="11"/>
      <c r="K261" s="11">
        <f t="shared" si="199"/>
        <v>0</v>
      </c>
      <c r="L261" s="37">
        <f t="shared" si="200"/>
        <v>0</v>
      </c>
      <c r="M261" s="11"/>
      <c r="N261" s="10"/>
      <c r="O261" s="21"/>
      <c r="P261" s="21"/>
      <c r="Q261" s="21"/>
      <c r="R261" s="23"/>
      <c r="S261" s="50"/>
      <c r="T261" s="48"/>
      <c r="U261" s="82"/>
      <c r="V261" s="32"/>
      <c r="W261" s="200"/>
      <c r="X261" s="17"/>
    </row>
    <row r="262" spans="2:24" x14ac:dyDescent="0.25">
      <c r="B262" s="17">
        <v>260</v>
      </c>
      <c r="C262" s="10"/>
      <c r="D262" s="10"/>
      <c r="E262" s="72"/>
      <c r="F262" s="18"/>
      <c r="G262" s="10"/>
      <c r="H262" s="10"/>
      <c r="I262" s="10"/>
      <c r="J262" s="11"/>
      <c r="K262" s="11">
        <f t="shared" si="199"/>
        <v>0</v>
      </c>
      <c r="L262" s="37">
        <f t="shared" si="200"/>
        <v>0</v>
      </c>
      <c r="M262" s="11"/>
      <c r="N262" s="10"/>
      <c r="O262" s="21"/>
      <c r="P262" s="21"/>
      <c r="Q262" s="21"/>
      <c r="R262" s="23"/>
      <c r="S262" s="50"/>
      <c r="T262" s="48"/>
      <c r="U262" s="82"/>
      <c r="V262" s="26"/>
      <c r="W262" s="200"/>
      <c r="X262" s="17"/>
    </row>
    <row r="263" spans="2:24" x14ac:dyDescent="0.25">
      <c r="B263" s="17">
        <v>261</v>
      </c>
      <c r="C263" s="10"/>
      <c r="D263" s="10"/>
      <c r="E263" s="72"/>
      <c r="F263" s="18"/>
      <c r="G263" s="10"/>
      <c r="H263" s="10"/>
      <c r="I263" s="10"/>
      <c r="J263" s="11"/>
      <c r="K263" s="11">
        <f t="shared" si="199"/>
        <v>0</v>
      </c>
      <c r="L263" s="37">
        <f t="shared" si="200"/>
        <v>0</v>
      </c>
      <c r="M263" s="11"/>
      <c r="N263" s="10"/>
      <c r="O263" s="21"/>
      <c r="P263" s="21"/>
      <c r="Q263" s="21"/>
      <c r="R263" s="23"/>
      <c r="S263" s="50"/>
      <c r="T263" s="48"/>
      <c r="U263" s="82"/>
      <c r="V263" s="26"/>
      <c r="W263" s="200"/>
      <c r="X263" s="17"/>
    </row>
    <row r="264" spans="2:24" x14ac:dyDescent="0.25">
      <c r="B264" s="17">
        <v>262</v>
      </c>
      <c r="C264" s="10"/>
      <c r="D264" s="10"/>
      <c r="E264" s="72"/>
      <c r="F264" s="18"/>
      <c r="G264" s="10"/>
      <c r="H264" s="10"/>
      <c r="I264" s="10"/>
      <c r="J264" s="11"/>
      <c r="K264" s="11">
        <f t="shared" si="199"/>
        <v>0</v>
      </c>
      <c r="L264" s="37">
        <f t="shared" si="200"/>
        <v>0</v>
      </c>
      <c r="M264" s="11"/>
      <c r="N264" s="10"/>
      <c r="O264" s="21"/>
      <c r="P264" s="21"/>
      <c r="Q264" s="21"/>
      <c r="R264" s="23"/>
      <c r="S264" s="50"/>
      <c r="T264" s="48"/>
      <c r="U264" s="82"/>
      <c r="V264" s="26"/>
      <c r="W264" s="200"/>
      <c r="X264" s="17"/>
    </row>
    <row r="265" spans="2:24" x14ac:dyDescent="0.25">
      <c r="B265" s="17">
        <v>263</v>
      </c>
      <c r="C265" s="10"/>
      <c r="D265" s="10"/>
      <c r="E265" s="72"/>
      <c r="F265" s="18"/>
      <c r="G265" s="10"/>
      <c r="H265" s="10"/>
      <c r="I265" s="10"/>
      <c r="J265" s="11"/>
      <c r="K265" s="11">
        <f t="shared" si="199"/>
        <v>0</v>
      </c>
      <c r="L265" s="37">
        <f t="shared" si="200"/>
        <v>0</v>
      </c>
      <c r="M265" s="11"/>
      <c r="N265" s="10"/>
      <c r="O265" s="21"/>
      <c r="P265" s="21"/>
      <c r="Q265" s="21"/>
      <c r="R265" s="23"/>
      <c r="S265" s="50"/>
      <c r="T265" s="48"/>
      <c r="U265" s="82"/>
      <c r="V265" s="26"/>
      <c r="W265" s="200"/>
      <c r="X265" s="17"/>
    </row>
    <row r="266" spans="2:24" x14ac:dyDescent="0.25">
      <c r="B266" s="17">
        <v>264</v>
      </c>
      <c r="C266" s="10"/>
      <c r="D266" s="10"/>
      <c r="E266" s="72"/>
      <c r="F266" s="18"/>
      <c r="G266" s="10"/>
      <c r="H266" s="10"/>
      <c r="I266" s="10"/>
      <c r="J266" s="11"/>
      <c r="K266" s="11">
        <f t="shared" si="199"/>
        <v>0</v>
      </c>
      <c r="L266" s="37">
        <f t="shared" si="200"/>
        <v>0</v>
      </c>
      <c r="M266" s="11"/>
      <c r="N266" s="10"/>
      <c r="O266" s="21"/>
      <c r="P266" s="21"/>
      <c r="Q266" s="21"/>
      <c r="R266" s="23"/>
      <c r="S266" s="50"/>
      <c r="T266" s="48"/>
      <c r="U266" s="82"/>
      <c r="V266" s="26"/>
      <c r="W266" s="200"/>
      <c r="X266" s="17"/>
    </row>
    <row r="267" spans="2:24" x14ac:dyDescent="0.25">
      <c r="B267" s="17">
        <v>265</v>
      </c>
      <c r="C267" s="10"/>
      <c r="D267" s="10"/>
      <c r="E267" s="72"/>
      <c r="F267" s="18"/>
      <c r="G267" s="10"/>
      <c r="H267" s="10"/>
      <c r="I267" s="10"/>
      <c r="J267" s="11"/>
      <c r="K267" s="11">
        <f t="shared" si="199"/>
        <v>0</v>
      </c>
      <c r="L267" s="37">
        <f t="shared" si="200"/>
        <v>0</v>
      </c>
      <c r="M267" s="11"/>
      <c r="N267" s="10"/>
      <c r="O267" s="21"/>
      <c r="P267" s="21"/>
      <c r="Q267" s="21"/>
      <c r="R267" s="23"/>
      <c r="S267" s="50"/>
      <c r="T267" s="48"/>
      <c r="U267" s="82"/>
      <c r="V267" s="32"/>
      <c r="W267" s="200"/>
      <c r="X267" s="17"/>
    </row>
    <row r="268" spans="2:24" x14ac:dyDescent="0.25">
      <c r="B268" s="17">
        <v>266</v>
      </c>
      <c r="C268" s="10"/>
      <c r="D268" s="10"/>
      <c r="E268" s="72"/>
      <c r="F268" s="18"/>
      <c r="G268" s="10"/>
      <c r="H268" s="10"/>
      <c r="I268" s="10"/>
      <c r="J268" s="11"/>
      <c r="K268" s="11">
        <f t="shared" si="199"/>
        <v>0</v>
      </c>
      <c r="L268" s="37">
        <f t="shared" si="200"/>
        <v>0</v>
      </c>
      <c r="M268" s="11"/>
      <c r="N268" s="10"/>
      <c r="O268" s="21"/>
      <c r="P268" s="21"/>
      <c r="Q268" s="21"/>
      <c r="R268" s="23"/>
      <c r="S268" s="50"/>
      <c r="T268" s="48"/>
      <c r="U268" s="82"/>
      <c r="V268" s="32"/>
      <c r="W268" s="200"/>
      <c r="X268" s="17"/>
    </row>
    <row r="269" spans="2:24" x14ac:dyDescent="0.25">
      <c r="B269" s="17">
        <v>267</v>
      </c>
      <c r="C269" s="10"/>
      <c r="D269" s="10"/>
      <c r="E269" s="72"/>
      <c r="F269" s="18"/>
      <c r="G269" s="10"/>
      <c r="H269" s="10"/>
      <c r="I269" s="10"/>
      <c r="J269" s="11"/>
      <c r="K269" s="11">
        <f t="shared" si="199"/>
        <v>0</v>
      </c>
      <c r="L269" s="37">
        <f t="shared" si="200"/>
        <v>0</v>
      </c>
      <c r="M269" s="11"/>
      <c r="N269" s="10"/>
      <c r="O269" s="21"/>
      <c r="P269" s="21"/>
      <c r="Q269" s="21"/>
      <c r="R269" s="23"/>
      <c r="S269" s="50"/>
      <c r="T269" s="48"/>
      <c r="U269" s="82"/>
      <c r="V269" s="32"/>
      <c r="W269" s="200"/>
      <c r="X269" s="17"/>
    </row>
    <row r="270" spans="2:24" x14ac:dyDescent="0.25">
      <c r="B270" s="17">
        <v>268</v>
      </c>
      <c r="C270" s="10"/>
      <c r="D270" s="10"/>
      <c r="E270" s="72"/>
      <c r="F270" s="18"/>
      <c r="G270" s="10"/>
      <c r="H270" s="10"/>
      <c r="I270" s="10"/>
      <c r="J270" s="11"/>
      <c r="K270" s="11">
        <f t="shared" si="199"/>
        <v>0</v>
      </c>
      <c r="L270" s="37">
        <f t="shared" si="200"/>
        <v>0</v>
      </c>
      <c r="M270" s="11"/>
      <c r="N270" s="10"/>
      <c r="O270" s="21"/>
      <c r="P270" s="21"/>
      <c r="Q270" s="21"/>
      <c r="R270" s="23"/>
      <c r="S270" s="50"/>
      <c r="T270" s="48"/>
      <c r="U270" s="82"/>
      <c r="V270" s="32"/>
      <c r="W270" s="200"/>
      <c r="X270" s="17"/>
    </row>
    <row r="271" spans="2:24" x14ac:dyDescent="0.25">
      <c r="B271" s="17">
        <v>269</v>
      </c>
      <c r="C271" s="10"/>
      <c r="D271" s="10"/>
      <c r="E271" s="72"/>
      <c r="F271" s="18"/>
      <c r="G271" s="10"/>
      <c r="H271" s="10"/>
      <c r="I271" s="10"/>
      <c r="J271" s="11"/>
      <c r="K271" s="11">
        <f t="shared" si="199"/>
        <v>0</v>
      </c>
      <c r="L271" s="37">
        <f t="shared" si="200"/>
        <v>0</v>
      </c>
      <c r="M271" s="11"/>
      <c r="N271" s="10"/>
      <c r="O271" s="21"/>
      <c r="P271" s="21"/>
      <c r="Q271" s="21"/>
      <c r="R271" s="23"/>
      <c r="S271" s="50"/>
      <c r="T271" s="48"/>
      <c r="U271" s="82"/>
      <c r="V271" s="26"/>
      <c r="W271" s="200"/>
      <c r="X271" s="17"/>
    </row>
    <row r="272" spans="2:24" x14ac:dyDescent="0.25">
      <c r="B272" s="17">
        <v>270</v>
      </c>
      <c r="C272" s="10"/>
      <c r="D272" s="10"/>
      <c r="E272" s="72"/>
      <c r="F272" s="18"/>
      <c r="G272" s="10"/>
      <c r="H272" s="10"/>
      <c r="I272" s="10"/>
      <c r="J272" s="11"/>
      <c r="K272" s="11">
        <f t="shared" si="199"/>
        <v>0</v>
      </c>
      <c r="L272" s="37">
        <f t="shared" si="200"/>
        <v>0</v>
      </c>
      <c r="M272" s="11"/>
      <c r="N272" s="10"/>
      <c r="O272" s="21"/>
      <c r="P272" s="21"/>
      <c r="Q272" s="21"/>
      <c r="R272" s="23"/>
      <c r="S272" s="50"/>
      <c r="T272" s="48"/>
      <c r="U272" s="82"/>
      <c r="V272" s="26"/>
      <c r="W272" s="200"/>
      <c r="X272" s="17"/>
    </row>
    <row r="273" spans="2:24" x14ac:dyDescent="0.25">
      <c r="B273" s="17">
        <v>271</v>
      </c>
      <c r="C273" s="10"/>
      <c r="D273" s="10"/>
      <c r="E273" s="72"/>
      <c r="F273" s="18"/>
      <c r="G273" s="10"/>
      <c r="H273" s="10"/>
      <c r="I273" s="10"/>
      <c r="J273" s="11"/>
      <c r="K273" s="11">
        <f t="shared" si="199"/>
        <v>0</v>
      </c>
      <c r="L273" s="37">
        <f t="shared" si="200"/>
        <v>0</v>
      </c>
      <c r="M273" s="11"/>
      <c r="N273" s="10"/>
      <c r="O273" s="21"/>
      <c r="P273" s="21"/>
      <c r="Q273" s="21"/>
      <c r="R273" s="23"/>
      <c r="S273" s="50"/>
      <c r="T273" s="48"/>
      <c r="U273" s="82"/>
      <c r="V273" s="26"/>
      <c r="W273" s="200"/>
      <c r="X273" s="17"/>
    </row>
    <row r="274" spans="2:24" x14ac:dyDescent="0.25">
      <c r="B274" s="17">
        <v>272</v>
      </c>
      <c r="C274" s="10"/>
      <c r="D274" s="10"/>
      <c r="E274" s="72"/>
      <c r="F274" s="18"/>
      <c r="G274" s="10"/>
      <c r="H274" s="10"/>
      <c r="I274" s="10"/>
      <c r="J274" s="11"/>
      <c r="K274" s="11">
        <f t="shared" si="199"/>
        <v>0</v>
      </c>
      <c r="L274" s="37">
        <f t="shared" si="200"/>
        <v>0</v>
      </c>
      <c r="M274" s="11"/>
      <c r="N274" s="10"/>
      <c r="O274" s="21"/>
      <c r="P274" s="21"/>
      <c r="Q274" s="21"/>
      <c r="R274" s="23"/>
      <c r="S274" s="50"/>
      <c r="T274" s="48"/>
      <c r="U274" s="82"/>
      <c r="V274" s="26"/>
      <c r="W274" s="200"/>
      <c r="X274" s="17"/>
    </row>
    <row r="275" spans="2:24" x14ac:dyDescent="0.25">
      <c r="B275" s="17">
        <v>273</v>
      </c>
      <c r="C275" s="10"/>
      <c r="D275" s="10"/>
      <c r="E275" s="72"/>
      <c r="F275" s="18"/>
      <c r="G275" s="10"/>
      <c r="H275" s="10"/>
      <c r="I275" s="10"/>
      <c r="J275" s="11"/>
      <c r="K275" s="11">
        <f t="shared" si="199"/>
        <v>0</v>
      </c>
      <c r="L275" s="37">
        <f t="shared" si="200"/>
        <v>0</v>
      </c>
      <c r="M275" s="11"/>
      <c r="N275" s="10"/>
      <c r="O275" s="21"/>
      <c r="P275" s="21"/>
      <c r="Q275" s="21"/>
      <c r="R275" s="23"/>
      <c r="S275" s="50"/>
      <c r="T275" s="48"/>
      <c r="U275" s="82"/>
      <c r="V275" s="26"/>
      <c r="W275" s="200"/>
      <c r="X275" s="17"/>
    </row>
    <row r="276" spans="2:24" x14ac:dyDescent="0.25">
      <c r="B276" s="17">
        <v>274</v>
      </c>
      <c r="C276" s="10"/>
      <c r="D276" s="10"/>
      <c r="E276" s="72"/>
      <c r="F276" s="18"/>
      <c r="G276" s="10"/>
      <c r="H276" s="10"/>
      <c r="I276" s="10"/>
      <c r="J276" s="11"/>
      <c r="K276" s="11">
        <f t="shared" si="199"/>
        <v>0</v>
      </c>
      <c r="L276" s="37">
        <f t="shared" si="200"/>
        <v>0</v>
      </c>
      <c r="M276" s="11"/>
      <c r="N276" s="10"/>
      <c r="O276" s="21"/>
      <c r="P276" s="21"/>
      <c r="Q276" s="21"/>
      <c r="R276" s="23"/>
      <c r="S276" s="50"/>
      <c r="T276" s="48"/>
      <c r="U276" s="82"/>
      <c r="V276" s="32"/>
      <c r="W276" s="200"/>
      <c r="X276" s="17"/>
    </row>
    <row r="277" spans="2:24" x14ac:dyDescent="0.25">
      <c r="B277" s="17">
        <v>275</v>
      </c>
      <c r="C277" s="10"/>
      <c r="D277" s="10"/>
      <c r="E277" s="72"/>
      <c r="F277" s="18"/>
      <c r="G277" s="10"/>
      <c r="H277" s="10"/>
      <c r="I277" s="10"/>
      <c r="J277" s="11"/>
      <c r="K277" s="11">
        <f t="shared" si="199"/>
        <v>0</v>
      </c>
      <c r="L277" s="37">
        <f t="shared" si="200"/>
        <v>0</v>
      </c>
      <c r="M277" s="11"/>
      <c r="N277" s="10"/>
      <c r="O277" s="21"/>
      <c r="P277" s="21"/>
      <c r="Q277" s="21"/>
      <c r="R277" s="23"/>
      <c r="S277" s="50"/>
      <c r="T277" s="48"/>
      <c r="U277" s="82"/>
      <c r="V277" s="32"/>
      <c r="W277" s="200"/>
      <c r="X277" s="17"/>
    </row>
    <row r="278" spans="2:24" x14ac:dyDescent="0.25">
      <c r="B278" s="17">
        <v>276</v>
      </c>
      <c r="C278" s="10"/>
      <c r="D278" s="10"/>
      <c r="E278" s="72"/>
      <c r="F278" s="18"/>
      <c r="G278" s="10"/>
      <c r="H278" s="10"/>
      <c r="I278" s="10"/>
      <c r="J278" s="11"/>
      <c r="K278" s="11">
        <f t="shared" si="199"/>
        <v>0</v>
      </c>
      <c r="L278" s="37">
        <f t="shared" si="200"/>
        <v>0</v>
      </c>
      <c r="M278" s="11"/>
      <c r="N278" s="10"/>
      <c r="O278" s="21"/>
      <c r="P278" s="21"/>
      <c r="Q278" s="21"/>
      <c r="R278" s="23"/>
      <c r="S278" s="50"/>
      <c r="T278" s="48"/>
      <c r="U278" s="82"/>
      <c r="V278" s="26"/>
      <c r="W278" s="200"/>
      <c r="X278" s="17"/>
    </row>
    <row r="279" spans="2:24" x14ac:dyDescent="0.25">
      <c r="B279" s="17">
        <v>277</v>
      </c>
      <c r="C279" s="10"/>
      <c r="D279" s="10"/>
      <c r="E279" s="72"/>
      <c r="F279" s="18"/>
      <c r="G279" s="10"/>
      <c r="H279" s="10"/>
      <c r="I279" s="10"/>
      <c r="J279" s="11"/>
      <c r="K279" s="11">
        <f t="shared" si="199"/>
        <v>0</v>
      </c>
      <c r="L279" s="37">
        <f t="shared" si="200"/>
        <v>0</v>
      </c>
      <c r="M279" s="11"/>
      <c r="N279" s="10"/>
      <c r="O279" s="21"/>
      <c r="P279" s="21"/>
      <c r="Q279" s="21"/>
      <c r="R279" s="23"/>
      <c r="S279" s="50"/>
      <c r="T279" s="48"/>
      <c r="U279" s="82"/>
      <c r="V279" s="26"/>
      <c r="W279" s="200"/>
      <c r="X279" s="17"/>
    </row>
    <row r="280" spans="2:24" x14ac:dyDescent="0.25">
      <c r="B280" s="17">
        <v>278</v>
      </c>
      <c r="C280" s="10"/>
      <c r="D280" s="10"/>
      <c r="E280" s="72"/>
      <c r="F280" s="18"/>
      <c r="G280" s="10"/>
      <c r="H280" s="10"/>
      <c r="I280" s="10"/>
      <c r="J280" s="11"/>
      <c r="K280" s="11">
        <f t="shared" si="199"/>
        <v>0</v>
      </c>
      <c r="L280" s="37">
        <f t="shared" si="200"/>
        <v>0</v>
      </c>
      <c r="M280" s="11"/>
      <c r="N280" s="10"/>
      <c r="O280" s="21"/>
      <c r="P280" s="21"/>
      <c r="Q280" s="21"/>
      <c r="R280" s="23"/>
      <c r="S280" s="50"/>
      <c r="T280" s="48"/>
      <c r="U280" s="82"/>
      <c r="V280" s="26"/>
      <c r="W280" s="200"/>
      <c r="X280" s="17"/>
    </row>
    <row r="281" spans="2:24" x14ac:dyDescent="0.25">
      <c r="B281" s="17">
        <v>279</v>
      </c>
      <c r="C281" s="10"/>
      <c r="D281" s="10"/>
      <c r="E281" s="72"/>
      <c r="F281" s="18"/>
      <c r="G281" s="10"/>
      <c r="H281" s="10"/>
      <c r="I281" s="10"/>
      <c r="J281" s="11"/>
      <c r="K281" s="11">
        <f t="shared" si="199"/>
        <v>0</v>
      </c>
      <c r="L281" s="37">
        <f t="shared" si="200"/>
        <v>0</v>
      </c>
      <c r="M281" s="11"/>
      <c r="N281" s="10"/>
      <c r="O281" s="21"/>
      <c r="P281" s="21"/>
      <c r="Q281" s="21"/>
      <c r="R281" s="23"/>
      <c r="S281" s="50"/>
      <c r="T281" s="48"/>
      <c r="U281" s="82"/>
      <c r="V281" s="26"/>
      <c r="W281" s="200"/>
      <c r="X281" s="17"/>
    </row>
    <row r="282" spans="2:24" x14ac:dyDescent="0.25">
      <c r="B282" s="17">
        <v>280</v>
      </c>
      <c r="C282" s="10"/>
      <c r="D282" s="10"/>
      <c r="E282" s="72"/>
      <c r="F282" s="18"/>
      <c r="G282" s="10"/>
      <c r="H282" s="10"/>
      <c r="I282" s="10"/>
      <c r="J282" s="11"/>
      <c r="K282" s="11">
        <f t="shared" si="199"/>
        <v>0</v>
      </c>
      <c r="L282" s="37">
        <f t="shared" si="200"/>
        <v>0</v>
      </c>
      <c r="M282" s="11"/>
      <c r="N282" s="10"/>
      <c r="O282" s="21"/>
      <c r="P282" s="21"/>
      <c r="Q282" s="21"/>
      <c r="R282" s="23"/>
      <c r="S282" s="50"/>
      <c r="T282" s="48"/>
      <c r="U282" s="82"/>
      <c r="V282" s="26"/>
      <c r="W282" s="200"/>
      <c r="X282" s="17"/>
    </row>
    <row r="283" spans="2:24" x14ac:dyDescent="0.25">
      <c r="B283" s="17">
        <v>281</v>
      </c>
      <c r="C283" s="10"/>
      <c r="D283" s="10"/>
      <c r="E283" s="72"/>
      <c r="F283" s="18"/>
      <c r="G283" s="10"/>
      <c r="H283" s="10"/>
      <c r="I283" s="10"/>
      <c r="J283" s="11"/>
      <c r="K283" s="11">
        <f t="shared" si="199"/>
        <v>0</v>
      </c>
      <c r="L283" s="37">
        <f t="shared" si="200"/>
        <v>0</v>
      </c>
      <c r="M283" s="11"/>
      <c r="N283" s="10"/>
      <c r="O283" s="21"/>
      <c r="P283" s="21"/>
      <c r="Q283" s="21"/>
      <c r="R283" s="23"/>
      <c r="S283" s="50"/>
      <c r="T283" s="48"/>
      <c r="U283" s="82"/>
      <c r="V283" s="32"/>
      <c r="W283" s="200"/>
      <c r="X283" s="17"/>
    </row>
    <row r="284" spans="2:24" x14ac:dyDescent="0.25">
      <c r="B284" s="17">
        <v>282</v>
      </c>
      <c r="C284" s="10"/>
      <c r="D284" s="10"/>
      <c r="E284" s="72"/>
      <c r="F284" s="18"/>
      <c r="G284" s="10"/>
      <c r="H284" s="10"/>
      <c r="I284" s="10"/>
      <c r="J284" s="11"/>
      <c r="K284" s="11">
        <f t="shared" si="199"/>
        <v>0</v>
      </c>
      <c r="L284" s="37">
        <f t="shared" si="200"/>
        <v>0</v>
      </c>
      <c r="M284" s="11"/>
      <c r="N284" s="10"/>
      <c r="O284" s="21"/>
      <c r="P284" s="21"/>
      <c r="Q284" s="21"/>
      <c r="R284" s="23"/>
      <c r="S284" s="50"/>
      <c r="T284" s="48"/>
      <c r="U284" s="82"/>
      <c r="V284" s="32"/>
      <c r="W284" s="200"/>
      <c r="X284" s="17"/>
    </row>
    <row r="285" spans="2:24" x14ac:dyDescent="0.25">
      <c r="B285" s="17">
        <v>283</v>
      </c>
      <c r="C285" s="10"/>
      <c r="D285" s="10"/>
      <c r="E285" s="72"/>
      <c r="F285" s="18"/>
      <c r="G285" s="10"/>
      <c r="H285" s="10"/>
      <c r="I285" s="10"/>
      <c r="J285" s="11"/>
      <c r="K285" s="11">
        <f t="shared" ref="K285:K302" si="201">J285*1.1</f>
        <v>0</v>
      </c>
      <c r="L285" s="37">
        <f t="shared" ref="L285:L302" si="202">J285*0.00000001</f>
        <v>0</v>
      </c>
      <c r="M285" s="11"/>
      <c r="N285" s="10"/>
      <c r="O285" s="21"/>
      <c r="P285" s="21"/>
      <c r="R285" s="23"/>
      <c r="S285" s="50"/>
      <c r="T285" s="48"/>
      <c r="U285" s="82"/>
      <c r="V285" s="32"/>
      <c r="W285" s="200"/>
      <c r="X285" s="17"/>
    </row>
    <row r="286" spans="2:24" x14ac:dyDescent="0.25">
      <c r="B286" s="17">
        <v>284</v>
      </c>
      <c r="C286" s="10"/>
      <c r="D286" s="10"/>
      <c r="K286" s="11">
        <f t="shared" si="201"/>
        <v>0</v>
      </c>
      <c r="L286" s="37">
        <f t="shared" si="202"/>
        <v>0</v>
      </c>
      <c r="T286" s="56"/>
      <c r="U286" s="82"/>
      <c r="V286" s="84"/>
      <c r="W286" s="200"/>
      <c r="X286" s="17"/>
    </row>
    <row r="287" spans="2:24" x14ac:dyDescent="0.25">
      <c r="B287" s="17">
        <v>285</v>
      </c>
      <c r="C287" s="10"/>
      <c r="D287" s="10"/>
      <c r="K287" s="11">
        <f t="shared" si="201"/>
        <v>0</v>
      </c>
      <c r="L287" s="37">
        <f t="shared" si="202"/>
        <v>0</v>
      </c>
      <c r="T287" s="56"/>
      <c r="U287" s="82"/>
      <c r="V287" s="84"/>
      <c r="W287" s="200"/>
      <c r="X287" s="17"/>
    </row>
    <row r="288" spans="2:24" x14ac:dyDescent="0.25">
      <c r="B288" s="17">
        <v>286</v>
      </c>
      <c r="C288" s="10"/>
      <c r="D288" s="10"/>
      <c r="K288" s="11">
        <f t="shared" si="201"/>
        <v>0</v>
      </c>
      <c r="L288" s="37">
        <f t="shared" si="202"/>
        <v>0</v>
      </c>
      <c r="T288" s="56"/>
      <c r="U288" s="82"/>
      <c r="V288" s="84"/>
      <c r="W288" s="200"/>
      <c r="X288" s="17"/>
    </row>
    <row r="289" spans="2:24" x14ac:dyDescent="0.25">
      <c r="B289" s="17">
        <v>287</v>
      </c>
      <c r="C289" s="10"/>
      <c r="D289" s="10"/>
      <c r="K289" s="11">
        <f t="shared" si="201"/>
        <v>0</v>
      </c>
      <c r="L289" s="37">
        <f t="shared" si="202"/>
        <v>0</v>
      </c>
      <c r="T289" s="56"/>
      <c r="U289" s="82"/>
      <c r="V289" s="84"/>
      <c r="W289" s="200"/>
      <c r="X289" s="17"/>
    </row>
    <row r="290" spans="2:24" x14ac:dyDescent="0.25">
      <c r="B290" s="17">
        <v>288</v>
      </c>
      <c r="C290" s="10"/>
      <c r="D290" s="10"/>
      <c r="K290" s="11">
        <f t="shared" si="201"/>
        <v>0</v>
      </c>
      <c r="L290" s="37">
        <f t="shared" si="202"/>
        <v>0</v>
      </c>
      <c r="T290" s="56"/>
      <c r="U290" s="82"/>
      <c r="V290" s="84"/>
      <c r="W290" s="200"/>
      <c r="X290" s="17"/>
    </row>
    <row r="291" spans="2:24" x14ac:dyDescent="0.25">
      <c r="B291" s="17">
        <v>289</v>
      </c>
      <c r="C291" s="10"/>
      <c r="D291" s="10"/>
      <c r="K291" s="11">
        <f t="shared" si="201"/>
        <v>0</v>
      </c>
      <c r="L291" s="37">
        <f t="shared" si="202"/>
        <v>0</v>
      </c>
      <c r="T291" s="56"/>
      <c r="U291" s="82"/>
      <c r="V291" s="84"/>
      <c r="W291" s="200"/>
      <c r="X291" s="17"/>
    </row>
    <row r="292" spans="2:24" x14ac:dyDescent="0.25">
      <c r="B292" s="17">
        <v>290</v>
      </c>
      <c r="C292" s="10"/>
      <c r="D292" s="10"/>
      <c r="K292" s="11">
        <f t="shared" si="201"/>
        <v>0</v>
      </c>
      <c r="L292" s="37">
        <f t="shared" si="202"/>
        <v>0</v>
      </c>
      <c r="T292" s="56"/>
      <c r="U292" s="82"/>
      <c r="V292" s="84"/>
      <c r="W292" s="200"/>
      <c r="X292" s="17"/>
    </row>
    <row r="293" spans="2:24" x14ac:dyDescent="0.25">
      <c r="B293" s="17">
        <v>291</v>
      </c>
      <c r="C293" s="10"/>
      <c r="D293" s="10"/>
      <c r="K293" s="11">
        <f t="shared" si="201"/>
        <v>0</v>
      </c>
      <c r="L293" s="37">
        <f t="shared" si="202"/>
        <v>0</v>
      </c>
      <c r="T293" s="56"/>
      <c r="U293" s="82"/>
      <c r="V293" s="84"/>
      <c r="W293" s="200"/>
      <c r="X293" s="17"/>
    </row>
    <row r="294" spans="2:24" x14ac:dyDescent="0.25">
      <c r="B294" s="17">
        <v>292</v>
      </c>
      <c r="C294" s="10"/>
      <c r="D294" s="10"/>
      <c r="K294" s="11">
        <f t="shared" si="201"/>
        <v>0</v>
      </c>
      <c r="L294" s="37">
        <f t="shared" si="202"/>
        <v>0</v>
      </c>
      <c r="T294" s="56"/>
      <c r="U294" s="82"/>
      <c r="V294" s="84"/>
      <c r="W294" s="200"/>
      <c r="X294" s="17"/>
    </row>
    <row r="295" spans="2:24" x14ac:dyDescent="0.25">
      <c r="B295" s="17">
        <v>293</v>
      </c>
      <c r="C295" s="10"/>
      <c r="D295" s="10"/>
      <c r="K295" s="11">
        <f t="shared" si="201"/>
        <v>0</v>
      </c>
      <c r="L295" s="37">
        <f t="shared" si="202"/>
        <v>0</v>
      </c>
      <c r="T295" s="56"/>
      <c r="U295" s="82"/>
      <c r="V295" s="84"/>
      <c r="W295" s="200"/>
      <c r="X295" s="17"/>
    </row>
    <row r="296" spans="2:24" x14ac:dyDescent="0.25">
      <c r="B296" s="17">
        <v>294</v>
      </c>
      <c r="C296" s="10"/>
      <c r="D296" s="10"/>
      <c r="K296" s="11">
        <f t="shared" si="201"/>
        <v>0</v>
      </c>
      <c r="L296" s="37">
        <f t="shared" si="202"/>
        <v>0</v>
      </c>
      <c r="T296" s="56"/>
      <c r="U296" s="82"/>
      <c r="V296" s="84"/>
      <c r="W296" s="200"/>
      <c r="X296" s="17"/>
    </row>
    <row r="297" spans="2:24" x14ac:dyDescent="0.25">
      <c r="B297" s="17">
        <v>295</v>
      </c>
      <c r="C297" s="10"/>
      <c r="D297" s="10"/>
      <c r="K297" s="11">
        <f t="shared" si="201"/>
        <v>0</v>
      </c>
      <c r="L297" s="37">
        <f t="shared" si="202"/>
        <v>0</v>
      </c>
      <c r="T297" s="56"/>
      <c r="U297" s="82"/>
      <c r="V297" s="84"/>
      <c r="W297" s="200"/>
      <c r="X297" s="17"/>
    </row>
    <row r="298" spans="2:24" x14ac:dyDescent="0.25">
      <c r="B298" s="17">
        <v>296</v>
      </c>
      <c r="C298" s="10"/>
      <c r="D298" s="10"/>
      <c r="K298" s="11">
        <f t="shared" si="201"/>
        <v>0</v>
      </c>
      <c r="L298" s="37">
        <f t="shared" si="202"/>
        <v>0</v>
      </c>
      <c r="T298" s="56"/>
      <c r="U298" s="82"/>
      <c r="V298" s="84"/>
      <c r="W298" s="200"/>
      <c r="X298" s="17"/>
    </row>
    <row r="299" spans="2:24" x14ac:dyDescent="0.25">
      <c r="B299" s="17">
        <v>297</v>
      </c>
      <c r="C299" s="10"/>
      <c r="D299" s="10"/>
      <c r="K299" s="11">
        <f t="shared" si="201"/>
        <v>0</v>
      </c>
      <c r="L299" s="37">
        <f t="shared" si="202"/>
        <v>0</v>
      </c>
      <c r="T299" s="56"/>
      <c r="U299" s="82"/>
      <c r="V299" s="84"/>
      <c r="W299" s="200"/>
      <c r="X299" s="17"/>
    </row>
    <row r="300" spans="2:24" x14ac:dyDescent="0.25">
      <c r="B300" s="17">
        <v>298</v>
      </c>
      <c r="C300" s="10"/>
      <c r="D300" s="10"/>
      <c r="K300" s="11">
        <f t="shared" si="201"/>
        <v>0</v>
      </c>
      <c r="L300" s="37">
        <f t="shared" si="202"/>
        <v>0</v>
      </c>
      <c r="T300" s="56"/>
      <c r="U300" s="82"/>
      <c r="V300" s="84"/>
      <c r="W300" s="200"/>
      <c r="X300" s="17"/>
    </row>
    <row r="301" spans="2:24" x14ac:dyDescent="0.25">
      <c r="B301" s="17">
        <v>299</v>
      </c>
      <c r="C301" s="10"/>
      <c r="D301" s="10"/>
      <c r="K301" s="11">
        <f t="shared" si="201"/>
        <v>0</v>
      </c>
      <c r="L301" s="37">
        <f t="shared" si="202"/>
        <v>0</v>
      </c>
      <c r="T301" s="56"/>
      <c r="U301" s="82"/>
      <c r="V301" s="84"/>
      <c r="W301" s="200"/>
      <c r="X301" s="17"/>
    </row>
    <row r="302" spans="2:24" x14ac:dyDescent="0.25">
      <c r="B302" s="17">
        <v>300</v>
      </c>
      <c r="C302" s="10"/>
      <c r="D302" s="10"/>
      <c r="K302" s="11">
        <f t="shared" si="201"/>
        <v>0</v>
      </c>
      <c r="L302" s="37">
        <f t="shared" si="202"/>
        <v>0</v>
      </c>
      <c r="T302" s="56"/>
      <c r="U302" s="82"/>
      <c r="V302" s="84"/>
      <c r="W302" s="200"/>
      <c r="X302" s="17"/>
    </row>
    <row r="305" spans="17:17" x14ac:dyDescent="0.25">
      <c r="Q305" s="21"/>
    </row>
    <row r="306" spans="17:17" x14ac:dyDescent="0.25">
      <c r="Q306" s="21"/>
    </row>
    <row r="307" spans="17:17" x14ac:dyDescent="0.25">
      <c r="Q307" s="21"/>
    </row>
    <row r="308" spans="17:17" x14ac:dyDescent="0.25">
      <c r="Q308" s="21"/>
    </row>
    <row r="309" spans="17:17" x14ac:dyDescent="0.25">
      <c r="Q309" s="21"/>
    </row>
    <row r="310" spans="17:17" x14ac:dyDescent="0.25">
      <c r="Q310" s="21"/>
    </row>
    <row r="311" spans="17:17" x14ac:dyDescent="0.25">
      <c r="Q311" s="21"/>
    </row>
    <row r="312" spans="17:17" x14ac:dyDescent="0.25">
      <c r="Q312" s="21"/>
    </row>
    <row r="313" spans="17:17" x14ac:dyDescent="0.25">
      <c r="Q313" s="21"/>
    </row>
    <row r="314" spans="17:17" x14ac:dyDescent="0.25">
      <c r="Q314" s="21"/>
    </row>
    <row r="315" spans="17:17" x14ac:dyDescent="0.25">
      <c r="Q315" s="21"/>
    </row>
    <row r="316" spans="17:17" x14ac:dyDescent="0.25">
      <c r="Q316" s="21"/>
    </row>
    <row r="317" spans="17:17" x14ac:dyDescent="0.25">
      <c r="Q317" s="21"/>
    </row>
    <row r="318" spans="17:17" x14ac:dyDescent="0.25">
      <c r="Q318" s="21"/>
    </row>
  </sheetData>
  <mergeCells count="15">
    <mergeCell ref="AA21:AA26"/>
    <mergeCell ref="AA27:AA32"/>
    <mergeCell ref="AA1:AR1"/>
    <mergeCell ref="AA2:AB2"/>
    <mergeCell ref="AA3:AA8"/>
    <mergeCell ref="AA9:AA14"/>
    <mergeCell ref="AA15:AA20"/>
    <mergeCell ref="AA69:AA74"/>
    <mergeCell ref="AA75:AB75"/>
    <mergeCell ref="AA33:AA38"/>
    <mergeCell ref="AA39:AA44"/>
    <mergeCell ref="AA45:AA50"/>
    <mergeCell ref="AA51:AA56"/>
    <mergeCell ref="AA57:AA62"/>
    <mergeCell ref="AA63:AA68"/>
  </mergeCells>
  <phoneticPr fontId="5" type="noConversion"/>
  <conditionalFormatting sqref="U1:U1048576">
    <cfRule type="cellIs" dxfId="13" priority="3" operator="equal">
      <formula>"마케팅"</formula>
    </cfRule>
  </conditionalFormatting>
  <conditionalFormatting sqref="W1:W1048576">
    <cfRule type="cellIs" dxfId="12" priority="1" operator="equal">
      <formula>"마케팅"</formula>
    </cfRule>
  </conditionalFormatting>
  <dataValidations count="7">
    <dataValidation type="list" allowBlank="1" showInputMessage="1" showErrorMessage="1" sqref="S3:S285" xr:uid="{00000000-0002-0000-0900-000000000000}">
      <formula1>"(주)그랜드썬기술단, (주)그랜드썬,지에스피,유지에스"</formula1>
    </dataValidation>
    <dataValidation type="list" allowBlank="1" showInputMessage="1" showErrorMessage="1" sqref="U3:U285" xr:uid="{00000000-0002-0000-0900-000001000000}">
      <formula1>"소개,그 외"</formula1>
    </dataValidation>
    <dataValidation type="list" allowBlank="1" showInputMessage="1" showErrorMessage="1" sqref="D3:D302" xr:uid="{00000000-0002-0000-0900-000002000000}">
      <formula1>"기존시설물(A),일반부지(B),수면(C)"</formula1>
    </dataValidation>
    <dataValidation type="list" allowBlank="1" showInputMessage="1" showErrorMessage="1" sqref="C3:C302" xr:uid="{00000000-0002-0000-0900-000003000000}">
      <formula1>"직영(가),외주(나),입찰(다),검토(라)"</formula1>
    </dataValidation>
    <dataValidation type="list" allowBlank="1" showInputMessage="1" showErrorMessage="1" sqref="W3:W302" xr:uid="{00000000-0002-0000-0900-000004000000}">
      <formula1>"산단,공장,창고,축사,근생,자원순환,토지,업무시설"</formula1>
    </dataValidation>
    <dataValidation type="list" allowBlank="1" showInputMessage="1" showErrorMessage="1" sqref="X3:X302" xr:uid="{00000000-0002-0000-0900-000005000000}">
      <formula1>"유지,보류,취소"</formula1>
    </dataValidation>
    <dataValidation type="list" allowBlank="1" showInputMessage="1" showErrorMessage="1" sqref="Q3:Q318" xr:uid="{8AF27451-7314-4CE8-BDD2-E56ACA3EF508}">
      <formula1>"경기,강원,충남,충북,서울,인천,대전,세종,경남,경북,전남,전북,부산,대구,울산,제주,광주"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AV318"/>
  <sheetViews>
    <sheetView zoomScale="85" zoomScaleNormal="85" workbookViewId="0">
      <pane ySplit="2" topLeftCell="A3" activePane="bottomLeft" state="frozen"/>
      <selection activeCell="O33" sqref="O33"/>
      <selection pane="bottomLeft" activeCell="I9" sqref="I9"/>
    </sheetView>
  </sheetViews>
  <sheetFormatPr defaultRowHeight="13.5" x14ac:dyDescent="0.25"/>
  <cols>
    <col min="1" max="1" width="3.7109375" customWidth="1"/>
    <col min="2" max="4" width="10.7109375" customWidth="1"/>
    <col min="5" max="5" width="10.7109375" style="75" customWidth="1"/>
    <col min="6" max="6" width="12.7109375" style="19" customWidth="1"/>
    <col min="7" max="8" width="10.7109375" customWidth="1"/>
    <col min="9" max="9" width="11.85546875" customWidth="1"/>
    <col min="10" max="11" width="15.7109375" style="6" customWidth="1"/>
    <col min="12" max="12" width="15.7109375" style="38" customWidth="1"/>
    <col min="13" max="13" width="15.7109375" style="6" customWidth="1"/>
    <col min="14" max="14" width="15.7109375" customWidth="1"/>
    <col min="15" max="15" width="25.85546875" customWidth="1"/>
    <col min="16" max="17" width="6" customWidth="1"/>
    <col min="18" max="18" width="44.5703125" style="22" bestFit="1" customWidth="1"/>
    <col min="19" max="19" width="20.7109375" customWidth="1"/>
    <col min="20" max="20" width="13.42578125" customWidth="1"/>
    <col min="21" max="21" width="9.140625" style="34"/>
    <col min="22" max="22" width="47" style="7" customWidth="1"/>
    <col min="23" max="23" width="9.140625" style="34"/>
    <col min="29" max="29" width="11.140625" customWidth="1"/>
    <col min="30" max="34" width="11.7109375" customWidth="1"/>
    <col min="35" max="39" width="11.7109375" style="129" customWidth="1"/>
    <col min="40" max="44" width="11.7109375" customWidth="1"/>
  </cols>
  <sheetData>
    <row r="1" spans="2:48" ht="27" thickBot="1" x14ac:dyDescent="0.3">
      <c r="B1" s="33"/>
      <c r="C1" s="33"/>
      <c r="D1" s="33"/>
      <c r="E1" s="73"/>
      <c r="G1" s="8"/>
      <c r="H1" s="8"/>
      <c r="I1" s="24"/>
      <c r="J1" s="9"/>
      <c r="K1" s="9"/>
      <c r="L1" s="35"/>
      <c r="M1" s="9"/>
      <c r="U1" s="45"/>
      <c r="W1" s="45"/>
      <c r="AA1" s="423" t="s">
        <v>3</v>
      </c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5"/>
    </row>
    <row r="2" spans="2:48" ht="43.5" customHeight="1" thickTop="1" thickBot="1" x14ac:dyDescent="0.3">
      <c r="B2" s="16" t="s">
        <v>0</v>
      </c>
      <c r="C2" s="71" t="s">
        <v>90</v>
      </c>
      <c r="D2" s="71" t="s">
        <v>91</v>
      </c>
      <c r="E2" s="74" t="s">
        <v>92</v>
      </c>
      <c r="F2" s="20" t="s">
        <v>1</v>
      </c>
      <c r="G2" s="12" t="s">
        <v>22</v>
      </c>
      <c r="H2" s="12" t="s">
        <v>21</v>
      </c>
      <c r="I2" s="13" t="s">
        <v>2</v>
      </c>
      <c r="J2" s="14" t="s">
        <v>20</v>
      </c>
      <c r="K2" s="14" t="s">
        <v>4</v>
      </c>
      <c r="L2" s="36" t="s">
        <v>50</v>
      </c>
      <c r="M2" s="14" t="s">
        <v>29</v>
      </c>
      <c r="N2" s="12" t="s">
        <v>26</v>
      </c>
      <c r="O2" s="12" t="s">
        <v>28</v>
      </c>
      <c r="P2" s="12" t="s">
        <v>48</v>
      </c>
      <c r="Q2" s="12" t="s">
        <v>2158</v>
      </c>
      <c r="R2" s="12" t="s">
        <v>27</v>
      </c>
      <c r="S2" s="15" t="s">
        <v>5</v>
      </c>
      <c r="T2" s="25" t="s">
        <v>38</v>
      </c>
      <c r="U2" s="206" t="s">
        <v>54</v>
      </c>
      <c r="V2" s="16" t="s">
        <v>37</v>
      </c>
      <c r="W2" s="205" t="s">
        <v>256</v>
      </c>
      <c r="X2" s="108" t="s">
        <v>271</v>
      </c>
      <c r="AA2" s="420" t="s">
        <v>132</v>
      </c>
      <c r="AB2" s="421"/>
      <c r="AC2" s="111" t="s">
        <v>1</v>
      </c>
      <c r="AD2" s="112" t="s">
        <v>133</v>
      </c>
      <c r="AE2" s="113" t="s">
        <v>102</v>
      </c>
      <c r="AF2" s="113" t="s">
        <v>101</v>
      </c>
      <c r="AG2" s="113" t="s">
        <v>103</v>
      </c>
      <c r="AH2" s="114" t="s">
        <v>104</v>
      </c>
      <c r="AI2" s="117" t="s">
        <v>134</v>
      </c>
      <c r="AJ2" s="118" t="s">
        <v>102</v>
      </c>
      <c r="AK2" s="118" t="s">
        <v>101</v>
      </c>
      <c r="AL2" s="118" t="s">
        <v>103</v>
      </c>
      <c r="AM2" s="119" t="s">
        <v>104</v>
      </c>
      <c r="AN2" s="115" t="s">
        <v>135</v>
      </c>
      <c r="AO2" s="116" t="s">
        <v>102</v>
      </c>
      <c r="AP2" s="116" t="s">
        <v>101</v>
      </c>
      <c r="AQ2" s="116" t="s">
        <v>103</v>
      </c>
      <c r="AR2" s="116" t="s">
        <v>104</v>
      </c>
      <c r="AT2" s="151"/>
      <c r="AU2" s="152" t="s">
        <v>148</v>
      </c>
      <c r="AV2" s="153"/>
    </row>
    <row r="3" spans="2:48" s="10" customFormat="1" ht="13.5" customHeight="1" x14ac:dyDescent="0.25">
      <c r="B3" s="17">
        <v>1</v>
      </c>
      <c r="C3" s="10" t="s">
        <v>137</v>
      </c>
      <c r="D3" s="10" t="s">
        <v>140</v>
      </c>
      <c r="E3" s="72" t="s">
        <v>141</v>
      </c>
      <c r="F3" s="18">
        <v>45660</v>
      </c>
      <c r="G3" s="10">
        <v>1</v>
      </c>
      <c r="H3" s="10">
        <v>1</v>
      </c>
      <c r="I3" s="10">
        <v>148.47999999999999</v>
      </c>
      <c r="J3" s="11"/>
      <c r="K3" s="11">
        <f t="shared" ref="K3" si="0">J3*1.1</f>
        <v>0</v>
      </c>
      <c r="L3" s="37">
        <f t="shared" ref="L3" si="1">J3*0.00000001</f>
        <v>0</v>
      </c>
      <c r="M3" s="11" t="s">
        <v>142</v>
      </c>
      <c r="N3" s="10" t="s">
        <v>30</v>
      </c>
      <c r="O3" s="21" t="s">
        <v>143</v>
      </c>
      <c r="P3" s="21">
        <v>1</v>
      </c>
      <c r="Q3" s="21" t="s">
        <v>2149</v>
      </c>
      <c r="R3" s="23" t="s">
        <v>144</v>
      </c>
      <c r="S3" s="50" t="s">
        <v>81</v>
      </c>
      <c r="T3" s="86" t="s">
        <v>145</v>
      </c>
      <c r="U3" s="81" t="s">
        <v>197</v>
      </c>
      <c r="V3" s="83"/>
      <c r="W3" s="199" t="s">
        <v>259</v>
      </c>
      <c r="X3" s="208" t="s">
        <v>272</v>
      </c>
      <c r="Z3">
        <v>1</v>
      </c>
      <c r="AA3" s="415">
        <v>1</v>
      </c>
      <c r="AB3" s="94">
        <v>1</v>
      </c>
      <c r="AC3" s="100" t="s">
        <v>105</v>
      </c>
      <c r="AD3" s="41">
        <f>SUM(AE3:AH3)</f>
        <v>148.47999999999999</v>
      </c>
      <c r="AE3" s="70">
        <f>SUMIFS($I:$I,$C:$C, $AE$2,$G:$G,$Z3,$H:$H,$AB3)</f>
        <v>0</v>
      </c>
      <c r="AF3" s="70">
        <f>SUMIFS($I:$I,$C:$C, $AF$2,$G:$G,$Z3,$H:$H,$AB3)</f>
        <v>148.47999999999999</v>
      </c>
      <c r="AG3" s="70">
        <f>SUMIFS($I:$I,$C:$C, $AG$2,$G:$G,$Z3,$H:$H,$AB3)</f>
        <v>0</v>
      </c>
      <c r="AH3" s="109">
        <f>SUMIFS($I:$I,$C:$C, $AH$2,$G:$G,$Z3,$H:$H,$AB3)</f>
        <v>0</v>
      </c>
      <c r="AI3" s="120">
        <f>SUM(AJ3:AM3)</f>
        <v>1</v>
      </c>
      <c r="AJ3" s="121">
        <f>COUNTIFS($C:$C, $AJ$2,$G:$G,$Z3,$H:$H,$AB3)</f>
        <v>0</v>
      </c>
      <c r="AK3" s="121">
        <f>COUNTIFS($C:$C, $AK$2,$G:$G,$Z3,$H:$H,$AB3)</f>
        <v>1</v>
      </c>
      <c r="AL3" s="121">
        <f>COUNTIFS($C:$C, $AL$2,$G:$G,$Z3,$H:$H,$AB3)</f>
        <v>0</v>
      </c>
      <c r="AM3" s="122">
        <f>COUNTIFS($C:$C, $AM$2,$G:$G,$Z3,$H:$H,$AB3)</f>
        <v>0</v>
      </c>
      <c r="AN3" s="41">
        <f>SUM(AO3:AR3)</f>
        <v>0</v>
      </c>
      <c r="AO3" s="70">
        <f>SUMIFS($L:$L,$C:$C, $AO$2,$G:$G,$Z3,$H:$H,$AB3)</f>
        <v>0</v>
      </c>
      <c r="AP3" s="70">
        <f>SUMIFS($L:$L,$C:$C, $AP$2,$G:$G,$Z3,$H:$H,$AB3)</f>
        <v>0</v>
      </c>
      <c r="AQ3" s="70">
        <f>SUMIFS($L:$L,$C:$C, $AQ$2,$G:$G,$Z3,$H:$H,$AB3)</f>
        <v>0</v>
      </c>
      <c r="AR3" s="70">
        <f>SUMIFS($L:$L,$C:$C, $AR$2,$G:$G,$Z3,$H:$H,$AB3)</f>
        <v>0</v>
      </c>
      <c r="AT3" s="154" t="s">
        <v>149</v>
      </c>
      <c r="AU3" s="155" t="s">
        <v>150</v>
      </c>
      <c r="AV3" s="156" t="s">
        <v>151</v>
      </c>
    </row>
    <row r="4" spans="2:48" s="10" customFormat="1" ht="13.5" customHeight="1" x14ac:dyDescent="0.25">
      <c r="B4" s="17">
        <v>2</v>
      </c>
      <c r="C4" s="10" t="s">
        <v>136</v>
      </c>
      <c r="D4" s="10" t="s">
        <v>140</v>
      </c>
      <c r="E4" s="72" t="s">
        <v>141</v>
      </c>
      <c r="F4" s="18">
        <v>45721</v>
      </c>
      <c r="G4" s="10">
        <v>3</v>
      </c>
      <c r="H4" s="10">
        <v>1</v>
      </c>
      <c r="I4" s="10">
        <v>135.68</v>
      </c>
      <c r="J4" s="11"/>
      <c r="K4" s="11">
        <f t="shared" ref="K4:K6" si="2">J4*1.1</f>
        <v>0</v>
      </c>
      <c r="L4" s="37">
        <f t="shared" ref="L4:L6" si="3">J4*0.00000001</f>
        <v>0</v>
      </c>
      <c r="M4" s="11" t="s">
        <v>75</v>
      </c>
      <c r="N4" s="10" t="s">
        <v>31</v>
      </c>
      <c r="O4" s="21" t="s">
        <v>736</v>
      </c>
      <c r="P4" s="21">
        <v>2</v>
      </c>
      <c r="Q4" s="21" t="s">
        <v>2136</v>
      </c>
      <c r="R4" s="23" t="s">
        <v>366</v>
      </c>
      <c r="S4" s="50" t="s">
        <v>81</v>
      </c>
      <c r="T4" s="48" t="s">
        <v>368</v>
      </c>
      <c r="U4" s="81" t="s">
        <v>151</v>
      </c>
      <c r="V4" s="26" t="s">
        <v>369</v>
      </c>
      <c r="W4" s="200" t="s">
        <v>258</v>
      </c>
      <c r="X4" s="17" t="s">
        <v>272</v>
      </c>
      <c r="Z4">
        <v>1</v>
      </c>
      <c r="AA4" s="416"/>
      <c r="AB4" s="95">
        <v>2</v>
      </c>
      <c r="AC4" s="101" t="s">
        <v>61</v>
      </c>
      <c r="AD4" s="41">
        <f t="shared" ref="AD4:AD67" si="4">SUM(AE4:AH4)</f>
        <v>0</v>
      </c>
      <c r="AE4" s="70">
        <f t="shared" ref="AE4:AE67" si="5">SUMIFS($I:$I,$C:$C, $AE$2,$G:$G,$Z4,$H:$H,$AB4)</f>
        <v>0</v>
      </c>
      <c r="AF4" s="70">
        <f t="shared" ref="AF4:AF67" si="6">SUMIFS($I:$I,$C:$C, $AF$2,$G:$G,$Z4,$H:$H,$AB4)</f>
        <v>0</v>
      </c>
      <c r="AG4" s="70">
        <f t="shared" ref="AG4:AG67" si="7">SUMIFS($I:$I,$C:$C, $AG$2,$G:$G,$Z4,$H:$H,$AB4)</f>
        <v>0</v>
      </c>
      <c r="AH4" s="109">
        <f t="shared" ref="AH4:AH67" si="8">SUMIFS($I:$I,$C:$C, $AH$2,$G:$G,$Z4,$H:$H,$AB4)</f>
        <v>0</v>
      </c>
      <c r="AI4" s="120">
        <f t="shared" ref="AI4:AI67" si="9">SUM(AJ4:AM4)</f>
        <v>0</v>
      </c>
      <c r="AJ4" s="121">
        <f t="shared" ref="AJ4:AJ67" si="10">COUNTIFS($C:$C, $AJ$2,$G:$G,$Z4,$H:$H,$AB4)</f>
        <v>0</v>
      </c>
      <c r="AK4" s="121">
        <f t="shared" ref="AK4:AK67" si="11">COUNTIFS($C:$C, $AK$2,$G:$G,$Z4,$H:$H,$AB4)</f>
        <v>0</v>
      </c>
      <c r="AL4" s="121">
        <f t="shared" ref="AL4:AL67" si="12">COUNTIFS($C:$C, $AL$2,$G:$G,$Z4,$H:$H,$AB4)</f>
        <v>0</v>
      </c>
      <c r="AM4" s="122">
        <f t="shared" ref="AM4:AM67" si="13">COUNTIFS($C:$C, $AM$2,$G:$G,$Z4,$H:$H,$AB4)</f>
        <v>0</v>
      </c>
      <c r="AN4" s="41">
        <f t="shared" ref="AN4:AN67" si="14">SUM(AO4:AR4)</f>
        <v>0</v>
      </c>
      <c r="AO4" s="70">
        <f t="shared" ref="AO4:AO67" si="15">SUMIFS($L:$L,$C:$C, $AO$2,$G:$G,$Z4,$H:$H,$AB4)</f>
        <v>0</v>
      </c>
      <c r="AP4" s="70">
        <f t="shared" ref="AP4:AP67" si="16">SUMIFS($L:$L,$C:$C, $AP$2,$G:$G,$Z4,$H:$H,$AB4)</f>
        <v>0</v>
      </c>
      <c r="AQ4" s="70">
        <f t="shared" ref="AQ4:AQ67" si="17">SUMIFS($L:$L,$C:$C, $AQ$2,$G:$G,$Z4,$H:$H,$AB4)</f>
        <v>0</v>
      </c>
      <c r="AR4" s="70">
        <f t="shared" ref="AR4:AR67" si="18">SUMIFS($L:$L,$C:$C, $AR$2,$G:$G,$Z4,$H:$H,$AB4)</f>
        <v>0</v>
      </c>
      <c r="AT4" s="157">
        <v>1</v>
      </c>
      <c r="AU4" s="158">
        <f>COUNTIFS($U:$U,$AU$3,$G:$G,$AT4)</f>
        <v>1</v>
      </c>
      <c r="AV4" s="159">
        <f>COUNTIFS($U:$U,$AV$3,$G:$G,$AT4)</f>
        <v>0</v>
      </c>
    </row>
    <row r="5" spans="2:48" s="10" customFormat="1" ht="13.5" customHeight="1" x14ac:dyDescent="0.25">
      <c r="B5" s="17">
        <v>3</v>
      </c>
      <c r="C5" s="10" t="s">
        <v>136</v>
      </c>
      <c r="D5" s="10" t="s">
        <v>140</v>
      </c>
      <c r="E5" s="72" t="s">
        <v>146</v>
      </c>
      <c r="F5" s="18">
        <v>45721</v>
      </c>
      <c r="G5" s="10">
        <v>3</v>
      </c>
      <c r="H5" s="10">
        <v>1</v>
      </c>
      <c r="I5" s="10">
        <v>124.8</v>
      </c>
      <c r="J5" s="11"/>
      <c r="K5" s="11">
        <f t="shared" si="2"/>
        <v>0</v>
      </c>
      <c r="L5" s="37">
        <f t="shared" si="3"/>
        <v>0</v>
      </c>
      <c r="M5" s="11" t="s">
        <v>75</v>
      </c>
      <c r="N5" s="10" t="s">
        <v>31</v>
      </c>
      <c r="O5" s="21" t="s">
        <v>736</v>
      </c>
      <c r="P5" s="21">
        <v>3</v>
      </c>
      <c r="Q5" s="21" t="s">
        <v>2136</v>
      </c>
      <c r="R5" s="23" t="s">
        <v>367</v>
      </c>
      <c r="S5" s="50" t="s">
        <v>81</v>
      </c>
      <c r="T5" s="48" t="s">
        <v>368</v>
      </c>
      <c r="U5" s="81" t="s">
        <v>151</v>
      </c>
      <c r="V5" s="26" t="s">
        <v>369</v>
      </c>
      <c r="W5" s="200" t="s">
        <v>258</v>
      </c>
      <c r="X5" s="17" t="s">
        <v>272</v>
      </c>
      <c r="Z5">
        <v>1</v>
      </c>
      <c r="AA5" s="416"/>
      <c r="AB5" s="95">
        <v>3</v>
      </c>
      <c r="AC5" s="102" t="s">
        <v>62</v>
      </c>
      <c r="AD5" s="41">
        <f t="shared" si="4"/>
        <v>0</v>
      </c>
      <c r="AE5" s="70">
        <f t="shared" si="5"/>
        <v>0</v>
      </c>
      <c r="AF5" s="70">
        <f t="shared" si="6"/>
        <v>0</v>
      </c>
      <c r="AG5" s="70">
        <f t="shared" si="7"/>
        <v>0</v>
      </c>
      <c r="AH5" s="109">
        <f t="shared" si="8"/>
        <v>0</v>
      </c>
      <c r="AI5" s="120">
        <f t="shared" si="9"/>
        <v>0</v>
      </c>
      <c r="AJ5" s="121">
        <f t="shared" si="10"/>
        <v>0</v>
      </c>
      <c r="AK5" s="121">
        <f t="shared" si="11"/>
        <v>0</v>
      </c>
      <c r="AL5" s="121">
        <f t="shared" si="12"/>
        <v>0</v>
      </c>
      <c r="AM5" s="122">
        <f t="shared" si="13"/>
        <v>0</v>
      </c>
      <c r="AN5" s="41">
        <f t="shared" si="14"/>
        <v>0</v>
      </c>
      <c r="AO5" s="70">
        <f t="shared" si="15"/>
        <v>0</v>
      </c>
      <c r="AP5" s="70">
        <f t="shared" si="16"/>
        <v>0</v>
      </c>
      <c r="AQ5" s="70">
        <f t="shared" si="17"/>
        <v>0</v>
      </c>
      <c r="AR5" s="70">
        <f t="shared" si="18"/>
        <v>0</v>
      </c>
      <c r="AT5" s="157">
        <v>2</v>
      </c>
      <c r="AU5" s="158">
        <f t="shared" ref="AU5:AU15" si="19">COUNTIFS($U:$U,$AU$3,$G:$G,$AT5)</f>
        <v>0</v>
      </c>
      <c r="AV5" s="159">
        <f t="shared" ref="AV5:AV15" si="20">COUNTIFS($U:$U,$AV$3,$G:$G,$AT5)</f>
        <v>0</v>
      </c>
    </row>
    <row r="6" spans="2:48" s="10" customFormat="1" ht="13.5" customHeight="1" x14ac:dyDescent="0.25">
      <c r="B6" s="17">
        <v>4</v>
      </c>
      <c r="C6" s="10" t="s">
        <v>137</v>
      </c>
      <c r="D6" s="10" t="s">
        <v>140</v>
      </c>
      <c r="E6" s="72" t="s">
        <v>146</v>
      </c>
      <c r="F6" s="18" t="s">
        <v>478</v>
      </c>
      <c r="G6" s="10">
        <v>4</v>
      </c>
      <c r="H6" s="10">
        <v>3</v>
      </c>
      <c r="I6" s="267">
        <v>70.400000000000006</v>
      </c>
      <c r="J6" s="11"/>
      <c r="K6" s="11">
        <f t="shared" si="2"/>
        <v>0</v>
      </c>
      <c r="L6" s="37">
        <f t="shared" si="3"/>
        <v>0</v>
      </c>
      <c r="M6" s="11" t="s">
        <v>522</v>
      </c>
      <c r="N6" s="268" t="s">
        <v>480</v>
      </c>
      <c r="O6" s="21" t="s">
        <v>483</v>
      </c>
      <c r="P6" s="21">
        <v>4</v>
      </c>
      <c r="Q6" s="21" t="s">
        <v>2149</v>
      </c>
      <c r="R6" s="23" t="s">
        <v>479</v>
      </c>
      <c r="S6" s="50" t="s">
        <v>81</v>
      </c>
      <c r="T6" s="48" t="s">
        <v>481</v>
      </c>
      <c r="U6" s="81" t="s">
        <v>197</v>
      </c>
      <c r="V6" s="32" t="s">
        <v>482</v>
      </c>
      <c r="W6" s="200" t="s">
        <v>258</v>
      </c>
      <c r="X6" s="17" t="s">
        <v>272</v>
      </c>
      <c r="Z6">
        <v>1</v>
      </c>
      <c r="AA6" s="416"/>
      <c r="AB6" s="95">
        <v>4</v>
      </c>
      <c r="AC6" s="102" t="s">
        <v>63</v>
      </c>
      <c r="AD6" s="41">
        <f t="shared" si="4"/>
        <v>0</v>
      </c>
      <c r="AE6" s="70">
        <f t="shared" si="5"/>
        <v>0</v>
      </c>
      <c r="AF6" s="70">
        <f t="shared" si="6"/>
        <v>0</v>
      </c>
      <c r="AG6" s="70">
        <f t="shared" si="7"/>
        <v>0</v>
      </c>
      <c r="AH6" s="109">
        <f t="shared" si="8"/>
        <v>0</v>
      </c>
      <c r="AI6" s="120">
        <f t="shared" si="9"/>
        <v>0</v>
      </c>
      <c r="AJ6" s="121">
        <f t="shared" si="10"/>
        <v>0</v>
      </c>
      <c r="AK6" s="121">
        <f t="shared" si="11"/>
        <v>0</v>
      </c>
      <c r="AL6" s="121">
        <f t="shared" si="12"/>
        <v>0</v>
      </c>
      <c r="AM6" s="122">
        <f t="shared" si="13"/>
        <v>0</v>
      </c>
      <c r="AN6" s="41">
        <f t="shared" si="14"/>
        <v>0</v>
      </c>
      <c r="AO6" s="70">
        <f t="shared" si="15"/>
        <v>0</v>
      </c>
      <c r="AP6" s="70">
        <f t="shared" si="16"/>
        <v>0</v>
      </c>
      <c r="AQ6" s="70">
        <f t="shared" si="17"/>
        <v>0</v>
      </c>
      <c r="AR6" s="70">
        <f t="shared" si="18"/>
        <v>0</v>
      </c>
      <c r="AT6" s="157">
        <v>3</v>
      </c>
      <c r="AU6" s="158">
        <f t="shared" si="19"/>
        <v>0</v>
      </c>
      <c r="AV6" s="159">
        <f t="shared" si="20"/>
        <v>2</v>
      </c>
    </row>
    <row r="7" spans="2:48" s="10" customFormat="1" ht="13.5" customHeight="1" x14ac:dyDescent="0.25">
      <c r="B7" s="17">
        <v>5</v>
      </c>
      <c r="C7" s="10" t="s">
        <v>136</v>
      </c>
      <c r="D7" s="10" t="s">
        <v>140</v>
      </c>
      <c r="E7" s="72" t="s">
        <v>147</v>
      </c>
      <c r="F7" s="18">
        <v>45768</v>
      </c>
      <c r="G7" s="10">
        <v>4</v>
      </c>
      <c r="H7" s="10">
        <v>4</v>
      </c>
      <c r="I7" s="10">
        <v>328.29500000000002</v>
      </c>
      <c r="J7" s="11"/>
      <c r="K7" s="11">
        <f t="shared" ref="K7:K67" si="21">J7*1.1</f>
        <v>0</v>
      </c>
      <c r="L7" s="37">
        <f t="shared" ref="L7:L67" si="22">J7*0.00000001</f>
        <v>0</v>
      </c>
      <c r="M7" s="11" t="s">
        <v>75</v>
      </c>
      <c r="N7" s="10" t="s">
        <v>319</v>
      </c>
      <c r="O7" s="21" t="s">
        <v>492</v>
      </c>
      <c r="P7" s="21">
        <v>5</v>
      </c>
      <c r="Q7" s="21" t="s">
        <v>2132</v>
      </c>
      <c r="R7" s="23" t="s">
        <v>493</v>
      </c>
      <c r="S7" s="50" t="s">
        <v>81</v>
      </c>
      <c r="T7" s="48" t="s">
        <v>494</v>
      </c>
      <c r="U7" s="81" t="s">
        <v>197</v>
      </c>
      <c r="V7" s="26" t="s">
        <v>331</v>
      </c>
      <c r="W7" s="200" t="s">
        <v>259</v>
      </c>
      <c r="X7" s="17" t="s">
        <v>272</v>
      </c>
      <c r="Z7">
        <v>1</v>
      </c>
      <c r="AA7" s="416"/>
      <c r="AB7" s="96">
        <v>5</v>
      </c>
      <c r="AC7" s="102" t="s">
        <v>64</v>
      </c>
      <c r="AD7" s="41">
        <f t="shared" si="4"/>
        <v>0</v>
      </c>
      <c r="AE7" s="70">
        <f t="shared" si="5"/>
        <v>0</v>
      </c>
      <c r="AF7" s="70">
        <f t="shared" si="6"/>
        <v>0</v>
      </c>
      <c r="AG7" s="70">
        <f t="shared" si="7"/>
        <v>0</v>
      </c>
      <c r="AH7" s="109">
        <f t="shared" si="8"/>
        <v>0</v>
      </c>
      <c r="AI7" s="120">
        <f t="shared" si="9"/>
        <v>0</v>
      </c>
      <c r="AJ7" s="121">
        <f t="shared" si="10"/>
        <v>0</v>
      </c>
      <c r="AK7" s="121">
        <f t="shared" si="11"/>
        <v>0</v>
      </c>
      <c r="AL7" s="121">
        <f t="shared" si="12"/>
        <v>0</v>
      </c>
      <c r="AM7" s="122">
        <f t="shared" si="13"/>
        <v>0</v>
      </c>
      <c r="AN7" s="41">
        <f t="shared" si="14"/>
        <v>0</v>
      </c>
      <c r="AO7" s="70">
        <f t="shared" si="15"/>
        <v>0</v>
      </c>
      <c r="AP7" s="70">
        <f t="shared" si="16"/>
        <v>0</v>
      </c>
      <c r="AQ7" s="70">
        <f t="shared" si="17"/>
        <v>0</v>
      </c>
      <c r="AR7" s="70">
        <f t="shared" si="18"/>
        <v>0</v>
      </c>
      <c r="AT7" s="157">
        <v>4</v>
      </c>
      <c r="AU7" s="158">
        <f t="shared" si="19"/>
        <v>2</v>
      </c>
      <c r="AV7" s="159">
        <f t="shared" si="20"/>
        <v>0</v>
      </c>
    </row>
    <row r="8" spans="2:48" s="10" customFormat="1" ht="13.5" customHeight="1" thickBot="1" x14ac:dyDescent="0.3">
      <c r="B8" s="17">
        <v>6</v>
      </c>
      <c r="C8" s="10" t="s">
        <v>137</v>
      </c>
      <c r="D8" s="10" t="s">
        <v>140</v>
      </c>
      <c r="E8" s="72" t="s">
        <v>147</v>
      </c>
      <c r="F8" s="18">
        <v>45792</v>
      </c>
      <c r="G8" s="10">
        <v>5</v>
      </c>
      <c r="H8" s="10">
        <v>2</v>
      </c>
      <c r="I8" s="10">
        <v>368.64</v>
      </c>
      <c r="J8" s="11"/>
      <c r="K8" s="11">
        <f t="shared" si="21"/>
        <v>0</v>
      </c>
      <c r="L8" s="37">
        <f t="shared" si="22"/>
        <v>0</v>
      </c>
      <c r="M8" s="11" t="s">
        <v>142</v>
      </c>
      <c r="N8" s="10" t="s">
        <v>189</v>
      </c>
      <c r="O8" s="21" t="s">
        <v>614</v>
      </c>
      <c r="P8" s="21">
        <v>6</v>
      </c>
      <c r="Q8" s="21" t="s">
        <v>2149</v>
      </c>
      <c r="R8" s="23" t="s">
        <v>615</v>
      </c>
      <c r="S8" s="50" t="s">
        <v>81</v>
      </c>
      <c r="T8" s="48" t="s">
        <v>616</v>
      </c>
      <c r="U8" s="81" t="s">
        <v>150</v>
      </c>
      <c r="V8" s="32" t="s">
        <v>567</v>
      </c>
      <c r="W8" s="200" t="s">
        <v>270</v>
      </c>
      <c r="X8" s="17" t="s">
        <v>863</v>
      </c>
      <c r="Z8">
        <v>1</v>
      </c>
      <c r="AA8" s="417"/>
      <c r="AB8" s="97" t="s">
        <v>3</v>
      </c>
      <c r="AC8" s="103"/>
      <c r="AD8" s="99">
        <f>SUM(AD3:AD7)</f>
        <v>148.47999999999999</v>
      </c>
      <c r="AE8" s="99">
        <f t="shared" ref="AE8" si="23">SUM(AE3:AE7)</f>
        <v>0</v>
      </c>
      <c r="AF8" s="99">
        <f t="shared" ref="AF8" si="24">SUM(AF3:AF7)</f>
        <v>148.47999999999999</v>
      </c>
      <c r="AG8" s="99">
        <f t="shared" ref="AG8" si="25">SUM(AG3:AG7)</f>
        <v>0</v>
      </c>
      <c r="AH8" s="110">
        <f t="shared" ref="AH8" si="26">SUM(AH3:AH7)</f>
        <v>0</v>
      </c>
      <c r="AI8" s="123">
        <f t="shared" ref="AI8" si="27">SUM(AI3:AI7)</f>
        <v>1</v>
      </c>
      <c r="AJ8" s="124">
        <f t="shared" ref="AJ8" si="28">SUM(AJ3:AJ7)</f>
        <v>0</v>
      </c>
      <c r="AK8" s="124">
        <f t="shared" ref="AK8" si="29">SUM(AK3:AK7)</f>
        <v>1</v>
      </c>
      <c r="AL8" s="124">
        <f t="shared" ref="AL8" si="30">SUM(AL3:AL7)</f>
        <v>0</v>
      </c>
      <c r="AM8" s="125">
        <f t="shared" ref="AM8" si="31">SUM(AM3:AM7)</f>
        <v>0</v>
      </c>
      <c r="AN8" s="99">
        <f t="shared" ref="AN8" si="32">SUM(AN3:AN7)</f>
        <v>0</v>
      </c>
      <c r="AO8" s="99">
        <f t="shared" ref="AO8" si="33">SUM(AO3:AO7)</f>
        <v>0</v>
      </c>
      <c r="AP8" s="99">
        <f t="shared" ref="AP8" si="34">SUM(AP3:AP7)</f>
        <v>0</v>
      </c>
      <c r="AQ8" s="99">
        <f t="shared" ref="AQ8" si="35">SUM(AQ3:AQ7)</f>
        <v>0</v>
      </c>
      <c r="AR8" s="99">
        <f t="shared" ref="AR8" si="36">SUM(AR3:AR7)</f>
        <v>0</v>
      </c>
      <c r="AT8" s="157">
        <v>5</v>
      </c>
      <c r="AU8" s="158">
        <f t="shared" si="19"/>
        <v>4</v>
      </c>
      <c r="AV8" s="159">
        <f t="shared" si="20"/>
        <v>0</v>
      </c>
    </row>
    <row r="9" spans="2:48" s="10" customFormat="1" ht="13.5" customHeight="1" x14ac:dyDescent="0.25">
      <c r="B9" s="17">
        <v>7</v>
      </c>
      <c r="C9" s="10" t="s">
        <v>102</v>
      </c>
      <c r="D9" s="10" t="s">
        <v>229</v>
      </c>
      <c r="E9" s="72" t="s">
        <v>200</v>
      </c>
      <c r="F9" s="18">
        <v>45805</v>
      </c>
      <c r="G9" s="10">
        <v>5</v>
      </c>
      <c r="H9" s="10">
        <v>4</v>
      </c>
      <c r="I9" s="10">
        <v>59.52</v>
      </c>
      <c r="J9" s="11"/>
      <c r="K9" s="11">
        <f t="shared" si="21"/>
        <v>0</v>
      </c>
      <c r="L9" s="37">
        <f t="shared" si="22"/>
        <v>0</v>
      </c>
      <c r="M9" s="11" t="s">
        <v>495</v>
      </c>
      <c r="N9" s="10" t="s">
        <v>30</v>
      </c>
      <c r="O9" s="21" t="s">
        <v>682</v>
      </c>
      <c r="P9" s="21">
        <v>7</v>
      </c>
      <c r="Q9" s="21" t="s">
        <v>2149</v>
      </c>
      <c r="R9" s="23" t="s">
        <v>683</v>
      </c>
      <c r="S9" s="50" t="s">
        <v>207</v>
      </c>
      <c r="T9" s="48" t="s">
        <v>684</v>
      </c>
      <c r="U9" s="81" t="s">
        <v>150</v>
      </c>
      <c r="V9" s="26" t="s">
        <v>685</v>
      </c>
      <c r="W9" s="200" t="s">
        <v>573</v>
      </c>
      <c r="X9" s="17" t="s">
        <v>279</v>
      </c>
      <c r="Z9">
        <v>2</v>
      </c>
      <c r="AA9" s="415">
        <v>2</v>
      </c>
      <c r="AB9" s="94">
        <v>1</v>
      </c>
      <c r="AC9" s="104" t="s">
        <v>106</v>
      </c>
      <c r="AD9" s="41">
        <f t="shared" si="4"/>
        <v>0</v>
      </c>
      <c r="AE9" s="70">
        <f t="shared" si="5"/>
        <v>0</v>
      </c>
      <c r="AF9" s="70">
        <f t="shared" si="6"/>
        <v>0</v>
      </c>
      <c r="AG9" s="70">
        <f t="shared" si="7"/>
        <v>0</v>
      </c>
      <c r="AH9" s="109">
        <f t="shared" si="8"/>
        <v>0</v>
      </c>
      <c r="AI9" s="120">
        <f t="shared" si="9"/>
        <v>0</v>
      </c>
      <c r="AJ9" s="121">
        <f t="shared" si="10"/>
        <v>0</v>
      </c>
      <c r="AK9" s="121">
        <f t="shared" si="11"/>
        <v>0</v>
      </c>
      <c r="AL9" s="121">
        <f t="shared" si="12"/>
        <v>0</v>
      </c>
      <c r="AM9" s="122">
        <f t="shared" si="13"/>
        <v>0</v>
      </c>
      <c r="AN9" s="41">
        <f t="shared" si="14"/>
        <v>0</v>
      </c>
      <c r="AO9" s="70">
        <f t="shared" si="15"/>
        <v>0</v>
      </c>
      <c r="AP9" s="70">
        <f t="shared" si="16"/>
        <v>0</v>
      </c>
      <c r="AQ9" s="70">
        <f t="shared" si="17"/>
        <v>0</v>
      </c>
      <c r="AR9" s="70">
        <f t="shared" si="18"/>
        <v>0</v>
      </c>
      <c r="AT9" s="157">
        <v>6</v>
      </c>
      <c r="AU9" s="158">
        <f t="shared" si="19"/>
        <v>7</v>
      </c>
      <c r="AV9" s="159">
        <f t="shared" si="20"/>
        <v>3</v>
      </c>
    </row>
    <row r="10" spans="2:48" s="10" customFormat="1" ht="13.5" customHeight="1" x14ac:dyDescent="0.25">
      <c r="B10" s="17">
        <v>8</v>
      </c>
      <c r="C10" s="10" t="s">
        <v>137</v>
      </c>
      <c r="D10" s="10" t="s">
        <v>140</v>
      </c>
      <c r="E10" s="72" t="s">
        <v>200</v>
      </c>
      <c r="F10" s="18">
        <v>45805</v>
      </c>
      <c r="G10" s="10">
        <v>5</v>
      </c>
      <c r="H10" s="10">
        <v>4</v>
      </c>
      <c r="I10" s="10">
        <v>107.52</v>
      </c>
      <c r="J10" s="11"/>
      <c r="K10" s="11">
        <f t="shared" si="21"/>
        <v>0</v>
      </c>
      <c r="L10" s="37">
        <f t="shared" si="22"/>
        <v>0</v>
      </c>
      <c r="M10" s="11" t="s">
        <v>142</v>
      </c>
      <c r="N10" s="10" t="s">
        <v>189</v>
      </c>
      <c r="O10" s="21" t="s">
        <v>686</v>
      </c>
      <c r="P10" s="21">
        <v>8</v>
      </c>
      <c r="Q10" s="21" t="s">
        <v>2151</v>
      </c>
      <c r="R10" s="23" t="s">
        <v>687</v>
      </c>
      <c r="S10" s="50" t="s">
        <v>207</v>
      </c>
      <c r="T10" s="48" t="s">
        <v>688</v>
      </c>
      <c r="U10" s="81" t="s">
        <v>150</v>
      </c>
      <c r="V10" s="26" t="s">
        <v>567</v>
      </c>
      <c r="W10" s="200" t="s">
        <v>350</v>
      </c>
      <c r="X10" s="17" t="s">
        <v>279</v>
      </c>
      <c r="Z10">
        <v>2</v>
      </c>
      <c r="AA10" s="416"/>
      <c r="AB10" s="95">
        <v>2</v>
      </c>
      <c r="AC10" s="102" t="s">
        <v>65</v>
      </c>
      <c r="AD10" s="41">
        <f t="shared" si="4"/>
        <v>0</v>
      </c>
      <c r="AE10" s="70">
        <f t="shared" si="5"/>
        <v>0</v>
      </c>
      <c r="AF10" s="70">
        <f t="shared" si="6"/>
        <v>0</v>
      </c>
      <c r="AG10" s="70">
        <f t="shared" si="7"/>
        <v>0</v>
      </c>
      <c r="AH10" s="109">
        <f t="shared" si="8"/>
        <v>0</v>
      </c>
      <c r="AI10" s="120">
        <f t="shared" si="9"/>
        <v>0</v>
      </c>
      <c r="AJ10" s="121">
        <f t="shared" si="10"/>
        <v>0</v>
      </c>
      <c r="AK10" s="121">
        <f t="shared" si="11"/>
        <v>0</v>
      </c>
      <c r="AL10" s="121">
        <f t="shared" si="12"/>
        <v>0</v>
      </c>
      <c r="AM10" s="122">
        <f t="shared" si="13"/>
        <v>0</v>
      </c>
      <c r="AN10" s="41">
        <f t="shared" si="14"/>
        <v>0</v>
      </c>
      <c r="AO10" s="70">
        <f t="shared" si="15"/>
        <v>0</v>
      </c>
      <c r="AP10" s="70">
        <f t="shared" si="16"/>
        <v>0</v>
      </c>
      <c r="AQ10" s="70">
        <f t="shared" si="17"/>
        <v>0</v>
      </c>
      <c r="AR10" s="70">
        <f t="shared" si="18"/>
        <v>0</v>
      </c>
      <c r="AT10" s="157">
        <v>7</v>
      </c>
      <c r="AU10" s="158">
        <f t="shared" si="19"/>
        <v>9</v>
      </c>
      <c r="AV10" s="159">
        <f t="shared" si="20"/>
        <v>0</v>
      </c>
    </row>
    <row r="11" spans="2:48" s="10" customFormat="1" ht="13.5" customHeight="1" x14ac:dyDescent="0.25">
      <c r="B11" s="17">
        <v>9</v>
      </c>
      <c r="C11" s="10" t="s">
        <v>137</v>
      </c>
      <c r="D11" s="10" t="s">
        <v>140</v>
      </c>
      <c r="E11" s="72" t="s">
        <v>220</v>
      </c>
      <c r="F11" s="18">
        <v>45806</v>
      </c>
      <c r="G11" s="10">
        <v>5</v>
      </c>
      <c r="H11" s="10">
        <v>4</v>
      </c>
      <c r="I11" s="10">
        <v>157.44</v>
      </c>
      <c r="J11" s="11"/>
      <c r="K11" s="11">
        <f t="shared" si="21"/>
        <v>0</v>
      </c>
      <c r="L11" s="37">
        <f t="shared" si="22"/>
        <v>0</v>
      </c>
      <c r="M11" s="11" t="s">
        <v>142</v>
      </c>
      <c r="N11" s="10" t="s">
        <v>189</v>
      </c>
      <c r="O11" s="21" t="s">
        <v>689</v>
      </c>
      <c r="P11" s="21">
        <v>9</v>
      </c>
      <c r="Q11" s="21" t="s">
        <v>2149</v>
      </c>
      <c r="R11" s="23" t="s">
        <v>690</v>
      </c>
      <c r="S11" s="50" t="s">
        <v>207</v>
      </c>
      <c r="T11" s="48" t="s">
        <v>691</v>
      </c>
      <c r="U11" s="81" t="s">
        <v>150</v>
      </c>
      <c r="V11" s="26" t="s">
        <v>692</v>
      </c>
      <c r="W11" s="200" t="s">
        <v>604</v>
      </c>
      <c r="X11" s="17" t="s">
        <v>279</v>
      </c>
      <c r="Z11">
        <v>2</v>
      </c>
      <c r="AA11" s="416"/>
      <c r="AB11" s="95">
        <v>3</v>
      </c>
      <c r="AC11" s="102" t="s">
        <v>66</v>
      </c>
      <c r="AD11" s="41">
        <f t="shared" si="4"/>
        <v>0</v>
      </c>
      <c r="AE11" s="70">
        <f t="shared" si="5"/>
        <v>0</v>
      </c>
      <c r="AF11" s="70">
        <f t="shared" si="6"/>
        <v>0</v>
      </c>
      <c r="AG11" s="70">
        <f t="shared" si="7"/>
        <v>0</v>
      </c>
      <c r="AH11" s="109">
        <f t="shared" si="8"/>
        <v>0</v>
      </c>
      <c r="AI11" s="120">
        <f t="shared" si="9"/>
        <v>0</v>
      </c>
      <c r="AJ11" s="121">
        <f t="shared" si="10"/>
        <v>0</v>
      </c>
      <c r="AK11" s="121">
        <f t="shared" si="11"/>
        <v>0</v>
      </c>
      <c r="AL11" s="121">
        <f t="shared" si="12"/>
        <v>0</v>
      </c>
      <c r="AM11" s="122">
        <f t="shared" si="13"/>
        <v>0</v>
      </c>
      <c r="AN11" s="41">
        <f t="shared" si="14"/>
        <v>0</v>
      </c>
      <c r="AO11" s="70">
        <f t="shared" si="15"/>
        <v>0</v>
      </c>
      <c r="AP11" s="70">
        <f t="shared" si="16"/>
        <v>0</v>
      </c>
      <c r="AQ11" s="70">
        <f t="shared" si="17"/>
        <v>0</v>
      </c>
      <c r="AR11" s="70">
        <f t="shared" si="18"/>
        <v>0</v>
      </c>
      <c r="AT11" s="157">
        <v>8</v>
      </c>
      <c r="AU11" s="158">
        <f t="shared" si="19"/>
        <v>1</v>
      </c>
      <c r="AV11" s="159">
        <f t="shared" si="20"/>
        <v>0</v>
      </c>
    </row>
    <row r="12" spans="2:48" s="10" customFormat="1" ht="13.5" customHeight="1" x14ac:dyDescent="0.25">
      <c r="B12" s="17">
        <v>10</v>
      </c>
      <c r="C12" s="10" t="s">
        <v>136</v>
      </c>
      <c r="D12" s="10" t="s">
        <v>140</v>
      </c>
      <c r="E12" s="72" t="s">
        <v>147</v>
      </c>
      <c r="F12" s="18">
        <v>45825</v>
      </c>
      <c r="G12" s="10">
        <v>6</v>
      </c>
      <c r="H12" s="10">
        <v>3</v>
      </c>
      <c r="I12" s="10">
        <v>193.92</v>
      </c>
      <c r="J12" s="11"/>
      <c r="K12" s="11">
        <f t="shared" si="21"/>
        <v>0</v>
      </c>
      <c r="L12" s="37">
        <f t="shared" si="22"/>
        <v>0</v>
      </c>
      <c r="M12" s="11" t="s">
        <v>75</v>
      </c>
      <c r="N12" s="10" t="s">
        <v>31</v>
      </c>
      <c r="O12" s="21" t="s">
        <v>737</v>
      </c>
      <c r="P12" s="21">
        <v>10</v>
      </c>
      <c r="Q12" s="21" t="s">
        <v>2136</v>
      </c>
      <c r="R12" s="23" t="s">
        <v>738</v>
      </c>
      <c r="S12" s="50" t="s">
        <v>81</v>
      </c>
      <c r="T12" s="48" t="s">
        <v>739</v>
      </c>
      <c r="U12" s="81" t="s">
        <v>151</v>
      </c>
      <c r="V12" s="26" t="s">
        <v>740</v>
      </c>
      <c r="W12" s="200" t="s">
        <v>258</v>
      </c>
      <c r="X12" s="17" t="s">
        <v>272</v>
      </c>
      <c r="Z12">
        <v>2</v>
      </c>
      <c r="AA12" s="416"/>
      <c r="AB12" s="95">
        <v>4</v>
      </c>
      <c r="AC12" s="102" t="s">
        <v>67</v>
      </c>
      <c r="AD12" s="41">
        <f t="shared" si="4"/>
        <v>0</v>
      </c>
      <c r="AE12" s="70">
        <f t="shared" si="5"/>
        <v>0</v>
      </c>
      <c r="AF12" s="70">
        <f t="shared" si="6"/>
        <v>0</v>
      </c>
      <c r="AG12" s="70">
        <f t="shared" si="7"/>
        <v>0</v>
      </c>
      <c r="AH12" s="109">
        <f t="shared" si="8"/>
        <v>0</v>
      </c>
      <c r="AI12" s="120">
        <f t="shared" si="9"/>
        <v>0</v>
      </c>
      <c r="AJ12" s="121">
        <f t="shared" si="10"/>
        <v>0</v>
      </c>
      <c r="AK12" s="121">
        <f t="shared" si="11"/>
        <v>0</v>
      </c>
      <c r="AL12" s="121">
        <f t="shared" si="12"/>
        <v>0</v>
      </c>
      <c r="AM12" s="122">
        <f t="shared" si="13"/>
        <v>0</v>
      </c>
      <c r="AN12" s="41">
        <f t="shared" si="14"/>
        <v>0</v>
      </c>
      <c r="AO12" s="70">
        <f t="shared" si="15"/>
        <v>0</v>
      </c>
      <c r="AP12" s="70">
        <f t="shared" si="16"/>
        <v>0</v>
      </c>
      <c r="AQ12" s="70">
        <f t="shared" si="17"/>
        <v>0</v>
      </c>
      <c r="AR12" s="70">
        <f t="shared" si="18"/>
        <v>0</v>
      </c>
      <c r="AT12" s="157">
        <v>9</v>
      </c>
      <c r="AU12" s="158">
        <f t="shared" si="19"/>
        <v>1</v>
      </c>
      <c r="AV12" s="159">
        <f t="shared" si="20"/>
        <v>0</v>
      </c>
    </row>
    <row r="13" spans="2:48" s="10" customFormat="1" ht="13.5" customHeight="1" x14ac:dyDescent="0.25">
      <c r="B13" s="17">
        <v>11</v>
      </c>
      <c r="C13" s="10" t="s">
        <v>136</v>
      </c>
      <c r="D13" s="10" t="s">
        <v>140</v>
      </c>
      <c r="E13" s="72" t="s">
        <v>200</v>
      </c>
      <c r="F13" s="18">
        <v>45825</v>
      </c>
      <c r="G13" s="10">
        <v>6</v>
      </c>
      <c r="H13" s="10">
        <v>3</v>
      </c>
      <c r="I13" s="10">
        <v>156.16</v>
      </c>
      <c r="J13" s="11"/>
      <c r="K13" s="11">
        <f t="shared" ref="K13" si="37">J13*1.1</f>
        <v>0</v>
      </c>
      <c r="L13" s="37">
        <f t="shared" ref="L13" si="38">J13*0.00000001</f>
        <v>0</v>
      </c>
      <c r="M13" s="11" t="s">
        <v>75</v>
      </c>
      <c r="N13" s="10" t="s">
        <v>31</v>
      </c>
      <c r="O13" s="21" t="s">
        <v>741</v>
      </c>
      <c r="P13" s="21">
        <v>11</v>
      </c>
      <c r="Q13" s="21" t="s">
        <v>2136</v>
      </c>
      <c r="R13" s="23" t="s">
        <v>742</v>
      </c>
      <c r="S13" s="50" t="s">
        <v>81</v>
      </c>
      <c r="T13" s="48" t="s">
        <v>743</v>
      </c>
      <c r="U13" s="81" t="s">
        <v>151</v>
      </c>
      <c r="V13" s="26" t="s">
        <v>740</v>
      </c>
      <c r="W13" s="200" t="s">
        <v>258</v>
      </c>
      <c r="X13" s="17" t="s">
        <v>272</v>
      </c>
      <c r="Z13">
        <v>2</v>
      </c>
      <c r="AA13" s="416"/>
      <c r="AB13" s="96">
        <v>5</v>
      </c>
      <c r="AC13" s="102"/>
      <c r="AD13" s="41">
        <f t="shared" si="4"/>
        <v>0</v>
      </c>
      <c r="AE13" s="70">
        <f t="shared" si="5"/>
        <v>0</v>
      </c>
      <c r="AF13" s="70">
        <f t="shared" si="6"/>
        <v>0</v>
      </c>
      <c r="AG13" s="70">
        <f t="shared" si="7"/>
        <v>0</v>
      </c>
      <c r="AH13" s="109">
        <f t="shared" si="8"/>
        <v>0</v>
      </c>
      <c r="AI13" s="120">
        <f t="shared" si="9"/>
        <v>0</v>
      </c>
      <c r="AJ13" s="121">
        <f t="shared" si="10"/>
        <v>0</v>
      </c>
      <c r="AK13" s="121">
        <f t="shared" si="11"/>
        <v>0</v>
      </c>
      <c r="AL13" s="121">
        <f t="shared" si="12"/>
        <v>0</v>
      </c>
      <c r="AM13" s="122">
        <f t="shared" si="13"/>
        <v>0</v>
      </c>
      <c r="AN13" s="41">
        <f t="shared" si="14"/>
        <v>0</v>
      </c>
      <c r="AO13" s="70">
        <f t="shared" si="15"/>
        <v>0</v>
      </c>
      <c r="AP13" s="70">
        <f t="shared" si="16"/>
        <v>0</v>
      </c>
      <c r="AQ13" s="70">
        <f t="shared" si="17"/>
        <v>0</v>
      </c>
      <c r="AR13" s="70">
        <f t="shared" si="18"/>
        <v>0</v>
      </c>
      <c r="AT13" s="157">
        <v>10</v>
      </c>
      <c r="AU13" s="158">
        <f t="shared" si="19"/>
        <v>2</v>
      </c>
      <c r="AV13" s="159">
        <f t="shared" si="20"/>
        <v>0</v>
      </c>
    </row>
    <row r="14" spans="2:48" s="10" customFormat="1" ht="13.5" customHeight="1" thickBot="1" x14ac:dyDescent="0.3">
      <c r="B14" s="17">
        <v>12</v>
      </c>
      <c r="C14" s="10" t="s">
        <v>136</v>
      </c>
      <c r="D14" s="10" t="s">
        <v>140</v>
      </c>
      <c r="E14" s="72" t="s">
        <v>220</v>
      </c>
      <c r="F14" s="18">
        <v>45825</v>
      </c>
      <c r="G14" s="10">
        <v>6</v>
      </c>
      <c r="H14" s="10">
        <v>3</v>
      </c>
      <c r="I14" s="10">
        <v>673.28</v>
      </c>
      <c r="J14" s="11"/>
      <c r="K14" s="11">
        <f t="shared" si="21"/>
        <v>0</v>
      </c>
      <c r="L14" s="37">
        <f t="shared" si="22"/>
        <v>0</v>
      </c>
      <c r="M14" s="11" t="s">
        <v>190</v>
      </c>
      <c r="N14" s="10" t="s">
        <v>319</v>
      </c>
      <c r="O14" s="21" t="s">
        <v>1421</v>
      </c>
      <c r="P14" s="21">
        <v>12</v>
      </c>
      <c r="Q14" s="21" t="s">
        <v>2142</v>
      </c>
      <c r="R14" s="23" t="s">
        <v>760</v>
      </c>
      <c r="S14" s="50" t="s">
        <v>81</v>
      </c>
      <c r="T14" s="48" t="s">
        <v>761</v>
      </c>
      <c r="U14" s="81" t="s">
        <v>197</v>
      </c>
      <c r="V14" s="31" t="s">
        <v>331</v>
      </c>
      <c r="W14" s="200" t="s">
        <v>259</v>
      </c>
      <c r="X14" s="17" t="s">
        <v>272</v>
      </c>
      <c r="Z14">
        <v>2</v>
      </c>
      <c r="AA14" s="417"/>
      <c r="AB14" s="97" t="s">
        <v>3</v>
      </c>
      <c r="AC14" s="103"/>
      <c r="AD14" s="99">
        <f>SUM(AD9:AD13)</f>
        <v>0</v>
      </c>
      <c r="AE14" s="99">
        <f t="shared" ref="AE14" si="39">SUM(AE9:AE13)</f>
        <v>0</v>
      </c>
      <c r="AF14" s="99">
        <f t="shared" ref="AF14" si="40">SUM(AF9:AF13)</f>
        <v>0</v>
      </c>
      <c r="AG14" s="99">
        <f t="shared" ref="AG14" si="41">SUM(AG9:AG13)</f>
        <v>0</v>
      </c>
      <c r="AH14" s="110">
        <f t="shared" ref="AH14" si="42">SUM(AH9:AH13)</f>
        <v>0</v>
      </c>
      <c r="AI14" s="123">
        <f t="shared" ref="AI14" si="43">SUM(AI9:AI13)</f>
        <v>0</v>
      </c>
      <c r="AJ14" s="124">
        <f t="shared" ref="AJ14" si="44">SUM(AJ9:AJ13)</f>
        <v>0</v>
      </c>
      <c r="AK14" s="124">
        <f t="shared" ref="AK14" si="45">SUM(AK9:AK13)</f>
        <v>0</v>
      </c>
      <c r="AL14" s="124">
        <f t="shared" ref="AL14" si="46">SUM(AL9:AL13)</f>
        <v>0</v>
      </c>
      <c r="AM14" s="125">
        <f t="shared" ref="AM14" si="47">SUM(AM9:AM13)</f>
        <v>0</v>
      </c>
      <c r="AN14" s="99">
        <f t="shared" ref="AN14" si="48">SUM(AN9:AN13)</f>
        <v>0</v>
      </c>
      <c r="AO14" s="99">
        <f t="shared" ref="AO14" si="49">SUM(AO9:AO13)</f>
        <v>0</v>
      </c>
      <c r="AP14" s="99">
        <f t="shared" ref="AP14" si="50">SUM(AP9:AP13)</f>
        <v>0</v>
      </c>
      <c r="AQ14" s="99">
        <f t="shared" ref="AQ14" si="51">SUM(AQ9:AQ13)</f>
        <v>0</v>
      </c>
      <c r="AR14" s="99">
        <f t="shared" ref="AR14" si="52">SUM(AR9:AR13)</f>
        <v>0</v>
      </c>
      <c r="AT14" s="157">
        <v>11</v>
      </c>
      <c r="AU14" s="158">
        <f t="shared" si="19"/>
        <v>2</v>
      </c>
      <c r="AV14" s="159">
        <f t="shared" si="20"/>
        <v>0</v>
      </c>
    </row>
    <row r="15" spans="2:48" s="10" customFormat="1" ht="13.5" customHeight="1" thickBot="1" x14ac:dyDescent="0.3">
      <c r="B15" s="17">
        <v>13</v>
      </c>
      <c r="C15" s="10" t="s">
        <v>136</v>
      </c>
      <c r="D15" s="10" t="s">
        <v>140</v>
      </c>
      <c r="E15" s="72" t="s">
        <v>225</v>
      </c>
      <c r="F15" s="18">
        <v>45825</v>
      </c>
      <c r="G15" s="10">
        <v>6</v>
      </c>
      <c r="H15" s="10">
        <v>3</v>
      </c>
      <c r="I15" s="10">
        <v>167.68</v>
      </c>
      <c r="J15" s="11"/>
      <c r="K15" s="11">
        <f t="shared" si="21"/>
        <v>0</v>
      </c>
      <c r="L15" s="37">
        <f t="shared" si="22"/>
        <v>0</v>
      </c>
      <c r="M15" s="11" t="s">
        <v>190</v>
      </c>
      <c r="N15" s="10" t="s">
        <v>319</v>
      </c>
      <c r="O15" s="21" t="s">
        <v>1422</v>
      </c>
      <c r="P15" s="21">
        <v>13</v>
      </c>
      <c r="Q15" s="21" t="s">
        <v>2142</v>
      </c>
      <c r="R15" s="23" t="s">
        <v>759</v>
      </c>
      <c r="S15" s="50" t="s">
        <v>81</v>
      </c>
      <c r="T15" s="48" t="s">
        <v>761</v>
      </c>
      <c r="U15" s="81" t="s">
        <v>197</v>
      </c>
      <c r="V15" s="32" t="s">
        <v>331</v>
      </c>
      <c r="W15" s="200" t="s">
        <v>259</v>
      </c>
      <c r="X15" s="17" t="s">
        <v>272</v>
      </c>
      <c r="Z15">
        <v>3</v>
      </c>
      <c r="AA15" s="415">
        <v>3</v>
      </c>
      <c r="AB15" s="94">
        <v>1</v>
      </c>
      <c r="AC15" s="100" t="s">
        <v>107</v>
      </c>
      <c r="AD15" s="41">
        <f t="shared" si="4"/>
        <v>260.48</v>
      </c>
      <c r="AE15" s="70">
        <f t="shared" si="5"/>
        <v>260.48</v>
      </c>
      <c r="AF15" s="70">
        <f t="shared" si="6"/>
        <v>0</v>
      </c>
      <c r="AG15" s="70">
        <f t="shared" si="7"/>
        <v>0</v>
      </c>
      <c r="AH15" s="109">
        <f t="shared" si="8"/>
        <v>0</v>
      </c>
      <c r="AI15" s="120">
        <f t="shared" si="9"/>
        <v>2</v>
      </c>
      <c r="AJ15" s="121">
        <f t="shared" si="10"/>
        <v>2</v>
      </c>
      <c r="AK15" s="121">
        <f t="shared" si="11"/>
        <v>0</v>
      </c>
      <c r="AL15" s="121">
        <f t="shared" si="12"/>
        <v>0</v>
      </c>
      <c r="AM15" s="122">
        <f t="shared" si="13"/>
        <v>0</v>
      </c>
      <c r="AN15" s="41">
        <f t="shared" si="14"/>
        <v>0</v>
      </c>
      <c r="AO15" s="70">
        <f t="shared" si="15"/>
        <v>0</v>
      </c>
      <c r="AP15" s="70">
        <f t="shared" si="16"/>
        <v>0</v>
      </c>
      <c r="AQ15" s="70">
        <f t="shared" si="17"/>
        <v>0</v>
      </c>
      <c r="AR15" s="70">
        <f t="shared" si="18"/>
        <v>0</v>
      </c>
      <c r="AT15" s="160">
        <v>12</v>
      </c>
      <c r="AU15" s="158">
        <f t="shared" si="19"/>
        <v>1</v>
      </c>
      <c r="AV15" s="159">
        <f t="shared" si="20"/>
        <v>0</v>
      </c>
    </row>
    <row r="16" spans="2:48" s="10" customFormat="1" ht="13.5" customHeight="1" thickBot="1" x14ac:dyDescent="0.3">
      <c r="B16" s="17">
        <v>14</v>
      </c>
      <c r="C16" s="10" t="s">
        <v>137</v>
      </c>
      <c r="D16" s="10" t="s">
        <v>140</v>
      </c>
      <c r="E16" s="72" t="s">
        <v>225</v>
      </c>
      <c r="F16" s="18">
        <v>45832</v>
      </c>
      <c r="G16" s="10">
        <v>6</v>
      </c>
      <c r="H16" s="10">
        <v>4</v>
      </c>
      <c r="I16" s="10">
        <v>345.6</v>
      </c>
      <c r="J16" s="11"/>
      <c r="K16" s="11">
        <f t="shared" si="21"/>
        <v>0</v>
      </c>
      <c r="L16" s="37">
        <f t="shared" si="22"/>
        <v>0</v>
      </c>
      <c r="M16" s="11" t="s">
        <v>786</v>
      </c>
      <c r="N16" s="10" t="s">
        <v>189</v>
      </c>
      <c r="O16" s="21" t="s">
        <v>790</v>
      </c>
      <c r="P16" s="21">
        <v>14</v>
      </c>
      <c r="Q16" s="21" t="s">
        <v>2136</v>
      </c>
      <c r="R16" s="23" t="s">
        <v>787</v>
      </c>
      <c r="S16" s="50" t="s">
        <v>81</v>
      </c>
      <c r="T16" s="48" t="s">
        <v>788</v>
      </c>
      <c r="U16" s="81" t="s">
        <v>197</v>
      </c>
      <c r="V16" s="26" t="s">
        <v>789</v>
      </c>
      <c r="W16" s="200" t="s">
        <v>258</v>
      </c>
      <c r="X16" s="17" t="s">
        <v>272</v>
      </c>
      <c r="Z16">
        <v>3</v>
      </c>
      <c r="AA16" s="416"/>
      <c r="AB16" s="95">
        <v>2</v>
      </c>
      <c r="AC16" s="101" t="s">
        <v>65</v>
      </c>
      <c r="AD16" s="41">
        <f t="shared" si="4"/>
        <v>0</v>
      </c>
      <c r="AE16" s="70">
        <f t="shared" si="5"/>
        <v>0</v>
      </c>
      <c r="AF16" s="70">
        <f t="shared" si="6"/>
        <v>0</v>
      </c>
      <c r="AG16" s="70">
        <f t="shared" si="7"/>
        <v>0</v>
      </c>
      <c r="AH16" s="109">
        <f t="shared" si="8"/>
        <v>0</v>
      </c>
      <c r="AI16" s="120">
        <f t="shared" si="9"/>
        <v>0</v>
      </c>
      <c r="AJ16" s="121">
        <f t="shared" si="10"/>
        <v>0</v>
      </c>
      <c r="AK16" s="121">
        <f t="shared" si="11"/>
        <v>0</v>
      </c>
      <c r="AL16" s="121">
        <f t="shared" si="12"/>
        <v>0</v>
      </c>
      <c r="AM16" s="122">
        <f t="shared" si="13"/>
        <v>0</v>
      </c>
      <c r="AN16" s="41">
        <f t="shared" si="14"/>
        <v>0</v>
      </c>
      <c r="AO16" s="70">
        <f t="shared" si="15"/>
        <v>0</v>
      </c>
      <c r="AP16" s="70">
        <f t="shared" si="16"/>
        <v>0</v>
      </c>
      <c r="AQ16" s="70">
        <f t="shared" si="17"/>
        <v>0</v>
      </c>
      <c r="AR16" s="70">
        <f t="shared" si="18"/>
        <v>0</v>
      </c>
      <c r="AT16" s="161" t="s">
        <v>3</v>
      </c>
      <c r="AU16" s="162">
        <f>SUM(AU4:AU15)</f>
        <v>30</v>
      </c>
      <c r="AV16" s="162">
        <f>SUM(AV4:AV15)</f>
        <v>5</v>
      </c>
    </row>
    <row r="17" spans="2:48" s="10" customFormat="1" ht="13.5" customHeight="1" thickBot="1" x14ac:dyDescent="0.3">
      <c r="B17" s="17">
        <v>15</v>
      </c>
      <c r="C17" s="10" t="s">
        <v>137</v>
      </c>
      <c r="D17" s="10" t="s">
        <v>140</v>
      </c>
      <c r="E17" s="72" t="s">
        <v>220</v>
      </c>
      <c r="F17" s="18">
        <v>45832</v>
      </c>
      <c r="G17" s="10">
        <v>6</v>
      </c>
      <c r="H17" s="10">
        <v>4</v>
      </c>
      <c r="I17" s="10">
        <v>264.95999999999998</v>
      </c>
      <c r="J17" s="11"/>
      <c r="K17" s="11">
        <f t="shared" si="21"/>
        <v>0</v>
      </c>
      <c r="L17" s="37">
        <f t="shared" si="22"/>
        <v>0</v>
      </c>
      <c r="M17" s="11" t="s">
        <v>786</v>
      </c>
      <c r="N17" s="10" t="s">
        <v>189</v>
      </c>
      <c r="O17" s="21" t="s">
        <v>791</v>
      </c>
      <c r="P17" s="21">
        <v>15</v>
      </c>
      <c r="Q17" s="21" t="s">
        <v>2136</v>
      </c>
      <c r="R17" s="23" t="s">
        <v>792</v>
      </c>
      <c r="S17" s="50" t="s">
        <v>81</v>
      </c>
      <c r="T17" s="48" t="s">
        <v>793</v>
      </c>
      <c r="U17" s="81" t="s">
        <v>197</v>
      </c>
      <c r="V17" s="26" t="s">
        <v>789</v>
      </c>
      <c r="W17" s="200" t="s">
        <v>258</v>
      </c>
      <c r="X17" s="17" t="s">
        <v>272</v>
      </c>
      <c r="Z17">
        <v>3</v>
      </c>
      <c r="AA17" s="416"/>
      <c r="AB17" s="95">
        <v>3</v>
      </c>
      <c r="AC17" s="102" t="s">
        <v>66</v>
      </c>
      <c r="AD17" s="41">
        <f t="shared" si="4"/>
        <v>0</v>
      </c>
      <c r="AE17" s="70">
        <f t="shared" si="5"/>
        <v>0</v>
      </c>
      <c r="AF17" s="70">
        <f t="shared" si="6"/>
        <v>0</v>
      </c>
      <c r="AG17" s="70">
        <f t="shared" si="7"/>
        <v>0</v>
      </c>
      <c r="AH17" s="109">
        <f t="shared" si="8"/>
        <v>0</v>
      </c>
      <c r="AI17" s="120">
        <f t="shared" si="9"/>
        <v>0</v>
      </c>
      <c r="AJ17" s="121">
        <f t="shared" si="10"/>
        <v>0</v>
      </c>
      <c r="AK17" s="121">
        <f t="shared" si="11"/>
        <v>0</v>
      </c>
      <c r="AL17" s="121">
        <f t="shared" si="12"/>
        <v>0</v>
      </c>
      <c r="AM17" s="122">
        <f t="shared" si="13"/>
        <v>0</v>
      </c>
      <c r="AN17" s="41">
        <f t="shared" si="14"/>
        <v>0</v>
      </c>
      <c r="AO17" s="70">
        <f t="shared" si="15"/>
        <v>0</v>
      </c>
      <c r="AP17" s="70">
        <f t="shared" si="16"/>
        <v>0</v>
      </c>
      <c r="AQ17" s="70">
        <f t="shared" si="17"/>
        <v>0</v>
      </c>
      <c r="AR17" s="70">
        <f t="shared" si="18"/>
        <v>0</v>
      </c>
      <c r="AT17" s="161" t="s">
        <v>152</v>
      </c>
      <c r="AU17" s="163">
        <f>AU16/($AU$16+$AV$16)</f>
        <v>0.8571428571428571</v>
      </c>
      <c r="AV17" s="164">
        <f>AV16/($AV$16+$AU$16)</f>
        <v>0.14285714285714285</v>
      </c>
    </row>
    <row r="18" spans="2:48" s="10" customFormat="1" ht="13.5" customHeight="1" x14ac:dyDescent="0.25">
      <c r="B18" s="17">
        <v>16</v>
      </c>
      <c r="C18" s="10" t="s">
        <v>136</v>
      </c>
      <c r="D18" s="10" t="s">
        <v>140</v>
      </c>
      <c r="E18" s="72" t="s">
        <v>826</v>
      </c>
      <c r="F18" s="18">
        <v>45834</v>
      </c>
      <c r="G18" s="10">
        <v>6</v>
      </c>
      <c r="H18" s="10">
        <v>4</v>
      </c>
      <c r="I18" s="10">
        <v>1129.5999999999999</v>
      </c>
      <c r="J18" s="11"/>
      <c r="K18" s="11">
        <f t="shared" si="21"/>
        <v>0</v>
      </c>
      <c r="L18" s="37">
        <f t="shared" si="22"/>
        <v>0</v>
      </c>
      <c r="M18" s="11" t="s">
        <v>833</v>
      </c>
      <c r="N18" s="10" t="s">
        <v>31</v>
      </c>
      <c r="O18" s="21" t="s">
        <v>829</v>
      </c>
      <c r="P18" s="21">
        <v>16</v>
      </c>
      <c r="Q18" s="21" t="s">
        <v>2136</v>
      </c>
      <c r="R18" s="23" t="s">
        <v>835</v>
      </c>
      <c r="S18" s="50" t="s">
        <v>81</v>
      </c>
      <c r="T18" s="48" t="s">
        <v>838</v>
      </c>
      <c r="U18" s="81" t="s">
        <v>843</v>
      </c>
      <c r="V18" s="26" t="s">
        <v>841</v>
      </c>
      <c r="W18" s="200" t="s">
        <v>258</v>
      </c>
      <c r="X18" s="17" t="s">
        <v>272</v>
      </c>
      <c r="Z18">
        <v>3</v>
      </c>
      <c r="AA18" s="416"/>
      <c r="AB18" s="95">
        <v>4</v>
      </c>
      <c r="AC18" s="102" t="s">
        <v>67</v>
      </c>
      <c r="AD18" s="41">
        <f t="shared" si="4"/>
        <v>0</v>
      </c>
      <c r="AE18" s="70">
        <f t="shared" si="5"/>
        <v>0</v>
      </c>
      <c r="AF18" s="70">
        <f t="shared" si="6"/>
        <v>0</v>
      </c>
      <c r="AG18" s="70">
        <f t="shared" si="7"/>
        <v>0</v>
      </c>
      <c r="AH18" s="109">
        <f t="shared" si="8"/>
        <v>0</v>
      </c>
      <c r="AI18" s="120">
        <f t="shared" si="9"/>
        <v>0</v>
      </c>
      <c r="AJ18" s="121">
        <f t="shared" si="10"/>
        <v>0</v>
      </c>
      <c r="AK18" s="121">
        <f t="shared" si="11"/>
        <v>0</v>
      </c>
      <c r="AL18" s="121">
        <f t="shared" si="12"/>
        <v>0</v>
      </c>
      <c r="AM18" s="122">
        <f t="shared" si="13"/>
        <v>0</v>
      </c>
      <c r="AN18" s="41">
        <f t="shared" si="14"/>
        <v>0</v>
      </c>
      <c r="AO18" s="70">
        <f t="shared" si="15"/>
        <v>0</v>
      </c>
      <c r="AP18" s="70">
        <f t="shared" si="16"/>
        <v>0</v>
      </c>
      <c r="AQ18" s="70">
        <f t="shared" si="17"/>
        <v>0</v>
      </c>
      <c r="AR18" s="70">
        <f t="shared" si="18"/>
        <v>0</v>
      </c>
    </row>
    <row r="19" spans="2:48" s="10" customFormat="1" ht="13.5" customHeight="1" x14ac:dyDescent="0.25">
      <c r="B19" s="17">
        <v>17</v>
      </c>
      <c r="C19" s="10" t="s">
        <v>136</v>
      </c>
      <c r="D19" s="10" t="s">
        <v>140</v>
      </c>
      <c r="E19" s="72" t="s">
        <v>827</v>
      </c>
      <c r="F19" s="18">
        <v>45834</v>
      </c>
      <c r="G19" s="10">
        <v>6</v>
      </c>
      <c r="H19" s="10">
        <v>4</v>
      </c>
      <c r="I19" s="10">
        <v>149.76</v>
      </c>
      <c r="J19" s="11"/>
      <c r="K19" s="11">
        <f t="shared" si="21"/>
        <v>0</v>
      </c>
      <c r="L19" s="37">
        <f t="shared" si="22"/>
        <v>0</v>
      </c>
      <c r="M19" s="11" t="s">
        <v>834</v>
      </c>
      <c r="N19" s="10" t="s">
        <v>31</v>
      </c>
      <c r="O19" s="21" t="s">
        <v>830</v>
      </c>
      <c r="P19" s="21">
        <v>17</v>
      </c>
      <c r="Q19" s="21" t="s">
        <v>2136</v>
      </c>
      <c r="R19" s="23" t="s">
        <v>836</v>
      </c>
      <c r="S19" s="50" t="s">
        <v>81</v>
      </c>
      <c r="T19" s="48" t="s">
        <v>839</v>
      </c>
      <c r="U19" s="81" t="s">
        <v>843</v>
      </c>
      <c r="V19" s="26" t="s">
        <v>841</v>
      </c>
      <c r="W19" s="200" t="s">
        <v>258</v>
      </c>
      <c r="X19" s="17" t="s">
        <v>272</v>
      </c>
      <c r="Z19">
        <v>3</v>
      </c>
      <c r="AA19" s="416"/>
      <c r="AB19" s="96">
        <v>5</v>
      </c>
      <c r="AC19" s="102"/>
      <c r="AD19" s="41">
        <f t="shared" si="4"/>
        <v>0</v>
      </c>
      <c r="AE19" s="70">
        <f t="shared" si="5"/>
        <v>0</v>
      </c>
      <c r="AF19" s="70">
        <f t="shared" si="6"/>
        <v>0</v>
      </c>
      <c r="AG19" s="70">
        <f t="shared" si="7"/>
        <v>0</v>
      </c>
      <c r="AH19" s="109">
        <f t="shared" si="8"/>
        <v>0</v>
      </c>
      <c r="AI19" s="120">
        <f t="shared" si="9"/>
        <v>0</v>
      </c>
      <c r="AJ19" s="121">
        <f t="shared" si="10"/>
        <v>0</v>
      </c>
      <c r="AK19" s="121">
        <f t="shared" si="11"/>
        <v>0</v>
      </c>
      <c r="AL19" s="121">
        <f t="shared" si="12"/>
        <v>0</v>
      </c>
      <c r="AM19" s="122">
        <f t="shared" si="13"/>
        <v>0</v>
      </c>
      <c r="AN19" s="41">
        <f t="shared" si="14"/>
        <v>0</v>
      </c>
      <c r="AO19" s="70">
        <f t="shared" si="15"/>
        <v>0</v>
      </c>
      <c r="AP19" s="70">
        <f t="shared" si="16"/>
        <v>0</v>
      </c>
      <c r="AQ19" s="70">
        <f t="shared" si="17"/>
        <v>0</v>
      </c>
      <c r="AR19" s="70">
        <f t="shared" si="18"/>
        <v>0</v>
      </c>
    </row>
    <row r="20" spans="2:48" s="10" customFormat="1" ht="13.5" customHeight="1" thickBot="1" x14ac:dyDescent="0.3">
      <c r="B20" s="17">
        <v>18</v>
      </c>
      <c r="C20" s="10" t="s">
        <v>137</v>
      </c>
      <c r="D20" s="10" t="s">
        <v>140</v>
      </c>
      <c r="E20" s="72" t="s">
        <v>820</v>
      </c>
      <c r="F20" s="18">
        <v>45834</v>
      </c>
      <c r="G20" s="10">
        <v>6</v>
      </c>
      <c r="H20" s="10">
        <v>4</v>
      </c>
      <c r="I20" s="10">
        <v>115.2</v>
      </c>
      <c r="J20" s="11"/>
      <c r="K20" s="11">
        <f t="shared" si="21"/>
        <v>0</v>
      </c>
      <c r="L20" s="37">
        <f t="shared" si="22"/>
        <v>0</v>
      </c>
      <c r="M20" s="11" t="s">
        <v>821</v>
      </c>
      <c r="N20" s="10" t="s">
        <v>822</v>
      </c>
      <c r="O20" s="21" t="s">
        <v>823</v>
      </c>
      <c r="P20" s="21">
        <v>18</v>
      </c>
      <c r="Q20" s="21" t="s">
        <v>2136</v>
      </c>
      <c r="R20" s="23" t="s">
        <v>824</v>
      </c>
      <c r="S20" s="50" t="s">
        <v>81</v>
      </c>
      <c r="T20" s="48" t="s">
        <v>825</v>
      </c>
      <c r="U20" s="81" t="s">
        <v>197</v>
      </c>
      <c r="V20" s="26" t="s">
        <v>789</v>
      </c>
      <c r="W20" s="200" t="s">
        <v>258</v>
      </c>
      <c r="X20" s="17" t="s">
        <v>272</v>
      </c>
      <c r="Z20">
        <v>3</v>
      </c>
      <c r="AA20" s="417"/>
      <c r="AB20" s="97" t="s">
        <v>3</v>
      </c>
      <c r="AC20" s="103"/>
      <c r="AD20" s="99">
        <f>SUM(AD15:AD19)</f>
        <v>260.48</v>
      </c>
      <c r="AE20" s="99">
        <f t="shared" ref="AE20" si="53">SUM(AE15:AE19)</f>
        <v>260.48</v>
      </c>
      <c r="AF20" s="99">
        <f t="shared" ref="AF20" si="54">SUM(AF15:AF19)</f>
        <v>0</v>
      </c>
      <c r="AG20" s="99">
        <f t="shared" ref="AG20" si="55">SUM(AG15:AG19)</f>
        <v>0</v>
      </c>
      <c r="AH20" s="110">
        <f t="shared" ref="AH20" si="56">SUM(AH15:AH19)</f>
        <v>0</v>
      </c>
      <c r="AI20" s="123">
        <f t="shared" ref="AI20" si="57">SUM(AI15:AI19)</f>
        <v>2</v>
      </c>
      <c r="AJ20" s="124">
        <f t="shared" ref="AJ20" si="58">SUM(AJ15:AJ19)</f>
        <v>2</v>
      </c>
      <c r="AK20" s="124">
        <f t="shared" ref="AK20" si="59">SUM(AK15:AK19)</f>
        <v>0</v>
      </c>
      <c r="AL20" s="124">
        <f t="shared" ref="AL20" si="60">SUM(AL15:AL19)</f>
        <v>0</v>
      </c>
      <c r="AM20" s="125">
        <f t="shared" ref="AM20" si="61">SUM(AM15:AM19)</f>
        <v>0</v>
      </c>
      <c r="AN20" s="99">
        <f t="shared" ref="AN20" si="62">SUM(AN15:AN19)</f>
        <v>0</v>
      </c>
      <c r="AO20" s="99">
        <f t="shared" ref="AO20" si="63">SUM(AO15:AO19)</f>
        <v>0</v>
      </c>
      <c r="AP20" s="99">
        <f t="shared" ref="AP20" si="64">SUM(AP15:AP19)</f>
        <v>0</v>
      </c>
      <c r="AQ20" s="99">
        <f t="shared" ref="AQ20" si="65">SUM(AQ15:AQ19)</f>
        <v>0</v>
      </c>
      <c r="AR20" s="99">
        <f t="shared" ref="AR20" si="66">SUM(AR15:AR19)</f>
        <v>0</v>
      </c>
    </row>
    <row r="21" spans="2:48" s="10" customFormat="1" ht="13.5" customHeight="1" x14ac:dyDescent="0.25">
      <c r="B21" s="17">
        <v>19</v>
      </c>
      <c r="C21" s="10" t="s">
        <v>136</v>
      </c>
      <c r="D21" s="10" t="s">
        <v>140</v>
      </c>
      <c r="E21" s="72" t="s">
        <v>832</v>
      </c>
      <c r="F21" s="18">
        <v>45834</v>
      </c>
      <c r="G21" s="10">
        <v>7</v>
      </c>
      <c r="H21" s="10">
        <v>1</v>
      </c>
      <c r="I21" s="10">
        <v>132.47999999999999</v>
      </c>
      <c r="J21" s="11"/>
      <c r="K21" s="11">
        <f t="shared" si="21"/>
        <v>0</v>
      </c>
      <c r="L21" s="37">
        <f t="shared" si="22"/>
        <v>0</v>
      </c>
      <c r="M21" s="11" t="s">
        <v>833</v>
      </c>
      <c r="N21" s="10" t="s">
        <v>828</v>
      </c>
      <c r="O21" s="21" t="s">
        <v>831</v>
      </c>
      <c r="P21" s="21">
        <v>19</v>
      </c>
      <c r="Q21" s="21" t="s">
        <v>2136</v>
      </c>
      <c r="R21" s="23" t="s">
        <v>837</v>
      </c>
      <c r="S21" s="50" t="s">
        <v>81</v>
      </c>
      <c r="T21" s="48" t="s">
        <v>840</v>
      </c>
      <c r="U21" s="81" t="s">
        <v>843</v>
      </c>
      <c r="V21" s="26" t="s">
        <v>842</v>
      </c>
      <c r="W21" s="200" t="s">
        <v>258</v>
      </c>
      <c r="X21" s="17" t="s">
        <v>272</v>
      </c>
      <c r="Z21">
        <v>4</v>
      </c>
      <c r="AA21" s="415">
        <v>4</v>
      </c>
      <c r="AB21" s="94">
        <v>1</v>
      </c>
      <c r="AC21" s="100" t="s">
        <v>108</v>
      </c>
      <c r="AD21" s="41">
        <f t="shared" si="4"/>
        <v>0</v>
      </c>
      <c r="AE21" s="70">
        <f t="shared" si="5"/>
        <v>0</v>
      </c>
      <c r="AF21" s="70">
        <f t="shared" si="6"/>
        <v>0</v>
      </c>
      <c r="AG21" s="70">
        <f t="shared" si="7"/>
        <v>0</v>
      </c>
      <c r="AH21" s="109">
        <f t="shared" si="8"/>
        <v>0</v>
      </c>
      <c r="AI21" s="120">
        <f t="shared" si="9"/>
        <v>0</v>
      </c>
      <c r="AJ21" s="121">
        <f t="shared" si="10"/>
        <v>0</v>
      </c>
      <c r="AK21" s="121">
        <f t="shared" si="11"/>
        <v>0</v>
      </c>
      <c r="AL21" s="121">
        <f t="shared" si="12"/>
        <v>0</v>
      </c>
      <c r="AM21" s="122">
        <f t="shared" si="13"/>
        <v>0</v>
      </c>
      <c r="AN21" s="41">
        <f t="shared" si="14"/>
        <v>0</v>
      </c>
      <c r="AO21" s="70">
        <f t="shared" si="15"/>
        <v>0</v>
      </c>
      <c r="AP21" s="70">
        <f t="shared" si="16"/>
        <v>0</v>
      </c>
      <c r="AQ21" s="70">
        <f t="shared" si="17"/>
        <v>0</v>
      </c>
      <c r="AR21" s="70">
        <f t="shared" si="18"/>
        <v>0</v>
      </c>
    </row>
    <row r="22" spans="2:48" s="10" customFormat="1" ht="13.5" customHeight="1" x14ac:dyDescent="0.25">
      <c r="B22" s="17">
        <v>20</v>
      </c>
      <c r="C22" s="10" t="s">
        <v>137</v>
      </c>
      <c r="D22" s="10" t="s">
        <v>140</v>
      </c>
      <c r="E22" s="72" t="s">
        <v>844</v>
      </c>
      <c r="F22" s="18">
        <v>45835</v>
      </c>
      <c r="G22" s="10">
        <v>7</v>
      </c>
      <c r="H22" s="10">
        <v>1</v>
      </c>
      <c r="I22" s="10">
        <v>160.63999999999999</v>
      </c>
      <c r="J22" s="11"/>
      <c r="K22" s="11">
        <f t="shared" si="21"/>
        <v>0</v>
      </c>
      <c r="L22" s="37">
        <f t="shared" si="22"/>
        <v>0</v>
      </c>
      <c r="M22" s="11" t="s">
        <v>845</v>
      </c>
      <c r="N22" s="10" t="s">
        <v>846</v>
      </c>
      <c r="O22" s="21" t="s">
        <v>847</v>
      </c>
      <c r="P22" s="21">
        <v>20</v>
      </c>
      <c r="Q22" s="21" t="s">
        <v>2136</v>
      </c>
      <c r="R22" s="23" t="s">
        <v>848</v>
      </c>
      <c r="S22" s="50" t="s">
        <v>81</v>
      </c>
      <c r="T22" s="48" t="s">
        <v>849</v>
      </c>
      <c r="U22" s="81" t="s">
        <v>197</v>
      </c>
      <c r="V22" s="26" t="s">
        <v>789</v>
      </c>
      <c r="W22" s="200" t="s">
        <v>258</v>
      </c>
      <c r="X22" s="17"/>
      <c r="Z22">
        <v>4</v>
      </c>
      <c r="AA22" s="416"/>
      <c r="AB22" s="95">
        <v>2</v>
      </c>
      <c r="AC22" s="102" t="s">
        <v>68</v>
      </c>
      <c r="AD22" s="41">
        <f t="shared" si="4"/>
        <v>0</v>
      </c>
      <c r="AE22" s="70">
        <f t="shared" si="5"/>
        <v>0</v>
      </c>
      <c r="AF22" s="70">
        <f t="shared" si="6"/>
        <v>0</v>
      </c>
      <c r="AG22" s="70">
        <f t="shared" si="7"/>
        <v>0</v>
      </c>
      <c r="AH22" s="109">
        <f t="shared" si="8"/>
        <v>0</v>
      </c>
      <c r="AI22" s="120">
        <f t="shared" si="9"/>
        <v>0</v>
      </c>
      <c r="AJ22" s="121">
        <f t="shared" si="10"/>
        <v>0</v>
      </c>
      <c r="AK22" s="121">
        <f t="shared" si="11"/>
        <v>0</v>
      </c>
      <c r="AL22" s="121">
        <f t="shared" si="12"/>
        <v>0</v>
      </c>
      <c r="AM22" s="122">
        <f t="shared" si="13"/>
        <v>0</v>
      </c>
      <c r="AN22" s="41">
        <f t="shared" si="14"/>
        <v>0</v>
      </c>
      <c r="AO22" s="70">
        <f t="shared" si="15"/>
        <v>0</v>
      </c>
      <c r="AP22" s="70">
        <f t="shared" si="16"/>
        <v>0</v>
      </c>
      <c r="AQ22" s="70">
        <f t="shared" si="17"/>
        <v>0</v>
      </c>
      <c r="AR22" s="70">
        <f t="shared" si="18"/>
        <v>0</v>
      </c>
    </row>
    <row r="23" spans="2:48" s="10" customFormat="1" ht="13.5" customHeight="1" x14ac:dyDescent="0.25">
      <c r="B23" s="17">
        <v>21</v>
      </c>
      <c r="C23" s="10" t="s">
        <v>136</v>
      </c>
      <c r="D23" s="10" t="s">
        <v>140</v>
      </c>
      <c r="E23" s="72" t="s">
        <v>850</v>
      </c>
      <c r="F23" s="18">
        <v>45834</v>
      </c>
      <c r="G23" s="10">
        <v>6</v>
      </c>
      <c r="H23" s="10">
        <v>4</v>
      </c>
      <c r="I23" s="10">
        <v>378.88</v>
      </c>
      <c r="J23" s="11"/>
      <c r="K23" s="11">
        <f t="shared" si="21"/>
        <v>0</v>
      </c>
      <c r="L23" s="37">
        <f t="shared" si="22"/>
        <v>0</v>
      </c>
      <c r="M23" s="11" t="s">
        <v>851</v>
      </c>
      <c r="N23" s="10" t="s">
        <v>852</v>
      </c>
      <c r="O23" s="21" t="s">
        <v>853</v>
      </c>
      <c r="P23" s="21">
        <v>21</v>
      </c>
      <c r="Q23" s="21" t="s">
        <v>2142</v>
      </c>
      <c r="R23" s="23" t="s">
        <v>854</v>
      </c>
      <c r="S23" s="50" t="s">
        <v>81</v>
      </c>
      <c r="T23" s="48" t="s">
        <v>855</v>
      </c>
      <c r="U23" s="81" t="s">
        <v>85</v>
      </c>
      <c r="V23" s="26" t="s">
        <v>856</v>
      </c>
      <c r="W23" s="200" t="s">
        <v>259</v>
      </c>
      <c r="X23" s="17" t="s">
        <v>272</v>
      </c>
      <c r="Z23">
        <v>4</v>
      </c>
      <c r="AA23" s="416"/>
      <c r="AB23" s="95">
        <v>3</v>
      </c>
      <c r="AC23" s="102" t="s">
        <v>69</v>
      </c>
      <c r="AD23" s="41">
        <f t="shared" si="4"/>
        <v>70.400000000000006</v>
      </c>
      <c r="AE23" s="70">
        <f t="shared" si="5"/>
        <v>0</v>
      </c>
      <c r="AF23" s="70">
        <f t="shared" si="6"/>
        <v>70.400000000000006</v>
      </c>
      <c r="AG23" s="70">
        <f t="shared" si="7"/>
        <v>0</v>
      </c>
      <c r="AH23" s="109">
        <f t="shared" si="8"/>
        <v>0</v>
      </c>
      <c r="AI23" s="120">
        <f t="shared" si="9"/>
        <v>1</v>
      </c>
      <c r="AJ23" s="121">
        <f t="shared" si="10"/>
        <v>0</v>
      </c>
      <c r="AK23" s="121">
        <f t="shared" si="11"/>
        <v>1</v>
      </c>
      <c r="AL23" s="121">
        <f t="shared" si="12"/>
        <v>0</v>
      </c>
      <c r="AM23" s="122">
        <f t="shared" si="13"/>
        <v>0</v>
      </c>
      <c r="AN23" s="41">
        <f t="shared" si="14"/>
        <v>0</v>
      </c>
      <c r="AO23" s="70">
        <f t="shared" si="15"/>
        <v>0</v>
      </c>
      <c r="AP23" s="70">
        <f t="shared" si="16"/>
        <v>0</v>
      </c>
      <c r="AQ23" s="70">
        <f t="shared" si="17"/>
        <v>0</v>
      </c>
      <c r="AR23" s="70">
        <f t="shared" si="18"/>
        <v>0</v>
      </c>
    </row>
    <row r="24" spans="2:48" s="10" customFormat="1" ht="13.5" customHeight="1" x14ac:dyDescent="0.25">
      <c r="B24" s="17">
        <v>22</v>
      </c>
      <c r="C24" s="10" t="s">
        <v>137</v>
      </c>
      <c r="D24" s="10" t="s">
        <v>140</v>
      </c>
      <c r="E24" s="72" t="s">
        <v>871</v>
      </c>
      <c r="F24" s="18">
        <v>45834</v>
      </c>
      <c r="G24" s="10">
        <v>7</v>
      </c>
      <c r="H24" s="10">
        <v>1</v>
      </c>
      <c r="I24" s="10">
        <v>423.68</v>
      </c>
      <c r="J24" s="11"/>
      <c r="K24" s="11">
        <f t="shared" si="21"/>
        <v>0</v>
      </c>
      <c r="L24" s="37">
        <f t="shared" si="22"/>
        <v>0</v>
      </c>
      <c r="M24" s="11" t="s">
        <v>872</v>
      </c>
      <c r="N24" s="10" t="s">
        <v>873</v>
      </c>
      <c r="O24" s="21" t="s">
        <v>898</v>
      </c>
      <c r="P24" s="21">
        <v>22</v>
      </c>
      <c r="Q24" s="21" t="s">
        <v>2136</v>
      </c>
      <c r="R24" s="23" t="s">
        <v>874</v>
      </c>
      <c r="S24" s="50" t="s">
        <v>81</v>
      </c>
      <c r="T24" s="48" t="s">
        <v>875</v>
      </c>
      <c r="U24" s="81" t="s">
        <v>197</v>
      </c>
      <c r="V24" s="26" t="s">
        <v>876</v>
      </c>
      <c r="W24" s="200" t="s">
        <v>258</v>
      </c>
      <c r="X24" s="17"/>
      <c r="Z24">
        <v>4</v>
      </c>
      <c r="AA24" s="416"/>
      <c r="AB24" s="95">
        <v>4</v>
      </c>
      <c r="AC24" s="102" t="s">
        <v>70</v>
      </c>
      <c r="AD24" s="41">
        <f t="shared" si="4"/>
        <v>328.29500000000002</v>
      </c>
      <c r="AE24" s="70">
        <f t="shared" si="5"/>
        <v>328.29500000000002</v>
      </c>
      <c r="AF24" s="70">
        <f t="shared" si="6"/>
        <v>0</v>
      </c>
      <c r="AG24" s="70">
        <f t="shared" si="7"/>
        <v>0</v>
      </c>
      <c r="AH24" s="109">
        <f t="shared" si="8"/>
        <v>0</v>
      </c>
      <c r="AI24" s="120">
        <f t="shared" si="9"/>
        <v>1</v>
      </c>
      <c r="AJ24" s="121">
        <f t="shared" si="10"/>
        <v>1</v>
      </c>
      <c r="AK24" s="121">
        <f t="shared" si="11"/>
        <v>0</v>
      </c>
      <c r="AL24" s="121">
        <f t="shared" si="12"/>
        <v>0</v>
      </c>
      <c r="AM24" s="122">
        <f t="shared" si="13"/>
        <v>0</v>
      </c>
      <c r="AN24" s="41">
        <f t="shared" si="14"/>
        <v>0</v>
      </c>
      <c r="AO24" s="70">
        <f t="shared" si="15"/>
        <v>0</v>
      </c>
      <c r="AP24" s="70">
        <f t="shared" si="16"/>
        <v>0</v>
      </c>
      <c r="AQ24" s="70">
        <f t="shared" si="17"/>
        <v>0</v>
      </c>
      <c r="AR24" s="70">
        <f t="shared" si="18"/>
        <v>0</v>
      </c>
      <c r="AT24" s="201" t="s">
        <v>256</v>
      </c>
      <c r="AU24" s="201" t="s">
        <v>257</v>
      </c>
      <c r="AV24" s="201" t="s">
        <v>152</v>
      </c>
    </row>
    <row r="25" spans="2:48" s="10" customFormat="1" ht="13.5" customHeight="1" x14ac:dyDescent="0.25">
      <c r="B25" s="17">
        <v>23</v>
      </c>
      <c r="C25" s="10" t="s">
        <v>136</v>
      </c>
      <c r="D25" s="10" t="s">
        <v>877</v>
      </c>
      <c r="E25" s="72" t="s">
        <v>878</v>
      </c>
      <c r="F25" s="18">
        <v>45841</v>
      </c>
      <c r="G25" s="10">
        <v>7</v>
      </c>
      <c r="H25" s="10">
        <v>2</v>
      </c>
      <c r="I25" s="10">
        <v>186.88</v>
      </c>
      <c r="J25" s="11"/>
      <c r="K25" s="11">
        <f t="shared" si="21"/>
        <v>0</v>
      </c>
      <c r="L25" s="37">
        <f t="shared" si="22"/>
        <v>0</v>
      </c>
      <c r="M25" s="11" t="s">
        <v>879</v>
      </c>
      <c r="N25" s="10" t="s">
        <v>880</v>
      </c>
      <c r="O25" s="21" t="s">
        <v>881</v>
      </c>
      <c r="P25" s="21">
        <v>23</v>
      </c>
      <c r="Q25" s="21" t="s">
        <v>2136</v>
      </c>
      <c r="R25" s="23" t="s">
        <v>882</v>
      </c>
      <c r="S25" s="50" t="s">
        <v>883</v>
      </c>
      <c r="T25" s="48" t="s">
        <v>884</v>
      </c>
      <c r="U25" s="81" t="s">
        <v>885</v>
      </c>
      <c r="V25" s="26" t="s">
        <v>886</v>
      </c>
      <c r="W25" s="200" t="s">
        <v>258</v>
      </c>
      <c r="X25" s="17" t="s">
        <v>887</v>
      </c>
      <c r="Z25">
        <v>4</v>
      </c>
      <c r="AA25" s="416"/>
      <c r="AB25" s="96">
        <v>5</v>
      </c>
      <c r="AC25" s="102" t="s">
        <v>109</v>
      </c>
      <c r="AD25" s="41">
        <f t="shared" si="4"/>
        <v>0</v>
      </c>
      <c r="AE25" s="70">
        <f t="shared" si="5"/>
        <v>0</v>
      </c>
      <c r="AF25" s="70">
        <f t="shared" si="6"/>
        <v>0</v>
      </c>
      <c r="AG25" s="70">
        <f t="shared" si="7"/>
        <v>0</v>
      </c>
      <c r="AH25" s="109">
        <f t="shared" si="8"/>
        <v>0</v>
      </c>
      <c r="AI25" s="120">
        <f t="shared" si="9"/>
        <v>0</v>
      </c>
      <c r="AJ25" s="121">
        <f t="shared" si="10"/>
        <v>0</v>
      </c>
      <c r="AK25" s="121">
        <f t="shared" si="11"/>
        <v>0</v>
      </c>
      <c r="AL25" s="121">
        <f t="shared" si="12"/>
        <v>0</v>
      </c>
      <c r="AM25" s="122">
        <f t="shared" si="13"/>
        <v>0</v>
      </c>
      <c r="AN25" s="41">
        <f t="shared" si="14"/>
        <v>0</v>
      </c>
      <c r="AO25" s="70">
        <f t="shared" si="15"/>
        <v>0</v>
      </c>
      <c r="AP25" s="70">
        <f t="shared" si="16"/>
        <v>0</v>
      </c>
      <c r="AQ25" s="70">
        <f t="shared" si="17"/>
        <v>0</v>
      </c>
      <c r="AR25" s="70">
        <f t="shared" si="18"/>
        <v>0</v>
      </c>
      <c r="AT25" s="202" t="s">
        <v>270</v>
      </c>
      <c r="AU25" s="202">
        <f>COUNTIF($W:$W, AT25)</f>
        <v>20</v>
      </c>
      <c r="AV25" s="203">
        <f>AU25/$AU$33</f>
        <v>0.5714285714285714</v>
      </c>
    </row>
    <row r="26" spans="2:48" s="10" customFormat="1" ht="13.5" customHeight="1" thickBot="1" x14ac:dyDescent="0.3">
      <c r="B26" s="17">
        <v>24</v>
      </c>
      <c r="C26" s="10" t="s">
        <v>136</v>
      </c>
      <c r="D26" s="10" t="s">
        <v>140</v>
      </c>
      <c r="E26" s="72" t="s">
        <v>899</v>
      </c>
      <c r="F26" s="18">
        <v>45846</v>
      </c>
      <c r="G26" s="10">
        <v>7</v>
      </c>
      <c r="H26" s="10">
        <v>2</v>
      </c>
      <c r="I26" s="10">
        <v>224</v>
      </c>
      <c r="J26" s="11"/>
      <c r="K26" s="11">
        <f t="shared" si="21"/>
        <v>0</v>
      </c>
      <c r="L26" s="37">
        <f t="shared" si="22"/>
        <v>0</v>
      </c>
      <c r="M26" s="11" t="s">
        <v>900</v>
      </c>
      <c r="N26" s="10" t="s">
        <v>901</v>
      </c>
      <c r="O26" s="21" t="s">
        <v>902</v>
      </c>
      <c r="P26" s="21">
        <v>24</v>
      </c>
      <c r="Q26" s="21" t="s">
        <v>2149</v>
      </c>
      <c r="R26" s="23" t="s">
        <v>903</v>
      </c>
      <c r="S26" s="50" t="s">
        <v>81</v>
      </c>
      <c r="T26" s="48" t="s">
        <v>904</v>
      </c>
      <c r="U26" s="81" t="s">
        <v>905</v>
      </c>
      <c r="V26" s="26" t="s">
        <v>906</v>
      </c>
      <c r="W26" s="200" t="s">
        <v>258</v>
      </c>
      <c r="X26" s="17" t="s">
        <v>907</v>
      </c>
      <c r="Z26">
        <v>4</v>
      </c>
      <c r="AA26" s="417"/>
      <c r="AB26" s="97" t="s">
        <v>3</v>
      </c>
      <c r="AC26" s="103"/>
      <c r="AD26" s="99">
        <f>SUM(AD21:AD25)</f>
        <v>398.69500000000005</v>
      </c>
      <c r="AE26" s="99">
        <f t="shared" ref="AE26" si="67">SUM(AE21:AE25)</f>
        <v>328.29500000000002</v>
      </c>
      <c r="AF26" s="99">
        <f t="shared" ref="AF26" si="68">SUM(AF21:AF25)</f>
        <v>70.400000000000006</v>
      </c>
      <c r="AG26" s="99">
        <f t="shared" ref="AG26" si="69">SUM(AG21:AG25)</f>
        <v>0</v>
      </c>
      <c r="AH26" s="110">
        <f t="shared" ref="AH26" si="70">SUM(AH21:AH25)</f>
        <v>0</v>
      </c>
      <c r="AI26" s="123">
        <f t="shared" ref="AI26" si="71">SUM(AI21:AI25)</f>
        <v>2</v>
      </c>
      <c r="AJ26" s="124">
        <f t="shared" ref="AJ26" si="72">SUM(AJ21:AJ25)</f>
        <v>1</v>
      </c>
      <c r="AK26" s="124">
        <f t="shared" ref="AK26" si="73">SUM(AK21:AK25)</f>
        <v>1</v>
      </c>
      <c r="AL26" s="124">
        <f t="shared" ref="AL26" si="74">SUM(AL21:AL25)</f>
        <v>0</v>
      </c>
      <c r="AM26" s="125">
        <f t="shared" ref="AM26" si="75">SUM(AM21:AM25)</f>
        <v>0</v>
      </c>
      <c r="AN26" s="99">
        <f t="shared" ref="AN26" si="76">SUM(AN21:AN25)</f>
        <v>0</v>
      </c>
      <c r="AO26" s="99">
        <f t="shared" ref="AO26" si="77">SUM(AO21:AO25)</f>
        <v>0</v>
      </c>
      <c r="AP26" s="99">
        <f t="shared" ref="AP26" si="78">SUM(AP21:AP25)</f>
        <v>0</v>
      </c>
      <c r="AQ26" s="99">
        <f t="shared" ref="AQ26" si="79">SUM(AQ21:AQ25)</f>
        <v>0</v>
      </c>
      <c r="AR26" s="99">
        <f t="shared" ref="AR26" si="80">SUM(AR21:AR25)</f>
        <v>0</v>
      </c>
      <c r="AT26" s="202" t="s">
        <v>259</v>
      </c>
      <c r="AU26" s="202">
        <f t="shared" ref="AU26:AU32" si="81">COUNTIF($W:$W, AT26)</f>
        <v>11</v>
      </c>
      <c r="AV26" s="203">
        <f t="shared" ref="AV26:AV33" si="82">AU26/$AU$33</f>
        <v>0.31428571428571428</v>
      </c>
    </row>
    <row r="27" spans="2:48" s="10" customFormat="1" ht="13.5" customHeight="1" x14ac:dyDescent="0.25">
      <c r="B27" s="17">
        <v>25</v>
      </c>
      <c r="C27" s="10" t="s">
        <v>926</v>
      </c>
      <c r="D27" s="10" t="s">
        <v>140</v>
      </c>
      <c r="E27" s="72" t="s">
        <v>241</v>
      </c>
      <c r="F27" s="18">
        <v>45848</v>
      </c>
      <c r="G27" s="10">
        <v>7</v>
      </c>
      <c r="H27" s="10">
        <v>2</v>
      </c>
      <c r="I27" s="10">
        <v>138.24</v>
      </c>
      <c r="J27" s="11"/>
      <c r="K27" s="11">
        <f t="shared" si="21"/>
        <v>0</v>
      </c>
      <c r="L27" s="37">
        <f t="shared" si="22"/>
        <v>0</v>
      </c>
      <c r="M27" s="11" t="s">
        <v>927</v>
      </c>
      <c r="N27" s="10" t="s">
        <v>928</v>
      </c>
      <c r="O27" s="21" t="s">
        <v>929</v>
      </c>
      <c r="P27" s="21">
        <v>25</v>
      </c>
      <c r="Q27" s="21" t="s">
        <v>2136</v>
      </c>
      <c r="R27" s="23" t="s">
        <v>1251</v>
      </c>
      <c r="S27" s="50" t="s">
        <v>81</v>
      </c>
      <c r="T27" s="48" t="s">
        <v>930</v>
      </c>
      <c r="U27" s="81" t="s">
        <v>197</v>
      </c>
      <c r="V27" s="26" t="s">
        <v>789</v>
      </c>
      <c r="W27" s="200" t="s">
        <v>258</v>
      </c>
      <c r="X27" s="17" t="s">
        <v>279</v>
      </c>
      <c r="Z27">
        <v>5</v>
      </c>
      <c r="AA27" s="415">
        <v>5</v>
      </c>
      <c r="AB27" s="94">
        <v>1</v>
      </c>
      <c r="AC27" s="100" t="s">
        <v>110</v>
      </c>
      <c r="AD27" s="41">
        <f t="shared" si="4"/>
        <v>0</v>
      </c>
      <c r="AE27" s="70">
        <f t="shared" si="5"/>
        <v>0</v>
      </c>
      <c r="AF27" s="70">
        <f t="shared" si="6"/>
        <v>0</v>
      </c>
      <c r="AG27" s="70">
        <f t="shared" si="7"/>
        <v>0</v>
      </c>
      <c r="AH27" s="109">
        <f t="shared" si="8"/>
        <v>0</v>
      </c>
      <c r="AI27" s="120">
        <f t="shared" si="9"/>
        <v>0</v>
      </c>
      <c r="AJ27" s="121">
        <f t="shared" si="10"/>
        <v>0</v>
      </c>
      <c r="AK27" s="121">
        <f t="shared" si="11"/>
        <v>0</v>
      </c>
      <c r="AL27" s="121">
        <f t="shared" si="12"/>
        <v>0</v>
      </c>
      <c r="AM27" s="122">
        <f t="shared" si="13"/>
        <v>0</v>
      </c>
      <c r="AN27" s="41">
        <f t="shared" si="14"/>
        <v>0</v>
      </c>
      <c r="AO27" s="70">
        <f t="shared" si="15"/>
        <v>0</v>
      </c>
      <c r="AP27" s="70">
        <f t="shared" si="16"/>
        <v>0</v>
      </c>
      <c r="AQ27" s="70">
        <f t="shared" si="17"/>
        <v>0</v>
      </c>
      <c r="AR27" s="70">
        <f t="shared" si="18"/>
        <v>0</v>
      </c>
      <c r="AT27" s="202" t="s">
        <v>260</v>
      </c>
      <c r="AU27" s="202">
        <f t="shared" si="81"/>
        <v>2</v>
      </c>
      <c r="AV27" s="203">
        <f t="shared" si="82"/>
        <v>5.7142857142857141E-2</v>
      </c>
    </row>
    <row r="28" spans="2:48" s="10" customFormat="1" ht="13.5" customHeight="1" x14ac:dyDescent="0.25">
      <c r="B28" s="17">
        <v>26</v>
      </c>
      <c r="C28" s="10" t="s">
        <v>101</v>
      </c>
      <c r="D28" s="10" t="s">
        <v>140</v>
      </c>
      <c r="E28" s="72" t="s">
        <v>942</v>
      </c>
      <c r="F28" s="18">
        <v>45849</v>
      </c>
      <c r="G28" s="10">
        <v>7</v>
      </c>
      <c r="H28" s="10">
        <v>3</v>
      </c>
      <c r="I28" s="10">
        <v>140.80000000000001</v>
      </c>
      <c r="J28" s="11"/>
      <c r="K28" s="11">
        <f t="shared" si="21"/>
        <v>0</v>
      </c>
      <c r="L28" s="37">
        <f t="shared" si="22"/>
        <v>0</v>
      </c>
      <c r="M28" s="11" t="s">
        <v>943</v>
      </c>
      <c r="N28" s="10" t="s">
        <v>944</v>
      </c>
      <c r="O28" s="21" t="s">
        <v>945</v>
      </c>
      <c r="P28" s="21">
        <v>26</v>
      </c>
      <c r="Q28" s="21" t="s">
        <v>2149</v>
      </c>
      <c r="R28" s="23" t="s">
        <v>946</v>
      </c>
      <c r="S28" s="50" t="s">
        <v>81</v>
      </c>
      <c r="T28" s="48" t="s">
        <v>947</v>
      </c>
      <c r="U28" s="81" t="s">
        <v>197</v>
      </c>
      <c r="V28" s="26" t="s">
        <v>567</v>
      </c>
      <c r="W28" s="200" t="s">
        <v>258</v>
      </c>
      <c r="X28" s="17" t="s">
        <v>279</v>
      </c>
      <c r="Z28">
        <v>5</v>
      </c>
      <c r="AA28" s="416"/>
      <c r="AB28" s="95">
        <v>2</v>
      </c>
      <c r="AC28" s="102" t="s">
        <v>111</v>
      </c>
      <c r="AD28" s="41">
        <f t="shared" si="4"/>
        <v>368.64</v>
      </c>
      <c r="AE28" s="70">
        <f t="shared" si="5"/>
        <v>0</v>
      </c>
      <c r="AF28" s="70">
        <f t="shared" si="6"/>
        <v>368.64</v>
      </c>
      <c r="AG28" s="70">
        <f t="shared" si="7"/>
        <v>0</v>
      </c>
      <c r="AH28" s="109">
        <f t="shared" si="8"/>
        <v>0</v>
      </c>
      <c r="AI28" s="120">
        <f t="shared" si="9"/>
        <v>1</v>
      </c>
      <c r="AJ28" s="121">
        <f t="shared" si="10"/>
        <v>0</v>
      </c>
      <c r="AK28" s="121">
        <f t="shared" si="11"/>
        <v>1</v>
      </c>
      <c r="AL28" s="121">
        <f t="shared" si="12"/>
        <v>0</v>
      </c>
      <c r="AM28" s="122">
        <f t="shared" si="13"/>
        <v>0</v>
      </c>
      <c r="AN28" s="41">
        <f t="shared" si="14"/>
        <v>0</v>
      </c>
      <c r="AO28" s="70">
        <f t="shared" si="15"/>
        <v>0</v>
      </c>
      <c r="AP28" s="70">
        <f t="shared" si="16"/>
        <v>0</v>
      </c>
      <c r="AQ28" s="70">
        <f t="shared" si="17"/>
        <v>0</v>
      </c>
      <c r="AR28" s="70">
        <f t="shared" si="18"/>
        <v>0</v>
      </c>
      <c r="AT28" s="202" t="s">
        <v>261</v>
      </c>
      <c r="AU28" s="202">
        <f t="shared" si="81"/>
        <v>0</v>
      </c>
      <c r="AV28" s="203">
        <f t="shared" si="82"/>
        <v>0</v>
      </c>
    </row>
    <row r="29" spans="2:48" s="10" customFormat="1" ht="13.5" customHeight="1" x14ac:dyDescent="0.25">
      <c r="B29" s="17">
        <v>27</v>
      </c>
      <c r="C29" s="10" t="s">
        <v>948</v>
      </c>
      <c r="D29" s="10" t="s">
        <v>949</v>
      </c>
      <c r="E29" s="72" t="s">
        <v>950</v>
      </c>
      <c r="F29" s="18">
        <v>45852</v>
      </c>
      <c r="G29" s="10">
        <v>7</v>
      </c>
      <c r="H29" s="10">
        <v>3</v>
      </c>
      <c r="I29" s="10">
        <v>197.12</v>
      </c>
      <c r="J29" s="11"/>
      <c r="K29" s="11">
        <f t="shared" si="21"/>
        <v>0</v>
      </c>
      <c r="L29" s="37">
        <f t="shared" si="22"/>
        <v>0</v>
      </c>
      <c r="M29" s="11" t="s">
        <v>951</v>
      </c>
      <c r="N29" s="10" t="s">
        <v>952</v>
      </c>
      <c r="O29" s="21" t="s">
        <v>953</v>
      </c>
      <c r="P29" s="21">
        <v>27</v>
      </c>
      <c r="Q29" s="21" t="s">
        <v>2136</v>
      </c>
      <c r="R29" s="23" t="s">
        <v>2119</v>
      </c>
      <c r="S29" s="50" t="s">
        <v>954</v>
      </c>
      <c r="T29" s="48" t="s">
        <v>955</v>
      </c>
      <c r="U29" s="81" t="s">
        <v>956</v>
      </c>
      <c r="V29" s="26" t="s">
        <v>957</v>
      </c>
      <c r="W29" s="200" t="s">
        <v>258</v>
      </c>
      <c r="X29" s="17"/>
      <c r="Y29" s="207" t="s">
        <v>980</v>
      </c>
      <c r="Z29">
        <v>5</v>
      </c>
      <c r="AA29" s="416"/>
      <c r="AB29" s="95">
        <v>3</v>
      </c>
      <c r="AC29" s="102" t="s">
        <v>112</v>
      </c>
      <c r="AD29" s="41">
        <f t="shared" si="4"/>
        <v>0</v>
      </c>
      <c r="AE29" s="70">
        <f t="shared" si="5"/>
        <v>0</v>
      </c>
      <c r="AF29" s="70">
        <f t="shared" si="6"/>
        <v>0</v>
      </c>
      <c r="AG29" s="70">
        <f t="shared" si="7"/>
        <v>0</v>
      </c>
      <c r="AH29" s="109">
        <f t="shared" si="8"/>
        <v>0</v>
      </c>
      <c r="AI29" s="120">
        <f t="shared" si="9"/>
        <v>0</v>
      </c>
      <c r="AJ29" s="121">
        <f t="shared" si="10"/>
        <v>0</v>
      </c>
      <c r="AK29" s="121">
        <f t="shared" si="11"/>
        <v>0</v>
      </c>
      <c r="AL29" s="121">
        <f t="shared" si="12"/>
        <v>0</v>
      </c>
      <c r="AM29" s="122">
        <f t="shared" si="13"/>
        <v>0</v>
      </c>
      <c r="AN29" s="41">
        <f t="shared" si="14"/>
        <v>0</v>
      </c>
      <c r="AO29" s="70">
        <f t="shared" si="15"/>
        <v>0</v>
      </c>
      <c r="AP29" s="70">
        <f t="shared" si="16"/>
        <v>0</v>
      </c>
      <c r="AQ29" s="70">
        <f t="shared" si="17"/>
        <v>0</v>
      </c>
      <c r="AR29" s="70">
        <f t="shared" si="18"/>
        <v>0</v>
      </c>
      <c r="AT29" s="202" t="s">
        <v>262</v>
      </c>
      <c r="AU29" s="202">
        <f t="shared" si="81"/>
        <v>1</v>
      </c>
      <c r="AV29" s="203">
        <f t="shared" si="82"/>
        <v>2.8571428571428571E-2</v>
      </c>
    </row>
    <row r="30" spans="2:48" s="10" customFormat="1" ht="14.25" customHeight="1" x14ac:dyDescent="0.25">
      <c r="B30" s="17">
        <v>28</v>
      </c>
      <c r="C30" s="10" t="s">
        <v>137</v>
      </c>
      <c r="D30" s="10" t="s">
        <v>140</v>
      </c>
      <c r="E30" s="72" t="s">
        <v>291</v>
      </c>
      <c r="F30" s="18">
        <v>45855</v>
      </c>
      <c r="G30" s="10">
        <v>7</v>
      </c>
      <c r="H30" s="10">
        <v>3</v>
      </c>
      <c r="I30" s="10">
        <v>106.88</v>
      </c>
      <c r="J30" s="11"/>
      <c r="K30" s="11">
        <f t="shared" si="21"/>
        <v>0</v>
      </c>
      <c r="L30" s="37">
        <f t="shared" si="22"/>
        <v>0</v>
      </c>
      <c r="M30" s="11" t="s">
        <v>981</v>
      </c>
      <c r="N30" s="10" t="s">
        <v>982</v>
      </c>
      <c r="O30" s="21" t="s">
        <v>983</v>
      </c>
      <c r="P30" s="21">
        <v>28</v>
      </c>
      <c r="Q30" s="21" t="s">
        <v>2136</v>
      </c>
      <c r="R30" s="23" t="s">
        <v>984</v>
      </c>
      <c r="S30" s="50" t="s">
        <v>207</v>
      </c>
      <c r="T30" s="48" t="s">
        <v>985</v>
      </c>
      <c r="U30" s="81" t="s">
        <v>150</v>
      </c>
      <c r="V30" s="26" t="s">
        <v>789</v>
      </c>
      <c r="W30" s="200" t="s">
        <v>270</v>
      </c>
      <c r="X30" s="17" t="s">
        <v>279</v>
      </c>
      <c r="Z30">
        <v>5</v>
      </c>
      <c r="AA30" s="416"/>
      <c r="AB30" s="95">
        <v>4</v>
      </c>
      <c r="AC30" s="102" t="s">
        <v>113</v>
      </c>
      <c r="AD30" s="41">
        <f t="shared" si="4"/>
        <v>324.47999999999996</v>
      </c>
      <c r="AE30" s="70">
        <f t="shared" si="5"/>
        <v>59.52</v>
      </c>
      <c r="AF30" s="70">
        <f t="shared" si="6"/>
        <v>264.95999999999998</v>
      </c>
      <c r="AG30" s="70">
        <f t="shared" si="7"/>
        <v>0</v>
      </c>
      <c r="AH30" s="109">
        <f t="shared" si="8"/>
        <v>0</v>
      </c>
      <c r="AI30" s="120">
        <f t="shared" si="9"/>
        <v>3</v>
      </c>
      <c r="AJ30" s="121">
        <f t="shared" si="10"/>
        <v>1</v>
      </c>
      <c r="AK30" s="121">
        <f t="shared" si="11"/>
        <v>2</v>
      </c>
      <c r="AL30" s="121">
        <f t="shared" si="12"/>
        <v>0</v>
      </c>
      <c r="AM30" s="122">
        <f t="shared" si="13"/>
        <v>0</v>
      </c>
      <c r="AN30" s="41">
        <f t="shared" si="14"/>
        <v>0</v>
      </c>
      <c r="AO30" s="70">
        <f t="shared" si="15"/>
        <v>0</v>
      </c>
      <c r="AP30" s="70">
        <f t="shared" si="16"/>
        <v>0</v>
      </c>
      <c r="AQ30" s="70">
        <f t="shared" si="17"/>
        <v>0</v>
      </c>
      <c r="AR30" s="70">
        <f t="shared" si="18"/>
        <v>0</v>
      </c>
      <c r="AT30" s="202" t="s">
        <v>263</v>
      </c>
      <c r="AU30" s="202">
        <f t="shared" si="81"/>
        <v>0</v>
      </c>
      <c r="AV30" s="203">
        <f t="shared" si="82"/>
        <v>0</v>
      </c>
    </row>
    <row r="31" spans="2:48" s="10" customFormat="1" ht="13.5" customHeight="1" x14ac:dyDescent="0.25">
      <c r="B31" s="17">
        <v>29</v>
      </c>
      <c r="C31" s="10" t="s">
        <v>102</v>
      </c>
      <c r="D31" s="10" t="s">
        <v>229</v>
      </c>
      <c r="E31" s="72" t="s">
        <v>248</v>
      </c>
      <c r="F31" s="18">
        <v>45873</v>
      </c>
      <c r="G31" s="10">
        <v>8</v>
      </c>
      <c r="H31" s="10">
        <v>1</v>
      </c>
      <c r="I31" s="10">
        <v>111.36</v>
      </c>
      <c r="J31" s="11"/>
      <c r="K31" s="11">
        <f t="shared" si="21"/>
        <v>0</v>
      </c>
      <c r="L31" s="37">
        <f t="shared" si="22"/>
        <v>0</v>
      </c>
      <c r="M31" s="11" t="s">
        <v>190</v>
      </c>
      <c r="N31" s="10" t="s">
        <v>30</v>
      </c>
      <c r="O31" s="21" t="s">
        <v>1076</v>
      </c>
      <c r="P31" s="21">
        <v>29</v>
      </c>
      <c r="Q31" s="21" t="s">
        <v>2138</v>
      </c>
      <c r="R31" s="23" t="s">
        <v>1077</v>
      </c>
      <c r="S31" s="50" t="s">
        <v>207</v>
      </c>
      <c r="T31" s="48" t="s">
        <v>1078</v>
      </c>
      <c r="U31" s="81" t="s">
        <v>150</v>
      </c>
      <c r="V31" s="26" t="s">
        <v>331</v>
      </c>
      <c r="W31" s="200" t="s">
        <v>260</v>
      </c>
      <c r="X31" s="17" t="s">
        <v>279</v>
      </c>
      <c r="Z31">
        <v>5</v>
      </c>
      <c r="AA31" s="416"/>
      <c r="AB31" s="96">
        <v>5</v>
      </c>
      <c r="AC31" s="102"/>
      <c r="AD31" s="41">
        <f t="shared" si="4"/>
        <v>0</v>
      </c>
      <c r="AE31" s="70">
        <f t="shared" si="5"/>
        <v>0</v>
      </c>
      <c r="AF31" s="70">
        <f t="shared" si="6"/>
        <v>0</v>
      </c>
      <c r="AG31" s="70">
        <f t="shared" si="7"/>
        <v>0</v>
      </c>
      <c r="AH31" s="109">
        <f t="shared" si="8"/>
        <v>0</v>
      </c>
      <c r="AI31" s="120">
        <f t="shared" si="9"/>
        <v>0</v>
      </c>
      <c r="AJ31" s="121">
        <f t="shared" si="10"/>
        <v>0</v>
      </c>
      <c r="AK31" s="121">
        <f t="shared" si="11"/>
        <v>0</v>
      </c>
      <c r="AL31" s="121">
        <f t="shared" si="12"/>
        <v>0</v>
      </c>
      <c r="AM31" s="122">
        <f t="shared" si="13"/>
        <v>0</v>
      </c>
      <c r="AN31" s="41">
        <f t="shared" si="14"/>
        <v>0</v>
      </c>
      <c r="AO31" s="70">
        <f t="shared" si="15"/>
        <v>0</v>
      </c>
      <c r="AP31" s="70">
        <f t="shared" si="16"/>
        <v>0</v>
      </c>
      <c r="AQ31" s="70">
        <f t="shared" si="17"/>
        <v>0</v>
      </c>
      <c r="AR31" s="70">
        <f t="shared" si="18"/>
        <v>0</v>
      </c>
      <c r="AT31" s="202" t="s">
        <v>264</v>
      </c>
      <c r="AU31" s="202">
        <f t="shared" si="81"/>
        <v>0</v>
      </c>
      <c r="AV31" s="203">
        <f t="shared" si="82"/>
        <v>0</v>
      </c>
    </row>
    <row r="32" spans="2:48" s="10" customFormat="1" ht="13.5" customHeight="1" thickBot="1" x14ac:dyDescent="0.3">
      <c r="B32" s="17">
        <v>30</v>
      </c>
      <c r="C32" s="10" t="s">
        <v>137</v>
      </c>
      <c r="D32" s="10" t="s">
        <v>229</v>
      </c>
      <c r="E32" s="72" t="s">
        <v>250</v>
      </c>
      <c r="F32" s="18">
        <v>45924</v>
      </c>
      <c r="G32" s="10">
        <v>9</v>
      </c>
      <c r="H32" s="10">
        <v>4</v>
      </c>
      <c r="I32" s="10">
        <v>186.24</v>
      </c>
      <c r="J32" s="11"/>
      <c r="K32" s="11">
        <f t="shared" si="21"/>
        <v>0</v>
      </c>
      <c r="L32" s="37">
        <f t="shared" si="22"/>
        <v>0</v>
      </c>
      <c r="M32" s="11" t="s">
        <v>142</v>
      </c>
      <c r="N32" s="10" t="s">
        <v>189</v>
      </c>
      <c r="O32" s="21" t="s">
        <v>1534</v>
      </c>
      <c r="P32" s="21">
        <v>30</v>
      </c>
      <c r="Q32" s="21" t="s">
        <v>2151</v>
      </c>
      <c r="R32" s="23" t="s">
        <v>1535</v>
      </c>
      <c r="S32" s="50" t="s">
        <v>207</v>
      </c>
      <c r="T32" s="48" t="s">
        <v>1536</v>
      </c>
      <c r="U32" s="81" t="s">
        <v>197</v>
      </c>
      <c r="V32" s="26" t="s">
        <v>1537</v>
      </c>
      <c r="W32" s="200" t="s">
        <v>350</v>
      </c>
      <c r="X32" s="17" t="s">
        <v>279</v>
      </c>
      <c r="Z32">
        <v>5</v>
      </c>
      <c r="AA32" s="417"/>
      <c r="AB32" s="97" t="s">
        <v>3</v>
      </c>
      <c r="AC32" s="103"/>
      <c r="AD32" s="99">
        <f>SUM(AD27:AD31)</f>
        <v>693.11999999999989</v>
      </c>
      <c r="AE32" s="99">
        <f t="shared" ref="AE32" si="83">SUM(AE27:AE31)</f>
        <v>59.52</v>
      </c>
      <c r="AF32" s="99">
        <f t="shared" ref="AF32" si="84">SUM(AF27:AF31)</f>
        <v>633.59999999999991</v>
      </c>
      <c r="AG32" s="99">
        <f t="shared" ref="AG32" si="85">SUM(AG27:AG31)</f>
        <v>0</v>
      </c>
      <c r="AH32" s="110">
        <f t="shared" ref="AH32" si="86">SUM(AH27:AH31)</f>
        <v>0</v>
      </c>
      <c r="AI32" s="123">
        <f t="shared" ref="AI32" si="87">SUM(AI27:AI31)</f>
        <v>4</v>
      </c>
      <c r="AJ32" s="124">
        <f t="shared" ref="AJ32" si="88">SUM(AJ27:AJ31)</f>
        <v>1</v>
      </c>
      <c r="AK32" s="124">
        <f t="shared" ref="AK32" si="89">SUM(AK27:AK31)</f>
        <v>3</v>
      </c>
      <c r="AL32" s="124">
        <f t="shared" ref="AL32" si="90">SUM(AL27:AL31)</f>
        <v>0</v>
      </c>
      <c r="AM32" s="125">
        <f t="shared" ref="AM32" si="91">SUM(AM27:AM31)</f>
        <v>0</v>
      </c>
      <c r="AN32" s="99">
        <f t="shared" ref="AN32" si="92">SUM(AN27:AN31)</f>
        <v>0</v>
      </c>
      <c r="AO32" s="99">
        <f t="shared" ref="AO32" si="93">SUM(AO27:AO31)</f>
        <v>0</v>
      </c>
      <c r="AP32" s="99">
        <f t="shared" ref="AP32" si="94">SUM(AP27:AP31)</f>
        <v>0</v>
      </c>
      <c r="AQ32" s="99">
        <f t="shared" ref="AQ32" si="95">SUM(AQ27:AQ31)</f>
        <v>0</v>
      </c>
      <c r="AR32" s="99">
        <f t="shared" ref="AR32" si="96">SUM(AR27:AR31)</f>
        <v>0</v>
      </c>
      <c r="AT32" s="202" t="s">
        <v>265</v>
      </c>
      <c r="AU32" s="202">
        <f t="shared" si="81"/>
        <v>1</v>
      </c>
      <c r="AV32" s="203">
        <f t="shared" si="82"/>
        <v>2.8571428571428571E-2</v>
      </c>
    </row>
    <row r="33" spans="2:48" s="10" customFormat="1" ht="13.5" customHeight="1" x14ac:dyDescent="0.25">
      <c r="B33" s="17">
        <v>31</v>
      </c>
      <c r="C33" s="10" t="s">
        <v>137</v>
      </c>
      <c r="D33" s="10" t="s">
        <v>229</v>
      </c>
      <c r="E33" s="72" t="s">
        <v>288</v>
      </c>
      <c r="F33" s="18">
        <v>45931</v>
      </c>
      <c r="G33" s="10">
        <v>10</v>
      </c>
      <c r="H33" s="10">
        <v>1</v>
      </c>
      <c r="I33" s="10">
        <v>136.96</v>
      </c>
      <c r="J33" s="11"/>
      <c r="K33" s="11">
        <f t="shared" si="21"/>
        <v>0</v>
      </c>
      <c r="L33" s="37">
        <f t="shared" si="22"/>
        <v>0</v>
      </c>
      <c r="M33" s="11" t="s">
        <v>142</v>
      </c>
      <c r="N33" s="10" t="s">
        <v>189</v>
      </c>
      <c r="O33" s="21" t="s">
        <v>1557</v>
      </c>
      <c r="P33" s="21">
        <v>31</v>
      </c>
      <c r="Q33" s="21" t="s">
        <v>2149</v>
      </c>
      <c r="R33" s="23" t="s">
        <v>1558</v>
      </c>
      <c r="S33" s="50" t="s">
        <v>207</v>
      </c>
      <c r="T33" s="48" t="s">
        <v>1559</v>
      </c>
      <c r="U33" s="81" t="s">
        <v>150</v>
      </c>
      <c r="V33" s="26" t="s">
        <v>1537</v>
      </c>
      <c r="W33" s="200" t="s">
        <v>350</v>
      </c>
      <c r="X33" s="17" t="s">
        <v>279</v>
      </c>
      <c r="Z33">
        <v>6</v>
      </c>
      <c r="AA33" s="415">
        <v>6</v>
      </c>
      <c r="AB33" s="94">
        <v>1</v>
      </c>
      <c r="AC33" s="100" t="s">
        <v>114</v>
      </c>
      <c r="AD33" s="41">
        <f t="shared" si="4"/>
        <v>0</v>
      </c>
      <c r="AE33" s="70">
        <f t="shared" si="5"/>
        <v>0</v>
      </c>
      <c r="AF33" s="70">
        <f t="shared" si="6"/>
        <v>0</v>
      </c>
      <c r="AG33" s="70">
        <f t="shared" si="7"/>
        <v>0</v>
      </c>
      <c r="AH33" s="109">
        <f t="shared" si="8"/>
        <v>0</v>
      </c>
      <c r="AI33" s="120">
        <f t="shared" si="9"/>
        <v>0</v>
      </c>
      <c r="AJ33" s="121">
        <f t="shared" si="10"/>
        <v>0</v>
      </c>
      <c r="AK33" s="121">
        <f t="shared" si="11"/>
        <v>0</v>
      </c>
      <c r="AL33" s="121">
        <f t="shared" si="12"/>
        <v>0</v>
      </c>
      <c r="AM33" s="122">
        <f t="shared" si="13"/>
        <v>0</v>
      </c>
      <c r="AN33" s="41">
        <f t="shared" si="14"/>
        <v>0</v>
      </c>
      <c r="AO33" s="70">
        <f t="shared" si="15"/>
        <v>0</v>
      </c>
      <c r="AP33" s="70">
        <f t="shared" si="16"/>
        <v>0</v>
      </c>
      <c r="AQ33" s="70">
        <f t="shared" si="17"/>
        <v>0</v>
      </c>
      <c r="AR33" s="70">
        <f t="shared" si="18"/>
        <v>0</v>
      </c>
      <c r="AT33" s="201" t="s">
        <v>266</v>
      </c>
      <c r="AU33" s="201">
        <f>SUM(AU25:AU32)</f>
        <v>35</v>
      </c>
      <c r="AV33" s="204">
        <f t="shared" si="82"/>
        <v>1</v>
      </c>
    </row>
    <row r="34" spans="2:48" s="10" customFormat="1" ht="13.5" customHeight="1" x14ac:dyDescent="0.25">
      <c r="B34" s="17">
        <v>32</v>
      </c>
      <c r="C34" s="10" t="s">
        <v>136</v>
      </c>
      <c r="D34" s="10" t="s">
        <v>140</v>
      </c>
      <c r="E34" s="72" t="s">
        <v>250</v>
      </c>
      <c r="F34" s="18">
        <v>45944</v>
      </c>
      <c r="G34" s="10">
        <v>10</v>
      </c>
      <c r="H34" s="10">
        <v>3</v>
      </c>
      <c r="I34" s="10">
        <v>56.32</v>
      </c>
      <c r="J34" s="11"/>
      <c r="K34" s="11">
        <f t="shared" si="21"/>
        <v>0</v>
      </c>
      <c r="L34" s="37">
        <f t="shared" si="22"/>
        <v>0</v>
      </c>
      <c r="M34" s="11" t="s">
        <v>327</v>
      </c>
      <c r="N34" s="10" t="s">
        <v>319</v>
      </c>
      <c r="O34" s="21" t="s">
        <v>1832</v>
      </c>
      <c r="P34" s="21">
        <v>32</v>
      </c>
      <c r="Q34" s="21" t="s">
        <v>2147</v>
      </c>
      <c r="R34" s="23" t="s">
        <v>1686</v>
      </c>
      <c r="S34" s="50" t="s">
        <v>81</v>
      </c>
      <c r="T34" s="48" t="s">
        <v>1687</v>
      </c>
      <c r="U34" s="81" t="s">
        <v>197</v>
      </c>
      <c r="V34" s="26" t="s">
        <v>331</v>
      </c>
      <c r="W34" s="200" t="s">
        <v>262</v>
      </c>
      <c r="X34" s="17" t="s">
        <v>272</v>
      </c>
      <c r="Z34">
        <v>6</v>
      </c>
      <c r="AA34" s="416"/>
      <c r="AB34" s="95">
        <v>2</v>
      </c>
      <c r="AC34" s="102" t="s">
        <v>115</v>
      </c>
      <c r="AD34" s="41">
        <f t="shared" si="4"/>
        <v>0</v>
      </c>
      <c r="AE34" s="70">
        <f t="shared" si="5"/>
        <v>0</v>
      </c>
      <c r="AF34" s="70">
        <f t="shared" si="6"/>
        <v>0</v>
      </c>
      <c r="AG34" s="70">
        <f t="shared" si="7"/>
        <v>0</v>
      </c>
      <c r="AH34" s="109">
        <f t="shared" si="8"/>
        <v>0</v>
      </c>
      <c r="AI34" s="120">
        <f t="shared" si="9"/>
        <v>0</v>
      </c>
      <c r="AJ34" s="121">
        <f t="shared" si="10"/>
        <v>0</v>
      </c>
      <c r="AK34" s="121">
        <f t="shared" si="11"/>
        <v>0</v>
      </c>
      <c r="AL34" s="121">
        <f t="shared" si="12"/>
        <v>0</v>
      </c>
      <c r="AM34" s="122">
        <f t="shared" si="13"/>
        <v>0</v>
      </c>
      <c r="AN34" s="41">
        <f t="shared" si="14"/>
        <v>0</v>
      </c>
      <c r="AO34" s="70">
        <f t="shared" si="15"/>
        <v>0</v>
      </c>
      <c r="AP34" s="70">
        <f t="shared" si="16"/>
        <v>0</v>
      </c>
      <c r="AQ34" s="70">
        <f t="shared" si="17"/>
        <v>0</v>
      </c>
      <c r="AR34" s="70">
        <f t="shared" si="18"/>
        <v>0</v>
      </c>
    </row>
    <row r="35" spans="2:48" s="10" customFormat="1" ht="13.5" customHeight="1" x14ac:dyDescent="0.25">
      <c r="B35" s="17">
        <v>33</v>
      </c>
      <c r="C35" s="10" t="s">
        <v>137</v>
      </c>
      <c r="D35" s="10" t="s">
        <v>140</v>
      </c>
      <c r="E35" s="72" t="s">
        <v>289</v>
      </c>
      <c r="F35" s="18">
        <v>45980</v>
      </c>
      <c r="G35" s="10">
        <v>11</v>
      </c>
      <c r="H35" s="10">
        <v>3</v>
      </c>
      <c r="I35" s="10">
        <v>121.6</v>
      </c>
      <c r="J35" s="11"/>
      <c r="K35" s="11"/>
      <c r="L35" s="37"/>
      <c r="M35" s="11" t="s">
        <v>142</v>
      </c>
      <c r="N35" s="10" t="s">
        <v>189</v>
      </c>
      <c r="O35" s="21" t="s">
        <v>2065</v>
      </c>
      <c r="P35" s="21">
        <v>33</v>
      </c>
      <c r="Q35" s="21" t="s">
        <v>2136</v>
      </c>
      <c r="R35" s="23" t="s">
        <v>2066</v>
      </c>
      <c r="S35" s="50" t="s">
        <v>81</v>
      </c>
      <c r="T35" s="48" t="s">
        <v>2067</v>
      </c>
      <c r="U35" s="81" t="s">
        <v>150</v>
      </c>
      <c r="V35" s="26" t="s">
        <v>359</v>
      </c>
      <c r="W35" s="200" t="s">
        <v>259</v>
      </c>
      <c r="X35" s="17" t="s">
        <v>2289</v>
      </c>
      <c r="Z35">
        <v>6</v>
      </c>
      <c r="AA35" s="416"/>
      <c r="AB35" s="95">
        <v>3</v>
      </c>
      <c r="AC35" s="102" t="s">
        <v>116</v>
      </c>
      <c r="AD35" s="41">
        <f t="shared" si="4"/>
        <v>1191.04</v>
      </c>
      <c r="AE35" s="70">
        <f t="shared" si="5"/>
        <v>1191.04</v>
      </c>
      <c r="AF35" s="70">
        <f t="shared" si="6"/>
        <v>0</v>
      </c>
      <c r="AG35" s="70">
        <f t="shared" si="7"/>
        <v>0</v>
      </c>
      <c r="AH35" s="109">
        <f t="shared" si="8"/>
        <v>0</v>
      </c>
      <c r="AI35" s="120">
        <f t="shared" si="9"/>
        <v>4</v>
      </c>
      <c r="AJ35" s="121">
        <f t="shared" si="10"/>
        <v>4</v>
      </c>
      <c r="AK35" s="121">
        <f t="shared" si="11"/>
        <v>0</v>
      </c>
      <c r="AL35" s="121">
        <f t="shared" si="12"/>
        <v>0</v>
      </c>
      <c r="AM35" s="122">
        <f t="shared" si="13"/>
        <v>0</v>
      </c>
      <c r="AN35" s="41">
        <f t="shared" si="14"/>
        <v>0</v>
      </c>
      <c r="AO35" s="70">
        <f t="shared" si="15"/>
        <v>0</v>
      </c>
      <c r="AP35" s="70">
        <f t="shared" si="16"/>
        <v>0</v>
      </c>
      <c r="AQ35" s="70">
        <f t="shared" si="17"/>
        <v>0</v>
      </c>
      <c r="AR35" s="70">
        <f t="shared" si="18"/>
        <v>0</v>
      </c>
    </row>
    <row r="36" spans="2:48" s="10" customFormat="1" ht="13.5" customHeight="1" x14ac:dyDescent="0.25">
      <c r="B36" s="17">
        <v>34</v>
      </c>
      <c r="C36" s="10" t="s">
        <v>137</v>
      </c>
      <c r="D36" s="10" t="s">
        <v>140</v>
      </c>
      <c r="E36" s="72" t="s">
        <v>290</v>
      </c>
      <c r="F36" s="18">
        <v>45980</v>
      </c>
      <c r="G36" s="10">
        <v>11</v>
      </c>
      <c r="H36" s="10">
        <v>3</v>
      </c>
      <c r="I36" s="10">
        <v>281.60000000000002</v>
      </c>
      <c r="J36" s="11"/>
      <c r="K36" s="11"/>
      <c r="L36" s="37"/>
      <c r="M36" s="11" t="s">
        <v>142</v>
      </c>
      <c r="N36" s="10" t="s">
        <v>189</v>
      </c>
      <c r="O36" s="21" t="s">
        <v>2081</v>
      </c>
      <c r="P36" s="21">
        <v>34</v>
      </c>
      <c r="Q36" s="21" t="s">
        <v>2149</v>
      </c>
      <c r="R36" s="23" t="s">
        <v>2082</v>
      </c>
      <c r="S36" s="50" t="s">
        <v>81</v>
      </c>
      <c r="T36" s="48" t="s">
        <v>2083</v>
      </c>
      <c r="U36" s="81" t="s">
        <v>197</v>
      </c>
      <c r="V36" s="26" t="s">
        <v>359</v>
      </c>
      <c r="W36" s="200" t="s">
        <v>259</v>
      </c>
      <c r="X36" s="17" t="s">
        <v>2289</v>
      </c>
      <c r="Z36">
        <v>6</v>
      </c>
      <c r="AA36" s="416"/>
      <c r="AB36" s="95">
        <v>4</v>
      </c>
      <c r="AC36" s="102" t="s">
        <v>117</v>
      </c>
      <c r="AD36" s="41">
        <f t="shared" si="4"/>
        <v>2384</v>
      </c>
      <c r="AE36" s="70">
        <f t="shared" si="5"/>
        <v>1658.2399999999998</v>
      </c>
      <c r="AF36" s="70">
        <f t="shared" si="6"/>
        <v>725.76</v>
      </c>
      <c r="AG36" s="70">
        <f t="shared" si="7"/>
        <v>0</v>
      </c>
      <c r="AH36" s="109">
        <f t="shared" si="8"/>
        <v>0</v>
      </c>
      <c r="AI36" s="120">
        <f t="shared" si="9"/>
        <v>6</v>
      </c>
      <c r="AJ36" s="121">
        <f t="shared" si="10"/>
        <v>3</v>
      </c>
      <c r="AK36" s="121">
        <f t="shared" si="11"/>
        <v>3</v>
      </c>
      <c r="AL36" s="121">
        <f t="shared" si="12"/>
        <v>0</v>
      </c>
      <c r="AM36" s="122">
        <f t="shared" si="13"/>
        <v>0</v>
      </c>
      <c r="AN36" s="41">
        <f t="shared" si="14"/>
        <v>0</v>
      </c>
      <c r="AO36" s="70">
        <f t="shared" si="15"/>
        <v>0</v>
      </c>
      <c r="AP36" s="70">
        <f t="shared" si="16"/>
        <v>0</v>
      </c>
      <c r="AQ36" s="70">
        <f t="shared" si="17"/>
        <v>0</v>
      </c>
      <c r="AR36" s="70">
        <f t="shared" si="18"/>
        <v>0</v>
      </c>
    </row>
    <row r="37" spans="2:48" s="10" customFormat="1" ht="13.5" customHeight="1" x14ac:dyDescent="0.25">
      <c r="B37" s="17">
        <v>35</v>
      </c>
      <c r="C37" s="10" t="s">
        <v>137</v>
      </c>
      <c r="D37" s="10" t="s">
        <v>140</v>
      </c>
      <c r="E37" s="72" t="s">
        <v>287</v>
      </c>
      <c r="F37" s="18">
        <v>46008</v>
      </c>
      <c r="G37" s="10">
        <v>12</v>
      </c>
      <c r="H37" s="10">
        <v>3</v>
      </c>
      <c r="I37" s="10">
        <v>177.375</v>
      </c>
      <c r="J37" s="11"/>
      <c r="K37" s="11">
        <f t="shared" si="21"/>
        <v>0</v>
      </c>
      <c r="L37" s="37">
        <f t="shared" si="22"/>
        <v>0</v>
      </c>
      <c r="M37" s="11" t="s">
        <v>2282</v>
      </c>
      <c r="N37" s="10" t="s">
        <v>2282</v>
      </c>
      <c r="O37" s="21" t="s">
        <v>2283</v>
      </c>
      <c r="P37" s="21">
        <v>35</v>
      </c>
      <c r="Q37" s="21" t="s">
        <v>2284</v>
      </c>
      <c r="R37" s="23" t="s">
        <v>2285</v>
      </c>
      <c r="S37" s="50" t="s">
        <v>81</v>
      </c>
      <c r="T37" s="48" t="s">
        <v>2286</v>
      </c>
      <c r="U37" s="81" t="s">
        <v>2287</v>
      </c>
      <c r="V37" s="32" t="s">
        <v>2288</v>
      </c>
      <c r="W37" s="200" t="s">
        <v>2290</v>
      </c>
      <c r="X37" s="17" t="s">
        <v>2289</v>
      </c>
      <c r="Z37">
        <v>6</v>
      </c>
      <c r="AA37" s="416"/>
      <c r="AB37" s="96">
        <v>5</v>
      </c>
      <c r="AC37" s="102"/>
      <c r="AD37" s="41">
        <f t="shared" si="4"/>
        <v>0</v>
      </c>
      <c r="AE37" s="70">
        <f t="shared" si="5"/>
        <v>0</v>
      </c>
      <c r="AF37" s="70">
        <f t="shared" si="6"/>
        <v>0</v>
      </c>
      <c r="AG37" s="70">
        <f t="shared" si="7"/>
        <v>0</v>
      </c>
      <c r="AH37" s="109">
        <f t="shared" si="8"/>
        <v>0</v>
      </c>
      <c r="AI37" s="120">
        <f t="shared" si="9"/>
        <v>0</v>
      </c>
      <c r="AJ37" s="121">
        <f t="shared" si="10"/>
        <v>0</v>
      </c>
      <c r="AK37" s="121">
        <f t="shared" si="11"/>
        <v>0</v>
      </c>
      <c r="AL37" s="121">
        <f t="shared" si="12"/>
        <v>0</v>
      </c>
      <c r="AM37" s="122">
        <f t="shared" si="13"/>
        <v>0</v>
      </c>
      <c r="AN37" s="41">
        <f t="shared" si="14"/>
        <v>0</v>
      </c>
      <c r="AO37" s="70">
        <f t="shared" si="15"/>
        <v>0</v>
      </c>
      <c r="AP37" s="70">
        <f t="shared" si="16"/>
        <v>0</v>
      </c>
      <c r="AQ37" s="70">
        <f t="shared" si="17"/>
        <v>0</v>
      </c>
      <c r="AR37" s="70">
        <f t="shared" si="18"/>
        <v>0</v>
      </c>
    </row>
    <row r="38" spans="2:48" s="10" customFormat="1" ht="13.5" customHeight="1" thickBot="1" x14ac:dyDescent="0.3">
      <c r="B38" s="17">
        <v>36</v>
      </c>
      <c r="E38" s="72"/>
      <c r="F38" s="18"/>
      <c r="J38" s="11"/>
      <c r="K38" s="11">
        <f t="shared" si="21"/>
        <v>0</v>
      </c>
      <c r="L38" s="37">
        <f t="shared" si="22"/>
        <v>0</v>
      </c>
      <c r="M38" s="11"/>
      <c r="O38" s="21"/>
      <c r="P38" s="21"/>
      <c r="Q38" s="21"/>
      <c r="R38" s="23"/>
      <c r="S38" s="50"/>
      <c r="T38" s="48"/>
      <c r="U38" s="81"/>
      <c r="V38" s="26"/>
      <c r="W38" s="200"/>
      <c r="X38" s="17"/>
      <c r="Z38">
        <v>6</v>
      </c>
      <c r="AA38" s="417"/>
      <c r="AB38" s="97" t="s">
        <v>3</v>
      </c>
      <c r="AC38" s="103"/>
      <c r="AD38" s="99">
        <f>SUM(AD33:AD37)</f>
        <v>3575.04</v>
      </c>
      <c r="AE38" s="99">
        <f t="shared" ref="AE38" si="97">SUM(AE33:AE37)</f>
        <v>2849.2799999999997</v>
      </c>
      <c r="AF38" s="99">
        <f t="shared" ref="AF38" si="98">SUM(AF33:AF37)</f>
        <v>725.76</v>
      </c>
      <c r="AG38" s="99">
        <f t="shared" ref="AG38" si="99">SUM(AG33:AG37)</f>
        <v>0</v>
      </c>
      <c r="AH38" s="110">
        <f t="shared" ref="AH38" si="100">SUM(AH33:AH37)</f>
        <v>0</v>
      </c>
      <c r="AI38" s="123">
        <f t="shared" ref="AI38" si="101">SUM(AI33:AI37)</f>
        <v>10</v>
      </c>
      <c r="AJ38" s="124">
        <f t="shared" ref="AJ38" si="102">SUM(AJ33:AJ37)</f>
        <v>7</v>
      </c>
      <c r="AK38" s="124">
        <f t="shared" ref="AK38" si="103">SUM(AK33:AK37)</f>
        <v>3</v>
      </c>
      <c r="AL38" s="124">
        <f t="shared" ref="AL38" si="104">SUM(AL33:AL37)</f>
        <v>0</v>
      </c>
      <c r="AM38" s="125">
        <f t="shared" ref="AM38" si="105">SUM(AM33:AM37)</f>
        <v>0</v>
      </c>
      <c r="AN38" s="99">
        <f t="shared" ref="AN38" si="106">SUM(AN33:AN37)</f>
        <v>0</v>
      </c>
      <c r="AO38" s="99">
        <f t="shared" ref="AO38" si="107">SUM(AO33:AO37)</f>
        <v>0</v>
      </c>
      <c r="AP38" s="99">
        <f t="shared" ref="AP38" si="108">SUM(AP33:AP37)</f>
        <v>0</v>
      </c>
      <c r="AQ38" s="99">
        <f t="shared" ref="AQ38" si="109">SUM(AQ33:AQ37)</f>
        <v>0</v>
      </c>
      <c r="AR38" s="99">
        <f t="shared" ref="AR38" si="110">SUM(AR33:AR37)</f>
        <v>0</v>
      </c>
    </row>
    <row r="39" spans="2:48" s="10" customFormat="1" ht="13.5" customHeight="1" x14ac:dyDescent="0.25">
      <c r="B39" s="17">
        <v>37</v>
      </c>
      <c r="E39" s="72"/>
      <c r="F39" s="18"/>
      <c r="J39" s="11"/>
      <c r="K39" s="11">
        <f t="shared" si="21"/>
        <v>0</v>
      </c>
      <c r="L39" s="37">
        <f t="shared" si="22"/>
        <v>0</v>
      </c>
      <c r="M39" s="11"/>
      <c r="O39" s="21"/>
      <c r="P39" s="21"/>
      <c r="Q39" s="21"/>
      <c r="R39" s="23"/>
      <c r="S39" s="50"/>
      <c r="T39" s="48"/>
      <c r="U39" s="81"/>
      <c r="V39" s="26"/>
      <c r="W39" s="200"/>
      <c r="X39" s="17"/>
      <c r="Z39">
        <v>7</v>
      </c>
      <c r="AA39" s="415">
        <v>7</v>
      </c>
      <c r="AB39" s="94">
        <v>1</v>
      </c>
      <c r="AC39" s="100" t="s">
        <v>118</v>
      </c>
      <c r="AD39" s="41">
        <f t="shared" si="4"/>
        <v>716.8</v>
      </c>
      <c r="AE39" s="70">
        <f t="shared" si="5"/>
        <v>132.47999999999999</v>
      </c>
      <c r="AF39" s="70">
        <f t="shared" si="6"/>
        <v>584.31999999999994</v>
      </c>
      <c r="AG39" s="70">
        <f t="shared" si="7"/>
        <v>0</v>
      </c>
      <c r="AH39" s="109">
        <f t="shared" si="8"/>
        <v>0</v>
      </c>
      <c r="AI39" s="120">
        <f t="shared" si="9"/>
        <v>3</v>
      </c>
      <c r="AJ39" s="121">
        <f t="shared" si="10"/>
        <v>1</v>
      </c>
      <c r="AK39" s="121">
        <f t="shared" si="11"/>
        <v>2</v>
      </c>
      <c r="AL39" s="121">
        <f t="shared" si="12"/>
        <v>0</v>
      </c>
      <c r="AM39" s="122">
        <f t="shared" si="13"/>
        <v>0</v>
      </c>
      <c r="AN39" s="41">
        <f t="shared" si="14"/>
        <v>0</v>
      </c>
      <c r="AO39" s="70">
        <f t="shared" si="15"/>
        <v>0</v>
      </c>
      <c r="AP39" s="70">
        <f t="shared" si="16"/>
        <v>0</v>
      </c>
      <c r="AQ39" s="70">
        <f t="shared" si="17"/>
        <v>0</v>
      </c>
      <c r="AR39" s="70">
        <f t="shared" si="18"/>
        <v>0</v>
      </c>
    </row>
    <row r="40" spans="2:48" s="10" customFormat="1" ht="13.5" customHeight="1" x14ac:dyDescent="0.25">
      <c r="B40" s="17">
        <v>38</v>
      </c>
      <c r="E40" s="72"/>
      <c r="F40" s="18"/>
      <c r="J40" s="11"/>
      <c r="K40" s="11">
        <f t="shared" si="21"/>
        <v>0</v>
      </c>
      <c r="L40" s="37">
        <f t="shared" si="22"/>
        <v>0</v>
      </c>
      <c r="M40" s="11"/>
      <c r="O40" s="21"/>
      <c r="P40" s="21"/>
      <c r="Q40" s="21"/>
      <c r="R40" s="23"/>
      <c r="S40" s="50"/>
      <c r="T40" s="48"/>
      <c r="U40" s="81"/>
      <c r="V40" s="26"/>
      <c r="W40" s="200"/>
      <c r="X40" s="17"/>
      <c r="Z40">
        <v>7</v>
      </c>
      <c r="AA40" s="416"/>
      <c r="AB40" s="95">
        <v>2</v>
      </c>
      <c r="AC40" s="102" t="s">
        <v>68</v>
      </c>
      <c r="AD40" s="41">
        <f t="shared" si="4"/>
        <v>549.12</v>
      </c>
      <c r="AE40" s="70">
        <f t="shared" si="5"/>
        <v>410.88</v>
      </c>
      <c r="AF40" s="70">
        <f t="shared" si="6"/>
        <v>138.24</v>
      </c>
      <c r="AG40" s="70">
        <f t="shared" si="7"/>
        <v>0</v>
      </c>
      <c r="AH40" s="109">
        <f t="shared" si="8"/>
        <v>0</v>
      </c>
      <c r="AI40" s="120">
        <f t="shared" si="9"/>
        <v>3</v>
      </c>
      <c r="AJ40" s="121">
        <f t="shared" si="10"/>
        <v>2</v>
      </c>
      <c r="AK40" s="121">
        <f t="shared" si="11"/>
        <v>1</v>
      </c>
      <c r="AL40" s="121">
        <f t="shared" si="12"/>
        <v>0</v>
      </c>
      <c r="AM40" s="122">
        <f t="shared" si="13"/>
        <v>0</v>
      </c>
      <c r="AN40" s="41">
        <f t="shared" si="14"/>
        <v>0</v>
      </c>
      <c r="AO40" s="70">
        <f t="shared" si="15"/>
        <v>0</v>
      </c>
      <c r="AP40" s="70">
        <f t="shared" si="16"/>
        <v>0</v>
      </c>
      <c r="AQ40" s="70">
        <f t="shared" si="17"/>
        <v>0</v>
      </c>
      <c r="AR40" s="70">
        <f t="shared" si="18"/>
        <v>0</v>
      </c>
    </row>
    <row r="41" spans="2:48" s="10" customFormat="1" ht="13.5" customHeight="1" x14ac:dyDescent="0.25">
      <c r="B41" s="17">
        <v>39</v>
      </c>
      <c r="E41" s="72"/>
      <c r="F41" s="18"/>
      <c r="J41" s="11"/>
      <c r="K41" s="11">
        <f t="shared" si="21"/>
        <v>0</v>
      </c>
      <c r="L41" s="37">
        <f t="shared" si="22"/>
        <v>0</v>
      </c>
      <c r="M41" s="11"/>
      <c r="O41" s="21"/>
      <c r="P41" s="21"/>
      <c r="Q41" s="21"/>
      <c r="R41" s="23"/>
      <c r="S41" s="50"/>
      <c r="T41" s="48"/>
      <c r="U41" s="81"/>
      <c r="V41" s="26"/>
      <c r="W41" s="200"/>
      <c r="X41" s="17"/>
      <c r="Z41">
        <v>7</v>
      </c>
      <c r="AA41" s="416"/>
      <c r="AB41" s="95">
        <v>3</v>
      </c>
      <c r="AC41" s="102" t="s">
        <v>69</v>
      </c>
      <c r="AD41" s="41">
        <f t="shared" si="4"/>
        <v>444.8</v>
      </c>
      <c r="AE41" s="70">
        <f t="shared" si="5"/>
        <v>197.12</v>
      </c>
      <c r="AF41" s="70">
        <f t="shared" si="6"/>
        <v>247.68</v>
      </c>
      <c r="AG41" s="70">
        <f t="shared" si="7"/>
        <v>0</v>
      </c>
      <c r="AH41" s="109">
        <f t="shared" si="8"/>
        <v>0</v>
      </c>
      <c r="AI41" s="120">
        <f t="shared" si="9"/>
        <v>3</v>
      </c>
      <c r="AJ41" s="121">
        <f t="shared" si="10"/>
        <v>1</v>
      </c>
      <c r="AK41" s="121">
        <f t="shared" si="11"/>
        <v>2</v>
      </c>
      <c r="AL41" s="121">
        <f t="shared" si="12"/>
        <v>0</v>
      </c>
      <c r="AM41" s="122">
        <f t="shared" si="13"/>
        <v>0</v>
      </c>
      <c r="AN41" s="41">
        <f t="shared" si="14"/>
        <v>0</v>
      </c>
      <c r="AO41" s="70">
        <f t="shared" si="15"/>
        <v>0</v>
      </c>
      <c r="AP41" s="70">
        <f t="shared" si="16"/>
        <v>0</v>
      </c>
      <c r="AQ41" s="70">
        <f t="shared" si="17"/>
        <v>0</v>
      </c>
      <c r="AR41" s="70">
        <f t="shared" si="18"/>
        <v>0</v>
      </c>
    </row>
    <row r="42" spans="2:48" s="10" customFormat="1" ht="13.5" customHeight="1" x14ac:dyDescent="0.25">
      <c r="B42" s="17">
        <v>40</v>
      </c>
      <c r="E42" s="72"/>
      <c r="F42" s="18"/>
      <c r="J42" s="11"/>
      <c r="K42" s="11">
        <f t="shared" si="21"/>
        <v>0</v>
      </c>
      <c r="L42" s="37">
        <f t="shared" si="22"/>
        <v>0</v>
      </c>
      <c r="M42" s="11"/>
      <c r="O42" s="21"/>
      <c r="P42" s="21"/>
      <c r="Q42" s="21"/>
      <c r="R42" s="23"/>
      <c r="S42" s="50"/>
      <c r="T42" s="48"/>
      <c r="U42" s="81"/>
      <c r="V42" s="26"/>
      <c r="W42" s="200"/>
      <c r="X42" s="17"/>
      <c r="Z42">
        <v>7</v>
      </c>
      <c r="AA42" s="416"/>
      <c r="AB42" s="95">
        <v>4</v>
      </c>
      <c r="AC42" s="102" t="s">
        <v>70</v>
      </c>
      <c r="AD42" s="41">
        <f t="shared" si="4"/>
        <v>0</v>
      </c>
      <c r="AE42" s="70">
        <f t="shared" si="5"/>
        <v>0</v>
      </c>
      <c r="AF42" s="70">
        <f t="shared" si="6"/>
        <v>0</v>
      </c>
      <c r="AG42" s="70">
        <f t="shared" si="7"/>
        <v>0</v>
      </c>
      <c r="AH42" s="109">
        <f t="shared" si="8"/>
        <v>0</v>
      </c>
      <c r="AI42" s="120">
        <f t="shared" si="9"/>
        <v>0</v>
      </c>
      <c r="AJ42" s="121">
        <f t="shared" si="10"/>
        <v>0</v>
      </c>
      <c r="AK42" s="121">
        <f t="shared" si="11"/>
        <v>0</v>
      </c>
      <c r="AL42" s="121">
        <f t="shared" si="12"/>
        <v>0</v>
      </c>
      <c r="AM42" s="122">
        <f t="shared" si="13"/>
        <v>0</v>
      </c>
      <c r="AN42" s="41">
        <f t="shared" si="14"/>
        <v>0</v>
      </c>
      <c r="AO42" s="70">
        <f t="shared" si="15"/>
        <v>0</v>
      </c>
      <c r="AP42" s="70">
        <f t="shared" si="16"/>
        <v>0</v>
      </c>
      <c r="AQ42" s="70">
        <f t="shared" si="17"/>
        <v>0</v>
      </c>
      <c r="AR42" s="70">
        <f t="shared" si="18"/>
        <v>0</v>
      </c>
    </row>
    <row r="43" spans="2:48" x14ac:dyDescent="0.25">
      <c r="B43" s="17">
        <v>41</v>
      </c>
      <c r="C43" s="10"/>
      <c r="D43" s="10"/>
      <c r="E43" s="72"/>
      <c r="F43" s="18"/>
      <c r="G43" s="10"/>
      <c r="H43" s="10"/>
      <c r="I43" s="10"/>
      <c r="J43" s="11"/>
      <c r="K43" s="11">
        <f t="shared" si="21"/>
        <v>0</v>
      </c>
      <c r="L43" s="37">
        <f t="shared" si="22"/>
        <v>0</v>
      </c>
      <c r="M43" s="11"/>
      <c r="N43" s="10"/>
      <c r="O43" s="21"/>
      <c r="P43" s="21"/>
      <c r="Q43" s="21"/>
      <c r="R43" s="23"/>
      <c r="S43" s="50"/>
      <c r="T43" s="48"/>
      <c r="U43" s="82"/>
      <c r="V43" s="32"/>
      <c r="W43" s="200"/>
      <c r="X43" s="17"/>
      <c r="Z43">
        <v>7</v>
      </c>
      <c r="AA43" s="416"/>
      <c r="AB43" s="96">
        <v>5</v>
      </c>
      <c r="AC43" s="105" t="s">
        <v>119</v>
      </c>
      <c r="AD43" s="41">
        <f t="shared" si="4"/>
        <v>0</v>
      </c>
      <c r="AE43" s="70">
        <f t="shared" si="5"/>
        <v>0</v>
      </c>
      <c r="AF43" s="70">
        <f t="shared" si="6"/>
        <v>0</v>
      </c>
      <c r="AG43" s="70">
        <f t="shared" si="7"/>
        <v>0</v>
      </c>
      <c r="AH43" s="109">
        <f t="shared" si="8"/>
        <v>0</v>
      </c>
      <c r="AI43" s="120">
        <f t="shared" si="9"/>
        <v>0</v>
      </c>
      <c r="AJ43" s="121">
        <f t="shared" si="10"/>
        <v>0</v>
      </c>
      <c r="AK43" s="121">
        <f t="shared" si="11"/>
        <v>0</v>
      </c>
      <c r="AL43" s="121">
        <f t="shared" si="12"/>
        <v>0</v>
      </c>
      <c r="AM43" s="122">
        <f t="shared" si="13"/>
        <v>0</v>
      </c>
      <c r="AN43" s="41">
        <f t="shared" si="14"/>
        <v>0</v>
      </c>
      <c r="AO43" s="70">
        <f t="shared" si="15"/>
        <v>0</v>
      </c>
      <c r="AP43" s="70">
        <f t="shared" si="16"/>
        <v>0</v>
      </c>
      <c r="AQ43" s="70">
        <f t="shared" si="17"/>
        <v>0</v>
      </c>
      <c r="AR43" s="70">
        <f t="shared" si="18"/>
        <v>0</v>
      </c>
    </row>
    <row r="44" spans="2:48" ht="14.25" thickBot="1" x14ac:dyDescent="0.3">
      <c r="B44" s="17">
        <v>42</v>
      </c>
      <c r="C44" s="10"/>
      <c r="D44" s="10"/>
      <c r="E44" s="72"/>
      <c r="F44" s="18"/>
      <c r="G44" s="10"/>
      <c r="H44" s="10"/>
      <c r="I44" s="10"/>
      <c r="J44" s="11"/>
      <c r="K44" s="11">
        <f t="shared" si="21"/>
        <v>0</v>
      </c>
      <c r="L44" s="37">
        <f t="shared" si="22"/>
        <v>0</v>
      </c>
      <c r="M44" s="11"/>
      <c r="N44" s="10"/>
      <c r="O44" s="21"/>
      <c r="P44" s="21"/>
      <c r="Q44" s="21"/>
      <c r="R44" s="23"/>
      <c r="S44" s="50"/>
      <c r="T44" s="48"/>
      <c r="U44" s="82"/>
      <c r="V44" s="32"/>
      <c r="W44" s="200"/>
      <c r="X44" s="17"/>
      <c r="Z44">
        <v>7</v>
      </c>
      <c r="AA44" s="417"/>
      <c r="AB44" s="97" t="s">
        <v>3</v>
      </c>
      <c r="AC44" s="106"/>
      <c r="AD44" s="99">
        <f>SUM(AD39:AD43)</f>
        <v>1710.72</v>
      </c>
      <c r="AE44" s="99">
        <f t="shared" ref="AE44" si="111">SUM(AE39:AE43)</f>
        <v>740.48</v>
      </c>
      <c r="AF44" s="99">
        <f t="shared" ref="AF44" si="112">SUM(AF39:AF43)</f>
        <v>970.24</v>
      </c>
      <c r="AG44" s="99">
        <f t="shared" ref="AG44" si="113">SUM(AG39:AG43)</f>
        <v>0</v>
      </c>
      <c r="AH44" s="110">
        <f t="shared" ref="AH44" si="114">SUM(AH39:AH43)</f>
        <v>0</v>
      </c>
      <c r="AI44" s="123">
        <f t="shared" ref="AI44" si="115">SUM(AI39:AI43)</f>
        <v>9</v>
      </c>
      <c r="AJ44" s="124">
        <f t="shared" ref="AJ44" si="116">SUM(AJ39:AJ43)</f>
        <v>4</v>
      </c>
      <c r="AK44" s="124">
        <f t="shared" ref="AK44" si="117">SUM(AK39:AK43)</f>
        <v>5</v>
      </c>
      <c r="AL44" s="124">
        <f t="shared" ref="AL44" si="118">SUM(AL39:AL43)</f>
        <v>0</v>
      </c>
      <c r="AM44" s="125">
        <f t="shared" ref="AM44" si="119">SUM(AM39:AM43)</f>
        <v>0</v>
      </c>
      <c r="AN44" s="99">
        <f t="shared" ref="AN44" si="120">SUM(AN39:AN43)</f>
        <v>0</v>
      </c>
      <c r="AO44" s="99">
        <f t="shared" ref="AO44" si="121">SUM(AO39:AO43)</f>
        <v>0</v>
      </c>
      <c r="AP44" s="99">
        <f t="shared" ref="AP44" si="122">SUM(AP39:AP43)</f>
        <v>0</v>
      </c>
      <c r="AQ44" s="99">
        <f t="shared" ref="AQ44" si="123">SUM(AQ39:AQ43)</f>
        <v>0</v>
      </c>
      <c r="AR44" s="99">
        <f t="shared" ref="AR44" si="124">SUM(AR39:AR43)</f>
        <v>0</v>
      </c>
    </row>
    <row r="45" spans="2:48" x14ac:dyDescent="0.25">
      <c r="B45" s="17">
        <v>43</v>
      </c>
      <c r="C45" s="10"/>
      <c r="D45" s="10"/>
      <c r="E45" s="72"/>
      <c r="F45" s="18"/>
      <c r="G45" s="10"/>
      <c r="H45" s="10"/>
      <c r="I45" s="10"/>
      <c r="J45" s="11"/>
      <c r="K45" s="11">
        <f t="shared" si="21"/>
        <v>0</v>
      </c>
      <c r="L45" s="37">
        <f t="shared" si="22"/>
        <v>0</v>
      </c>
      <c r="M45" s="11"/>
      <c r="N45" s="10"/>
      <c r="O45" s="21"/>
      <c r="P45" s="21"/>
      <c r="Q45" s="21"/>
      <c r="R45" s="23"/>
      <c r="S45" s="50"/>
      <c r="T45" s="48"/>
      <c r="U45" s="82"/>
      <c r="V45" s="26"/>
      <c r="W45" s="200"/>
      <c r="X45" s="17"/>
      <c r="Z45">
        <v>8</v>
      </c>
      <c r="AA45" s="415">
        <v>8</v>
      </c>
      <c r="AB45" s="94">
        <v>1</v>
      </c>
      <c r="AC45" s="100" t="s">
        <v>120</v>
      </c>
      <c r="AD45" s="41">
        <f t="shared" si="4"/>
        <v>111.36</v>
      </c>
      <c r="AE45" s="70">
        <f t="shared" si="5"/>
        <v>111.36</v>
      </c>
      <c r="AF45" s="70">
        <f t="shared" si="6"/>
        <v>0</v>
      </c>
      <c r="AG45" s="70">
        <f t="shared" si="7"/>
        <v>0</v>
      </c>
      <c r="AH45" s="109">
        <f t="shared" si="8"/>
        <v>0</v>
      </c>
      <c r="AI45" s="120">
        <f t="shared" si="9"/>
        <v>1</v>
      </c>
      <c r="AJ45" s="121">
        <f t="shared" si="10"/>
        <v>1</v>
      </c>
      <c r="AK45" s="121">
        <f t="shared" si="11"/>
        <v>0</v>
      </c>
      <c r="AL45" s="121">
        <f t="shared" si="12"/>
        <v>0</v>
      </c>
      <c r="AM45" s="122">
        <f t="shared" si="13"/>
        <v>0</v>
      </c>
      <c r="AN45" s="41">
        <f t="shared" si="14"/>
        <v>0</v>
      </c>
      <c r="AO45" s="70">
        <f t="shared" si="15"/>
        <v>0</v>
      </c>
      <c r="AP45" s="70">
        <f t="shared" si="16"/>
        <v>0</v>
      </c>
      <c r="AQ45" s="70">
        <f t="shared" si="17"/>
        <v>0</v>
      </c>
      <c r="AR45" s="70">
        <f t="shared" si="18"/>
        <v>0</v>
      </c>
    </row>
    <row r="46" spans="2:48" x14ac:dyDescent="0.25">
      <c r="B46" s="17">
        <v>44</v>
      </c>
      <c r="C46" s="10"/>
      <c r="D46" s="10"/>
      <c r="E46" s="72"/>
      <c r="F46" s="18"/>
      <c r="G46" s="10"/>
      <c r="H46" s="10"/>
      <c r="I46" s="10"/>
      <c r="J46" s="11"/>
      <c r="K46" s="11">
        <f t="shared" si="21"/>
        <v>0</v>
      </c>
      <c r="L46" s="37">
        <f t="shared" si="22"/>
        <v>0</v>
      </c>
      <c r="M46" s="11"/>
      <c r="N46" s="10"/>
      <c r="O46" s="21"/>
      <c r="P46" s="21"/>
      <c r="Q46" s="21"/>
      <c r="R46" s="23"/>
      <c r="S46" s="50"/>
      <c r="T46" s="48"/>
      <c r="U46" s="82"/>
      <c r="V46" s="26"/>
      <c r="W46" s="200"/>
      <c r="X46" s="17"/>
      <c r="Z46">
        <v>8</v>
      </c>
      <c r="AA46" s="416"/>
      <c r="AB46" s="95">
        <v>2</v>
      </c>
      <c r="AC46" s="102" t="s">
        <v>121</v>
      </c>
      <c r="AD46" s="41">
        <f t="shared" si="4"/>
        <v>0</v>
      </c>
      <c r="AE46" s="70">
        <f t="shared" si="5"/>
        <v>0</v>
      </c>
      <c r="AF46" s="70">
        <f t="shared" si="6"/>
        <v>0</v>
      </c>
      <c r="AG46" s="70">
        <f t="shared" si="7"/>
        <v>0</v>
      </c>
      <c r="AH46" s="109">
        <f t="shared" si="8"/>
        <v>0</v>
      </c>
      <c r="AI46" s="120">
        <f t="shared" si="9"/>
        <v>0</v>
      </c>
      <c r="AJ46" s="121">
        <f t="shared" si="10"/>
        <v>0</v>
      </c>
      <c r="AK46" s="121">
        <f t="shared" si="11"/>
        <v>0</v>
      </c>
      <c r="AL46" s="121">
        <f t="shared" si="12"/>
        <v>0</v>
      </c>
      <c r="AM46" s="122">
        <f t="shared" si="13"/>
        <v>0</v>
      </c>
      <c r="AN46" s="41">
        <f t="shared" si="14"/>
        <v>0</v>
      </c>
      <c r="AO46" s="70">
        <f t="shared" si="15"/>
        <v>0</v>
      </c>
      <c r="AP46" s="70">
        <f t="shared" si="16"/>
        <v>0</v>
      </c>
      <c r="AQ46" s="70">
        <f t="shared" si="17"/>
        <v>0</v>
      </c>
      <c r="AR46" s="70">
        <f t="shared" si="18"/>
        <v>0</v>
      </c>
    </row>
    <row r="47" spans="2:48" x14ac:dyDescent="0.25">
      <c r="B47" s="17">
        <v>45</v>
      </c>
      <c r="C47" s="10"/>
      <c r="D47" s="10"/>
      <c r="E47" s="72"/>
      <c r="F47" s="18"/>
      <c r="G47" s="10"/>
      <c r="H47" s="10"/>
      <c r="I47" s="10"/>
      <c r="J47" s="11"/>
      <c r="K47" s="11">
        <f t="shared" si="21"/>
        <v>0</v>
      </c>
      <c r="L47" s="37">
        <f t="shared" si="22"/>
        <v>0</v>
      </c>
      <c r="M47" s="11"/>
      <c r="N47" s="10"/>
      <c r="O47" s="21"/>
      <c r="P47" s="21"/>
      <c r="Q47" s="21"/>
      <c r="R47" s="23"/>
      <c r="S47" s="50"/>
      <c r="T47" s="48"/>
      <c r="U47" s="82"/>
      <c r="V47" s="26"/>
      <c r="W47" s="200"/>
      <c r="X47" s="17"/>
      <c r="Z47">
        <v>8</v>
      </c>
      <c r="AA47" s="416"/>
      <c r="AB47" s="95">
        <v>3</v>
      </c>
      <c r="AC47" s="102" t="s">
        <v>122</v>
      </c>
      <c r="AD47" s="41">
        <f t="shared" si="4"/>
        <v>0</v>
      </c>
      <c r="AE47" s="70">
        <f t="shared" si="5"/>
        <v>0</v>
      </c>
      <c r="AF47" s="70">
        <f t="shared" si="6"/>
        <v>0</v>
      </c>
      <c r="AG47" s="70">
        <f t="shared" si="7"/>
        <v>0</v>
      </c>
      <c r="AH47" s="109">
        <f t="shared" si="8"/>
        <v>0</v>
      </c>
      <c r="AI47" s="120">
        <f t="shared" si="9"/>
        <v>0</v>
      </c>
      <c r="AJ47" s="121">
        <f t="shared" si="10"/>
        <v>0</v>
      </c>
      <c r="AK47" s="121">
        <f t="shared" si="11"/>
        <v>0</v>
      </c>
      <c r="AL47" s="121">
        <f t="shared" si="12"/>
        <v>0</v>
      </c>
      <c r="AM47" s="122">
        <f t="shared" si="13"/>
        <v>0</v>
      </c>
      <c r="AN47" s="41">
        <f t="shared" si="14"/>
        <v>0</v>
      </c>
      <c r="AO47" s="70">
        <f t="shared" si="15"/>
        <v>0</v>
      </c>
      <c r="AP47" s="70">
        <f t="shared" si="16"/>
        <v>0</v>
      </c>
      <c r="AQ47" s="70">
        <f t="shared" si="17"/>
        <v>0</v>
      </c>
      <c r="AR47" s="70">
        <f t="shared" si="18"/>
        <v>0</v>
      </c>
    </row>
    <row r="48" spans="2:48" x14ac:dyDescent="0.25">
      <c r="B48" s="17">
        <v>46</v>
      </c>
      <c r="C48" s="10"/>
      <c r="D48" s="10"/>
      <c r="E48" s="72"/>
      <c r="F48" s="18"/>
      <c r="G48" s="10"/>
      <c r="H48" s="10"/>
      <c r="I48" s="10"/>
      <c r="J48" s="11"/>
      <c r="K48" s="11">
        <f t="shared" si="21"/>
        <v>0</v>
      </c>
      <c r="L48" s="37">
        <f t="shared" si="22"/>
        <v>0</v>
      </c>
      <c r="M48" s="11"/>
      <c r="N48" s="10"/>
      <c r="O48" s="21"/>
      <c r="P48" s="21"/>
      <c r="Q48" s="21"/>
      <c r="R48" s="23"/>
      <c r="S48" s="50"/>
      <c r="T48" s="48"/>
      <c r="U48" s="82"/>
      <c r="V48" s="26"/>
      <c r="W48" s="200"/>
      <c r="X48" s="17"/>
      <c r="Z48">
        <v>8</v>
      </c>
      <c r="AA48" s="416"/>
      <c r="AB48" s="95">
        <v>4</v>
      </c>
      <c r="AC48" s="102" t="s">
        <v>123</v>
      </c>
      <c r="AD48" s="41">
        <f t="shared" si="4"/>
        <v>0</v>
      </c>
      <c r="AE48" s="70">
        <f t="shared" si="5"/>
        <v>0</v>
      </c>
      <c r="AF48" s="70">
        <f t="shared" si="6"/>
        <v>0</v>
      </c>
      <c r="AG48" s="70">
        <f t="shared" si="7"/>
        <v>0</v>
      </c>
      <c r="AH48" s="109">
        <f t="shared" si="8"/>
        <v>0</v>
      </c>
      <c r="AI48" s="120">
        <f t="shared" si="9"/>
        <v>0</v>
      </c>
      <c r="AJ48" s="121">
        <f t="shared" si="10"/>
        <v>0</v>
      </c>
      <c r="AK48" s="121">
        <f t="shared" si="11"/>
        <v>0</v>
      </c>
      <c r="AL48" s="121">
        <f t="shared" si="12"/>
        <v>0</v>
      </c>
      <c r="AM48" s="122">
        <f t="shared" si="13"/>
        <v>0</v>
      </c>
      <c r="AN48" s="41">
        <f t="shared" si="14"/>
        <v>0</v>
      </c>
      <c r="AO48" s="70">
        <f t="shared" si="15"/>
        <v>0</v>
      </c>
      <c r="AP48" s="70">
        <f t="shared" si="16"/>
        <v>0</v>
      </c>
      <c r="AQ48" s="70">
        <f t="shared" si="17"/>
        <v>0</v>
      </c>
      <c r="AR48" s="70">
        <f t="shared" si="18"/>
        <v>0</v>
      </c>
    </row>
    <row r="49" spans="2:44" x14ac:dyDescent="0.25">
      <c r="B49" s="17">
        <v>47</v>
      </c>
      <c r="C49" s="10"/>
      <c r="D49" s="10"/>
      <c r="E49" s="72"/>
      <c r="F49" s="18"/>
      <c r="G49" s="10"/>
      <c r="H49" s="10"/>
      <c r="I49" s="10"/>
      <c r="J49" s="11"/>
      <c r="K49" s="11">
        <f t="shared" si="21"/>
        <v>0</v>
      </c>
      <c r="L49" s="37">
        <f t="shared" si="22"/>
        <v>0</v>
      </c>
      <c r="M49" s="11"/>
      <c r="N49" s="10"/>
      <c r="O49" s="21"/>
      <c r="P49" s="21"/>
      <c r="Q49" s="21"/>
      <c r="R49" s="23"/>
      <c r="S49" s="50"/>
      <c r="T49" s="48"/>
      <c r="U49" s="82"/>
      <c r="V49" s="26"/>
      <c r="W49" s="200"/>
      <c r="X49" s="17"/>
      <c r="Z49">
        <v>8</v>
      </c>
      <c r="AA49" s="416"/>
      <c r="AB49" s="96">
        <v>5</v>
      </c>
      <c r="AC49" s="105"/>
      <c r="AD49" s="41">
        <f t="shared" si="4"/>
        <v>0</v>
      </c>
      <c r="AE49" s="70">
        <f t="shared" si="5"/>
        <v>0</v>
      </c>
      <c r="AF49" s="70">
        <f t="shared" si="6"/>
        <v>0</v>
      </c>
      <c r="AG49" s="70">
        <f t="shared" si="7"/>
        <v>0</v>
      </c>
      <c r="AH49" s="109">
        <f t="shared" si="8"/>
        <v>0</v>
      </c>
      <c r="AI49" s="120">
        <f t="shared" si="9"/>
        <v>0</v>
      </c>
      <c r="AJ49" s="121">
        <f t="shared" si="10"/>
        <v>0</v>
      </c>
      <c r="AK49" s="121">
        <f t="shared" si="11"/>
        <v>0</v>
      </c>
      <c r="AL49" s="121">
        <f t="shared" si="12"/>
        <v>0</v>
      </c>
      <c r="AM49" s="122">
        <f t="shared" si="13"/>
        <v>0</v>
      </c>
      <c r="AN49" s="41">
        <f t="shared" si="14"/>
        <v>0</v>
      </c>
      <c r="AO49" s="70">
        <f t="shared" si="15"/>
        <v>0</v>
      </c>
      <c r="AP49" s="70">
        <f t="shared" si="16"/>
        <v>0</v>
      </c>
      <c r="AQ49" s="70">
        <f t="shared" si="17"/>
        <v>0</v>
      </c>
      <c r="AR49" s="70">
        <f t="shared" si="18"/>
        <v>0</v>
      </c>
    </row>
    <row r="50" spans="2:44" ht="14.25" thickBot="1" x14ac:dyDescent="0.3">
      <c r="B50" s="17">
        <v>48</v>
      </c>
      <c r="C50" s="10"/>
      <c r="D50" s="10"/>
      <c r="E50" s="72"/>
      <c r="F50" s="18"/>
      <c r="G50" s="10"/>
      <c r="H50" s="10"/>
      <c r="I50" s="10"/>
      <c r="J50" s="11"/>
      <c r="K50" s="11">
        <f t="shared" si="21"/>
        <v>0</v>
      </c>
      <c r="L50" s="37">
        <f t="shared" si="22"/>
        <v>0</v>
      </c>
      <c r="M50" s="11"/>
      <c r="N50" s="10"/>
      <c r="O50" s="21"/>
      <c r="P50" s="21"/>
      <c r="Q50" s="21"/>
      <c r="R50" s="23"/>
      <c r="S50" s="50"/>
      <c r="T50" s="48"/>
      <c r="U50" s="82"/>
      <c r="V50" s="32"/>
      <c r="W50" s="200"/>
      <c r="X50" s="17"/>
      <c r="Z50">
        <v>8</v>
      </c>
      <c r="AA50" s="417"/>
      <c r="AB50" s="97" t="s">
        <v>3</v>
      </c>
      <c r="AC50" s="106"/>
      <c r="AD50" s="99">
        <f>SUM(AD45:AD49)</f>
        <v>111.36</v>
      </c>
      <c r="AE50" s="99">
        <f t="shared" ref="AE50" si="125">SUM(AE45:AE49)</f>
        <v>111.36</v>
      </c>
      <c r="AF50" s="99">
        <f t="shared" ref="AF50" si="126">SUM(AF45:AF49)</f>
        <v>0</v>
      </c>
      <c r="AG50" s="99">
        <f t="shared" ref="AG50" si="127">SUM(AG45:AG49)</f>
        <v>0</v>
      </c>
      <c r="AH50" s="110">
        <f t="shared" ref="AH50" si="128">SUM(AH45:AH49)</f>
        <v>0</v>
      </c>
      <c r="AI50" s="123">
        <f t="shared" ref="AI50" si="129">SUM(AI45:AI49)</f>
        <v>1</v>
      </c>
      <c r="AJ50" s="124">
        <f t="shared" ref="AJ50" si="130">SUM(AJ45:AJ49)</f>
        <v>1</v>
      </c>
      <c r="AK50" s="124">
        <f t="shared" ref="AK50" si="131">SUM(AK45:AK49)</f>
        <v>0</v>
      </c>
      <c r="AL50" s="124">
        <f t="shared" ref="AL50" si="132">SUM(AL45:AL49)</f>
        <v>0</v>
      </c>
      <c r="AM50" s="125">
        <f t="shared" ref="AM50" si="133">SUM(AM45:AM49)</f>
        <v>0</v>
      </c>
      <c r="AN50" s="99">
        <f t="shared" ref="AN50" si="134">SUM(AN45:AN49)</f>
        <v>0</v>
      </c>
      <c r="AO50" s="99">
        <f t="shared" ref="AO50" si="135">SUM(AO45:AO49)</f>
        <v>0</v>
      </c>
      <c r="AP50" s="99">
        <f t="shared" ref="AP50" si="136">SUM(AP45:AP49)</f>
        <v>0</v>
      </c>
      <c r="AQ50" s="99">
        <f t="shared" ref="AQ50" si="137">SUM(AQ45:AQ49)</f>
        <v>0</v>
      </c>
      <c r="AR50" s="99">
        <f t="shared" ref="AR50" si="138">SUM(AR45:AR49)</f>
        <v>0</v>
      </c>
    </row>
    <row r="51" spans="2:44" x14ac:dyDescent="0.25">
      <c r="B51" s="17">
        <v>49</v>
      </c>
      <c r="C51" s="10"/>
      <c r="D51" s="10"/>
      <c r="E51" s="72"/>
      <c r="F51" s="18"/>
      <c r="G51" s="10"/>
      <c r="H51" s="10"/>
      <c r="I51" s="10"/>
      <c r="J51" s="11"/>
      <c r="K51" s="11">
        <f t="shared" si="21"/>
        <v>0</v>
      </c>
      <c r="L51" s="37">
        <f t="shared" si="22"/>
        <v>0</v>
      </c>
      <c r="M51" s="11"/>
      <c r="N51" s="10"/>
      <c r="O51" s="21"/>
      <c r="P51" s="21"/>
      <c r="Q51" s="21"/>
      <c r="R51" s="23"/>
      <c r="S51" s="50"/>
      <c r="T51" s="48"/>
      <c r="U51" s="82"/>
      <c r="V51" s="32"/>
      <c r="W51" s="200"/>
      <c r="X51" s="17"/>
      <c r="Z51">
        <v>9</v>
      </c>
      <c r="AA51" s="415">
        <v>9</v>
      </c>
      <c r="AB51" s="94">
        <v>1</v>
      </c>
      <c r="AC51" s="100" t="s">
        <v>124</v>
      </c>
      <c r="AD51" s="41">
        <f t="shared" si="4"/>
        <v>0</v>
      </c>
      <c r="AE51" s="70">
        <f t="shared" si="5"/>
        <v>0</v>
      </c>
      <c r="AF51" s="70">
        <f t="shared" si="6"/>
        <v>0</v>
      </c>
      <c r="AG51" s="70">
        <f t="shared" si="7"/>
        <v>0</v>
      </c>
      <c r="AH51" s="109">
        <f t="shared" si="8"/>
        <v>0</v>
      </c>
      <c r="AI51" s="120">
        <f t="shared" si="9"/>
        <v>0</v>
      </c>
      <c r="AJ51" s="121">
        <f t="shared" si="10"/>
        <v>0</v>
      </c>
      <c r="AK51" s="121">
        <f t="shared" si="11"/>
        <v>0</v>
      </c>
      <c r="AL51" s="121">
        <f t="shared" si="12"/>
        <v>0</v>
      </c>
      <c r="AM51" s="122">
        <f t="shared" si="13"/>
        <v>0</v>
      </c>
      <c r="AN51" s="41">
        <f t="shared" si="14"/>
        <v>0</v>
      </c>
      <c r="AO51" s="70">
        <f t="shared" si="15"/>
        <v>0</v>
      </c>
      <c r="AP51" s="70">
        <f t="shared" si="16"/>
        <v>0</v>
      </c>
      <c r="AQ51" s="70">
        <f t="shared" si="17"/>
        <v>0</v>
      </c>
      <c r="AR51" s="70">
        <f t="shared" si="18"/>
        <v>0</v>
      </c>
    </row>
    <row r="52" spans="2:44" x14ac:dyDescent="0.25">
      <c r="B52" s="17">
        <v>50</v>
      </c>
      <c r="C52" s="10"/>
      <c r="D52" s="10"/>
      <c r="E52" s="72"/>
      <c r="F52" s="18"/>
      <c r="G52" s="10"/>
      <c r="H52" s="10"/>
      <c r="I52" s="10"/>
      <c r="J52" s="11"/>
      <c r="K52" s="11">
        <f t="shared" si="21"/>
        <v>0</v>
      </c>
      <c r="L52" s="37">
        <f t="shared" si="22"/>
        <v>0</v>
      </c>
      <c r="M52" s="11"/>
      <c r="N52" s="10"/>
      <c r="O52" s="21"/>
      <c r="P52" s="21"/>
      <c r="Q52" s="21"/>
      <c r="R52" s="23"/>
      <c r="S52" s="50"/>
      <c r="T52" s="48"/>
      <c r="U52" s="82"/>
      <c r="V52" s="32"/>
      <c r="W52" s="200"/>
      <c r="X52" s="17"/>
      <c r="Z52">
        <v>9</v>
      </c>
      <c r="AA52" s="416"/>
      <c r="AB52" s="95">
        <v>2</v>
      </c>
      <c r="AC52" s="102" t="s">
        <v>125</v>
      </c>
      <c r="AD52" s="41">
        <f t="shared" si="4"/>
        <v>0</v>
      </c>
      <c r="AE52" s="70">
        <f t="shared" si="5"/>
        <v>0</v>
      </c>
      <c r="AF52" s="70">
        <f t="shared" si="6"/>
        <v>0</v>
      </c>
      <c r="AG52" s="70">
        <f t="shared" si="7"/>
        <v>0</v>
      </c>
      <c r="AH52" s="109">
        <f t="shared" si="8"/>
        <v>0</v>
      </c>
      <c r="AI52" s="120">
        <f t="shared" si="9"/>
        <v>0</v>
      </c>
      <c r="AJ52" s="121">
        <f t="shared" si="10"/>
        <v>0</v>
      </c>
      <c r="AK52" s="121">
        <f t="shared" si="11"/>
        <v>0</v>
      </c>
      <c r="AL52" s="121">
        <f t="shared" si="12"/>
        <v>0</v>
      </c>
      <c r="AM52" s="122">
        <f t="shared" si="13"/>
        <v>0</v>
      </c>
      <c r="AN52" s="41">
        <f t="shared" si="14"/>
        <v>0</v>
      </c>
      <c r="AO52" s="70">
        <f t="shared" si="15"/>
        <v>0</v>
      </c>
      <c r="AP52" s="70">
        <f t="shared" si="16"/>
        <v>0</v>
      </c>
      <c r="AQ52" s="70">
        <f t="shared" si="17"/>
        <v>0</v>
      </c>
      <c r="AR52" s="70">
        <f t="shared" si="18"/>
        <v>0</v>
      </c>
    </row>
    <row r="53" spans="2:44" x14ac:dyDescent="0.25">
      <c r="B53" s="17">
        <v>51</v>
      </c>
      <c r="C53" s="10"/>
      <c r="D53" s="10"/>
      <c r="E53" s="72"/>
      <c r="F53" s="18"/>
      <c r="G53" s="10"/>
      <c r="H53" s="10"/>
      <c r="I53" s="10"/>
      <c r="J53" s="11"/>
      <c r="K53" s="11">
        <f t="shared" si="21"/>
        <v>0</v>
      </c>
      <c r="L53" s="37">
        <f t="shared" si="22"/>
        <v>0</v>
      </c>
      <c r="M53" s="11"/>
      <c r="N53" s="10"/>
      <c r="O53" s="21"/>
      <c r="P53" s="21"/>
      <c r="Q53" s="21"/>
      <c r="R53" s="23"/>
      <c r="S53" s="50"/>
      <c r="T53" s="48"/>
      <c r="U53" s="82"/>
      <c r="V53" s="32"/>
      <c r="W53" s="200"/>
      <c r="X53" s="17"/>
      <c r="Z53">
        <v>9</v>
      </c>
      <c r="AA53" s="416"/>
      <c r="AB53" s="95">
        <v>3</v>
      </c>
      <c r="AC53" s="102" t="s">
        <v>126</v>
      </c>
      <c r="AD53" s="41">
        <f t="shared" si="4"/>
        <v>0</v>
      </c>
      <c r="AE53" s="70">
        <f t="shared" si="5"/>
        <v>0</v>
      </c>
      <c r="AF53" s="70">
        <f t="shared" si="6"/>
        <v>0</v>
      </c>
      <c r="AG53" s="70">
        <f t="shared" si="7"/>
        <v>0</v>
      </c>
      <c r="AH53" s="109">
        <f t="shared" si="8"/>
        <v>0</v>
      </c>
      <c r="AI53" s="120">
        <f t="shared" si="9"/>
        <v>0</v>
      </c>
      <c r="AJ53" s="121">
        <f t="shared" si="10"/>
        <v>0</v>
      </c>
      <c r="AK53" s="121">
        <f t="shared" si="11"/>
        <v>0</v>
      </c>
      <c r="AL53" s="121">
        <f t="shared" si="12"/>
        <v>0</v>
      </c>
      <c r="AM53" s="122">
        <f t="shared" si="13"/>
        <v>0</v>
      </c>
      <c r="AN53" s="41">
        <f t="shared" si="14"/>
        <v>0</v>
      </c>
      <c r="AO53" s="70">
        <f t="shared" si="15"/>
        <v>0</v>
      </c>
      <c r="AP53" s="70">
        <f t="shared" si="16"/>
        <v>0</v>
      </c>
      <c r="AQ53" s="70">
        <f t="shared" si="17"/>
        <v>0</v>
      </c>
      <c r="AR53" s="70">
        <f t="shared" si="18"/>
        <v>0</v>
      </c>
    </row>
    <row r="54" spans="2:44" x14ac:dyDescent="0.25">
      <c r="B54" s="17">
        <v>52</v>
      </c>
      <c r="C54" s="10"/>
      <c r="D54" s="10"/>
      <c r="E54" s="72"/>
      <c r="F54" s="18"/>
      <c r="G54" s="10"/>
      <c r="H54" s="10"/>
      <c r="I54" s="10"/>
      <c r="J54" s="11"/>
      <c r="K54" s="11">
        <f t="shared" si="21"/>
        <v>0</v>
      </c>
      <c r="L54" s="37">
        <f t="shared" si="22"/>
        <v>0</v>
      </c>
      <c r="M54" s="11"/>
      <c r="N54" s="10"/>
      <c r="O54" s="21"/>
      <c r="P54" s="21"/>
      <c r="Q54" s="21"/>
      <c r="R54" s="23"/>
      <c r="S54" s="50"/>
      <c r="T54" s="48"/>
      <c r="U54" s="82"/>
      <c r="V54" s="26"/>
      <c r="W54" s="200"/>
      <c r="X54" s="17"/>
      <c r="Z54">
        <v>9</v>
      </c>
      <c r="AA54" s="416"/>
      <c r="AB54" s="95">
        <v>4</v>
      </c>
      <c r="AC54" s="102" t="s">
        <v>127</v>
      </c>
      <c r="AD54" s="41">
        <f t="shared" si="4"/>
        <v>186.24</v>
      </c>
      <c r="AE54" s="70">
        <f t="shared" si="5"/>
        <v>0</v>
      </c>
      <c r="AF54" s="70">
        <f t="shared" si="6"/>
        <v>186.24</v>
      </c>
      <c r="AG54" s="70">
        <f t="shared" si="7"/>
        <v>0</v>
      </c>
      <c r="AH54" s="109">
        <f t="shared" si="8"/>
        <v>0</v>
      </c>
      <c r="AI54" s="120">
        <f t="shared" si="9"/>
        <v>1</v>
      </c>
      <c r="AJ54" s="121">
        <f t="shared" si="10"/>
        <v>0</v>
      </c>
      <c r="AK54" s="121">
        <f t="shared" si="11"/>
        <v>1</v>
      </c>
      <c r="AL54" s="121">
        <f t="shared" si="12"/>
        <v>0</v>
      </c>
      <c r="AM54" s="122">
        <f t="shared" si="13"/>
        <v>0</v>
      </c>
      <c r="AN54" s="41">
        <f t="shared" si="14"/>
        <v>0</v>
      </c>
      <c r="AO54" s="70">
        <f t="shared" si="15"/>
        <v>0</v>
      </c>
      <c r="AP54" s="70">
        <f t="shared" si="16"/>
        <v>0</v>
      </c>
      <c r="AQ54" s="70">
        <f t="shared" si="17"/>
        <v>0</v>
      </c>
      <c r="AR54" s="70">
        <f t="shared" si="18"/>
        <v>0</v>
      </c>
    </row>
    <row r="55" spans="2:44" x14ac:dyDescent="0.25">
      <c r="B55" s="17">
        <v>53</v>
      </c>
      <c r="C55" s="10"/>
      <c r="D55" s="10"/>
      <c r="E55" s="72"/>
      <c r="F55" s="18"/>
      <c r="G55" s="10"/>
      <c r="H55" s="10"/>
      <c r="I55" s="10"/>
      <c r="J55" s="11"/>
      <c r="K55" s="11">
        <f t="shared" si="21"/>
        <v>0</v>
      </c>
      <c r="L55" s="37">
        <f t="shared" si="22"/>
        <v>0</v>
      </c>
      <c r="M55" s="11"/>
      <c r="N55" s="10"/>
      <c r="O55" s="21"/>
      <c r="P55" s="21"/>
      <c r="Q55" s="21"/>
      <c r="R55" s="23"/>
      <c r="S55" s="50"/>
      <c r="T55" s="48"/>
      <c r="U55" s="82"/>
      <c r="V55" s="26"/>
      <c r="W55" s="200"/>
      <c r="X55" s="17"/>
      <c r="Z55">
        <v>9</v>
      </c>
      <c r="AA55" s="416"/>
      <c r="AB55" s="96">
        <v>5</v>
      </c>
      <c r="AC55" s="105"/>
      <c r="AD55" s="41">
        <f t="shared" si="4"/>
        <v>0</v>
      </c>
      <c r="AE55" s="70">
        <f t="shared" si="5"/>
        <v>0</v>
      </c>
      <c r="AF55" s="70">
        <f t="shared" si="6"/>
        <v>0</v>
      </c>
      <c r="AG55" s="70">
        <f t="shared" si="7"/>
        <v>0</v>
      </c>
      <c r="AH55" s="109">
        <f t="shared" si="8"/>
        <v>0</v>
      </c>
      <c r="AI55" s="120">
        <f t="shared" si="9"/>
        <v>0</v>
      </c>
      <c r="AJ55" s="121">
        <f t="shared" si="10"/>
        <v>0</v>
      </c>
      <c r="AK55" s="121">
        <f t="shared" si="11"/>
        <v>0</v>
      </c>
      <c r="AL55" s="121">
        <f t="shared" si="12"/>
        <v>0</v>
      </c>
      <c r="AM55" s="122">
        <f t="shared" si="13"/>
        <v>0</v>
      </c>
      <c r="AN55" s="41">
        <f t="shared" si="14"/>
        <v>0</v>
      </c>
      <c r="AO55" s="70">
        <f t="shared" si="15"/>
        <v>0</v>
      </c>
      <c r="AP55" s="70">
        <f t="shared" si="16"/>
        <v>0</v>
      </c>
      <c r="AQ55" s="70">
        <f t="shared" si="17"/>
        <v>0</v>
      </c>
      <c r="AR55" s="70">
        <f t="shared" si="18"/>
        <v>0</v>
      </c>
    </row>
    <row r="56" spans="2:44" ht="14.25" thickBot="1" x14ac:dyDescent="0.3">
      <c r="B56" s="17">
        <v>54</v>
      </c>
      <c r="C56" s="10"/>
      <c r="D56" s="10"/>
      <c r="E56" s="72"/>
      <c r="F56" s="18"/>
      <c r="G56" s="10"/>
      <c r="H56" s="10"/>
      <c r="I56" s="10"/>
      <c r="J56" s="11"/>
      <c r="K56" s="11">
        <f t="shared" si="21"/>
        <v>0</v>
      </c>
      <c r="L56" s="37">
        <f t="shared" si="22"/>
        <v>0</v>
      </c>
      <c r="M56" s="11"/>
      <c r="N56" s="10"/>
      <c r="O56" s="21"/>
      <c r="P56" s="21"/>
      <c r="Q56" s="21"/>
      <c r="R56" s="23"/>
      <c r="S56" s="50"/>
      <c r="T56" s="48"/>
      <c r="U56" s="82"/>
      <c r="V56" s="26"/>
      <c r="W56" s="200"/>
      <c r="X56" s="17"/>
      <c r="Z56">
        <v>9</v>
      </c>
      <c r="AA56" s="417"/>
      <c r="AB56" s="97" t="s">
        <v>3</v>
      </c>
      <c r="AC56" s="106"/>
      <c r="AD56" s="99">
        <f>SUM(AD51:AD55)</f>
        <v>186.24</v>
      </c>
      <c r="AE56" s="99">
        <f t="shared" ref="AE56" si="139">SUM(AE51:AE55)</f>
        <v>0</v>
      </c>
      <c r="AF56" s="99">
        <f t="shared" ref="AF56" si="140">SUM(AF51:AF55)</f>
        <v>186.24</v>
      </c>
      <c r="AG56" s="99">
        <f t="shared" ref="AG56" si="141">SUM(AG51:AG55)</f>
        <v>0</v>
      </c>
      <c r="AH56" s="110">
        <f t="shared" ref="AH56" si="142">SUM(AH51:AH55)</f>
        <v>0</v>
      </c>
      <c r="AI56" s="123">
        <f t="shared" ref="AI56" si="143">SUM(AI51:AI55)</f>
        <v>1</v>
      </c>
      <c r="AJ56" s="124">
        <f t="shared" ref="AJ56" si="144">SUM(AJ51:AJ55)</f>
        <v>0</v>
      </c>
      <c r="AK56" s="124">
        <f t="shared" ref="AK56" si="145">SUM(AK51:AK55)</f>
        <v>1</v>
      </c>
      <c r="AL56" s="124">
        <f t="shared" ref="AL56" si="146">SUM(AL51:AL55)</f>
        <v>0</v>
      </c>
      <c r="AM56" s="125">
        <f t="shared" ref="AM56" si="147">SUM(AM51:AM55)</f>
        <v>0</v>
      </c>
      <c r="AN56" s="99">
        <f t="shared" ref="AN56" si="148">SUM(AN51:AN55)</f>
        <v>0</v>
      </c>
      <c r="AO56" s="99">
        <f t="shared" ref="AO56" si="149">SUM(AO51:AO55)</f>
        <v>0</v>
      </c>
      <c r="AP56" s="99">
        <f t="shared" ref="AP56" si="150">SUM(AP51:AP55)</f>
        <v>0</v>
      </c>
      <c r="AQ56" s="99">
        <f t="shared" ref="AQ56" si="151">SUM(AQ51:AQ55)</f>
        <v>0</v>
      </c>
      <c r="AR56" s="99">
        <f t="shared" ref="AR56" si="152">SUM(AR51:AR55)</f>
        <v>0</v>
      </c>
    </row>
    <row r="57" spans="2:44" x14ac:dyDescent="0.25">
      <c r="B57" s="17">
        <v>55</v>
      </c>
      <c r="C57" s="10"/>
      <c r="D57" s="10"/>
      <c r="E57" s="72"/>
      <c r="F57" s="18"/>
      <c r="G57" s="10"/>
      <c r="H57" s="10"/>
      <c r="I57" s="10"/>
      <c r="J57" s="11"/>
      <c r="K57" s="11">
        <f t="shared" si="21"/>
        <v>0</v>
      </c>
      <c r="L57" s="37">
        <f t="shared" si="22"/>
        <v>0</v>
      </c>
      <c r="M57" s="11"/>
      <c r="N57" s="10"/>
      <c r="O57" s="21"/>
      <c r="P57" s="21"/>
      <c r="Q57" s="21"/>
      <c r="R57" s="23"/>
      <c r="S57" s="50"/>
      <c r="T57" s="48"/>
      <c r="U57" s="82"/>
      <c r="V57" s="26"/>
      <c r="W57" s="200"/>
      <c r="X57" s="17"/>
      <c r="Z57">
        <v>10</v>
      </c>
      <c r="AA57" s="415">
        <v>10</v>
      </c>
      <c r="AB57" s="94">
        <v>1</v>
      </c>
      <c r="AC57" s="100" t="s">
        <v>128</v>
      </c>
      <c r="AD57" s="41">
        <f t="shared" si="4"/>
        <v>136.96</v>
      </c>
      <c r="AE57" s="70">
        <f t="shared" si="5"/>
        <v>0</v>
      </c>
      <c r="AF57" s="70">
        <f t="shared" si="6"/>
        <v>136.96</v>
      </c>
      <c r="AG57" s="70">
        <f t="shared" si="7"/>
        <v>0</v>
      </c>
      <c r="AH57" s="109">
        <f t="shared" si="8"/>
        <v>0</v>
      </c>
      <c r="AI57" s="120">
        <f t="shared" si="9"/>
        <v>1</v>
      </c>
      <c r="AJ57" s="121">
        <f t="shared" si="10"/>
        <v>0</v>
      </c>
      <c r="AK57" s="121">
        <f t="shared" si="11"/>
        <v>1</v>
      </c>
      <c r="AL57" s="121">
        <f t="shared" si="12"/>
        <v>0</v>
      </c>
      <c r="AM57" s="122">
        <f t="shared" si="13"/>
        <v>0</v>
      </c>
      <c r="AN57" s="41">
        <f t="shared" si="14"/>
        <v>0</v>
      </c>
      <c r="AO57" s="70">
        <f t="shared" si="15"/>
        <v>0</v>
      </c>
      <c r="AP57" s="70">
        <f t="shared" si="16"/>
        <v>0</v>
      </c>
      <c r="AQ57" s="70">
        <f t="shared" si="17"/>
        <v>0</v>
      </c>
      <c r="AR57" s="70">
        <f t="shared" si="18"/>
        <v>0</v>
      </c>
    </row>
    <row r="58" spans="2:44" x14ac:dyDescent="0.25">
      <c r="B58" s="17">
        <v>56</v>
      </c>
      <c r="C58" s="10"/>
      <c r="D58" s="10"/>
      <c r="E58" s="72"/>
      <c r="F58" s="18"/>
      <c r="G58" s="10"/>
      <c r="H58" s="10"/>
      <c r="I58" s="10"/>
      <c r="J58" s="11"/>
      <c r="K58" s="11">
        <f t="shared" si="21"/>
        <v>0</v>
      </c>
      <c r="L58" s="37">
        <f t="shared" si="22"/>
        <v>0</v>
      </c>
      <c r="M58" s="11"/>
      <c r="N58" s="10"/>
      <c r="O58" s="21"/>
      <c r="P58" s="21"/>
      <c r="Q58" s="21"/>
      <c r="R58" s="23"/>
      <c r="S58" s="50"/>
      <c r="T58" s="48"/>
      <c r="U58" s="82"/>
      <c r="V58" s="26"/>
      <c r="W58" s="200"/>
      <c r="X58" s="17"/>
      <c r="Z58">
        <v>10</v>
      </c>
      <c r="AA58" s="416"/>
      <c r="AB58" s="95">
        <v>2</v>
      </c>
      <c r="AC58" s="101" t="s">
        <v>61</v>
      </c>
      <c r="AD58" s="41">
        <f t="shared" si="4"/>
        <v>0</v>
      </c>
      <c r="AE58" s="70">
        <f t="shared" si="5"/>
        <v>0</v>
      </c>
      <c r="AF58" s="70">
        <f t="shared" si="6"/>
        <v>0</v>
      </c>
      <c r="AG58" s="70">
        <f t="shared" si="7"/>
        <v>0</v>
      </c>
      <c r="AH58" s="109">
        <f t="shared" si="8"/>
        <v>0</v>
      </c>
      <c r="AI58" s="120">
        <f t="shared" si="9"/>
        <v>0</v>
      </c>
      <c r="AJ58" s="121">
        <f t="shared" si="10"/>
        <v>0</v>
      </c>
      <c r="AK58" s="121">
        <f t="shared" si="11"/>
        <v>0</v>
      </c>
      <c r="AL58" s="121">
        <f t="shared" si="12"/>
        <v>0</v>
      </c>
      <c r="AM58" s="122">
        <f t="shared" si="13"/>
        <v>0</v>
      </c>
      <c r="AN58" s="41">
        <f t="shared" si="14"/>
        <v>0</v>
      </c>
      <c r="AO58" s="70">
        <f t="shared" si="15"/>
        <v>0</v>
      </c>
      <c r="AP58" s="70">
        <f t="shared" si="16"/>
        <v>0</v>
      </c>
      <c r="AQ58" s="70">
        <f t="shared" si="17"/>
        <v>0</v>
      </c>
      <c r="AR58" s="70">
        <f t="shared" si="18"/>
        <v>0</v>
      </c>
    </row>
    <row r="59" spans="2:44" x14ac:dyDescent="0.25">
      <c r="B59" s="17">
        <v>57</v>
      </c>
      <c r="C59" s="10"/>
      <c r="D59" s="10"/>
      <c r="E59" s="72"/>
      <c r="F59" s="18"/>
      <c r="G59" s="10"/>
      <c r="H59" s="10"/>
      <c r="I59" s="10"/>
      <c r="J59" s="11"/>
      <c r="K59" s="11">
        <f t="shared" si="21"/>
        <v>0</v>
      </c>
      <c r="L59" s="37">
        <f t="shared" si="22"/>
        <v>0</v>
      </c>
      <c r="M59" s="11"/>
      <c r="N59" s="10"/>
      <c r="O59" s="21"/>
      <c r="P59" s="21"/>
      <c r="Q59" s="21"/>
      <c r="R59" s="23"/>
      <c r="S59" s="50"/>
      <c r="T59" s="48"/>
      <c r="U59" s="82"/>
      <c r="V59" s="32"/>
      <c r="W59" s="200"/>
      <c r="X59" s="17"/>
      <c r="Z59">
        <v>10</v>
      </c>
      <c r="AA59" s="416"/>
      <c r="AB59" s="95">
        <v>3</v>
      </c>
      <c r="AC59" s="102" t="s">
        <v>62</v>
      </c>
      <c r="AD59" s="41">
        <f t="shared" si="4"/>
        <v>56.32</v>
      </c>
      <c r="AE59" s="70">
        <f t="shared" si="5"/>
        <v>56.32</v>
      </c>
      <c r="AF59" s="70">
        <f t="shared" si="6"/>
        <v>0</v>
      </c>
      <c r="AG59" s="70">
        <f t="shared" si="7"/>
        <v>0</v>
      </c>
      <c r="AH59" s="109">
        <f t="shared" si="8"/>
        <v>0</v>
      </c>
      <c r="AI59" s="120">
        <f t="shared" si="9"/>
        <v>1</v>
      </c>
      <c r="AJ59" s="121">
        <f t="shared" si="10"/>
        <v>1</v>
      </c>
      <c r="AK59" s="121">
        <f t="shared" si="11"/>
        <v>0</v>
      </c>
      <c r="AL59" s="121">
        <f t="shared" si="12"/>
        <v>0</v>
      </c>
      <c r="AM59" s="122">
        <f t="shared" si="13"/>
        <v>0</v>
      </c>
      <c r="AN59" s="41">
        <f t="shared" si="14"/>
        <v>0</v>
      </c>
      <c r="AO59" s="70">
        <f t="shared" si="15"/>
        <v>0</v>
      </c>
      <c r="AP59" s="70">
        <f t="shared" si="16"/>
        <v>0</v>
      </c>
      <c r="AQ59" s="70">
        <f t="shared" si="17"/>
        <v>0</v>
      </c>
      <c r="AR59" s="70">
        <f t="shared" si="18"/>
        <v>0</v>
      </c>
    </row>
    <row r="60" spans="2:44" x14ac:dyDescent="0.25">
      <c r="B60" s="17">
        <v>58</v>
      </c>
      <c r="C60" s="10"/>
      <c r="D60" s="10"/>
      <c r="E60" s="72"/>
      <c r="F60" s="18"/>
      <c r="G60" s="10"/>
      <c r="H60" s="10"/>
      <c r="I60" s="10"/>
      <c r="J60" s="11"/>
      <c r="K60" s="11">
        <f t="shared" si="21"/>
        <v>0</v>
      </c>
      <c r="L60" s="37">
        <f t="shared" si="22"/>
        <v>0</v>
      </c>
      <c r="M60" s="11"/>
      <c r="N60" s="10"/>
      <c r="O60" s="21"/>
      <c r="P60" s="21"/>
      <c r="Q60" s="21"/>
      <c r="R60" s="23"/>
      <c r="S60" s="50"/>
      <c r="T60" s="48"/>
      <c r="U60" s="82"/>
      <c r="V60" s="32"/>
      <c r="W60" s="200"/>
      <c r="X60" s="17"/>
      <c r="Z60">
        <v>10</v>
      </c>
      <c r="AA60" s="416"/>
      <c r="AB60" s="95">
        <v>4</v>
      </c>
      <c r="AC60" s="102" t="s">
        <v>63</v>
      </c>
      <c r="AD60" s="41">
        <f t="shared" si="4"/>
        <v>0</v>
      </c>
      <c r="AE60" s="70">
        <f t="shared" si="5"/>
        <v>0</v>
      </c>
      <c r="AF60" s="70">
        <f t="shared" si="6"/>
        <v>0</v>
      </c>
      <c r="AG60" s="70">
        <f t="shared" si="7"/>
        <v>0</v>
      </c>
      <c r="AH60" s="109">
        <f t="shared" si="8"/>
        <v>0</v>
      </c>
      <c r="AI60" s="120">
        <f t="shared" si="9"/>
        <v>0</v>
      </c>
      <c r="AJ60" s="121">
        <f t="shared" si="10"/>
        <v>0</v>
      </c>
      <c r="AK60" s="121">
        <f t="shared" si="11"/>
        <v>0</v>
      </c>
      <c r="AL60" s="121">
        <f t="shared" si="12"/>
        <v>0</v>
      </c>
      <c r="AM60" s="122">
        <f t="shared" si="13"/>
        <v>0</v>
      </c>
      <c r="AN60" s="41">
        <f t="shared" si="14"/>
        <v>0</v>
      </c>
      <c r="AO60" s="70">
        <f t="shared" si="15"/>
        <v>0</v>
      </c>
      <c r="AP60" s="70">
        <f t="shared" si="16"/>
        <v>0</v>
      </c>
      <c r="AQ60" s="70">
        <f t="shared" si="17"/>
        <v>0</v>
      </c>
      <c r="AR60" s="70">
        <f t="shared" si="18"/>
        <v>0</v>
      </c>
    </row>
    <row r="61" spans="2:44" x14ac:dyDescent="0.25">
      <c r="B61" s="17">
        <v>59</v>
      </c>
      <c r="C61" s="10"/>
      <c r="D61" s="10"/>
      <c r="E61" s="72"/>
      <c r="F61" s="18"/>
      <c r="G61" s="10"/>
      <c r="H61" s="10"/>
      <c r="I61" s="10"/>
      <c r="J61" s="11"/>
      <c r="K61" s="11">
        <f t="shared" si="21"/>
        <v>0</v>
      </c>
      <c r="L61" s="37">
        <f t="shared" si="22"/>
        <v>0</v>
      </c>
      <c r="M61" s="11"/>
      <c r="N61" s="10"/>
      <c r="O61" s="21"/>
      <c r="P61" s="21"/>
      <c r="Q61" s="21"/>
      <c r="R61" s="23"/>
      <c r="S61" s="50"/>
      <c r="T61" s="48"/>
      <c r="U61" s="82"/>
      <c r="V61" s="26"/>
      <c r="W61" s="200"/>
      <c r="X61" s="17"/>
      <c r="Z61">
        <v>10</v>
      </c>
      <c r="AA61" s="416"/>
      <c r="AB61" s="96">
        <v>5</v>
      </c>
      <c r="AC61" s="56" t="s">
        <v>64</v>
      </c>
      <c r="AD61" s="41">
        <f t="shared" si="4"/>
        <v>0</v>
      </c>
      <c r="AE61" s="70">
        <f t="shared" si="5"/>
        <v>0</v>
      </c>
      <c r="AF61" s="70">
        <f t="shared" si="6"/>
        <v>0</v>
      </c>
      <c r="AG61" s="70">
        <f t="shared" si="7"/>
        <v>0</v>
      </c>
      <c r="AH61" s="109">
        <f t="shared" si="8"/>
        <v>0</v>
      </c>
      <c r="AI61" s="120">
        <f t="shared" si="9"/>
        <v>0</v>
      </c>
      <c r="AJ61" s="121">
        <f t="shared" si="10"/>
        <v>0</v>
      </c>
      <c r="AK61" s="121">
        <f t="shared" si="11"/>
        <v>0</v>
      </c>
      <c r="AL61" s="121">
        <f t="shared" si="12"/>
        <v>0</v>
      </c>
      <c r="AM61" s="122">
        <f t="shared" si="13"/>
        <v>0</v>
      </c>
      <c r="AN61" s="41">
        <f t="shared" si="14"/>
        <v>0</v>
      </c>
      <c r="AO61" s="70">
        <f t="shared" si="15"/>
        <v>0</v>
      </c>
      <c r="AP61" s="70">
        <f t="shared" si="16"/>
        <v>0</v>
      </c>
      <c r="AQ61" s="70">
        <f t="shared" si="17"/>
        <v>0</v>
      </c>
      <c r="AR61" s="70">
        <f t="shared" si="18"/>
        <v>0</v>
      </c>
    </row>
    <row r="62" spans="2:44" ht="14.25" thickBot="1" x14ac:dyDescent="0.3">
      <c r="B62" s="17">
        <v>60</v>
      </c>
      <c r="C62" s="10"/>
      <c r="D62" s="10"/>
      <c r="E62" s="72"/>
      <c r="F62" s="18"/>
      <c r="G62" s="10"/>
      <c r="H62" s="10"/>
      <c r="I62" s="10"/>
      <c r="J62" s="11"/>
      <c r="K62" s="11">
        <f t="shared" si="21"/>
        <v>0</v>
      </c>
      <c r="L62" s="37">
        <f t="shared" si="22"/>
        <v>0</v>
      </c>
      <c r="M62" s="11"/>
      <c r="N62" s="10"/>
      <c r="O62" s="21"/>
      <c r="P62" s="21"/>
      <c r="Q62" s="21"/>
      <c r="R62" s="23"/>
      <c r="S62" s="50"/>
      <c r="T62" s="48"/>
      <c r="U62" s="82"/>
      <c r="V62" s="26"/>
      <c r="W62" s="200"/>
      <c r="X62" s="17"/>
      <c r="Z62">
        <v>10</v>
      </c>
      <c r="AA62" s="417"/>
      <c r="AB62" s="97" t="s">
        <v>3</v>
      </c>
      <c r="AC62" s="106"/>
      <c r="AD62" s="99">
        <f>SUM(AD57:AD61)</f>
        <v>193.28</v>
      </c>
      <c r="AE62" s="99">
        <f t="shared" ref="AE62" si="153">SUM(AE57:AE61)</f>
        <v>56.32</v>
      </c>
      <c r="AF62" s="99">
        <f t="shared" ref="AF62" si="154">SUM(AF57:AF61)</f>
        <v>136.96</v>
      </c>
      <c r="AG62" s="99">
        <f t="shared" ref="AG62" si="155">SUM(AG57:AG61)</f>
        <v>0</v>
      </c>
      <c r="AH62" s="110">
        <f t="shared" ref="AH62" si="156">SUM(AH57:AH61)</f>
        <v>0</v>
      </c>
      <c r="AI62" s="123">
        <f t="shared" ref="AI62" si="157">SUM(AI57:AI61)</f>
        <v>2</v>
      </c>
      <c r="AJ62" s="124">
        <f t="shared" ref="AJ62" si="158">SUM(AJ57:AJ61)</f>
        <v>1</v>
      </c>
      <c r="AK62" s="124">
        <f t="shared" ref="AK62" si="159">SUM(AK57:AK61)</f>
        <v>1</v>
      </c>
      <c r="AL62" s="124">
        <f t="shared" ref="AL62" si="160">SUM(AL57:AL61)</f>
        <v>0</v>
      </c>
      <c r="AM62" s="125">
        <f t="shared" ref="AM62" si="161">SUM(AM57:AM61)</f>
        <v>0</v>
      </c>
      <c r="AN62" s="99">
        <f t="shared" ref="AN62" si="162">SUM(AN57:AN61)</f>
        <v>0</v>
      </c>
      <c r="AO62" s="99">
        <f t="shared" ref="AO62" si="163">SUM(AO57:AO61)</f>
        <v>0</v>
      </c>
      <c r="AP62" s="99">
        <f t="shared" ref="AP62" si="164">SUM(AP57:AP61)</f>
        <v>0</v>
      </c>
      <c r="AQ62" s="99">
        <f t="shared" ref="AQ62" si="165">SUM(AQ57:AQ61)</f>
        <v>0</v>
      </c>
      <c r="AR62" s="99">
        <f t="shared" ref="AR62" si="166">SUM(AR57:AR61)</f>
        <v>0</v>
      </c>
    </row>
    <row r="63" spans="2:44" x14ac:dyDescent="0.25">
      <c r="B63" s="17">
        <v>61</v>
      </c>
      <c r="C63" s="10"/>
      <c r="D63" s="10"/>
      <c r="E63" s="72"/>
      <c r="F63" s="18"/>
      <c r="G63" s="10"/>
      <c r="H63" s="10"/>
      <c r="I63" s="10"/>
      <c r="J63" s="11"/>
      <c r="K63" s="11">
        <f t="shared" si="21"/>
        <v>0</v>
      </c>
      <c r="L63" s="37">
        <f t="shared" si="22"/>
        <v>0</v>
      </c>
      <c r="M63" s="11"/>
      <c r="N63" s="10"/>
      <c r="O63" s="21"/>
      <c r="P63" s="21"/>
      <c r="Q63" s="21"/>
      <c r="R63" s="23"/>
      <c r="S63" s="50"/>
      <c r="T63" s="48"/>
      <c r="U63" s="82"/>
      <c r="V63" s="26"/>
      <c r="W63" s="200"/>
      <c r="X63" s="17"/>
      <c r="Z63">
        <v>11</v>
      </c>
      <c r="AA63" s="415">
        <v>11</v>
      </c>
      <c r="AB63" s="94">
        <v>1</v>
      </c>
      <c r="AC63" s="100" t="s">
        <v>129</v>
      </c>
      <c r="AD63" s="41">
        <f t="shared" si="4"/>
        <v>0</v>
      </c>
      <c r="AE63" s="70">
        <f t="shared" si="5"/>
        <v>0</v>
      </c>
      <c r="AF63" s="70">
        <f t="shared" si="6"/>
        <v>0</v>
      </c>
      <c r="AG63" s="70">
        <f t="shared" si="7"/>
        <v>0</v>
      </c>
      <c r="AH63" s="109">
        <f t="shared" si="8"/>
        <v>0</v>
      </c>
      <c r="AI63" s="120">
        <f t="shared" si="9"/>
        <v>0</v>
      </c>
      <c r="AJ63" s="121">
        <f t="shared" si="10"/>
        <v>0</v>
      </c>
      <c r="AK63" s="121">
        <f t="shared" si="11"/>
        <v>0</v>
      </c>
      <c r="AL63" s="121">
        <f t="shared" si="12"/>
        <v>0</v>
      </c>
      <c r="AM63" s="122">
        <f t="shared" si="13"/>
        <v>0</v>
      </c>
      <c r="AN63" s="41">
        <f t="shared" si="14"/>
        <v>0</v>
      </c>
      <c r="AO63" s="70">
        <f t="shared" si="15"/>
        <v>0</v>
      </c>
      <c r="AP63" s="70">
        <f t="shared" si="16"/>
        <v>0</v>
      </c>
      <c r="AQ63" s="70">
        <f t="shared" si="17"/>
        <v>0</v>
      </c>
      <c r="AR63" s="70">
        <f t="shared" si="18"/>
        <v>0</v>
      </c>
    </row>
    <row r="64" spans="2:44" x14ac:dyDescent="0.25">
      <c r="B64" s="17">
        <v>62</v>
      </c>
      <c r="C64" s="10"/>
      <c r="D64" s="10"/>
      <c r="E64" s="72"/>
      <c r="F64" s="18"/>
      <c r="G64" s="10"/>
      <c r="H64" s="10"/>
      <c r="I64" s="10"/>
      <c r="J64" s="11"/>
      <c r="K64" s="11">
        <f t="shared" si="21"/>
        <v>0</v>
      </c>
      <c r="L64" s="37">
        <f t="shared" si="22"/>
        <v>0</v>
      </c>
      <c r="M64" s="11"/>
      <c r="N64" s="10"/>
      <c r="O64" s="21"/>
      <c r="P64" s="21"/>
      <c r="Q64" s="21"/>
      <c r="R64" s="23"/>
      <c r="S64" s="50"/>
      <c r="T64" s="48"/>
      <c r="U64" s="82"/>
      <c r="V64" s="26"/>
      <c r="W64" s="200"/>
      <c r="X64" s="17"/>
      <c r="Z64">
        <v>11</v>
      </c>
      <c r="AA64" s="416"/>
      <c r="AB64" s="95">
        <v>2</v>
      </c>
      <c r="AC64" s="102" t="s">
        <v>65</v>
      </c>
      <c r="AD64" s="41">
        <f t="shared" si="4"/>
        <v>0</v>
      </c>
      <c r="AE64" s="70">
        <f t="shared" si="5"/>
        <v>0</v>
      </c>
      <c r="AF64" s="70">
        <f t="shared" si="6"/>
        <v>0</v>
      </c>
      <c r="AG64" s="70">
        <f t="shared" si="7"/>
        <v>0</v>
      </c>
      <c r="AH64" s="109">
        <f t="shared" si="8"/>
        <v>0</v>
      </c>
      <c r="AI64" s="120">
        <f t="shared" si="9"/>
        <v>0</v>
      </c>
      <c r="AJ64" s="121">
        <f t="shared" si="10"/>
        <v>0</v>
      </c>
      <c r="AK64" s="121">
        <f t="shared" si="11"/>
        <v>0</v>
      </c>
      <c r="AL64" s="121">
        <f t="shared" si="12"/>
        <v>0</v>
      </c>
      <c r="AM64" s="122">
        <f t="shared" si="13"/>
        <v>0</v>
      </c>
      <c r="AN64" s="41">
        <f t="shared" si="14"/>
        <v>0</v>
      </c>
      <c r="AO64" s="70">
        <f t="shared" si="15"/>
        <v>0</v>
      </c>
      <c r="AP64" s="70">
        <f t="shared" si="16"/>
        <v>0</v>
      </c>
      <c r="AQ64" s="70">
        <f t="shared" si="17"/>
        <v>0</v>
      </c>
      <c r="AR64" s="70">
        <f t="shared" si="18"/>
        <v>0</v>
      </c>
    </row>
    <row r="65" spans="2:44" x14ac:dyDescent="0.25">
      <c r="B65" s="17">
        <v>63</v>
      </c>
      <c r="C65" s="10"/>
      <c r="D65" s="10"/>
      <c r="E65" s="72"/>
      <c r="F65" s="18"/>
      <c r="G65" s="10"/>
      <c r="H65" s="10"/>
      <c r="I65" s="10"/>
      <c r="J65" s="11"/>
      <c r="K65" s="11">
        <f t="shared" si="21"/>
        <v>0</v>
      </c>
      <c r="L65" s="37">
        <f t="shared" si="22"/>
        <v>0</v>
      </c>
      <c r="M65" s="11"/>
      <c r="N65" s="10"/>
      <c r="O65" s="21"/>
      <c r="P65" s="21"/>
      <c r="Q65" s="21"/>
      <c r="R65" s="23"/>
      <c r="S65" s="50"/>
      <c r="T65" s="48"/>
      <c r="U65" s="82"/>
      <c r="V65" s="26"/>
      <c r="W65" s="200"/>
      <c r="X65" s="17"/>
      <c r="Z65">
        <v>11</v>
      </c>
      <c r="AA65" s="416"/>
      <c r="AB65" s="95">
        <v>3</v>
      </c>
      <c r="AC65" s="102" t="s">
        <v>66</v>
      </c>
      <c r="AD65" s="41">
        <f t="shared" si="4"/>
        <v>403.20000000000005</v>
      </c>
      <c r="AE65" s="70">
        <f t="shared" si="5"/>
        <v>0</v>
      </c>
      <c r="AF65" s="70">
        <f t="shared" si="6"/>
        <v>403.20000000000005</v>
      </c>
      <c r="AG65" s="70">
        <f t="shared" si="7"/>
        <v>0</v>
      </c>
      <c r="AH65" s="109">
        <f t="shared" si="8"/>
        <v>0</v>
      </c>
      <c r="AI65" s="120">
        <f t="shared" si="9"/>
        <v>2</v>
      </c>
      <c r="AJ65" s="121">
        <f t="shared" si="10"/>
        <v>0</v>
      </c>
      <c r="AK65" s="121">
        <f t="shared" si="11"/>
        <v>2</v>
      </c>
      <c r="AL65" s="121">
        <f t="shared" si="12"/>
        <v>0</v>
      </c>
      <c r="AM65" s="122">
        <f t="shared" si="13"/>
        <v>0</v>
      </c>
      <c r="AN65" s="41">
        <f t="shared" si="14"/>
        <v>0</v>
      </c>
      <c r="AO65" s="70">
        <f t="shared" si="15"/>
        <v>0</v>
      </c>
      <c r="AP65" s="70">
        <f t="shared" si="16"/>
        <v>0</v>
      </c>
      <c r="AQ65" s="70">
        <f t="shared" si="17"/>
        <v>0</v>
      </c>
      <c r="AR65" s="70">
        <f t="shared" si="18"/>
        <v>0</v>
      </c>
    </row>
    <row r="66" spans="2:44" x14ac:dyDescent="0.25">
      <c r="B66" s="17">
        <v>64</v>
      </c>
      <c r="C66" s="10"/>
      <c r="D66" s="10"/>
      <c r="E66" s="72"/>
      <c r="F66" s="18"/>
      <c r="G66" s="10"/>
      <c r="H66" s="10"/>
      <c r="I66" s="10"/>
      <c r="J66" s="11"/>
      <c r="K66" s="11">
        <f t="shared" si="21"/>
        <v>0</v>
      </c>
      <c r="L66" s="37">
        <f t="shared" si="22"/>
        <v>0</v>
      </c>
      <c r="M66" s="11"/>
      <c r="N66" s="10"/>
      <c r="O66" s="21"/>
      <c r="P66" s="21"/>
      <c r="Q66" s="21"/>
      <c r="R66" s="23"/>
      <c r="S66" s="50"/>
      <c r="T66" s="48"/>
      <c r="U66" s="82"/>
      <c r="V66" s="32"/>
      <c r="W66" s="200"/>
      <c r="X66" s="17"/>
      <c r="Z66">
        <v>11</v>
      </c>
      <c r="AA66" s="416"/>
      <c r="AB66" s="95">
        <v>4</v>
      </c>
      <c r="AC66" s="102" t="s">
        <v>67</v>
      </c>
      <c r="AD66" s="41">
        <f t="shared" si="4"/>
        <v>0</v>
      </c>
      <c r="AE66" s="70">
        <f t="shared" si="5"/>
        <v>0</v>
      </c>
      <c r="AF66" s="70">
        <f t="shared" si="6"/>
        <v>0</v>
      </c>
      <c r="AG66" s="70">
        <f t="shared" si="7"/>
        <v>0</v>
      </c>
      <c r="AH66" s="109">
        <f t="shared" si="8"/>
        <v>0</v>
      </c>
      <c r="AI66" s="120">
        <f t="shared" si="9"/>
        <v>0</v>
      </c>
      <c r="AJ66" s="121">
        <f t="shared" si="10"/>
        <v>0</v>
      </c>
      <c r="AK66" s="121">
        <f t="shared" si="11"/>
        <v>0</v>
      </c>
      <c r="AL66" s="121">
        <f t="shared" si="12"/>
        <v>0</v>
      </c>
      <c r="AM66" s="122">
        <f t="shared" si="13"/>
        <v>0</v>
      </c>
      <c r="AN66" s="41">
        <f t="shared" si="14"/>
        <v>0</v>
      </c>
      <c r="AO66" s="70">
        <f t="shared" si="15"/>
        <v>0</v>
      </c>
      <c r="AP66" s="70">
        <f t="shared" si="16"/>
        <v>0</v>
      </c>
      <c r="AQ66" s="70">
        <f t="shared" si="17"/>
        <v>0</v>
      </c>
      <c r="AR66" s="70">
        <f t="shared" si="18"/>
        <v>0</v>
      </c>
    </row>
    <row r="67" spans="2:44" x14ac:dyDescent="0.25">
      <c r="B67" s="17">
        <v>65</v>
      </c>
      <c r="C67" s="10"/>
      <c r="D67" s="10"/>
      <c r="E67" s="72"/>
      <c r="F67" s="18"/>
      <c r="G67" s="10"/>
      <c r="H67" s="10"/>
      <c r="I67" s="10"/>
      <c r="J67" s="11"/>
      <c r="K67" s="11">
        <f t="shared" si="21"/>
        <v>0</v>
      </c>
      <c r="L67" s="37">
        <f t="shared" si="22"/>
        <v>0</v>
      </c>
      <c r="M67" s="11"/>
      <c r="N67" s="10"/>
      <c r="O67" s="21"/>
      <c r="P67" s="21"/>
      <c r="Q67" s="21"/>
      <c r="R67" s="23"/>
      <c r="S67" s="50"/>
      <c r="T67" s="48"/>
      <c r="U67" s="82"/>
      <c r="V67" s="32"/>
      <c r="W67" s="200"/>
      <c r="X67" s="17"/>
      <c r="Z67">
        <v>11</v>
      </c>
      <c r="AA67" s="416"/>
      <c r="AB67" s="96">
        <v>5</v>
      </c>
      <c r="AC67" s="105"/>
      <c r="AD67" s="41">
        <f t="shared" si="4"/>
        <v>0</v>
      </c>
      <c r="AE67" s="70">
        <f t="shared" si="5"/>
        <v>0</v>
      </c>
      <c r="AF67" s="70">
        <f t="shared" si="6"/>
        <v>0</v>
      </c>
      <c r="AG67" s="70">
        <f t="shared" si="7"/>
        <v>0</v>
      </c>
      <c r="AH67" s="109">
        <f t="shared" si="8"/>
        <v>0</v>
      </c>
      <c r="AI67" s="120">
        <f t="shared" si="9"/>
        <v>0</v>
      </c>
      <c r="AJ67" s="121">
        <f t="shared" si="10"/>
        <v>0</v>
      </c>
      <c r="AK67" s="121">
        <f t="shared" si="11"/>
        <v>0</v>
      </c>
      <c r="AL67" s="121">
        <f t="shared" si="12"/>
        <v>0</v>
      </c>
      <c r="AM67" s="122">
        <f t="shared" si="13"/>
        <v>0</v>
      </c>
      <c r="AN67" s="41">
        <f t="shared" si="14"/>
        <v>0</v>
      </c>
      <c r="AO67" s="70">
        <f t="shared" si="15"/>
        <v>0</v>
      </c>
      <c r="AP67" s="70">
        <f t="shared" si="16"/>
        <v>0</v>
      </c>
      <c r="AQ67" s="70">
        <f t="shared" si="17"/>
        <v>0</v>
      </c>
      <c r="AR67" s="70">
        <f t="shared" si="18"/>
        <v>0</v>
      </c>
    </row>
    <row r="68" spans="2:44" ht="14.25" thickBot="1" x14ac:dyDescent="0.3">
      <c r="B68" s="17">
        <v>66</v>
      </c>
      <c r="C68" s="10"/>
      <c r="D68" s="10"/>
      <c r="E68" s="72"/>
      <c r="F68" s="18"/>
      <c r="G68" s="10"/>
      <c r="H68" s="10"/>
      <c r="I68" s="10"/>
      <c r="J68" s="11"/>
      <c r="K68" s="11">
        <f t="shared" ref="K68:K131" si="167">J68*1.1</f>
        <v>0</v>
      </c>
      <c r="L68" s="37">
        <f t="shared" ref="L68:L131" si="168">J68*0.00000001</f>
        <v>0</v>
      </c>
      <c r="M68" s="11"/>
      <c r="N68" s="10"/>
      <c r="O68" s="21"/>
      <c r="P68" s="21"/>
      <c r="Q68" s="21"/>
      <c r="R68" s="23"/>
      <c r="S68" s="50"/>
      <c r="T68" s="48"/>
      <c r="U68" s="82"/>
      <c r="V68" s="32"/>
      <c r="W68" s="200"/>
      <c r="X68" s="17"/>
      <c r="Z68">
        <v>11</v>
      </c>
      <c r="AA68" s="417"/>
      <c r="AB68" s="97" t="s">
        <v>3</v>
      </c>
      <c r="AC68" s="106"/>
      <c r="AD68" s="99">
        <f>SUM(AD63:AD67)</f>
        <v>403.20000000000005</v>
      </c>
      <c r="AE68" s="99">
        <f t="shared" ref="AE68" si="169">SUM(AE63:AE67)</f>
        <v>0</v>
      </c>
      <c r="AF68" s="99">
        <f t="shared" ref="AF68" si="170">SUM(AF63:AF67)</f>
        <v>403.20000000000005</v>
      </c>
      <c r="AG68" s="99">
        <f t="shared" ref="AG68" si="171">SUM(AG63:AG67)</f>
        <v>0</v>
      </c>
      <c r="AH68" s="110">
        <f t="shared" ref="AH68" si="172">SUM(AH63:AH67)</f>
        <v>0</v>
      </c>
      <c r="AI68" s="123">
        <f t="shared" ref="AI68" si="173">SUM(AI63:AI67)</f>
        <v>2</v>
      </c>
      <c r="AJ68" s="124">
        <f t="shared" ref="AJ68" si="174">SUM(AJ63:AJ67)</f>
        <v>0</v>
      </c>
      <c r="AK68" s="124">
        <f t="shared" ref="AK68" si="175">SUM(AK63:AK67)</f>
        <v>2</v>
      </c>
      <c r="AL68" s="124">
        <f t="shared" ref="AL68" si="176">SUM(AL63:AL67)</f>
        <v>0</v>
      </c>
      <c r="AM68" s="125">
        <f t="shared" ref="AM68" si="177">SUM(AM63:AM67)</f>
        <v>0</v>
      </c>
      <c r="AN68" s="99">
        <f t="shared" ref="AN68" si="178">SUM(AN63:AN67)</f>
        <v>0</v>
      </c>
      <c r="AO68" s="99">
        <f t="shared" ref="AO68" si="179">SUM(AO63:AO67)</f>
        <v>0</v>
      </c>
      <c r="AP68" s="99">
        <f t="shared" ref="AP68" si="180">SUM(AP63:AP67)</f>
        <v>0</v>
      </c>
      <c r="AQ68" s="99">
        <f t="shared" ref="AQ68" si="181">SUM(AQ63:AQ67)</f>
        <v>0</v>
      </c>
      <c r="AR68" s="99">
        <f t="shared" ref="AR68" si="182">SUM(AR63:AR67)</f>
        <v>0</v>
      </c>
    </row>
    <row r="69" spans="2:44" x14ac:dyDescent="0.25">
      <c r="B69" s="17">
        <v>67</v>
      </c>
      <c r="C69" s="10"/>
      <c r="D69" s="10"/>
      <c r="E69" s="72"/>
      <c r="F69" s="18"/>
      <c r="G69" s="10"/>
      <c r="H69" s="10"/>
      <c r="I69" s="10"/>
      <c r="J69" s="11"/>
      <c r="K69" s="11">
        <f t="shared" si="167"/>
        <v>0</v>
      </c>
      <c r="L69" s="37">
        <f t="shared" si="168"/>
        <v>0</v>
      </c>
      <c r="M69" s="11"/>
      <c r="N69" s="10"/>
      <c r="O69" s="21"/>
      <c r="P69" s="21"/>
      <c r="Q69" s="21"/>
      <c r="R69" s="23"/>
      <c r="S69" s="50"/>
      <c r="T69" s="48"/>
      <c r="U69" s="82"/>
      <c r="V69" s="32"/>
      <c r="W69" s="200"/>
      <c r="X69" s="17"/>
      <c r="Z69">
        <v>12</v>
      </c>
      <c r="AA69" s="422">
        <v>12</v>
      </c>
      <c r="AB69" s="98">
        <v>1</v>
      </c>
      <c r="AC69" s="107" t="s">
        <v>130</v>
      </c>
      <c r="AD69" s="41">
        <f t="shared" ref="AD69:AD73" si="183">SUM(AE69:AH69)</f>
        <v>0</v>
      </c>
      <c r="AE69" s="70">
        <f t="shared" ref="AE69:AE73" si="184">SUMIFS($I:$I,$C:$C, $AE$2,$G:$G,$Z69,$H:$H,$AB69)</f>
        <v>0</v>
      </c>
      <c r="AF69" s="70">
        <f t="shared" ref="AF69:AF73" si="185">SUMIFS($I:$I,$C:$C, $AF$2,$G:$G,$Z69,$H:$H,$AB69)</f>
        <v>0</v>
      </c>
      <c r="AG69" s="70">
        <f t="shared" ref="AG69:AG73" si="186">SUMIFS($I:$I,$C:$C, $AG$2,$G:$G,$Z69,$H:$H,$AB69)</f>
        <v>0</v>
      </c>
      <c r="AH69" s="109">
        <f t="shared" ref="AH69:AH73" si="187">SUMIFS($I:$I,$C:$C, $AH$2,$G:$G,$Z69,$H:$H,$AB69)</f>
        <v>0</v>
      </c>
      <c r="AI69" s="120">
        <f t="shared" ref="AI69:AI73" si="188">SUM(AJ69:AM69)</f>
        <v>0</v>
      </c>
      <c r="AJ69" s="121">
        <f t="shared" ref="AJ69:AJ73" si="189">COUNTIFS($C:$C, $AJ$2,$G:$G,$Z69,$H:$H,$AB69)</f>
        <v>0</v>
      </c>
      <c r="AK69" s="121">
        <f t="shared" ref="AK69:AK73" si="190">COUNTIFS($C:$C, $AK$2,$G:$G,$Z69,$H:$H,$AB69)</f>
        <v>0</v>
      </c>
      <c r="AL69" s="121">
        <f t="shared" ref="AL69:AL73" si="191">COUNTIFS($C:$C, $AL$2,$G:$G,$Z69,$H:$H,$AB69)</f>
        <v>0</v>
      </c>
      <c r="AM69" s="122">
        <f t="shared" ref="AM69:AM73" si="192">COUNTIFS($C:$C, $AM$2,$G:$G,$Z69,$H:$H,$AB69)</f>
        <v>0</v>
      </c>
      <c r="AN69" s="41">
        <f t="shared" ref="AN69:AN73" si="193">SUM(AO69:AR69)</f>
        <v>0</v>
      </c>
      <c r="AO69" s="70">
        <f t="shared" ref="AO69:AO73" si="194">SUMIFS($L:$L,$C:$C, $AO$2,$G:$G,$Z69,$H:$H,$AB69)</f>
        <v>0</v>
      </c>
      <c r="AP69" s="70">
        <f t="shared" ref="AP69:AP73" si="195">SUMIFS($L:$L,$C:$C, $AP$2,$G:$G,$Z69,$H:$H,$AB69)</f>
        <v>0</v>
      </c>
      <c r="AQ69" s="70">
        <f t="shared" ref="AQ69:AQ73" si="196">SUMIFS($L:$L,$C:$C, $AQ$2,$G:$G,$Z69,$H:$H,$AB69)</f>
        <v>0</v>
      </c>
      <c r="AR69" s="70">
        <f t="shared" ref="AR69:AR73" si="197">SUMIFS($L:$L,$C:$C, $AR$2,$G:$G,$Z69,$H:$H,$AB69)</f>
        <v>0</v>
      </c>
    </row>
    <row r="70" spans="2:44" x14ac:dyDescent="0.25">
      <c r="B70" s="17">
        <v>68</v>
      </c>
      <c r="C70" s="10"/>
      <c r="D70" s="10"/>
      <c r="E70" s="72"/>
      <c r="F70" s="18"/>
      <c r="G70" s="10"/>
      <c r="H70" s="10"/>
      <c r="I70" s="10"/>
      <c r="J70" s="11"/>
      <c r="K70" s="11">
        <f t="shared" si="167"/>
        <v>0</v>
      </c>
      <c r="L70" s="37">
        <f t="shared" si="168"/>
        <v>0</v>
      </c>
      <c r="M70" s="11"/>
      <c r="N70" s="10"/>
      <c r="O70" s="21"/>
      <c r="P70" s="21"/>
      <c r="Q70" s="21"/>
      <c r="R70" s="23"/>
      <c r="S70" s="50"/>
      <c r="T70" s="48"/>
      <c r="U70" s="82"/>
      <c r="V70" s="26"/>
      <c r="W70" s="200"/>
      <c r="X70" s="17"/>
      <c r="Z70">
        <v>12</v>
      </c>
      <c r="AA70" s="416"/>
      <c r="AB70" s="95">
        <v>2</v>
      </c>
      <c r="AC70" s="102" t="s">
        <v>125</v>
      </c>
      <c r="AD70" s="41">
        <f t="shared" si="183"/>
        <v>0</v>
      </c>
      <c r="AE70" s="70">
        <f t="shared" si="184"/>
        <v>0</v>
      </c>
      <c r="AF70" s="70">
        <f t="shared" si="185"/>
        <v>0</v>
      </c>
      <c r="AG70" s="70">
        <f t="shared" si="186"/>
        <v>0</v>
      </c>
      <c r="AH70" s="109">
        <f t="shared" si="187"/>
        <v>0</v>
      </c>
      <c r="AI70" s="120">
        <f t="shared" si="188"/>
        <v>0</v>
      </c>
      <c r="AJ70" s="121">
        <f t="shared" si="189"/>
        <v>0</v>
      </c>
      <c r="AK70" s="121">
        <f t="shared" si="190"/>
        <v>0</v>
      </c>
      <c r="AL70" s="121">
        <f t="shared" si="191"/>
        <v>0</v>
      </c>
      <c r="AM70" s="122">
        <f t="shared" si="192"/>
        <v>0</v>
      </c>
      <c r="AN70" s="41">
        <f t="shared" si="193"/>
        <v>0</v>
      </c>
      <c r="AO70" s="70">
        <f t="shared" si="194"/>
        <v>0</v>
      </c>
      <c r="AP70" s="70">
        <f t="shared" si="195"/>
        <v>0</v>
      </c>
      <c r="AQ70" s="70">
        <f t="shared" si="196"/>
        <v>0</v>
      </c>
      <c r="AR70" s="70">
        <f t="shared" si="197"/>
        <v>0</v>
      </c>
    </row>
    <row r="71" spans="2:44" x14ac:dyDescent="0.25">
      <c r="B71" s="17">
        <v>69</v>
      </c>
      <c r="C71" s="10"/>
      <c r="D71" s="10"/>
      <c r="E71" s="72"/>
      <c r="F71" s="18"/>
      <c r="G71" s="10"/>
      <c r="H71" s="10"/>
      <c r="I71" s="10"/>
      <c r="J71" s="11"/>
      <c r="K71" s="11">
        <f t="shared" si="167"/>
        <v>0</v>
      </c>
      <c r="L71" s="37">
        <f t="shared" si="168"/>
        <v>0</v>
      </c>
      <c r="M71" s="11"/>
      <c r="N71" s="10"/>
      <c r="O71" s="21"/>
      <c r="P71" s="21"/>
      <c r="Q71" s="21"/>
      <c r="R71" s="23"/>
      <c r="S71" s="50"/>
      <c r="T71" s="48"/>
      <c r="U71" s="82"/>
      <c r="V71" s="26"/>
      <c r="W71" s="200"/>
      <c r="X71" s="17"/>
      <c r="Z71">
        <v>12</v>
      </c>
      <c r="AA71" s="416"/>
      <c r="AB71" s="95">
        <v>3</v>
      </c>
      <c r="AC71" s="102" t="s">
        <v>126</v>
      </c>
      <c r="AD71" s="41">
        <f t="shared" si="183"/>
        <v>177.375</v>
      </c>
      <c r="AE71" s="70">
        <f t="shared" si="184"/>
        <v>0</v>
      </c>
      <c r="AF71" s="70">
        <f t="shared" si="185"/>
        <v>177.375</v>
      </c>
      <c r="AG71" s="70">
        <f t="shared" si="186"/>
        <v>0</v>
      </c>
      <c r="AH71" s="109">
        <f t="shared" si="187"/>
        <v>0</v>
      </c>
      <c r="AI71" s="120">
        <f t="shared" si="188"/>
        <v>1</v>
      </c>
      <c r="AJ71" s="121">
        <f t="shared" si="189"/>
        <v>0</v>
      </c>
      <c r="AK71" s="121">
        <f t="shared" si="190"/>
        <v>1</v>
      </c>
      <c r="AL71" s="121">
        <f t="shared" si="191"/>
        <v>0</v>
      </c>
      <c r="AM71" s="122">
        <f t="shared" si="192"/>
        <v>0</v>
      </c>
      <c r="AN71" s="41">
        <f t="shared" si="193"/>
        <v>0</v>
      </c>
      <c r="AO71" s="70">
        <f t="shared" si="194"/>
        <v>0</v>
      </c>
      <c r="AP71" s="70">
        <f t="shared" si="195"/>
        <v>0</v>
      </c>
      <c r="AQ71" s="70">
        <f t="shared" si="196"/>
        <v>0</v>
      </c>
      <c r="AR71" s="70">
        <f t="shared" si="197"/>
        <v>0</v>
      </c>
    </row>
    <row r="72" spans="2:44" x14ac:dyDescent="0.25">
      <c r="B72" s="17">
        <v>70</v>
      </c>
      <c r="C72" s="10"/>
      <c r="D72" s="10"/>
      <c r="E72" s="72"/>
      <c r="F72" s="18"/>
      <c r="G72" s="10"/>
      <c r="H72" s="10"/>
      <c r="I72" s="10"/>
      <c r="J72" s="11"/>
      <c r="K72" s="11">
        <f t="shared" si="167"/>
        <v>0</v>
      </c>
      <c r="L72" s="37">
        <f t="shared" si="168"/>
        <v>0</v>
      </c>
      <c r="M72" s="11"/>
      <c r="N72" s="10"/>
      <c r="O72" s="21"/>
      <c r="P72" s="21"/>
      <c r="Q72" s="21"/>
      <c r="R72" s="23"/>
      <c r="S72" s="50"/>
      <c r="T72" s="48"/>
      <c r="U72" s="82"/>
      <c r="V72" s="26"/>
      <c r="W72" s="200"/>
      <c r="X72" s="17"/>
      <c r="Z72">
        <v>12</v>
      </c>
      <c r="AA72" s="416"/>
      <c r="AB72" s="95">
        <v>4</v>
      </c>
      <c r="AC72" s="102" t="s">
        <v>127</v>
      </c>
      <c r="AD72" s="41">
        <f t="shared" si="183"/>
        <v>0</v>
      </c>
      <c r="AE72" s="70">
        <f t="shared" si="184"/>
        <v>0</v>
      </c>
      <c r="AF72" s="70">
        <f t="shared" si="185"/>
        <v>0</v>
      </c>
      <c r="AG72" s="70">
        <f t="shared" si="186"/>
        <v>0</v>
      </c>
      <c r="AH72" s="109">
        <f t="shared" si="187"/>
        <v>0</v>
      </c>
      <c r="AI72" s="120">
        <f t="shared" si="188"/>
        <v>0</v>
      </c>
      <c r="AJ72" s="121">
        <f t="shared" si="189"/>
        <v>0</v>
      </c>
      <c r="AK72" s="121">
        <f t="shared" si="190"/>
        <v>0</v>
      </c>
      <c r="AL72" s="121">
        <f t="shared" si="191"/>
        <v>0</v>
      </c>
      <c r="AM72" s="122">
        <f t="shared" si="192"/>
        <v>0</v>
      </c>
      <c r="AN72" s="41">
        <f t="shared" si="193"/>
        <v>0</v>
      </c>
      <c r="AO72" s="70">
        <f t="shared" si="194"/>
        <v>0</v>
      </c>
      <c r="AP72" s="70">
        <f t="shared" si="195"/>
        <v>0</v>
      </c>
      <c r="AQ72" s="70">
        <f t="shared" si="196"/>
        <v>0</v>
      </c>
      <c r="AR72" s="70">
        <f t="shared" si="197"/>
        <v>0</v>
      </c>
    </row>
    <row r="73" spans="2:44" x14ac:dyDescent="0.25">
      <c r="B73" s="17">
        <v>71</v>
      </c>
      <c r="C73" s="10"/>
      <c r="D73" s="10"/>
      <c r="E73" s="72"/>
      <c r="F73" s="18"/>
      <c r="G73" s="10"/>
      <c r="H73" s="10"/>
      <c r="I73" s="10"/>
      <c r="J73" s="11"/>
      <c r="K73" s="11">
        <f t="shared" si="167"/>
        <v>0</v>
      </c>
      <c r="L73" s="37">
        <f t="shared" si="168"/>
        <v>0</v>
      </c>
      <c r="M73" s="11"/>
      <c r="N73" s="10"/>
      <c r="O73" s="21"/>
      <c r="P73" s="21"/>
      <c r="Q73" s="21"/>
      <c r="R73" s="23"/>
      <c r="S73" s="50"/>
      <c r="T73" s="48"/>
      <c r="U73" s="82"/>
      <c r="V73" s="26"/>
      <c r="W73" s="200"/>
      <c r="X73" s="17"/>
      <c r="Z73">
        <v>12</v>
      </c>
      <c r="AA73" s="416"/>
      <c r="AB73" s="96">
        <v>5</v>
      </c>
      <c r="AC73" s="105" t="s">
        <v>131</v>
      </c>
      <c r="AD73" s="41">
        <f t="shared" si="183"/>
        <v>0</v>
      </c>
      <c r="AE73" s="70">
        <f t="shared" si="184"/>
        <v>0</v>
      </c>
      <c r="AF73" s="70">
        <f t="shared" si="185"/>
        <v>0</v>
      </c>
      <c r="AG73" s="70">
        <f t="shared" si="186"/>
        <v>0</v>
      </c>
      <c r="AH73" s="109">
        <f t="shared" si="187"/>
        <v>0</v>
      </c>
      <c r="AI73" s="120">
        <f t="shared" si="188"/>
        <v>0</v>
      </c>
      <c r="AJ73" s="121">
        <f t="shared" si="189"/>
        <v>0</v>
      </c>
      <c r="AK73" s="121">
        <f t="shared" si="190"/>
        <v>0</v>
      </c>
      <c r="AL73" s="121">
        <f t="shared" si="191"/>
        <v>0</v>
      </c>
      <c r="AM73" s="122">
        <f t="shared" si="192"/>
        <v>0</v>
      </c>
      <c r="AN73" s="41">
        <f t="shared" si="193"/>
        <v>0</v>
      </c>
      <c r="AO73" s="70">
        <f t="shared" si="194"/>
        <v>0</v>
      </c>
      <c r="AP73" s="70">
        <f t="shared" si="195"/>
        <v>0</v>
      </c>
      <c r="AQ73" s="70">
        <f t="shared" si="196"/>
        <v>0</v>
      </c>
      <c r="AR73" s="70">
        <f t="shared" si="197"/>
        <v>0</v>
      </c>
    </row>
    <row r="74" spans="2:44" ht="14.25" thickBot="1" x14ac:dyDescent="0.3">
      <c r="B74" s="17">
        <v>72</v>
      </c>
      <c r="C74" s="10"/>
      <c r="D74" s="10"/>
      <c r="E74" s="72"/>
      <c r="F74" s="18"/>
      <c r="G74" s="10"/>
      <c r="H74" s="10"/>
      <c r="I74" s="10"/>
      <c r="J74" s="11"/>
      <c r="K74" s="11">
        <f t="shared" si="167"/>
        <v>0</v>
      </c>
      <c r="L74" s="37">
        <f t="shared" si="168"/>
        <v>0</v>
      </c>
      <c r="M74" s="11"/>
      <c r="N74" s="10"/>
      <c r="O74" s="21"/>
      <c r="P74" s="21"/>
      <c r="Q74" s="21"/>
      <c r="R74" s="23"/>
      <c r="S74" s="50"/>
      <c r="T74" s="48"/>
      <c r="U74" s="82"/>
      <c r="V74" s="26"/>
      <c r="W74" s="200"/>
      <c r="X74" s="17"/>
      <c r="Z74">
        <v>12</v>
      </c>
      <c r="AA74" s="417"/>
      <c r="AB74" s="97" t="s">
        <v>3</v>
      </c>
      <c r="AC74" s="106"/>
      <c r="AD74" s="99">
        <f>SUM(AD69:AD73)</f>
        <v>177.375</v>
      </c>
      <c r="AE74" s="99">
        <f t="shared" ref="AE74:AR74" si="198">SUM(AE69:AE73)</f>
        <v>0</v>
      </c>
      <c r="AF74" s="99">
        <f t="shared" si="198"/>
        <v>177.375</v>
      </c>
      <c r="AG74" s="99">
        <f t="shared" si="198"/>
        <v>0</v>
      </c>
      <c r="AH74" s="110">
        <f t="shared" si="198"/>
        <v>0</v>
      </c>
      <c r="AI74" s="123">
        <f t="shared" si="198"/>
        <v>1</v>
      </c>
      <c r="AJ74" s="124">
        <f t="shared" si="198"/>
        <v>0</v>
      </c>
      <c r="AK74" s="124">
        <f t="shared" si="198"/>
        <v>1</v>
      </c>
      <c r="AL74" s="124">
        <f t="shared" si="198"/>
        <v>0</v>
      </c>
      <c r="AM74" s="125">
        <f t="shared" si="198"/>
        <v>0</v>
      </c>
      <c r="AN74" s="99">
        <f t="shared" si="198"/>
        <v>0</v>
      </c>
      <c r="AO74" s="99">
        <f t="shared" si="198"/>
        <v>0</v>
      </c>
      <c r="AP74" s="99">
        <f t="shared" si="198"/>
        <v>0</v>
      </c>
      <c r="AQ74" s="99">
        <f t="shared" si="198"/>
        <v>0</v>
      </c>
      <c r="AR74" s="99">
        <f t="shared" si="198"/>
        <v>0</v>
      </c>
    </row>
    <row r="75" spans="2:44" ht="17.25" thickBot="1" x14ac:dyDescent="0.3">
      <c r="B75" s="17">
        <v>73</v>
      </c>
      <c r="C75" s="10"/>
      <c r="D75" s="10"/>
      <c r="E75" s="72"/>
      <c r="F75" s="18"/>
      <c r="G75" s="10"/>
      <c r="H75" s="10"/>
      <c r="I75" s="10"/>
      <c r="J75" s="11"/>
      <c r="K75" s="11">
        <f t="shared" si="167"/>
        <v>0</v>
      </c>
      <c r="L75" s="37">
        <f t="shared" si="168"/>
        <v>0</v>
      </c>
      <c r="M75" s="11"/>
      <c r="N75" s="10"/>
      <c r="O75" s="21"/>
      <c r="P75" s="21"/>
      <c r="Q75" s="21"/>
      <c r="R75" s="23"/>
      <c r="S75" s="50"/>
      <c r="T75" s="48"/>
      <c r="U75" s="82"/>
      <c r="V75" s="32"/>
      <c r="W75" s="200"/>
      <c r="X75" s="17"/>
      <c r="AA75" s="418" t="s">
        <v>36</v>
      </c>
      <c r="AB75" s="419"/>
      <c r="AC75" s="108"/>
      <c r="AD75" s="90">
        <f>SUM(AD8,AD14,AD20,AD26,AD32,AD38,AD44,AD50,AD56,AD62,AD68,AD74)</f>
        <v>7857.99</v>
      </c>
      <c r="AE75" s="90"/>
      <c r="AF75" s="90"/>
      <c r="AG75" s="91"/>
      <c r="AH75" s="91"/>
      <c r="AI75" s="126"/>
      <c r="AJ75" s="127"/>
      <c r="AK75" s="127"/>
      <c r="AL75" s="127"/>
      <c r="AM75" s="128"/>
      <c r="AN75" s="92"/>
      <c r="AO75" s="92"/>
      <c r="AP75" s="92"/>
      <c r="AQ75" s="92"/>
      <c r="AR75" s="93"/>
    </row>
    <row r="76" spans="2:44" x14ac:dyDescent="0.25">
      <c r="B76" s="17">
        <v>74</v>
      </c>
      <c r="C76" s="10"/>
      <c r="D76" s="10"/>
      <c r="E76" s="72"/>
      <c r="F76" s="18"/>
      <c r="G76" s="10"/>
      <c r="H76" s="10"/>
      <c r="I76" s="10"/>
      <c r="J76" s="11"/>
      <c r="K76" s="11">
        <f t="shared" si="167"/>
        <v>0</v>
      </c>
      <c r="L76" s="37">
        <f t="shared" si="168"/>
        <v>0</v>
      </c>
      <c r="M76" s="11"/>
      <c r="N76" s="10"/>
      <c r="O76" s="21"/>
      <c r="P76" s="21"/>
      <c r="Q76" s="21"/>
      <c r="R76" s="23"/>
      <c r="S76" s="50"/>
      <c r="T76" s="48"/>
      <c r="U76" s="82"/>
      <c r="V76" s="32"/>
      <c r="W76" s="200"/>
      <c r="X76" s="17"/>
    </row>
    <row r="77" spans="2:44" x14ac:dyDescent="0.25">
      <c r="B77" s="17">
        <v>75</v>
      </c>
      <c r="C77" s="10"/>
      <c r="D77" s="10"/>
      <c r="E77" s="72"/>
      <c r="F77" s="18"/>
      <c r="G77" s="10"/>
      <c r="H77" s="10"/>
      <c r="I77" s="10"/>
      <c r="J77" s="11"/>
      <c r="K77" s="11">
        <f t="shared" si="167"/>
        <v>0</v>
      </c>
      <c r="L77" s="37">
        <f t="shared" si="168"/>
        <v>0</v>
      </c>
      <c r="M77" s="11"/>
      <c r="N77" s="10"/>
      <c r="O77" s="21"/>
      <c r="P77" s="21"/>
      <c r="Q77" s="21"/>
      <c r="R77" s="23"/>
      <c r="S77" s="50"/>
      <c r="T77" s="48"/>
      <c r="U77" s="82"/>
      <c r="V77" s="26"/>
      <c r="W77" s="200"/>
      <c r="X77" s="17"/>
    </row>
    <row r="78" spans="2:44" x14ac:dyDescent="0.25">
      <c r="B78" s="17">
        <v>76</v>
      </c>
      <c r="C78" s="10"/>
      <c r="D78" s="10"/>
      <c r="E78" s="72"/>
      <c r="F78" s="18"/>
      <c r="G78" s="10"/>
      <c r="H78" s="10"/>
      <c r="I78" s="10"/>
      <c r="J78" s="11"/>
      <c r="K78" s="11">
        <f t="shared" si="167"/>
        <v>0</v>
      </c>
      <c r="L78" s="37">
        <f t="shared" si="168"/>
        <v>0</v>
      </c>
      <c r="M78" s="11"/>
      <c r="N78" s="10"/>
      <c r="O78" s="21"/>
      <c r="P78" s="21"/>
      <c r="Q78" s="21"/>
      <c r="R78" s="23"/>
      <c r="S78" s="50"/>
      <c r="T78" s="48"/>
      <c r="U78" s="82"/>
      <c r="V78" s="26"/>
      <c r="W78" s="200"/>
      <c r="X78" s="17"/>
    </row>
    <row r="79" spans="2:44" x14ac:dyDescent="0.25">
      <c r="B79" s="17">
        <v>77</v>
      </c>
      <c r="C79" s="10"/>
      <c r="D79" s="10"/>
      <c r="E79" s="72"/>
      <c r="F79" s="18"/>
      <c r="G79" s="10"/>
      <c r="H79" s="10"/>
      <c r="I79" s="10"/>
      <c r="J79" s="11"/>
      <c r="K79" s="11">
        <f t="shared" si="167"/>
        <v>0</v>
      </c>
      <c r="L79" s="37">
        <f t="shared" si="168"/>
        <v>0</v>
      </c>
      <c r="M79" s="11"/>
      <c r="N79" s="10"/>
      <c r="O79" s="21"/>
      <c r="P79" s="21"/>
      <c r="Q79" s="21"/>
      <c r="R79" s="23"/>
      <c r="S79" s="50"/>
      <c r="T79" s="48"/>
      <c r="U79" s="82"/>
      <c r="V79" s="26"/>
      <c r="W79" s="200"/>
      <c r="X79" s="17"/>
    </row>
    <row r="80" spans="2:44" x14ac:dyDescent="0.25">
      <c r="B80" s="17">
        <v>78</v>
      </c>
      <c r="C80" s="10"/>
      <c r="D80" s="10"/>
      <c r="E80" s="72"/>
      <c r="F80" s="18"/>
      <c r="G80" s="10"/>
      <c r="H80" s="10"/>
      <c r="I80" s="10"/>
      <c r="J80" s="11"/>
      <c r="K80" s="11">
        <f t="shared" si="167"/>
        <v>0</v>
      </c>
      <c r="L80" s="37">
        <f t="shared" si="168"/>
        <v>0</v>
      </c>
      <c r="M80" s="11"/>
      <c r="N80" s="10"/>
      <c r="O80" s="21"/>
      <c r="P80" s="21"/>
      <c r="Q80" s="21"/>
      <c r="R80" s="23"/>
      <c r="S80" s="50"/>
      <c r="T80" s="48"/>
      <c r="U80" s="82"/>
      <c r="V80" s="26"/>
      <c r="W80" s="200"/>
      <c r="X80" s="17"/>
    </row>
    <row r="81" spans="2:24" x14ac:dyDescent="0.25">
      <c r="B81" s="17">
        <v>79</v>
      </c>
      <c r="C81" s="10"/>
      <c r="D81" s="10"/>
      <c r="E81" s="72"/>
      <c r="F81" s="18"/>
      <c r="G81" s="10"/>
      <c r="H81" s="10"/>
      <c r="I81" s="10"/>
      <c r="J81" s="11"/>
      <c r="K81" s="11">
        <f t="shared" si="167"/>
        <v>0</v>
      </c>
      <c r="L81" s="37">
        <f t="shared" si="168"/>
        <v>0</v>
      </c>
      <c r="M81" s="11"/>
      <c r="N81" s="10"/>
      <c r="O81" s="21"/>
      <c r="P81" s="21"/>
      <c r="Q81" s="21"/>
      <c r="R81" s="23"/>
      <c r="S81" s="50"/>
      <c r="T81" s="48"/>
      <c r="U81" s="82"/>
      <c r="V81" s="32"/>
      <c r="W81" s="200"/>
      <c r="X81" s="17"/>
    </row>
    <row r="82" spans="2:24" x14ac:dyDescent="0.25">
      <c r="B82" s="17">
        <v>80</v>
      </c>
      <c r="C82" s="10"/>
      <c r="D82" s="10"/>
      <c r="E82" s="72"/>
      <c r="F82" s="18"/>
      <c r="G82" s="10"/>
      <c r="H82" s="10"/>
      <c r="I82" s="10"/>
      <c r="J82" s="11"/>
      <c r="K82" s="11">
        <f t="shared" si="167"/>
        <v>0</v>
      </c>
      <c r="L82" s="37">
        <f t="shared" si="168"/>
        <v>0</v>
      </c>
      <c r="M82" s="11"/>
      <c r="N82" s="10"/>
      <c r="O82" s="21"/>
      <c r="P82" s="21"/>
      <c r="Q82" s="21"/>
      <c r="R82" s="23"/>
      <c r="S82" s="50"/>
      <c r="T82" s="48"/>
      <c r="U82" s="82"/>
      <c r="V82" s="32"/>
      <c r="W82" s="200"/>
      <c r="X82" s="17"/>
    </row>
    <row r="83" spans="2:24" x14ac:dyDescent="0.25">
      <c r="B83" s="17">
        <v>81</v>
      </c>
      <c r="C83" s="10"/>
      <c r="D83" s="10"/>
      <c r="E83" s="72"/>
      <c r="F83" s="18"/>
      <c r="G83" s="10"/>
      <c r="H83" s="10"/>
      <c r="I83" s="10"/>
      <c r="J83" s="11"/>
      <c r="K83" s="11">
        <f t="shared" si="167"/>
        <v>0</v>
      </c>
      <c r="L83" s="37">
        <f t="shared" si="168"/>
        <v>0</v>
      </c>
      <c r="M83" s="11"/>
      <c r="N83" s="10"/>
      <c r="O83" s="21"/>
      <c r="P83" s="21"/>
      <c r="Q83" s="21"/>
      <c r="R83" s="23"/>
      <c r="S83" s="50"/>
      <c r="T83" s="48"/>
      <c r="U83" s="82"/>
      <c r="V83" s="26"/>
      <c r="W83" s="200"/>
      <c r="X83" s="17"/>
    </row>
    <row r="84" spans="2:24" x14ac:dyDescent="0.25">
      <c r="B84" s="17">
        <v>82</v>
      </c>
      <c r="C84" s="10"/>
      <c r="D84" s="10"/>
      <c r="E84" s="72"/>
      <c r="F84" s="18"/>
      <c r="G84" s="10"/>
      <c r="H84" s="10"/>
      <c r="I84" s="10"/>
      <c r="J84" s="11"/>
      <c r="K84" s="11">
        <f t="shared" si="167"/>
        <v>0</v>
      </c>
      <c r="L84" s="37">
        <f t="shared" si="168"/>
        <v>0</v>
      </c>
      <c r="M84" s="11"/>
      <c r="N84" s="10"/>
      <c r="O84" s="21"/>
      <c r="P84" s="21"/>
      <c r="Q84" s="21"/>
      <c r="R84" s="23"/>
      <c r="S84" s="50"/>
      <c r="T84" s="48"/>
      <c r="U84" s="82"/>
      <c r="V84" s="26"/>
      <c r="W84" s="200"/>
      <c r="X84" s="17"/>
    </row>
    <row r="85" spans="2:24" x14ac:dyDescent="0.25">
      <c r="B85" s="17">
        <v>83</v>
      </c>
      <c r="C85" s="10"/>
      <c r="D85" s="10"/>
      <c r="E85" s="72"/>
      <c r="F85" s="18"/>
      <c r="G85" s="10"/>
      <c r="H85" s="10"/>
      <c r="I85" s="10"/>
      <c r="J85" s="11"/>
      <c r="K85" s="11">
        <f t="shared" si="167"/>
        <v>0</v>
      </c>
      <c r="L85" s="37">
        <f t="shared" si="168"/>
        <v>0</v>
      </c>
      <c r="M85" s="11"/>
      <c r="N85" s="10"/>
      <c r="O85" s="21"/>
      <c r="P85" s="21"/>
      <c r="Q85" s="21"/>
      <c r="R85" s="23"/>
      <c r="S85" s="50"/>
      <c r="T85" s="48"/>
      <c r="U85" s="82"/>
      <c r="V85" s="26"/>
      <c r="W85" s="200"/>
      <c r="X85" s="17"/>
    </row>
    <row r="86" spans="2:24" x14ac:dyDescent="0.25">
      <c r="B86" s="17">
        <v>84</v>
      </c>
      <c r="C86" s="10"/>
      <c r="D86" s="10"/>
      <c r="E86" s="72"/>
      <c r="F86" s="18"/>
      <c r="G86" s="10"/>
      <c r="H86" s="10"/>
      <c r="I86" s="10"/>
      <c r="J86" s="11"/>
      <c r="K86" s="11">
        <f t="shared" si="167"/>
        <v>0</v>
      </c>
      <c r="L86" s="37">
        <f t="shared" si="168"/>
        <v>0</v>
      </c>
      <c r="M86" s="11"/>
      <c r="N86" s="10"/>
      <c r="O86" s="21"/>
      <c r="P86" s="21"/>
      <c r="Q86" s="21"/>
      <c r="R86" s="23"/>
      <c r="S86" s="50"/>
      <c r="T86" s="48"/>
      <c r="U86" s="82"/>
      <c r="V86" s="26"/>
      <c r="W86" s="200"/>
      <c r="X86" s="17"/>
    </row>
    <row r="87" spans="2:24" x14ac:dyDescent="0.25">
      <c r="B87" s="17">
        <v>85</v>
      </c>
      <c r="C87" s="10"/>
      <c r="D87" s="10"/>
      <c r="E87" s="72"/>
      <c r="F87" s="18"/>
      <c r="G87" s="10"/>
      <c r="H87" s="10"/>
      <c r="I87" s="10"/>
      <c r="J87" s="11"/>
      <c r="K87" s="11">
        <f t="shared" si="167"/>
        <v>0</v>
      </c>
      <c r="L87" s="37">
        <f t="shared" si="168"/>
        <v>0</v>
      </c>
      <c r="M87" s="11"/>
      <c r="N87" s="10"/>
      <c r="O87" s="21"/>
      <c r="P87" s="21"/>
      <c r="Q87" s="21"/>
      <c r="R87" s="23"/>
      <c r="S87" s="50"/>
      <c r="T87" s="48"/>
      <c r="U87" s="82"/>
      <c r="V87" s="26"/>
      <c r="W87" s="200"/>
      <c r="X87" s="17"/>
    </row>
    <row r="88" spans="2:24" x14ac:dyDescent="0.25">
      <c r="B88" s="17">
        <v>86</v>
      </c>
      <c r="C88" s="10"/>
      <c r="D88" s="10"/>
      <c r="E88" s="72"/>
      <c r="F88" s="18"/>
      <c r="G88" s="10"/>
      <c r="H88" s="10"/>
      <c r="I88" s="10"/>
      <c r="J88" s="11"/>
      <c r="K88" s="11">
        <f t="shared" si="167"/>
        <v>0</v>
      </c>
      <c r="L88" s="37">
        <f t="shared" si="168"/>
        <v>0</v>
      </c>
      <c r="M88" s="11"/>
      <c r="N88" s="10"/>
      <c r="O88" s="21"/>
      <c r="P88" s="21"/>
      <c r="Q88" s="21"/>
      <c r="R88" s="23"/>
      <c r="S88" s="50"/>
      <c r="T88" s="48"/>
      <c r="U88" s="82"/>
      <c r="V88" s="32"/>
      <c r="W88" s="200"/>
      <c r="X88" s="17"/>
    </row>
    <row r="89" spans="2:24" x14ac:dyDescent="0.25">
      <c r="B89" s="17">
        <v>87</v>
      </c>
      <c r="C89" s="10"/>
      <c r="D89" s="10"/>
      <c r="E89" s="72"/>
      <c r="F89" s="18"/>
      <c r="G89" s="10"/>
      <c r="H89" s="10"/>
      <c r="I89" s="10"/>
      <c r="J89" s="11"/>
      <c r="K89" s="11">
        <f t="shared" si="167"/>
        <v>0</v>
      </c>
      <c r="L89" s="37">
        <f t="shared" si="168"/>
        <v>0</v>
      </c>
      <c r="M89" s="11"/>
      <c r="N89" s="10"/>
      <c r="O89" s="21"/>
      <c r="P89" s="21"/>
      <c r="Q89" s="21"/>
      <c r="R89" s="23"/>
      <c r="S89" s="50"/>
      <c r="T89" s="48"/>
      <c r="U89" s="82"/>
      <c r="V89" s="32"/>
      <c r="W89" s="200"/>
      <c r="X89" s="17"/>
    </row>
    <row r="90" spans="2:24" x14ac:dyDescent="0.25">
      <c r="B90" s="17">
        <v>88</v>
      </c>
      <c r="C90" s="10"/>
      <c r="D90" s="10"/>
      <c r="E90" s="72"/>
      <c r="F90" s="18"/>
      <c r="G90" s="10"/>
      <c r="H90" s="10"/>
      <c r="I90" s="10"/>
      <c r="J90" s="11"/>
      <c r="K90" s="11">
        <f t="shared" si="167"/>
        <v>0</v>
      </c>
      <c r="L90" s="37">
        <f t="shared" si="168"/>
        <v>0</v>
      </c>
      <c r="M90" s="11"/>
      <c r="N90" s="10"/>
      <c r="O90" s="21"/>
      <c r="P90" s="21"/>
      <c r="Q90" s="21"/>
      <c r="R90" s="23"/>
      <c r="S90" s="50"/>
      <c r="T90" s="48"/>
      <c r="U90" s="82"/>
      <c r="V90" s="26"/>
      <c r="W90" s="200"/>
      <c r="X90" s="17"/>
    </row>
    <row r="91" spans="2:24" x14ac:dyDescent="0.25">
      <c r="B91" s="17">
        <v>89</v>
      </c>
      <c r="C91" s="10"/>
      <c r="D91" s="10"/>
      <c r="E91" s="72"/>
      <c r="F91" s="18"/>
      <c r="G91" s="10"/>
      <c r="H91" s="10"/>
      <c r="I91" s="10"/>
      <c r="J91" s="11"/>
      <c r="K91" s="11">
        <f t="shared" si="167"/>
        <v>0</v>
      </c>
      <c r="L91" s="37">
        <f t="shared" si="168"/>
        <v>0</v>
      </c>
      <c r="M91" s="11"/>
      <c r="N91" s="10"/>
      <c r="O91" s="21"/>
      <c r="P91" s="21"/>
      <c r="Q91" s="21"/>
      <c r="R91" s="23"/>
      <c r="S91" s="50"/>
      <c r="T91" s="48"/>
      <c r="U91" s="82"/>
      <c r="V91" s="26"/>
      <c r="W91" s="200"/>
      <c r="X91" s="17"/>
    </row>
    <row r="92" spans="2:24" x14ac:dyDescent="0.25">
      <c r="B92" s="17">
        <v>90</v>
      </c>
      <c r="C92" s="10"/>
      <c r="D92" s="10"/>
      <c r="E92" s="72"/>
      <c r="F92" s="18"/>
      <c r="G92" s="10"/>
      <c r="H92" s="10"/>
      <c r="I92" s="10"/>
      <c r="J92" s="11"/>
      <c r="K92" s="11">
        <f t="shared" si="167"/>
        <v>0</v>
      </c>
      <c r="L92" s="37">
        <f t="shared" si="168"/>
        <v>0</v>
      </c>
      <c r="M92" s="11"/>
      <c r="N92" s="10"/>
      <c r="O92" s="21"/>
      <c r="P92" s="21"/>
      <c r="Q92" s="21"/>
      <c r="R92" s="23"/>
      <c r="S92" s="50"/>
      <c r="T92" s="48"/>
      <c r="U92" s="82"/>
      <c r="V92" s="26"/>
      <c r="W92" s="200"/>
      <c r="X92" s="17"/>
    </row>
    <row r="93" spans="2:24" x14ac:dyDescent="0.25">
      <c r="B93" s="17">
        <v>91</v>
      </c>
      <c r="C93" s="10"/>
      <c r="D93" s="10"/>
      <c r="E93" s="72"/>
      <c r="F93" s="18"/>
      <c r="G93" s="10"/>
      <c r="H93" s="10"/>
      <c r="I93" s="10"/>
      <c r="J93" s="11"/>
      <c r="K93" s="11">
        <f t="shared" si="167"/>
        <v>0</v>
      </c>
      <c r="L93" s="37">
        <f t="shared" si="168"/>
        <v>0</v>
      </c>
      <c r="M93" s="11"/>
      <c r="N93" s="10"/>
      <c r="O93" s="21"/>
      <c r="P93" s="21"/>
      <c r="Q93" s="21"/>
      <c r="R93" s="23"/>
      <c r="S93" s="50"/>
      <c r="T93" s="48"/>
      <c r="U93" s="82"/>
      <c r="V93" s="26"/>
      <c r="W93" s="200"/>
      <c r="X93" s="17"/>
    </row>
    <row r="94" spans="2:24" x14ac:dyDescent="0.25">
      <c r="B94" s="17">
        <v>92</v>
      </c>
      <c r="C94" s="10"/>
      <c r="D94" s="10"/>
      <c r="E94" s="72"/>
      <c r="F94" s="18"/>
      <c r="G94" s="10"/>
      <c r="H94" s="10"/>
      <c r="I94" s="10"/>
      <c r="J94" s="11"/>
      <c r="K94" s="11">
        <f t="shared" si="167"/>
        <v>0</v>
      </c>
      <c r="L94" s="37">
        <f t="shared" si="168"/>
        <v>0</v>
      </c>
      <c r="M94" s="11"/>
      <c r="N94" s="10"/>
      <c r="O94" s="21"/>
      <c r="P94" s="21"/>
      <c r="Q94" s="21"/>
      <c r="R94" s="23"/>
      <c r="S94" s="50"/>
      <c r="T94" s="48"/>
      <c r="U94" s="82"/>
      <c r="V94" s="26"/>
      <c r="W94" s="200"/>
      <c r="X94" s="17"/>
    </row>
    <row r="95" spans="2:24" x14ac:dyDescent="0.25">
      <c r="B95" s="17">
        <v>93</v>
      </c>
      <c r="C95" s="10"/>
      <c r="D95" s="10"/>
      <c r="E95" s="72"/>
      <c r="F95" s="18"/>
      <c r="G95" s="10"/>
      <c r="H95" s="10"/>
      <c r="I95" s="10"/>
      <c r="J95" s="11"/>
      <c r="K95" s="11">
        <f t="shared" si="167"/>
        <v>0</v>
      </c>
      <c r="L95" s="37">
        <f t="shared" si="168"/>
        <v>0</v>
      </c>
      <c r="M95" s="11"/>
      <c r="N95" s="10"/>
      <c r="O95" s="21"/>
      <c r="P95" s="21"/>
      <c r="Q95" s="21"/>
      <c r="R95" s="23"/>
      <c r="S95" s="50"/>
      <c r="T95" s="48"/>
      <c r="U95" s="82"/>
      <c r="V95" s="32"/>
      <c r="W95" s="200"/>
      <c r="X95" s="17"/>
    </row>
    <row r="96" spans="2:24" x14ac:dyDescent="0.25">
      <c r="B96" s="17">
        <v>94</v>
      </c>
      <c r="C96" s="10"/>
      <c r="D96" s="10"/>
      <c r="E96" s="72"/>
      <c r="F96" s="18"/>
      <c r="G96" s="10"/>
      <c r="H96" s="10"/>
      <c r="I96" s="10"/>
      <c r="J96" s="11"/>
      <c r="K96" s="11">
        <f t="shared" si="167"/>
        <v>0</v>
      </c>
      <c r="L96" s="37">
        <f t="shared" si="168"/>
        <v>0</v>
      </c>
      <c r="M96" s="11"/>
      <c r="N96" s="10"/>
      <c r="O96" s="21"/>
      <c r="P96" s="21"/>
      <c r="Q96" s="21"/>
      <c r="R96" s="23"/>
      <c r="S96" s="50"/>
      <c r="T96" s="48"/>
      <c r="U96" s="82"/>
      <c r="V96" s="32"/>
      <c r="W96" s="200"/>
      <c r="X96" s="17"/>
    </row>
    <row r="97" spans="2:24" x14ac:dyDescent="0.25">
      <c r="B97" s="17">
        <v>95</v>
      </c>
      <c r="C97" s="10"/>
      <c r="D97" s="10"/>
      <c r="E97" s="72"/>
      <c r="F97" s="18"/>
      <c r="G97" s="10"/>
      <c r="H97" s="10"/>
      <c r="I97" s="10"/>
      <c r="J97" s="11"/>
      <c r="K97" s="11">
        <f t="shared" si="167"/>
        <v>0</v>
      </c>
      <c r="L97" s="37">
        <f t="shared" si="168"/>
        <v>0</v>
      </c>
      <c r="M97" s="11"/>
      <c r="N97" s="10"/>
      <c r="O97" s="21"/>
      <c r="P97" s="21"/>
      <c r="Q97" s="21"/>
      <c r="R97" s="23"/>
      <c r="S97" s="50"/>
      <c r="T97" s="48"/>
      <c r="U97" s="82"/>
      <c r="V97" s="32"/>
      <c r="W97" s="200"/>
      <c r="X97" s="17"/>
    </row>
    <row r="98" spans="2:24" x14ac:dyDescent="0.25">
      <c r="B98" s="17">
        <v>96</v>
      </c>
      <c r="C98" s="10"/>
      <c r="D98" s="10"/>
      <c r="E98" s="72"/>
      <c r="F98" s="18"/>
      <c r="G98" s="10"/>
      <c r="H98" s="10"/>
      <c r="I98" s="10"/>
      <c r="J98" s="11"/>
      <c r="K98" s="11">
        <f t="shared" si="167"/>
        <v>0</v>
      </c>
      <c r="L98" s="37">
        <f t="shared" si="168"/>
        <v>0</v>
      </c>
      <c r="M98" s="11"/>
      <c r="N98" s="10"/>
      <c r="O98" s="21"/>
      <c r="P98" s="21"/>
      <c r="Q98" s="21"/>
      <c r="R98" s="23"/>
      <c r="S98" s="50"/>
      <c r="T98" s="48"/>
      <c r="U98" s="82"/>
      <c r="V98" s="32"/>
      <c r="W98" s="200"/>
      <c r="X98" s="17"/>
    </row>
    <row r="99" spans="2:24" x14ac:dyDescent="0.25">
      <c r="B99" s="17">
        <v>97</v>
      </c>
      <c r="C99" s="10"/>
      <c r="D99" s="10"/>
      <c r="E99" s="72"/>
      <c r="F99" s="18"/>
      <c r="G99" s="10"/>
      <c r="H99" s="10"/>
      <c r="I99" s="10"/>
      <c r="J99" s="11"/>
      <c r="K99" s="11">
        <f t="shared" si="167"/>
        <v>0</v>
      </c>
      <c r="L99" s="37">
        <f t="shared" si="168"/>
        <v>0</v>
      </c>
      <c r="M99" s="11"/>
      <c r="N99" s="10"/>
      <c r="O99" s="21"/>
      <c r="P99" s="21"/>
      <c r="Q99" s="21"/>
      <c r="R99" s="23"/>
      <c r="S99" s="50"/>
      <c r="T99" s="48"/>
      <c r="U99" s="82"/>
      <c r="V99" s="26"/>
      <c r="W99" s="200"/>
      <c r="X99" s="17"/>
    </row>
    <row r="100" spans="2:24" x14ac:dyDescent="0.25">
      <c r="B100" s="17">
        <v>98</v>
      </c>
      <c r="C100" s="10"/>
      <c r="D100" s="10"/>
      <c r="E100" s="72"/>
      <c r="F100" s="18"/>
      <c r="G100" s="10"/>
      <c r="H100" s="10"/>
      <c r="I100" s="10"/>
      <c r="J100" s="11"/>
      <c r="K100" s="11">
        <f t="shared" si="167"/>
        <v>0</v>
      </c>
      <c r="L100" s="37">
        <f t="shared" si="168"/>
        <v>0</v>
      </c>
      <c r="M100" s="11"/>
      <c r="N100" s="10"/>
      <c r="O100" s="21"/>
      <c r="P100" s="21"/>
      <c r="Q100" s="21"/>
      <c r="R100" s="23"/>
      <c r="S100" s="50"/>
      <c r="T100" s="48"/>
      <c r="U100" s="82"/>
      <c r="V100" s="26"/>
      <c r="W100" s="200"/>
      <c r="X100" s="17"/>
    </row>
    <row r="101" spans="2:24" x14ac:dyDescent="0.25">
      <c r="B101" s="17">
        <v>99</v>
      </c>
      <c r="C101" s="10"/>
      <c r="D101" s="10"/>
      <c r="E101" s="72"/>
      <c r="F101" s="18"/>
      <c r="G101" s="10"/>
      <c r="H101" s="10"/>
      <c r="I101" s="10"/>
      <c r="J101" s="11"/>
      <c r="K101" s="11">
        <f t="shared" si="167"/>
        <v>0</v>
      </c>
      <c r="L101" s="37">
        <f t="shared" si="168"/>
        <v>0</v>
      </c>
      <c r="M101" s="11"/>
      <c r="N101" s="10"/>
      <c r="O101" s="21"/>
      <c r="P101" s="21"/>
      <c r="Q101" s="21"/>
      <c r="R101" s="23"/>
      <c r="S101" s="50"/>
      <c r="T101" s="48"/>
      <c r="U101" s="82"/>
      <c r="V101" s="26"/>
      <c r="W101" s="200"/>
      <c r="X101" s="17"/>
    </row>
    <row r="102" spans="2:24" x14ac:dyDescent="0.25">
      <c r="B102" s="17">
        <v>100</v>
      </c>
      <c r="C102" s="10"/>
      <c r="D102" s="10"/>
      <c r="E102" s="72"/>
      <c r="F102" s="18"/>
      <c r="G102" s="10"/>
      <c r="H102" s="10"/>
      <c r="I102" s="10"/>
      <c r="J102" s="11"/>
      <c r="K102" s="11">
        <f t="shared" si="167"/>
        <v>0</v>
      </c>
      <c r="L102" s="37">
        <f t="shared" si="168"/>
        <v>0</v>
      </c>
      <c r="M102" s="11"/>
      <c r="N102" s="10"/>
      <c r="O102" s="21"/>
      <c r="P102" s="21"/>
      <c r="Q102" s="21"/>
      <c r="R102" s="23"/>
      <c r="S102" s="50"/>
      <c r="T102" s="48"/>
      <c r="U102" s="82"/>
      <c r="V102" s="26"/>
      <c r="W102" s="200"/>
      <c r="X102" s="17"/>
    </row>
    <row r="103" spans="2:24" x14ac:dyDescent="0.25">
      <c r="B103" s="17">
        <v>101</v>
      </c>
      <c r="C103" s="10"/>
      <c r="D103" s="10"/>
      <c r="E103" s="72"/>
      <c r="F103" s="18"/>
      <c r="G103" s="10"/>
      <c r="H103" s="10"/>
      <c r="I103" s="10"/>
      <c r="J103" s="11"/>
      <c r="K103" s="11">
        <f t="shared" si="167"/>
        <v>0</v>
      </c>
      <c r="L103" s="37">
        <f t="shared" si="168"/>
        <v>0</v>
      </c>
      <c r="M103" s="11"/>
      <c r="N103" s="10"/>
      <c r="O103" s="21"/>
      <c r="P103" s="21"/>
      <c r="Q103" s="21"/>
      <c r="R103" s="23"/>
      <c r="S103" s="50"/>
      <c r="T103" s="48"/>
      <c r="U103" s="82"/>
      <c r="V103" s="32"/>
      <c r="W103" s="200"/>
      <c r="X103" s="17"/>
    </row>
    <row r="104" spans="2:24" x14ac:dyDescent="0.25">
      <c r="B104" s="17">
        <v>102</v>
      </c>
      <c r="C104" s="10"/>
      <c r="D104" s="10"/>
      <c r="E104" s="72"/>
      <c r="F104" s="18"/>
      <c r="G104" s="10"/>
      <c r="H104" s="10"/>
      <c r="I104" s="10"/>
      <c r="J104" s="11"/>
      <c r="K104" s="11">
        <f t="shared" si="167"/>
        <v>0</v>
      </c>
      <c r="L104" s="37">
        <f t="shared" si="168"/>
        <v>0</v>
      </c>
      <c r="M104" s="11"/>
      <c r="N104" s="10"/>
      <c r="O104" s="21"/>
      <c r="P104" s="21"/>
      <c r="Q104" s="21"/>
      <c r="R104" s="23"/>
      <c r="S104" s="50"/>
      <c r="T104" s="48"/>
      <c r="U104" s="82"/>
      <c r="V104" s="32"/>
      <c r="W104" s="200"/>
      <c r="X104" s="17"/>
    </row>
    <row r="105" spans="2:24" x14ac:dyDescent="0.25">
      <c r="B105" s="17">
        <v>103</v>
      </c>
      <c r="C105" s="10"/>
      <c r="D105" s="10"/>
      <c r="E105" s="72"/>
      <c r="F105" s="18"/>
      <c r="G105" s="10"/>
      <c r="H105" s="10"/>
      <c r="I105" s="10"/>
      <c r="J105" s="11"/>
      <c r="K105" s="11">
        <f t="shared" si="167"/>
        <v>0</v>
      </c>
      <c r="L105" s="37">
        <f t="shared" si="168"/>
        <v>0</v>
      </c>
      <c r="M105" s="11"/>
      <c r="N105" s="10"/>
      <c r="O105" s="21"/>
      <c r="P105" s="21"/>
      <c r="Q105" s="21"/>
      <c r="R105" s="23"/>
      <c r="S105" s="50"/>
      <c r="T105" s="48"/>
      <c r="U105" s="82"/>
      <c r="V105" s="26"/>
      <c r="W105" s="200"/>
      <c r="X105" s="17"/>
    </row>
    <row r="106" spans="2:24" x14ac:dyDescent="0.25">
      <c r="B106" s="17">
        <v>104</v>
      </c>
      <c r="C106" s="10"/>
      <c r="D106" s="10"/>
      <c r="E106" s="72"/>
      <c r="F106" s="18"/>
      <c r="G106" s="10"/>
      <c r="H106" s="10"/>
      <c r="I106" s="10"/>
      <c r="J106" s="11"/>
      <c r="K106" s="11">
        <f t="shared" si="167"/>
        <v>0</v>
      </c>
      <c r="L106" s="37">
        <f t="shared" si="168"/>
        <v>0</v>
      </c>
      <c r="M106" s="11"/>
      <c r="N106" s="10"/>
      <c r="O106" s="21"/>
      <c r="P106" s="21"/>
      <c r="Q106" s="21"/>
      <c r="R106" s="23"/>
      <c r="S106" s="50"/>
      <c r="T106" s="48"/>
      <c r="U106" s="82"/>
      <c r="V106" s="26"/>
      <c r="W106" s="200"/>
      <c r="X106" s="17"/>
    </row>
    <row r="107" spans="2:24" x14ac:dyDescent="0.25">
      <c r="B107" s="17">
        <v>105</v>
      </c>
      <c r="C107" s="10"/>
      <c r="D107" s="10"/>
      <c r="E107" s="72"/>
      <c r="F107" s="18"/>
      <c r="G107" s="10"/>
      <c r="H107" s="10"/>
      <c r="I107" s="10"/>
      <c r="J107" s="11"/>
      <c r="K107" s="11">
        <f t="shared" si="167"/>
        <v>0</v>
      </c>
      <c r="L107" s="37">
        <f t="shared" si="168"/>
        <v>0</v>
      </c>
      <c r="M107" s="11"/>
      <c r="N107" s="10"/>
      <c r="O107" s="21"/>
      <c r="P107" s="21"/>
      <c r="Q107" s="21"/>
      <c r="R107" s="23"/>
      <c r="S107" s="50"/>
      <c r="T107" s="48"/>
      <c r="U107" s="82"/>
      <c r="V107" s="26"/>
      <c r="W107" s="200"/>
      <c r="X107" s="17"/>
    </row>
    <row r="108" spans="2:24" x14ac:dyDescent="0.25">
      <c r="B108" s="17">
        <v>106</v>
      </c>
      <c r="C108" s="10"/>
      <c r="D108" s="10"/>
      <c r="E108" s="72"/>
      <c r="F108" s="18"/>
      <c r="G108" s="10"/>
      <c r="H108" s="10"/>
      <c r="I108" s="10"/>
      <c r="J108" s="11"/>
      <c r="K108" s="11">
        <f t="shared" si="167"/>
        <v>0</v>
      </c>
      <c r="L108" s="37">
        <f t="shared" si="168"/>
        <v>0</v>
      </c>
      <c r="M108" s="11"/>
      <c r="N108" s="10"/>
      <c r="O108" s="21"/>
      <c r="P108" s="21"/>
      <c r="Q108" s="21"/>
      <c r="R108" s="23"/>
      <c r="S108" s="50"/>
      <c r="T108" s="48"/>
      <c r="U108" s="82"/>
      <c r="V108" s="26"/>
      <c r="W108" s="200"/>
      <c r="X108" s="17"/>
    </row>
    <row r="109" spans="2:24" x14ac:dyDescent="0.25">
      <c r="B109" s="17">
        <v>107</v>
      </c>
      <c r="C109" s="10"/>
      <c r="D109" s="10"/>
      <c r="E109" s="72"/>
      <c r="F109" s="18"/>
      <c r="G109" s="10"/>
      <c r="H109" s="10"/>
      <c r="I109" s="10"/>
      <c r="J109" s="11"/>
      <c r="K109" s="11">
        <f t="shared" si="167"/>
        <v>0</v>
      </c>
      <c r="L109" s="37">
        <f t="shared" si="168"/>
        <v>0</v>
      </c>
      <c r="M109" s="11"/>
      <c r="N109" s="10"/>
      <c r="O109" s="21"/>
      <c r="P109" s="21"/>
      <c r="Q109" s="21"/>
      <c r="R109" s="23"/>
      <c r="S109" s="50"/>
      <c r="T109" s="48"/>
      <c r="U109" s="82"/>
      <c r="V109" s="26"/>
      <c r="W109" s="200"/>
      <c r="X109" s="17"/>
    </row>
    <row r="110" spans="2:24" x14ac:dyDescent="0.25">
      <c r="B110" s="17">
        <v>108</v>
      </c>
      <c r="C110" s="10"/>
      <c r="D110" s="10"/>
      <c r="E110" s="72"/>
      <c r="F110" s="18"/>
      <c r="G110" s="10"/>
      <c r="H110" s="10"/>
      <c r="I110" s="10"/>
      <c r="J110" s="11"/>
      <c r="K110" s="11">
        <f t="shared" si="167"/>
        <v>0</v>
      </c>
      <c r="L110" s="37">
        <f t="shared" si="168"/>
        <v>0</v>
      </c>
      <c r="M110" s="11"/>
      <c r="N110" s="10"/>
      <c r="O110" s="21"/>
      <c r="P110" s="21"/>
      <c r="Q110" s="21"/>
      <c r="R110" s="23"/>
      <c r="S110" s="50"/>
      <c r="T110" s="48"/>
      <c r="U110" s="82"/>
      <c r="V110" s="32"/>
      <c r="W110" s="200"/>
      <c r="X110" s="17"/>
    </row>
    <row r="111" spans="2:24" x14ac:dyDescent="0.25">
      <c r="B111" s="17">
        <v>109</v>
      </c>
      <c r="C111" s="10"/>
      <c r="D111" s="10"/>
      <c r="E111" s="72"/>
      <c r="F111" s="18"/>
      <c r="G111" s="10"/>
      <c r="H111" s="10"/>
      <c r="I111" s="10"/>
      <c r="J111" s="11"/>
      <c r="K111" s="11">
        <f t="shared" si="167"/>
        <v>0</v>
      </c>
      <c r="L111" s="37">
        <f t="shared" si="168"/>
        <v>0</v>
      </c>
      <c r="M111" s="11"/>
      <c r="N111" s="10"/>
      <c r="O111" s="21"/>
      <c r="P111" s="21"/>
      <c r="Q111" s="21"/>
      <c r="R111" s="23"/>
      <c r="S111" s="50"/>
      <c r="T111" s="48"/>
      <c r="U111" s="82"/>
      <c r="V111" s="32"/>
      <c r="W111" s="200"/>
      <c r="X111" s="17"/>
    </row>
    <row r="112" spans="2:24" x14ac:dyDescent="0.25">
      <c r="B112" s="17">
        <v>110</v>
      </c>
      <c r="C112" s="10"/>
      <c r="D112" s="10"/>
      <c r="E112" s="72"/>
      <c r="F112" s="18"/>
      <c r="G112" s="10"/>
      <c r="H112" s="10"/>
      <c r="I112" s="10"/>
      <c r="J112" s="11"/>
      <c r="K112" s="11">
        <f t="shared" si="167"/>
        <v>0</v>
      </c>
      <c r="L112" s="37">
        <f t="shared" si="168"/>
        <v>0</v>
      </c>
      <c r="M112" s="11"/>
      <c r="N112" s="10"/>
      <c r="O112" s="21"/>
      <c r="P112" s="21"/>
      <c r="Q112" s="21"/>
      <c r="R112" s="23"/>
      <c r="S112" s="50"/>
      <c r="T112" s="48"/>
      <c r="U112" s="82"/>
      <c r="V112" s="26"/>
      <c r="W112" s="200"/>
      <c r="X112" s="17"/>
    </row>
    <row r="113" spans="2:24" x14ac:dyDescent="0.25">
      <c r="B113" s="17">
        <v>111</v>
      </c>
      <c r="C113" s="10"/>
      <c r="D113" s="10"/>
      <c r="E113" s="72"/>
      <c r="F113" s="18"/>
      <c r="G113" s="10"/>
      <c r="H113" s="10"/>
      <c r="I113" s="10"/>
      <c r="J113" s="11"/>
      <c r="K113" s="11">
        <f t="shared" si="167"/>
        <v>0</v>
      </c>
      <c r="L113" s="37">
        <f t="shared" si="168"/>
        <v>0</v>
      </c>
      <c r="M113" s="11"/>
      <c r="N113" s="10"/>
      <c r="O113" s="21"/>
      <c r="P113" s="21"/>
      <c r="Q113" s="21"/>
      <c r="R113" s="23"/>
      <c r="S113" s="50"/>
      <c r="T113" s="48"/>
      <c r="U113" s="82"/>
      <c r="V113" s="26"/>
      <c r="W113" s="200"/>
      <c r="X113" s="17"/>
    </row>
    <row r="114" spans="2:24" x14ac:dyDescent="0.25">
      <c r="B114" s="17">
        <v>112</v>
      </c>
      <c r="C114" s="10"/>
      <c r="D114" s="10"/>
      <c r="E114" s="72"/>
      <c r="F114" s="18"/>
      <c r="G114" s="10"/>
      <c r="H114" s="10"/>
      <c r="I114" s="10"/>
      <c r="J114" s="11"/>
      <c r="K114" s="11">
        <f t="shared" si="167"/>
        <v>0</v>
      </c>
      <c r="L114" s="37">
        <f t="shared" si="168"/>
        <v>0</v>
      </c>
      <c r="M114" s="11"/>
      <c r="N114" s="10"/>
      <c r="O114" s="21"/>
      <c r="P114" s="21"/>
      <c r="Q114" s="21"/>
      <c r="R114" s="23"/>
      <c r="S114" s="50"/>
      <c r="T114" s="48"/>
      <c r="U114" s="82"/>
      <c r="V114" s="26"/>
      <c r="W114" s="200"/>
      <c r="X114" s="17"/>
    </row>
    <row r="115" spans="2:24" x14ac:dyDescent="0.25">
      <c r="B115" s="17">
        <v>113</v>
      </c>
      <c r="C115" s="10"/>
      <c r="D115" s="10"/>
      <c r="E115" s="72"/>
      <c r="F115" s="18"/>
      <c r="G115" s="10"/>
      <c r="H115" s="10"/>
      <c r="I115" s="10"/>
      <c r="J115" s="11"/>
      <c r="K115" s="11">
        <f t="shared" si="167"/>
        <v>0</v>
      </c>
      <c r="L115" s="37">
        <f t="shared" si="168"/>
        <v>0</v>
      </c>
      <c r="M115" s="11"/>
      <c r="N115" s="10"/>
      <c r="O115" s="21"/>
      <c r="P115" s="21"/>
      <c r="Q115" s="21"/>
      <c r="R115" s="23"/>
      <c r="S115" s="50"/>
      <c r="T115" s="48"/>
      <c r="U115" s="82"/>
      <c r="V115" s="26"/>
      <c r="W115" s="200"/>
      <c r="X115" s="17"/>
    </row>
    <row r="116" spans="2:24" x14ac:dyDescent="0.25">
      <c r="B116" s="17">
        <v>114</v>
      </c>
      <c r="C116" s="10"/>
      <c r="D116" s="10"/>
      <c r="E116" s="72"/>
      <c r="F116" s="18"/>
      <c r="G116" s="10"/>
      <c r="H116" s="10"/>
      <c r="I116" s="10"/>
      <c r="J116" s="11"/>
      <c r="K116" s="11">
        <f t="shared" si="167"/>
        <v>0</v>
      </c>
      <c r="L116" s="37">
        <f t="shared" si="168"/>
        <v>0</v>
      </c>
      <c r="M116" s="11"/>
      <c r="N116" s="10"/>
      <c r="O116" s="21"/>
      <c r="P116" s="21"/>
      <c r="Q116" s="21"/>
      <c r="R116" s="23"/>
      <c r="S116" s="50"/>
      <c r="T116" s="48"/>
      <c r="U116" s="82"/>
      <c r="V116" s="26"/>
      <c r="W116" s="200"/>
      <c r="X116" s="17"/>
    </row>
    <row r="117" spans="2:24" x14ac:dyDescent="0.25">
      <c r="B117" s="17">
        <v>115</v>
      </c>
      <c r="C117" s="10"/>
      <c r="D117" s="10"/>
      <c r="E117" s="72"/>
      <c r="F117" s="18"/>
      <c r="G117" s="10"/>
      <c r="H117" s="10"/>
      <c r="I117" s="10"/>
      <c r="J117" s="11"/>
      <c r="K117" s="11">
        <f t="shared" si="167"/>
        <v>0</v>
      </c>
      <c r="L117" s="37">
        <f t="shared" si="168"/>
        <v>0</v>
      </c>
      <c r="M117" s="11"/>
      <c r="N117" s="10"/>
      <c r="O117" s="21"/>
      <c r="P117" s="21"/>
      <c r="Q117" s="21"/>
      <c r="R117" s="23"/>
      <c r="S117" s="50"/>
      <c r="T117" s="48"/>
      <c r="U117" s="82"/>
      <c r="V117" s="32"/>
      <c r="W117" s="200"/>
      <c r="X117" s="17"/>
    </row>
    <row r="118" spans="2:24" x14ac:dyDescent="0.25">
      <c r="B118" s="17">
        <v>116</v>
      </c>
      <c r="C118" s="10"/>
      <c r="D118" s="10"/>
      <c r="E118" s="72"/>
      <c r="F118" s="18"/>
      <c r="G118" s="10"/>
      <c r="H118" s="10"/>
      <c r="I118" s="10"/>
      <c r="J118" s="11"/>
      <c r="K118" s="11">
        <f t="shared" si="167"/>
        <v>0</v>
      </c>
      <c r="L118" s="37">
        <f t="shared" si="168"/>
        <v>0</v>
      </c>
      <c r="M118" s="11"/>
      <c r="N118" s="10"/>
      <c r="O118" s="21"/>
      <c r="P118" s="21"/>
      <c r="Q118" s="21"/>
      <c r="R118" s="23"/>
      <c r="S118" s="50"/>
      <c r="T118" s="48"/>
      <c r="U118" s="82"/>
      <c r="V118" s="32"/>
      <c r="W118" s="200"/>
      <c r="X118" s="17"/>
    </row>
    <row r="119" spans="2:24" x14ac:dyDescent="0.25">
      <c r="B119" s="17">
        <v>117</v>
      </c>
      <c r="C119" s="10"/>
      <c r="D119" s="10"/>
      <c r="E119" s="72"/>
      <c r="F119" s="18"/>
      <c r="G119" s="10"/>
      <c r="H119" s="10"/>
      <c r="I119" s="10"/>
      <c r="J119" s="11"/>
      <c r="K119" s="11">
        <f t="shared" si="167"/>
        <v>0</v>
      </c>
      <c r="L119" s="37">
        <f t="shared" si="168"/>
        <v>0</v>
      </c>
      <c r="M119" s="11"/>
      <c r="N119" s="10"/>
      <c r="O119" s="21"/>
      <c r="P119" s="21"/>
      <c r="Q119" s="21"/>
      <c r="R119" s="23"/>
      <c r="S119" s="50"/>
      <c r="T119" s="48"/>
      <c r="U119" s="82"/>
      <c r="V119" s="32"/>
      <c r="W119" s="200"/>
      <c r="X119" s="17"/>
    </row>
    <row r="120" spans="2:24" x14ac:dyDescent="0.25">
      <c r="B120" s="17">
        <v>118</v>
      </c>
      <c r="C120" s="10"/>
      <c r="D120" s="10"/>
      <c r="E120" s="72"/>
      <c r="F120" s="18"/>
      <c r="G120" s="10"/>
      <c r="H120" s="10"/>
      <c r="I120" s="10"/>
      <c r="J120" s="11"/>
      <c r="K120" s="11">
        <f t="shared" si="167"/>
        <v>0</v>
      </c>
      <c r="L120" s="37">
        <f t="shared" si="168"/>
        <v>0</v>
      </c>
      <c r="M120" s="11"/>
      <c r="N120" s="10"/>
      <c r="O120" s="21"/>
      <c r="P120" s="21"/>
      <c r="Q120" s="21"/>
      <c r="R120" s="23"/>
      <c r="S120" s="50"/>
      <c r="T120" s="48"/>
      <c r="U120" s="82"/>
      <c r="V120" s="32"/>
      <c r="W120" s="200"/>
      <c r="X120" s="17"/>
    </row>
    <row r="121" spans="2:24" x14ac:dyDescent="0.25">
      <c r="B121" s="17">
        <v>119</v>
      </c>
      <c r="C121" s="10"/>
      <c r="D121" s="10"/>
      <c r="E121" s="72"/>
      <c r="F121" s="18"/>
      <c r="G121" s="10"/>
      <c r="H121" s="10"/>
      <c r="I121" s="10"/>
      <c r="J121" s="11"/>
      <c r="K121" s="11">
        <f t="shared" si="167"/>
        <v>0</v>
      </c>
      <c r="L121" s="37">
        <f t="shared" si="168"/>
        <v>0</v>
      </c>
      <c r="M121" s="11"/>
      <c r="N121" s="10"/>
      <c r="O121" s="21"/>
      <c r="P121" s="21"/>
      <c r="Q121" s="21"/>
      <c r="R121" s="23"/>
      <c r="S121" s="50"/>
      <c r="T121" s="48"/>
      <c r="U121" s="82"/>
      <c r="V121" s="26"/>
      <c r="W121" s="200"/>
      <c r="X121" s="17"/>
    </row>
    <row r="122" spans="2:24" x14ac:dyDescent="0.25">
      <c r="B122" s="17">
        <v>120</v>
      </c>
      <c r="C122" s="10"/>
      <c r="D122" s="10"/>
      <c r="E122" s="72"/>
      <c r="F122" s="18"/>
      <c r="G122" s="10"/>
      <c r="H122" s="10"/>
      <c r="I122" s="10"/>
      <c r="J122" s="11"/>
      <c r="K122" s="11">
        <f t="shared" si="167"/>
        <v>0</v>
      </c>
      <c r="L122" s="37">
        <f t="shared" si="168"/>
        <v>0</v>
      </c>
      <c r="M122" s="11"/>
      <c r="N122" s="10"/>
      <c r="O122" s="21"/>
      <c r="P122" s="21"/>
      <c r="Q122" s="21"/>
      <c r="R122" s="23"/>
      <c r="S122" s="50"/>
      <c r="T122" s="48"/>
      <c r="U122" s="82"/>
      <c r="V122" s="26"/>
      <c r="W122" s="200"/>
      <c r="X122" s="17"/>
    </row>
    <row r="123" spans="2:24" x14ac:dyDescent="0.25">
      <c r="B123" s="17">
        <v>121</v>
      </c>
      <c r="C123" s="10"/>
      <c r="D123" s="10"/>
      <c r="E123" s="72"/>
      <c r="F123" s="18"/>
      <c r="G123" s="10"/>
      <c r="H123" s="10"/>
      <c r="I123" s="10"/>
      <c r="J123" s="11"/>
      <c r="K123" s="11">
        <f t="shared" si="167"/>
        <v>0</v>
      </c>
      <c r="L123" s="37">
        <f t="shared" si="168"/>
        <v>0</v>
      </c>
      <c r="M123" s="11"/>
      <c r="N123" s="10"/>
      <c r="O123" s="21"/>
      <c r="P123" s="21"/>
      <c r="Q123" s="21"/>
      <c r="R123" s="23"/>
      <c r="S123" s="50"/>
      <c r="T123" s="48"/>
      <c r="U123" s="82"/>
      <c r="V123" s="26"/>
      <c r="W123" s="200"/>
      <c r="X123" s="17"/>
    </row>
    <row r="124" spans="2:24" x14ac:dyDescent="0.25">
      <c r="B124" s="17">
        <v>122</v>
      </c>
      <c r="C124" s="10"/>
      <c r="D124" s="10"/>
      <c r="E124" s="72"/>
      <c r="F124" s="18"/>
      <c r="G124" s="10"/>
      <c r="H124" s="10"/>
      <c r="I124" s="10"/>
      <c r="J124" s="11"/>
      <c r="K124" s="11">
        <f t="shared" si="167"/>
        <v>0</v>
      </c>
      <c r="L124" s="37">
        <f t="shared" si="168"/>
        <v>0</v>
      </c>
      <c r="M124" s="11"/>
      <c r="N124" s="10"/>
      <c r="O124" s="21"/>
      <c r="P124" s="21"/>
      <c r="Q124" s="21"/>
      <c r="R124" s="23"/>
      <c r="S124" s="50"/>
      <c r="T124" s="48"/>
      <c r="U124" s="82"/>
      <c r="V124" s="26"/>
      <c r="W124" s="200"/>
      <c r="X124" s="17"/>
    </row>
    <row r="125" spans="2:24" x14ac:dyDescent="0.25">
      <c r="B125" s="17">
        <v>123</v>
      </c>
      <c r="C125" s="10"/>
      <c r="D125" s="10"/>
      <c r="E125" s="72"/>
      <c r="F125" s="18"/>
      <c r="G125" s="10"/>
      <c r="H125" s="10"/>
      <c r="I125" s="10"/>
      <c r="J125" s="11"/>
      <c r="K125" s="11">
        <f t="shared" si="167"/>
        <v>0</v>
      </c>
      <c r="L125" s="37">
        <f t="shared" si="168"/>
        <v>0</v>
      </c>
      <c r="M125" s="11"/>
      <c r="N125" s="10"/>
      <c r="O125" s="21"/>
      <c r="P125" s="21"/>
      <c r="Q125" s="21"/>
      <c r="R125" s="23"/>
      <c r="S125" s="50"/>
      <c r="T125" s="48"/>
      <c r="U125" s="82"/>
      <c r="V125" s="26"/>
      <c r="W125" s="200"/>
      <c r="X125" s="17"/>
    </row>
    <row r="126" spans="2:24" x14ac:dyDescent="0.25">
      <c r="B126" s="17">
        <v>124</v>
      </c>
      <c r="C126" s="10"/>
      <c r="D126" s="10"/>
      <c r="E126" s="72"/>
      <c r="F126" s="18"/>
      <c r="G126" s="10"/>
      <c r="H126" s="10"/>
      <c r="I126" s="10"/>
      <c r="J126" s="11"/>
      <c r="K126" s="11">
        <f t="shared" si="167"/>
        <v>0</v>
      </c>
      <c r="L126" s="37">
        <f t="shared" si="168"/>
        <v>0</v>
      </c>
      <c r="M126" s="11"/>
      <c r="N126" s="10"/>
      <c r="O126" s="21"/>
      <c r="P126" s="21"/>
      <c r="Q126" s="21"/>
      <c r="R126" s="23"/>
      <c r="S126" s="50"/>
      <c r="T126" s="48"/>
      <c r="U126" s="82"/>
      <c r="V126" s="32"/>
      <c r="W126" s="200"/>
      <c r="X126" s="17"/>
    </row>
    <row r="127" spans="2:24" x14ac:dyDescent="0.25">
      <c r="B127" s="17">
        <v>125</v>
      </c>
      <c r="C127" s="10"/>
      <c r="D127" s="10"/>
      <c r="E127" s="72"/>
      <c r="F127" s="18"/>
      <c r="G127" s="10"/>
      <c r="H127" s="10"/>
      <c r="I127" s="10"/>
      <c r="J127" s="11"/>
      <c r="K127" s="11">
        <f t="shared" si="167"/>
        <v>0</v>
      </c>
      <c r="L127" s="37">
        <f t="shared" si="168"/>
        <v>0</v>
      </c>
      <c r="M127" s="11"/>
      <c r="N127" s="10"/>
      <c r="O127" s="21"/>
      <c r="P127" s="21"/>
      <c r="Q127" s="21"/>
      <c r="R127" s="23"/>
      <c r="S127" s="50"/>
      <c r="T127" s="48"/>
      <c r="U127" s="82"/>
      <c r="V127" s="32"/>
      <c r="W127" s="200"/>
      <c r="X127" s="17"/>
    </row>
    <row r="128" spans="2:24" x14ac:dyDescent="0.25">
      <c r="B128" s="17">
        <v>126</v>
      </c>
      <c r="C128" s="10"/>
      <c r="D128" s="10"/>
      <c r="E128" s="72"/>
      <c r="F128" s="18"/>
      <c r="G128" s="10"/>
      <c r="H128" s="10"/>
      <c r="I128" s="10"/>
      <c r="J128" s="11"/>
      <c r="K128" s="11">
        <f t="shared" si="167"/>
        <v>0</v>
      </c>
      <c r="L128" s="37">
        <f t="shared" si="168"/>
        <v>0</v>
      </c>
      <c r="M128" s="11"/>
      <c r="N128" s="10"/>
      <c r="O128" s="21"/>
      <c r="P128" s="21"/>
      <c r="Q128" s="21"/>
      <c r="R128" s="23"/>
      <c r="S128" s="50"/>
      <c r="T128" s="48"/>
      <c r="U128" s="82"/>
      <c r="V128" s="26"/>
      <c r="W128" s="200"/>
      <c r="X128" s="17"/>
    </row>
    <row r="129" spans="2:24" x14ac:dyDescent="0.25">
      <c r="B129" s="17">
        <v>127</v>
      </c>
      <c r="C129" s="10"/>
      <c r="D129" s="10"/>
      <c r="E129" s="72"/>
      <c r="F129" s="18"/>
      <c r="G129" s="10"/>
      <c r="H129" s="10"/>
      <c r="I129" s="10"/>
      <c r="J129" s="11"/>
      <c r="K129" s="11">
        <f t="shared" si="167"/>
        <v>0</v>
      </c>
      <c r="L129" s="37">
        <f t="shared" si="168"/>
        <v>0</v>
      </c>
      <c r="M129" s="11"/>
      <c r="N129" s="10"/>
      <c r="O129" s="21"/>
      <c r="P129" s="21"/>
      <c r="Q129" s="21"/>
      <c r="R129" s="23"/>
      <c r="S129" s="50"/>
      <c r="T129" s="48"/>
      <c r="U129" s="82"/>
      <c r="V129" s="26"/>
      <c r="W129" s="200"/>
      <c r="X129" s="17"/>
    </row>
    <row r="130" spans="2:24" x14ac:dyDescent="0.25">
      <c r="B130" s="17">
        <v>128</v>
      </c>
      <c r="C130" s="10"/>
      <c r="D130" s="10"/>
      <c r="E130" s="72"/>
      <c r="F130" s="18"/>
      <c r="G130" s="10"/>
      <c r="H130" s="10"/>
      <c r="I130" s="10"/>
      <c r="J130" s="11"/>
      <c r="K130" s="11">
        <f t="shared" si="167"/>
        <v>0</v>
      </c>
      <c r="L130" s="37">
        <f t="shared" si="168"/>
        <v>0</v>
      </c>
      <c r="M130" s="11"/>
      <c r="N130" s="10"/>
      <c r="O130" s="21"/>
      <c r="P130" s="21"/>
      <c r="Q130" s="21"/>
      <c r="R130" s="23"/>
      <c r="S130" s="50"/>
      <c r="T130" s="48"/>
      <c r="U130" s="82"/>
      <c r="V130" s="26"/>
      <c r="W130" s="200"/>
      <c r="X130" s="17"/>
    </row>
    <row r="131" spans="2:24" x14ac:dyDescent="0.25">
      <c r="B131" s="17">
        <v>129</v>
      </c>
      <c r="C131" s="10"/>
      <c r="D131" s="10"/>
      <c r="E131" s="72"/>
      <c r="F131" s="18"/>
      <c r="G131" s="10"/>
      <c r="H131" s="10"/>
      <c r="I131" s="10"/>
      <c r="J131" s="11"/>
      <c r="K131" s="11">
        <f t="shared" si="167"/>
        <v>0</v>
      </c>
      <c r="L131" s="37">
        <f t="shared" si="168"/>
        <v>0</v>
      </c>
      <c r="M131" s="11"/>
      <c r="N131" s="10"/>
      <c r="O131" s="21"/>
      <c r="P131" s="21"/>
      <c r="Q131" s="21"/>
      <c r="R131" s="23"/>
      <c r="S131" s="50"/>
      <c r="T131" s="48"/>
      <c r="U131" s="82"/>
      <c r="V131" s="26"/>
      <c r="W131" s="200"/>
      <c r="X131" s="17"/>
    </row>
    <row r="132" spans="2:24" x14ac:dyDescent="0.25">
      <c r="B132" s="17">
        <v>130</v>
      </c>
      <c r="C132" s="10"/>
      <c r="D132" s="10"/>
      <c r="E132" s="72"/>
      <c r="F132" s="18"/>
      <c r="G132" s="10"/>
      <c r="H132" s="10"/>
      <c r="I132" s="10"/>
      <c r="J132" s="11"/>
      <c r="K132" s="11">
        <f t="shared" ref="K132:K195" si="199">J132*1.1</f>
        <v>0</v>
      </c>
      <c r="L132" s="37">
        <f t="shared" ref="L132:L195" si="200">J132*0.00000001</f>
        <v>0</v>
      </c>
      <c r="M132" s="11"/>
      <c r="N132" s="10"/>
      <c r="O132" s="21"/>
      <c r="P132" s="21"/>
      <c r="Q132" s="21"/>
      <c r="R132" s="23"/>
      <c r="S132" s="50"/>
      <c r="T132" s="48"/>
      <c r="U132" s="82"/>
      <c r="V132" s="26"/>
      <c r="W132" s="200"/>
      <c r="X132" s="17"/>
    </row>
    <row r="133" spans="2:24" x14ac:dyDescent="0.25">
      <c r="B133" s="17">
        <v>131</v>
      </c>
      <c r="C133" s="10"/>
      <c r="D133" s="10"/>
      <c r="E133" s="72"/>
      <c r="F133" s="18"/>
      <c r="G133" s="10"/>
      <c r="H133" s="10"/>
      <c r="I133" s="10"/>
      <c r="J133" s="11"/>
      <c r="K133" s="11">
        <f t="shared" si="199"/>
        <v>0</v>
      </c>
      <c r="L133" s="37">
        <f t="shared" si="200"/>
        <v>0</v>
      </c>
      <c r="M133" s="11"/>
      <c r="N133" s="10"/>
      <c r="O133" s="21"/>
      <c r="P133" s="21"/>
      <c r="Q133" s="21"/>
      <c r="R133" s="23"/>
      <c r="S133" s="50"/>
      <c r="T133" s="48"/>
      <c r="U133" s="82"/>
      <c r="V133" s="32"/>
      <c r="W133" s="200"/>
      <c r="X133" s="17"/>
    </row>
    <row r="134" spans="2:24" x14ac:dyDescent="0.25">
      <c r="B134" s="17">
        <v>132</v>
      </c>
      <c r="C134" s="10"/>
      <c r="D134" s="10"/>
      <c r="E134" s="72"/>
      <c r="F134" s="18"/>
      <c r="G134" s="10"/>
      <c r="H134" s="10"/>
      <c r="I134" s="10"/>
      <c r="J134" s="11"/>
      <c r="K134" s="11">
        <f t="shared" si="199"/>
        <v>0</v>
      </c>
      <c r="L134" s="37">
        <f t="shared" si="200"/>
        <v>0</v>
      </c>
      <c r="M134" s="11"/>
      <c r="N134" s="10"/>
      <c r="O134" s="21"/>
      <c r="P134" s="21"/>
      <c r="Q134" s="21"/>
      <c r="R134" s="23"/>
      <c r="S134" s="50"/>
      <c r="T134" s="48"/>
      <c r="U134" s="82"/>
      <c r="V134" s="32"/>
      <c r="W134" s="200"/>
      <c r="X134" s="17"/>
    </row>
    <row r="135" spans="2:24" x14ac:dyDescent="0.25">
      <c r="B135" s="17">
        <v>133</v>
      </c>
      <c r="C135" s="10"/>
      <c r="D135" s="10"/>
      <c r="E135" s="72"/>
      <c r="F135" s="18"/>
      <c r="G135" s="10"/>
      <c r="H135" s="10"/>
      <c r="I135" s="10"/>
      <c r="J135" s="11"/>
      <c r="K135" s="11">
        <f t="shared" si="199"/>
        <v>0</v>
      </c>
      <c r="L135" s="37">
        <f t="shared" si="200"/>
        <v>0</v>
      </c>
      <c r="M135" s="11"/>
      <c r="N135" s="10"/>
      <c r="O135" s="21"/>
      <c r="P135" s="21"/>
      <c r="Q135" s="21"/>
      <c r="R135" s="23"/>
      <c r="S135" s="50"/>
      <c r="T135" s="48"/>
      <c r="U135" s="82"/>
      <c r="V135" s="32"/>
      <c r="W135" s="200"/>
      <c r="X135" s="17"/>
    </row>
    <row r="136" spans="2:24" x14ac:dyDescent="0.25">
      <c r="B136" s="17">
        <v>134</v>
      </c>
      <c r="C136" s="10"/>
      <c r="D136" s="10"/>
      <c r="E136" s="72"/>
      <c r="F136" s="18"/>
      <c r="G136" s="10"/>
      <c r="H136" s="10"/>
      <c r="I136" s="10"/>
      <c r="J136" s="11"/>
      <c r="K136" s="11">
        <f t="shared" si="199"/>
        <v>0</v>
      </c>
      <c r="L136" s="37">
        <f t="shared" si="200"/>
        <v>0</v>
      </c>
      <c r="M136" s="11"/>
      <c r="N136" s="10"/>
      <c r="O136" s="21"/>
      <c r="P136" s="21"/>
      <c r="Q136" s="21"/>
      <c r="R136" s="23"/>
      <c r="S136" s="50"/>
      <c r="T136" s="48"/>
      <c r="U136" s="82"/>
      <c r="V136" s="32"/>
      <c r="W136" s="200"/>
      <c r="X136" s="17"/>
    </row>
    <row r="137" spans="2:24" x14ac:dyDescent="0.25">
      <c r="B137" s="17">
        <v>135</v>
      </c>
      <c r="C137" s="10"/>
      <c r="D137" s="10"/>
      <c r="E137" s="72"/>
      <c r="F137" s="18"/>
      <c r="G137" s="10"/>
      <c r="H137" s="10"/>
      <c r="I137" s="10"/>
      <c r="J137" s="11"/>
      <c r="K137" s="11">
        <f t="shared" si="199"/>
        <v>0</v>
      </c>
      <c r="L137" s="37">
        <f t="shared" si="200"/>
        <v>0</v>
      </c>
      <c r="M137" s="11"/>
      <c r="N137" s="10"/>
      <c r="O137" s="21"/>
      <c r="P137" s="21"/>
      <c r="Q137" s="21"/>
      <c r="R137" s="23"/>
      <c r="S137" s="50"/>
      <c r="T137" s="48"/>
      <c r="U137" s="82"/>
      <c r="V137" s="26"/>
      <c r="W137" s="200"/>
      <c r="X137" s="17"/>
    </row>
    <row r="138" spans="2:24" x14ac:dyDescent="0.25">
      <c r="B138" s="17">
        <v>136</v>
      </c>
      <c r="C138" s="10"/>
      <c r="D138" s="10"/>
      <c r="E138" s="72"/>
      <c r="F138" s="18"/>
      <c r="G138" s="10"/>
      <c r="H138" s="10"/>
      <c r="I138" s="10"/>
      <c r="J138" s="11"/>
      <c r="K138" s="11">
        <f t="shared" si="199"/>
        <v>0</v>
      </c>
      <c r="L138" s="37">
        <f t="shared" si="200"/>
        <v>0</v>
      </c>
      <c r="M138" s="11"/>
      <c r="N138" s="10"/>
      <c r="O138" s="21"/>
      <c r="P138" s="21"/>
      <c r="Q138" s="21"/>
      <c r="R138" s="23"/>
      <c r="S138" s="50"/>
      <c r="T138" s="48"/>
      <c r="U138" s="82"/>
      <c r="V138" s="26"/>
      <c r="W138" s="200"/>
      <c r="X138" s="17"/>
    </row>
    <row r="139" spans="2:24" x14ac:dyDescent="0.25">
      <c r="B139" s="17">
        <v>137</v>
      </c>
      <c r="C139" s="10"/>
      <c r="D139" s="10"/>
      <c r="E139" s="72"/>
      <c r="F139" s="18"/>
      <c r="G139" s="10"/>
      <c r="H139" s="10"/>
      <c r="I139" s="10"/>
      <c r="J139" s="11"/>
      <c r="K139" s="11">
        <f t="shared" si="199"/>
        <v>0</v>
      </c>
      <c r="L139" s="37">
        <f t="shared" si="200"/>
        <v>0</v>
      </c>
      <c r="M139" s="11"/>
      <c r="N139" s="10"/>
      <c r="O139" s="21"/>
      <c r="P139" s="21"/>
      <c r="Q139" s="21"/>
      <c r="R139" s="23"/>
      <c r="S139" s="50"/>
      <c r="T139" s="48"/>
      <c r="U139" s="82"/>
      <c r="V139" s="26"/>
      <c r="W139" s="200"/>
      <c r="X139" s="17"/>
    </row>
    <row r="140" spans="2:24" x14ac:dyDescent="0.25">
      <c r="B140" s="17">
        <v>138</v>
      </c>
      <c r="C140" s="10"/>
      <c r="D140" s="10"/>
      <c r="E140" s="72"/>
      <c r="F140" s="18"/>
      <c r="G140" s="10"/>
      <c r="H140" s="10"/>
      <c r="I140" s="10"/>
      <c r="J140" s="11"/>
      <c r="K140" s="11">
        <f t="shared" si="199"/>
        <v>0</v>
      </c>
      <c r="L140" s="37">
        <f t="shared" si="200"/>
        <v>0</v>
      </c>
      <c r="M140" s="11"/>
      <c r="N140" s="10"/>
      <c r="O140" s="21"/>
      <c r="P140" s="21"/>
      <c r="Q140" s="21"/>
      <c r="R140" s="23"/>
      <c r="S140" s="50"/>
      <c r="T140" s="48"/>
      <c r="U140" s="82"/>
      <c r="V140" s="26"/>
      <c r="W140" s="200"/>
      <c r="X140" s="17"/>
    </row>
    <row r="141" spans="2:24" x14ac:dyDescent="0.25">
      <c r="B141" s="17">
        <v>139</v>
      </c>
      <c r="C141" s="10"/>
      <c r="D141" s="10"/>
      <c r="E141" s="72"/>
      <c r="F141" s="18"/>
      <c r="G141" s="10"/>
      <c r="H141" s="10"/>
      <c r="I141" s="10"/>
      <c r="J141" s="11"/>
      <c r="K141" s="11">
        <f t="shared" si="199"/>
        <v>0</v>
      </c>
      <c r="L141" s="37">
        <f t="shared" si="200"/>
        <v>0</v>
      </c>
      <c r="M141" s="11"/>
      <c r="N141" s="10"/>
      <c r="O141" s="21"/>
      <c r="P141" s="21"/>
      <c r="Q141" s="21"/>
      <c r="R141" s="23"/>
      <c r="S141" s="50"/>
      <c r="T141" s="48"/>
      <c r="U141" s="82"/>
      <c r="V141" s="26"/>
      <c r="W141" s="200"/>
      <c r="X141" s="17"/>
    </row>
    <row r="142" spans="2:24" x14ac:dyDescent="0.25">
      <c r="B142" s="17">
        <v>140</v>
      </c>
      <c r="C142" s="10"/>
      <c r="D142" s="10"/>
      <c r="E142" s="72"/>
      <c r="F142" s="18"/>
      <c r="G142" s="10"/>
      <c r="H142" s="10"/>
      <c r="I142" s="10"/>
      <c r="J142" s="11"/>
      <c r="K142" s="11">
        <f t="shared" si="199"/>
        <v>0</v>
      </c>
      <c r="L142" s="37">
        <f t="shared" si="200"/>
        <v>0</v>
      </c>
      <c r="M142" s="11"/>
      <c r="N142" s="10"/>
      <c r="O142" s="21"/>
      <c r="P142" s="21"/>
      <c r="Q142" s="21"/>
      <c r="R142" s="23"/>
      <c r="S142" s="50"/>
      <c r="T142" s="48"/>
      <c r="U142" s="82"/>
      <c r="V142" s="32"/>
      <c r="W142" s="200"/>
      <c r="X142" s="17"/>
    </row>
    <row r="143" spans="2:24" x14ac:dyDescent="0.25">
      <c r="B143" s="17">
        <v>141</v>
      </c>
      <c r="C143" s="10"/>
      <c r="D143" s="10"/>
      <c r="E143" s="72"/>
      <c r="F143" s="18"/>
      <c r="G143" s="10"/>
      <c r="H143" s="10"/>
      <c r="I143" s="10"/>
      <c r="J143" s="11"/>
      <c r="K143" s="11">
        <f t="shared" si="199"/>
        <v>0</v>
      </c>
      <c r="L143" s="37">
        <f t="shared" si="200"/>
        <v>0</v>
      </c>
      <c r="M143" s="11"/>
      <c r="N143" s="10"/>
      <c r="O143" s="21"/>
      <c r="P143" s="21"/>
      <c r="Q143" s="21"/>
      <c r="R143" s="23"/>
      <c r="S143" s="50"/>
      <c r="T143" s="48"/>
      <c r="U143" s="82"/>
      <c r="V143" s="32"/>
      <c r="W143" s="200"/>
      <c r="X143" s="17"/>
    </row>
    <row r="144" spans="2:24" x14ac:dyDescent="0.25">
      <c r="B144" s="17">
        <v>142</v>
      </c>
      <c r="C144" s="10"/>
      <c r="D144" s="10"/>
      <c r="E144" s="72"/>
      <c r="F144" s="18"/>
      <c r="G144" s="10"/>
      <c r="H144" s="10"/>
      <c r="I144" s="10"/>
      <c r="J144" s="11"/>
      <c r="K144" s="11">
        <f t="shared" si="199"/>
        <v>0</v>
      </c>
      <c r="L144" s="37">
        <f t="shared" si="200"/>
        <v>0</v>
      </c>
      <c r="M144" s="11"/>
      <c r="N144" s="10"/>
      <c r="O144" s="21"/>
      <c r="P144" s="21"/>
      <c r="Q144" s="21"/>
      <c r="R144" s="23"/>
      <c r="S144" s="50"/>
      <c r="T144" s="48"/>
      <c r="U144" s="82"/>
      <c r="V144" s="26"/>
      <c r="W144" s="200"/>
      <c r="X144" s="17"/>
    </row>
    <row r="145" spans="2:24" x14ac:dyDescent="0.25">
      <c r="B145" s="17">
        <v>143</v>
      </c>
      <c r="C145" s="10"/>
      <c r="D145" s="10"/>
      <c r="E145" s="72"/>
      <c r="F145" s="18"/>
      <c r="G145" s="10"/>
      <c r="H145" s="10"/>
      <c r="I145" s="10"/>
      <c r="J145" s="11"/>
      <c r="K145" s="11">
        <f t="shared" si="199"/>
        <v>0</v>
      </c>
      <c r="L145" s="37">
        <f t="shared" si="200"/>
        <v>0</v>
      </c>
      <c r="M145" s="11"/>
      <c r="N145" s="10"/>
      <c r="O145" s="21"/>
      <c r="P145" s="21"/>
      <c r="Q145" s="21"/>
      <c r="R145" s="23"/>
      <c r="S145" s="50"/>
      <c r="T145" s="48"/>
      <c r="U145" s="82"/>
      <c r="V145" s="26"/>
      <c r="W145" s="200"/>
      <c r="X145" s="17"/>
    </row>
    <row r="146" spans="2:24" x14ac:dyDescent="0.25">
      <c r="B146" s="17">
        <v>144</v>
      </c>
      <c r="C146" s="10"/>
      <c r="D146" s="10"/>
      <c r="E146" s="72"/>
      <c r="F146" s="18"/>
      <c r="G146" s="10"/>
      <c r="H146" s="10"/>
      <c r="I146" s="10"/>
      <c r="J146" s="11"/>
      <c r="K146" s="11">
        <f t="shared" si="199"/>
        <v>0</v>
      </c>
      <c r="L146" s="37">
        <f t="shared" si="200"/>
        <v>0</v>
      </c>
      <c r="M146" s="11"/>
      <c r="N146" s="10"/>
      <c r="O146" s="21"/>
      <c r="P146" s="21"/>
      <c r="Q146" s="21"/>
      <c r="R146" s="23"/>
      <c r="S146" s="50"/>
      <c r="T146" s="48"/>
      <c r="U146" s="82"/>
      <c r="V146" s="26"/>
      <c r="W146" s="200"/>
      <c r="X146" s="17"/>
    </row>
    <row r="147" spans="2:24" x14ac:dyDescent="0.25">
      <c r="B147" s="17">
        <v>145</v>
      </c>
      <c r="C147" s="10"/>
      <c r="D147" s="10"/>
      <c r="E147" s="72"/>
      <c r="F147" s="18"/>
      <c r="G147" s="10"/>
      <c r="H147" s="10"/>
      <c r="I147" s="10"/>
      <c r="J147" s="11"/>
      <c r="K147" s="11">
        <f t="shared" si="199"/>
        <v>0</v>
      </c>
      <c r="L147" s="37">
        <f t="shared" si="200"/>
        <v>0</v>
      </c>
      <c r="M147" s="11"/>
      <c r="N147" s="10"/>
      <c r="O147" s="21"/>
      <c r="P147" s="21"/>
      <c r="Q147" s="21"/>
      <c r="R147" s="23"/>
      <c r="S147" s="50"/>
      <c r="T147" s="48"/>
      <c r="U147" s="82"/>
      <c r="V147" s="26"/>
      <c r="W147" s="200"/>
      <c r="X147" s="17"/>
    </row>
    <row r="148" spans="2:24" x14ac:dyDescent="0.25">
      <c r="B148" s="17">
        <v>146</v>
      </c>
      <c r="C148" s="10"/>
      <c r="D148" s="10"/>
      <c r="E148" s="72"/>
      <c r="F148" s="18"/>
      <c r="G148" s="10"/>
      <c r="H148" s="10"/>
      <c r="I148" s="10"/>
      <c r="J148" s="11"/>
      <c r="K148" s="11">
        <f t="shared" si="199"/>
        <v>0</v>
      </c>
      <c r="L148" s="37">
        <f t="shared" si="200"/>
        <v>0</v>
      </c>
      <c r="M148" s="11"/>
      <c r="N148" s="10"/>
      <c r="O148" s="21"/>
      <c r="P148" s="21"/>
      <c r="Q148" s="21"/>
      <c r="R148" s="23"/>
      <c r="S148" s="50"/>
      <c r="T148" s="48"/>
      <c r="U148" s="82"/>
      <c r="V148" s="32"/>
      <c r="W148" s="200"/>
      <c r="X148" s="17"/>
    </row>
    <row r="149" spans="2:24" x14ac:dyDescent="0.25">
      <c r="B149" s="17">
        <v>147</v>
      </c>
      <c r="C149" s="10"/>
      <c r="D149" s="10"/>
      <c r="E149" s="72"/>
      <c r="F149" s="18"/>
      <c r="G149" s="10"/>
      <c r="H149" s="10"/>
      <c r="I149" s="10"/>
      <c r="J149" s="11"/>
      <c r="K149" s="11">
        <f t="shared" si="199"/>
        <v>0</v>
      </c>
      <c r="L149" s="37">
        <f t="shared" si="200"/>
        <v>0</v>
      </c>
      <c r="M149" s="11"/>
      <c r="N149" s="10"/>
      <c r="O149" s="21"/>
      <c r="P149" s="21"/>
      <c r="Q149" s="21"/>
      <c r="R149" s="23"/>
      <c r="S149" s="50"/>
      <c r="T149" s="48"/>
      <c r="U149" s="82"/>
      <c r="V149" s="32"/>
      <c r="W149" s="200"/>
      <c r="X149" s="17"/>
    </row>
    <row r="150" spans="2:24" x14ac:dyDescent="0.25">
      <c r="B150" s="17">
        <v>148</v>
      </c>
      <c r="C150" s="10"/>
      <c r="D150" s="10"/>
      <c r="E150" s="72"/>
      <c r="F150" s="18"/>
      <c r="G150" s="10"/>
      <c r="H150" s="10"/>
      <c r="I150" s="10"/>
      <c r="J150" s="11"/>
      <c r="K150" s="11">
        <f t="shared" si="199"/>
        <v>0</v>
      </c>
      <c r="L150" s="37">
        <f t="shared" si="200"/>
        <v>0</v>
      </c>
      <c r="M150" s="11"/>
      <c r="N150" s="10"/>
      <c r="O150" s="21"/>
      <c r="P150" s="21"/>
      <c r="Q150" s="21"/>
      <c r="R150" s="23"/>
      <c r="S150" s="50"/>
      <c r="T150" s="48"/>
      <c r="U150" s="82"/>
      <c r="V150" s="26"/>
      <c r="W150" s="200"/>
      <c r="X150" s="17"/>
    </row>
    <row r="151" spans="2:24" x14ac:dyDescent="0.25">
      <c r="B151" s="17">
        <v>149</v>
      </c>
      <c r="C151" s="10"/>
      <c r="D151" s="10"/>
      <c r="E151" s="72"/>
      <c r="F151" s="18"/>
      <c r="G151" s="10"/>
      <c r="H151" s="10"/>
      <c r="I151" s="10"/>
      <c r="J151" s="11"/>
      <c r="K151" s="11">
        <f t="shared" si="199"/>
        <v>0</v>
      </c>
      <c r="L151" s="37">
        <f t="shared" si="200"/>
        <v>0</v>
      </c>
      <c r="M151" s="11"/>
      <c r="N151" s="10"/>
      <c r="O151" s="21"/>
      <c r="P151" s="21"/>
      <c r="Q151" s="21"/>
      <c r="R151" s="23"/>
      <c r="S151" s="50"/>
      <c r="T151" s="48"/>
      <c r="U151" s="82"/>
      <c r="V151" s="26"/>
      <c r="W151" s="200"/>
      <c r="X151" s="17"/>
    </row>
    <row r="152" spans="2:24" x14ac:dyDescent="0.25">
      <c r="B152" s="17">
        <v>150</v>
      </c>
      <c r="C152" s="10"/>
      <c r="D152" s="10"/>
      <c r="E152" s="72"/>
      <c r="F152" s="18"/>
      <c r="G152" s="10"/>
      <c r="H152" s="10"/>
      <c r="I152" s="10"/>
      <c r="J152" s="11"/>
      <c r="K152" s="11">
        <f t="shared" si="199"/>
        <v>0</v>
      </c>
      <c r="L152" s="37">
        <f t="shared" si="200"/>
        <v>0</v>
      </c>
      <c r="M152" s="11"/>
      <c r="N152" s="10"/>
      <c r="O152" s="21"/>
      <c r="P152" s="21"/>
      <c r="Q152" s="21"/>
      <c r="R152" s="23"/>
      <c r="S152" s="50"/>
      <c r="T152" s="48"/>
      <c r="U152" s="82"/>
      <c r="V152" s="26"/>
      <c r="W152" s="200"/>
      <c r="X152" s="17"/>
    </row>
    <row r="153" spans="2:24" x14ac:dyDescent="0.25">
      <c r="B153" s="17">
        <v>151</v>
      </c>
      <c r="C153" s="10"/>
      <c r="D153" s="10"/>
      <c r="E153" s="72"/>
      <c r="F153" s="18"/>
      <c r="G153" s="10"/>
      <c r="H153" s="10"/>
      <c r="I153" s="10"/>
      <c r="J153" s="11"/>
      <c r="K153" s="11">
        <f t="shared" si="199"/>
        <v>0</v>
      </c>
      <c r="L153" s="37">
        <f t="shared" si="200"/>
        <v>0</v>
      </c>
      <c r="M153" s="11"/>
      <c r="N153" s="10"/>
      <c r="O153" s="21"/>
      <c r="P153" s="21"/>
      <c r="Q153" s="21"/>
      <c r="R153" s="23"/>
      <c r="S153" s="50"/>
      <c r="T153" s="48"/>
      <c r="U153" s="82"/>
      <c r="V153" s="26"/>
      <c r="W153" s="200"/>
      <c r="X153" s="17"/>
    </row>
    <row r="154" spans="2:24" x14ac:dyDescent="0.25">
      <c r="B154" s="17">
        <v>152</v>
      </c>
      <c r="C154" s="10"/>
      <c r="D154" s="10"/>
      <c r="E154" s="72"/>
      <c r="F154" s="18"/>
      <c r="G154" s="10"/>
      <c r="H154" s="10"/>
      <c r="I154" s="10"/>
      <c r="J154" s="11"/>
      <c r="K154" s="11">
        <f t="shared" si="199"/>
        <v>0</v>
      </c>
      <c r="L154" s="37">
        <f t="shared" si="200"/>
        <v>0</v>
      </c>
      <c r="M154" s="11"/>
      <c r="N154" s="10"/>
      <c r="O154" s="21"/>
      <c r="P154" s="21"/>
      <c r="Q154" s="21"/>
      <c r="R154" s="23"/>
      <c r="S154" s="50"/>
      <c r="T154" s="48"/>
      <c r="U154" s="82"/>
      <c r="V154" s="26"/>
      <c r="W154" s="200"/>
      <c r="X154" s="17"/>
    </row>
    <row r="155" spans="2:24" x14ac:dyDescent="0.25">
      <c r="B155" s="17">
        <v>153</v>
      </c>
      <c r="C155" s="10"/>
      <c r="D155" s="10"/>
      <c r="E155" s="72"/>
      <c r="F155" s="18"/>
      <c r="G155" s="10"/>
      <c r="H155" s="10"/>
      <c r="I155" s="10"/>
      <c r="J155" s="11"/>
      <c r="K155" s="11">
        <f t="shared" si="199"/>
        <v>0</v>
      </c>
      <c r="L155" s="37">
        <f t="shared" si="200"/>
        <v>0</v>
      </c>
      <c r="M155" s="11"/>
      <c r="N155" s="10"/>
      <c r="O155" s="21"/>
      <c r="P155" s="21"/>
      <c r="Q155" s="21"/>
      <c r="R155" s="23"/>
      <c r="S155" s="50"/>
      <c r="T155" s="48"/>
      <c r="U155" s="82"/>
      <c r="V155" s="32"/>
      <c r="W155" s="200"/>
      <c r="X155" s="17"/>
    </row>
    <row r="156" spans="2:24" x14ac:dyDescent="0.25">
      <c r="B156" s="17">
        <v>154</v>
      </c>
      <c r="C156" s="10"/>
      <c r="D156" s="10"/>
      <c r="E156" s="72"/>
      <c r="F156" s="18"/>
      <c r="G156" s="10"/>
      <c r="H156" s="10"/>
      <c r="I156" s="10"/>
      <c r="J156" s="11"/>
      <c r="K156" s="11">
        <f t="shared" si="199"/>
        <v>0</v>
      </c>
      <c r="L156" s="37">
        <f t="shared" si="200"/>
        <v>0</v>
      </c>
      <c r="M156" s="11"/>
      <c r="N156" s="10"/>
      <c r="O156" s="21"/>
      <c r="P156" s="21"/>
      <c r="Q156" s="21"/>
      <c r="R156" s="23"/>
      <c r="S156" s="50"/>
      <c r="T156" s="48"/>
      <c r="U156" s="82"/>
      <c r="V156" s="32"/>
      <c r="W156" s="200"/>
      <c r="X156" s="17"/>
    </row>
    <row r="157" spans="2:24" x14ac:dyDescent="0.25">
      <c r="B157" s="17">
        <v>155</v>
      </c>
      <c r="C157" s="10"/>
      <c r="D157" s="10"/>
      <c r="E157" s="72"/>
      <c r="F157" s="18"/>
      <c r="G157" s="10"/>
      <c r="H157" s="10"/>
      <c r="I157" s="10"/>
      <c r="J157" s="11"/>
      <c r="K157" s="11">
        <f t="shared" si="199"/>
        <v>0</v>
      </c>
      <c r="L157" s="37">
        <f t="shared" si="200"/>
        <v>0</v>
      </c>
      <c r="M157" s="11"/>
      <c r="N157" s="10"/>
      <c r="O157" s="21"/>
      <c r="P157" s="21"/>
      <c r="Q157" s="21"/>
      <c r="R157" s="23"/>
      <c r="S157" s="50"/>
      <c r="T157" s="48"/>
      <c r="U157" s="82"/>
      <c r="V157" s="26"/>
      <c r="W157" s="200"/>
      <c r="X157" s="17"/>
    </row>
    <row r="158" spans="2:24" x14ac:dyDescent="0.25">
      <c r="B158" s="17">
        <v>156</v>
      </c>
      <c r="C158" s="10"/>
      <c r="D158" s="10"/>
      <c r="E158" s="72"/>
      <c r="F158" s="18"/>
      <c r="G158" s="10"/>
      <c r="H158" s="10"/>
      <c r="I158" s="10"/>
      <c r="J158" s="11"/>
      <c r="K158" s="11">
        <f t="shared" si="199"/>
        <v>0</v>
      </c>
      <c r="L158" s="37">
        <f t="shared" si="200"/>
        <v>0</v>
      </c>
      <c r="M158" s="11"/>
      <c r="N158" s="10"/>
      <c r="O158" s="21"/>
      <c r="P158" s="21"/>
      <c r="Q158" s="21"/>
      <c r="R158" s="23"/>
      <c r="S158" s="50"/>
      <c r="T158" s="48"/>
      <c r="U158" s="82"/>
      <c r="V158" s="26"/>
      <c r="W158" s="200"/>
      <c r="X158" s="17"/>
    </row>
    <row r="159" spans="2:24" x14ac:dyDescent="0.25">
      <c r="B159" s="17">
        <v>157</v>
      </c>
      <c r="C159" s="10"/>
      <c r="D159" s="10"/>
      <c r="E159" s="72"/>
      <c r="F159" s="18"/>
      <c r="G159" s="10"/>
      <c r="H159" s="10"/>
      <c r="I159" s="10"/>
      <c r="J159" s="11"/>
      <c r="K159" s="11">
        <f t="shared" si="199"/>
        <v>0</v>
      </c>
      <c r="L159" s="37">
        <f t="shared" si="200"/>
        <v>0</v>
      </c>
      <c r="M159" s="11"/>
      <c r="N159" s="10"/>
      <c r="O159" s="21"/>
      <c r="P159" s="21"/>
      <c r="Q159" s="21"/>
      <c r="R159" s="23"/>
      <c r="S159" s="50"/>
      <c r="T159" s="48"/>
      <c r="U159" s="82"/>
      <c r="V159" s="26"/>
      <c r="W159" s="200"/>
      <c r="X159" s="17"/>
    </row>
    <row r="160" spans="2:24" x14ac:dyDescent="0.25">
      <c r="B160" s="17">
        <v>158</v>
      </c>
      <c r="C160" s="10"/>
      <c r="D160" s="10"/>
      <c r="E160" s="72"/>
      <c r="F160" s="18"/>
      <c r="G160" s="10"/>
      <c r="H160" s="10"/>
      <c r="I160" s="10"/>
      <c r="J160" s="11"/>
      <c r="K160" s="11">
        <f t="shared" si="199"/>
        <v>0</v>
      </c>
      <c r="L160" s="37">
        <f t="shared" si="200"/>
        <v>0</v>
      </c>
      <c r="M160" s="11"/>
      <c r="N160" s="10"/>
      <c r="O160" s="21"/>
      <c r="P160" s="21"/>
      <c r="Q160" s="21"/>
      <c r="R160" s="23"/>
      <c r="S160" s="50"/>
      <c r="T160" s="48"/>
      <c r="U160" s="82"/>
      <c r="V160" s="26"/>
      <c r="W160" s="200"/>
      <c r="X160" s="17"/>
    </row>
    <row r="161" spans="2:24" x14ac:dyDescent="0.25">
      <c r="B161" s="17">
        <v>159</v>
      </c>
      <c r="C161" s="10"/>
      <c r="D161" s="10"/>
      <c r="E161" s="72"/>
      <c r="F161" s="18"/>
      <c r="G161" s="10"/>
      <c r="H161" s="10"/>
      <c r="I161" s="10"/>
      <c r="J161" s="11"/>
      <c r="K161" s="11">
        <f t="shared" si="199"/>
        <v>0</v>
      </c>
      <c r="L161" s="37">
        <f t="shared" si="200"/>
        <v>0</v>
      </c>
      <c r="M161" s="11"/>
      <c r="N161" s="10"/>
      <c r="O161" s="21"/>
      <c r="P161" s="21"/>
      <c r="Q161" s="21"/>
      <c r="R161" s="23"/>
      <c r="S161" s="50"/>
      <c r="T161" s="48"/>
      <c r="U161" s="82"/>
      <c r="V161" s="26"/>
      <c r="W161" s="200"/>
      <c r="X161" s="17"/>
    </row>
    <row r="162" spans="2:24" x14ac:dyDescent="0.25">
      <c r="B162" s="17">
        <v>160</v>
      </c>
      <c r="C162" s="10"/>
      <c r="D162" s="10"/>
      <c r="E162" s="72"/>
      <c r="F162" s="18"/>
      <c r="G162" s="10"/>
      <c r="H162" s="10"/>
      <c r="I162" s="10"/>
      <c r="J162" s="11"/>
      <c r="K162" s="11">
        <f t="shared" si="199"/>
        <v>0</v>
      </c>
      <c r="L162" s="37">
        <f t="shared" si="200"/>
        <v>0</v>
      </c>
      <c r="M162" s="11"/>
      <c r="N162" s="10"/>
      <c r="O162" s="21"/>
      <c r="P162" s="21"/>
      <c r="Q162" s="21"/>
      <c r="R162" s="23"/>
      <c r="S162" s="50"/>
      <c r="T162" s="48"/>
      <c r="U162" s="82"/>
      <c r="V162" s="32"/>
      <c r="W162" s="200"/>
      <c r="X162" s="17"/>
    </row>
    <row r="163" spans="2:24" x14ac:dyDescent="0.25">
      <c r="B163" s="17">
        <v>161</v>
      </c>
      <c r="C163" s="10"/>
      <c r="D163" s="10"/>
      <c r="E163" s="72"/>
      <c r="F163" s="18"/>
      <c r="G163" s="10"/>
      <c r="H163" s="10"/>
      <c r="I163" s="10"/>
      <c r="J163" s="11"/>
      <c r="K163" s="11">
        <f t="shared" si="199"/>
        <v>0</v>
      </c>
      <c r="L163" s="37">
        <f t="shared" si="200"/>
        <v>0</v>
      </c>
      <c r="M163" s="11"/>
      <c r="N163" s="10"/>
      <c r="O163" s="21"/>
      <c r="P163" s="21"/>
      <c r="Q163" s="21"/>
      <c r="R163" s="23"/>
      <c r="S163" s="50"/>
      <c r="T163" s="48"/>
      <c r="U163" s="82"/>
      <c r="V163" s="32"/>
      <c r="W163" s="200"/>
      <c r="X163" s="17"/>
    </row>
    <row r="164" spans="2:24" x14ac:dyDescent="0.25">
      <c r="B164" s="17">
        <v>162</v>
      </c>
      <c r="C164" s="10"/>
      <c r="D164" s="10"/>
      <c r="E164" s="72"/>
      <c r="F164" s="18"/>
      <c r="G164" s="10"/>
      <c r="H164" s="10"/>
      <c r="I164" s="10"/>
      <c r="J164" s="11"/>
      <c r="K164" s="11">
        <f t="shared" si="199"/>
        <v>0</v>
      </c>
      <c r="L164" s="37">
        <f t="shared" si="200"/>
        <v>0</v>
      </c>
      <c r="M164" s="11"/>
      <c r="N164" s="10"/>
      <c r="O164" s="21"/>
      <c r="P164" s="21"/>
      <c r="Q164" s="21"/>
      <c r="R164" s="23"/>
      <c r="S164" s="50"/>
      <c r="T164" s="48"/>
      <c r="U164" s="82"/>
      <c r="V164" s="32"/>
      <c r="W164" s="200"/>
      <c r="X164" s="17"/>
    </row>
    <row r="165" spans="2:24" x14ac:dyDescent="0.25">
      <c r="B165" s="17">
        <v>163</v>
      </c>
      <c r="C165" s="10"/>
      <c r="D165" s="10"/>
      <c r="E165" s="72"/>
      <c r="F165" s="18"/>
      <c r="G165" s="10"/>
      <c r="H165" s="10"/>
      <c r="I165" s="10"/>
      <c r="J165" s="11"/>
      <c r="K165" s="11">
        <f t="shared" si="199"/>
        <v>0</v>
      </c>
      <c r="L165" s="37">
        <f t="shared" si="200"/>
        <v>0</v>
      </c>
      <c r="M165" s="11"/>
      <c r="N165" s="10"/>
      <c r="O165" s="21"/>
      <c r="P165" s="21"/>
      <c r="Q165" s="21"/>
      <c r="R165" s="23"/>
      <c r="S165" s="50"/>
      <c r="T165" s="48"/>
      <c r="U165" s="82"/>
      <c r="V165" s="32"/>
      <c r="W165" s="200"/>
      <c r="X165" s="17"/>
    </row>
    <row r="166" spans="2:24" x14ac:dyDescent="0.25">
      <c r="B166" s="17">
        <v>164</v>
      </c>
      <c r="C166" s="10"/>
      <c r="D166" s="10"/>
      <c r="E166" s="72"/>
      <c r="F166" s="18"/>
      <c r="G166" s="10"/>
      <c r="H166" s="10"/>
      <c r="I166" s="10"/>
      <c r="J166" s="11"/>
      <c r="K166" s="11">
        <f t="shared" si="199"/>
        <v>0</v>
      </c>
      <c r="L166" s="37">
        <f t="shared" si="200"/>
        <v>0</v>
      </c>
      <c r="M166" s="11"/>
      <c r="N166" s="10"/>
      <c r="O166" s="21"/>
      <c r="P166" s="21"/>
      <c r="Q166" s="21"/>
      <c r="R166" s="23"/>
      <c r="S166" s="50"/>
      <c r="T166" s="48"/>
      <c r="U166" s="82"/>
      <c r="V166" s="26"/>
      <c r="W166" s="200"/>
      <c r="X166" s="17"/>
    </row>
    <row r="167" spans="2:24" x14ac:dyDescent="0.25">
      <c r="B167" s="17">
        <v>165</v>
      </c>
      <c r="C167" s="10"/>
      <c r="D167" s="10"/>
      <c r="E167" s="72"/>
      <c r="F167" s="18"/>
      <c r="G167" s="10"/>
      <c r="H167" s="10"/>
      <c r="I167" s="10"/>
      <c r="J167" s="11"/>
      <c r="K167" s="11">
        <f t="shared" si="199"/>
        <v>0</v>
      </c>
      <c r="L167" s="37">
        <f t="shared" si="200"/>
        <v>0</v>
      </c>
      <c r="M167" s="11"/>
      <c r="N167" s="10"/>
      <c r="O167" s="21"/>
      <c r="P167" s="21"/>
      <c r="Q167" s="21"/>
      <c r="R167" s="23"/>
      <c r="S167" s="50"/>
      <c r="T167" s="48"/>
      <c r="U167" s="82"/>
      <c r="V167" s="26"/>
      <c r="W167" s="200"/>
      <c r="X167" s="17"/>
    </row>
    <row r="168" spans="2:24" x14ac:dyDescent="0.25">
      <c r="B168" s="17">
        <v>166</v>
      </c>
      <c r="C168" s="10"/>
      <c r="D168" s="10"/>
      <c r="E168" s="72"/>
      <c r="F168" s="18"/>
      <c r="G168" s="10"/>
      <c r="H168" s="10"/>
      <c r="I168" s="10"/>
      <c r="J168" s="11"/>
      <c r="K168" s="11">
        <f t="shared" si="199"/>
        <v>0</v>
      </c>
      <c r="L168" s="37">
        <f t="shared" si="200"/>
        <v>0</v>
      </c>
      <c r="M168" s="11"/>
      <c r="N168" s="10"/>
      <c r="O168" s="21"/>
      <c r="P168" s="21"/>
      <c r="Q168" s="21"/>
      <c r="R168" s="23"/>
      <c r="S168" s="50"/>
      <c r="T168" s="48"/>
      <c r="U168" s="82"/>
      <c r="V168" s="26"/>
      <c r="W168" s="200"/>
      <c r="X168" s="17"/>
    </row>
    <row r="169" spans="2:24" x14ac:dyDescent="0.25">
      <c r="B169" s="17">
        <v>167</v>
      </c>
      <c r="C169" s="10"/>
      <c r="D169" s="10"/>
      <c r="E169" s="72"/>
      <c r="F169" s="18"/>
      <c r="G169" s="10"/>
      <c r="H169" s="10"/>
      <c r="I169" s="10"/>
      <c r="J169" s="11"/>
      <c r="K169" s="11">
        <f t="shared" si="199"/>
        <v>0</v>
      </c>
      <c r="L169" s="37">
        <f t="shared" si="200"/>
        <v>0</v>
      </c>
      <c r="M169" s="11"/>
      <c r="N169" s="10"/>
      <c r="O169" s="21"/>
      <c r="P169" s="21"/>
      <c r="Q169" s="21"/>
      <c r="R169" s="23"/>
      <c r="S169" s="50"/>
      <c r="T169" s="48"/>
      <c r="U169" s="82"/>
      <c r="V169" s="26"/>
      <c r="W169" s="200"/>
      <c r="X169" s="17"/>
    </row>
    <row r="170" spans="2:24" x14ac:dyDescent="0.25">
      <c r="B170" s="17">
        <v>168</v>
      </c>
      <c r="C170" s="10"/>
      <c r="D170" s="10"/>
      <c r="E170" s="72"/>
      <c r="F170" s="18"/>
      <c r="G170" s="10"/>
      <c r="H170" s="10"/>
      <c r="I170" s="10"/>
      <c r="J170" s="11"/>
      <c r="K170" s="11">
        <f t="shared" si="199"/>
        <v>0</v>
      </c>
      <c r="L170" s="37">
        <f t="shared" si="200"/>
        <v>0</v>
      </c>
      <c r="M170" s="11"/>
      <c r="N170" s="10"/>
      <c r="O170" s="21"/>
      <c r="P170" s="21"/>
      <c r="Q170" s="21"/>
      <c r="R170" s="23"/>
      <c r="S170" s="50"/>
      <c r="T170" s="48"/>
      <c r="U170" s="82"/>
      <c r="V170" s="32"/>
      <c r="W170" s="200"/>
      <c r="X170" s="17"/>
    </row>
    <row r="171" spans="2:24" x14ac:dyDescent="0.25">
      <c r="B171" s="17">
        <v>169</v>
      </c>
      <c r="C171" s="10"/>
      <c r="D171" s="10"/>
      <c r="E171" s="72"/>
      <c r="F171" s="18"/>
      <c r="G171" s="10"/>
      <c r="H171" s="10"/>
      <c r="I171" s="10"/>
      <c r="J171" s="11"/>
      <c r="K171" s="11">
        <f t="shared" si="199"/>
        <v>0</v>
      </c>
      <c r="L171" s="37">
        <f t="shared" si="200"/>
        <v>0</v>
      </c>
      <c r="M171" s="11"/>
      <c r="N171" s="10"/>
      <c r="O171" s="21"/>
      <c r="P171" s="21"/>
      <c r="Q171" s="21"/>
      <c r="R171" s="23"/>
      <c r="S171" s="50"/>
      <c r="T171" s="48"/>
      <c r="U171" s="82"/>
      <c r="V171" s="32"/>
      <c r="W171" s="200"/>
      <c r="X171" s="17"/>
    </row>
    <row r="172" spans="2:24" x14ac:dyDescent="0.25">
      <c r="B172" s="17">
        <v>170</v>
      </c>
      <c r="C172" s="10"/>
      <c r="D172" s="10"/>
      <c r="E172" s="72"/>
      <c r="F172" s="18"/>
      <c r="G172" s="10"/>
      <c r="H172" s="10"/>
      <c r="I172" s="10"/>
      <c r="J172" s="11"/>
      <c r="K172" s="11">
        <f t="shared" si="199"/>
        <v>0</v>
      </c>
      <c r="L172" s="37">
        <f t="shared" si="200"/>
        <v>0</v>
      </c>
      <c r="M172" s="11"/>
      <c r="N172" s="10"/>
      <c r="O172" s="21"/>
      <c r="P172" s="21"/>
      <c r="Q172" s="21"/>
      <c r="R172" s="23"/>
      <c r="S172" s="50"/>
      <c r="T172" s="48"/>
      <c r="U172" s="82"/>
      <c r="V172" s="26"/>
      <c r="W172" s="200"/>
      <c r="X172" s="17"/>
    </row>
    <row r="173" spans="2:24" x14ac:dyDescent="0.25">
      <c r="B173" s="17">
        <v>171</v>
      </c>
      <c r="C173" s="10"/>
      <c r="D173" s="10"/>
      <c r="E173" s="72"/>
      <c r="F173" s="18"/>
      <c r="G173" s="10"/>
      <c r="H173" s="10"/>
      <c r="I173" s="10"/>
      <c r="J173" s="11"/>
      <c r="K173" s="11">
        <f t="shared" si="199"/>
        <v>0</v>
      </c>
      <c r="L173" s="37">
        <f t="shared" si="200"/>
        <v>0</v>
      </c>
      <c r="M173" s="11"/>
      <c r="N173" s="10"/>
      <c r="O173" s="21"/>
      <c r="P173" s="21"/>
      <c r="Q173" s="21"/>
      <c r="R173" s="23"/>
      <c r="S173" s="50"/>
      <c r="T173" s="48"/>
      <c r="U173" s="82"/>
      <c r="V173" s="26"/>
      <c r="W173" s="200"/>
      <c r="X173" s="17"/>
    </row>
    <row r="174" spans="2:24" x14ac:dyDescent="0.25">
      <c r="B174" s="17">
        <v>172</v>
      </c>
      <c r="C174" s="10"/>
      <c r="D174" s="10"/>
      <c r="E174" s="72"/>
      <c r="F174" s="18"/>
      <c r="G174" s="10"/>
      <c r="H174" s="10"/>
      <c r="I174" s="10"/>
      <c r="J174" s="11"/>
      <c r="K174" s="11">
        <f t="shared" si="199"/>
        <v>0</v>
      </c>
      <c r="L174" s="37">
        <f t="shared" si="200"/>
        <v>0</v>
      </c>
      <c r="M174" s="11"/>
      <c r="N174" s="10"/>
      <c r="O174" s="21"/>
      <c r="P174" s="21"/>
      <c r="Q174" s="21"/>
      <c r="R174" s="23"/>
      <c r="S174" s="50"/>
      <c r="T174" s="48"/>
      <c r="U174" s="82"/>
      <c r="V174" s="26"/>
      <c r="W174" s="200"/>
      <c r="X174" s="17"/>
    </row>
    <row r="175" spans="2:24" x14ac:dyDescent="0.25">
      <c r="B175" s="17">
        <v>173</v>
      </c>
      <c r="C175" s="10"/>
      <c r="D175" s="10"/>
      <c r="E175" s="72"/>
      <c r="F175" s="18"/>
      <c r="G175" s="10"/>
      <c r="H175" s="10"/>
      <c r="I175" s="10"/>
      <c r="J175" s="11"/>
      <c r="K175" s="11">
        <f t="shared" si="199"/>
        <v>0</v>
      </c>
      <c r="L175" s="37">
        <f t="shared" si="200"/>
        <v>0</v>
      </c>
      <c r="M175" s="11"/>
      <c r="N175" s="10"/>
      <c r="O175" s="21"/>
      <c r="P175" s="21"/>
      <c r="Q175" s="21"/>
      <c r="R175" s="23"/>
      <c r="S175" s="50"/>
      <c r="T175" s="48"/>
      <c r="U175" s="82"/>
      <c r="V175" s="26"/>
      <c r="W175" s="200"/>
      <c r="X175" s="17"/>
    </row>
    <row r="176" spans="2:24" x14ac:dyDescent="0.25">
      <c r="B176" s="17">
        <v>174</v>
      </c>
      <c r="C176" s="10"/>
      <c r="D176" s="10"/>
      <c r="E176" s="72"/>
      <c r="F176" s="18"/>
      <c r="G176" s="10"/>
      <c r="H176" s="10"/>
      <c r="I176" s="10"/>
      <c r="J176" s="11"/>
      <c r="K176" s="11">
        <f t="shared" si="199"/>
        <v>0</v>
      </c>
      <c r="L176" s="37">
        <f t="shared" si="200"/>
        <v>0</v>
      </c>
      <c r="M176" s="11"/>
      <c r="N176" s="10"/>
      <c r="O176" s="21"/>
      <c r="P176" s="21"/>
      <c r="Q176" s="21"/>
      <c r="R176" s="23"/>
      <c r="S176" s="50"/>
      <c r="T176" s="48"/>
      <c r="U176" s="82"/>
      <c r="V176" s="26"/>
      <c r="W176" s="200"/>
      <c r="X176" s="17"/>
    </row>
    <row r="177" spans="2:24" x14ac:dyDescent="0.25">
      <c r="B177" s="17">
        <v>175</v>
      </c>
      <c r="C177" s="10"/>
      <c r="D177" s="10"/>
      <c r="E177" s="72"/>
      <c r="F177" s="18"/>
      <c r="G177" s="10"/>
      <c r="H177" s="10"/>
      <c r="I177" s="10"/>
      <c r="J177" s="11"/>
      <c r="K177" s="11">
        <f t="shared" si="199"/>
        <v>0</v>
      </c>
      <c r="L177" s="37">
        <f t="shared" si="200"/>
        <v>0</v>
      </c>
      <c r="M177" s="11"/>
      <c r="N177" s="10"/>
      <c r="O177" s="21"/>
      <c r="P177" s="21"/>
      <c r="Q177" s="21"/>
      <c r="R177" s="23"/>
      <c r="S177" s="50"/>
      <c r="T177" s="48"/>
      <c r="U177" s="82"/>
      <c r="V177" s="32"/>
      <c r="W177" s="200"/>
      <c r="X177" s="17"/>
    </row>
    <row r="178" spans="2:24" x14ac:dyDescent="0.25">
      <c r="B178" s="17">
        <v>176</v>
      </c>
      <c r="C178" s="10"/>
      <c r="D178" s="10"/>
      <c r="E178" s="72"/>
      <c r="F178" s="18"/>
      <c r="G178" s="10"/>
      <c r="H178" s="10"/>
      <c r="I178" s="10"/>
      <c r="J178" s="11"/>
      <c r="K178" s="11">
        <f t="shared" si="199"/>
        <v>0</v>
      </c>
      <c r="L178" s="37">
        <f t="shared" si="200"/>
        <v>0</v>
      </c>
      <c r="M178" s="11"/>
      <c r="N178" s="10"/>
      <c r="O178" s="21"/>
      <c r="P178" s="21"/>
      <c r="Q178" s="21"/>
      <c r="R178" s="23"/>
      <c r="S178" s="50"/>
      <c r="T178" s="48"/>
      <c r="U178" s="82"/>
      <c r="V178" s="32"/>
      <c r="W178" s="200"/>
      <c r="X178" s="17"/>
    </row>
    <row r="179" spans="2:24" x14ac:dyDescent="0.25">
      <c r="B179" s="17">
        <v>177</v>
      </c>
      <c r="C179" s="10"/>
      <c r="D179" s="10"/>
      <c r="E179" s="72"/>
      <c r="F179" s="18"/>
      <c r="G179" s="10"/>
      <c r="H179" s="10"/>
      <c r="I179" s="10"/>
      <c r="J179" s="11"/>
      <c r="K179" s="11">
        <f t="shared" si="199"/>
        <v>0</v>
      </c>
      <c r="L179" s="37">
        <f t="shared" si="200"/>
        <v>0</v>
      </c>
      <c r="M179" s="11"/>
      <c r="N179" s="10"/>
      <c r="O179" s="21"/>
      <c r="P179" s="21"/>
      <c r="Q179" s="21"/>
      <c r="R179" s="23"/>
      <c r="S179" s="50"/>
      <c r="T179" s="48"/>
      <c r="U179" s="82"/>
      <c r="V179" s="26"/>
      <c r="W179" s="200"/>
      <c r="X179" s="17"/>
    </row>
    <row r="180" spans="2:24" x14ac:dyDescent="0.25">
      <c r="B180" s="17">
        <v>178</v>
      </c>
      <c r="C180" s="10"/>
      <c r="D180" s="10"/>
      <c r="E180" s="72"/>
      <c r="F180" s="18"/>
      <c r="G180" s="10"/>
      <c r="H180" s="10"/>
      <c r="I180" s="10"/>
      <c r="J180" s="11"/>
      <c r="K180" s="11">
        <f t="shared" si="199"/>
        <v>0</v>
      </c>
      <c r="L180" s="37">
        <f t="shared" si="200"/>
        <v>0</v>
      </c>
      <c r="M180" s="11"/>
      <c r="N180" s="10"/>
      <c r="O180" s="21"/>
      <c r="P180" s="21"/>
      <c r="Q180" s="21"/>
      <c r="R180" s="23"/>
      <c r="S180" s="50"/>
      <c r="T180" s="48"/>
      <c r="U180" s="82"/>
      <c r="V180" s="26"/>
      <c r="W180" s="200"/>
      <c r="X180" s="17"/>
    </row>
    <row r="181" spans="2:24" x14ac:dyDescent="0.25">
      <c r="B181" s="17">
        <v>179</v>
      </c>
      <c r="C181" s="10"/>
      <c r="D181" s="10"/>
      <c r="E181" s="72"/>
      <c r="F181" s="18"/>
      <c r="G181" s="10"/>
      <c r="H181" s="10"/>
      <c r="I181" s="10"/>
      <c r="J181" s="11"/>
      <c r="K181" s="11">
        <f t="shared" si="199"/>
        <v>0</v>
      </c>
      <c r="L181" s="37">
        <f t="shared" si="200"/>
        <v>0</v>
      </c>
      <c r="M181" s="11"/>
      <c r="N181" s="10"/>
      <c r="O181" s="21"/>
      <c r="P181" s="21"/>
      <c r="Q181" s="21"/>
      <c r="R181" s="23"/>
      <c r="S181" s="50"/>
      <c r="T181" s="48"/>
      <c r="U181" s="82"/>
      <c r="V181" s="26"/>
      <c r="W181" s="200"/>
      <c r="X181" s="17"/>
    </row>
    <row r="182" spans="2:24" x14ac:dyDescent="0.25">
      <c r="B182" s="17">
        <v>180</v>
      </c>
      <c r="C182" s="10"/>
      <c r="D182" s="10"/>
      <c r="E182" s="72"/>
      <c r="F182" s="18"/>
      <c r="G182" s="10"/>
      <c r="H182" s="10"/>
      <c r="I182" s="10"/>
      <c r="J182" s="11"/>
      <c r="K182" s="11">
        <f t="shared" si="199"/>
        <v>0</v>
      </c>
      <c r="L182" s="37">
        <f t="shared" si="200"/>
        <v>0</v>
      </c>
      <c r="M182" s="11"/>
      <c r="N182" s="10"/>
      <c r="O182" s="21"/>
      <c r="P182" s="21"/>
      <c r="Q182" s="21"/>
      <c r="R182" s="23"/>
      <c r="S182" s="50"/>
      <c r="T182" s="48"/>
      <c r="U182" s="82"/>
      <c r="V182" s="26"/>
      <c r="W182" s="200"/>
      <c r="X182" s="17"/>
    </row>
    <row r="183" spans="2:24" x14ac:dyDescent="0.25">
      <c r="B183" s="17">
        <v>181</v>
      </c>
      <c r="C183" s="10"/>
      <c r="D183" s="10"/>
      <c r="E183" s="72"/>
      <c r="F183" s="18"/>
      <c r="G183" s="10"/>
      <c r="H183" s="10"/>
      <c r="I183" s="10"/>
      <c r="J183" s="11"/>
      <c r="K183" s="11">
        <f t="shared" si="199"/>
        <v>0</v>
      </c>
      <c r="L183" s="37">
        <f t="shared" si="200"/>
        <v>0</v>
      </c>
      <c r="M183" s="11"/>
      <c r="N183" s="10"/>
      <c r="O183" s="21"/>
      <c r="P183" s="21"/>
      <c r="Q183" s="21"/>
      <c r="R183" s="23"/>
      <c r="S183" s="50"/>
      <c r="T183" s="48"/>
      <c r="U183" s="82"/>
      <c r="V183" s="26"/>
      <c r="W183" s="200"/>
      <c r="X183" s="17"/>
    </row>
    <row r="184" spans="2:24" x14ac:dyDescent="0.25">
      <c r="B184" s="17">
        <v>182</v>
      </c>
      <c r="C184" s="10"/>
      <c r="D184" s="10"/>
      <c r="E184" s="72"/>
      <c r="F184" s="18"/>
      <c r="G184" s="10"/>
      <c r="H184" s="10"/>
      <c r="I184" s="10"/>
      <c r="J184" s="11"/>
      <c r="K184" s="11">
        <f t="shared" si="199"/>
        <v>0</v>
      </c>
      <c r="L184" s="37">
        <f t="shared" si="200"/>
        <v>0</v>
      </c>
      <c r="M184" s="11"/>
      <c r="N184" s="10"/>
      <c r="O184" s="21"/>
      <c r="P184" s="21"/>
      <c r="Q184" s="21"/>
      <c r="R184" s="23"/>
      <c r="S184" s="50"/>
      <c r="T184" s="48"/>
      <c r="U184" s="82"/>
      <c r="V184" s="32"/>
      <c r="W184" s="200"/>
      <c r="X184" s="17"/>
    </row>
    <row r="185" spans="2:24" x14ac:dyDescent="0.25">
      <c r="B185" s="17">
        <v>183</v>
      </c>
      <c r="C185" s="10"/>
      <c r="D185" s="10"/>
      <c r="E185" s="72"/>
      <c r="F185" s="18"/>
      <c r="G185" s="10"/>
      <c r="H185" s="10"/>
      <c r="I185" s="10"/>
      <c r="J185" s="11"/>
      <c r="K185" s="11">
        <f t="shared" si="199"/>
        <v>0</v>
      </c>
      <c r="L185" s="37">
        <f t="shared" si="200"/>
        <v>0</v>
      </c>
      <c r="M185" s="11"/>
      <c r="N185" s="10"/>
      <c r="O185" s="21"/>
      <c r="P185" s="21"/>
      <c r="Q185" s="21"/>
      <c r="R185" s="23"/>
      <c r="S185" s="50"/>
      <c r="T185" s="48"/>
      <c r="U185" s="82"/>
      <c r="V185" s="32"/>
      <c r="W185" s="200"/>
      <c r="X185" s="17"/>
    </row>
    <row r="186" spans="2:24" x14ac:dyDescent="0.25">
      <c r="B186" s="17">
        <v>184</v>
      </c>
      <c r="C186" s="10"/>
      <c r="D186" s="10"/>
      <c r="E186" s="72"/>
      <c r="F186" s="18"/>
      <c r="G186" s="10"/>
      <c r="H186" s="10"/>
      <c r="I186" s="10"/>
      <c r="J186" s="11"/>
      <c r="K186" s="11">
        <f t="shared" si="199"/>
        <v>0</v>
      </c>
      <c r="L186" s="37">
        <f t="shared" si="200"/>
        <v>0</v>
      </c>
      <c r="M186" s="11"/>
      <c r="N186" s="10"/>
      <c r="O186" s="21"/>
      <c r="P186" s="21"/>
      <c r="Q186" s="21"/>
      <c r="R186" s="23"/>
      <c r="S186" s="50"/>
      <c r="T186" s="48"/>
      <c r="U186" s="82"/>
      <c r="V186" s="32"/>
      <c r="W186" s="200"/>
      <c r="X186" s="17"/>
    </row>
    <row r="187" spans="2:24" x14ac:dyDescent="0.25">
      <c r="B187" s="17">
        <v>185</v>
      </c>
      <c r="C187" s="10"/>
      <c r="D187" s="10"/>
      <c r="E187" s="72"/>
      <c r="F187" s="18"/>
      <c r="G187" s="10"/>
      <c r="H187" s="10"/>
      <c r="I187" s="10"/>
      <c r="J187" s="11"/>
      <c r="K187" s="11">
        <f t="shared" si="199"/>
        <v>0</v>
      </c>
      <c r="L187" s="37">
        <f t="shared" si="200"/>
        <v>0</v>
      </c>
      <c r="M187" s="11"/>
      <c r="N187" s="10"/>
      <c r="O187" s="21"/>
      <c r="P187" s="21"/>
      <c r="Q187" s="21"/>
      <c r="R187" s="23"/>
      <c r="S187" s="50"/>
      <c r="T187" s="48"/>
      <c r="U187" s="82"/>
      <c r="V187" s="32"/>
      <c r="W187" s="200"/>
      <c r="X187" s="17"/>
    </row>
    <row r="188" spans="2:24" x14ac:dyDescent="0.25">
      <c r="B188" s="17">
        <v>186</v>
      </c>
      <c r="C188" s="10"/>
      <c r="D188" s="10"/>
      <c r="E188" s="72"/>
      <c r="F188" s="18"/>
      <c r="G188" s="10"/>
      <c r="H188" s="10"/>
      <c r="I188" s="10"/>
      <c r="J188" s="11"/>
      <c r="K188" s="11">
        <f t="shared" si="199"/>
        <v>0</v>
      </c>
      <c r="L188" s="37">
        <f t="shared" si="200"/>
        <v>0</v>
      </c>
      <c r="M188" s="11"/>
      <c r="N188" s="10"/>
      <c r="O188" s="21"/>
      <c r="P188" s="21"/>
      <c r="Q188" s="21"/>
      <c r="R188" s="23"/>
      <c r="S188" s="50"/>
      <c r="T188" s="48"/>
      <c r="U188" s="82"/>
      <c r="V188" s="26"/>
      <c r="W188" s="200"/>
      <c r="X188" s="17"/>
    </row>
    <row r="189" spans="2:24" x14ac:dyDescent="0.25">
      <c r="B189" s="17">
        <v>187</v>
      </c>
      <c r="C189" s="10"/>
      <c r="D189" s="10"/>
      <c r="E189" s="72"/>
      <c r="F189" s="18"/>
      <c r="G189" s="10"/>
      <c r="H189" s="10"/>
      <c r="I189" s="10"/>
      <c r="J189" s="11"/>
      <c r="K189" s="11">
        <f t="shared" si="199"/>
        <v>0</v>
      </c>
      <c r="L189" s="37">
        <f t="shared" si="200"/>
        <v>0</v>
      </c>
      <c r="M189" s="11"/>
      <c r="N189" s="10"/>
      <c r="O189" s="21"/>
      <c r="P189" s="21"/>
      <c r="Q189" s="21"/>
      <c r="R189" s="23"/>
      <c r="S189" s="50"/>
      <c r="T189" s="48"/>
      <c r="U189" s="82"/>
      <c r="V189" s="26"/>
      <c r="W189" s="200"/>
      <c r="X189" s="17"/>
    </row>
    <row r="190" spans="2:24" x14ac:dyDescent="0.25">
      <c r="B190" s="17">
        <v>188</v>
      </c>
      <c r="C190" s="10"/>
      <c r="D190" s="10"/>
      <c r="E190" s="72"/>
      <c r="F190" s="18"/>
      <c r="G190" s="10"/>
      <c r="H190" s="10"/>
      <c r="I190" s="10"/>
      <c r="J190" s="11"/>
      <c r="K190" s="11">
        <f t="shared" si="199"/>
        <v>0</v>
      </c>
      <c r="L190" s="37">
        <f t="shared" si="200"/>
        <v>0</v>
      </c>
      <c r="M190" s="11"/>
      <c r="N190" s="10"/>
      <c r="O190" s="21"/>
      <c r="P190" s="21"/>
      <c r="Q190" s="21"/>
      <c r="R190" s="23"/>
      <c r="S190" s="50"/>
      <c r="T190" s="48"/>
      <c r="U190" s="82"/>
      <c r="V190" s="26"/>
      <c r="W190" s="200"/>
      <c r="X190" s="17"/>
    </row>
    <row r="191" spans="2:24" x14ac:dyDescent="0.25">
      <c r="B191" s="17">
        <v>189</v>
      </c>
      <c r="C191" s="10"/>
      <c r="D191" s="10"/>
      <c r="E191" s="72"/>
      <c r="F191" s="18"/>
      <c r="G191" s="10"/>
      <c r="H191" s="10"/>
      <c r="I191" s="10"/>
      <c r="J191" s="11"/>
      <c r="K191" s="11">
        <f t="shared" si="199"/>
        <v>0</v>
      </c>
      <c r="L191" s="37">
        <f t="shared" si="200"/>
        <v>0</v>
      </c>
      <c r="M191" s="11"/>
      <c r="N191" s="10"/>
      <c r="O191" s="21"/>
      <c r="P191" s="21"/>
      <c r="Q191" s="21"/>
      <c r="R191" s="23"/>
      <c r="S191" s="50"/>
      <c r="T191" s="48"/>
      <c r="U191" s="82"/>
      <c r="V191" s="26"/>
      <c r="W191" s="200"/>
      <c r="X191" s="17"/>
    </row>
    <row r="192" spans="2:24" x14ac:dyDescent="0.25">
      <c r="B192" s="17">
        <v>190</v>
      </c>
      <c r="C192" s="10"/>
      <c r="D192" s="10"/>
      <c r="E192" s="72"/>
      <c r="F192" s="18"/>
      <c r="G192" s="10"/>
      <c r="H192" s="10"/>
      <c r="I192" s="10"/>
      <c r="J192" s="11"/>
      <c r="K192" s="11">
        <f t="shared" si="199"/>
        <v>0</v>
      </c>
      <c r="L192" s="37">
        <f t="shared" si="200"/>
        <v>0</v>
      </c>
      <c r="M192" s="11"/>
      <c r="N192" s="10"/>
      <c r="O192" s="21"/>
      <c r="P192" s="21"/>
      <c r="Q192" s="21"/>
      <c r="R192" s="23"/>
      <c r="S192" s="50"/>
      <c r="T192" s="48"/>
      <c r="U192" s="82"/>
      <c r="V192" s="26"/>
      <c r="W192" s="200"/>
      <c r="X192" s="17"/>
    </row>
    <row r="193" spans="2:24" x14ac:dyDescent="0.25">
      <c r="B193" s="17">
        <v>191</v>
      </c>
      <c r="C193" s="10"/>
      <c r="D193" s="10"/>
      <c r="E193" s="72"/>
      <c r="F193" s="18"/>
      <c r="G193" s="10"/>
      <c r="H193" s="10"/>
      <c r="I193" s="10"/>
      <c r="J193" s="11"/>
      <c r="K193" s="11">
        <f t="shared" si="199"/>
        <v>0</v>
      </c>
      <c r="L193" s="37">
        <f t="shared" si="200"/>
        <v>0</v>
      </c>
      <c r="M193" s="11"/>
      <c r="N193" s="10"/>
      <c r="O193" s="21"/>
      <c r="P193" s="21"/>
      <c r="Q193" s="21"/>
      <c r="R193" s="23"/>
      <c r="S193" s="50"/>
      <c r="T193" s="48"/>
      <c r="U193" s="82"/>
      <c r="V193" s="32"/>
      <c r="W193" s="200"/>
      <c r="X193" s="17"/>
    </row>
    <row r="194" spans="2:24" x14ac:dyDescent="0.25">
      <c r="B194" s="17">
        <v>192</v>
      </c>
      <c r="C194" s="10"/>
      <c r="D194" s="10"/>
      <c r="E194" s="72"/>
      <c r="F194" s="18"/>
      <c r="G194" s="10"/>
      <c r="H194" s="10"/>
      <c r="I194" s="10"/>
      <c r="J194" s="11"/>
      <c r="K194" s="11">
        <f t="shared" si="199"/>
        <v>0</v>
      </c>
      <c r="L194" s="37">
        <f t="shared" si="200"/>
        <v>0</v>
      </c>
      <c r="M194" s="11"/>
      <c r="N194" s="10"/>
      <c r="O194" s="21"/>
      <c r="P194" s="21"/>
      <c r="Q194" s="21"/>
      <c r="R194" s="23"/>
      <c r="S194" s="50"/>
      <c r="T194" s="48"/>
      <c r="U194" s="82"/>
      <c r="V194" s="32"/>
      <c r="W194" s="200"/>
      <c r="X194" s="17"/>
    </row>
    <row r="195" spans="2:24" x14ac:dyDescent="0.25">
      <c r="B195" s="17">
        <v>193</v>
      </c>
      <c r="C195" s="10"/>
      <c r="D195" s="10"/>
      <c r="E195" s="72"/>
      <c r="F195" s="18"/>
      <c r="G195" s="10"/>
      <c r="H195" s="10"/>
      <c r="I195" s="10"/>
      <c r="J195" s="11"/>
      <c r="K195" s="11">
        <f t="shared" si="199"/>
        <v>0</v>
      </c>
      <c r="L195" s="37">
        <f t="shared" si="200"/>
        <v>0</v>
      </c>
      <c r="M195" s="11"/>
      <c r="N195" s="10"/>
      <c r="O195" s="21"/>
      <c r="P195" s="21"/>
      <c r="Q195" s="21"/>
      <c r="R195" s="23"/>
      <c r="S195" s="50"/>
      <c r="T195" s="48"/>
      <c r="U195" s="82"/>
      <c r="V195" s="26"/>
      <c r="W195" s="200"/>
      <c r="X195" s="17"/>
    </row>
    <row r="196" spans="2:24" x14ac:dyDescent="0.25">
      <c r="B196" s="17">
        <v>194</v>
      </c>
      <c r="C196" s="10"/>
      <c r="D196" s="10"/>
      <c r="E196" s="72"/>
      <c r="F196" s="18"/>
      <c r="G196" s="10"/>
      <c r="H196" s="10"/>
      <c r="I196" s="10"/>
      <c r="J196" s="11"/>
      <c r="K196" s="11">
        <f t="shared" ref="K196:K259" si="201">J196*1.1</f>
        <v>0</v>
      </c>
      <c r="L196" s="37">
        <f t="shared" ref="L196:L259" si="202">J196*0.00000001</f>
        <v>0</v>
      </c>
      <c r="M196" s="11"/>
      <c r="N196" s="10"/>
      <c r="O196" s="21"/>
      <c r="P196" s="21"/>
      <c r="Q196" s="21"/>
      <c r="R196" s="23"/>
      <c r="S196" s="50"/>
      <c r="T196" s="48"/>
      <c r="U196" s="82"/>
      <c r="V196" s="26"/>
      <c r="W196" s="200"/>
      <c r="X196" s="17"/>
    </row>
    <row r="197" spans="2:24" x14ac:dyDescent="0.25">
      <c r="B197" s="17">
        <v>195</v>
      </c>
      <c r="C197" s="10"/>
      <c r="D197" s="10"/>
      <c r="E197" s="72"/>
      <c r="F197" s="18"/>
      <c r="G197" s="10"/>
      <c r="H197" s="10"/>
      <c r="I197" s="10"/>
      <c r="J197" s="11"/>
      <c r="K197" s="11">
        <f t="shared" si="201"/>
        <v>0</v>
      </c>
      <c r="L197" s="37">
        <f t="shared" si="202"/>
        <v>0</v>
      </c>
      <c r="M197" s="11"/>
      <c r="N197" s="10"/>
      <c r="O197" s="21"/>
      <c r="P197" s="21"/>
      <c r="Q197" s="21"/>
      <c r="R197" s="23"/>
      <c r="S197" s="50"/>
      <c r="T197" s="48"/>
      <c r="U197" s="82"/>
      <c r="V197" s="26"/>
      <c r="W197" s="200"/>
      <c r="X197" s="17"/>
    </row>
    <row r="198" spans="2:24" x14ac:dyDescent="0.25">
      <c r="B198" s="17">
        <v>196</v>
      </c>
      <c r="C198" s="10"/>
      <c r="D198" s="10"/>
      <c r="E198" s="72"/>
      <c r="F198" s="18"/>
      <c r="G198" s="10"/>
      <c r="H198" s="10"/>
      <c r="I198" s="10"/>
      <c r="J198" s="11"/>
      <c r="K198" s="11">
        <f t="shared" si="201"/>
        <v>0</v>
      </c>
      <c r="L198" s="37">
        <f t="shared" si="202"/>
        <v>0</v>
      </c>
      <c r="M198" s="11"/>
      <c r="N198" s="10"/>
      <c r="O198" s="21"/>
      <c r="P198" s="21"/>
      <c r="Q198" s="21"/>
      <c r="R198" s="23"/>
      <c r="S198" s="50"/>
      <c r="T198" s="48"/>
      <c r="U198" s="82"/>
      <c r="V198" s="26"/>
      <c r="W198" s="200"/>
      <c r="X198" s="17"/>
    </row>
    <row r="199" spans="2:24" x14ac:dyDescent="0.25">
      <c r="B199" s="17">
        <v>197</v>
      </c>
      <c r="C199" s="10"/>
      <c r="D199" s="10"/>
      <c r="E199" s="72"/>
      <c r="F199" s="18"/>
      <c r="G199" s="10"/>
      <c r="H199" s="10"/>
      <c r="I199" s="10"/>
      <c r="J199" s="11"/>
      <c r="K199" s="11">
        <f t="shared" si="201"/>
        <v>0</v>
      </c>
      <c r="L199" s="37">
        <f t="shared" si="202"/>
        <v>0</v>
      </c>
      <c r="M199" s="11"/>
      <c r="N199" s="10"/>
      <c r="O199" s="21"/>
      <c r="P199" s="21"/>
      <c r="Q199" s="21"/>
      <c r="R199" s="23"/>
      <c r="S199" s="50"/>
      <c r="T199" s="48"/>
      <c r="U199" s="82"/>
      <c r="V199" s="26"/>
      <c r="W199" s="200"/>
      <c r="X199" s="17"/>
    </row>
    <row r="200" spans="2:24" x14ac:dyDescent="0.25">
      <c r="B200" s="17">
        <v>198</v>
      </c>
      <c r="C200" s="10"/>
      <c r="D200" s="10"/>
      <c r="E200" s="72"/>
      <c r="F200" s="18"/>
      <c r="G200" s="10"/>
      <c r="H200" s="10"/>
      <c r="I200" s="10"/>
      <c r="J200" s="11"/>
      <c r="K200" s="11">
        <f t="shared" si="201"/>
        <v>0</v>
      </c>
      <c r="L200" s="37">
        <f t="shared" si="202"/>
        <v>0</v>
      </c>
      <c r="M200" s="11"/>
      <c r="N200" s="10"/>
      <c r="O200" s="21"/>
      <c r="P200" s="21"/>
      <c r="Q200" s="21"/>
      <c r="R200" s="23"/>
      <c r="S200" s="50"/>
      <c r="T200" s="48"/>
      <c r="U200" s="82"/>
      <c r="V200" s="32"/>
      <c r="W200" s="200"/>
      <c r="X200" s="17"/>
    </row>
    <row r="201" spans="2:24" x14ac:dyDescent="0.25">
      <c r="B201" s="17">
        <v>199</v>
      </c>
      <c r="C201" s="10"/>
      <c r="D201" s="10"/>
      <c r="E201" s="72"/>
      <c r="F201" s="18"/>
      <c r="G201" s="10"/>
      <c r="H201" s="10"/>
      <c r="I201" s="10"/>
      <c r="J201" s="11"/>
      <c r="K201" s="11">
        <f t="shared" si="201"/>
        <v>0</v>
      </c>
      <c r="L201" s="37">
        <f t="shared" si="202"/>
        <v>0</v>
      </c>
      <c r="M201" s="11"/>
      <c r="N201" s="10"/>
      <c r="O201" s="21"/>
      <c r="P201" s="21"/>
      <c r="Q201" s="21"/>
      <c r="R201" s="23"/>
      <c r="S201" s="50"/>
      <c r="T201" s="48"/>
      <c r="U201" s="82"/>
      <c r="V201" s="32"/>
      <c r="W201" s="200"/>
      <c r="X201" s="17"/>
    </row>
    <row r="202" spans="2:24" x14ac:dyDescent="0.25">
      <c r="B202" s="17">
        <v>200</v>
      </c>
      <c r="C202" s="10"/>
      <c r="D202" s="10"/>
      <c r="E202" s="72"/>
      <c r="F202" s="18"/>
      <c r="G202" s="10"/>
      <c r="H202" s="10"/>
      <c r="I202" s="10"/>
      <c r="J202" s="11"/>
      <c r="K202" s="11">
        <f t="shared" si="201"/>
        <v>0</v>
      </c>
      <c r="L202" s="37">
        <f t="shared" si="202"/>
        <v>0</v>
      </c>
      <c r="M202" s="11"/>
      <c r="N202" s="10"/>
      <c r="O202" s="21"/>
      <c r="P202" s="21"/>
      <c r="Q202" s="21"/>
      <c r="R202" s="23"/>
      <c r="S202" s="50"/>
      <c r="T202" s="48"/>
      <c r="U202" s="82"/>
      <c r="V202" s="32"/>
      <c r="W202" s="200"/>
      <c r="X202" s="17"/>
    </row>
    <row r="203" spans="2:24" x14ac:dyDescent="0.25">
      <c r="B203" s="17">
        <v>201</v>
      </c>
      <c r="C203" s="10"/>
      <c r="D203" s="10"/>
      <c r="E203" s="72"/>
      <c r="F203" s="18"/>
      <c r="G203" s="10"/>
      <c r="H203" s="10"/>
      <c r="I203" s="10"/>
      <c r="J203" s="11"/>
      <c r="K203" s="11">
        <f t="shared" si="201"/>
        <v>0</v>
      </c>
      <c r="L203" s="37">
        <f t="shared" si="202"/>
        <v>0</v>
      </c>
      <c r="M203" s="11"/>
      <c r="N203" s="10"/>
      <c r="O203" s="21"/>
      <c r="P203" s="21"/>
      <c r="Q203" s="21"/>
      <c r="R203" s="23"/>
      <c r="S203" s="50"/>
      <c r="T203" s="48"/>
      <c r="U203" s="82"/>
      <c r="V203" s="32"/>
      <c r="W203" s="200"/>
      <c r="X203" s="17"/>
    </row>
    <row r="204" spans="2:24" x14ac:dyDescent="0.25">
      <c r="B204" s="17">
        <v>202</v>
      </c>
      <c r="C204" s="10"/>
      <c r="D204" s="10"/>
      <c r="E204" s="72"/>
      <c r="F204" s="18"/>
      <c r="G204" s="10"/>
      <c r="H204" s="10"/>
      <c r="I204" s="10"/>
      <c r="J204" s="11"/>
      <c r="K204" s="11">
        <f t="shared" si="201"/>
        <v>0</v>
      </c>
      <c r="L204" s="37">
        <f t="shared" si="202"/>
        <v>0</v>
      </c>
      <c r="M204" s="11"/>
      <c r="N204" s="10"/>
      <c r="O204" s="21"/>
      <c r="P204" s="21"/>
      <c r="Q204" s="21"/>
      <c r="R204" s="23"/>
      <c r="S204" s="50"/>
      <c r="T204" s="48"/>
      <c r="U204" s="82"/>
      <c r="V204" s="26"/>
      <c r="W204" s="200"/>
      <c r="X204" s="17"/>
    </row>
    <row r="205" spans="2:24" x14ac:dyDescent="0.25">
      <c r="B205" s="17">
        <v>203</v>
      </c>
      <c r="C205" s="10"/>
      <c r="D205" s="10"/>
      <c r="E205" s="72"/>
      <c r="F205" s="18"/>
      <c r="G205" s="10"/>
      <c r="H205" s="10"/>
      <c r="I205" s="10"/>
      <c r="J205" s="11"/>
      <c r="K205" s="11">
        <f t="shared" si="201"/>
        <v>0</v>
      </c>
      <c r="L205" s="37">
        <f t="shared" si="202"/>
        <v>0</v>
      </c>
      <c r="M205" s="11"/>
      <c r="N205" s="10"/>
      <c r="O205" s="21"/>
      <c r="P205" s="21"/>
      <c r="Q205" s="21"/>
      <c r="R205" s="23"/>
      <c r="S205" s="50"/>
      <c r="T205" s="48"/>
      <c r="U205" s="82"/>
      <c r="V205" s="26"/>
      <c r="W205" s="200"/>
      <c r="X205" s="17"/>
    </row>
    <row r="206" spans="2:24" x14ac:dyDescent="0.25">
      <c r="B206" s="17">
        <v>204</v>
      </c>
      <c r="C206" s="10"/>
      <c r="D206" s="10"/>
      <c r="E206" s="72"/>
      <c r="F206" s="18"/>
      <c r="G206" s="10"/>
      <c r="H206" s="10"/>
      <c r="I206" s="10"/>
      <c r="J206" s="11"/>
      <c r="K206" s="11">
        <f t="shared" si="201"/>
        <v>0</v>
      </c>
      <c r="L206" s="37">
        <f t="shared" si="202"/>
        <v>0</v>
      </c>
      <c r="M206" s="11"/>
      <c r="N206" s="10"/>
      <c r="O206" s="21"/>
      <c r="P206" s="21"/>
      <c r="Q206" s="21"/>
      <c r="R206" s="23"/>
      <c r="S206" s="50"/>
      <c r="T206" s="48"/>
      <c r="U206" s="82"/>
      <c r="V206" s="26"/>
      <c r="W206" s="200"/>
      <c r="X206" s="17"/>
    </row>
    <row r="207" spans="2:24" x14ac:dyDescent="0.25">
      <c r="B207" s="17">
        <v>205</v>
      </c>
      <c r="C207" s="10"/>
      <c r="D207" s="10"/>
      <c r="E207" s="72"/>
      <c r="F207" s="18"/>
      <c r="G207" s="10"/>
      <c r="H207" s="10"/>
      <c r="I207" s="10"/>
      <c r="J207" s="11"/>
      <c r="K207" s="11">
        <f t="shared" si="201"/>
        <v>0</v>
      </c>
      <c r="L207" s="37">
        <f t="shared" si="202"/>
        <v>0</v>
      </c>
      <c r="M207" s="11"/>
      <c r="N207" s="10"/>
      <c r="O207" s="21"/>
      <c r="P207" s="21"/>
      <c r="Q207" s="21"/>
      <c r="R207" s="23"/>
      <c r="S207" s="50"/>
      <c r="T207" s="48"/>
      <c r="U207" s="82"/>
      <c r="V207" s="26"/>
      <c r="W207" s="200"/>
      <c r="X207" s="17"/>
    </row>
    <row r="208" spans="2:24" x14ac:dyDescent="0.25">
      <c r="B208" s="17">
        <v>206</v>
      </c>
      <c r="C208" s="10"/>
      <c r="D208" s="10"/>
      <c r="E208" s="72"/>
      <c r="F208" s="18"/>
      <c r="G208" s="10"/>
      <c r="H208" s="10"/>
      <c r="I208" s="10"/>
      <c r="J208" s="11"/>
      <c r="K208" s="11">
        <f t="shared" si="201"/>
        <v>0</v>
      </c>
      <c r="L208" s="37">
        <f t="shared" si="202"/>
        <v>0</v>
      </c>
      <c r="M208" s="11"/>
      <c r="N208" s="10"/>
      <c r="O208" s="21"/>
      <c r="P208" s="21"/>
      <c r="Q208" s="21"/>
      <c r="R208" s="23"/>
      <c r="S208" s="50"/>
      <c r="T208" s="48"/>
      <c r="U208" s="82"/>
      <c r="V208" s="26"/>
      <c r="W208" s="200"/>
      <c r="X208" s="17"/>
    </row>
    <row r="209" spans="2:24" x14ac:dyDescent="0.25">
      <c r="B209" s="17">
        <v>207</v>
      </c>
      <c r="C209" s="10"/>
      <c r="D209" s="10"/>
      <c r="E209" s="72"/>
      <c r="F209" s="18"/>
      <c r="G209" s="10"/>
      <c r="H209" s="10"/>
      <c r="I209" s="10"/>
      <c r="J209" s="11"/>
      <c r="K209" s="11">
        <f t="shared" si="201"/>
        <v>0</v>
      </c>
      <c r="L209" s="37">
        <f t="shared" si="202"/>
        <v>0</v>
      </c>
      <c r="M209" s="11"/>
      <c r="N209" s="10"/>
      <c r="O209" s="21"/>
      <c r="P209" s="21"/>
      <c r="Q209" s="21"/>
      <c r="R209" s="23"/>
      <c r="S209" s="50"/>
      <c r="T209" s="48"/>
      <c r="U209" s="82"/>
      <c r="V209" s="32"/>
      <c r="W209" s="200"/>
      <c r="X209" s="17"/>
    </row>
    <row r="210" spans="2:24" x14ac:dyDescent="0.25">
      <c r="B210" s="17">
        <v>208</v>
      </c>
      <c r="C210" s="10"/>
      <c r="D210" s="10"/>
      <c r="E210" s="72"/>
      <c r="F210" s="18"/>
      <c r="G210" s="10"/>
      <c r="H210" s="10"/>
      <c r="I210" s="10"/>
      <c r="J210" s="11"/>
      <c r="K210" s="11">
        <f t="shared" si="201"/>
        <v>0</v>
      </c>
      <c r="L210" s="37">
        <f t="shared" si="202"/>
        <v>0</v>
      </c>
      <c r="M210" s="11"/>
      <c r="N210" s="10"/>
      <c r="O210" s="21"/>
      <c r="P210" s="21"/>
      <c r="Q210" s="21"/>
      <c r="R210" s="23"/>
      <c r="S210" s="50"/>
      <c r="T210" s="48"/>
      <c r="U210" s="82"/>
      <c r="V210" s="32"/>
      <c r="W210" s="200"/>
      <c r="X210" s="17"/>
    </row>
    <row r="211" spans="2:24" x14ac:dyDescent="0.25">
      <c r="B211" s="17">
        <v>209</v>
      </c>
      <c r="C211" s="10"/>
      <c r="D211" s="10"/>
      <c r="E211" s="72"/>
      <c r="F211" s="18"/>
      <c r="G211" s="10"/>
      <c r="H211" s="10"/>
      <c r="I211" s="10"/>
      <c r="J211" s="11"/>
      <c r="K211" s="11">
        <f t="shared" si="201"/>
        <v>0</v>
      </c>
      <c r="L211" s="37">
        <f t="shared" si="202"/>
        <v>0</v>
      </c>
      <c r="M211" s="11"/>
      <c r="N211" s="10"/>
      <c r="O211" s="21"/>
      <c r="P211" s="21"/>
      <c r="Q211" s="21"/>
      <c r="R211" s="23"/>
      <c r="S211" s="50"/>
      <c r="T211" s="48"/>
      <c r="U211" s="82"/>
      <c r="V211" s="26"/>
      <c r="W211" s="200"/>
      <c r="X211" s="17"/>
    </row>
    <row r="212" spans="2:24" x14ac:dyDescent="0.25">
      <c r="B212" s="17">
        <v>210</v>
      </c>
      <c r="C212" s="10"/>
      <c r="D212" s="10"/>
      <c r="E212" s="72"/>
      <c r="F212" s="18"/>
      <c r="G212" s="10"/>
      <c r="H212" s="10"/>
      <c r="I212" s="10"/>
      <c r="J212" s="11"/>
      <c r="K212" s="11">
        <f t="shared" si="201"/>
        <v>0</v>
      </c>
      <c r="L212" s="37">
        <f t="shared" si="202"/>
        <v>0</v>
      </c>
      <c r="M212" s="11"/>
      <c r="N212" s="10"/>
      <c r="O212" s="21"/>
      <c r="P212" s="21"/>
      <c r="Q212" s="21"/>
      <c r="R212" s="23"/>
      <c r="S212" s="50"/>
      <c r="T212" s="48"/>
      <c r="U212" s="82"/>
      <c r="V212" s="26"/>
      <c r="W212" s="200"/>
      <c r="X212" s="17"/>
    </row>
    <row r="213" spans="2:24" x14ac:dyDescent="0.25">
      <c r="B213" s="17">
        <v>211</v>
      </c>
      <c r="C213" s="10"/>
      <c r="D213" s="10"/>
      <c r="E213" s="72"/>
      <c r="F213" s="18"/>
      <c r="G213" s="10"/>
      <c r="H213" s="10"/>
      <c r="I213" s="10"/>
      <c r="J213" s="11"/>
      <c r="K213" s="11">
        <f t="shared" si="201"/>
        <v>0</v>
      </c>
      <c r="L213" s="37">
        <f t="shared" si="202"/>
        <v>0</v>
      </c>
      <c r="M213" s="11"/>
      <c r="N213" s="10"/>
      <c r="O213" s="21"/>
      <c r="P213" s="21"/>
      <c r="Q213" s="21"/>
      <c r="R213" s="23"/>
      <c r="S213" s="50"/>
      <c r="T213" s="48"/>
      <c r="U213" s="82"/>
      <c r="V213" s="26"/>
      <c r="W213" s="200"/>
      <c r="X213" s="17"/>
    </row>
    <row r="214" spans="2:24" x14ac:dyDescent="0.25">
      <c r="B214" s="17">
        <v>212</v>
      </c>
      <c r="C214" s="10"/>
      <c r="D214" s="10"/>
      <c r="E214" s="72"/>
      <c r="F214" s="18"/>
      <c r="G214" s="10"/>
      <c r="H214" s="10"/>
      <c r="I214" s="10"/>
      <c r="J214" s="11"/>
      <c r="K214" s="11">
        <f t="shared" si="201"/>
        <v>0</v>
      </c>
      <c r="L214" s="37">
        <f t="shared" si="202"/>
        <v>0</v>
      </c>
      <c r="M214" s="11"/>
      <c r="N214" s="10"/>
      <c r="O214" s="21"/>
      <c r="P214" s="21"/>
      <c r="Q214" s="21"/>
      <c r="R214" s="23"/>
      <c r="S214" s="50"/>
      <c r="T214" s="48"/>
      <c r="U214" s="82"/>
      <c r="V214" s="26"/>
      <c r="W214" s="200"/>
      <c r="X214" s="17"/>
    </row>
    <row r="215" spans="2:24" x14ac:dyDescent="0.25">
      <c r="B215" s="17">
        <v>213</v>
      </c>
      <c r="C215" s="10"/>
      <c r="D215" s="10"/>
      <c r="E215" s="72"/>
      <c r="F215" s="18"/>
      <c r="G215" s="10"/>
      <c r="H215" s="10"/>
      <c r="I215" s="10"/>
      <c r="J215" s="11"/>
      <c r="K215" s="11">
        <f t="shared" si="201"/>
        <v>0</v>
      </c>
      <c r="L215" s="37">
        <f t="shared" si="202"/>
        <v>0</v>
      </c>
      <c r="M215" s="11"/>
      <c r="N215" s="10"/>
      <c r="O215" s="21"/>
      <c r="P215" s="21"/>
      <c r="Q215" s="21"/>
      <c r="R215" s="23"/>
      <c r="S215" s="50"/>
      <c r="T215" s="48"/>
      <c r="U215" s="82"/>
      <c r="V215" s="26"/>
      <c r="W215" s="200"/>
      <c r="X215" s="17"/>
    </row>
    <row r="216" spans="2:24" x14ac:dyDescent="0.25">
      <c r="B216" s="17">
        <v>214</v>
      </c>
      <c r="C216" s="10"/>
      <c r="D216" s="10"/>
      <c r="E216" s="72"/>
      <c r="F216" s="18"/>
      <c r="G216" s="10"/>
      <c r="H216" s="10"/>
      <c r="I216" s="10"/>
      <c r="J216" s="11"/>
      <c r="K216" s="11">
        <f t="shared" si="201"/>
        <v>0</v>
      </c>
      <c r="L216" s="37">
        <f t="shared" si="202"/>
        <v>0</v>
      </c>
      <c r="M216" s="11"/>
      <c r="N216" s="10"/>
      <c r="O216" s="21"/>
      <c r="P216" s="21"/>
      <c r="Q216" s="21"/>
      <c r="R216" s="23"/>
      <c r="S216" s="50"/>
      <c r="T216" s="48"/>
      <c r="U216" s="82"/>
      <c r="V216" s="32"/>
      <c r="W216" s="200"/>
      <c r="X216" s="17"/>
    </row>
    <row r="217" spans="2:24" x14ac:dyDescent="0.25">
      <c r="B217" s="17">
        <v>215</v>
      </c>
      <c r="C217" s="10"/>
      <c r="D217" s="10"/>
      <c r="E217" s="72"/>
      <c r="F217" s="18"/>
      <c r="G217" s="10"/>
      <c r="H217" s="10"/>
      <c r="I217" s="10"/>
      <c r="J217" s="11"/>
      <c r="K217" s="11">
        <f t="shared" si="201"/>
        <v>0</v>
      </c>
      <c r="L217" s="37">
        <f t="shared" si="202"/>
        <v>0</v>
      </c>
      <c r="M217" s="11"/>
      <c r="N217" s="10"/>
      <c r="O217" s="21"/>
      <c r="P217" s="21"/>
      <c r="Q217" s="21"/>
      <c r="R217" s="23"/>
      <c r="S217" s="50"/>
      <c r="T217" s="48"/>
      <c r="U217" s="82"/>
      <c r="V217" s="32"/>
      <c r="W217" s="200"/>
      <c r="X217" s="17"/>
    </row>
    <row r="218" spans="2:24" x14ac:dyDescent="0.25">
      <c r="B218" s="17">
        <v>216</v>
      </c>
      <c r="C218" s="10"/>
      <c r="D218" s="10"/>
      <c r="E218" s="72"/>
      <c r="F218" s="18"/>
      <c r="G218" s="10"/>
      <c r="H218" s="10"/>
      <c r="I218" s="10"/>
      <c r="J218" s="11"/>
      <c r="K218" s="11">
        <f t="shared" si="201"/>
        <v>0</v>
      </c>
      <c r="L218" s="37">
        <f t="shared" si="202"/>
        <v>0</v>
      </c>
      <c r="M218" s="11"/>
      <c r="N218" s="10"/>
      <c r="O218" s="21"/>
      <c r="P218" s="21"/>
      <c r="Q218" s="21"/>
      <c r="R218" s="23"/>
      <c r="S218" s="50"/>
      <c r="T218" s="48"/>
      <c r="U218" s="82"/>
      <c r="V218" s="32"/>
      <c r="W218" s="200"/>
      <c r="X218" s="17"/>
    </row>
    <row r="219" spans="2:24" x14ac:dyDescent="0.25">
      <c r="B219" s="17">
        <v>217</v>
      </c>
      <c r="C219" s="10"/>
      <c r="D219" s="10"/>
      <c r="E219" s="72"/>
      <c r="F219" s="18"/>
      <c r="G219" s="10"/>
      <c r="H219" s="10"/>
      <c r="I219" s="10"/>
      <c r="J219" s="11"/>
      <c r="K219" s="11">
        <f t="shared" si="201"/>
        <v>0</v>
      </c>
      <c r="L219" s="37">
        <f t="shared" si="202"/>
        <v>0</v>
      </c>
      <c r="M219" s="11"/>
      <c r="N219" s="10"/>
      <c r="O219" s="21"/>
      <c r="P219" s="21"/>
      <c r="Q219" s="21"/>
      <c r="R219" s="23"/>
      <c r="S219" s="50"/>
      <c r="T219" s="48"/>
      <c r="U219" s="82"/>
      <c r="V219" s="32"/>
      <c r="W219" s="200"/>
      <c r="X219" s="17"/>
    </row>
    <row r="220" spans="2:24" x14ac:dyDescent="0.25">
      <c r="B220" s="17">
        <v>218</v>
      </c>
      <c r="C220" s="10"/>
      <c r="D220" s="10"/>
      <c r="E220" s="72"/>
      <c r="F220" s="18"/>
      <c r="G220" s="10"/>
      <c r="H220" s="10"/>
      <c r="I220" s="10"/>
      <c r="J220" s="11"/>
      <c r="K220" s="11">
        <f t="shared" si="201"/>
        <v>0</v>
      </c>
      <c r="L220" s="37">
        <f t="shared" si="202"/>
        <v>0</v>
      </c>
      <c r="M220" s="11"/>
      <c r="N220" s="10"/>
      <c r="O220" s="21"/>
      <c r="P220" s="21"/>
      <c r="Q220" s="21"/>
      <c r="R220" s="23"/>
      <c r="S220" s="50"/>
      <c r="T220" s="48"/>
      <c r="U220" s="82"/>
      <c r="V220" s="26"/>
      <c r="W220" s="200"/>
      <c r="X220" s="17"/>
    </row>
    <row r="221" spans="2:24" x14ac:dyDescent="0.25">
      <c r="B221" s="17">
        <v>219</v>
      </c>
      <c r="C221" s="10"/>
      <c r="D221" s="10"/>
      <c r="E221" s="72"/>
      <c r="F221" s="18"/>
      <c r="G221" s="10"/>
      <c r="H221" s="10"/>
      <c r="I221" s="10"/>
      <c r="J221" s="11"/>
      <c r="K221" s="11">
        <f t="shared" si="201"/>
        <v>0</v>
      </c>
      <c r="L221" s="37">
        <f t="shared" si="202"/>
        <v>0</v>
      </c>
      <c r="M221" s="11"/>
      <c r="N221" s="10"/>
      <c r="O221" s="21"/>
      <c r="P221" s="21"/>
      <c r="Q221" s="21"/>
      <c r="R221" s="23"/>
      <c r="S221" s="50"/>
      <c r="T221" s="48"/>
      <c r="U221" s="82"/>
      <c r="V221" s="26"/>
      <c r="W221" s="200"/>
      <c r="X221" s="17"/>
    </row>
    <row r="222" spans="2:24" x14ac:dyDescent="0.25">
      <c r="B222" s="17">
        <v>220</v>
      </c>
      <c r="C222" s="10"/>
      <c r="D222" s="10"/>
      <c r="E222" s="72"/>
      <c r="F222" s="18"/>
      <c r="G222" s="10"/>
      <c r="H222" s="10"/>
      <c r="I222" s="10"/>
      <c r="J222" s="11"/>
      <c r="K222" s="11">
        <f t="shared" si="201"/>
        <v>0</v>
      </c>
      <c r="L222" s="37">
        <f t="shared" si="202"/>
        <v>0</v>
      </c>
      <c r="M222" s="11"/>
      <c r="N222" s="10"/>
      <c r="O222" s="21"/>
      <c r="P222" s="21"/>
      <c r="Q222" s="21"/>
      <c r="R222" s="23"/>
      <c r="S222" s="50"/>
      <c r="T222" s="48"/>
      <c r="U222" s="82"/>
      <c r="V222" s="26"/>
      <c r="W222" s="200"/>
      <c r="X222" s="17"/>
    </row>
    <row r="223" spans="2:24" x14ac:dyDescent="0.25">
      <c r="B223" s="17">
        <v>221</v>
      </c>
      <c r="C223" s="10"/>
      <c r="D223" s="10"/>
      <c r="E223" s="72"/>
      <c r="F223" s="18"/>
      <c r="G223" s="10"/>
      <c r="H223" s="10"/>
      <c r="I223" s="10"/>
      <c r="J223" s="11"/>
      <c r="K223" s="11">
        <f t="shared" si="201"/>
        <v>0</v>
      </c>
      <c r="L223" s="37">
        <f t="shared" si="202"/>
        <v>0</v>
      </c>
      <c r="M223" s="11"/>
      <c r="N223" s="10"/>
      <c r="O223" s="21"/>
      <c r="P223" s="21"/>
      <c r="Q223" s="21"/>
      <c r="R223" s="23"/>
      <c r="S223" s="50"/>
      <c r="T223" s="48"/>
      <c r="U223" s="82"/>
      <c r="V223" s="26"/>
      <c r="W223" s="200"/>
      <c r="X223" s="17"/>
    </row>
    <row r="224" spans="2:24" x14ac:dyDescent="0.25">
      <c r="B224" s="17">
        <v>222</v>
      </c>
      <c r="C224" s="10"/>
      <c r="D224" s="10"/>
      <c r="E224" s="72"/>
      <c r="F224" s="18"/>
      <c r="G224" s="10"/>
      <c r="H224" s="10"/>
      <c r="I224" s="10"/>
      <c r="J224" s="11"/>
      <c r="K224" s="11">
        <f t="shared" si="201"/>
        <v>0</v>
      </c>
      <c r="L224" s="37">
        <f t="shared" si="202"/>
        <v>0</v>
      </c>
      <c r="M224" s="11"/>
      <c r="N224" s="10"/>
      <c r="O224" s="21"/>
      <c r="P224" s="21"/>
      <c r="Q224" s="21"/>
      <c r="R224" s="23"/>
      <c r="S224" s="50"/>
      <c r="T224" s="48"/>
      <c r="U224" s="82"/>
      <c r="V224" s="26"/>
      <c r="W224" s="200"/>
      <c r="X224" s="17"/>
    </row>
    <row r="225" spans="2:24" x14ac:dyDescent="0.25">
      <c r="B225" s="17">
        <v>223</v>
      </c>
      <c r="C225" s="10"/>
      <c r="D225" s="10"/>
      <c r="E225" s="72"/>
      <c r="F225" s="18"/>
      <c r="G225" s="10"/>
      <c r="H225" s="10"/>
      <c r="I225" s="10"/>
      <c r="J225" s="11"/>
      <c r="K225" s="11">
        <f t="shared" si="201"/>
        <v>0</v>
      </c>
      <c r="L225" s="37">
        <f t="shared" si="202"/>
        <v>0</v>
      </c>
      <c r="M225" s="11"/>
      <c r="N225" s="10"/>
      <c r="O225" s="21"/>
      <c r="P225" s="21"/>
      <c r="Q225" s="21"/>
      <c r="R225" s="23"/>
      <c r="S225" s="50"/>
      <c r="T225" s="48"/>
      <c r="U225" s="82"/>
      <c r="V225" s="32"/>
      <c r="W225" s="200"/>
      <c r="X225" s="17"/>
    </row>
    <row r="226" spans="2:24" x14ac:dyDescent="0.25">
      <c r="B226" s="17">
        <v>224</v>
      </c>
      <c r="C226" s="10"/>
      <c r="D226" s="10"/>
      <c r="E226" s="72"/>
      <c r="F226" s="18"/>
      <c r="G226" s="10"/>
      <c r="H226" s="10"/>
      <c r="I226" s="10"/>
      <c r="J226" s="11"/>
      <c r="K226" s="11">
        <f t="shared" si="201"/>
        <v>0</v>
      </c>
      <c r="L226" s="37">
        <f t="shared" si="202"/>
        <v>0</v>
      </c>
      <c r="M226" s="11"/>
      <c r="N226" s="10"/>
      <c r="O226" s="21"/>
      <c r="P226" s="21"/>
      <c r="Q226" s="21"/>
      <c r="R226" s="23"/>
      <c r="S226" s="50"/>
      <c r="T226" s="48"/>
      <c r="U226" s="82"/>
      <c r="V226" s="32"/>
      <c r="W226" s="200"/>
      <c r="X226" s="17"/>
    </row>
    <row r="227" spans="2:24" x14ac:dyDescent="0.25">
      <c r="B227" s="17">
        <v>225</v>
      </c>
      <c r="C227" s="10"/>
      <c r="D227" s="10"/>
      <c r="E227" s="72"/>
      <c r="F227" s="18"/>
      <c r="G227" s="10"/>
      <c r="H227" s="10"/>
      <c r="I227" s="10"/>
      <c r="J227" s="11"/>
      <c r="K227" s="11">
        <f t="shared" si="201"/>
        <v>0</v>
      </c>
      <c r="L227" s="37">
        <f t="shared" si="202"/>
        <v>0</v>
      </c>
      <c r="M227" s="11"/>
      <c r="N227" s="10"/>
      <c r="O227" s="21"/>
      <c r="P227" s="21"/>
      <c r="Q227" s="21"/>
      <c r="R227" s="23"/>
      <c r="S227" s="50"/>
      <c r="T227" s="48"/>
      <c r="U227" s="82"/>
      <c r="V227" s="26"/>
      <c r="W227" s="200"/>
      <c r="X227" s="17"/>
    </row>
    <row r="228" spans="2:24" x14ac:dyDescent="0.25">
      <c r="B228" s="17">
        <v>226</v>
      </c>
      <c r="C228" s="10"/>
      <c r="D228" s="10"/>
      <c r="E228" s="72"/>
      <c r="F228" s="18"/>
      <c r="G228" s="10"/>
      <c r="H228" s="10"/>
      <c r="I228" s="10"/>
      <c r="J228" s="11"/>
      <c r="K228" s="11">
        <f t="shared" si="201"/>
        <v>0</v>
      </c>
      <c r="L228" s="37">
        <f t="shared" si="202"/>
        <v>0</v>
      </c>
      <c r="M228" s="11"/>
      <c r="N228" s="10"/>
      <c r="O228" s="21"/>
      <c r="P228" s="21"/>
      <c r="Q228" s="21"/>
      <c r="R228" s="23"/>
      <c r="S228" s="50"/>
      <c r="T228" s="48"/>
      <c r="U228" s="82"/>
      <c r="V228" s="26"/>
      <c r="W228" s="200"/>
      <c r="X228" s="17"/>
    </row>
    <row r="229" spans="2:24" x14ac:dyDescent="0.25">
      <c r="B229" s="17">
        <v>227</v>
      </c>
      <c r="C229" s="10"/>
      <c r="D229" s="10"/>
      <c r="E229" s="72"/>
      <c r="F229" s="18"/>
      <c r="G229" s="10"/>
      <c r="H229" s="10"/>
      <c r="I229" s="10"/>
      <c r="J229" s="11"/>
      <c r="K229" s="11">
        <f t="shared" si="201"/>
        <v>0</v>
      </c>
      <c r="L229" s="37">
        <f t="shared" si="202"/>
        <v>0</v>
      </c>
      <c r="M229" s="11"/>
      <c r="N229" s="10"/>
      <c r="O229" s="21"/>
      <c r="P229" s="21"/>
      <c r="Q229" s="21"/>
      <c r="R229" s="23"/>
      <c r="S229" s="50"/>
      <c r="T229" s="48"/>
      <c r="U229" s="82"/>
      <c r="V229" s="26"/>
      <c r="W229" s="200"/>
      <c r="X229" s="17"/>
    </row>
    <row r="230" spans="2:24" x14ac:dyDescent="0.25">
      <c r="B230" s="17">
        <v>228</v>
      </c>
      <c r="C230" s="10"/>
      <c r="D230" s="10"/>
      <c r="E230" s="72"/>
      <c r="F230" s="18"/>
      <c r="G230" s="10"/>
      <c r="H230" s="10"/>
      <c r="I230" s="10"/>
      <c r="J230" s="11"/>
      <c r="K230" s="11">
        <f t="shared" si="201"/>
        <v>0</v>
      </c>
      <c r="L230" s="37">
        <f t="shared" si="202"/>
        <v>0</v>
      </c>
      <c r="M230" s="11"/>
      <c r="N230" s="10"/>
      <c r="O230" s="21"/>
      <c r="P230" s="21"/>
      <c r="Q230" s="21"/>
      <c r="R230" s="23"/>
      <c r="S230" s="50"/>
      <c r="T230" s="48"/>
      <c r="U230" s="82"/>
      <c r="V230" s="26"/>
      <c r="W230" s="200"/>
      <c r="X230" s="17"/>
    </row>
    <row r="231" spans="2:24" x14ac:dyDescent="0.25">
      <c r="B231" s="17">
        <v>229</v>
      </c>
      <c r="C231" s="10"/>
      <c r="D231" s="10"/>
      <c r="E231" s="72"/>
      <c r="F231" s="18"/>
      <c r="G231" s="10"/>
      <c r="H231" s="10"/>
      <c r="I231" s="10"/>
      <c r="J231" s="11"/>
      <c r="K231" s="11">
        <f t="shared" si="201"/>
        <v>0</v>
      </c>
      <c r="L231" s="37">
        <f t="shared" si="202"/>
        <v>0</v>
      </c>
      <c r="M231" s="11"/>
      <c r="N231" s="10"/>
      <c r="O231" s="21"/>
      <c r="P231" s="21"/>
      <c r="Q231" s="21"/>
      <c r="R231" s="23"/>
      <c r="S231" s="50"/>
      <c r="T231" s="48"/>
      <c r="U231" s="82"/>
      <c r="V231" s="32"/>
      <c r="W231" s="200"/>
      <c r="X231" s="17"/>
    </row>
    <row r="232" spans="2:24" x14ac:dyDescent="0.25">
      <c r="B232" s="17">
        <v>230</v>
      </c>
      <c r="C232" s="10"/>
      <c r="D232" s="10"/>
      <c r="E232" s="72"/>
      <c r="F232" s="18"/>
      <c r="G232" s="10"/>
      <c r="H232" s="10"/>
      <c r="I232" s="10"/>
      <c r="J232" s="11"/>
      <c r="K232" s="11">
        <f t="shared" si="201"/>
        <v>0</v>
      </c>
      <c r="L232" s="37">
        <f t="shared" si="202"/>
        <v>0</v>
      </c>
      <c r="M232" s="11"/>
      <c r="N232" s="10"/>
      <c r="O232" s="21"/>
      <c r="P232" s="21"/>
      <c r="Q232" s="21"/>
      <c r="R232" s="23"/>
      <c r="S232" s="50"/>
      <c r="T232" s="48"/>
      <c r="U232" s="82"/>
      <c r="V232" s="32"/>
      <c r="W232" s="200"/>
      <c r="X232" s="17"/>
    </row>
    <row r="233" spans="2:24" x14ac:dyDescent="0.25">
      <c r="B233" s="17">
        <v>231</v>
      </c>
      <c r="C233" s="10"/>
      <c r="D233" s="10"/>
      <c r="E233" s="72"/>
      <c r="F233" s="18"/>
      <c r="G233" s="10"/>
      <c r="H233" s="10"/>
      <c r="I233" s="10"/>
      <c r="J233" s="11"/>
      <c r="K233" s="11">
        <f t="shared" si="201"/>
        <v>0</v>
      </c>
      <c r="L233" s="37">
        <f t="shared" si="202"/>
        <v>0</v>
      </c>
      <c r="M233" s="11"/>
      <c r="N233" s="10"/>
      <c r="O233" s="21"/>
      <c r="P233" s="21"/>
      <c r="Q233" s="21"/>
      <c r="R233" s="23"/>
      <c r="S233" s="50"/>
      <c r="T233" s="48"/>
      <c r="U233" s="82"/>
      <c r="V233" s="26"/>
      <c r="W233" s="200"/>
      <c r="X233" s="17"/>
    </row>
    <row r="234" spans="2:24" x14ac:dyDescent="0.25">
      <c r="B234" s="17">
        <v>232</v>
      </c>
      <c r="C234" s="10"/>
      <c r="D234" s="10"/>
      <c r="E234" s="72"/>
      <c r="F234" s="18"/>
      <c r="G234" s="10"/>
      <c r="H234" s="10"/>
      <c r="I234" s="10"/>
      <c r="J234" s="11"/>
      <c r="K234" s="11">
        <f t="shared" si="201"/>
        <v>0</v>
      </c>
      <c r="L234" s="37">
        <f t="shared" si="202"/>
        <v>0</v>
      </c>
      <c r="M234" s="11"/>
      <c r="N234" s="10"/>
      <c r="O234" s="21"/>
      <c r="P234" s="21"/>
      <c r="Q234" s="21"/>
      <c r="R234" s="23"/>
      <c r="S234" s="50"/>
      <c r="T234" s="48"/>
      <c r="U234" s="82"/>
      <c r="V234" s="26"/>
      <c r="W234" s="200"/>
      <c r="X234" s="17"/>
    </row>
    <row r="235" spans="2:24" x14ac:dyDescent="0.25">
      <c r="B235" s="17">
        <v>233</v>
      </c>
      <c r="C235" s="10"/>
      <c r="D235" s="10"/>
      <c r="E235" s="72"/>
      <c r="F235" s="18"/>
      <c r="G235" s="10"/>
      <c r="H235" s="10"/>
      <c r="I235" s="10"/>
      <c r="J235" s="11"/>
      <c r="K235" s="11">
        <f t="shared" si="201"/>
        <v>0</v>
      </c>
      <c r="L235" s="37">
        <f t="shared" si="202"/>
        <v>0</v>
      </c>
      <c r="M235" s="11"/>
      <c r="N235" s="10"/>
      <c r="O235" s="21"/>
      <c r="P235" s="21"/>
      <c r="Q235" s="21"/>
      <c r="R235" s="23"/>
      <c r="S235" s="50"/>
      <c r="T235" s="48"/>
      <c r="U235" s="82"/>
      <c r="V235" s="26"/>
      <c r="W235" s="200"/>
      <c r="X235" s="17"/>
    </row>
    <row r="236" spans="2:24" x14ac:dyDescent="0.25">
      <c r="B236" s="17">
        <v>234</v>
      </c>
      <c r="C236" s="10"/>
      <c r="D236" s="10"/>
      <c r="E236" s="72"/>
      <c r="F236" s="18"/>
      <c r="G236" s="10"/>
      <c r="H236" s="10"/>
      <c r="I236" s="10"/>
      <c r="J236" s="11"/>
      <c r="K236" s="11">
        <f t="shared" si="201"/>
        <v>0</v>
      </c>
      <c r="L236" s="37">
        <f t="shared" si="202"/>
        <v>0</v>
      </c>
      <c r="M236" s="11"/>
      <c r="N236" s="10"/>
      <c r="O236" s="21"/>
      <c r="P236" s="21"/>
      <c r="Q236" s="21"/>
      <c r="R236" s="23"/>
      <c r="S236" s="50"/>
      <c r="T236" s="48"/>
      <c r="U236" s="82"/>
      <c r="V236" s="26"/>
      <c r="W236" s="200"/>
      <c r="X236" s="17"/>
    </row>
    <row r="237" spans="2:24" x14ac:dyDescent="0.25">
      <c r="B237" s="17">
        <v>235</v>
      </c>
      <c r="C237" s="10"/>
      <c r="D237" s="10"/>
      <c r="E237" s="72"/>
      <c r="F237" s="18"/>
      <c r="G237" s="10"/>
      <c r="H237" s="10"/>
      <c r="I237" s="10"/>
      <c r="J237" s="11"/>
      <c r="K237" s="11">
        <f t="shared" si="201"/>
        <v>0</v>
      </c>
      <c r="L237" s="37">
        <f t="shared" si="202"/>
        <v>0</v>
      </c>
      <c r="M237" s="11"/>
      <c r="N237" s="10"/>
      <c r="O237" s="21"/>
      <c r="P237" s="21"/>
      <c r="Q237" s="21"/>
      <c r="R237" s="23"/>
      <c r="S237" s="50"/>
      <c r="T237" s="48"/>
      <c r="U237" s="82"/>
      <c r="V237" s="26"/>
      <c r="W237" s="200"/>
      <c r="X237" s="17"/>
    </row>
    <row r="238" spans="2:24" x14ac:dyDescent="0.25">
      <c r="B238" s="17">
        <v>236</v>
      </c>
      <c r="C238" s="10"/>
      <c r="D238" s="10"/>
      <c r="E238" s="72"/>
      <c r="F238" s="18"/>
      <c r="G238" s="10"/>
      <c r="H238" s="10"/>
      <c r="I238" s="10"/>
      <c r="J238" s="11"/>
      <c r="K238" s="11">
        <f t="shared" si="201"/>
        <v>0</v>
      </c>
      <c r="L238" s="37">
        <f t="shared" si="202"/>
        <v>0</v>
      </c>
      <c r="M238" s="11"/>
      <c r="N238" s="10"/>
      <c r="O238" s="21"/>
      <c r="P238" s="21"/>
      <c r="Q238" s="21"/>
      <c r="R238" s="23"/>
      <c r="S238" s="50"/>
      <c r="T238" s="48"/>
      <c r="U238" s="82"/>
      <c r="V238" s="32"/>
      <c r="W238" s="200"/>
      <c r="X238" s="17"/>
    </row>
    <row r="239" spans="2:24" x14ac:dyDescent="0.25">
      <c r="B239" s="17">
        <v>237</v>
      </c>
      <c r="C239" s="10"/>
      <c r="D239" s="10"/>
      <c r="E239" s="72"/>
      <c r="F239" s="18"/>
      <c r="G239" s="10"/>
      <c r="H239" s="10"/>
      <c r="I239" s="10"/>
      <c r="J239" s="11"/>
      <c r="K239" s="11">
        <f t="shared" si="201"/>
        <v>0</v>
      </c>
      <c r="L239" s="37">
        <f t="shared" si="202"/>
        <v>0</v>
      </c>
      <c r="M239" s="11"/>
      <c r="N239" s="10"/>
      <c r="O239" s="21"/>
      <c r="P239" s="21"/>
      <c r="Q239" s="21"/>
      <c r="R239" s="23"/>
      <c r="S239" s="50"/>
      <c r="T239" s="48"/>
      <c r="U239" s="82"/>
      <c r="V239" s="32"/>
      <c r="W239" s="200"/>
      <c r="X239" s="17"/>
    </row>
    <row r="240" spans="2:24" x14ac:dyDescent="0.25">
      <c r="B240" s="17">
        <v>238</v>
      </c>
      <c r="C240" s="10"/>
      <c r="D240" s="10"/>
      <c r="E240" s="72"/>
      <c r="F240" s="18"/>
      <c r="G240" s="10"/>
      <c r="H240" s="10"/>
      <c r="I240" s="10"/>
      <c r="J240" s="11"/>
      <c r="K240" s="11">
        <f t="shared" si="201"/>
        <v>0</v>
      </c>
      <c r="L240" s="37">
        <f t="shared" si="202"/>
        <v>0</v>
      </c>
      <c r="M240" s="11"/>
      <c r="N240" s="10"/>
      <c r="O240" s="21"/>
      <c r="P240" s="21"/>
      <c r="Q240" s="21"/>
      <c r="R240" s="23"/>
      <c r="S240" s="50"/>
      <c r="T240" s="48"/>
      <c r="U240" s="82"/>
      <c r="V240" s="26"/>
      <c r="W240" s="200"/>
      <c r="X240" s="17"/>
    </row>
    <row r="241" spans="2:24" x14ac:dyDescent="0.25">
      <c r="B241" s="17">
        <v>239</v>
      </c>
      <c r="C241" s="10"/>
      <c r="D241" s="10"/>
      <c r="E241" s="72"/>
      <c r="F241" s="18"/>
      <c r="G241" s="10"/>
      <c r="H241" s="10"/>
      <c r="I241" s="10"/>
      <c r="J241" s="11"/>
      <c r="K241" s="11">
        <f t="shared" si="201"/>
        <v>0</v>
      </c>
      <c r="L241" s="37">
        <f t="shared" si="202"/>
        <v>0</v>
      </c>
      <c r="M241" s="11"/>
      <c r="N241" s="10"/>
      <c r="O241" s="21"/>
      <c r="P241" s="21"/>
      <c r="Q241" s="21"/>
      <c r="R241" s="23"/>
      <c r="S241" s="50"/>
      <c r="T241" s="48"/>
      <c r="U241" s="82"/>
      <c r="V241" s="26"/>
      <c r="W241" s="200"/>
      <c r="X241" s="17"/>
    </row>
    <row r="242" spans="2:24" x14ac:dyDescent="0.25">
      <c r="B242" s="17">
        <v>240</v>
      </c>
      <c r="C242" s="10"/>
      <c r="D242" s="10"/>
      <c r="E242" s="72"/>
      <c r="F242" s="18"/>
      <c r="G242" s="10"/>
      <c r="H242" s="10"/>
      <c r="I242" s="10"/>
      <c r="J242" s="11"/>
      <c r="K242" s="11">
        <f t="shared" si="201"/>
        <v>0</v>
      </c>
      <c r="L242" s="37">
        <f t="shared" si="202"/>
        <v>0</v>
      </c>
      <c r="M242" s="11"/>
      <c r="N242" s="10"/>
      <c r="O242" s="21"/>
      <c r="P242" s="21"/>
      <c r="Q242" s="21"/>
      <c r="R242" s="23"/>
      <c r="S242" s="50"/>
      <c r="T242" s="48"/>
      <c r="U242" s="82"/>
      <c r="V242" s="26"/>
      <c r="W242" s="200"/>
      <c r="X242" s="17"/>
    </row>
    <row r="243" spans="2:24" x14ac:dyDescent="0.25">
      <c r="B243" s="17">
        <v>241</v>
      </c>
      <c r="C243" s="10"/>
      <c r="D243" s="10"/>
      <c r="E243" s="72"/>
      <c r="F243" s="18"/>
      <c r="G243" s="10"/>
      <c r="H243" s="10"/>
      <c r="I243" s="10"/>
      <c r="J243" s="11"/>
      <c r="K243" s="11">
        <f t="shared" si="201"/>
        <v>0</v>
      </c>
      <c r="L243" s="37">
        <f t="shared" si="202"/>
        <v>0</v>
      </c>
      <c r="M243" s="11"/>
      <c r="N243" s="10"/>
      <c r="O243" s="21"/>
      <c r="P243" s="21"/>
      <c r="Q243" s="21"/>
      <c r="R243" s="23"/>
      <c r="S243" s="50"/>
      <c r="T243" s="48"/>
      <c r="U243" s="82"/>
      <c r="V243" s="26"/>
      <c r="W243" s="200"/>
      <c r="X243" s="17"/>
    </row>
    <row r="244" spans="2:24" x14ac:dyDescent="0.25">
      <c r="B244" s="17">
        <v>242</v>
      </c>
      <c r="C244" s="10"/>
      <c r="D244" s="10"/>
      <c r="E244" s="72"/>
      <c r="F244" s="18"/>
      <c r="G244" s="10"/>
      <c r="H244" s="10"/>
      <c r="I244" s="10"/>
      <c r="J244" s="11"/>
      <c r="K244" s="11">
        <f t="shared" si="201"/>
        <v>0</v>
      </c>
      <c r="L244" s="37">
        <f t="shared" si="202"/>
        <v>0</v>
      </c>
      <c r="M244" s="11"/>
      <c r="N244" s="10"/>
      <c r="O244" s="21"/>
      <c r="P244" s="21"/>
      <c r="Q244" s="21"/>
      <c r="R244" s="23"/>
      <c r="S244" s="50"/>
      <c r="T244" s="48"/>
      <c r="U244" s="82"/>
      <c r="V244" s="26"/>
      <c r="W244" s="200"/>
      <c r="X244" s="17"/>
    </row>
    <row r="245" spans="2:24" x14ac:dyDescent="0.25">
      <c r="B245" s="17">
        <v>243</v>
      </c>
      <c r="C245" s="10"/>
      <c r="D245" s="10"/>
      <c r="E245" s="72"/>
      <c r="F245" s="18"/>
      <c r="G245" s="10"/>
      <c r="H245" s="10"/>
      <c r="I245" s="10"/>
      <c r="J245" s="11"/>
      <c r="K245" s="11">
        <f t="shared" si="201"/>
        <v>0</v>
      </c>
      <c r="L245" s="37">
        <f t="shared" si="202"/>
        <v>0</v>
      </c>
      <c r="M245" s="11"/>
      <c r="N245" s="10"/>
      <c r="O245" s="21"/>
      <c r="P245" s="21"/>
      <c r="Q245" s="21"/>
      <c r="R245" s="23"/>
      <c r="S245" s="50"/>
      <c r="T245" s="48"/>
      <c r="U245" s="82"/>
      <c r="V245" s="32"/>
      <c r="W245" s="200"/>
      <c r="X245" s="17"/>
    </row>
    <row r="246" spans="2:24" x14ac:dyDescent="0.25">
      <c r="B246" s="17">
        <v>244</v>
      </c>
      <c r="C246" s="10"/>
      <c r="D246" s="10"/>
      <c r="E246" s="72"/>
      <c r="F246" s="18"/>
      <c r="G246" s="10"/>
      <c r="H246" s="10"/>
      <c r="I246" s="10"/>
      <c r="J246" s="11"/>
      <c r="K246" s="11">
        <f t="shared" si="201"/>
        <v>0</v>
      </c>
      <c r="L246" s="37">
        <f t="shared" si="202"/>
        <v>0</v>
      </c>
      <c r="M246" s="11"/>
      <c r="N246" s="10"/>
      <c r="O246" s="21"/>
      <c r="P246" s="21"/>
      <c r="Q246" s="21"/>
      <c r="R246" s="23"/>
      <c r="S246" s="50"/>
      <c r="T246" s="48"/>
      <c r="U246" s="82"/>
      <c r="V246" s="32"/>
      <c r="W246" s="200"/>
      <c r="X246" s="17"/>
    </row>
    <row r="247" spans="2:24" x14ac:dyDescent="0.25">
      <c r="B247" s="17">
        <v>245</v>
      </c>
      <c r="C247" s="10"/>
      <c r="D247" s="10"/>
      <c r="E247" s="72"/>
      <c r="F247" s="18"/>
      <c r="G247" s="10"/>
      <c r="H247" s="10"/>
      <c r="I247" s="10"/>
      <c r="J247" s="11"/>
      <c r="K247" s="11">
        <f t="shared" si="201"/>
        <v>0</v>
      </c>
      <c r="L247" s="37">
        <f t="shared" si="202"/>
        <v>0</v>
      </c>
      <c r="M247" s="11"/>
      <c r="N247" s="10"/>
      <c r="O247" s="21"/>
      <c r="P247" s="21"/>
      <c r="Q247" s="21"/>
      <c r="R247" s="23"/>
      <c r="S247" s="50"/>
      <c r="T247" s="48"/>
      <c r="U247" s="82"/>
      <c r="V247" s="32"/>
      <c r="W247" s="200"/>
      <c r="X247" s="17"/>
    </row>
    <row r="248" spans="2:24" x14ac:dyDescent="0.25">
      <c r="B248" s="17">
        <v>246</v>
      </c>
      <c r="C248" s="10"/>
      <c r="D248" s="10"/>
      <c r="E248" s="72"/>
      <c r="F248" s="18"/>
      <c r="G248" s="10"/>
      <c r="H248" s="10"/>
      <c r="I248" s="10"/>
      <c r="J248" s="11"/>
      <c r="K248" s="11">
        <f t="shared" si="201"/>
        <v>0</v>
      </c>
      <c r="L248" s="37">
        <f t="shared" si="202"/>
        <v>0</v>
      </c>
      <c r="M248" s="11"/>
      <c r="N248" s="10"/>
      <c r="O248" s="21"/>
      <c r="P248" s="21"/>
      <c r="Q248" s="21"/>
      <c r="R248" s="23"/>
      <c r="S248" s="50"/>
      <c r="T248" s="48"/>
      <c r="U248" s="82"/>
      <c r="V248" s="32"/>
      <c r="W248" s="200"/>
      <c r="X248" s="17"/>
    </row>
    <row r="249" spans="2:24" x14ac:dyDescent="0.25">
      <c r="B249" s="17">
        <v>247</v>
      </c>
      <c r="C249" s="10"/>
      <c r="D249" s="10"/>
      <c r="E249" s="72"/>
      <c r="F249" s="18"/>
      <c r="G249" s="10"/>
      <c r="H249" s="10"/>
      <c r="I249" s="10"/>
      <c r="J249" s="11"/>
      <c r="K249" s="11">
        <f t="shared" si="201"/>
        <v>0</v>
      </c>
      <c r="L249" s="37">
        <f t="shared" si="202"/>
        <v>0</v>
      </c>
      <c r="M249" s="11"/>
      <c r="N249" s="10"/>
      <c r="O249" s="21"/>
      <c r="P249" s="21"/>
      <c r="Q249" s="21"/>
      <c r="R249" s="23"/>
      <c r="S249" s="50"/>
      <c r="T249" s="48"/>
      <c r="U249" s="82"/>
      <c r="V249" s="26"/>
      <c r="W249" s="200"/>
      <c r="X249" s="17"/>
    </row>
    <row r="250" spans="2:24" x14ac:dyDescent="0.25">
      <c r="B250" s="17">
        <v>248</v>
      </c>
      <c r="C250" s="10"/>
      <c r="D250" s="10"/>
      <c r="E250" s="72"/>
      <c r="F250" s="18"/>
      <c r="G250" s="10"/>
      <c r="H250" s="10"/>
      <c r="I250" s="10"/>
      <c r="J250" s="11"/>
      <c r="K250" s="11">
        <f t="shared" si="201"/>
        <v>0</v>
      </c>
      <c r="L250" s="37">
        <f t="shared" si="202"/>
        <v>0</v>
      </c>
      <c r="M250" s="11"/>
      <c r="N250" s="10"/>
      <c r="O250" s="21"/>
      <c r="P250" s="21"/>
      <c r="Q250" s="21"/>
      <c r="R250" s="23"/>
      <c r="S250" s="50"/>
      <c r="T250" s="48"/>
      <c r="U250" s="82"/>
      <c r="V250" s="26"/>
      <c r="W250" s="200"/>
      <c r="X250" s="17"/>
    </row>
    <row r="251" spans="2:24" x14ac:dyDescent="0.25">
      <c r="B251" s="17">
        <v>249</v>
      </c>
      <c r="C251" s="10"/>
      <c r="D251" s="10"/>
      <c r="E251" s="72"/>
      <c r="F251" s="18"/>
      <c r="G251" s="10"/>
      <c r="H251" s="10"/>
      <c r="I251" s="10"/>
      <c r="J251" s="11"/>
      <c r="K251" s="11">
        <f t="shared" si="201"/>
        <v>0</v>
      </c>
      <c r="L251" s="37">
        <f t="shared" si="202"/>
        <v>0</v>
      </c>
      <c r="M251" s="11"/>
      <c r="N251" s="10"/>
      <c r="O251" s="21"/>
      <c r="P251" s="21"/>
      <c r="Q251" s="21"/>
      <c r="R251" s="23"/>
      <c r="S251" s="50"/>
      <c r="T251" s="48"/>
      <c r="U251" s="82"/>
      <c r="V251" s="26"/>
      <c r="W251" s="200"/>
      <c r="X251" s="17"/>
    </row>
    <row r="252" spans="2:24" x14ac:dyDescent="0.25">
      <c r="B252" s="17">
        <v>250</v>
      </c>
      <c r="C252" s="10"/>
      <c r="D252" s="10"/>
      <c r="E252" s="72"/>
      <c r="F252" s="18"/>
      <c r="G252" s="10"/>
      <c r="H252" s="10"/>
      <c r="I252" s="10"/>
      <c r="J252" s="11"/>
      <c r="K252" s="11">
        <f t="shared" si="201"/>
        <v>0</v>
      </c>
      <c r="L252" s="37">
        <f t="shared" si="202"/>
        <v>0</v>
      </c>
      <c r="M252" s="11"/>
      <c r="N252" s="10"/>
      <c r="O252" s="21"/>
      <c r="P252" s="21"/>
      <c r="Q252" s="21"/>
      <c r="R252" s="23"/>
      <c r="S252" s="50"/>
      <c r="T252" s="48"/>
      <c r="U252" s="82"/>
      <c r="V252" s="26"/>
      <c r="W252" s="200"/>
      <c r="X252" s="17"/>
    </row>
    <row r="253" spans="2:24" x14ac:dyDescent="0.25">
      <c r="B253" s="17">
        <v>251</v>
      </c>
      <c r="C253" s="10"/>
      <c r="D253" s="10"/>
      <c r="E253" s="72"/>
      <c r="F253" s="18"/>
      <c r="G253" s="10"/>
      <c r="H253" s="10"/>
      <c r="I253" s="10"/>
      <c r="J253" s="11"/>
      <c r="K253" s="11">
        <f t="shared" si="201"/>
        <v>0</v>
      </c>
      <c r="L253" s="37">
        <f t="shared" si="202"/>
        <v>0</v>
      </c>
      <c r="M253" s="11"/>
      <c r="N253" s="10"/>
      <c r="O253" s="21"/>
      <c r="P253" s="21"/>
      <c r="Q253" s="21"/>
      <c r="R253" s="23"/>
      <c r="S253" s="50"/>
      <c r="T253" s="48"/>
      <c r="U253" s="82"/>
      <c r="V253" s="32"/>
      <c r="W253" s="200"/>
      <c r="X253" s="17"/>
    </row>
    <row r="254" spans="2:24" x14ac:dyDescent="0.25">
      <c r="B254" s="17">
        <v>252</v>
      </c>
      <c r="C254" s="10"/>
      <c r="D254" s="10"/>
      <c r="E254" s="72"/>
      <c r="F254" s="18"/>
      <c r="G254" s="10"/>
      <c r="H254" s="10"/>
      <c r="I254" s="10"/>
      <c r="J254" s="11"/>
      <c r="K254" s="11">
        <f t="shared" si="201"/>
        <v>0</v>
      </c>
      <c r="L254" s="37">
        <f t="shared" si="202"/>
        <v>0</v>
      </c>
      <c r="M254" s="11"/>
      <c r="N254" s="10"/>
      <c r="O254" s="21"/>
      <c r="P254" s="21"/>
      <c r="Q254" s="21"/>
      <c r="R254" s="23"/>
      <c r="S254" s="50"/>
      <c r="T254" s="48"/>
      <c r="U254" s="82"/>
      <c r="V254" s="32"/>
      <c r="W254" s="200"/>
      <c r="X254" s="17"/>
    </row>
    <row r="255" spans="2:24" x14ac:dyDescent="0.25">
      <c r="B255" s="17">
        <v>253</v>
      </c>
      <c r="C255" s="10"/>
      <c r="D255" s="10"/>
      <c r="E255" s="72"/>
      <c r="F255" s="18"/>
      <c r="G255" s="10"/>
      <c r="H255" s="10"/>
      <c r="I255" s="10"/>
      <c r="J255" s="11"/>
      <c r="K255" s="11">
        <f t="shared" si="201"/>
        <v>0</v>
      </c>
      <c r="L255" s="37">
        <f t="shared" si="202"/>
        <v>0</v>
      </c>
      <c r="M255" s="11"/>
      <c r="N255" s="10"/>
      <c r="O255" s="21"/>
      <c r="P255" s="21"/>
      <c r="Q255" s="21"/>
      <c r="R255" s="23"/>
      <c r="S255" s="50"/>
      <c r="T255" s="48"/>
      <c r="U255" s="82"/>
      <c r="V255" s="26"/>
      <c r="W255" s="200"/>
      <c r="X255" s="17"/>
    </row>
    <row r="256" spans="2:24" x14ac:dyDescent="0.25">
      <c r="B256" s="17">
        <v>254</v>
      </c>
      <c r="C256" s="10"/>
      <c r="D256" s="10"/>
      <c r="E256" s="72"/>
      <c r="F256" s="18"/>
      <c r="G256" s="10"/>
      <c r="H256" s="10"/>
      <c r="I256" s="10"/>
      <c r="J256" s="11"/>
      <c r="K256" s="11">
        <f t="shared" si="201"/>
        <v>0</v>
      </c>
      <c r="L256" s="37">
        <f t="shared" si="202"/>
        <v>0</v>
      </c>
      <c r="M256" s="11"/>
      <c r="N256" s="10"/>
      <c r="O256" s="21"/>
      <c r="P256" s="21"/>
      <c r="Q256" s="21"/>
      <c r="R256" s="23"/>
      <c r="S256" s="50"/>
      <c r="T256" s="48"/>
      <c r="U256" s="82"/>
      <c r="V256" s="26"/>
      <c r="W256" s="200"/>
      <c r="X256" s="17"/>
    </row>
    <row r="257" spans="2:24" x14ac:dyDescent="0.25">
      <c r="B257" s="17">
        <v>255</v>
      </c>
      <c r="C257" s="10"/>
      <c r="D257" s="10"/>
      <c r="E257" s="72"/>
      <c r="F257" s="18"/>
      <c r="G257" s="10"/>
      <c r="H257" s="10"/>
      <c r="I257" s="10"/>
      <c r="J257" s="11"/>
      <c r="K257" s="11">
        <f t="shared" si="201"/>
        <v>0</v>
      </c>
      <c r="L257" s="37">
        <f t="shared" si="202"/>
        <v>0</v>
      </c>
      <c r="M257" s="11"/>
      <c r="N257" s="10"/>
      <c r="O257" s="21"/>
      <c r="P257" s="21"/>
      <c r="Q257" s="21"/>
      <c r="R257" s="23"/>
      <c r="S257" s="50"/>
      <c r="T257" s="48"/>
      <c r="U257" s="82"/>
      <c r="V257" s="26"/>
      <c r="W257" s="200"/>
      <c r="X257" s="17"/>
    </row>
    <row r="258" spans="2:24" x14ac:dyDescent="0.25">
      <c r="B258" s="17">
        <v>256</v>
      </c>
      <c r="C258" s="10"/>
      <c r="D258" s="10"/>
      <c r="E258" s="72"/>
      <c r="F258" s="18"/>
      <c r="G258" s="10"/>
      <c r="H258" s="10"/>
      <c r="I258" s="10"/>
      <c r="J258" s="11"/>
      <c r="K258" s="11">
        <f t="shared" si="201"/>
        <v>0</v>
      </c>
      <c r="L258" s="37">
        <f t="shared" si="202"/>
        <v>0</v>
      </c>
      <c r="M258" s="11"/>
      <c r="N258" s="10"/>
      <c r="O258" s="21"/>
      <c r="P258" s="21"/>
      <c r="Q258" s="21"/>
      <c r="R258" s="23"/>
      <c r="S258" s="50"/>
      <c r="T258" s="48"/>
      <c r="U258" s="82"/>
      <c r="V258" s="26"/>
      <c r="W258" s="200"/>
      <c r="X258" s="17"/>
    </row>
    <row r="259" spans="2:24" x14ac:dyDescent="0.25">
      <c r="B259" s="17">
        <v>257</v>
      </c>
      <c r="C259" s="10"/>
      <c r="D259" s="10"/>
      <c r="E259" s="72"/>
      <c r="F259" s="18"/>
      <c r="G259" s="10"/>
      <c r="H259" s="10"/>
      <c r="I259" s="10"/>
      <c r="J259" s="11"/>
      <c r="K259" s="11">
        <f t="shared" si="201"/>
        <v>0</v>
      </c>
      <c r="L259" s="37">
        <f t="shared" si="202"/>
        <v>0</v>
      </c>
      <c r="M259" s="11"/>
      <c r="N259" s="10"/>
      <c r="O259" s="21"/>
      <c r="P259" s="21"/>
      <c r="Q259" s="21"/>
      <c r="R259" s="23"/>
      <c r="S259" s="50"/>
      <c r="T259" s="48"/>
      <c r="U259" s="82"/>
      <c r="V259" s="26"/>
      <c r="W259" s="200"/>
      <c r="X259" s="17"/>
    </row>
    <row r="260" spans="2:24" x14ac:dyDescent="0.25">
      <c r="B260" s="17">
        <v>258</v>
      </c>
      <c r="C260" s="10"/>
      <c r="D260" s="10"/>
      <c r="E260" s="72"/>
      <c r="F260" s="18"/>
      <c r="G260" s="10"/>
      <c r="H260" s="10"/>
      <c r="I260" s="10"/>
      <c r="J260" s="11"/>
      <c r="K260" s="11">
        <f t="shared" ref="K260:K284" si="203">J260*1.1</f>
        <v>0</v>
      </c>
      <c r="L260" s="37">
        <f t="shared" ref="L260:L284" si="204">J260*0.00000001</f>
        <v>0</v>
      </c>
      <c r="M260" s="11"/>
      <c r="N260" s="10"/>
      <c r="O260" s="21"/>
      <c r="P260" s="21"/>
      <c r="Q260" s="21"/>
      <c r="R260" s="23"/>
      <c r="S260" s="50"/>
      <c r="T260" s="48"/>
      <c r="U260" s="82"/>
      <c r="V260" s="32"/>
      <c r="W260" s="200"/>
      <c r="X260" s="17"/>
    </row>
    <row r="261" spans="2:24" x14ac:dyDescent="0.25">
      <c r="B261" s="17">
        <v>259</v>
      </c>
      <c r="C261" s="10"/>
      <c r="D261" s="10"/>
      <c r="E261" s="72"/>
      <c r="F261" s="18"/>
      <c r="G261" s="10"/>
      <c r="H261" s="10"/>
      <c r="I261" s="10"/>
      <c r="J261" s="11"/>
      <c r="K261" s="11">
        <f t="shared" si="203"/>
        <v>0</v>
      </c>
      <c r="L261" s="37">
        <f t="shared" si="204"/>
        <v>0</v>
      </c>
      <c r="M261" s="11"/>
      <c r="N261" s="10"/>
      <c r="O261" s="21"/>
      <c r="P261" s="21"/>
      <c r="Q261" s="21"/>
      <c r="R261" s="23"/>
      <c r="S261" s="50"/>
      <c r="T261" s="48"/>
      <c r="U261" s="82"/>
      <c r="V261" s="32"/>
      <c r="W261" s="200"/>
      <c r="X261" s="17"/>
    </row>
    <row r="262" spans="2:24" x14ac:dyDescent="0.25">
      <c r="B262" s="17">
        <v>260</v>
      </c>
      <c r="C262" s="10"/>
      <c r="D262" s="10"/>
      <c r="E262" s="72"/>
      <c r="F262" s="18"/>
      <c r="G262" s="10"/>
      <c r="H262" s="10"/>
      <c r="I262" s="10"/>
      <c r="J262" s="11"/>
      <c r="K262" s="11">
        <f t="shared" si="203"/>
        <v>0</v>
      </c>
      <c r="L262" s="37">
        <f t="shared" si="204"/>
        <v>0</v>
      </c>
      <c r="M262" s="11"/>
      <c r="N262" s="10"/>
      <c r="O262" s="21"/>
      <c r="P262" s="21"/>
      <c r="Q262" s="21"/>
      <c r="R262" s="23"/>
      <c r="S262" s="50"/>
      <c r="T262" s="48"/>
      <c r="U262" s="82"/>
      <c r="V262" s="26"/>
      <c r="W262" s="200"/>
      <c r="X262" s="17"/>
    </row>
    <row r="263" spans="2:24" x14ac:dyDescent="0.25">
      <c r="B263" s="17">
        <v>261</v>
      </c>
      <c r="C263" s="10"/>
      <c r="D263" s="10"/>
      <c r="E263" s="72"/>
      <c r="F263" s="18"/>
      <c r="G263" s="10"/>
      <c r="H263" s="10"/>
      <c r="I263" s="10"/>
      <c r="J263" s="11"/>
      <c r="K263" s="11">
        <f t="shared" si="203"/>
        <v>0</v>
      </c>
      <c r="L263" s="37">
        <f t="shared" si="204"/>
        <v>0</v>
      </c>
      <c r="M263" s="11"/>
      <c r="N263" s="10"/>
      <c r="O263" s="21"/>
      <c r="P263" s="21"/>
      <c r="Q263" s="21"/>
      <c r="R263" s="23"/>
      <c r="S263" s="50"/>
      <c r="T263" s="48"/>
      <c r="U263" s="82"/>
      <c r="V263" s="26"/>
      <c r="W263" s="200"/>
      <c r="X263" s="17"/>
    </row>
    <row r="264" spans="2:24" x14ac:dyDescent="0.25">
      <c r="B264" s="17">
        <v>262</v>
      </c>
      <c r="C264" s="10"/>
      <c r="D264" s="10"/>
      <c r="E264" s="72"/>
      <c r="F264" s="18"/>
      <c r="G264" s="10"/>
      <c r="H264" s="10"/>
      <c r="I264" s="10"/>
      <c r="J264" s="11"/>
      <c r="K264" s="11">
        <f t="shared" si="203"/>
        <v>0</v>
      </c>
      <c r="L264" s="37">
        <f t="shared" si="204"/>
        <v>0</v>
      </c>
      <c r="M264" s="11"/>
      <c r="N264" s="10"/>
      <c r="O264" s="21"/>
      <c r="P264" s="21"/>
      <c r="Q264" s="21"/>
      <c r="R264" s="23"/>
      <c r="S264" s="50"/>
      <c r="T264" s="48"/>
      <c r="U264" s="82"/>
      <c r="V264" s="26"/>
      <c r="W264" s="200"/>
      <c r="X264" s="17"/>
    </row>
    <row r="265" spans="2:24" x14ac:dyDescent="0.25">
      <c r="B265" s="17">
        <v>263</v>
      </c>
      <c r="C265" s="10"/>
      <c r="D265" s="10"/>
      <c r="E265" s="72"/>
      <c r="F265" s="18"/>
      <c r="G265" s="10"/>
      <c r="H265" s="10"/>
      <c r="I265" s="10"/>
      <c r="J265" s="11"/>
      <c r="K265" s="11">
        <f t="shared" si="203"/>
        <v>0</v>
      </c>
      <c r="L265" s="37">
        <f t="shared" si="204"/>
        <v>0</v>
      </c>
      <c r="M265" s="11"/>
      <c r="N265" s="10"/>
      <c r="O265" s="21"/>
      <c r="P265" s="21"/>
      <c r="Q265" s="21"/>
      <c r="R265" s="23"/>
      <c r="S265" s="50"/>
      <c r="T265" s="48"/>
      <c r="U265" s="82"/>
      <c r="V265" s="26"/>
      <c r="W265" s="200"/>
      <c r="X265" s="17"/>
    </row>
    <row r="266" spans="2:24" x14ac:dyDescent="0.25">
      <c r="B266" s="17">
        <v>264</v>
      </c>
      <c r="C266" s="10"/>
      <c r="D266" s="10"/>
      <c r="E266" s="72"/>
      <c r="F266" s="18"/>
      <c r="G266" s="10"/>
      <c r="H266" s="10"/>
      <c r="I266" s="10"/>
      <c r="J266" s="11"/>
      <c r="K266" s="11">
        <f t="shared" si="203"/>
        <v>0</v>
      </c>
      <c r="L266" s="37">
        <f t="shared" si="204"/>
        <v>0</v>
      </c>
      <c r="M266" s="11"/>
      <c r="N266" s="10"/>
      <c r="O266" s="21"/>
      <c r="P266" s="21"/>
      <c r="Q266" s="21"/>
      <c r="R266" s="23"/>
      <c r="S266" s="50"/>
      <c r="T266" s="48"/>
      <c r="U266" s="82"/>
      <c r="V266" s="26"/>
      <c r="W266" s="200"/>
      <c r="X266" s="17"/>
    </row>
    <row r="267" spans="2:24" x14ac:dyDescent="0.25">
      <c r="B267" s="17">
        <v>265</v>
      </c>
      <c r="C267" s="10"/>
      <c r="D267" s="10"/>
      <c r="E267" s="72"/>
      <c r="F267" s="18"/>
      <c r="G267" s="10"/>
      <c r="H267" s="10"/>
      <c r="I267" s="10"/>
      <c r="J267" s="11"/>
      <c r="K267" s="11">
        <f t="shared" si="203"/>
        <v>0</v>
      </c>
      <c r="L267" s="37">
        <f t="shared" si="204"/>
        <v>0</v>
      </c>
      <c r="M267" s="11"/>
      <c r="N267" s="10"/>
      <c r="O267" s="21"/>
      <c r="P267" s="21"/>
      <c r="Q267" s="21"/>
      <c r="R267" s="23"/>
      <c r="S267" s="50"/>
      <c r="T267" s="48"/>
      <c r="U267" s="82"/>
      <c r="V267" s="32"/>
      <c r="W267" s="200"/>
      <c r="X267" s="17"/>
    </row>
    <row r="268" spans="2:24" x14ac:dyDescent="0.25">
      <c r="B268" s="17">
        <v>266</v>
      </c>
      <c r="C268" s="10"/>
      <c r="D268" s="10"/>
      <c r="E268" s="72"/>
      <c r="F268" s="18"/>
      <c r="G268" s="10"/>
      <c r="H268" s="10"/>
      <c r="I268" s="10"/>
      <c r="J268" s="11"/>
      <c r="K268" s="11">
        <f t="shared" si="203"/>
        <v>0</v>
      </c>
      <c r="L268" s="37">
        <f t="shared" si="204"/>
        <v>0</v>
      </c>
      <c r="M268" s="11"/>
      <c r="N268" s="10"/>
      <c r="O268" s="21"/>
      <c r="P268" s="21"/>
      <c r="Q268" s="21"/>
      <c r="R268" s="23"/>
      <c r="S268" s="50"/>
      <c r="T268" s="48"/>
      <c r="U268" s="82"/>
      <c r="V268" s="32"/>
      <c r="W268" s="200"/>
      <c r="X268" s="17"/>
    </row>
    <row r="269" spans="2:24" x14ac:dyDescent="0.25">
      <c r="B269" s="17">
        <v>267</v>
      </c>
      <c r="C269" s="10"/>
      <c r="D269" s="10"/>
      <c r="E269" s="72"/>
      <c r="F269" s="18"/>
      <c r="G269" s="10"/>
      <c r="H269" s="10"/>
      <c r="I269" s="10"/>
      <c r="J269" s="11"/>
      <c r="K269" s="11">
        <f t="shared" si="203"/>
        <v>0</v>
      </c>
      <c r="L269" s="37">
        <f t="shared" si="204"/>
        <v>0</v>
      </c>
      <c r="M269" s="11"/>
      <c r="N269" s="10"/>
      <c r="O269" s="21"/>
      <c r="P269" s="21"/>
      <c r="Q269" s="21"/>
      <c r="R269" s="23"/>
      <c r="S269" s="50"/>
      <c r="T269" s="48"/>
      <c r="U269" s="82"/>
      <c r="V269" s="32"/>
      <c r="W269" s="200"/>
      <c r="X269" s="17"/>
    </row>
    <row r="270" spans="2:24" x14ac:dyDescent="0.25">
      <c r="B270" s="17">
        <v>268</v>
      </c>
      <c r="C270" s="10"/>
      <c r="D270" s="10"/>
      <c r="E270" s="72"/>
      <c r="F270" s="18"/>
      <c r="G270" s="10"/>
      <c r="H270" s="10"/>
      <c r="I270" s="10"/>
      <c r="J270" s="11"/>
      <c r="K270" s="11">
        <f t="shared" si="203"/>
        <v>0</v>
      </c>
      <c r="L270" s="37">
        <f t="shared" si="204"/>
        <v>0</v>
      </c>
      <c r="M270" s="11"/>
      <c r="N270" s="10"/>
      <c r="O270" s="21"/>
      <c r="P270" s="21"/>
      <c r="Q270" s="21"/>
      <c r="R270" s="23"/>
      <c r="S270" s="50"/>
      <c r="T270" s="48"/>
      <c r="U270" s="82"/>
      <c r="V270" s="32"/>
      <c r="W270" s="200"/>
      <c r="X270" s="17"/>
    </row>
    <row r="271" spans="2:24" x14ac:dyDescent="0.25">
      <c r="B271" s="17">
        <v>269</v>
      </c>
      <c r="C271" s="10"/>
      <c r="D271" s="10"/>
      <c r="E271" s="72"/>
      <c r="F271" s="18"/>
      <c r="G271" s="10"/>
      <c r="H271" s="10"/>
      <c r="I271" s="10"/>
      <c r="J271" s="11"/>
      <c r="K271" s="11">
        <f t="shared" si="203"/>
        <v>0</v>
      </c>
      <c r="L271" s="37">
        <f t="shared" si="204"/>
        <v>0</v>
      </c>
      <c r="M271" s="11"/>
      <c r="N271" s="10"/>
      <c r="O271" s="21"/>
      <c r="P271" s="21"/>
      <c r="Q271" s="21"/>
      <c r="R271" s="23"/>
      <c r="S271" s="50"/>
      <c r="T271" s="48"/>
      <c r="U271" s="82"/>
      <c r="V271" s="26"/>
      <c r="W271" s="200"/>
      <c r="X271" s="17"/>
    </row>
    <row r="272" spans="2:24" x14ac:dyDescent="0.25">
      <c r="B272" s="17">
        <v>270</v>
      </c>
      <c r="C272" s="10"/>
      <c r="D272" s="10"/>
      <c r="E272" s="72"/>
      <c r="F272" s="18"/>
      <c r="G272" s="10"/>
      <c r="H272" s="10"/>
      <c r="I272" s="10"/>
      <c r="J272" s="11"/>
      <c r="K272" s="11">
        <f t="shared" si="203"/>
        <v>0</v>
      </c>
      <c r="L272" s="37">
        <f t="shared" si="204"/>
        <v>0</v>
      </c>
      <c r="M272" s="11"/>
      <c r="N272" s="10"/>
      <c r="O272" s="21"/>
      <c r="P272" s="21"/>
      <c r="Q272" s="21"/>
      <c r="R272" s="23"/>
      <c r="S272" s="50"/>
      <c r="T272" s="48"/>
      <c r="U272" s="82"/>
      <c r="V272" s="26"/>
      <c r="W272" s="200"/>
      <c r="X272" s="17"/>
    </row>
    <row r="273" spans="2:24" x14ac:dyDescent="0.25">
      <c r="B273" s="17">
        <v>271</v>
      </c>
      <c r="C273" s="10"/>
      <c r="D273" s="10"/>
      <c r="E273" s="72"/>
      <c r="F273" s="18"/>
      <c r="G273" s="10"/>
      <c r="H273" s="10"/>
      <c r="I273" s="10"/>
      <c r="J273" s="11"/>
      <c r="K273" s="11">
        <f t="shared" si="203"/>
        <v>0</v>
      </c>
      <c r="L273" s="37">
        <f t="shared" si="204"/>
        <v>0</v>
      </c>
      <c r="M273" s="11"/>
      <c r="N273" s="10"/>
      <c r="O273" s="21"/>
      <c r="P273" s="21"/>
      <c r="Q273" s="21"/>
      <c r="R273" s="23"/>
      <c r="S273" s="50"/>
      <c r="T273" s="48"/>
      <c r="U273" s="82"/>
      <c r="V273" s="26"/>
      <c r="W273" s="200"/>
      <c r="X273" s="17"/>
    </row>
    <row r="274" spans="2:24" x14ac:dyDescent="0.25">
      <c r="B274" s="17">
        <v>272</v>
      </c>
      <c r="C274" s="10"/>
      <c r="D274" s="10"/>
      <c r="E274" s="72"/>
      <c r="F274" s="18"/>
      <c r="G274" s="10"/>
      <c r="H274" s="10"/>
      <c r="I274" s="10"/>
      <c r="J274" s="11"/>
      <c r="K274" s="11">
        <f t="shared" si="203"/>
        <v>0</v>
      </c>
      <c r="L274" s="37">
        <f t="shared" si="204"/>
        <v>0</v>
      </c>
      <c r="M274" s="11"/>
      <c r="N274" s="10"/>
      <c r="O274" s="21"/>
      <c r="P274" s="21"/>
      <c r="Q274" s="21"/>
      <c r="R274" s="23"/>
      <c r="S274" s="50"/>
      <c r="T274" s="48"/>
      <c r="U274" s="82"/>
      <c r="V274" s="26"/>
      <c r="W274" s="200"/>
      <c r="X274" s="17"/>
    </row>
    <row r="275" spans="2:24" x14ac:dyDescent="0.25">
      <c r="B275" s="17">
        <v>273</v>
      </c>
      <c r="C275" s="10"/>
      <c r="D275" s="10"/>
      <c r="E275" s="72"/>
      <c r="F275" s="18"/>
      <c r="G275" s="10"/>
      <c r="H275" s="10"/>
      <c r="I275" s="10"/>
      <c r="J275" s="11"/>
      <c r="K275" s="11">
        <f t="shared" si="203"/>
        <v>0</v>
      </c>
      <c r="L275" s="37">
        <f t="shared" si="204"/>
        <v>0</v>
      </c>
      <c r="M275" s="11"/>
      <c r="N275" s="10"/>
      <c r="O275" s="21"/>
      <c r="P275" s="21"/>
      <c r="Q275" s="21"/>
      <c r="R275" s="23"/>
      <c r="S275" s="50"/>
      <c r="T275" s="48"/>
      <c r="U275" s="82"/>
      <c r="V275" s="26"/>
      <c r="W275" s="200"/>
      <c r="X275" s="17"/>
    </row>
    <row r="276" spans="2:24" x14ac:dyDescent="0.25">
      <c r="B276" s="17">
        <v>274</v>
      </c>
      <c r="C276" s="10"/>
      <c r="D276" s="10"/>
      <c r="E276" s="72"/>
      <c r="F276" s="18"/>
      <c r="G276" s="10"/>
      <c r="H276" s="10"/>
      <c r="I276" s="10"/>
      <c r="J276" s="11"/>
      <c r="K276" s="11">
        <f t="shared" si="203"/>
        <v>0</v>
      </c>
      <c r="L276" s="37">
        <f t="shared" si="204"/>
        <v>0</v>
      </c>
      <c r="M276" s="11"/>
      <c r="N276" s="10"/>
      <c r="O276" s="21"/>
      <c r="P276" s="21"/>
      <c r="Q276" s="21"/>
      <c r="R276" s="23"/>
      <c r="S276" s="50"/>
      <c r="T276" s="48"/>
      <c r="U276" s="82"/>
      <c r="V276" s="32"/>
      <c r="W276" s="200"/>
      <c r="X276" s="17"/>
    </row>
    <row r="277" spans="2:24" x14ac:dyDescent="0.25">
      <c r="B277" s="17">
        <v>275</v>
      </c>
      <c r="C277" s="10"/>
      <c r="D277" s="10"/>
      <c r="E277" s="72"/>
      <c r="F277" s="18"/>
      <c r="G277" s="10"/>
      <c r="H277" s="10"/>
      <c r="I277" s="10"/>
      <c r="J277" s="11"/>
      <c r="K277" s="11">
        <f t="shared" si="203"/>
        <v>0</v>
      </c>
      <c r="L277" s="37">
        <f t="shared" si="204"/>
        <v>0</v>
      </c>
      <c r="M277" s="11"/>
      <c r="N277" s="10"/>
      <c r="O277" s="21"/>
      <c r="P277" s="21"/>
      <c r="Q277" s="21"/>
      <c r="R277" s="23"/>
      <c r="S277" s="50"/>
      <c r="T277" s="48"/>
      <c r="U277" s="82"/>
      <c r="V277" s="32"/>
      <c r="W277" s="200"/>
      <c r="X277" s="17"/>
    </row>
    <row r="278" spans="2:24" x14ac:dyDescent="0.25">
      <c r="B278" s="17">
        <v>276</v>
      </c>
      <c r="C278" s="10"/>
      <c r="D278" s="10"/>
      <c r="E278" s="72"/>
      <c r="F278" s="18"/>
      <c r="G278" s="10"/>
      <c r="H278" s="10"/>
      <c r="I278" s="10"/>
      <c r="J278" s="11"/>
      <c r="K278" s="11">
        <f t="shared" si="203"/>
        <v>0</v>
      </c>
      <c r="L278" s="37">
        <f t="shared" si="204"/>
        <v>0</v>
      </c>
      <c r="M278" s="11"/>
      <c r="N278" s="10"/>
      <c r="O278" s="21"/>
      <c r="P278" s="21"/>
      <c r="Q278" s="21"/>
      <c r="R278" s="23"/>
      <c r="S278" s="50"/>
      <c r="T278" s="48"/>
      <c r="U278" s="82"/>
      <c r="V278" s="26"/>
      <c r="W278" s="200"/>
      <c r="X278" s="17"/>
    </row>
    <row r="279" spans="2:24" x14ac:dyDescent="0.25">
      <c r="B279" s="17">
        <v>277</v>
      </c>
      <c r="C279" s="10"/>
      <c r="D279" s="10"/>
      <c r="E279" s="72"/>
      <c r="F279" s="18"/>
      <c r="G279" s="10"/>
      <c r="H279" s="10"/>
      <c r="I279" s="10"/>
      <c r="J279" s="11"/>
      <c r="K279" s="11">
        <f t="shared" si="203"/>
        <v>0</v>
      </c>
      <c r="L279" s="37">
        <f t="shared" si="204"/>
        <v>0</v>
      </c>
      <c r="M279" s="11"/>
      <c r="N279" s="10"/>
      <c r="O279" s="21"/>
      <c r="P279" s="21"/>
      <c r="Q279" s="21"/>
      <c r="R279" s="23"/>
      <c r="S279" s="50"/>
      <c r="T279" s="48"/>
      <c r="U279" s="82"/>
      <c r="V279" s="26"/>
      <c r="W279" s="200"/>
      <c r="X279" s="17"/>
    </row>
    <row r="280" spans="2:24" x14ac:dyDescent="0.25">
      <c r="B280" s="17">
        <v>278</v>
      </c>
      <c r="C280" s="10"/>
      <c r="D280" s="10"/>
      <c r="E280" s="72"/>
      <c r="F280" s="18"/>
      <c r="G280" s="10"/>
      <c r="H280" s="10"/>
      <c r="I280" s="10"/>
      <c r="J280" s="11"/>
      <c r="K280" s="11">
        <f t="shared" si="203"/>
        <v>0</v>
      </c>
      <c r="L280" s="37">
        <f t="shared" si="204"/>
        <v>0</v>
      </c>
      <c r="M280" s="11"/>
      <c r="N280" s="10"/>
      <c r="O280" s="21"/>
      <c r="P280" s="21"/>
      <c r="Q280" s="21"/>
      <c r="R280" s="23"/>
      <c r="S280" s="50"/>
      <c r="T280" s="48"/>
      <c r="U280" s="82"/>
      <c r="V280" s="26"/>
      <c r="W280" s="200"/>
      <c r="X280" s="17"/>
    </row>
    <row r="281" spans="2:24" x14ac:dyDescent="0.25">
      <c r="B281" s="17">
        <v>279</v>
      </c>
      <c r="C281" s="10"/>
      <c r="D281" s="10"/>
      <c r="E281" s="72"/>
      <c r="F281" s="18"/>
      <c r="G281" s="10"/>
      <c r="H281" s="10"/>
      <c r="I281" s="10"/>
      <c r="J281" s="11"/>
      <c r="K281" s="11">
        <f t="shared" si="203"/>
        <v>0</v>
      </c>
      <c r="L281" s="37">
        <f t="shared" si="204"/>
        <v>0</v>
      </c>
      <c r="M281" s="11"/>
      <c r="N281" s="10"/>
      <c r="O281" s="21"/>
      <c r="P281" s="21"/>
      <c r="Q281" s="21"/>
      <c r="R281" s="23"/>
      <c r="S281" s="50"/>
      <c r="T281" s="48"/>
      <c r="U281" s="82"/>
      <c r="V281" s="26"/>
      <c r="W281" s="200"/>
      <c r="X281" s="17"/>
    </row>
    <row r="282" spans="2:24" x14ac:dyDescent="0.25">
      <c r="B282" s="17">
        <v>280</v>
      </c>
      <c r="C282" s="10"/>
      <c r="D282" s="10"/>
      <c r="E282" s="72"/>
      <c r="F282" s="18"/>
      <c r="G282" s="10"/>
      <c r="H282" s="10"/>
      <c r="I282" s="10"/>
      <c r="J282" s="11"/>
      <c r="K282" s="11">
        <f t="shared" si="203"/>
        <v>0</v>
      </c>
      <c r="L282" s="37">
        <f t="shared" si="204"/>
        <v>0</v>
      </c>
      <c r="M282" s="11"/>
      <c r="N282" s="10"/>
      <c r="O282" s="21"/>
      <c r="P282" s="21"/>
      <c r="Q282" s="21"/>
      <c r="R282" s="23"/>
      <c r="S282" s="50"/>
      <c r="T282" s="48"/>
      <c r="U282" s="82"/>
      <c r="V282" s="26"/>
      <c r="W282" s="200"/>
      <c r="X282" s="17"/>
    </row>
    <row r="283" spans="2:24" x14ac:dyDescent="0.25">
      <c r="B283" s="17">
        <v>281</v>
      </c>
      <c r="C283" s="10"/>
      <c r="D283" s="10"/>
      <c r="E283" s="72"/>
      <c r="F283" s="18"/>
      <c r="G283" s="10"/>
      <c r="H283" s="10"/>
      <c r="I283" s="10"/>
      <c r="J283" s="11"/>
      <c r="K283" s="11">
        <f t="shared" si="203"/>
        <v>0</v>
      </c>
      <c r="L283" s="37">
        <f t="shared" si="204"/>
        <v>0</v>
      </c>
      <c r="M283" s="11"/>
      <c r="N283" s="10"/>
      <c r="O283" s="21"/>
      <c r="P283" s="21"/>
      <c r="Q283" s="21"/>
      <c r="R283" s="23"/>
      <c r="S283" s="50"/>
      <c r="T283" s="48"/>
      <c r="U283" s="82"/>
      <c r="V283" s="32"/>
      <c r="W283" s="200"/>
      <c r="X283" s="17"/>
    </row>
    <row r="284" spans="2:24" x14ac:dyDescent="0.25">
      <c r="B284" s="17">
        <v>282</v>
      </c>
      <c r="C284" s="10"/>
      <c r="D284" s="10"/>
      <c r="E284" s="72"/>
      <c r="F284" s="18"/>
      <c r="G284" s="10"/>
      <c r="H284" s="10"/>
      <c r="I284" s="10"/>
      <c r="J284" s="11"/>
      <c r="K284" s="11">
        <f t="shared" si="203"/>
        <v>0</v>
      </c>
      <c r="L284" s="37">
        <f t="shared" si="204"/>
        <v>0</v>
      </c>
      <c r="M284" s="11"/>
      <c r="N284" s="10"/>
      <c r="O284" s="21"/>
      <c r="P284" s="21"/>
      <c r="Q284" s="21"/>
      <c r="R284" s="23"/>
      <c r="S284" s="50"/>
      <c r="T284" s="48"/>
      <c r="U284" s="82"/>
      <c r="V284" s="32"/>
      <c r="W284" s="200"/>
      <c r="X284" s="17"/>
    </row>
    <row r="285" spans="2:24" x14ac:dyDescent="0.25">
      <c r="B285" s="17">
        <v>283</v>
      </c>
      <c r="C285" s="10"/>
      <c r="D285" s="10"/>
      <c r="E285" s="72"/>
      <c r="F285" s="18"/>
      <c r="G285" s="10"/>
      <c r="H285" s="10"/>
      <c r="I285" s="10"/>
      <c r="J285" s="11"/>
      <c r="K285" s="11">
        <f t="shared" ref="K285:K302" si="205">J285*1.1</f>
        <v>0</v>
      </c>
      <c r="L285" s="37">
        <f t="shared" ref="L285:L302" si="206">J285*0.00000001</f>
        <v>0</v>
      </c>
      <c r="M285" s="11"/>
      <c r="N285" s="10"/>
      <c r="O285" s="21"/>
      <c r="P285" s="21"/>
      <c r="R285" s="23"/>
      <c r="S285" s="50"/>
      <c r="T285" s="48"/>
      <c r="U285" s="82"/>
      <c r="V285" s="32"/>
      <c r="W285" s="200"/>
      <c r="X285" s="17"/>
    </row>
    <row r="286" spans="2:24" x14ac:dyDescent="0.25">
      <c r="B286" s="17">
        <v>284</v>
      </c>
      <c r="C286" s="10"/>
      <c r="D286" s="10"/>
      <c r="K286" s="11">
        <f t="shared" si="205"/>
        <v>0</v>
      </c>
      <c r="L286" s="37">
        <f t="shared" si="206"/>
        <v>0</v>
      </c>
      <c r="T286" s="56"/>
      <c r="U286" s="82"/>
      <c r="V286" s="84"/>
      <c r="W286" s="200"/>
      <c r="X286" s="17"/>
    </row>
    <row r="287" spans="2:24" x14ac:dyDescent="0.25">
      <c r="B287" s="17">
        <v>285</v>
      </c>
      <c r="C287" s="10"/>
      <c r="D287" s="10"/>
      <c r="K287" s="11">
        <f t="shared" si="205"/>
        <v>0</v>
      </c>
      <c r="L287" s="37">
        <f t="shared" si="206"/>
        <v>0</v>
      </c>
      <c r="T287" s="56"/>
      <c r="U287" s="82"/>
      <c r="V287" s="84"/>
      <c r="W287" s="200"/>
      <c r="X287" s="17"/>
    </row>
    <row r="288" spans="2:24" x14ac:dyDescent="0.25">
      <c r="B288" s="17">
        <v>286</v>
      </c>
      <c r="C288" s="10"/>
      <c r="D288" s="10"/>
      <c r="K288" s="11">
        <f t="shared" si="205"/>
        <v>0</v>
      </c>
      <c r="L288" s="37">
        <f t="shared" si="206"/>
        <v>0</v>
      </c>
      <c r="T288" s="56"/>
      <c r="U288" s="82"/>
      <c r="V288" s="84"/>
      <c r="W288" s="200"/>
      <c r="X288" s="17"/>
    </row>
    <row r="289" spans="2:24" x14ac:dyDescent="0.25">
      <c r="B289" s="17">
        <v>287</v>
      </c>
      <c r="C289" s="10"/>
      <c r="D289" s="10"/>
      <c r="K289" s="11">
        <f t="shared" si="205"/>
        <v>0</v>
      </c>
      <c r="L289" s="37">
        <f t="shared" si="206"/>
        <v>0</v>
      </c>
      <c r="T289" s="56"/>
      <c r="U289" s="82"/>
      <c r="V289" s="84"/>
      <c r="W289" s="200"/>
      <c r="X289" s="17"/>
    </row>
    <row r="290" spans="2:24" x14ac:dyDescent="0.25">
      <c r="B290" s="17">
        <v>288</v>
      </c>
      <c r="C290" s="10"/>
      <c r="D290" s="10"/>
      <c r="K290" s="11">
        <f t="shared" si="205"/>
        <v>0</v>
      </c>
      <c r="L290" s="37">
        <f t="shared" si="206"/>
        <v>0</v>
      </c>
      <c r="T290" s="56"/>
      <c r="U290" s="82"/>
      <c r="V290" s="84"/>
      <c r="W290" s="200"/>
      <c r="X290" s="17"/>
    </row>
    <row r="291" spans="2:24" x14ac:dyDescent="0.25">
      <c r="B291" s="17">
        <v>289</v>
      </c>
      <c r="C291" s="10"/>
      <c r="D291" s="10"/>
      <c r="K291" s="11">
        <f t="shared" si="205"/>
        <v>0</v>
      </c>
      <c r="L291" s="37">
        <f t="shared" si="206"/>
        <v>0</v>
      </c>
      <c r="T291" s="56"/>
      <c r="U291" s="82"/>
      <c r="V291" s="84"/>
      <c r="W291" s="200"/>
      <c r="X291" s="17"/>
    </row>
    <row r="292" spans="2:24" x14ac:dyDescent="0.25">
      <c r="B292" s="17">
        <v>290</v>
      </c>
      <c r="C292" s="10"/>
      <c r="D292" s="10"/>
      <c r="K292" s="11">
        <f t="shared" si="205"/>
        <v>0</v>
      </c>
      <c r="L292" s="37">
        <f t="shared" si="206"/>
        <v>0</v>
      </c>
      <c r="T292" s="56"/>
      <c r="U292" s="82"/>
      <c r="V292" s="84"/>
      <c r="W292" s="200"/>
      <c r="X292" s="17"/>
    </row>
    <row r="293" spans="2:24" x14ac:dyDescent="0.25">
      <c r="B293" s="17">
        <v>291</v>
      </c>
      <c r="C293" s="10"/>
      <c r="D293" s="10"/>
      <c r="K293" s="11">
        <f t="shared" si="205"/>
        <v>0</v>
      </c>
      <c r="L293" s="37">
        <f t="shared" si="206"/>
        <v>0</v>
      </c>
      <c r="T293" s="56"/>
      <c r="U293" s="82"/>
      <c r="V293" s="84"/>
      <c r="W293" s="200"/>
      <c r="X293" s="17"/>
    </row>
    <row r="294" spans="2:24" x14ac:dyDescent="0.25">
      <c r="B294" s="17">
        <v>292</v>
      </c>
      <c r="C294" s="10"/>
      <c r="D294" s="10"/>
      <c r="K294" s="11">
        <f t="shared" si="205"/>
        <v>0</v>
      </c>
      <c r="L294" s="37">
        <f t="shared" si="206"/>
        <v>0</v>
      </c>
      <c r="T294" s="56"/>
      <c r="U294" s="82"/>
      <c r="V294" s="84"/>
      <c r="W294" s="200"/>
      <c r="X294" s="17"/>
    </row>
    <row r="295" spans="2:24" x14ac:dyDescent="0.25">
      <c r="B295" s="17">
        <v>293</v>
      </c>
      <c r="C295" s="10"/>
      <c r="D295" s="10"/>
      <c r="K295" s="11">
        <f t="shared" si="205"/>
        <v>0</v>
      </c>
      <c r="L295" s="37">
        <f t="shared" si="206"/>
        <v>0</v>
      </c>
      <c r="T295" s="56"/>
      <c r="U295" s="82"/>
      <c r="V295" s="84"/>
      <c r="W295" s="200"/>
      <c r="X295" s="17"/>
    </row>
    <row r="296" spans="2:24" x14ac:dyDescent="0.25">
      <c r="B296" s="17">
        <v>294</v>
      </c>
      <c r="C296" s="10"/>
      <c r="D296" s="10"/>
      <c r="K296" s="11">
        <f t="shared" si="205"/>
        <v>0</v>
      </c>
      <c r="L296" s="37">
        <f t="shared" si="206"/>
        <v>0</v>
      </c>
      <c r="T296" s="56"/>
      <c r="U296" s="82"/>
      <c r="V296" s="84"/>
      <c r="W296" s="200"/>
      <c r="X296" s="17"/>
    </row>
    <row r="297" spans="2:24" x14ac:dyDescent="0.25">
      <c r="B297" s="17">
        <v>295</v>
      </c>
      <c r="C297" s="10"/>
      <c r="D297" s="10"/>
      <c r="K297" s="11">
        <f t="shared" si="205"/>
        <v>0</v>
      </c>
      <c r="L297" s="37">
        <f t="shared" si="206"/>
        <v>0</v>
      </c>
      <c r="T297" s="56"/>
      <c r="U297" s="82"/>
      <c r="V297" s="84"/>
      <c r="W297" s="200"/>
      <c r="X297" s="17"/>
    </row>
    <row r="298" spans="2:24" x14ac:dyDescent="0.25">
      <c r="B298" s="17">
        <v>296</v>
      </c>
      <c r="C298" s="10"/>
      <c r="D298" s="10"/>
      <c r="K298" s="11">
        <f t="shared" si="205"/>
        <v>0</v>
      </c>
      <c r="L298" s="37">
        <f t="shared" si="206"/>
        <v>0</v>
      </c>
      <c r="T298" s="56"/>
      <c r="U298" s="82"/>
      <c r="V298" s="84"/>
      <c r="W298" s="200"/>
      <c r="X298" s="17"/>
    </row>
    <row r="299" spans="2:24" x14ac:dyDescent="0.25">
      <c r="B299" s="17">
        <v>297</v>
      </c>
      <c r="C299" s="10"/>
      <c r="D299" s="10"/>
      <c r="K299" s="11">
        <f t="shared" si="205"/>
        <v>0</v>
      </c>
      <c r="L299" s="37">
        <f t="shared" si="206"/>
        <v>0</v>
      </c>
      <c r="T299" s="56"/>
      <c r="U299" s="82"/>
      <c r="V299" s="84"/>
      <c r="W299" s="200"/>
      <c r="X299" s="17"/>
    </row>
    <row r="300" spans="2:24" x14ac:dyDescent="0.25">
      <c r="B300" s="17">
        <v>298</v>
      </c>
      <c r="C300" s="10"/>
      <c r="D300" s="10"/>
      <c r="K300" s="11">
        <f t="shared" si="205"/>
        <v>0</v>
      </c>
      <c r="L300" s="37">
        <f t="shared" si="206"/>
        <v>0</v>
      </c>
      <c r="T300" s="56"/>
      <c r="U300" s="82"/>
      <c r="V300" s="84"/>
      <c r="W300" s="200"/>
      <c r="X300" s="17"/>
    </row>
    <row r="301" spans="2:24" x14ac:dyDescent="0.25">
      <c r="B301" s="17">
        <v>299</v>
      </c>
      <c r="C301" s="10"/>
      <c r="D301" s="10"/>
      <c r="K301" s="11">
        <f t="shared" si="205"/>
        <v>0</v>
      </c>
      <c r="L301" s="37">
        <f t="shared" si="206"/>
        <v>0</v>
      </c>
      <c r="T301" s="56"/>
      <c r="U301" s="82"/>
      <c r="V301" s="84"/>
      <c r="W301" s="200"/>
      <c r="X301" s="17"/>
    </row>
    <row r="302" spans="2:24" x14ac:dyDescent="0.25">
      <c r="B302" s="17">
        <v>300</v>
      </c>
      <c r="C302" s="10"/>
      <c r="D302" s="10"/>
      <c r="K302" s="11">
        <f t="shared" si="205"/>
        <v>0</v>
      </c>
      <c r="L302" s="37">
        <f t="shared" si="206"/>
        <v>0</v>
      </c>
      <c r="T302" s="56"/>
      <c r="U302" s="82"/>
      <c r="V302" s="84"/>
      <c r="W302" s="200"/>
      <c r="X302" s="17"/>
    </row>
    <row r="305" spans="17:17" x14ac:dyDescent="0.25">
      <c r="Q305" s="21"/>
    </row>
    <row r="306" spans="17:17" x14ac:dyDescent="0.25">
      <c r="Q306" s="21"/>
    </row>
    <row r="307" spans="17:17" x14ac:dyDescent="0.25">
      <c r="Q307" s="21"/>
    </row>
    <row r="308" spans="17:17" x14ac:dyDescent="0.25">
      <c r="Q308" s="21"/>
    </row>
    <row r="309" spans="17:17" x14ac:dyDescent="0.25">
      <c r="Q309" s="21"/>
    </row>
    <row r="310" spans="17:17" x14ac:dyDescent="0.25">
      <c r="Q310" s="21"/>
    </row>
    <row r="311" spans="17:17" x14ac:dyDescent="0.25">
      <c r="Q311" s="21"/>
    </row>
    <row r="312" spans="17:17" x14ac:dyDescent="0.25">
      <c r="Q312" s="21"/>
    </row>
    <row r="313" spans="17:17" x14ac:dyDescent="0.25">
      <c r="Q313" s="21"/>
    </row>
    <row r="314" spans="17:17" x14ac:dyDescent="0.25">
      <c r="Q314" s="21"/>
    </row>
    <row r="315" spans="17:17" x14ac:dyDescent="0.25">
      <c r="Q315" s="21"/>
    </row>
    <row r="316" spans="17:17" x14ac:dyDescent="0.25">
      <c r="Q316" s="21"/>
    </row>
    <row r="317" spans="17:17" x14ac:dyDescent="0.25">
      <c r="Q317" s="21"/>
    </row>
    <row r="318" spans="17:17" x14ac:dyDescent="0.25">
      <c r="Q318" s="21"/>
    </row>
  </sheetData>
  <autoFilter ref="B2:AV2" xr:uid="{00000000-0001-0000-0A00-000000000000}">
    <filterColumn colId="25" showButton="0"/>
  </autoFilter>
  <mergeCells count="15">
    <mergeCell ref="AA21:AA26"/>
    <mergeCell ref="AA27:AA32"/>
    <mergeCell ref="AA1:AR1"/>
    <mergeCell ref="AA2:AB2"/>
    <mergeCell ref="AA3:AA8"/>
    <mergeCell ref="AA9:AA14"/>
    <mergeCell ref="AA15:AA20"/>
    <mergeCell ref="AA69:AA74"/>
    <mergeCell ref="AA75:AB75"/>
    <mergeCell ref="AA33:AA38"/>
    <mergeCell ref="AA39:AA44"/>
    <mergeCell ref="AA45:AA50"/>
    <mergeCell ref="AA51:AA56"/>
    <mergeCell ref="AA57:AA62"/>
    <mergeCell ref="AA63:AA68"/>
  </mergeCells>
  <phoneticPr fontId="5" type="noConversion"/>
  <conditionalFormatting sqref="U1:U1048576">
    <cfRule type="cellIs" dxfId="11" priority="3" operator="equal">
      <formula>"마케팅"</formula>
    </cfRule>
  </conditionalFormatting>
  <conditionalFormatting sqref="W1:W1048576">
    <cfRule type="cellIs" dxfId="10" priority="1" operator="equal">
      <formula>"마케팅"</formula>
    </cfRule>
  </conditionalFormatting>
  <dataValidations count="7">
    <dataValidation type="list" allowBlank="1" showInputMessage="1" showErrorMessage="1" sqref="S3:S285" xr:uid="{00000000-0002-0000-0A00-000000000000}">
      <formula1>"(주)그랜드썬기술단, (주)그랜드썬,지에스피,유지에스"</formula1>
    </dataValidation>
    <dataValidation type="list" allowBlank="1" showInputMessage="1" showErrorMessage="1" sqref="U3:U285" xr:uid="{00000000-0002-0000-0A00-000001000000}">
      <formula1>"소개,그 외"</formula1>
    </dataValidation>
    <dataValidation type="list" allowBlank="1" showInputMessage="1" showErrorMessage="1" sqref="D3:D302" xr:uid="{00000000-0002-0000-0A00-000002000000}">
      <formula1>"기존시설물(A),일반부지(B),수면(C)"</formula1>
    </dataValidation>
    <dataValidation type="list" allowBlank="1" showInputMessage="1" showErrorMessage="1" sqref="C3:C302" xr:uid="{00000000-0002-0000-0A00-000003000000}">
      <formula1>"직영(가),외주(나),입찰(다),검토(라)"</formula1>
    </dataValidation>
    <dataValidation type="list" allowBlank="1" showInputMessage="1" showErrorMessage="1" sqref="W3:W302" xr:uid="{00000000-0002-0000-0A00-000004000000}">
      <formula1>"산단,공장,창고,축사,근생,자원순환,토지,업무시설"</formula1>
    </dataValidation>
    <dataValidation type="list" allowBlank="1" showInputMessage="1" showErrorMessage="1" sqref="X3:X302" xr:uid="{00000000-0002-0000-0A00-000005000000}">
      <formula1>"유지,보류,취소"</formula1>
    </dataValidation>
    <dataValidation type="list" allowBlank="1" showInputMessage="1" showErrorMessage="1" sqref="Q3:Q318" xr:uid="{D733C723-1C75-43E9-8E46-52AE13032B0C}">
      <formula1>"경기,강원,충남,충북,서울,인천,대전,세종,경남,경북,전남,전북,부산,대구,울산,제주,광주"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3" fitToHeight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AV318"/>
  <sheetViews>
    <sheetView zoomScale="85" zoomScaleNormal="85" workbookViewId="0">
      <pane ySplit="2" topLeftCell="A3" activePane="bottomLeft" state="frozen"/>
      <selection activeCell="O33" sqref="O33"/>
      <selection pane="bottomLeft" activeCell="F14" sqref="F14"/>
    </sheetView>
  </sheetViews>
  <sheetFormatPr defaultRowHeight="13.5" x14ac:dyDescent="0.25"/>
  <cols>
    <col min="1" max="1" width="3.7109375" customWidth="1"/>
    <col min="2" max="4" width="10.7109375" customWidth="1"/>
    <col min="5" max="5" width="10.7109375" style="75" customWidth="1"/>
    <col min="6" max="6" width="12.7109375" style="19" customWidth="1"/>
    <col min="7" max="8" width="10.7109375" customWidth="1"/>
    <col min="9" max="9" width="11.85546875" customWidth="1"/>
    <col min="10" max="11" width="15.7109375" style="6" customWidth="1"/>
    <col min="12" max="12" width="15.7109375" style="38" customWidth="1"/>
    <col min="13" max="13" width="15.7109375" style="6" customWidth="1"/>
    <col min="14" max="14" width="15.7109375" customWidth="1"/>
    <col min="15" max="15" width="21.42578125" customWidth="1"/>
    <col min="16" max="17" width="6" customWidth="1"/>
    <col min="18" max="18" width="38.42578125" style="22" customWidth="1"/>
    <col min="19" max="19" width="20.7109375" customWidth="1"/>
    <col min="20" max="20" width="13.42578125" customWidth="1"/>
    <col min="21" max="21" width="9.140625" style="34"/>
    <col min="22" max="22" width="47" style="7" customWidth="1"/>
    <col min="23" max="23" width="9.140625" style="34"/>
    <col min="29" max="29" width="11.140625" customWidth="1"/>
    <col min="30" max="34" width="11.7109375" customWidth="1"/>
    <col min="35" max="39" width="11.7109375" style="129" customWidth="1"/>
    <col min="40" max="44" width="11.7109375" customWidth="1"/>
  </cols>
  <sheetData>
    <row r="1" spans="2:48" ht="27" thickBot="1" x14ac:dyDescent="0.3">
      <c r="B1" s="33"/>
      <c r="C1" s="33"/>
      <c r="D1" s="33"/>
      <c r="E1" s="73"/>
      <c r="G1" s="8"/>
      <c r="H1" s="8"/>
      <c r="I1" s="24"/>
      <c r="J1" s="9"/>
      <c r="K1" s="9"/>
      <c r="L1" s="35"/>
      <c r="M1" s="9"/>
      <c r="U1" s="45"/>
      <c r="W1" s="45"/>
      <c r="AA1" s="423" t="s">
        <v>3</v>
      </c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5"/>
    </row>
    <row r="2" spans="2:48" ht="43.5" customHeight="1" thickTop="1" thickBot="1" x14ac:dyDescent="0.3">
      <c r="B2" s="16" t="s">
        <v>0</v>
      </c>
      <c r="C2" s="71" t="s">
        <v>90</v>
      </c>
      <c r="D2" s="71" t="s">
        <v>91</v>
      </c>
      <c r="E2" s="74" t="s">
        <v>92</v>
      </c>
      <c r="F2" s="20" t="s">
        <v>1</v>
      </c>
      <c r="G2" s="12" t="s">
        <v>22</v>
      </c>
      <c r="H2" s="12" t="s">
        <v>21</v>
      </c>
      <c r="I2" s="13" t="s">
        <v>2</v>
      </c>
      <c r="J2" s="14" t="s">
        <v>20</v>
      </c>
      <c r="K2" s="14" t="s">
        <v>4</v>
      </c>
      <c r="L2" s="36" t="s">
        <v>50</v>
      </c>
      <c r="M2" s="14" t="s">
        <v>29</v>
      </c>
      <c r="N2" s="12" t="s">
        <v>26</v>
      </c>
      <c r="O2" s="12" t="s">
        <v>28</v>
      </c>
      <c r="P2" s="12" t="s">
        <v>48</v>
      </c>
      <c r="Q2" s="12" t="s">
        <v>2158</v>
      </c>
      <c r="R2" s="12" t="s">
        <v>27</v>
      </c>
      <c r="S2" s="15" t="s">
        <v>5</v>
      </c>
      <c r="T2" s="25" t="s">
        <v>38</v>
      </c>
      <c r="U2" s="206" t="s">
        <v>54</v>
      </c>
      <c r="V2" s="16" t="s">
        <v>37</v>
      </c>
      <c r="W2" s="205" t="s">
        <v>256</v>
      </c>
      <c r="X2" s="108" t="s">
        <v>271</v>
      </c>
      <c r="AA2" s="420" t="s">
        <v>132</v>
      </c>
      <c r="AB2" s="421"/>
      <c r="AC2" s="111" t="s">
        <v>1</v>
      </c>
      <c r="AD2" s="112" t="s">
        <v>133</v>
      </c>
      <c r="AE2" s="113" t="s">
        <v>102</v>
      </c>
      <c r="AF2" s="113" t="s">
        <v>101</v>
      </c>
      <c r="AG2" s="113" t="s">
        <v>103</v>
      </c>
      <c r="AH2" s="114" t="s">
        <v>104</v>
      </c>
      <c r="AI2" s="117" t="s">
        <v>134</v>
      </c>
      <c r="AJ2" s="118" t="s">
        <v>102</v>
      </c>
      <c r="AK2" s="118" t="s">
        <v>101</v>
      </c>
      <c r="AL2" s="118" t="s">
        <v>103</v>
      </c>
      <c r="AM2" s="119" t="s">
        <v>104</v>
      </c>
      <c r="AN2" s="115" t="s">
        <v>135</v>
      </c>
      <c r="AO2" s="116" t="s">
        <v>102</v>
      </c>
      <c r="AP2" s="116" t="s">
        <v>101</v>
      </c>
      <c r="AQ2" s="116" t="s">
        <v>103</v>
      </c>
      <c r="AR2" s="116" t="s">
        <v>104</v>
      </c>
      <c r="AT2" s="151"/>
      <c r="AU2" s="152" t="s">
        <v>148</v>
      </c>
      <c r="AV2" s="153"/>
    </row>
    <row r="3" spans="2:48" s="10" customFormat="1" ht="13.5" customHeight="1" x14ac:dyDescent="0.25">
      <c r="B3" s="17">
        <v>1</v>
      </c>
      <c r="C3" s="10" t="s">
        <v>351</v>
      </c>
      <c r="D3" s="10" t="s">
        <v>140</v>
      </c>
      <c r="E3" s="72" t="s">
        <v>146</v>
      </c>
      <c r="F3" s="18" t="s">
        <v>1277</v>
      </c>
      <c r="G3" s="10">
        <v>8</v>
      </c>
      <c r="H3" s="10">
        <v>4</v>
      </c>
      <c r="I3" s="10">
        <v>718.18499999999995</v>
      </c>
      <c r="J3" s="11">
        <v>1060000000</v>
      </c>
      <c r="K3" s="11">
        <f t="shared" ref="K3:K4" si="0">J3*1.1</f>
        <v>1166000000</v>
      </c>
      <c r="L3" s="37">
        <f t="shared" ref="L3:L4" si="1">J3*0.00000001</f>
        <v>10.6</v>
      </c>
      <c r="M3" s="11" t="s">
        <v>55</v>
      </c>
      <c r="N3" s="10" t="s">
        <v>55</v>
      </c>
      <c r="O3" s="21" t="s">
        <v>1278</v>
      </c>
      <c r="P3" s="21"/>
      <c r="Q3" s="21" t="s">
        <v>2137</v>
      </c>
      <c r="R3" s="23" t="s">
        <v>1775</v>
      </c>
      <c r="S3" s="50" t="s">
        <v>81</v>
      </c>
      <c r="T3" s="86"/>
      <c r="U3" s="85" t="s">
        <v>197</v>
      </c>
      <c r="V3" s="299" t="s">
        <v>156</v>
      </c>
      <c r="W3" s="199" t="s">
        <v>258</v>
      </c>
      <c r="X3" s="208"/>
      <c r="Z3">
        <v>1</v>
      </c>
      <c r="AA3" s="415">
        <v>1</v>
      </c>
      <c r="AB3" s="94">
        <v>1</v>
      </c>
      <c r="AC3" s="100" t="s">
        <v>105</v>
      </c>
      <c r="AD3" s="41">
        <f>SUM(AE3:AH3)</f>
        <v>0</v>
      </c>
      <c r="AE3" s="70">
        <f>SUMIFS($I:$I,$C:$C, $AE$2,$G:$G,$Z3,$H:$H,$AB3)</f>
        <v>0</v>
      </c>
      <c r="AF3" s="70">
        <f>SUMIFS($I:$I,$C:$C, $AF$2,$G:$G,$Z3,$H:$H,$AB3)</f>
        <v>0</v>
      </c>
      <c r="AG3" s="70">
        <f>SUMIFS($I:$I,$C:$C, $AG$2,$G:$G,$Z3,$H:$H,$AB3)</f>
        <v>0</v>
      </c>
      <c r="AH3" s="109">
        <f>SUMIFS($I:$I,$C:$C, $AH$2,$G:$G,$Z3,$H:$H,$AB3)</f>
        <v>0</v>
      </c>
      <c r="AI3" s="120">
        <f>SUM(AJ3:AM3)</f>
        <v>0</v>
      </c>
      <c r="AJ3" s="121">
        <f>COUNTIFS($C:$C, $AJ$2,$G:$G,$Z3,$H:$H,$AB3)</f>
        <v>0</v>
      </c>
      <c r="AK3" s="121">
        <f>COUNTIFS($C:$C, $AK$2,$G:$G,$Z3,$H:$H,$AB3)</f>
        <v>0</v>
      </c>
      <c r="AL3" s="121">
        <f>COUNTIFS($C:$C, $AL$2,$G:$G,$Z3,$H:$H,$AB3)</f>
        <v>0</v>
      </c>
      <c r="AM3" s="122">
        <f>COUNTIFS($C:$C, $AM$2,$G:$G,$Z3,$H:$H,$AB3)</f>
        <v>0</v>
      </c>
      <c r="AN3" s="41">
        <f>SUM(AO3:AR3)</f>
        <v>0</v>
      </c>
      <c r="AO3" s="70">
        <f>SUMIFS($L:$L,$C:$C, $AO$2,$G:$G,$Z3,$H:$H,$AB3)</f>
        <v>0</v>
      </c>
      <c r="AP3" s="70">
        <f>SUMIFS($L:$L,$C:$C, $AP$2,$G:$G,$Z3,$H:$H,$AB3)</f>
        <v>0</v>
      </c>
      <c r="AQ3" s="70">
        <f>SUMIFS($L:$L,$C:$C, $AQ$2,$G:$G,$Z3,$H:$H,$AB3)</f>
        <v>0</v>
      </c>
      <c r="AR3" s="70">
        <f>SUMIFS($L:$L,$C:$C, $AR$2,$G:$G,$Z3,$H:$H,$AB3)</f>
        <v>0</v>
      </c>
      <c r="AT3" s="154" t="s">
        <v>149</v>
      </c>
      <c r="AU3" s="155" t="s">
        <v>150</v>
      </c>
      <c r="AV3" s="156" t="s">
        <v>151</v>
      </c>
    </row>
    <row r="4" spans="2:48" s="10" customFormat="1" ht="13.5" customHeight="1" x14ac:dyDescent="0.25">
      <c r="B4" s="17">
        <v>2</v>
      </c>
      <c r="C4" s="10" t="s">
        <v>351</v>
      </c>
      <c r="D4" s="10" t="s">
        <v>140</v>
      </c>
      <c r="E4" s="72" t="s">
        <v>147</v>
      </c>
      <c r="F4" s="18" t="s">
        <v>1276</v>
      </c>
      <c r="G4" s="10">
        <v>8</v>
      </c>
      <c r="H4" s="10">
        <v>4</v>
      </c>
      <c r="I4" s="10">
        <v>147.95500000000001</v>
      </c>
      <c r="J4" s="11">
        <v>157500000</v>
      </c>
      <c r="K4" s="11">
        <f t="shared" si="0"/>
        <v>173250000</v>
      </c>
      <c r="L4" s="37">
        <f t="shared" si="1"/>
        <v>1.575</v>
      </c>
      <c r="M4" s="11" t="s">
        <v>55</v>
      </c>
      <c r="N4" s="10" t="s">
        <v>55</v>
      </c>
      <c r="O4" s="21" t="s">
        <v>1279</v>
      </c>
      <c r="P4" s="21"/>
      <c r="Q4" s="21" t="s">
        <v>2142</v>
      </c>
      <c r="R4" s="23" t="s">
        <v>1281</v>
      </c>
      <c r="S4" s="50" t="s">
        <v>81</v>
      </c>
      <c r="T4" s="48"/>
      <c r="U4" s="81" t="s">
        <v>197</v>
      </c>
      <c r="V4" s="17" t="s">
        <v>156</v>
      </c>
      <c r="W4" s="200" t="s">
        <v>258</v>
      </c>
      <c r="X4" s="17"/>
      <c r="Z4">
        <v>1</v>
      </c>
      <c r="AA4" s="416"/>
      <c r="AB4" s="95">
        <v>2</v>
      </c>
      <c r="AC4" s="101" t="s">
        <v>61</v>
      </c>
      <c r="AD4" s="41">
        <f t="shared" ref="AD4:AD67" si="2">SUM(AE4:AH4)</f>
        <v>0</v>
      </c>
      <c r="AE4" s="70">
        <f t="shared" ref="AE4:AE67" si="3">SUMIFS($I:$I,$C:$C, $AE$2,$G:$G,$Z4,$H:$H,$AB4)</f>
        <v>0</v>
      </c>
      <c r="AF4" s="70">
        <f t="shared" ref="AF4:AF67" si="4">SUMIFS($I:$I,$C:$C, $AF$2,$G:$G,$Z4,$H:$H,$AB4)</f>
        <v>0</v>
      </c>
      <c r="AG4" s="70">
        <f t="shared" ref="AG4:AG67" si="5">SUMIFS($I:$I,$C:$C, $AG$2,$G:$G,$Z4,$H:$H,$AB4)</f>
        <v>0</v>
      </c>
      <c r="AH4" s="109">
        <f t="shared" ref="AH4:AH67" si="6">SUMIFS($I:$I,$C:$C, $AH$2,$G:$G,$Z4,$H:$H,$AB4)</f>
        <v>0</v>
      </c>
      <c r="AI4" s="120">
        <f t="shared" ref="AI4:AI67" si="7">SUM(AJ4:AM4)</f>
        <v>0</v>
      </c>
      <c r="AJ4" s="121">
        <f t="shared" ref="AJ4:AJ67" si="8">COUNTIFS($C:$C, $AJ$2,$G:$G,$Z4,$H:$H,$AB4)</f>
        <v>0</v>
      </c>
      <c r="AK4" s="121">
        <f t="shared" ref="AK4:AK67" si="9">COUNTIFS($C:$C, $AK$2,$G:$G,$Z4,$H:$H,$AB4)</f>
        <v>0</v>
      </c>
      <c r="AL4" s="121">
        <f t="shared" ref="AL4:AL67" si="10">COUNTIFS($C:$C, $AL$2,$G:$G,$Z4,$H:$H,$AB4)</f>
        <v>0</v>
      </c>
      <c r="AM4" s="122">
        <f t="shared" ref="AM4:AM67" si="11">COUNTIFS($C:$C, $AM$2,$G:$G,$Z4,$H:$H,$AB4)</f>
        <v>0</v>
      </c>
      <c r="AN4" s="41">
        <f t="shared" ref="AN4:AN67" si="12">SUM(AO4:AR4)</f>
        <v>0</v>
      </c>
      <c r="AO4" s="70">
        <f t="shared" ref="AO4:AO67" si="13">SUMIFS($L:$L,$C:$C, $AO$2,$G:$G,$Z4,$H:$H,$AB4)</f>
        <v>0</v>
      </c>
      <c r="AP4" s="70">
        <f t="shared" ref="AP4:AP67" si="14">SUMIFS($L:$L,$C:$C, $AP$2,$G:$G,$Z4,$H:$H,$AB4)</f>
        <v>0</v>
      </c>
      <c r="AQ4" s="70">
        <f t="shared" ref="AQ4:AQ67" si="15">SUMIFS($L:$L,$C:$C, $AQ$2,$G:$G,$Z4,$H:$H,$AB4)</f>
        <v>0</v>
      </c>
      <c r="AR4" s="70">
        <f t="shared" ref="AR4:AR67" si="16">SUMIFS($L:$L,$C:$C, $AR$2,$G:$G,$Z4,$H:$H,$AB4)</f>
        <v>0</v>
      </c>
      <c r="AT4" s="157">
        <v>1</v>
      </c>
      <c r="AU4" s="158">
        <f>COUNTIFS($U:$U,$AU$3,$G:$G,$AT4)</f>
        <v>0</v>
      </c>
      <c r="AV4" s="159">
        <f>COUNTIFS($U:$U,$AV$3,$G:$G,$AT4)</f>
        <v>0</v>
      </c>
    </row>
    <row r="5" spans="2:48" s="10" customFormat="1" ht="13.5" customHeight="1" x14ac:dyDescent="0.25">
      <c r="B5" s="17">
        <v>3</v>
      </c>
      <c r="C5" s="10" t="s">
        <v>351</v>
      </c>
      <c r="D5" s="10" t="s">
        <v>140</v>
      </c>
      <c r="E5" s="72" t="s">
        <v>200</v>
      </c>
      <c r="F5" s="18" t="s">
        <v>1276</v>
      </c>
      <c r="G5" s="10">
        <v>8</v>
      </c>
      <c r="H5" s="10">
        <v>4</v>
      </c>
      <c r="I5" s="10">
        <v>729.6</v>
      </c>
      <c r="J5" s="11">
        <v>663000000</v>
      </c>
      <c r="K5" s="11">
        <f t="shared" ref="K5:K67" si="17">J5*1.1</f>
        <v>729300000</v>
      </c>
      <c r="L5" s="37">
        <f t="shared" ref="L5:L67" si="18">J5*0.00000001</f>
        <v>6.63</v>
      </c>
      <c r="M5" s="11" t="s">
        <v>55</v>
      </c>
      <c r="N5" s="10" t="s">
        <v>55</v>
      </c>
      <c r="O5" s="21" t="s">
        <v>1280</v>
      </c>
      <c r="P5" s="21"/>
      <c r="Q5" s="21" t="s">
        <v>2142</v>
      </c>
      <c r="R5" s="23" t="s">
        <v>1282</v>
      </c>
      <c r="S5" s="50" t="s">
        <v>81</v>
      </c>
      <c r="T5" s="48"/>
      <c r="U5" s="81" t="s">
        <v>197</v>
      </c>
      <c r="V5" s="17" t="s">
        <v>1772</v>
      </c>
      <c r="W5" s="200" t="s">
        <v>259</v>
      </c>
      <c r="X5" s="17"/>
      <c r="Z5">
        <v>1</v>
      </c>
      <c r="AA5" s="416"/>
      <c r="AB5" s="95">
        <v>3</v>
      </c>
      <c r="AC5" s="102" t="s">
        <v>62</v>
      </c>
      <c r="AD5" s="41">
        <f t="shared" si="2"/>
        <v>0</v>
      </c>
      <c r="AE5" s="70">
        <f t="shared" si="3"/>
        <v>0</v>
      </c>
      <c r="AF5" s="70">
        <f t="shared" si="4"/>
        <v>0</v>
      </c>
      <c r="AG5" s="70">
        <f t="shared" si="5"/>
        <v>0</v>
      </c>
      <c r="AH5" s="109">
        <f t="shared" si="6"/>
        <v>0</v>
      </c>
      <c r="AI5" s="120">
        <f t="shared" si="7"/>
        <v>0</v>
      </c>
      <c r="AJ5" s="121">
        <f t="shared" si="8"/>
        <v>0</v>
      </c>
      <c r="AK5" s="121">
        <f t="shared" si="9"/>
        <v>0</v>
      </c>
      <c r="AL5" s="121">
        <f t="shared" si="10"/>
        <v>0</v>
      </c>
      <c r="AM5" s="122">
        <f t="shared" si="11"/>
        <v>0</v>
      </c>
      <c r="AN5" s="41">
        <f t="shared" si="12"/>
        <v>0</v>
      </c>
      <c r="AO5" s="70">
        <f t="shared" si="13"/>
        <v>0</v>
      </c>
      <c r="AP5" s="70">
        <f t="shared" si="14"/>
        <v>0</v>
      </c>
      <c r="AQ5" s="70">
        <f t="shared" si="15"/>
        <v>0</v>
      </c>
      <c r="AR5" s="70">
        <f t="shared" si="16"/>
        <v>0</v>
      </c>
      <c r="AT5" s="157">
        <v>2</v>
      </c>
      <c r="AU5" s="158">
        <f t="shared" ref="AU5:AU15" si="19">COUNTIFS($U:$U,$AU$3,$G:$G,$AT5)</f>
        <v>0</v>
      </c>
      <c r="AV5" s="159">
        <f t="shared" ref="AV5:AV15" si="20">COUNTIFS($U:$U,$AV$3,$G:$G,$AT5)</f>
        <v>0</v>
      </c>
    </row>
    <row r="6" spans="2:48" s="10" customFormat="1" ht="13.5" customHeight="1" x14ac:dyDescent="0.25">
      <c r="B6" s="17">
        <v>4</v>
      </c>
      <c r="C6" s="10" t="s">
        <v>351</v>
      </c>
      <c r="D6" s="10" t="s">
        <v>140</v>
      </c>
      <c r="E6" s="72" t="s">
        <v>141</v>
      </c>
      <c r="F6" s="18" t="s">
        <v>1670</v>
      </c>
      <c r="G6" s="10">
        <v>10</v>
      </c>
      <c r="H6" s="10">
        <v>3</v>
      </c>
      <c r="I6" s="10">
        <v>500.48</v>
      </c>
      <c r="J6" s="11">
        <v>520575000</v>
      </c>
      <c r="K6" s="11">
        <f t="shared" si="17"/>
        <v>572632500</v>
      </c>
      <c r="L6" s="37">
        <f t="shared" si="18"/>
        <v>5.2057500000000001</v>
      </c>
      <c r="M6" s="11" t="s">
        <v>55</v>
      </c>
      <c r="N6" s="10" t="s">
        <v>1309</v>
      </c>
      <c r="O6" s="21" t="s">
        <v>1773</v>
      </c>
      <c r="P6" s="21"/>
      <c r="Q6" s="21" t="s">
        <v>2149</v>
      </c>
      <c r="R6" s="23" t="s">
        <v>1774</v>
      </c>
      <c r="S6" s="50" t="s">
        <v>81</v>
      </c>
      <c r="T6" s="48"/>
      <c r="U6" s="81" t="s">
        <v>197</v>
      </c>
      <c r="V6" s="17" t="s">
        <v>1772</v>
      </c>
      <c r="W6" s="200" t="s">
        <v>258</v>
      </c>
      <c r="X6" s="17"/>
      <c r="Z6">
        <v>1</v>
      </c>
      <c r="AA6" s="416"/>
      <c r="AB6" s="95">
        <v>4</v>
      </c>
      <c r="AC6" s="102" t="s">
        <v>63</v>
      </c>
      <c r="AD6" s="41">
        <f t="shared" si="2"/>
        <v>0</v>
      </c>
      <c r="AE6" s="70">
        <f t="shared" si="3"/>
        <v>0</v>
      </c>
      <c r="AF6" s="70">
        <f t="shared" si="4"/>
        <v>0</v>
      </c>
      <c r="AG6" s="70">
        <f t="shared" si="5"/>
        <v>0</v>
      </c>
      <c r="AH6" s="109">
        <f t="shared" si="6"/>
        <v>0</v>
      </c>
      <c r="AI6" s="120">
        <f t="shared" si="7"/>
        <v>0</v>
      </c>
      <c r="AJ6" s="121">
        <f t="shared" si="8"/>
        <v>0</v>
      </c>
      <c r="AK6" s="121">
        <f t="shared" si="9"/>
        <v>0</v>
      </c>
      <c r="AL6" s="121">
        <f t="shared" si="10"/>
        <v>0</v>
      </c>
      <c r="AM6" s="122">
        <f t="shared" si="11"/>
        <v>0</v>
      </c>
      <c r="AN6" s="41">
        <f t="shared" si="12"/>
        <v>0</v>
      </c>
      <c r="AO6" s="70">
        <f t="shared" si="13"/>
        <v>0</v>
      </c>
      <c r="AP6" s="70">
        <f t="shared" si="14"/>
        <v>0</v>
      </c>
      <c r="AQ6" s="70">
        <f t="shared" si="15"/>
        <v>0</v>
      </c>
      <c r="AR6" s="70">
        <f t="shared" si="16"/>
        <v>0</v>
      </c>
      <c r="AT6" s="157">
        <v>3</v>
      </c>
      <c r="AU6" s="158">
        <f t="shared" si="19"/>
        <v>0</v>
      </c>
      <c r="AV6" s="159">
        <f t="shared" si="20"/>
        <v>0</v>
      </c>
    </row>
    <row r="7" spans="2:48" s="10" customFormat="1" ht="13.5" customHeight="1" x14ac:dyDescent="0.25">
      <c r="B7" s="17">
        <v>5</v>
      </c>
      <c r="C7" s="10" t="s">
        <v>351</v>
      </c>
      <c r="D7" s="10" t="s">
        <v>140</v>
      </c>
      <c r="E7" s="72" t="s">
        <v>220</v>
      </c>
      <c r="F7" s="18" t="s">
        <v>1794</v>
      </c>
      <c r="G7" s="10">
        <v>10</v>
      </c>
      <c r="H7" s="10">
        <v>4</v>
      </c>
      <c r="I7" s="10">
        <v>1478.4</v>
      </c>
      <c r="J7" s="11">
        <f>1735000000+189014027</f>
        <v>1924014027</v>
      </c>
      <c r="K7" s="11">
        <f t="shared" si="17"/>
        <v>2116415429.7000003</v>
      </c>
      <c r="L7" s="37">
        <f>J7*0.00000001</f>
        <v>19.240140270000001</v>
      </c>
      <c r="M7" s="11" t="s">
        <v>55</v>
      </c>
      <c r="N7" s="10" t="s">
        <v>55</v>
      </c>
      <c r="O7" s="21" t="s">
        <v>1801</v>
      </c>
      <c r="P7" s="21"/>
      <c r="Q7" s="21" t="s">
        <v>2142</v>
      </c>
      <c r="R7" s="23" t="s">
        <v>1803</v>
      </c>
      <c r="S7" s="50" t="s">
        <v>81</v>
      </c>
      <c r="T7" s="48"/>
      <c r="U7" s="81" t="s">
        <v>197</v>
      </c>
      <c r="V7" s="17" t="s">
        <v>156</v>
      </c>
      <c r="W7" s="200" t="s">
        <v>259</v>
      </c>
      <c r="X7" s="17"/>
      <c r="Z7">
        <v>1</v>
      </c>
      <c r="AA7" s="416"/>
      <c r="AB7" s="96">
        <v>5</v>
      </c>
      <c r="AC7" s="102" t="s">
        <v>64</v>
      </c>
      <c r="AD7" s="41">
        <f t="shared" si="2"/>
        <v>0</v>
      </c>
      <c r="AE7" s="70">
        <f t="shared" si="3"/>
        <v>0</v>
      </c>
      <c r="AF7" s="70">
        <f t="shared" si="4"/>
        <v>0</v>
      </c>
      <c r="AG7" s="70">
        <f t="shared" si="5"/>
        <v>0</v>
      </c>
      <c r="AH7" s="109">
        <f t="shared" si="6"/>
        <v>0</v>
      </c>
      <c r="AI7" s="120">
        <f t="shared" si="7"/>
        <v>0</v>
      </c>
      <c r="AJ7" s="121">
        <f t="shared" si="8"/>
        <v>0</v>
      </c>
      <c r="AK7" s="121">
        <f t="shared" si="9"/>
        <v>0</v>
      </c>
      <c r="AL7" s="121">
        <f t="shared" si="10"/>
        <v>0</v>
      </c>
      <c r="AM7" s="122">
        <f t="shared" si="11"/>
        <v>0</v>
      </c>
      <c r="AN7" s="41">
        <f t="shared" si="12"/>
        <v>0</v>
      </c>
      <c r="AO7" s="70">
        <f t="shared" si="13"/>
        <v>0</v>
      </c>
      <c r="AP7" s="70">
        <f t="shared" si="14"/>
        <v>0</v>
      </c>
      <c r="AQ7" s="70">
        <f t="shared" si="15"/>
        <v>0</v>
      </c>
      <c r="AR7" s="70">
        <f t="shared" si="16"/>
        <v>0</v>
      </c>
      <c r="AT7" s="157">
        <v>4</v>
      </c>
      <c r="AU7" s="158">
        <f t="shared" si="19"/>
        <v>0</v>
      </c>
      <c r="AV7" s="159">
        <f t="shared" si="20"/>
        <v>0</v>
      </c>
    </row>
    <row r="8" spans="2:48" s="10" customFormat="1" ht="13.5" customHeight="1" thickBot="1" x14ac:dyDescent="0.3">
      <c r="B8" s="17">
        <v>6</v>
      </c>
      <c r="C8" s="10" t="s">
        <v>351</v>
      </c>
      <c r="D8" s="10" t="s">
        <v>140</v>
      </c>
      <c r="E8" s="72" t="s">
        <v>225</v>
      </c>
      <c r="F8" s="18" t="s">
        <v>1794</v>
      </c>
      <c r="G8" s="10">
        <v>10</v>
      </c>
      <c r="H8" s="10">
        <v>4</v>
      </c>
      <c r="I8" s="10">
        <v>2207.36</v>
      </c>
      <c r="J8" s="11">
        <f>2427000000+259900000</f>
        <v>2686900000</v>
      </c>
      <c r="K8" s="11">
        <f t="shared" si="17"/>
        <v>2955590000.0000005</v>
      </c>
      <c r="L8" s="37">
        <f t="shared" si="18"/>
        <v>26.869</v>
      </c>
      <c r="M8" s="11" t="s">
        <v>55</v>
      </c>
      <c r="N8" s="10" t="s">
        <v>55</v>
      </c>
      <c r="O8" s="21" t="s">
        <v>1802</v>
      </c>
      <c r="P8" s="21"/>
      <c r="Q8" s="21" t="s">
        <v>2142</v>
      </c>
      <c r="R8" s="23" t="s">
        <v>1804</v>
      </c>
      <c r="S8" s="50" t="s">
        <v>81</v>
      </c>
      <c r="T8" s="48"/>
      <c r="U8" s="81" t="s">
        <v>197</v>
      </c>
      <c r="V8" s="17" t="s">
        <v>156</v>
      </c>
      <c r="W8" s="200" t="s">
        <v>258</v>
      </c>
      <c r="X8" s="17"/>
      <c r="Z8">
        <v>1</v>
      </c>
      <c r="AA8" s="417"/>
      <c r="AB8" s="97" t="s">
        <v>3</v>
      </c>
      <c r="AC8" s="103"/>
      <c r="AD8" s="99">
        <f>SUM(AD3:AD7)</f>
        <v>0</v>
      </c>
      <c r="AE8" s="99">
        <f t="shared" ref="AE8" si="21">SUM(AE3:AE7)</f>
        <v>0</v>
      </c>
      <c r="AF8" s="99">
        <f t="shared" ref="AF8" si="22">SUM(AF3:AF7)</f>
        <v>0</v>
      </c>
      <c r="AG8" s="99">
        <f t="shared" ref="AG8" si="23">SUM(AG3:AG7)</f>
        <v>0</v>
      </c>
      <c r="AH8" s="110">
        <f t="shared" ref="AH8" si="24">SUM(AH3:AH7)</f>
        <v>0</v>
      </c>
      <c r="AI8" s="123">
        <f t="shared" ref="AI8" si="25">SUM(AI3:AI7)</f>
        <v>0</v>
      </c>
      <c r="AJ8" s="124">
        <f t="shared" ref="AJ8" si="26">SUM(AJ3:AJ7)</f>
        <v>0</v>
      </c>
      <c r="AK8" s="124">
        <f t="shared" ref="AK8" si="27">SUM(AK3:AK7)</f>
        <v>0</v>
      </c>
      <c r="AL8" s="124">
        <f t="shared" ref="AL8" si="28">SUM(AL3:AL7)</f>
        <v>0</v>
      </c>
      <c r="AM8" s="125">
        <f t="shared" ref="AM8" si="29">SUM(AM3:AM7)</f>
        <v>0</v>
      </c>
      <c r="AN8" s="99">
        <f t="shared" ref="AN8" si="30">SUM(AN3:AN7)</f>
        <v>0</v>
      </c>
      <c r="AO8" s="99">
        <f t="shared" ref="AO8" si="31">SUM(AO3:AO7)</f>
        <v>0</v>
      </c>
      <c r="AP8" s="99">
        <f t="shared" ref="AP8" si="32">SUM(AP3:AP7)</f>
        <v>0</v>
      </c>
      <c r="AQ8" s="99">
        <f t="shared" ref="AQ8" si="33">SUM(AQ3:AQ7)</f>
        <v>0</v>
      </c>
      <c r="AR8" s="99">
        <f t="shared" ref="AR8" si="34">SUM(AR3:AR7)</f>
        <v>0</v>
      </c>
      <c r="AT8" s="157">
        <v>5</v>
      </c>
      <c r="AU8" s="158">
        <f t="shared" si="19"/>
        <v>0</v>
      </c>
      <c r="AV8" s="159">
        <f t="shared" si="20"/>
        <v>0</v>
      </c>
    </row>
    <row r="9" spans="2:48" s="10" customFormat="1" ht="13.5" customHeight="1" x14ac:dyDescent="0.25">
      <c r="B9" s="17">
        <v>7</v>
      </c>
      <c r="C9" s="10" t="s">
        <v>351</v>
      </c>
      <c r="D9" s="10" t="s">
        <v>303</v>
      </c>
      <c r="E9" s="72" t="s">
        <v>141</v>
      </c>
      <c r="F9" s="18" t="s">
        <v>1943</v>
      </c>
      <c r="G9" s="10">
        <v>11</v>
      </c>
      <c r="H9" s="10">
        <v>1</v>
      </c>
      <c r="I9" s="10">
        <v>1132.8</v>
      </c>
      <c r="J9" s="11">
        <v>1778000000</v>
      </c>
      <c r="K9" s="11">
        <f t="shared" si="17"/>
        <v>1955800000.0000002</v>
      </c>
      <c r="L9" s="37">
        <f t="shared" si="18"/>
        <v>17.78</v>
      </c>
      <c r="M9" s="11" t="s">
        <v>55</v>
      </c>
      <c r="N9" s="10" t="s">
        <v>1993</v>
      </c>
      <c r="O9" s="21" t="s">
        <v>1994</v>
      </c>
      <c r="P9" s="21"/>
      <c r="Q9" s="21" t="s">
        <v>2153</v>
      </c>
      <c r="R9" s="23" t="s">
        <v>1997</v>
      </c>
      <c r="S9" s="50" t="s">
        <v>81</v>
      </c>
      <c r="T9" s="48"/>
      <c r="U9" s="81" t="s">
        <v>197</v>
      </c>
      <c r="V9" s="17" t="s">
        <v>156</v>
      </c>
      <c r="W9" s="200"/>
      <c r="X9" s="17"/>
      <c r="Z9">
        <v>2</v>
      </c>
      <c r="AA9" s="415">
        <v>2</v>
      </c>
      <c r="AB9" s="94">
        <v>1</v>
      </c>
      <c r="AC9" s="104" t="s">
        <v>106</v>
      </c>
      <c r="AD9" s="41">
        <f t="shared" si="2"/>
        <v>0</v>
      </c>
      <c r="AE9" s="70">
        <f t="shared" si="3"/>
        <v>0</v>
      </c>
      <c r="AF9" s="70">
        <f t="shared" si="4"/>
        <v>0</v>
      </c>
      <c r="AG9" s="70">
        <f t="shared" si="5"/>
        <v>0</v>
      </c>
      <c r="AH9" s="109">
        <f t="shared" si="6"/>
        <v>0</v>
      </c>
      <c r="AI9" s="120">
        <f t="shared" si="7"/>
        <v>0</v>
      </c>
      <c r="AJ9" s="121">
        <f t="shared" si="8"/>
        <v>0</v>
      </c>
      <c r="AK9" s="121">
        <f t="shared" si="9"/>
        <v>0</v>
      </c>
      <c r="AL9" s="121">
        <f t="shared" si="10"/>
        <v>0</v>
      </c>
      <c r="AM9" s="122">
        <f t="shared" si="11"/>
        <v>0</v>
      </c>
      <c r="AN9" s="41">
        <f t="shared" si="12"/>
        <v>0</v>
      </c>
      <c r="AO9" s="70">
        <f t="shared" si="13"/>
        <v>0</v>
      </c>
      <c r="AP9" s="70">
        <f t="shared" si="14"/>
        <v>0</v>
      </c>
      <c r="AQ9" s="70">
        <f t="shared" si="15"/>
        <v>0</v>
      </c>
      <c r="AR9" s="70">
        <f t="shared" si="16"/>
        <v>0</v>
      </c>
      <c r="AT9" s="157">
        <v>6</v>
      </c>
      <c r="AU9" s="158">
        <f t="shared" si="19"/>
        <v>0</v>
      </c>
      <c r="AV9" s="159">
        <f t="shared" si="20"/>
        <v>0</v>
      </c>
    </row>
    <row r="10" spans="2:48" s="10" customFormat="1" ht="13.5" customHeight="1" x14ac:dyDescent="0.25">
      <c r="B10" s="17">
        <v>8</v>
      </c>
      <c r="C10" s="10" t="s">
        <v>351</v>
      </c>
      <c r="D10" s="10" t="s">
        <v>140</v>
      </c>
      <c r="E10" s="72" t="s">
        <v>235</v>
      </c>
      <c r="F10" s="18" t="s">
        <v>1943</v>
      </c>
      <c r="G10" s="10">
        <v>11</v>
      </c>
      <c r="H10" s="10">
        <v>1</v>
      </c>
      <c r="I10" s="10">
        <v>2000</v>
      </c>
      <c r="J10" s="11">
        <v>2962000000</v>
      </c>
      <c r="K10" s="11">
        <f t="shared" si="17"/>
        <v>3258200000.0000005</v>
      </c>
      <c r="L10" s="37">
        <f t="shared" si="18"/>
        <v>29.62</v>
      </c>
      <c r="M10" s="11" t="s">
        <v>55</v>
      </c>
      <c r="N10" s="10" t="s">
        <v>1993</v>
      </c>
      <c r="O10" s="21" t="s">
        <v>1995</v>
      </c>
      <c r="P10" s="21"/>
      <c r="Q10" s="21" t="s">
        <v>2153</v>
      </c>
      <c r="R10" s="23" t="s">
        <v>1996</v>
      </c>
      <c r="S10" s="50" t="s">
        <v>81</v>
      </c>
      <c r="T10" s="48"/>
      <c r="U10" s="81" t="s">
        <v>197</v>
      </c>
      <c r="V10" s="17" t="s">
        <v>156</v>
      </c>
      <c r="W10" s="200"/>
      <c r="X10" s="17"/>
      <c r="Z10">
        <v>2</v>
      </c>
      <c r="AA10" s="416"/>
      <c r="AB10" s="95">
        <v>2</v>
      </c>
      <c r="AC10" s="102" t="s">
        <v>65</v>
      </c>
      <c r="AD10" s="41">
        <f t="shared" si="2"/>
        <v>0</v>
      </c>
      <c r="AE10" s="70">
        <f t="shared" si="3"/>
        <v>0</v>
      </c>
      <c r="AF10" s="70">
        <f t="shared" si="4"/>
        <v>0</v>
      </c>
      <c r="AG10" s="70">
        <f t="shared" si="5"/>
        <v>0</v>
      </c>
      <c r="AH10" s="109">
        <f t="shared" si="6"/>
        <v>0</v>
      </c>
      <c r="AI10" s="120">
        <f t="shared" si="7"/>
        <v>0</v>
      </c>
      <c r="AJ10" s="121">
        <f t="shared" si="8"/>
        <v>0</v>
      </c>
      <c r="AK10" s="121">
        <f t="shared" si="9"/>
        <v>0</v>
      </c>
      <c r="AL10" s="121">
        <f t="shared" si="10"/>
        <v>0</v>
      </c>
      <c r="AM10" s="122">
        <f t="shared" si="11"/>
        <v>0</v>
      </c>
      <c r="AN10" s="41">
        <f t="shared" si="12"/>
        <v>0</v>
      </c>
      <c r="AO10" s="70">
        <f t="shared" si="13"/>
        <v>0</v>
      </c>
      <c r="AP10" s="70">
        <f t="shared" si="14"/>
        <v>0</v>
      </c>
      <c r="AQ10" s="70">
        <f t="shared" si="15"/>
        <v>0</v>
      </c>
      <c r="AR10" s="70">
        <f t="shared" si="16"/>
        <v>0</v>
      </c>
      <c r="AT10" s="157">
        <v>7</v>
      </c>
      <c r="AU10" s="158">
        <f t="shared" si="19"/>
        <v>0</v>
      </c>
      <c r="AV10" s="159">
        <f t="shared" si="20"/>
        <v>0</v>
      </c>
    </row>
    <row r="11" spans="2:48" s="10" customFormat="1" ht="13.5" customHeight="1" x14ac:dyDescent="0.25">
      <c r="B11" s="17">
        <v>9</v>
      </c>
      <c r="C11" s="10" t="s">
        <v>351</v>
      </c>
      <c r="D11" s="10" t="s">
        <v>303</v>
      </c>
      <c r="E11" s="72" t="s">
        <v>146</v>
      </c>
      <c r="F11" s="18" t="s">
        <v>2301</v>
      </c>
      <c r="G11" s="10">
        <v>12</v>
      </c>
      <c r="H11" s="10">
        <v>4</v>
      </c>
      <c r="I11" s="10">
        <v>499.2</v>
      </c>
      <c r="J11" s="11">
        <v>778000000</v>
      </c>
      <c r="K11" s="11">
        <f t="shared" si="17"/>
        <v>855800000.00000012</v>
      </c>
      <c r="L11" s="37">
        <f t="shared" si="18"/>
        <v>7.78</v>
      </c>
      <c r="M11" s="11" t="s">
        <v>55</v>
      </c>
      <c r="N11" s="10" t="s">
        <v>1309</v>
      </c>
      <c r="O11" s="21" t="s">
        <v>2302</v>
      </c>
      <c r="P11" s="21"/>
      <c r="Q11" s="21" t="s">
        <v>2143</v>
      </c>
      <c r="R11" s="23" t="s">
        <v>2303</v>
      </c>
      <c r="S11" s="50" t="s">
        <v>81</v>
      </c>
      <c r="T11" s="48"/>
      <c r="U11" s="81" t="s">
        <v>197</v>
      </c>
      <c r="V11" s="17" t="s">
        <v>156</v>
      </c>
      <c r="W11" s="200"/>
      <c r="X11" s="17"/>
      <c r="Z11">
        <v>2</v>
      </c>
      <c r="AA11" s="416"/>
      <c r="AB11" s="95">
        <v>3</v>
      </c>
      <c r="AC11" s="102" t="s">
        <v>66</v>
      </c>
      <c r="AD11" s="41">
        <f t="shared" si="2"/>
        <v>0</v>
      </c>
      <c r="AE11" s="70">
        <f t="shared" si="3"/>
        <v>0</v>
      </c>
      <c r="AF11" s="70">
        <f t="shared" si="4"/>
        <v>0</v>
      </c>
      <c r="AG11" s="70">
        <f t="shared" si="5"/>
        <v>0</v>
      </c>
      <c r="AH11" s="109">
        <f t="shared" si="6"/>
        <v>0</v>
      </c>
      <c r="AI11" s="120">
        <f t="shared" si="7"/>
        <v>0</v>
      </c>
      <c r="AJ11" s="121">
        <f t="shared" si="8"/>
        <v>0</v>
      </c>
      <c r="AK11" s="121">
        <f t="shared" si="9"/>
        <v>0</v>
      </c>
      <c r="AL11" s="121">
        <f t="shared" si="10"/>
        <v>0</v>
      </c>
      <c r="AM11" s="122">
        <f t="shared" si="11"/>
        <v>0</v>
      </c>
      <c r="AN11" s="41">
        <f t="shared" si="12"/>
        <v>0</v>
      </c>
      <c r="AO11" s="70">
        <f t="shared" si="13"/>
        <v>0</v>
      </c>
      <c r="AP11" s="70">
        <f t="shared" si="14"/>
        <v>0</v>
      </c>
      <c r="AQ11" s="70">
        <f t="shared" si="15"/>
        <v>0</v>
      </c>
      <c r="AR11" s="70">
        <f t="shared" si="16"/>
        <v>0</v>
      </c>
      <c r="AT11" s="157">
        <v>8</v>
      </c>
      <c r="AU11" s="158">
        <f t="shared" si="19"/>
        <v>3</v>
      </c>
      <c r="AV11" s="159">
        <f t="shared" si="20"/>
        <v>0</v>
      </c>
    </row>
    <row r="12" spans="2:48" s="10" customFormat="1" ht="13.5" customHeight="1" x14ac:dyDescent="0.25">
      <c r="B12" s="17">
        <v>10</v>
      </c>
      <c r="E12" s="72"/>
      <c r="F12" s="18"/>
      <c r="J12" s="11"/>
      <c r="K12" s="11">
        <f t="shared" si="17"/>
        <v>0</v>
      </c>
      <c r="L12" s="37">
        <f t="shared" si="18"/>
        <v>0</v>
      </c>
      <c r="M12" s="11"/>
      <c r="O12" s="21"/>
      <c r="P12" s="21"/>
      <c r="Q12" s="21"/>
      <c r="R12" s="23"/>
      <c r="S12" s="50"/>
      <c r="T12" s="48"/>
      <c r="U12" s="81"/>
      <c r="V12" s="26"/>
      <c r="W12" s="200"/>
      <c r="X12" s="17"/>
      <c r="Z12">
        <v>2</v>
      </c>
      <c r="AA12" s="416"/>
      <c r="AB12" s="95">
        <v>4</v>
      </c>
      <c r="AC12" s="102" t="s">
        <v>67</v>
      </c>
      <c r="AD12" s="41">
        <f t="shared" si="2"/>
        <v>0</v>
      </c>
      <c r="AE12" s="70">
        <f t="shared" si="3"/>
        <v>0</v>
      </c>
      <c r="AF12" s="70">
        <f t="shared" si="4"/>
        <v>0</v>
      </c>
      <c r="AG12" s="70">
        <f t="shared" si="5"/>
        <v>0</v>
      </c>
      <c r="AH12" s="109">
        <f t="shared" si="6"/>
        <v>0</v>
      </c>
      <c r="AI12" s="120">
        <f t="shared" si="7"/>
        <v>0</v>
      </c>
      <c r="AJ12" s="121">
        <f t="shared" si="8"/>
        <v>0</v>
      </c>
      <c r="AK12" s="121">
        <f t="shared" si="9"/>
        <v>0</v>
      </c>
      <c r="AL12" s="121">
        <f t="shared" si="10"/>
        <v>0</v>
      </c>
      <c r="AM12" s="122">
        <f t="shared" si="11"/>
        <v>0</v>
      </c>
      <c r="AN12" s="41">
        <f t="shared" si="12"/>
        <v>0</v>
      </c>
      <c r="AO12" s="70">
        <f t="shared" si="13"/>
        <v>0</v>
      </c>
      <c r="AP12" s="70">
        <f t="shared" si="14"/>
        <v>0</v>
      </c>
      <c r="AQ12" s="70">
        <f t="shared" si="15"/>
        <v>0</v>
      </c>
      <c r="AR12" s="70">
        <f t="shared" si="16"/>
        <v>0</v>
      </c>
      <c r="AT12" s="157">
        <v>9</v>
      </c>
      <c r="AU12" s="158">
        <f t="shared" si="19"/>
        <v>0</v>
      </c>
      <c r="AV12" s="159">
        <f t="shared" si="20"/>
        <v>0</v>
      </c>
    </row>
    <row r="13" spans="2:48" s="10" customFormat="1" ht="13.5" customHeight="1" x14ac:dyDescent="0.25">
      <c r="B13" s="17">
        <v>11</v>
      </c>
      <c r="E13" s="72"/>
      <c r="F13" s="18"/>
      <c r="J13" s="11"/>
      <c r="K13" s="11">
        <f t="shared" si="17"/>
        <v>0</v>
      </c>
      <c r="L13" s="37">
        <f t="shared" si="18"/>
        <v>0</v>
      </c>
      <c r="M13" s="11"/>
      <c r="O13" s="21"/>
      <c r="P13" s="21"/>
      <c r="Q13" s="21"/>
      <c r="R13" s="23"/>
      <c r="S13" s="50"/>
      <c r="T13" s="48"/>
      <c r="U13" s="81"/>
      <c r="V13" s="26"/>
      <c r="W13" s="200"/>
      <c r="X13" s="17"/>
      <c r="Z13">
        <v>2</v>
      </c>
      <c r="AA13" s="416"/>
      <c r="AB13" s="96">
        <v>5</v>
      </c>
      <c r="AC13" s="102"/>
      <c r="AD13" s="41">
        <f t="shared" si="2"/>
        <v>0</v>
      </c>
      <c r="AE13" s="70">
        <f t="shared" si="3"/>
        <v>0</v>
      </c>
      <c r="AF13" s="70">
        <f t="shared" si="4"/>
        <v>0</v>
      </c>
      <c r="AG13" s="70">
        <f t="shared" si="5"/>
        <v>0</v>
      </c>
      <c r="AH13" s="109">
        <f t="shared" si="6"/>
        <v>0</v>
      </c>
      <c r="AI13" s="120">
        <f t="shared" si="7"/>
        <v>0</v>
      </c>
      <c r="AJ13" s="121">
        <f t="shared" si="8"/>
        <v>0</v>
      </c>
      <c r="AK13" s="121">
        <f t="shared" si="9"/>
        <v>0</v>
      </c>
      <c r="AL13" s="121">
        <f t="shared" si="10"/>
        <v>0</v>
      </c>
      <c r="AM13" s="122">
        <f t="shared" si="11"/>
        <v>0</v>
      </c>
      <c r="AN13" s="41">
        <f t="shared" si="12"/>
        <v>0</v>
      </c>
      <c r="AO13" s="70">
        <f t="shared" si="13"/>
        <v>0</v>
      </c>
      <c r="AP13" s="70">
        <f t="shared" si="14"/>
        <v>0</v>
      </c>
      <c r="AQ13" s="70">
        <f t="shared" si="15"/>
        <v>0</v>
      </c>
      <c r="AR13" s="70">
        <f t="shared" si="16"/>
        <v>0</v>
      </c>
      <c r="AT13" s="157">
        <v>10</v>
      </c>
      <c r="AU13" s="158">
        <f t="shared" si="19"/>
        <v>3</v>
      </c>
      <c r="AV13" s="159">
        <f t="shared" si="20"/>
        <v>0</v>
      </c>
    </row>
    <row r="14" spans="2:48" s="10" customFormat="1" ht="13.5" customHeight="1" thickBot="1" x14ac:dyDescent="0.3">
      <c r="B14" s="17">
        <v>12</v>
      </c>
      <c r="E14" s="72"/>
      <c r="F14" s="18"/>
      <c r="J14" s="11"/>
      <c r="K14" s="11">
        <f t="shared" si="17"/>
        <v>0</v>
      </c>
      <c r="L14" s="37">
        <f t="shared" si="18"/>
        <v>0</v>
      </c>
      <c r="M14" s="11"/>
      <c r="O14" s="21"/>
      <c r="P14" s="21"/>
      <c r="Q14" s="21"/>
      <c r="R14" s="23"/>
      <c r="S14" s="50"/>
      <c r="T14" s="48"/>
      <c r="U14" s="81"/>
      <c r="V14" s="31"/>
      <c r="W14" s="200"/>
      <c r="X14" s="17"/>
      <c r="Z14">
        <v>2</v>
      </c>
      <c r="AA14" s="417"/>
      <c r="AB14" s="97" t="s">
        <v>3</v>
      </c>
      <c r="AC14" s="103"/>
      <c r="AD14" s="99">
        <f>SUM(AD9:AD13)</f>
        <v>0</v>
      </c>
      <c r="AE14" s="99">
        <f t="shared" ref="AE14" si="35">SUM(AE9:AE13)</f>
        <v>0</v>
      </c>
      <c r="AF14" s="99">
        <f t="shared" ref="AF14" si="36">SUM(AF9:AF13)</f>
        <v>0</v>
      </c>
      <c r="AG14" s="99">
        <f t="shared" ref="AG14" si="37">SUM(AG9:AG13)</f>
        <v>0</v>
      </c>
      <c r="AH14" s="110">
        <f t="shared" ref="AH14" si="38">SUM(AH9:AH13)</f>
        <v>0</v>
      </c>
      <c r="AI14" s="123">
        <f t="shared" ref="AI14" si="39">SUM(AI9:AI13)</f>
        <v>0</v>
      </c>
      <c r="AJ14" s="124">
        <f t="shared" ref="AJ14" si="40">SUM(AJ9:AJ13)</f>
        <v>0</v>
      </c>
      <c r="AK14" s="124">
        <f t="shared" ref="AK14" si="41">SUM(AK9:AK13)</f>
        <v>0</v>
      </c>
      <c r="AL14" s="124">
        <f t="shared" ref="AL14" si="42">SUM(AL9:AL13)</f>
        <v>0</v>
      </c>
      <c r="AM14" s="125">
        <f t="shared" ref="AM14" si="43">SUM(AM9:AM13)</f>
        <v>0</v>
      </c>
      <c r="AN14" s="99">
        <f t="shared" ref="AN14" si="44">SUM(AN9:AN13)</f>
        <v>0</v>
      </c>
      <c r="AO14" s="99">
        <f t="shared" ref="AO14" si="45">SUM(AO9:AO13)</f>
        <v>0</v>
      </c>
      <c r="AP14" s="99">
        <f t="shared" ref="AP14" si="46">SUM(AP9:AP13)</f>
        <v>0</v>
      </c>
      <c r="AQ14" s="99">
        <f t="shared" ref="AQ14" si="47">SUM(AQ9:AQ13)</f>
        <v>0</v>
      </c>
      <c r="AR14" s="99">
        <f t="shared" ref="AR14" si="48">SUM(AR9:AR13)</f>
        <v>0</v>
      </c>
      <c r="AT14" s="157">
        <v>11</v>
      </c>
      <c r="AU14" s="158">
        <f t="shared" si="19"/>
        <v>2</v>
      </c>
      <c r="AV14" s="159">
        <f t="shared" si="20"/>
        <v>0</v>
      </c>
    </row>
    <row r="15" spans="2:48" s="10" customFormat="1" ht="13.5" customHeight="1" thickBot="1" x14ac:dyDescent="0.3">
      <c r="B15" s="17">
        <v>13</v>
      </c>
      <c r="E15" s="72"/>
      <c r="F15" s="18"/>
      <c r="J15" s="11"/>
      <c r="K15" s="11">
        <f t="shared" si="17"/>
        <v>0</v>
      </c>
      <c r="L15" s="37">
        <f t="shared" si="18"/>
        <v>0</v>
      </c>
      <c r="M15" s="11"/>
      <c r="O15" s="21"/>
      <c r="P15" s="21"/>
      <c r="Q15" s="21"/>
      <c r="R15" s="23"/>
      <c r="S15" s="50"/>
      <c r="T15" s="48"/>
      <c r="U15" s="81"/>
      <c r="V15" s="32"/>
      <c r="W15" s="200"/>
      <c r="X15" s="17"/>
      <c r="Z15">
        <v>3</v>
      </c>
      <c r="AA15" s="415">
        <v>3</v>
      </c>
      <c r="AB15" s="94">
        <v>1</v>
      </c>
      <c r="AC15" s="100" t="s">
        <v>107</v>
      </c>
      <c r="AD15" s="41">
        <f t="shared" si="2"/>
        <v>0</v>
      </c>
      <c r="AE15" s="70">
        <f t="shared" si="3"/>
        <v>0</v>
      </c>
      <c r="AF15" s="70">
        <f t="shared" si="4"/>
        <v>0</v>
      </c>
      <c r="AG15" s="70">
        <f t="shared" si="5"/>
        <v>0</v>
      </c>
      <c r="AH15" s="109">
        <f t="shared" si="6"/>
        <v>0</v>
      </c>
      <c r="AI15" s="120">
        <f t="shared" si="7"/>
        <v>0</v>
      </c>
      <c r="AJ15" s="121">
        <f t="shared" si="8"/>
        <v>0</v>
      </c>
      <c r="AK15" s="121">
        <f t="shared" si="9"/>
        <v>0</v>
      </c>
      <c r="AL15" s="121">
        <f t="shared" si="10"/>
        <v>0</v>
      </c>
      <c r="AM15" s="122">
        <f t="shared" si="11"/>
        <v>0</v>
      </c>
      <c r="AN15" s="41">
        <f t="shared" si="12"/>
        <v>0</v>
      </c>
      <c r="AO15" s="70">
        <f t="shared" si="13"/>
        <v>0</v>
      </c>
      <c r="AP15" s="70">
        <f t="shared" si="14"/>
        <v>0</v>
      </c>
      <c r="AQ15" s="70">
        <f t="shared" si="15"/>
        <v>0</v>
      </c>
      <c r="AR15" s="70">
        <f t="shared" si="16"/>
        <v>0</v>
      </c>
      <c r="AT15" s="160">
        <v>12</v>
      </c>
      <c r="AU15" s="158">
        <f t="shared" si="19"/>
        <v>1</v>
      </c>
      <c r="AV15" s="159">
        <f t="shared" si="20"/>
        <v>0</v>
      </c>
    </row>
    <row r="16" spans="2:48" s="10" customFormat="1" ht="13.5" customHeight="1" thickBot="1" x14ac:dyDescent="0.3">
      <c r="B16" s="17">
        <v>14</v>
      </c>
      <c r="E16" s="72"/>
      <c r="F16" s="18"/>
      <c r="J16" s="11"/>
      <c r="K16" s="11">
        <f t="shared" si="17"/>
        <v>0</v>
      </c>
      <c r="L16" s="37">
        <f t="shared" si="18"/>
        <v>0</v>
      </c>
      <c r="M16" s="11"/>
      <c r="O16" s="21"/>
      <c r="P16" s="21"/>
      <c r="Q16" s="21"/>
      <c r="R16" s="23"/>
      <c r="S16" s="50"/>
      <c r="T16" s="48"/>
      <c r="U16" s="81"/>
      <c r="V16" s="32"/>
      <c r="W16" s="200"/>
      <c r="X16" s="17"/>
      <c r="Z16">
        <v>3</v>
      </c>
      <c r="AA16" s="416"/>
      <c r="AB16" s="95">
        <v>2</v>
      </c>
      <c r="AC16" s="101" t="s">
        <v>65</v>
      </c>
      <c r="AD16" s="41">
        <f t="shared" si="2"/>
        <v>0</v>
      </c>
      <c r="AE16" s="70">
        <f t="shared" si="3"/>
        <v>0</v>
      </c>
      <c r="AF16" s="70">
        <f t="shared" si="4"/>
        <v>0</v>
      </c>
      <c r="AG16" s="70">
        <f t="shared" si="5"/>
        <v>0</v>
      </c>
      <c r="AH16" s="109">
        <f t="shared" si="6"/>
        <v>0</v>
      </c>
      <c r="AI16" s="120">
        <f t="shared" si="7"/>
        <v>0</v>
      </c>
      <c r="AJ16" s="121">
        <f t="shared" si="8"/>
        <v>0</v>
      </c>
      <c r="AK16" s="121">
        <f t="shared" si="9"/>
        <v>0</v>
      </c>
      <c r="AL16" s="121">
        <f t="shared" si="10"/>
        <v>0</v>
      </c>
      <c r="AM16" s="122">
        <f t="shared" si="11"/>
        <v>0</v>
      </c>
      <c r="AN16" s="41">
        <f t="shared" si="12"/>
        <v>0</v>
      </c>
      <c r="AO16" s="70">
        <f t="shared" si="13"/>
        <v>0</v>
      </c>
      <c r="AP16" s="70">
        <f t="shared" si="14"/>
        <v>0</v>
      </c>
      <c r="AQ16" s="70">
        <f t="shared" si="15"/>
        <v>0</v>
      </c>
      <c r="AR16" s="70">
        <f t="shared" si="16"/>
        <v>0</v>
      </c>
      <c r="AT16" s="161" t="s">
        <v>3</v>
      </c>
      <c r="AU16" s="162">
        <f>SUM(AU4:AU15)</f>
        <v>9</v>
      </c>
      <c r="AV16" s="162">
        <f>SUM(AV4:AV15)</f>
        <v>0</v>
      </c>
    </row>
    <row r="17" spans="2:48" s="10" customFormat="1" ht="13.5" customHeight="1" thickBot="1" x14ac:dyDescent="0.3">
      <c r="B17" s="17">
        <v>15</v>
      </c>
      <c r="E17" s="72"/>
      <c r="F17" s="18"/>
      <c r="J17" s="11"/>
      <c r="K17" s="11">
        <f t="shared" si="17"/>
        <v>0</v>
      </c>
      <c r="L17" s="37">
        <f t="shared" si="18"/>
        <v>0</v>
      </c>
      <c r="M17" s="11"/>
      <c r="O17" s="21"/>
      <c r="P17" s="21"/>
      <c r="Q17" s="21"/>
      <c r="R17" s="23"/>
      <c r="S17" s="50"/>
      <c r="T17" s="48"/>
      <c r="U17" s="81"/>
      <c r="V17" s="32"/>
      <c r="W17" s="200"/>
      <c r="X17" s="17"/>
      <c r="Z17">
        <v>3</v>
      </c>
      <c r="AA17" s="416"/>
      <c r="AB17" s="95">
        <v>3</v>
      </c>
      <c r="AC17" s="102" t="s">
        <v>66</v>
      </c>
      <c r="AD17" s="41">
        <f t="shared" si="2"/>
        <v>0</v>
      </c>
      <c r="AE17" s="70">
        <f t="shared" si="3"/>
        <v>0</v>
      </c>
      <c r="AF17" s="70">
        <f t="shared" si="4"/>
        <v>0</v>
      </c>
      <c r="AG17" s="70">
        <f t="shared" si="5"/>
        <v>0</v>
      </c>
      <c r="AH17" s="109">
        <f t="shared" si="6"/>
        <v>0</v>
      </c>
      <c r="AI17" s="120">
        <f t="shared" si="7"/>
        <v>0</v>
      </c>
      <c r="AJ17" s="121">
        <f t="shared" si="8"/>
        <v>0</v>
      </c>
      <c r="AK17" s="121">
        <f t="shared" si="9"/>
        <v>0</v>
      </c>
      <c r="AL17" s="121">
        <f t="shared" si="10"/>
        <v>0</v>
      </c>
      <c r="AM17" s="122">
        <f t="shared" si="11"/>
        <v>0</v>
      </c>
      <c r="AN17" s="41">
        <f t="shared" si="12"/>
        <v>0</v>
      </c>
      <c r="AO17" s="70">
        <f t="shared" si="13"/>
        <v>0</v>
      </c>
      <c r="AP17" s="70">
        <f t="shared" si="14"/>
        <v>0</v>
      </c>
      <c r="AQ17" s="70">
        <f t="shared" si="15"/>
        <v>0</v>
      </c>
      <c r="AR17" s="70">
        <f t="shared" si="16"/>
        <v>0</v>
      </c>
      <c r="AT17" s="161" t="s">
        <v>152</v>
      </c>
      <c r="AU17" s="163">
        <f>AU16/($AU$16+$AV$16)</f>
        <v>1</v>
      </c>
      <c r="AV17" s="164">
        <f>AV16/($AV$16+$AU$16)</f>
        <v>0</v>
      </c>
    </row>
    <row r="18" spans="2:48" s="10" customFormat="1" ht="13.5" customHeight="1" x14ac:dyDescent="0.25">
      <c r="B18" s="17">
        <v>16</v>
      </c>
      <c r="E18" s="72"/>
      <c r="F18" s="18"/>
      <c r="J18" s="11"/>
      <c r="K18" s="11">
        <f t="shared" si="17"/>
        <v>0</v>
      </c>
      <c r="L18" s="37">
        <f t="shared" si="18"/>
        <v>0</v>
      </c>
      <c r="M18" s="11"/>
      <c r="O18" s="21"/>
      <c r="P18" s="21"/>
      <c r="Q18" s="21"/>
      <c r="R18" s="23"/>
      <c r="S18" s="50"/>
      <c r="T18" s="48"/>
      <c r="U18" s="81"/>
      <c r="V18" s="26"/>
      <c r="W18" s="200"/>
      <c r="X18" s="17"/>
      <c r="Z18">
        <v>3</v>
      </c>
      <c r="AA18" s="416"/>
      <c r="AB18" s="95">
        <v>4</v>
      </c>
      <c r="AC18" s="102" t="s">
        <v>67</v>
      </c>
      <c r="AD18" s="41">
        <f t="shared" si="2"/>
        <v>0</v>
      </c>
      <c r="AE18" s="70">
        <f t="shared" si="3"/>
        <v>0</v>
      </c>
      <c r="AF18" s="70">
        <f t="shared" si="4"/>
        <v>0</v>
      </c>
      <c r="AG18" s="70">
        <f t="shared" si="5"/>
        <v>0</v>
      </c>
      <c r="AH18" s="109">
        <f t="shared" si="6"/>
        <v>0</v>
      </c>
      <c r="AI18" s="120">
        <f t="shared" si="7"/>
        <v>0</v>
      </c>
      <c r="AJ18" s="121">
        <f t="shared" si="8"/>
        <v>0</v>
      </c>
      <c r="AK18" s="121">
        <f t="shared" si="9"/>
        <v>0</v>
      </c>
      <c r="AL18" s="121">
        <f t="shared" si="10"/>
        <v>0</v>
      </c>
      <c r="AM18" s="122">
        <f t="shared" si="11"/>
        <v>0</v>
      </c>
      <c r="AN18" s="41">
        <f t="shared" si="12"/>
        <v>0</v>
      </c>
      <c r="AO18" s="70">
        <f t="shared" si="13"/>
        <v>0</v>
      </c>
      <c r="AP18" s="70">
        <f t="shared" si="14"/>
        <v>0</v>
      </c>
      <c r="AQ18" s="70">
        <f t="shared" si="15"/>
        <v>0</v>
      </c>
      <c r="AR18" s="70">
        <f t="shared" si="16"/>
        <v>0</v>
      </c>
    </row>
    <row r="19" spans="2:48" s="10" customFormat="1" ht="13.5" customHeight="1" x14ac:dyDescent="0.25">
      <c r="B19" s="17">
        <v>17</v>
      </c>
      <c r="E19" s="72"/>
      <c r="F19" s="18"/>
      <c r="J19" s="11"/>
      <c r="K19" s="11">
        <f t="shared" si="17"/>
        <v>0</v>
      </c>
      <c r="L19" s="37">
        <f t="shared" si="18"/>
        <v>0</v>
      </c>
      <c r="M19" s="11"/>
      <c r="O19" s="21"/>
      <c r="P19" s="21"/>
      <c r="Q19" s="21"/>
      <c r="R19" s="23"/>
      <c r="S19" s="50"/>
      <c r="T19" s="48"/>
      <c r="U19" s="81"/>
      <c r="V19" s="26"/>
      <c r="W19" s="200"/>
      <c r="X19" s="17"/>
      <c r="Z19">
        <v>3</v>
      </c>
      <c r="AA19" s="416"/>
      <c r="AB19" s="96">
        <v>5</v>
      </c>
      <c r="AC19" s="102"/>
      <c r="AD19" s="41">
        <f t="shared" si="2"/>
        <v>0</v>
      </c>
      <c r="AE19" s="70">
        <f t="shared" si="3"/>
        <v>0</v>
      </c>
      <c r="AF19" s="70">
        <f t="shared" si="4"/>
        <v>0</v>
      </c>
      <c r="AG19" s="70">
        <f t="shared" si="5"/>
        <v>0</v>
      </c>
      <c r="AH19" s="109">
        <f t="shared" si="6"/>
        <v>0</v>
      </c>
      <c r="AI19" s="120">
        <f t="shared" si="7"/>
        <v>0</v>
      </c>
      <c r="AJ19" s="121">
        <f t="shared" si="8"/>
        <v>0</v>
      </c>
      <c r="AK19" s="121">
        <f t="shared" si="9"/>
        <v>0</v>
      </c>
      <c r="AL19" s="121">
        <f t="shared" si="10"/>
        <v>0</v>
      </c>
      <c r="AM19" s="122">
        <f t="shared" si="11"/>
        <v>0</v>
      </c>
      <c r="AN19" s="41">
        <f t="shared" si="12"/>
        <v>0</v>
      </c>
      <c r="AO19" s="70">
        <f t="shared" si="13"/>
        <v>0</v>
      </c>
      <c r="AP19" s="70">
        <f t="shared" si="14"/>
        <v>0</v>
      </c>
      <c r="AQ19" s="70">
        <f t="shared" si="15"/>
        <v>0</v>
      </c>
      <c r="AR19" s="70">
        <f t="shared" si="16"/>
        <v>0</v>
      </c>
    </row>
    <row r="20" spans="2:48" s="10" customFormat="1" ht="13.5" customHeight="1" thickBot="1" x14ac:dyDescent="0.3">
      <c r="B20" s="17">
        <v>18</v>
      </c>
      <c r="E20" s="72"/>
      <c r="F20" s="18"/>
      <c r="J20" s="11"/>
      <c r="K20" s="11">
        <f t="shared" si="17"/>
        <v>0</v>
      </c>
      <c r="L20" s="37">
        <f t="shared" si="18"/>
        <v>0</v>
      </c>
      <c r="M20" s="11"/>
      <c r="O20" s="21"/>
      <c r="P20" s="21"/>
      <c r="Q20" s="21"/>
      <c r="R20" s="23"/>
      <c r="S20" s="50"/>
      <c r="T20" s="48"/>
      <c r="U20" s="81"/>
      <c r="V20" s="26"/>
      <c r="W20" s="200"/>
      <c r="X20" s="17"/>
      <c r="Z20">
        <v>3</v>
      </c>
      <c r="AA20" s="417"/>
      <c r="AB20" s="97" t="s">
        <v>3</v>
      </c>
      <c r="AC20" s="103"/>
      <c r="AD20" s="99">
        <f>SUM(AD15:AD19)</f>
        <v>0</v>
      </c>
      <c r="AE20" s="99">
        <f t="shared" ref="AE20" si="49">SUM(AE15:AE19)</f>
        <v>0</v>
      </c>
      <c r="AF20" s="99">
        <f t="shared" ref="AF20" si="50">SUM(AF15:AF19)</f>
        <v>0</v>
      </c>
      <c r="AG20" s="99">
        <f t="shared" ref="AG20" si="51">SUM(AG15:AG19)</f>
        <v>0</v>
      </c>
      <c r="AH20" s="110">
        <f t="shared" ref="AH20" si="52">SUM(AH15:AH19)</f>
        <v>0</v>
      </c>
      <c r="AI20" s="123">
        <f t="shared" ref="AI20" si="53">SUM(AI15:AI19)</f>
        <v>0</v>
      </c>
      <c r="AJ20" s="124">
        <f t="shared" ref="AJ20" si="54">SUM(AJ15:AJ19)</f>
        <v>0</v>
      </c>
      <c r="AK20" s="124">
        <f t="shared" ref="AK20" si="55">SUM(AK15:AK19)</f>
        <v>0</v>
      </c>
      <c r="AL20" s="124">
        <f t="shared" ref="AL20" si="56">SUM(AL15:AL19)</f>
        <v>0</v>
      </c>
      <c r="AM20" s="125">
        <f t="shared" ref="AM20" si="57">SUM(AM15:AM19)</f>
        <v>0</v>
      </c>
      <c r="AN20" s="99">
        <f t="shared" ref="AN20" si="58">SUM(AN15:AN19)</f>
        <v>0</v>
      </c>
      <c r="AO20" s="99">
        <f t="shared" ref="AO20" si="59">SUM(AO15:AO19)</f>
        <v>0</v>
      </c>
      <c r="AP20" s="99">
        <f t="shared" ref="AP20" si="60">SUM(AP15:AP19)</f>
        <v>0</v>
      </c>
      <c r="AQ20" s="99">
        <f t="shared" ref="AQ20" si="61">SUM(AQ15:AQ19)</f>
        <v>0</v>
      </c>
      <c r="AR20" s="99">
        <f t="shared" ref="AR20" si="62">SUM(AR15:AR19)</f>
        <v>0</v>
      </c>
    </row>
    <row r="21" spans="2:48" s="10" customFormat="1" ht="13.5" customHeight="1" x14ac:dyDescent="0.25">
      <c r="B21" s="17">
        <v>19</v>
      </c>
      <c r="E21" s="72"/>
      <c r="F21" s="18"/>
      <c r="J21" s="11"/>
      <c r="K21" s="11">
        <f t="shared" si="17"/>
        <v>0</v>
      </c>
      <c r="L21" s="37">
        <f t="shared" si="18"/>
        <v>0</v>
      </c>
      <c r="M21" s="11"/>
      <c r="O21" s="21"/>
      <c r="P21" s="21"/>
      <c r="Q21" s="21"/>
      <c r="R21" s="23"/>
      <c r="S21" s="50"/>
      <c r="T21" s="48"/>
      <c r="U21" s="81"/>
      <c r="V21" s="26"/>
      <c r="W21" s="200"/>
      <c r="X21" s="17"/>
      <c r="Z21">
        <v>4</v>
      </c>
      <c r="AA21" s="415">
        <v>4</v>
      </c>
      <c r="AB21" s="94">
        <v>1</v>
      </c>
      <c r="AC21" s="100" t="s">
        <v>108</v>
      </c>
      <c r="AD21" s="41">
        <f t="shared" si="2"/>
        <v>0</v>
      </c>
      <c r="AE21" s="70">
        <f t="shared" si="3"/>
        <v>0</v>
      </c>
      <c r="AF21" s="70">
        <f t="shared" si="4"/>
        <v>0</v>
      </c>
      <c r="AG21" s="70">
        <f t="shared" si="5"/>
        <v>0</v>
      </c>
      <c r="AH21" s="109">
        <f t="shared" si="6"/>
        <v>0</v>
      </c>
      <c r="AI21" s="120">
        <f t="shared" si="7"/>
        <v>0</v>
      </c>
      <c r="AJ21" s="121">
        <f t="shared" si="8"/>
        <v>0</v>
      </c>
      <c r="AK21" s="121">
        <f t="shared" si="9"/>
        <v>0</v>
      </c>
      <c r="AL21" s="121">
        <f t="shared" si="10"/>
        <v>0</v>
      </c>
      <c r="AM21" s="122">
        <f t="shared" si="11"/>
        <v>0</v>
      </c>
      <c r="AN21" s="41">
        <f t="shared" si="12"/>
        <v>0</v>
      </c>
      <c r="AO21" s="70">
        <f t="shared" si="13"/>
        <v>0</v>
      </c>
      <c r="AP21" s="70">
        <f t="shared" si="14"/>
        <v>0</v>
      </c>
      <c r="AQ21" s="70">
        <f t="shared" si="15"/>
        <v>0</v>
      </c>
      <c r="AR21" s="70">
        <f t="shared" si="16"/>
        <v>0</v>
      </c>
    </row>
    <row r="22" spans="2:48" s="10" customFormat="1" ht="13.5" customHeight="1" x14ac:dyDescent="0.25">
      <c r="B22" s="17">
        <v>20</v>
      </c>
      <c r="E22" s="72"/>
      <c r="F22" s="18"/>
      <c r="J22" s="11"/>
      <c r="K22" s="11">
        <f t="shared" si="17"/>
        <v>0</v>
      </c>
      <c r="L22" s="37">
        <f t="shared" si="18"/>
        <v>0</v>
      </c>
      <c r="M22" s="11"/>
      <c r="O22" s="21"/>
      <c r="P22" s="21"/>
      <c r="Q22" s="21"/>
      <c r="R22" s="23"/>
      <c r="S22" s="50"/>
      <c r="T22" s="48"/>
      <c r="U22" s="81"/>
      <c r="V22" s="26"/>
      <c r="W22" s="200"/>
      <c r="X22" s="17"/>
      <c r="Z22">
        <v>4</v>
      </c>
      <c r="AA22" s="416"/>
      <c r="AB22" s="95">
        <v>2</v>
      </c>
      <c r="AC22" s="102" t="s">
        <v>68</v>
      </c>
      <c r="AD22" s="41">
        <f t="shared" si="2"/>
        <v>0</v>
      </c>
      <c r="AE22" s="70">
        <f t="shared" si="3"/>
        <v>0</v>
      </c>
      <c r="AF22" s="70">
        <f t="shared" si="4"/>
        <v>0</v>
      </c>
      <c r="AG22" s="70">
        <f t="shared" si="5"/>
        <v>0</v>
      </c>
      <c r="AH22" s="109">
        <f t="shared" si="6"/>
        <v>0</v>
      </c>
      <c r="AI22" s="120">
        <f t="shared" si="7"/>
        <v>0</v>
      </c>
      <c r="AJ22" s="121">
        <f t="shared" si="8"/>
        <v>0</v>
      </c>
      <c r="AK22" s="121">
        <f t="shared" si="9"/>
        <v>0</v>
      </c>
      <c r="AL22" s="121">
        <f t="shared" si="10"/>
        <v>0</v>
      </c>
      <c r="AM22" s="122">
        <f t="shared" si="11"/>
        <v>0</v>
      </c>
      <c r="AN22" s="41">
        <f t="shared" si="12"/>
        <v>0</v>
      </c>
      <c r="AO22" s="70">
        <f t="shared" si="13"/>
        <v>0</v>
      </c>
      <c r="AP22" s="70">
        <f t="shared" si="14"/>
        <v>0</v>
      </c>
      <c r="AQ22" s="70">
        <f t="shared" si="15"/>
        <v>0</v>
      </c>
      <c r="AR22" s="70">
        <f t="shared" si="16"/>
        <v>0</v>
      </c>
    </row>
    <row r="23" spans="2:48" s="10" customFormat="1" ht="13.5" customHeight="1" x14ac:dyDescent="0.25">
      <c r="B23" s="17">
        <v>21</v>
      </c>
      <c r="E23" s="72"/>
      <c r="F23" s="18"/>
      <c r="J23" s="11"/>
      <c r="K23" s="11">
        <f t="shared" si="17"/>
        <v>0</v>
      </c>
      <c r="L23" s="37">
        <f t="shared" si="18"/>
        <v>0</v>
      </c>
      <c r="M23" s="11"/>
      <c r="O23" s="21"/>
      <c r="P23" s="21"/>
      <c r="Q23" s="21"/>
      <c r="R23" s="23"/>
      <c r="S23" s="50"/>
      <c r="T23" s="48"/>
      <c r="U23" s="81"/>
      <c r="V23" s="26"/>
      <c r="W23" s="200"/>
      <c r="X23" s="17"/>
      <c r="Z23">
        <v>4</v>
      </c>
      <c r="AA23" s="416"/>
      <c r="AB23" s="95">
        <v>3</v>
      </c>
      <c r="AC23" s="102" t="s">
        <v>69</v>
      </c>
      <c r="AD23" s="41">
        <f t="shared" si="2"/>
        <v>0</v>
      </c>
      <c r="AE23" s="70">
        <f t="shared" si="3"/>
        <v>0</v>
      </c>
      <c r="AF23" s="70">
        <f t="shared" si="4"/>
        <v>0</v>
      </c>
      <c r="AG23" s="70">
        <f t="shared" si="5"/>
        <v>0</v>
      </c>
      <c r="AH23" s="109">
        <f t="shared" si="6"/>
        <v>0</v>
      </c>
      <c r="AI23" s="120">
        <f t="shared" si="7"/>
        <v>0</v>
      </c>
      <c r="AJ23" s="121">
        <f t="shared" si="8"/>
        <v>0</v>
      </c>
      <c r="AK23" s="121">
        <f t="shared" si="9"/>
        <v>0</v>
      </c>
      <c r="AL23" s="121">
        <f t="shared" si="10"/>
        <v>0</v>
      </c>
      <c r="AM23" s="122">
        <f t="shared" si="11"/>
        <v>0</v>
      </c>
      <c r="AN23" s="41">
        <f t="shared" si="12"/>
        <v>0</v>
      </c>
      <c r="AO23" s="70">
        <f t="shared" si="13"/>
        <v>0</v>
      </c>
      <c r="AP23" s="70">
        <f t="shared" si="14"/>
        <v>0</v>
      </c>
      <c r="AQ23" s="70">
        <f t="shared" si="15"/>
        <v>0</v>
      </c>
      <c r="AR23" s="70">
        <f t="shared" si="16"/>
        <v>0</v>
      </c>
    </row>
    <row r="24" spans="2:48" s="10" customFormat="1" ht="13.5" customHeight="1" x14ac:dyDescent="0.25">
      <c r="B24" s="17">
        <v>22</v>
      </c>
      <c r="E24" s="72"/>
      <c r="F24" s="18"/>
      <c r="J24" s="11"/>
      <c r="K24" s="11">
        <f t="shared" si="17"/>
        <v>0</v>
      </c>
      <c r="L24" s="37">
        <f t="shared" si="18"/>
        <v>0</v>
      </c>
      <c r="M24" s="11"/>
      <c r="O24" s="21"/>
      <c r="P24" s="21"/>
      <c r="Q24" s="21"/>
      <c r="R24" s="23"/>
      <c r="S24" s="50"/>
      <c r="T24" s="48"/>
      <c r="U24" s="81"/>
      <c r="V24" s="26"/>
      <c r="W24" s="200"/>
      <c r="X24" s="17"/>
      <c r="Z24">
        <v>4</v>
      </c>
      <c r="AA24" s="416"/>
      <c r="AB24" s="95">
        <v>4</v>
      </c>
      <c r="AC24" s="102" t="s">
        <v>70</v>
      </c>
      <c r="AD24" s="41">
        <f t="shared" si="2"/>
        <v>0</v>
      </c>
      <c r="AE24" s="70">
        <f t="shared" si="3"/>
        <v>0</v>
      </c>
      <c r="AF24" s="70">
        <f t="shared" si="4"/>
        <v>0</v>
      </c>
      <c r="AG24" s="70">
        <f t="shared" si="5"/>
        <v>0</v>
      </c>
      <c r="AH24" s="109">
        <f t="shared" si="6"/>
        <v>0</v>
      </c>
      <c r="AI24" s="120">
        <f t="shared" si="7"/>
        <v>0</v>
      </c>
      <c r="AJ24" s="121">
        <f t="shared" si="8"/>
        <v>0</v>
      </c>
      <c r="AK24" s="121">
        <f t="shared" si="9"/>
        <v>0</v>
      </c>
      <c r="AL24" s="121">
        <f t="shared" si="10"/>
        <v>0</v>
      </c>
      <c r="AM24" s="122">
        <f t="shared" si="11"/>
        <v>0</v>
      </c>
      <c r="AN24" s="41">
        <f t="shared" si="12"/>
        <v>0</v>
      </c>
      <c r="AO24" s="70">
        <f t="shared" si="13"/>
        <v>0</v>
      </c>
      <c r="AP24" s="70">
        <f t="shared" si="14"/>
        <v>0</v>
      </c>
      <c r="AQ24" s="70">
        <f t="shared" si="15"/>
        <v>0</v>
      </c>
      <c r="AR24" s="70">
        <f t="shared" si="16"/>
        <v>0</v>
      </c>
      <c r="AT24" s="201" t="s">
        <v>256</v>
      </c>
      <c r="AU24" s="201" t="s">
        <v>257</v>
      </c>
      <c r="AV24" s="201" t="s">
        <v>152</v>
      </c>
    </row>
    <row r="25" spans="2:48" s="10" customFormat="1" ht="13.5" customHeight="1" x14ac:dyDescent="0.25">
      <c r="B25" s="17">
        <v>23</v>
      </c>
      <c r="E25" s="72"/>
      <c r="F25" s="18"/>
      <c r="J25" s="11"/>
      <c r="K25" s="11">
        <f t="shared" si="17"/>
        <v>0</v>
      </c>
      <c r="L25" s="37">
        <f t="shared" si="18"/>
        <v>0</v>
      </c>
      <c r="M25" s="11"/>
      <c r="O25" s="21"/>
      <c r="P25" s="21"/>
      <c r="Q25" s="21"/>
      <c r="R25" s="23"/>
      <c r="S25" s="50"/>
      <c r="T25" s="48"/>
      <c r="U25" s="81"/>
      <c r="V25" s="26"/>
      <c r="W25" s="200"/>
      <c r="X25" s="17"/>
      <c r="Z25">
        <v>4</v>
      </c>
      <c r="AA25" s="416"/>
      <c r="AB25" s="96">
        <v>5</v>
      </c>
      <c r="AC25" s="102" t="s">
        <v>109</v>
      </c>
      <c r="AD25" s="41">
        <f t="shared" si="2"/>
        <v>0</v>
      </c>
      <c r="AE25" s="70">
        <f t="shared" si="3"/>
        <v>0</v>
      </c>
      <c r="AF25" s="70">
        <f t="shared" si="4"/>
        <v>0</v>
      </c>
      <c r="AG25" s="70">
        <f t="shared" si="5"/>
        <v>0</v>
      </c>
      <c r="AH25" s="109">
        <f t="shared" si="6"/>
        <v>0</v>
      </c>
      <c r="AI25" s="120">
        <f t="shared" si="7"/>
        <v>0</v>
      </c>
      <c r="AJ25" s="121">
        <f t="shared" si="8"/>
        <v>0</v>
      </c>
      <c r="AK25" s="121">
        <f t="shared" si="9"/>
        <v>0</v>
      </c>
      <c r="AL25" s="121">
        <f t="shared" si="10"/>
        <v>0</v>
      </c>
      <c r="AM25" s="122">
        <f t="shared" si="11"/>
        <v>0</v>
      </c>
      <c r="AN25" s="41">
        <f t="shared" si="12"/>
        <v>0</v>
      </c>
      <c r="AO25" s="70">
        <f t="shared" si="13"/>
        <v>0</v>
      </c>
      <c r="AP25" s="70">
        <f t="shared" si="14"/>
        <v>0</v>
      </c>
      <c r="AQ25" s="70">
        <f t="shared" si="15"/>
        <v>0</v>
      </c>
      <c r="AR25" s="70">
        <f t="shared" si="16"/>
        <v>0</v>
      </c>
      <c r="AT25" s="202" t="s">
        <v>270</v>
      </c>
      <c r="AU25" s="202">
        <f>COUNTIF($W:$W, AT25)</f>
        <v>4</v>
      </c>
      <c r="AV25" s="203">
        <f>AU25/$AU$33</f>
        <v>0.66666666666666663</v>
      </c>
    </row>
    <row r="26" spans="2:48" s="10" customFormat="1" ht="13.5" customHeight="1" thickBot="1" x14ac:dyDescent="0.3">
      <c r="B26" s="17">
        <v>24</v>
      </c>
      <c r="E26" s="72"/>
      <c r="F26" s="18"/>
      <c r="J26" s="11"/>
      <c r="K26" s="11">
        <f t="shared" si="17"/>
        <v>0</v>
      </c>
      <c r="L26" s="37">
        <f t="shared" si="18"/>
        <v>0</v>
      </c>
      <c r="M26" s="11"/>
      <c r="O26" s="21"/>
      <c r="P26" s="21"/>
      <c r="Q26" s="21"/>
      <c r="R26" s="23"/>
      <c r="S26" s="50"/>
      <c r="T26" s="48"/>
      <c r="U26" s="81"/>
      <c r="V26" s="26"/>
      <c r="W26" s="200"/>
      <c r="X26" s="17"/>
      <c r="Z26">
        <v>4</v>
      </c>
      <c r="AA26" s="417"/>
      <c r="AB26" s="97" t="s">
        <v>3</v>
      </c>
      <c r="AC26" s="103"/>
      <c r="AD26" s="99">
        <f>SUM(AD21:AD25)</f>
        <v>0</v>
      </c>
      <c r="AE26" s="99">
        <f t="shared" ref="AE26" si="63">SUM(AE21:AE25)</f>
        <v>0</v>
      </c>
      <c r="AF26" s="99">
        <f t="shared" ref="AF26" si="64">SUM(AF21:AF25)</f>
        <v>0</v>
      </c>
      <c r="AG26" s="99">
        <f t="shared" ref="AG26" si="65">SUM(AG21:AG25)</f>
        <v>0</v>
      </c>
      <c r="AH26" s="110">
        <f t="shared" ref="AH26" si="66">SUM(AH21:AH25)</f>
        <v>0</v>
      </c>
      <c r="AI26" s="123">
        <f t="shared" ref="AI26" si="67">SUM(AI21:AI25)</f>
        <v>0</v>
      </c>
      <c r="AJ26" s="124">
        <f t="shared" ref="AJ26" si="68">SUM(AJ21:AJ25)</f>
        <v>0</v>
      </c>
      <c r="AK26" s="124">
        <f t="shared" ref="AK26" si="69">SUM(AK21:AK25)</f>
        <v>0</v>
      </c>
      <c r="AL26" s="124">
        <f t="shared" ref="AL26" si="70">SUM(AL21:AL25)</f>
        <v>0</v>
      </c>
      <c r="AM26" s="125">
        <f t="shared" ref="AM26" si="71">SUM(AM21:AM25)</f>
        <v>0</v>
      </c>
      <c r="AN26" s="99">
        <f t="shared" ref="AN26" si="72">SUM(AN21:AN25)</f>
        <v>0</v>
      </c>
      <c r="AO26" s="99">
        <f t="shared" ref="AO26" si="73">SUM(AO21:AO25)</f>
        <v>0</v>
      </c>
      <c r="AP26" s="99">
        <f t="shared" ref="AP26" si="74">SUM(AP21:AP25)</f>
        <v>0</v>
      </c>
      <c r="AQ26" s="99">
        <f t="shared" ref="AQ26" si="75">SUM(AQ21:AQ25)</f>
        <v>0</v>
      </c>
      <c r="AR26" s="99">
        <f t="shared" ref="AR26" si="76">SUM(AR21:AR25)</f>
        <v>0</v>
      </c>
      <c r="AT26" s="202" t="s">
        <v>259</v>
      </c>
      <c r="AU26" s="202">
        <f t="shared" ref="AU26:AU32" si="77">COUNTIF($W:$W, AT26)</f>
        <v>2</v>
      </c>
      <c r="AV26" s="203">
        <f t="shared" ref="AV26:AV33" si="78">AU26/$AU$33</f>
        <v>0.33333333333333331</v>
      </c>
    </row>
    <row r="27" spans="2:48" s="10" customFormat="1" ht="13.5" customHeight="1" x14ac:dyDescent="0.25">
      <c r="B27" s="17">
        <v>25</v>
      </c>
      <c r="E27" s="72"/>
      <c r="F27" s="18"/>
      <c r="J27" s="11"/>
      <c r="K27" s="11">
        <f t="shared" si="17"/>
        <v>0</v>
      </c>
      <c r="L27" s="37">
        <f t="shared" si="18"/>
        <v>0</v>
      </c>
      <c r="M27" s="11"/>
      <c r="O27" s="21"/>
      <c r="P27" s="21"/>
      <c r="Q27" s="21"/>
      <c r="R27" s="23"/>
      <c r="S27" s="50"/>
      <c r="T27" s="48"/>
      <c r="U27" s="81"/>
      <c r="V27" s="26"/>
      <c r="W27" s="200"/>
      <c r="X27" s="17"/>
      <c r="Z27">
        <v>5</v>
      </c>
      <c r="AA27" s="415">
        <v>5</v>
      </c>
      <c r="AB27" s="94">
        <v>1</v>
      </c>
      <c r="AC27" s="100" t="s">
        <v>110</v>
      </c>
      <c r="AD27" s="41">
        <f t="shared" si="2"/>
        <v>0</v>
      </c>
      <c r="AE27" s="70">
        <f t="shared" si="3"/>
        <v>0</v>
      </c>
      <c r="AF27" s="70">
        <f t="shared" si="4"/>
        <v>0</v>
      </c>
      <c r="AG27" s="70">
        <f t="shared" si="5"/>
        <v>0</v>
      </c>
      <c r="AH27" s="109">
        <f t="shared" si="6"/>
        <v>0</v>
      </c>
      <c r="AI27" s="120">
        <f t="shared" si="7"/>
        <v>0</v>
      </c>
      <c r="AJ27" s="121">
        <f t="shared" si="8"/>
        <v>0</v>
      </c>
      <c r="AK27" s="121">
        <f t="shared" si="9"/>
        <v>0</v>
      </c>
      <c r="AL27" s="121">
        <f t="shared" si="10"/>
        <v>0</v>
      </c>
      <c r="AM27" s="122">
        <f t="shared" si="11"/>
        <v>0</v>
      </c>
      <c r="AN27" s="41">
        <f t="shared" si="12"/>
        <v>0</v>
      </c>
      <c r="AO27" s="70">
        <f t="shared" si="13"/>
        <v>0</v>
      </c>
      <c r="AP27" s="70">
        <f t="shared" si="14"/>
        <v>0</v>
      </c>
      <c r="AQ27" s="70">
        <f t="shared" si="15"/>
        <v>0</v>
      </c>
      <c r="AR27" s="70">
        <f t="shared" si="16"/>
        <v>0</v>
      </c>
      <c r="AT27" s="202" t="s">
        <v>260</v>
      </c>
      <c r="AU27" s="202">
        <f t="shared" si="77"/>
        <v>0</v>
      </c>
      <c r="AV27" s="203">
        <f t="shared" si="78"/>
        <v>0</v>
      </c>
    </row>
    <row r="28" spans="2:48" s="10" customFormat="1" ht="13.5" customHeight="1" x14ac:dyDescent="0.25">
      <c r="B28" s="17">
        <v>26</v>
      </c>
      <c r="E28" s="72"/>
      <c r="F28" s="18"/>
      <c r="J28" s="11"/>
      <c r="K28" s="11">
        <f t="shared" si="17"/>
        <v>0</v>
      </c>
      <c r="L28" s="37">
        <f t="shared" si="18"/>
        <v>0</v>
      </c>
      <c r="M28" s="11"/>
      <c r="O28" s="21"/>
      <c r="P28" s="21"/>
      <c r="Q28" s="21"/>
      <c r="R28" s="23"/>
      <c r="S28" s="50"/>
      <c r="T28" s="48"/>
      <c r="U28" s="81"/>
      <c r="V28" s="26"/>
      <c r="W28" s="200"/>
      <c r="X28" s="17"/>
      <c r="Z28">
        <v>5</v>
      </c>
      <c r="AA28" s="416"/>
      <c r="AB28" s="95">
        <v>2</v>
      </c>
      <c r="AC28" s="102" t="s">
        <v>111</v>
      </c>
      <c r="AD28" s="41">
        <f t="shared" si="2"/>
        <v>0</v>
      </c>
      <c r="AE28" s="70">
        <f t="shared" si="3"/>
        <v>0</v>
      </c>
      <c r="AF28" s="70">
        <f t="shared" si="4"/>
        <v>0</v>
      </c>
      <c r="AG28" s="70">
        <f t="shared" si="5"/>
        <v>0</v>
      </c>
      <c r="AH28" s="109">
        <f t="shared" si="6"/>
        <v>0</v>
      </c>
      <c r="AI28" s="120">
        <f t="shared" si="7"/>
        <v>0</v>
      </c>
      <c r="AJ28" s="121">
        <f t="shared" si="8"/>
        <v>0</v>
      </c>
      <c r="AK28" s="121">
        <f t="shared" si="9"/>
        <v>0</v>
      </c>
      <c r="AL28" s="121">
        <f t="shared" si="10"/>
        <v>0</v>
      </c>
      <c r="AM28" s="122">
        <f t="shared" si="11"/>
        <v>0</v>
      </c>
      <c r="AN28" s="41">
        <f t="shared" si="12"/>
        <v>0</v>
      </c>
      <c r="AO28" s="70">
        <f t="shared" si="13"/>
        <v>0</v>
      </c>
      <c r="AP28" s="70">
        <f t="shared" si="14"/>
        <v>0</v>
      </c>
      <c r="AQ28" s="70">
        <f t="shared" si="15"/>
        <v>0</v>
      </c>
      <c r="AR28" s="70">
        <f t="shared" si="16"/>
        <v>0</v>
      </c>
      <c r="AT28" s="202" t="s">
        <v>261</v>
      </c>
      <c r="AU28" s="202">
        <f t="shared" si="77"/>
        <v>0</v>
      </c>
      <c r="AV28" s="203">
        <f t="shared" si="78"/>
        <v>0</v>
      </c>
    </row>
    <row r="29" spans="2:48" s="10" customFormat="1" ht="13.5" customHeight="1" x14ac:dyDescent="0.25">
      <c r="B29" s="17">
        <v>27</v>
      </c>
      <c r="E29" s="72"/>
      <c r="F29" s="18"/>
      <c r="J29" s="11"/>
      <c r="K29" s="11">
        <f t="shared" si="17"/>
        <v>0</v>
      </c>
      <c r="L29" s="37">
        <f t="shared" si="18"/>
        <v>0</v>
      </c>
      <c r="M29" s="11"/>
      <c r="O29" s="21"/>
      <c r="P29" s="21"/>
      <c r="Q29" s="21"/>
      <c r="R29" s="23"/>
      <c r="S29" s="50"/>
      <c r="T29" s="48"/>
      <c r="U29" s="81"/>
      <c r="V29" s="26"/>
      <c r="W29" s="200"/>
      <c r="X29" s="17"/>
      <c r="Z29">
        <v>5</v>
      </c>
      <c r="AA29" s="416"/>
      <c r="AB29" s="95">
        <v>3</v>
      </c>
      <c r="AC29" s="102" t="s">
        <v>112</v>
      </c>
      <c r="AD29" s="41">
        <f t="shared" si="2"/>
        <v>0</v>
      </c>
      <c r="AE29" s="70">
        <f t="shared" si="3"/>
        <v>0</v>
      </c>
      <c r="AF29" s="70">
        <f t="shared" si="4"/>
        <v>0</v>
      </c>
      <c r="AG29" s="70">
        <f t="shared" si="5"/>
        <v>0</v>
      </c>
      <c r="AH29" s="109">
        <f t="shared" si="6"/>
        <v>0</v>
      </c>
      <c r="AI29" s="120">
        <f t="shared" si="7"/>
        <v>0</v>
      </c>
      <c r="AJ29" s="121">
        <f t="shared" si="8"/>
        <v>0</v>
      </c>
      <c r="AK29" s="121">
        <f t="shared" si="9"/>
        <v>0</v>
      </c>
      <c r="AL29" s="121">
        <f t="shared" si="10"/>
        <v>0</v>
      </c>
      <c r="AM29" s="122">
        <f t="shared" si="11"/>
        <v>0</v>
      </c>
      <c r="AN29" s="41">
        <f t="shared" si="12"/>
        <v>0</v>
      </c>
      <c r="AO29" s="70">
        <f t="shared" si="13"/>
        <v>0</v>
      </c>
      <c r="AP29" s="70">
        <f t="shared" si="14"/>
        <v>0</v>
      </c>
      <c r="AQ29" s="70">
        <f t="shared" si="15"/>
        <v>0</v>
      </c>
      <c r="AR29" s="70">
        <f t="shared" si="16"/>
        <v>0</v>
      </c>
      <c r="AT29" s="202" t="s">
        <v>262</v>
      </c>
      <c r="AU29" s="202">
        <f t="shared" si="77"/>
        <v>0</v>
      </c>
      <c r="AV29" s="203">
        <f t="shared" si="78"/>
        <v>0</v>
      </c>
    </row>
    <row r="30" spans="2:48" s="10" customFormat="1" ht="13.5" customHeight="1" x14ac:dyDescent="0.25">
      <c r="B30" s="17">
        <v>28</v>
      </c>
      <c r="E30" s="72"/>
      <c r="F30" s="18"/>
      <c r="J30" s="11"/>
      <c r="K30" s="11">
        <f t="shared" si="17"/>
        <v>0</v>
      </c>
      <c r="L30" s="37">
        <f t="shared" si="18"/>
        <v>0</v>
      </c>
      <c r="M30" s="11"/>
      <c r="O30" s="21"/>
      <c r="P30" s="21"/>
      <c r="Q30" s="21"/>
      <c r="R30" s="23"/>
      <c r="S30" s="50"/>
      <c r="T30" s="48"/>
      <c r="U30" s="81"/>
      <c r="V30" s="26"/>
      <c r="W30" s="200"/>
      <c r="X30" s="17"/>
      <c r="Z30">
        <v>5</v>
      </c>
      <c r="AA30" s="416"/>
      <c r="AB30" s="95">
        <v>4</v>
      </c>
      <c r="AC30" s="102" t="s">
        <v>113</v>
      </c>
      <c r="AD30" s="41">
        <f t="shared" si="2"/>
        <v>0</v>
      </c>
      <c r="AE30" s="70">
        <f t="shared" si="3"/>
        <v>0</v>
      </c>
      <c r="AF30" s="70">
        <f t="shared" si="4"/>
        <v>0</v>
      </c>
      <c r="AG30" s="70">
        <f t="shared" si="5"/>
        <v>0</v>
      </c>
      <c r="AH30" s="109">
        <f t="shared" si="6"/>
        <v>0</v>
      </c>
      <c r="AI30" s="120">
        <f t="shared" si="7"/>
        <v>0</v>
      </c>
      <c r="AJ30" s="121">
        <f t="shared" si="8"/>
        <v>0</v>
      </c>
      <c r="AK30" s="121">
        <f t="shared" si="9"/>
        <v>0</v>
      </c>
      <c r="AL30" s="121">
        <f t="shared" si="10"/>
        <v>0</v>
      </c>
      <c r="AM30" s="122">
        <f t="shared" si="11"/>
        <v>0</v>
      </c>
      <c r="AN30" s="41">
        <f t="shared" si="12"/>
        <v>0</v>
      </c>
      <c r="AO30" s="70">
        <f t="shared" si="13"/>
        <v>0</v>
      </c>
      <c r="AP30" s="70">
        <f t="shared" si="14"/>
        <v>0</v>
      </c>
      <c r="AQ30" s="70">
        <f t="shared" si="15"/>
        <v>0</v>
      </c>
      <c r="AR30" s="70">
        <f t="shared" si="16"/>
        <v>0</v>
      </c>
      <c r="AT30" s="202" t="s">
        <v>263</v>
      </c>
      <c r="AU30" s="202">
        <f t="shared" si="77"/>
        <v>0</v>
      </c>
      <c r="AV30" s="203">
        <f t="shared" si="78"/>
        <v>0</v>
      </c>
    </row>
    <row r="31" spans="2:48" s="10" customFormat="1" ht="13.5" customHeight="1" x14ac:dyDescent="0.25">
      <c r="B31" s="17">
        <v>29</v>
      </c>
      <c r="E31" s="72"/>
      <c r="F31" s="18"/>
      <c r="J31" s="11"/>
      <c r="K31" s="11">
        <f t="shared" si="17"/>
        <v>0</v>
      </c>
      <c r="L31" s="37">
        <f t="shared" si="18"/>
        <v>0</v>
      </c>
      <c r="M31" s="11"/>
      <c r="O31" s="21"/>
      <c r="P31" s="21"/>
      <c r="Q31" s="21"/>
      <c r="R31" s="23"/>
      <c r="S31" s="50"/>
      <c r="T31" s="48"/>
      <c r="U31" s="81"/>
      <c r="V31" s="26"/>
      <c r="W31" s="200"/>
      <c r="X31" s="17"/>
      <c r="Z31">
        <v>5</v>
      </c>
      <c r="AA31" s="416"/>
      <c r="AB31" s="96">
        <v>5</v>
      </c>
      <c r="AC31" s="102"/>
      <c r="AD31" s="41">
        <f t="shared" si="2"/>
        <v>0</v>
      </c>
      <c r="AE31" s="70">
        <f t="shared" si="3"/>
        <v>0</v>
      </c>
      <c r="AF31" s="70">
        <f t="shared" si="4"/>
        <v>0</v>
      </c>
      <c r="AG31" s="70">
        <f t="shared" si="5"/>
        <v>0</v>
      </c>
      <c r="AH31" s="109">
        <f t="shared" si="6"/>
        <v>0</v>
      </c>
      <c r="AI31" s="120">
        <f t="shared" si="7"/>
        <v>0</v>
      </c>
      <c r="AJ31" s="121">
        <f t="shared" si="8"/>
        <v>0</v>
      </c>
      <c r="AK31" s="121">
        <f t="shared" si="9"/>
        <v>0</v>
      </c>
      <c r="AL31" s="121">
        <f t="shared" si="10"/>
        <v>0</v>
      </c>
      <c r="AM31" s="122">
        <f t="shared" si="11"/>
        <v>0</v>
      </c>
      <c r="AN31" s="41">
        <f t="shared" si="12"/>
        <v>0</v>
      </c>
      <c r="AO31" s="70">
        <f t="shared" si="13"/>
        <v>0</v>
      </c>
      <c r="AP31" s="70">
        <f t="shared" si="14"/>
        <v>0</v>
      </c>
      <c r="AQ31" s="70">
        <f t="shared" si="15"/>
        <v>0</v>
      </c>
      <c r="AR31" s="70">
        <f t="shared" si="16"/>
        <v>0</v>
      </c>
      <c r="AT31" s="202" t="s">
        <v>264</v>
      </c>
      <c r="AU31" s="202">
        <f t="shared" si="77"/>
        <v>0</v>
      </c>
      <c r="AV31" s="203">
        <f t="shared" si="78"/>
        <v>0</v>
      </c>
    </row>
    <row r="32" spans="2:48" s="10" customFormat="1" ht="13.5" customHeight="1" thickBot="1" x14ac:dyDescent="0.3">
      <c r="B32" s="17">
        <v>30</v>
      </c>
      <c r="E32" s="72"/>
      <c r="F32" s="18"/>
      <c r="J32" s="11"/>
      <c r="K32" s="11">
        <f t="shared" si="17"/>
        <v>0</v>
      </c>
      <c r="L32" s="37">
        <f t="shared" si="18"/>
        <v>0</v>
      </c>
      <c r="M32" s="11"/>
      <c r="O32" s="21"/>
      <c r="P32" s="21"/>
      <c r="Q32" s="21"/>
      <c r="R32" s="23"/>
      <c r="S32" s="50"/>
      <c r="T32" s="48"/>
      <c r="U32" s="81"/>
      <c r="V32" s="26"/>
      <c r="W32" s="200"/>
      <c r="X32" s="17"/>
      <c r="Z32">
        <v>5</v>
      </c>
      <c r="AA32" s="417"/>
      <c r="AB32" s="97" t="s">
        <v>3</v>
      </c>
      <c r="AC32" s="103"/>
      <c r="AD32" s="99">
        <f>SUM(AD27:AD31)</f>
        <v>0</v>
      </c>
      <c r="AE32" s="99">
        <f t="shared" ref="AE32" si="79">SUM(AE27:AE31)</f>
        <v>0</v>
      </c>
      <c r="AF32" s="99">
        <f t="shared" ref="AF32" si="80">SUM(AF27:AF31)</f>
        <v>0</v>
      </c>
      <c r="AG32" s="99">
        <f t="shared" ref="AG32" si="81">SUM(AG27:AG31)</f>
        <v>0</v>
      </c>
      <c r="AH32" s="110">
        <f t="shared" ref="AH32" si="82">SUM(AH27:AH31)</f>
        <v>0</v>
      </c>
      <c r="AI32" s="123">
        <f t="shared" ref="AI32" si="83">SUM(AI27:AI31)</f>
        <v>0</v>
      </c>
      <c r="AJ32" s="124">
        <f t="shared" ref="AJ32" si="84">SUM(AJ27:AJ31)</f>
        <v>0</v>
      </c>
      <c r="AK32" s="124">
        <f t="shared" ref="AK32" si="85">SUM(AK27:AK31)</f>
        <v>0</v>
      </c>
      <c r="AL32" s="124">
        <f t="shared" ref="AL32" si="86">SUM(AL27:AL31)</f>
        <v>0</v>
      </c>
      <c r="AM32" s="125">
        <f t="shared" ref="AM32" si="87">SUM(AM27:AM31)</f>
        <v>0</v>
      </c>
      <c r="AN32" s="99">
        <f t="shared" ref="AN32" si="88">SUM(AN27:AN31)</f>
        <v>0</v>
      </c>
      <c r="AO32" s="99">
        <f t="shared" ref="AO32" si="89">SUM(AO27:AO31)</f>
        <v>0</v>
      </c>
      <c r="AP32" s="99">
        <f t="shared" ref="AP32" si="90">SUM(AP27:AP31)</f>
        <v>0</v>
      </c>
      <c r="AQ32" s="99">
        <f t="shared" ref="AQ32" si="91">SUM(AQ27:AQ31)</f>
        <v>0</v>
      </c>
      <c r="AR32" s="99">
        <f t="shared" ref="AR32" si="92">SUM(AR27:AR31)</f>
        <v>0</v>
      </c>
      <c r="AT32" s="202" t="s">
        <v>265</v>
      </c>
      <c r="AU32" s="202">
        <f t="shared" si="77"/>
        <v>0</v>
      </c>
      <c r="AV32" s="203">
        <f t="shared" si="78"/>
        <v>0</v>
      </c>
    </row>
    <row r="33" spans="2:48" s="10" customFormat="1" ht="13.5" customHeight="1" x14ac:dyDescent="0.25">
      <c r="B33" s="17">
        <v>31</v>
      </c>
      <c r="E33" s="72"/>
      <c r="F33" s="18"/>
      <c r="J33" s="11"/>
      <c r="K33" s="11">
        <f t="shared" si="17"/>
        <v>0</v>
      </c>
      <c r="L33" s="37">
        <f t="shared" si="18"/>
        <v>0</v>
      </c>
      <c r="M33" s="11"/>
      <c r="O33" s="21"/>
      <c r="P33" s="21"/>
      <c r="Q33" s="21"/>
      <c r="R33" s="23"/>
      <c r="S33" s="50"/>
      <c r="T33" s="48"/>
      <c r="U33" s="81"/>
      <c r="V33" s="26"/>
      <c r="W33" s="200"/>
      <c r="X33" s="17"/>
      <c r="Z33">
        <v>6</v>
      </c>
      <c r="AA33" s="415">
        <v>6</v>
      </c>
      <c r="AB33" s="94">
        <v>1</v>
      </c>
      <c r="AC33" s="100" t="s">
        <v>114</v>
      </c>
      <c r="AD33" s="41">
        <f t="shared" si="2"/>
        <v>0</v>
      </c>
      <c r="AE33" s="70">
        <f t="shared" si="3"/>
        <v>0</v>
      </c>
      <c r="AF33" s="70">
        <f t="shared" si="4"/>
        <v>0</v>
      </c>
      <c r="AG33" s="70">
        <f t="shared" si="5"/>
        <v>0</v>
      </c>
      <c r="AH33" s="109">
        <f t="shared" si="6"/>
        <v>0</v>
      </c>
      <c r="AI33" s="120">
        <f t="shared" si="7"/>
        <v>0</v>
      </c>
      <c r="AJ33" s="121">
        <f t="shared" si="8"/>
        <v>0</v>
      </c>
      <c r="AK33" s="121">
        <f t="shared" si="9"/>
        <v>0</v>
      </c>
      <c r="AL33" s="121">
        <f t="shared" si="10"/>
        <v>0</v>
      </c>
      <c r="AM33" s="122">
        <f t="shared" si="11"/>
        <v>0</v>
      </c>
      <c r="AN33" s="41">
        <f t="shared" si="12"/>
        <v>0</v>
      </c>
      <c r="AO33" s="70">
        <f t="shared" si="13"/>
        <v>0</v>
      </c>
      <c r="AP33" s="70">
        <f t="shared" si="14"/>
        <v>0</v>
      </c>
      <c r="AQ33" s="70">
        <f t="shared" si="15"/>
        <v>0</v>
      </c>
      <c r="AR33" s="70">
        <f t="shared" si="16"/>
        <v>0</v>
      </c>
      <c r="AT33" s="201" t="s">
        <v>266</v>
      </c>
      <c r="AU33" s="201">
        <f>SUM(AU25:AU32)</f>
        <v>6</v>
      </c>
      <c r="AV33" s="204">
        <f t="shared" si="78"/>
        <v>1</v>
      </c>
    </row>
    <row r="34" spans="2:48" s="10" customFormat="1" ht="13.5" customHeight="1" x14ac:dyDescent="0.25">
      <c r="B34" s="17">
        <v>32</v>
      </c>
      <c r="E34" s="72"/>
      <c r="F34" s="18"/>
      <c r="J34" s="11"/>
      <c r="K34" s="11">
        <f t="shared" si="17"/>
        <v>0</v>
      </c>
      <c r="L34" s="37">
        <f t="shared" si="18"/>
        <v>0</v>
      </c>
      <c r="M34" s="11"/>
      <c r="O34" s="21"/>
      <c r="P34" s="21"/>
      <c r="Q34" s="21"/>
      <c r="R34" s="23"/>
      <c r="S34" s="50"/>
      <c r="T34" s="48"/>
      <c r="U34" s="81"/>
      <c r="V34" s="26"/>
      <c r="W34" s="200"/>
      <c r="X34" s="17"/>
      <c r="Z34">
        <v>6</v>
      </c>
      <c r="AA34" s="416"/>
      <c r="AB34" s="95">
        <v>2</v>
      </c>
      <c r="AC34" s="102" t="s">
        <v>115</v>
      </c>
      <c r="AD34" s="41">
        <f t="shared" si="2"/>
        <v>0</v>
      </c>
      <c r="AE34" s="70">
        <f t="shared" si="3"/>
        <v>0</v>
      </c>
      <c r="AF34" s="70">
        <f t="shared" si="4"/>
        <v>0</v>
      </c>
      <c r="AG34" s="70">
        <f t="shared" si="5"/>
        <v>0</v>
      </c>
      <c r="AH34" s="109">
        <f t="shared" si="6"/>
        <v>0</v>
      </c>
      <c r="AI34" s="120">
        <f t="shared" si="7"/>
        <v>0</v>
      </c>
      <c r="AJ34" s="121">
        <f t="shared" si="8"/>
        <v>0</v>
      </c>
      <c r="AK34" s="121">
        <f t="shared" si="9"/>
        <v>0</v>
      </c>
      <c r="AL34" s="121">
        <f t="shared" si="10"/>
        <v>0</v>
      </c>
      <c r="AM34" s="122">
        <f t="shared" si="11"/>
        <v>0</v>
      </c>
      <c r="AN34" s="41">
        <f t="shared" si="12"/>
        <v>0</v>
      </c>
      <c r="AO34" s="70">
        <f t="shared" si="13"/>
        <v>0</v>
      </c>
      <c r="AP34" s="70">
        <f t="shared" si="14"/>
        <v>0</v>
      </c>
      <c r="AQ34" s="70">
        <f t="shared" si="15"/>
        <v>0</v>
      </c>
      <c r="AR34" s="70">
        <f t="shared" si="16"/>
        <v>0</v>
      </c>
    </row>
    <row r="35" spans="2:48" s="10" customFormat="1" ht="13.5" customHeight="1" x14ac:dyDescent="0.25">
      <c r="B35" s="17">
        <v>33</v>
      </c>
      <c r="E35" s="72"/>
      <c r="F35" s="18"/>
      <c r="J35" s="11"/>
      <c r="K35" s="11">
        <f t="shared" si="17"/>
        <v>0</v>
      </c>
      <c r="L35" s="37">
        <f t="shared" si="18"/>
        <v>0</v>
      </c>
      <c r="M35" s="11"/>
      <c r="O35" s="21"/>
      <c r="P35" s="21"/>
      <c r="Q35" s="21"/>
      <c r="R35" s="23"/>
      <c r="S35" s="50"/>
      <c r="T35" s="48"/>
      <c r="U35" s="81"/>
      <c r="V35" s="26"/>
      <c r="W35" s="200"/>
      <c r="X35" s="17"/>
      <c r="Z35">
        <v>6</v>
      </c>
      <c r="AA35" s="416"/>
      <c r="AB35" s="95">
        <v>3</v>
      </c>
      <c r="AC35" s="102" t="s">
        <v>116</v>
      </c>
      <c r="AD35" s="41">
        <f t="shared" si="2"/>
        <v>0</v>
      </c>
      <c r="AE35" s="70">
        <f t="shared" si="3"/>
        <v>0</v>
      </c>
      <c r="AF35" s="70">
        <f t="shared" si="4"/>
        <v>0</v>
      </c>
      <c r="AG35" s="70">
        <f t="shared" si="5"/>
        <v>0</v>
      </c>
      <c r="AH35" s="109">
        <f t="shared" si="6"/>
        <v>0</v>
      </c>
      <c r="AI35" s="120">
        <f t="shared" si="7"/>
        <v>0</v>
      </c>
      <c r="AJ35" s="121">
        <f t="shared" si="8"/>
        <v>0</v>
      </c>
      <c r="AK35" s="121">
        <f t="shared" si="9"/>
        <v>0</v>
      </c>
      <c r="AL35" s="121">
        <f t="shared" si="10"/>
        <v>0</v>
      </c>
      <c r="AM35" s="122">
        <f t="shared" si="11"/>
        <v>0</v>
      </c>
      <c r="AN35" s="41">
        <f t="shared" si="12"/>
        <v>0</v>
      </c>
      <c r="AO35" s="70">
        <f t="shared" si="13"/>
        <v>0</v>
      </c>
      <c r="AP35" s="70">
        <f t="shared" si="14"/>
        <v>0</v>
      </c>
      <c r="AQ35" s="70">
        <f t="shared" si="15"/>
        <v>0</v>
      </c>
      <c r="AR35" s="70">
        <f t="shared" si="16"/>
        <v>0</v>
      </c>
    </row>
    <row r="36" spans="2:48" s="10" customFormat="1" ht="13.5" customHeight="1" x14ac:dyDescent="0.25">
      <c r="B36" s="17">
        <v>34</v>
      </c>
      <c r="E36" s="72"/>
      <c r="F36" s="18"/>
      <c r="J36" s="11"/>
      <c r="K36" s="11">
        <f t="shared" si="17"/>
        <v>0</v>
      </c>
      <c r="L36" s="37">
        <f t="shared" si="18"/>
        <v>0</v>
      </c>
      <c r="M36" s="11"/>
      <c r="O36" s="21"/>
      <c r="P36" s="21"/>
      <c r="Q36" s="21"/>
      <c r="R36" s="23"/>
      <c r="S36" s="50"/>
      <c r="T36" s="48"/>
      <c r="U36" s="81"/>
      <c r="V36" s="32"/>
      <c r="W36" s="200"/>
      <c r="X36" s="17"/>
      <c r="Z36">
        <v>6</v>
      </c>
      <c r="AA36" s="416"/>
      <c r="AB36" s="95">
        <v>4</v>
      </c>
      <c r="AC36" s="102" t="s">
        <v>117</v>
      </c>
      <c r="AD36" s="41">
        <f t="shared" si="2"/>
        <v>0</v>
      </c>
      <c r="AE36" s="70">
        <f t="shared" si="3"/>
        <v>0</v>
      </c>
      <c r="AF36" s="70">
        <f t="shared" si="4"/>
        <v>0</v>
      </c>
      <c r="AG36" s="70">
        <f t="shared" si="5"/>
        <v>0</v>
      </c>
      <c r="AH36" s="109">
        <f t="shared" si="6"/>
        <v>0</v>
      </c>
      <c r="AI36" s="120">
        <f t="shared" si="7"/>
        <v>0</v>
      </c>
      <c r="AJ36" s="121">
        <f t="shared" si="8"/>
        <v>0</v>
      </c>
      <c r="AK36" s="121">
        <f t="shared" si="9"/>
        <v>0</v>
      </c>
      <c r="AL36" s="121">
        <f t="shared" si="10"/>
        <v>0</v>
      </c>
      <c r="AM36" s="122">
        <f t="shared" si="11"/>
        <v>0</v>
      </c>
      <c r="AN36" s="41">
        <f t="shared" si="12"/>
        <v>0</v>
      </c>
      <c r="AO36" s="70">
        <f t="shared" si="13"/>
        <v>0</v>
      </c>
      <c r="AP36" s="70">
        <f t="shared" si="14"/>
        <v>0</v>
      </c>
      <c r="AQ36" s="70">
        <f t="shared" si="15"/>
        <v>0</v>
      </c>
      <c r="AR36" s="70">
        <f t="shared" si="16"/>
        <v>0</v>
      </c>
    </row>
    <row r="37" spans="2:48" s="10" customFormat="1" ht="13.5" customHeight="1" x14ac:dyDescent="0.25">
      <c r="B37" s="17">
        <v>35</v>
      </c>
      <c r="E37" s="72"/>
      <c r="F37" s="18"/>
      <c r="J37" s="11"/>
      <c r="K37" s="11">
        <f t="shared" si="17"/>
        <v>0</v>
      </c>
      <c r="L37" s="37">
        <f t="shared" si="18"/>
        <v>0</v>
      </c>
      <c r="M37" s="11"/>
      <c r="O37" s="21"/>
      <c r="P37" s="21"/>
      <c r="Q37" s="21"/>
      <c r="R37" s="23"/>
      <c r="S37" s="50"/>
      <c r="T37" s="48"/>
      <c r="U37" s="81"/>
      <c r="V37" s="32"/>
      <c r="W37" s="200"/>
      <c r="X37" s="17"/>
      <c r="Z37">
        <v>6</v>
      </c>
      <c r="AA37" s="416"/>
      <c r="AB37" s="96">
        <v>5</v>
      </c>
      <c r="AC37" s="102"/>
      <c r="AD37" s="41">
        <f t="shared" si="2"/>
        <v>0</v>
      </c>
      <c r="AE37" s="70">
        <f t="shared" si="3"/>
        <v>0</v>
      </c>
      <c r="AF37" s="70">
        <f t="shared" si="4"/>
        <v>0</v>
      </c>
      <c r="AG37" s="70">
        <f t="shared" si="5"/>
        <v>0</v>
      </c>
      <c r="AH37" s="109">
        <f t="shared" si="6"/>
        <v>0</v>
      </c>
      <c r="AI37" s="120">
        <f t="shared" si="7"/>
        <v>0</v>
      </c>
      <c r="AJ37" s="121">
        <f t="shared" si="8"/>
        <v>0</v>
      </c>
      <c r="AK37" s="121">
        <f t="shared" si="9"/>
        <v>0</v>
      </c>
      <c r="AL37" s="121">
        <f t="shared" si="10"/>
        <v>0</v>
      </c>
      <c r="AM37" s="122">
        <f t="shared" si="11"/>
        <v>0</v>
      </c>
      <c r="AN37" s="41">
        <f t="shared" si="12"/>
        <v>0</v>
      </c>
      <c r="AO37" s="70">
        <f t="shared" si="13"/>
        <v>0</v>
      </c>
      <c r="AP37" s="70">
        <f t="shared" si="14"/>
        <v>0</v>
      </c>
      <c r="AQ37" s="70">
        <f t="shared" si="15"/>
        <v>0</v>
      </c>
      <c r="AR37" s="70">
        <f t="shared" si="16"/>
        <v>0</v>
      </c>
    </row>
    <row r="38" spans="2:48" s="10" customFormat="1" ht="13.5" customHeight="1" thickBot="1" x14ac:dyDescent="0.3">
      <c r="B38" s="17">
        <v>36</v>
      </c>
      <c r="E38" s="72"/>
      <c r="F38" s="18"/>
      <c r="J38" s="11"/>
      <c r="K38" s="11">
        <f t="shared" si="17"/>
        <v>0</v>
      </c>
      <c r="L38" s="37">
        <f t="shared" si="18"/>
        <v>0</v>
      </c>
      <c r="M38" s="11"/>
      <c r="O38" s="21"/>
      <c r="P38" s="21"/>
      <c r="Q38" s="21"/>
      <c r="R38" s="23"/>
      <c r="S38" s="50"/>
      <c r="T38" s="48"/>
      <c r="U38" s="81"/>
      <c r="V38" s="26"/>
      <c r="W38" s="200"/>
      <c r="X38" s="17"/>
      <c r="Z38">
        <v>6</v>
      </c>
      <c r="AA38" s="417"/>
      <c r="AB38" s="97" t="s">
        <v>3</v>
      </c>
      <c r="AC38" s="103"/>
      <c r="AD38" s="99">
        <f>SUM(AD33:AD37)</f>
        <v>0</v>
      </c>
      <c r="AE38" s="99">
        <f t="shared" ref="AE38" si="93">SUM(AE33:AE37)</f>
        <v>0</v>
      </c>
      <c r="AF38" s="99">
        <f t="shared" ref="AF38" si="94">SUM(AF33:AF37)</f>
        <v>0</v>
      </c>
      <c r="AG38" s="99">
        <f t="shared" ref="AG38" si="95">SUM(AG33:AG37)</f>
        <v>0</v>
      </c>
      <c r="AH38" s="110">
        <f t="shared" ref="AH38" si="96">SUM(AH33:AH37)</f>
        <v>0</v>
      </c>
      <c r="AI38" s="123">
        <f t="shared" ref="AI38" si="97">SUM(AI33:AI37)</f>
        <v>0</v>
      </c>
      <c r="AJ38" s="124">
        <f t="shared" ref="AJ38" si="98">SUM(AJ33:AJ37)</f>
        <v>0</v>
      </c>
      <c r="AK38" s="124">
        <f t="shared" ref="AK38" si="99">SUM(AK33:AK37)</f>
        <v>0</v>
      </c>
      <c r="AL38" s="124">
        <f t="shared" ref="AL38" si="100">SUM(AL33:AL37)</f>
        <v>0</v>
      </c>
      <c r="AM38" s="125">
        <f t="shared" ref="AM38" si="101">SUM(AM33:AM37)</f>
        <v>0</v>
      </c>
      <c r="AN38" s="99">
        <f t="shared" ref="AN38" si="102">SUM(AN33:AN37)</f>
        <v>0</v>
      </c>
      <c r="AO38" s="99">
        <f t="shared" ref="AO38" si="103">SUM(AO33:AO37)</f>
        <v>0</v>
      </c>
      <c r="AP38" s="99">
        <f t="shared" ref="AP38" si="104">SUM(AP33:AP37)</f>
        <v>0</v>
      </c>
      <c r="AQ38" s="99">
        <f t="shared" ref="AQ38" si="105">SUM(AQ33:AQ37)</f>
        <v>0</v>
      </c>
      <c r="AR38" s="99">
        <f t="shared" ref="AR38" si="106">SUM(AR33:AR37)</f>
        <v>0</v>
      </c>
    </row>
    <row r="39" spans="2:48" s="10" customFormat="1" ht="13.5" customHeight="1" x14ac:dyDescent="0.25">
      <c r="B39" s="17">
        <v>37</v>
      </c>
      <c r="E39" s="72"/>
      <c r="F39" s="18"/>
      <c r="J39" s="11"/>
      <c r="K39" s="11">
        <f t="shared" si="17"/>
        <v>0</v>
      </c>
      <c r="L39" s="37">
        <f t="shared" si="18"/>
        <v>0</v>
      </c>
      <c r="M39" s="11"/>
      <c r="O39" s="21"/>
      <c r="P39" s="21"/>
      <c r="Q39" s="21"/>
      <c r="R39" s="23"/>
      <c r="S39" s="50"/>
      <c r="T39" s="48"/>
      <c r="U39" s="81"/>
      <c r="V39" s="26"/>
      <c r="W39" s="200"/>
      <c r="X39" s="17"/>
      <c r="Z39">
        <v>7</v>
      </c>
      <c r="AA39" s="415">
        <v>7</v>
      </c>
      <c r="AB39" s="94">
        <v>1</v>
      </c>
      <c r="AC39" s="100" t="s">
        <v>118</v>
      </c>
      <c r="AD39" s="41">
        <f t="shared" si="2"/>
        <v>0</v>
      </c>
      <c r="AE39" s="70">
        <f t="shared" si="3"/>
        <v>0</v>
      </c>
      <c r="AF39" s="70">
        <f t="shared" si="4"/>
        <v>0</v>
      </c>
      <c r="AG39" s="70">
        <f t="shared" si="5"/>
        <v>0</v>
      </c>
      <c r="AH39" s="109">
        <f t="shared" si="6"/>
        <v>0</v>
      </c>
      <c r="AI39" s="120">
        <f t="shared" si="7"/>
        <v>0</v>
      </c>
      <c r="AJ39" s="121">
        <f t="shared" si="8"/>
        <v>0</v>
      </c>
      <c r="AK39" s="121">
        <f t="shared" si="9"/>
        <v>0</v>
      </c>
      <c r="AL39" s="121">
        <f t="shared" si="10"/>
        <v>0</v>
      </c>
      <c r="AM39" s="122">
        <f t="shared" si="11"/>
        <v>0</v>
      </c>
      <c r="AN39" s="41">
        <f t="shared" si="12"/>
        <v>0</v>
      </c>
      <c r="AO39" s="70">
        <f t="shared" si="13"/>
        <v>0</v>
      </c>
      <c r="AP39" s="70">
        <f t="shared" si="14"/>
        <v>0</v>
      </c>
      <c r="AQ39" s="70">
        <f t="shared" si="15"/>
        <v>0</v>
      </c>
      <c r="AR39" s="70">
        <f t="shared" si="16"/>
        <v>0</v>
      </c>
    </row>
    <row r="40" spans="2:48" s="10" customFormat="1" ht="13.5" customHeight="1" x14ac:dyDescent="0.25">
      <c r="B40" s="17">
        <v>38</v>
      </c>
      <c r="E40" s="72"/>
      <c r="F40" s="18"/>
      <c r="J40" s="11"/>
      <c r="K40" s="11">
        <f t="shared" si="17"/>
        <v>0</v>
      </c>
      <c r="L40" s="37">
        <f t="shared" si="18"/>
        <v>0</v>
      </c>
      <c r="M40" s="11"/>
      <c r="O40" s="21"/>
      <c r="P40" s="21"/>
      <c r="Q40" s="21"/>
      <c r="R40" s="23"/>
      <c r="S40" s="50"/>
      <c r="T40" s="48"/>
      <c r="U40" s="81"/>
      <c r="V40" s="26"/>
      <c r="W40" s="200"/>
      <c r="X40" s="17"/>
      <c r="Z40">
        <v>7</v>
      </c>
      <c r="AA40" s="416"/>
      <c r="AB40" s="95">
        <v>2</v>
      </c>
      <c r="AC40" s="102" t="s">
        <v>68</v>
      </c>
      <c r="AD40" s="41">
        <f t="shared" si="2"/>
        <v>0</v>
      </c>
      <c r="AE40" s="70">
        <f t="shared" si="3"/>
        <v>0</v>
      </c>
      <c r="AF40" s="70">
        <f t="shared" si="4"/>
        <v>0</v>
      </c>
      <c r="AG40" s="70">
        <f t="shared" si="5"/>
        <v>0</v>
      </c>
      <c r="AH40" s="109">
        <f t="shared" si="6"/>
        <v>0</v>
      </c>
      <c r="AI40" s="120">
        <f t="shared" si="7"/>
        <v>0</v>
      </c>
      <c r="AJ40" s="121">
        <f t="shared" si="8"/>
        <v>0</v>
      </c>
      <c r="AK40" s="121">
        <f t="shared" si="9"/>
        <v>0</v>
      </c>
      <c r="AL40" s="121">
        <f t="shared" si="10"/>
        <v>0</v>
      </c>
      <c r="AM40" s="122">
        <f t="shared" si="11"/>
        <v>0</v>
      </c>
      <c r="AN40" s="41">
        <f t="shared" si="12"/>
        <v>0</v>
      </c>
      <c r="AO40" s="70">
        <f t="shared" si="13"/>
        <v>0</v>
      </c>
      <c r="AP40" s="70">
        <f t="shared" si="14"/>
        <v>0</v>
      </c>
      <c r="AQ40" s="70">
        <f t="shared" si="15"/>
        <v>0</v>
      </c>
      <c r="AR40" s="70">
        <f t="shared" si="16"/>
        <v>0</v>
      </c>
    </row>
    <row r="41" spans="2:48" s="10" customFormat="1" ht="13.5" customHeight="1" x14ac:dyDescent="0.25">
      <c r="B41" s="17">
        <v>39</v>
      </c>
      <c r="E41" s="72"/>
      <c r="F41" s="18"/>
      <c r="J41" s="11"/>
      <c r="K41" s="11">
        <f t="shared" si="17"/>
        <v>0</v>
      </c>
      <c r="L41" s="37">
        <f t="shared" si="18"/>
        <v>0</v>
      </c>
      <c r="M41" s="11"/>
      <c r="O41" s="21"/>
      <c r="P41" s="21"/>
      <c r="Q41" s="21"/>
      <c r="R41" s="23"/>
      <c r="S41" s="50"/>
      <c r="T41" s="48"/>
      <c r="U41" s="81"/>
      <c r="V41" s="26"/>
      <c r="W41" s="200"/>
      <c r="X41" s="17"/>
      <c r="Z41">
        <v>7</v>
      </c>
      <c r="AA41" s="416"/>
      <c r="AB41" s="95">
        <v>3</v>
      </c>
      <c r="AC41" s="102" t="s">
        <v>69</v>
      </c>
      <c r="AD41" s="41">
        <f t="shared" si="2"/>
        <v>0</v>
      </c>
      <c r="AE41" s="70">
        <f t="shared" si="3"/>
        <v>0</v>
      </c>
      <c r="AF41" s="70">
        <f t="shared" si="4"/>
        <v>0</v>
      </c>
      <c r="AG41" s="70">
        <f t="shared" si="5"/>
        <v>0</v>
      </c>
      <c r="AH41" s="109">
        <f t="shared" si="6"/>
        <v>0</v>
      </c>
      <c r="AI41" s="120">
        <f t="shared" si="7"/>
        <v>0</v>
      </c>
      <c r="AJ41" s="121">
        <f t="shared" si="8"/>
        <v>0</v>
      </c>
      <c r="AK41" s="121">
        <f t="shared" si="9"/>
        <v>0</v>
      </c>
      <c r="AL41" s="121">
        <f t="shared" si="10"/>
        <v>0</v>
      </c>
      <c r="AM41" s="122">
        <f t="shared" si="11"/>
        <v>0</v>
      </c>
      <c r="AN41" s="41">
        <f t="shared" si="12"/>
        <v>0</v>
      </c>
      <c r="AO41" s="70">
        <f t="shared" si="13"/>
        <v>0</v>
      </c>
      <c r="AP41" s="70">
        <f t="shared" si="14"/>
        <v>0</v>
      </c>
      <c r="AQ41" s="70">
        <f t="shared" si="15"/>
        <v>0</v>
      </c>
      <c r="AR41" s="70">
        <f t="shared" si="16"/>
        <v>0</v>
      </c>
    </row>
    <row r="42" spans="2:48" s="10" customFormat="1" ht="13.5" customHeight="1" x14ac:dyDescent="0.25">
      <c r="B42" s="17">
        <v>40</v>
      </c>
      <c r="E42" s="72"/>
      <c r="F42" s="18"/>
      <c r="J42" s="11"/>
      <c r="K42" s="11">
        <f t="shared" si="17"/>
        <v>0</v>
      </c>
      <c r="L42" s="37">
        <f t="shared" si="18"/>
        <v>0</v>
      </c>
      <c r="M42" s="11"/>
      <c r="O42" s="21"/>
      <c r="P42" s="21"/>
      <c r="Q42" s="21"/>
      <c r="R42" s="23"/>
      <c r="S42" s="50"/>
      <c r="T42" s="48"/>
      <c r="U42" s="81"/>
      <c r="V42" s="26"/>
      <c r="W42" s="200"/>
      <c r="X42" s="17"/>
      <c r="Z42">
        <v>7</v>
      </c>
      <c r="AA42" s="416"/>
      <c r="AB42" s="95">
        <v>4</v>
      </c>
      <c r="AC42" s="102" t="s">
        <v>70</v>
      </c>
      <c r="AD42" s="41">
        <f t="shared" si="2"/>
        <v>0</v>
      </c>
      <c r="AE42" s="70">
        <f t="shared" si="3"/>
        <v>0</v>
      </c>
      <c r="AF42" s="70">
        <f t="shared" si="4"/>
        <v>0</v>
      </c>
      <c r="AG42" s="70">
        <f t="shared" si="5"/>
        <v>0</v>
      </c>
      <c r="AH42" s="109">
        <f t="shared" si="6"/>
        <v>0</v>
      </c>
      <c r="AI42" s="120">
        <f t="shared" si="7"/>
        <v>0</v>
      </c>
      <c r="AJ42" s="121">
        <f t="shared" si="8"/>
        <v>0</v>
      </c>
      <c r="AK42" s="121">
        <f t="shared" si="9"/>
        <v>0</v>
      </c>
      <c r="AL42" s="121">
        <f t="shared" si="10"/>
        <v>0</v>
      </c>
      <c r="AM42" s="122">
        <f t="shared" si="11"/>
        <v>0</v>
      </c>
      <c r="AN42" s="41">
        <f t="shared" si="12"/>
        <v>0</v>
      </c>
      <c r="AO42" s="70">
        <f t="shared" si="13"/>
        <v>0</v>
      </c>
      <c r="AP42" s="70">
        <f t="shared" si="14"/>
        <v>0</v>
      </c>
      <c r="AQ42" s="70">
        <f t="shared" si="15"/>
        <v>0</v>
      </c>
      <c r="AR42" s="70">
        <f t="shared" si="16"/>
        <v>0</v>
      </c>
    </row>
    <row r="43" spans="2:48" x14ac:dyDescent="0.25">
      <c r="B43" s="17">
        <v>41</v>
      </c>
      <c r="C43" s="10"/>
      <c r="D43" s="10"/>
      <c r="E43" s="72"/>
      <c r="F43" s="18"/>
      <c r="G43" s="10"/>
      <c r="H43" s="10"/>
      <c r="I43" s="10"/>
      <c r="J43" s="11"/>
      <c r="K43" s="11">
        <f t="shared" si="17"/>
        <v>0</v>
      </c>
      <c r="L43" s="37">
        <f t="shared" si="18"/>
        <v>0</v>
      </c>
      <c r="M43" s="11"/>
      <c r="N43" s="10"/>
      <c r="O43" s="21"/>
      <c r="P43" s="21"/>
      <c r="Q43" s="21"/>
      <c r="R43" s="23"/>
      <c r="S43" s="50"/>
      <c r="T43" s="48"/>
      <c r="U43" s="82"/>
      <c r="V43" s="32"/>
      <c r="W43" s="200"/>
      <c r="X43" s="17"/>
      <c r="Z43">
        <v>7</v>
      </c>
      <c r="AA43" s="416"/>
      <c r="AB43" s="96">
        <v>5</v>
      </c>
      <c r="AC43" s="105" t="s">
        <v>119</v>
      </c>
      <c r="AD43" s="41">
        <f t="shared" si="2"/>
        <v>0</v>
      </c>
      <c r="AE43" s="70">
        <f t="shared" si="3"/>
        <v>0</v>
      </c>
      <c r="AF43" s="70">
        <f t="shared" si="4"/>
        <v>0</v>
      </c>
      <c r="AG43" s="70">
        <f t="shared" si="5"/>
        <v>0</v>
      </c>
      <c r="AH43" s="109">
        <f t="shared" si="6"/>
        <v>0</v>
      </c>
      <c r="AI43" s="120">
        <f t="shared" si="7"/>
        <v>0</v>
      </c>
      <c r="AJ43" s="121">
        <f t="shared" si="8"/>
        <v>0</v>
      </c>
      <c r="AK43" s="121">
        <f t="shared" si="9"/>
        <v>0</v>
      </c>
      <c r="AL43" s="121">
        <f t="shared" si="10"/>
        <v>0</v>
      </c>
      <c r="AM43" s="122">
        <f t="shared" si="11"/>
        <v>0</v>
      </c>
      <c r="AN43" s="41">
        <f t="shared" si="12"/>
        <v>0</v>
      </c>
      <c r="AO43" s="70">
        <f t="shared" si="13"/>
        <v>0</v>
      </c>
      <c r="AP43" s="70">
        <f t="shared" si="14"/>
        <v>0</v>
      </c>
      <c r="AQ43" s="70">
        <f t="shared" si="15"/>
        <v>0</v>
      </c>
      <c r="AR43" s="70">
        <f t="shared" si="16"/>
        <v>0</v>
      </c>
    </row>
    <row r="44" spans="2:48" ht="14.25" thickBot="1" x14ac:dyDescent="0.3">
      <c r="B44" s="17">
        <v>42</v>
      </c>
      <c r="C44" s="10"/>
      <c r="D44" s="10"/>
      <c r="E44" s="72"/>
      <c r="F44" s="18"/>
      <c r="G44" s="10"/>
      <c r="H44" s="10"/>
      <c r="I44" s="10"/>
      <c r="J44" s="11"/>
      <c r="K44" s="11">
        <f t="shared" si="17"/>
        <v>0</v>
      </c>
      <c r="L44" s="37">
        <f t="shared" si="18"/>
        <v>0</v>
      </c>
      <c r="M44" s="11"/>
      <c r="N44" s="10"/>
      <c r="O44" s="21"/>
      <c r="P44" s="21"/>
      <c r="Q44" s="21"/>
      <c r="R44" s="23"/>
      <c r="S44" s="50"/>
      <c r="T44" s="48"/>
      <c r="U44" s="82"/>
      <c r="V44" s="32"/>
      <c r="W44" s="200"/>
      <c r="X44" s="17"/>
      <c r="Z44">
        <v>7</v>
      </c>
      <c r="AA44" s="417"/>
      <c r="AB44" s="97" t="s">
        <v>3</v>
      </c>
      <c r="AC44" s="106"/>
      <c r="AD44" s="99">
        <f>SUM(AD39:AD43)</f>
        <v>0</v>
      </c>
      <c r="AE44" s="99">
        <f t="shared" ref="AE44" si="107">SUM(AE39:AE43)</f>
        <v>0</v>
      </c>
      <c r="AF44" s="99">
        <f t="shared" ref="AF44" si="108">SUM(AF39:AF43)</f>
        <v>0</v>
      </c>
      <c r="AG44" s="99">
        <f t="shared" ref="AG44" si="109">SUM(AG39:AG43)</f>
        <v>0</v>
      </c>
      <c r="AH44" s="110">
        <f t="shared" ref="AH44" si="110">SUM(AH39:AH43)</f>
        <v>0</v>
      </c>
      <c r="AI44" s="123">
        <f t="shared" ref="AI44" si="111">SUM(AI39:AI43)</f>
        <v>0</v>
      </c>
      <c r="AJ44" s="124">
        <f t="shared" ref="AJ44" si="112">SUM(AJ39:AJ43)</f>
        <v>0</v>
      </c>
      <c r="AK44" s="124">
        <f t="shared" ref="AK44" si="113">SUM(AK39:AK43)</f>
        <v>0</v>
      </c>
      <c r="AL44" s="124">
        <f t="shared" ref="AL44" si="114">SUM(AL39:AL43)</f>
        <v>0</v>
      </c>
      <c r="AM44" s="125">
        <f t="shared" ref="AM44" si="115">SUM(AM39:AM43)</f>
        <v>0</v>
      </c>
      <c r="AN44" s="99">
        <f t="shared" ref="AN44" si="116">SUM(AN39:AN43)</f>
        <v>0</v>
      </c>
      <c r="AO44" s="99">
        <f t="shared" ref="AO44" si="117">SUM(AO39:AO43)</f>
        <v>0</v>
      </c>
      <c r="AP44" s="99">
        <f t="shared" ref="AP44" si="118">SUM(AP39:AP43)</f>
        <v>0</v>
      </c>
      <c r="AQ44" s="99">
        <f t="shared" ref="AQ44" si="119">SUM(AQ39:AQ43)</f>
        <v>0</v>
      </c>
      <c r="AR44" s="99">
        <f t="shared" ref="AR44" si="120">SUM(AR39:AR43)</f>
        <v>0</v>
      </c>
    </row>
    <row r="45" spans="2:48" x14ac:dyDescent="0.25">
      <c r="B45" s="17">
        <v>43</v>
      </c>
      <c r="C45" s="10"/>
      <c r="D45" s="10"/>
      <c r="E45" s="72"/>
      <c r="F45" s="18"/>
      <c r="G45" s="10"/>
      <c r="H45" s="10"/>
      <c r="I45" s="10"/>
      <c r="J45" s="11"/>
      <c r="K45" s="11">
        <f t="shared" si="17"/>
        <v>0</v>
      </c>
      <c r="L45" s="37">
        <f t="shared" si="18"/>
        <v>0</v>
      </c>
      <c r="M45" s="11"/>
      <c r="N45" s="10"/>
      <c r="O45" s="21"/>
      <c r="P45" s="21"/>
      <c r="Q45" s="21"/>
      <c r="R45" s="23"/>
      <c r="S45" s="50"/>
      <c r="T45" s="48"/>
      <c r="U45" s="82"/>
      <c r="V45" s="26"/>
      <c r="W45" s="200"/>
      <c r="X45" s="17"/>
      <c r="Z45">
        <v>8</v>
      </c>
      <c r="AA45" s="415">
        <v>8</v>
      </c>
      <c r="AB45" s="94">
        <v>1</v>
      </c>
      <c r="AC45" s="100" t="s">
        <v>120</v>
      </c>
      <c r="AD45" s="41">
        <f t="shared" si="2"/>
        <v>0</v>
      </c>
      <c r="AE45" s="70">
        <f t="shared" si="3"/>
        <v>0</v>
      </c>
      <c r="AF45" s="70">
        <f t="shared" si="4"/>
        <v>0</v>
      </c>
      <c r="AG45" s="70">
        <f t="shared" si="5"/>
        <v>0</v>
      </c>
      <c r="AH45" s="109">
        <f t="shared" si="6"/>
        <v>0</v>
      </c>
      <c r="AI45" s="120">
        <f t="shared" si="7"/>
        <v>0</v>
      </c>
      <c r="AJ45" s="121">
        <f t="shared" si="8"/>
        <v>0</v>
      </c>
      <c r="AK45" s="121">
        <f t="shared" si="9"/>
        <v>0</v>
      </c>
      <c r="AL45" s="121">
        <f t="shared" si="10"/>
        <v>0</v>
      </c>
      <c r="AM45" s="122">
        <f t="shared" si="11"/>
        <v>0</v>
      </c>
      <c r="AN45" s="41">
        <f t="shared" si="12"/>
        <v>0</v>
      </c>
      <c r="AO45" s="70">
        <f t="shared" si="13"/>
        <v>0</v>
      </c>
      <c r="AP45" s="70">
        <f t="shared" si="14"/>
        <v>0</v>
      </c>
      <c r="AQ45" s="70">
        <f t="shared" si="15"/>
        <v>0</v>
      </c>
      <c r="AR45" s="70">
        <f t="shared" si="16"/>
        <v>0</v>
      </c>
    </row>
    <row r="46" spans="2:48" x14ac:dyDescent="0.25">
      <c r="B46" s="17">
        <v>44</v>
      </c>
      <c r="C46" s="10"/>
      <c r="D46" s="10"/>
      <c r="E46" s="72"/>
      <c r="F46" s="18"/>
      <c r="G46" s="10"/>
      <c r="H46" s="10"/>
      <c r="I46" s="10"/>
      <c r="J46" s="11"/>
      <c r="K46" s="11">
        <f t="shared" si="17"/>
        <v>0</v>
      </c>
      <c r="L46" s="37">
        <f t="shared" si="18"/>
        <v>0</v>
      </c>
      <c r="M46" s="11"/>
      <c r="N46" s="10"/>
      <c r="O46" s="21"/>
      <c r="P46" s="21"/>
      <c r="Q46" s="21"/>
      <c r="R46" s="23"/>
      <c r="S46" s="50"/>
      <c r="T46" s="48"/>
      <c r="U46" s="82"/>
      <c r="V46" s="26"/>
      <c r="W46" s="200"/>
      <c r="X46" s="17"/>
      <c r="Z46">
        <v>8</v>
      </c>
      <c r="AA46" s="416"/>
      <c r="AB46" s="95">
        <v>2</v>
      </c>
      <c r="AC46" s="102" t="s">
        <v>121</v>
      </c>
      <c r="AD46" s="41">
        <f t="shared" si="2"/>
        <v>0</v>
      </c>
      <c r="AE46" s="70">
        <f t="shared" si="3"/>
        <v>0</v>
      </c>
      <c r="AF46" s="70">
        <f t="shared" si="4"/>
        <v>0</v>
      </c>
      <c r="AG46" s="70">
        <f t="shared" si="5"/>
        <v>0</v>
      </c>
      <c r="AH46" s="109">
        <f t="shared" si="6"/>
        <v>0</v>
      </c>
      <c r="AI46" s="120">
        <f t="shared" si="7"/>
        <v>0</v>
      </c>
      <c r="AJ46" s="121">
        <f t="shared" si="8"/>
        <v>0</v>
      </c>
      <c r="AK46" s="121">
        <f t="shared" si="9"/>
        <v>0</v>
      </c>
      <c r="AL46" s="121">
        <f t="shared" si="10"/>
        <v>0</v>
      </c>
      <c r="AM46" s="122">
        <f t="shared" si="11"/>
        <v>0</v>
      </c>
      <c r="AN46" s="41">
        <f t="shared" si="12"/>
        <v>0</v>
      </c>
      <c r="AO46" s="70">
        <f t="shared" si="13"/>
        <v>0</v>
      </c>
      <c r="AP46" s="70">
        <f t="shared" si="14"/>
        <v>0</v>
      </c>
      <c r="AQ46" s="70">
        <f t="shared" si="15"/>
        <v>0</v>
      </c>
      <c r="AR46" s="70">
        <f t="shared" si="16"/>
        <v>0</v>
      </c>
    </row>
    <row r="47" spans="2:48" x14ac:dyDescent="0.25">
      <c r="B47" s="17">
        <v>45</v>
      </c>
      <c r="C47" s="10"/>
      <c r="D47" s="10"/>
      <c r="E47" s="72"/>
      <c r="F47" s="18"/>
      <c r="G47" s="10"/>
      <c r="H47" s="10"/>
      <c r="I47" s="10"/>
      <c r="J47" s="11"/>
      <c r="K47" s="11">
        <f t="shared" si="17"/>
        <v>0</v>
      </c>
      <c r="L47" s="37">
        <f t="shared" si="18"/>
        <v>0</v>
      </c>
      <c r="M47" s="11"/>
      <c r="N47" s="10"/>
      <c r="O47" s="21"/>
      <c r="P47" s="21"/>
      <c r="Q47" s="21"/>
      <c r="R47" s="23"/>
      <c r="S47" s="50"/>
      <c r="T47" s="48"/>
      <c r="U47" s="82"/>
      <c r="V47" s="26"/>
      <c r="W47" s="200"/>
      <c r="X47" s="17"/>
      <c r="Z47">
        <v>8</v>
      </c>
      <c r="AA47" s="416"/>
      <c r="AB47" s="95">
        <v>3</v>
      </c>
      <c r="AC47" s="102" t="s">
        <v>122</v>
      </c>
      <c r="AD47" s="41">
        <f t="shared" si="2"/>
        <v>0</v>
      </c>
      <c r="AE47" s="70">
        <f t="shared" si="3"/>
        <v>0</v>
      </c>
      <c r="AF47" s="70">
        <f t="shared" si="4"/>
        <v>0</v>
      </c>
      <c r="AG47" s="70">
        <f t="shared" si="5"/>
        <v>0</v>
      </c>
      <c r="AH47" s="109">
        <f t="shared" si="6"/>
        <v>0</v>
      </c>
      <c r="AI47" s="120">
        <f t="shared" si="7"/>
        <v>0</v>
      </c>
      <c r="AJ47" s="121">
        <f t="shared" si="8"/>
        <v>0</v>
      </c>
      <c r="AK47" s="121">
        <f t="shared" si="9"/>
        <v>0</v>
      </c>
      <c r="AL47" s="121">
        <f t="shared" si="10"/>
        <v>0</v>
      </c>
      <c r="AM47" s="122">
        <f t="shared" si="11"/>
        <v>0</v>
      </c>
      <c r="AN47" s="41">
        <f t="shared" si="12"/>
        <v>0</v>
      </c>
      <c r="AO47" s="70">
        <f t="shared" si="13"/>
        <v>0</v>
      </c>
      <c r="AP47" s="70">
        <f t="shared" si="14"/>
        <v>0</v>
      </c>
      <c r="AQ47" s="70">
        <f t="shared" si="15"/>
        <v>0</v>
      </c>
      <c r="AR47" s="70">
        <f t="shared" si="16"/>
        <v>0</v>
      </c>
    </row>
    <row r="48" spans="2:48" x14ac:dyDescent="0.25">
      <c r="B48" s="17">
        <v>46</v>
      </c>
      <c r="C48" s="10"/>
      <c r="D48" s="10"/>
      <c r="E48" s="72"/>
      <c r="F48" s="18"/>
      <c r="G48" s="10"/>
      <c r="H48" s="10"/>
      <c r="I48" s="10"/>
      <c r="J48" s="11"/>
      <c r="K48" s="11">
        <f t="shared" si="17"/>
        <v>0</v>
      </c>
      <c r="L48" s="37">
        <f t="shared" si="18"/>
        <v>0</v>
      </c>
      <c r="M48" s="11"/>
      <c r="N48" s="10"/>
      <c r="O48" s="21"/>
      <c r="P48" s="21"/>
      <c r="Q48" s="21"/>
      <c r="R48" s="23"/>
      <c r="S48" s="50"/>
      <c r="T48" s="48"/>
      <c r="U48" s="82"/>
      <c r="V48" s="26"/>
      <c r="W48" s="200"/>
      <c r="X48" s="17"/>
      <c r="Z48">
        <v>8</v>
      </c>
      <c r="AA48" s="416"/>
      <c r="AB48" s="95">
        <v>4</v>
      </c>
      <c r="AC48" s="102" t="s">
        <v>123</v>
      </c>
      <c r="AD48" s="41">
        <f t="shared" si="2"/>
        <v>1595.74</v>
      </c>
      <c r="AE48" s="70">
        <f t="shared" si="3"/>
        <v>0</v>
      </c>
      <c r="AF48" s="70">
        <f t="shared" si="4"/>
        <v>0</v>
      </c>
      <c r="AG48" s="70">
        <f t="shared" si="5"/>
        <v>1595.74</v>
      </c>
      <c r="AH48" s="109">
        <f t="shared" si="6"/>
        <v>0</v>
      </c>
      <c r="AI48" s="120">
        <f t="shared" si="7"/>
        <v>3</v>
      </c>
      <c r="AJ48" s="121">
        <f t="shared" si="8"/>
        <v>0</v>
      </c>
      <c r="AK48" s="121">
        <f t="shared" si="9"/>
        <v>0</v>
      </c>
      <c r="AL48" s="121">
        <f t="shared" si="10"/>
        <v>3</v>
      </c>
      <c r="AM48" s="122">
        <f t="shared" si="11"/>
        <v>0</v>
      </c>
      <c r="AN48" s="41">
        <f t="shared" si="12"/>
        <v>18.805</v>
      </c>
      <c r="AO48" s="70">
        <f t="shared" si="13"/>
        <v>0</v>
      </c>
      <c r="AP48" s="70">
        <f t="shared" si="14"/>
        <v>0</v>
      </c>
      <c r="AQ48" s="70">
        <f t="shared" si="15"/>
        <v>18.805</v>
      </c>
      <c r="AR48" s="70">
        <f t="shared" si="16"/>
        <v>0</v>
      </c>
    </row>
    <row r="49" spans="2:44" x14ac:dyDescent="0.25">
      <c r="B49" s="17">
        <v>47</v>
      </c>
      <c r="C49" s="10"/>
      <c r="D49" s="10"/>
      <c r="E49" s="72"/>
      <c r="F49" s="18"/>
      <c r="G49" s="10"/>
      <c r="H49" s="10"/>
      <c r="I49" s="10"/>
      <c r="J49" s="11"/>
      <c r="K49" s="11">
        <f t="shared" si="17"/>
        <v>0</v>
      </c>
      <c r="L49" s="37">
        <f t="shared" si="18"/>
        <v>0</v>
      </c>
      <c r="M49" s="11"/>
      <c r="N49" s="10"/>
      <c r="O49" s="21"/>
      <c r="P49" s="21"/>
      <c r="Q49" s="21"/>
      <c r="R49" s="23"/>
      <c r="S49" s="50"/>
      <c r="T49" s="48"/>
      <c r="U49" s="82"/>
      <c r="V49" s="26"/>
      <c r="W49" s="200"/>
      <c r="X49" s="17"/>
      <c r="Z49">
        <v>8</v>
      </c>
      <c r="AA49" s="416"/>
      <c r="AB49" s="96">
        <v>5</v>
      </c>
      <c r="AC49" s="105"/>
      <c r="AD49" s="41">
        <f t="shared" si="2"/>
        <v>0</v>
      </c>
      <c r="AE49" s="70">
        <f t="shared" si="3"/>
        <v>0</v>
      </c>
      <c r="AF49" s="70">
        <f t="shared" si="4"/>
        <v>0</v>
      </c>
      <c r="AG49" s="70">
        <f t="shared" si="5"/>
        <v>0</v>
      </c>
      <c r="AH49" s="109">
        <f t="shared" si="6"/>
        <v>0</v>
      </c>
      <c r="AI49" s="120">
        <f t="shared" si="7"/>
        <v>0</v>
      </c>
      <c r="AJ49" s="121">
        <f t="shared" si="8"/>
        <v>0</v>
      </c>
      <c r="AK49" s="121">
        <f t="shared" si="9"/>
        <v>0</v>
      </c>
      <c r="AL49" s="121">
        <f t="shared" si="10"/>
        <v>0</v>
      </c>
      <c r="AM49" s="122">
        <f t="shared" si="11"/>
        <v>0</v>
      </c>
      <c r="AN49" s="41">
        <f t="shared" si="12"/>
        <v>0</v>
      </c>
      <c r="AO49" s="70">
        <f t="shared" si="13"/>
        <v>0</v>
      </c>
      <c r="AP49" s="70">
        <f t="shared" si="14"/>
        <v>0</v>
      </c>
      <c r="AQ49" s="70">
        <f t="shared" si="15"/>
        <v>0</v>
      </c>
      <c r="AR49" s="70">
        <f t="shared" si="16"/>
        <v>0</v>
      </c>
    </row>
    <row r="50" spans="2:44" ht="14.25" thickBot="1" x14ac:dyDescent="0.3">
      <c r="B50" s="17">
        <v>48</v>
      </c>
      <c r="C50" s="10"/>
      <c r="D50" s="10"/>
      <c r="E50" s="72"/>
      <c r="F50" s="18"/>
      <c r="G50" s="10"/>
      <c r="H50" s="10"/>
      <c r="I50" s="10"/>
      <c r="J50" s="11"/>
      <c r="K50" s="11">
        <f t="shared" si="17"/>
        <v>0</v>
      </c>
      <c r="L50" s="37">
        <f t="shared" si="18"/>
        <v>0</v>
      </c>
      <c r="M50" s="11"/>
      <c r="N50" s="10"/>
      <c r="O50" s="21"/>
      <c r="P50" s="21"/>
      <c r="Q50" s="21"/>
      <c r="R50" s="23"/>
      <c r="S50" s="50"/>
      <c r="T50" s="48"/>
      <c r="U50" s="82"/>
      <c r="V50" s="32"/>
      <c r="W50" s="200"/>
      <c r="X50" s="17"/>
      <c r="Z50">
        <v>8</v>
      </c>
      <c r="AA50" s="417"/>
      <c r="AB50" s="97" t="s">
        <v>3</v>
      </c>
      <c r="AC50" s="106"/>
      <c r="AD50" s="99">
        <f>SUM(AD45:AD49)</f>
        <v>1595.74</v>
      </c>
      <c r="AE50" s="99">
        <f t="shared" ref="AE50" si="121">SUM(AE45:AE49)</f>
        <v>0</v>
      </c>
      <c r="AF50" s="99">
        <f t="shared" ref="AF50" si="122">SUM(AF45:AF49)</f>
        <v>0</v>
      </c>
      <c r="AG50" s="99">
        <f t="shared" ref="AG50" si="123">SUM(AG45:AG49)</f>
        <v>1595.74</v>
      </c>
      <c r="AH50" s="110">
        <f t="shared" ref="AH50" si="124">SUM(AH45:AH49)</f>
        <v>0</v>
      </c>
      <c r="AI50" s="123">
        <f t="shared" ref="AI50" si="125">SUM(AI45:AI49)</f>
        <v>3</v>
      </c>
      <c r="AJ50" s="124">
        <f t="shared" ref="AJ50" si="126">SUM(AJ45:AJ49)</f>
        <v>0</v>
      </c>
      <c r="AK50" s="124">
        <f t="shared" ref="AK50" si="127">SUM(AK45:AK49)</f>
        <v>0</v>
      </c>
      <c r="AL50" s="124">
        <f t="shared" ref="AL50" si="128">SUM(AL45:AL49)</f>
        <v>3</v>
      </c>
      <c r="AM50" s="125">
        <f t="shared" ref="AM50" si="129">SUM(AM45:AM49)</f>
        <v>0</v>
      </c>
      <c r="AN50" s="99">
        <f t="shared" ref="AN50" si="130">SUM(AN45:AN49)</f>
        <v>18.805</v>
      </c>
      <c r="AO50" s="99">
        <f t="shared" ref="AO50" si="131">SUM(AO45:AO49)</f>
        <v>0</v>
      </c>
      <c r="AP50" s="99">
        <f t="shared" ref="AP50" si="132">SUM(AP45:AP49)</f>
        <v>0</v>
      </c>
      <c r="AQ50" s="99">
        <f t="shared" ref="AQ50" si="133">SUM(AQ45:AQ49)</f>
        <v>18.805</v>
      </c>
      <c r="AR50" s="99">
        <f t="shared" ref="AR50" si="134">SUM(AR45:AR49)</f>
        <v>0</v>
      </c>
    </row>
    <row r="51" spans="2:44" x14ac:dyDescent="0.25">
      <c r="B51" s="17">
        <v>49</v>
      </c>
      <c r="C51" s="10"/>
      <c r="D51" s="10"/>
      <c r="E51" s="72"/>
      <c r="F51" s="18"/>
      <c r="G51" s="10"/>
      <c r="H51" s="10"/>
      <c r="I51" s="10"/>
      <c r="J51" s="11"/>
      <c r="K51" s="11">
        <f t="shared" si="17"/>
        <v>0</v>
      </c>
      <c r="L51" s="37">
        <f t="shared" si="18"/>
        <v>0</v>
      </c>
      <c r="M51" s="11"/>
      <c r="N51" s="10"/>
      <c r="O51" s="21"/>
      <c r="P51" s="21"/>
      <c r="Q51" s="21"/>
      <c r="R51" s="23"/>
      <c r="S51" s="50"/>
      <c r="T51" s="48"/>
      <c r="U51" s="82"/>
      <c r="V51" s="32"/>
      <c r="W51" s="200"/>
      <c r="X51" s="17"/>
      <c r="Z51">
        <v>9</v>
      </c>
      <c r="AA51" s="415">
        <v>9</v>
      </c>
      <c r="AB51" s="94">
        <v>1</v>
      </c>
      <c r="AC51" s="100" t="s">
        <v>124</v>
      </c>
      <c r="AD51" s="41">
        <f t="shared" si="2"/>
        <v>0</v>
      </c>
      <c r="AE51" s="70">
        <f t="shared" si="3"/>
        <v>0</v>
      </c>
      <c r="AF51" s="70">
        <f t="shared" si="4"/>
        <v>0</v>
      </c>
      <c r="AG51" s="70">
        <f t="shared" si="5"/>
        <v>0</v>
      </c>
      <c r="AH51" s="109">
        <f t="shared" si="6"/>
        <v>0</v>
      </c>
      <c r="AI51" s="120">
        <f t="shared" si="7"/>
        <v>0</v>
      </c>
      <c r="AJ51" s="121">
        <f t="shared" si="8"/>
        <v>0</v>
      </c>
      <c r="AK51" s="121">
        <f t="shared" si="9"/>
        <v>0</v>
      </c>
      <c r="AL51" s="121">
        <f t="shared" si="10"/>
        <v>0</v>
      </c>
      <c r="AM51" s="122">
        <f t="shared" si="11"/>
        <v>0</v>
      </c>
      <c r="AN51" s="41">
        <f t="shared" si="12"/>
        <v>0</v>
      </c>
      <c r="AO51" s="70">
        <f t="shared" si="13"/>
        <v>0</v>
      </c>
      <c r="AP51" s="70">
        <f t="shared" si="14"/>
        <v>0</v>
      </c>
      <c r="AQ51" s="70">
        <f t="shared" si="15"/>
        <v>0</v>
      </c>
      <c r="AR51" s="70">
        <f t="shared" si="16"/>
        <v>0</v>
      </c>
    </row>
    <row r="52" spans="2:44" x14ac:dyDescent="0.25">
      <c r="B52" s="17">
        <v>50</v>
      </c>
      <c r="C52" s="10"/>
      <c r="D52" s="10"/>
      <c r="E52" s="72"/>
      <c r="F52" s="18"/>
      <c r="G52" s="10"/>
      <c r="H52" s="10"/>
      <c r="I52" s="10"/>
      <c r="J52" s="11"/>
      <c r="K52" s="11">
        <f t="shared" si="17"/>
        <v>0</v>
      </c>
      <c r="L52" s="37">
        <f t="shared" si="18"/>
        <v>0</v>
      </c>
      <c r="M52" s="11"/>
      <c r="N52" s="10"/>
      <c r="O52" s="21"/>
      <c r="P52" s="21"/>
      <c r="Q52" s="21"/>
      <c r="R52" s="23"/>
      <c r="S52" s="50"/>
      <c r="T52" s="48"/>
      <c r="U52" s="82"/>
      <c r="V52" s="32"/>
      <c r="W52" s="200"/>
      <c r="X52" s="17"/>
      <c r="Z52">
        <v>9</v>
      </c>
      <c r="AA52" s="416"/>
      <c r="AB52" s="95">
        <v>2</v>
      </c>
      <c r="AC52" s="102" t="s">
        <v>125</v>
      </c>
      <c r="AD52" s="41">
        <f t="shared" si="2"/>
        <v>0</v>
      </c>
      <c r="AE52" s="70">
        <f t="shared" si="3"/>
        <v>0</v>
      </c>
      <c r="AF52" s="70">
        <f t="shared" si="4"/>
        <v>0</v>
      </c>
      <c r="AG52" s="70">
        <f t="shared" si="5"/>
        <v>0</v>
      </c>
      <c r="AH52" s="109">
        <f t="shared" si="6"/>
        <v>0</v>
      </c>
      <c r="AI52" s="120">
        <f t="shared" si="7"/>
        <v>0</v>
      </c>
      <c r="AJ52" s="121">
        <f t="shared" si="8"/>
        <v>0</v>
      </c>
      <c r="AK52" s="121">
        <f t="shared" si="9"/>
        <v>0</v>
      </c>
      <c r="AL52" s="121">
        <f t="shared" si="10"/>
        <v>0</v>
      </c>
      <c r="AM52" s="122">
        <f t="shared" si="11"/>
        <v>0</v>
      </c>
      <c r="AN52" s="41">
        <f t="shared" si="12"/>
        <v>0</v>
      </c>
      <c r="AO52" s="70">
        <f t="shared" si="13"/>
        <v>0</v>
      </c>
      <c r="AP52" s="70">
        <f t="shared" si="14"/>
        <v>0</v>
      </c>
      <c r="AQ52" s="70">
        <f t="shared" si="15"/>
        <v>0</v>
      </c>
      <c r="AR52" s="70">
        <f t="shared" si="16"/>
        <v>0</v>
      </c>
    </row>
    <row r="53" spans="2:44" x14ac:dyDescent="0.25">
      <c r="B53" s="17">
        <v>51</v>
      </c>
      <c r="C53" s="10"/>
      <c r="D53" s="10"/>
      <c r="E53" s="72"/>
      <c r="F53" s="18"/>
      <c r="G53" s="10"/>
      <c r="H53" s="10"/>
      <c r="I53" s="10"/>
      <c r="J53" s="11"/>
      <c r="K53" s="11">
        <f t="shared" si="17"/>
        <v>0</v>
      </c>
      <c r="L53" s="37">
        <f t="shared" si="18"/>
        <v>0</v>
      </c>
      <c r="M53" s="11"/>
      <c r="N53" s="10"/>
      <c r="O53" s="21"/>
      <c r="P53" s="21"/>
      <c r="Q53" s="21"/>
      <c r="R53" s="23"/>
      <c r="S53" s="50"/>
      <c r="T53" s="48"/>
      <c r="U53" s="82"/>
      <c r="V53" s="32"/>
      <c r="W53" s="200"/>
      <c r="X53" s="17"/>
      <c r="Z53">
        <v>9</v>
      </c>
      <c r="AA53" s="416"/>
      <c r="AB53" s="95">
        <v>3</v>
      </c>
      <c r="AC53" s="102" t="s">
        <v>126</v>
      </c>
      <c r="AD53" s="41">
        <f t="shared" si="2"/>
        <v>0</v>
      </c>
      <c r="AE53" s="70">
        <f t="shared" si="3"/>
        <v>0</v>
      </c>
      <c r="AF53" s="70">
        <f t="shared" si="4"/>
        <v>0</v>
      </c>
      <c r="AG53" s="70">
        <f t="shared" si="5"/>
        <v>0</v>
      </c>
      <c r="AH53" s="109">
        <f t="shared" si="6"/>
        <v>0</v>
      </c>
      <c r="AI53" s="120">
        <f t="shared" si="7"/>
        <v>0</v>
      </c>
      <c r="AJ53" s="121">
        <f t="shared" si="8"/>
        <v>0</v>
      </c>
      <c r="AK53" s="121">
        <f t="shared" si="9"/>
        <v>0</v>
      </c>
      <c r="AL53" s="121">
        <f t="shared" si="10"/>
        <v>0</v>
      </c>
      <c r="AM53" s="122">
        <f t="shared" si="11"/>
        <v>0</v>
      </c>
      <c r="AN53" s="41">
        <f t="shared" si="12"/>
        <v>0</v>
      </c>
      <c r="AO53" s="70">
        <f t="shared" si="13"/>
        <v>0</v>
      </c>
      <c r="AP53" s="70">
        <f t="shared" si="14"/>
        <v>0</v>
      </c>
      <c r="AQ53" s="70">
        <f t="shared" si="15"/>
        <v>0</v>
      </c>
      <c r="AR53" s="70">
        <f t="shared" si="16"/>
        <v>0</v>
      </c>
    </row>
    <row r="54" spans="2:44" x14ac:dyDescent="0.25">
      <c r="B54" s="17">
        <v>52</v>
      </c>
      <c r="C54" s="10"/>
      <c r="D54" s="10"/>
      <c r="E54" s="72"/>
      <c r="F54" s="18"/>
      <c r="G54" s="10"/>
      <c r="H54" s="10"/>
      <c r="I54" s="10"/>
      <c r="J54" s="11"/>
      <c r="K54" s="11">
        <f t="shared" si="17"/>
        <v>0</v>
      </c>
      <c r="L54" s="37">
        <f t="shared" si="18"/>
        <v>0</v>
      </c>
      <c r="M54" s="11"/>
      <c r="N54" s="10"/>
      <c r="O54" s="21"/>
      <c r="P54" s="21"/>
      <c r="Q54" s="21"/>
      <c r="R54" s="23"/>
      <c r="S54" s="50"/>
      <c r="T54" s="48"/>
      <c r="U54" s="82"/>
      <c r="V54" s="26"/>
      <c r="W54" s="200"/>
      <c r="X54" s="17"/>
      <c r="Z54">
        <v>9</v>
      </c>
      <c r="AA54" s="416"/>
      <c r="AB54" s="95">
        <v>4</v>
      </c>
      <c r="AC54" s="102" t="s">
        <v>127</v>
      </c>
      <c r="AD54" s="41">
        <f t="shared" si="2"/>
        <v>0</v>
      </c>
      <c r="AE54" s="70">
        <f t="shared" si="3"/>
        <v>0</v>
      </c>
      <c r="AF54" s="70">
        <f t="shared" si="4"/>
        <v>0</v>
      </c>
      <c r="AG54" s="70">
        <f t="shared" si="5"/>
        <v>0</v>
      </c>
      <c r="AH54" s="109">
        <f t="shared" si="6"/>
        <v>0</v>
      </c>
      <c r="AI54" s="120">
        <f t="shared" si="7"/>
        <v>0</v>
      </c>
      <c r="AJ54" s="121">
        <f t="shared" si="8"/>
        <v>0</v>
      </c>
      <c r="AK54" s="121">
        <f t="shared" si="9"/>
        <v>0</v>
      </c>
      <c r="AL54" s="121">
        <f t="shared" si="10"/>
        <v>0</v>
      </c>
      <c r="AM54" s="122">
        <f t="shared" si="11"/>
        <v>0</v>
      </c>
      <c r="AN54" s="41">
        <f t="shared" si="12"/>
        <v>0</v>
      </c>
      <c r="AO54" s="70">
        <f t="shared" si="13"/>
        <v>0</v>
      </c>
      <c r="AP54" s="70">
        <f t="shared" si="14"/>
        <v>0</v>
      </c>
      <c r="AQ54" s="70">
        <f t="shared" si="15"/>
        <v>0</v>
      </c>
      <c r="AR54" s="70">
        <f t="shared" si="16"/>
        <v>0</v>
      </c>
    </row>
    <row r="55" spans="2:44" x14ac:dyDescent="0.25">
      <c r="B55" s="17">
        <v>53</v>
      </c>
      <c r="C55" s="10"/>
      <c r="D55" s="10"/>
      <c r="E55" s="72"/>
      <c r="F55" s="18"/>
      <c r="G55" s="10"/>
      <c r="H55" s="10"/>
      <c r="I55" s="10"/>
      <c r="J55" s="11"/>
      <c r="K55" s="11">
        <f t="shared" si="17"/>
        <v>0</v>
      </c>
      <c r="L55" s="37">
        <f t="shared" si="18"/>
        <v>0</v>
      </c>
      <c r="M55" s="11"/>
      <c r="N55" s="10"/>
      <c r="O55" s="21"/>
      <c r="P55" s="21"/>
      <c r="Q55" s="21"/>
      <c r="R55" s="23"/>
      <c r="S55" s="50"/>
      <c r="T55" s="48"/>
      <c r="U55" s="82"/>
      <c r="V55" s="26"/>
      <c r="W55" s="200"/>
      <c r="X55" s="17"/>
      <c r="Z55">
        <v>9</v>
      </c>
      <c r="AA55" s="416"/>
      <c r="AB55" s="96">
        <v>5</v>
      </c>
      <c r="AC55" s="105"/>
      <c r="AD55" s="41">
        <f t="shared" si="2"/>
        <v>0</v>
      </c>
      <c r="AE55" s="70">
        <f t="shared" si="3"/>
        <v>0</v>
      </c>
      <c r="AF55" s="70">
        <f t="shared" si="4"/>
        <v>0</v>
      </c>
      <c r="AG55" s="70">
        <f t="shared" si="5"/>
        <v>0</v>
      </c>
      <c r="AH55" s="109">
        <f t="shared" si="6"/>
        <v>0</v>
      </c>
      <c r="AI55" s="120">
        <f t="shared" si="7"/>
        <v>0</v>
      </c>
      <c r="AJ55" s="121">
        <f t="shared" si="8"/>
        <v>0</v>
      </c>
      <c r="AK55" s="121">
        <f t="shared" si="9"/>
        <v>0</v>
      </c>
      <c r="AL55" s="121">
        <f t="shared" si="10"/>
        <v>0</v>
      </c>
      <c r="AM55" s="122">
        <f t="shared" si="11"/>
        <v>0</v>
      </c>
      <c r="AN55" s="41">
        <f t="shared" si="12"/>
        <v>0</v>
      </c>
      <c r="AO55" s="70">
        <f t="shared" si="13"/>
        <v>0</v>
      </c>
      <c r="AP55" s="70">
        <f t="shared" si="14"/>
        <v>0</v>
      </c>
      <c r="AQ55" s="70">
        <f t="shared" si="15"/>
        <v>0</v>
      </c>
      <c r="AR55" s="70">
        <f t="shared" si="16"/>
        <v>0</v>
      </c>
    </row>
    <row r="56" spans="2:44" ht="14.25" thickBot="1" x14ac:dyDescent="0.3">
      <c r="B56" s="17">
        <v>54</v>
      </c>
      <c r="C56" s="10"/>
      <c r="D56" s="10"/>
      <c r="E56" s="72"/>
      <c r="F56" s="18"/>
      <c r="G56" s="10"/>
      <c r="H56" s="10"/>
      <c r="I56" s="10"/>
      <c r="J56" s="11"/>
      <c r="K56" s="11">
        <f t="shared" si="17"/>
        <v>0</v>
      </c>
      <c r="L56" s="37">
        <f t="shared" si="18"/>
        <v>0</v>
      </c>
      <c r="M56" s="11"/>
      <c r="N56" s="10"/>
      <c r="O56" s="21"/>
      <c r="P56" s="21"/>
      <c r="Q56" s="21"/>
      <c r="R56" s="23"/>
      <c r="S56" s="50"/>
      <c r="T56" s="48"/>
      <c r="U56" s="82"/>
      <c r="V56" s="26"/>
      <c r="W56" s="200"/>
      <c r="X56" s="17"/>
      <c r="Z56">
        <v>9</v>
      </c>
      <c r="AA56" s="417"/>
      <c r="AB56" s="97" t="s">
        <v>3</v>
      </c>
      <c r="AC56" s="106"/>
      <c r="AD56" s="99">
        <f>SUM(AD51:AD55)</f>
        <v>0</v>
      </c>
      <c r="AE56" s="99">
        <f t="shared" ref="AE56" si="135">SUM(AE51:AE55)</f>
        <v>0</v>
      </c>
      <c r="AF56" s="99">
        <f t="shared" ref="AF56" si="136">SUM(AF51:AF55)</f>
        <v>0</v>
      </c>
      <c r="AG56" s="99">
        <f t="shared" ref="AG56" si="137">SUM(AG51:AG55)</f>
        <v>0</v>
      </c>
      <c r="AH56" s="110">
        <f t="shared" ref="AH56" si="138">SUM(AH51:AH55)</f>
        <v>0</v>
      </c>
      <c r="AI56" s="123">
        <f t="shared" ref="AI56" si="139">SUM(AI51:AI55)</f>
        <v>0</v>
      </c>
      <c r="AJ56" s="124">
        <f t="shared" ref="AJ56" si="140">SUM(AJ51:AJ55)</f>
        <v>0</v>
      </c>
      <c r="AK56" s="124">
        <f t="shared" ref="AK56" si="141">SUM(AK51:AK55)</f>
        <v>0</v>
      </c>
      <c r="AL56" s="124">
        <f t="shared" ref="AL56" si="142">SUM(AL51:AL55)</f>
        <v>0</v>
      </c>
      <c r="AM56" s="125">
        <f t="shared" ref="AM56" si="143">SUM(AM51:AM55)</f>
        <v>0</v>
      </c>
      <c r="AN56" s="99">
        <f t="shared" ref="AN56" si="144">SUM(AN51:AN55)</f>
        <v>0</v>
      </c>
      <c r="AO56" s="99">
        <f t="shared" ref="AO56" si="145">SUM(AO51:AO55)</f>
        <v>0</v>
      </c>
      <c r="AP56" s="99">
        <f t="shared" ref="AP56" si="146">SUM(AP51:AP55)</f>
        <v>0</v>
      </c>
      <c r="AQ56" s="99">
        <f t="shared" ref="AQ56" si="147">SUM(AQ51:AQ55)</f>
        <v>0</v>
      </c>
      <c r="AR56" s="99">
        <f t="shared" ref="AR56" si="148">SUM(AR51:AR55)</f>
        <v>0</v>
      </c>
    </row>
    <row r="57" spans="2:44" x14ac:dyDescent="0.25">
      <c r="B57" s="17">
        <v>55</v>
      </c>
      <c r="C57" s="10"/>
      <c r="D57" s="10"/>
      <c r="E57" s="72"/>
      <c r="F57" s="18"/>
      <c r="G57" s="10"/>
      <c r="H57" s="10"/>
      <c r="I57" s="10"/>
      <c r="J57" s="11"/>
      <c r="K57" s="11">
        <f t="shared" si="17"/>
        <v>0</v>
      </c>
      <c r="L57" s="37">
        <f t="shared" si="18"/>
        <v>0</v>
      </c>
      <c r="M57" s="11"/>
      <c r="N57" s="10"/>
      <c r="O57" s="21"/>
      <c r="P57" s="21"/>
      <c r="Q57" s="21"/>
      <c r="R57" s="23"/>
      <c r="S57" s="50"/>
      <c r="T57" s="48"/>
      <c r="U57" s="82"/>
      <c r="V57" s="26"/>
      <c r="W57" s="200"/>
      <c r="X57" s="17"/>
      <c r="Z57">
        <v>10</v>
      </c>
      <c r="AA57" s="415">
        <v>10</v>
      </c>
      <c r="AB57" s="94">
        <v>1</v>
      </c>
      <c r="AC57" s="100" t="s">
        <v>128</v>
      </c>
      <c r="AD57" s="41">
        <f t="shared" si="2"/>
        <v>0</v>
      </c>
      <c r="AE57" s="70">
        <f t="shared" si="3"/>
        <v>0</v>
      </c>
      <c r="AF57" s="70">
        <f t="shared" si="4"/>
        <v>0</v>
      </c>
      <c r="AG57" s="70">
        <f t="shared" si="5"/>
        <v>0</v>
      </c>
      <c r="AH57" s="109">
        <f t="shared" si="6"/>
        <v>0</v>
      </c>
      <c r="AI57" s="120">
        <f t="shared" si="7"/>
        <v>0</v>
      </c>
      <c r="AJ57" s="121">
        <f t="shared" si="8"/>
        <v>0</v>
      </c>
      <c r="AK57" s="121">
        <f t="shared" si="9"/>
        <v>0</v>
      </c>
      <c r="AL57" s="121">
        <f t="shared" si="10"/>
        <v>0</v>
      </c>
      <c r="AM57" s="122">
        <f t="shared" si="11"/>
        <v>0</v>
      </c>
      <c r="AN57" s="41">
        <f t="shared" si="12"/>
        <v>0</v>
      </c>
      <c r="AO57" s="70">
        <f t="shared" si="13"/>
        <v>0</v>
      </c>
      <c r="AP57" s="70">
        <f t="shared" si="14"/>
        <v>0</v>
      </c>
      <c r="AQ57" s="70">
        <f t="shared" si="15"/>
        <v>0</v>
      </c>
      <c r="AR57" s="70">
        <f t="shared" si="16"/>
        <v>0</v>
      </c>
    </row>
    <row r="58" spans="2:44" x14ac:dyDescent="0.25">
      <c r="B58" s="17">
        <v>56</v>
      </c>
      <c r="C58" s="10"/>
      <c r="D58" s="10"/>
      <c r="E58" s="72"/>
      <c r="F58" s="18"/>
      <c r="G58" s="10"/>
      <c r="H58" s="10"/>
      <c r="I58" s="10"/>
      <c r="J58" s="11"/>
      <c r="K58" s="11">
        <f t="shared" si="17"/>
        <v>0</v>
      </c>
      <c r="L58" s="37">
        <f t="shared" si="18"/>
        <v>0</v>
      </c>
      <c r="M58" s="11"/>
      <c r="N58" s="10"/>
      <c r="O58" s="21"/>
      <c r="P58" s="21"/>
      <c r="Q58" s="21"/>
      <c r="R58" s="23"/>
      <c r="S58" s="50"/>
      <c r="T58" s="48"/>
      <c r="U58" s="82"/>
      <c r="V58" s="26"/>
      <c r="W58" s="200"/>
      <c r="X58" s="17"/>
      <c r="Z58">
        <v>10</v>
      </c>
      <c r="AA58" s="416"/>
      <c r="AB58" s="95">
        <v>2</v>
      </c>
      <c r="AC58" s="101" t="s">
        <v>61</v>
      </c>
      <c r="AD58" s="41">
        <f t="shared" si="2"/>
        <v>0</v>
      </c>
      <c r="AE58" s="70">
        <f t="shared" si="3"/>
        <v>0</v>
      </c>
      <c r="AF58" s="70">
        <f t="shared" si="4"/>
        <v>0</v>
      </c>
      <c r="AG58" s="70">
        <f t="shared" si="5"/>
        <v>0</v>
      </c>
      <c r="AH58" s="109">
        <f t="shared" si="6"/>
        <v>0</v>
      </c>
      <c r="AI58" s="120">
        <f t="shared" si="7"/>
        <v>0</v>
      </c>
      <c r="AJ58" s="121">
        <f t="shared" si="8"/>
        <v>0</v>
      </c>
      <c r="AK58" s="121">
        <f t="shared" si="9"/>
        <v>0</v>
      </c>
      <c r="AL58" s="121">
        <f t="shared" si="10"/>
        <v>0</v>
      </c>
      <c r="AM58" s="122">
        <f t="shared" si="11"/>
        <v>0</v>
      </c>
      <c r="AN58" s="41">
        <f t="shared" si="12"/>
        <v>0</v>
      </c>
      <c r="AO58" s="70">
        <f t="shared" si="13"/>
        <v>0</v>
      </c>
      <c r="AP58" s="70">
        <f t="shared" si="14"/>
        <v>0</v>
      </c>
      <c r="AQ58" s="70">
        <f t="shared" si="15"/>
        <v>0</v>
      </c>
      <c r="AR58" s="70">
        <f t="shared" si="16"/>
        <v>0</v>
      </c>
    </row>
    <row r="59" spans="2:44" x14ac:dyDescent="0.25">
      <c r="B59" s="17">
        <v>57</v>
      </c>
      <c r="C59" s="10"/>
      <c r="D59" s="10"/>
      <c r="E59" s="72"/>
      <c r="F59" s="18"/>
      <c r="G59" s="10"/>
      <c r="H59" s="10"/>
      <c r="I59" s="10"/>
      <c r="J59" s="11"/>
      <c r="K59" s="11">
        <f t="shared" si="17"/>
        <v>0</v>
      </c>
      <c r="L59" s="37">
        <f t="shared" si="18"/>
        <v>0</v>
      </c>
      <c r="M59" s="11"/>
      <c r="N59" s="10"/>
      <c r="O59" s="21"/>
      <c r="P59" s="21"/>
      <c r="Q59" s="21"/>
      <c r="R59" s="23"/>
      <c r="S59" s="50"/>
      <c r="T59" s="48"/>
      <c r="U59" s="82"/>
      <c r="V59" s="32"/>
      <c r="W59" s="200"/>
      <c r="X59" s="17"/>
      <c r="Z59">
        <v>10</v>
      </c>
      <c r="AA59" s="416"/>
      <c r="AB59" s="95">
        <v>3</v>
      </c>
      <c r="AC59" s="102" t="s">
        <v>62</v>
      </c>
      <c r="AD59" s="41">
        <f t="shared" si="2"/>
        <v>500.48</v>
      </c>
      <c r="AE59" s="70">
        <f t="shared" si="3"/>
        <v>0</v>
      </c>
      <c r="AF59" s="70">
        <f t="shared" si="4"/>
        <v>0</v>
      </c>
      <c r="AG59" s="70">
        <f t="shared" si="5"/>
        <v>500.48</v>
      </c>
      <c r="AH59" s="109">
        <f t="shared" si="6"/>
        <v>0</v>
      </c>
      <c r="AI59" s="120">
        <f t="shared" si="7"/>
        <v>1</v>
      </c>
      <c r="AJ59" s="121">
        <f t="shared" si="8"/>
        <v>0</v>
      </c>
      <c r="AK59" s="121">
        <f t="shared" si="9"/>
        <v>0</v>
      </c>
      <c r="AL59" s="121">
        <f t="shared" si="10"/>
        <v>1</v>
      </c>
      <c r="AM59" s="122">
        <f t="shared" si="11"/>
        <v>0</v>
      </c>
      <c r="AN59" s="41">
        <f t="shared" si="12"/>
        <v>5.2057500000000001</v>
      </c>
      <c r="AO59" s="70">
        <f t="shared" si="13"/>
        <v>0</v>
      </c>
      <c r="AP59" s="70">
        <f t="shared" si="14"/>
        <v>0</v>
      </c>
      <c r="AQ59" s="70">
        <f t="shared" si="15"/>
        <v>5.2057500000000001</v>
      </c>
      <c r="AR59" s="70">
        <f t="shared" si="16"/>
        <v>0</v>
      </c>
    </row>
    <row r="60" spans="2:44" x14ac:dyDescent="0.25">
      <c r="B60" s="17">
        <v>58</v>
      </c>
      <c r="C60" s="10"/>
      <c r="D60" s="10"/>
      <c r="E60" s="72"/>
      <c r="F60" s="18"/>
      <c r="G60" s="10"/>
      <c r="H60" s="10"/>
      <c r="I60" s="10"/>
      <c r="J60" s="11"/>
      <c r="K60" s="11">
        <f t="shared" si="17"/>
        <v>0</v>
      </c>
      <c r="L60" s="37">
        <f t="shared" si="18"/>
        <v>0</v>
      </c>
      <c r="M60" s="11"/>
      <c r="N60" s="10"/>
      <c r="O60" s="21"/>
      <c r="P60" s="21"/>
      <c r="Q60" s="21"/>
      <c r="R60" s="23"/>
      <c r="S60" s="50"/>
      <c r="T60" s="48"/>
      <c r="U60" s="82"/>
      <c r="V60" s="32"/>
      <c r="W60" s="200"/>
      <c r="X60" s="17"/>
      <c r="Z60">
        <v>10</v>
      </c>
      <c r="AA60" s="416"/>
      <c r="AB60" s="95">
        <v>4</v>
      </c>
      <c r="AC60" s="102" t="s">
        <v>63</v>
      </c>
      <c r="AD60" s="41">
        <f t="shared" si="2"/>
        <v>3685.76</v>
      </c>
      <c r="AE60" s="70">
        <f t="shared" si="3"/>
        <v>0</v>
      </c>
      <c r="AF60" s="70">
        <f t="shared" si="4"/>
        <v>0</v>
      </c>
      <c r="AG60" s="70">
        <f t="shared" si="5"/>
        <v>3685.76</v>
      </c>
      <c r="AH60" s="109">
        <f t="shared" si="6"/>
        <v>0</v>
      </c>
      <c r="AI60" s="120">
        <f t="shared" si="7"/>
        <v>2</v>
      </c>
      <c r="AJ60" s="121">
        <f t="shared" si="8"/>
        <v>0</v>
      </c>
      <c r="AK60" s="121">
        <f t="shared" si="9"/>
        <v>0</v>
      </c>
      <c r="AL60" s="121">
        <f t="shared" si="10"/>
        <v>2</v>
      </c>
      <c r="AM60" s="122">
        <f t="shared" si="11"/>
        <v>0</v>
      </c>
      <c r="AN60" s="41">
        <f t="shared" si="12"/>
        <v>46.109140269999997</v>
      </c>
      <c r="AO60" s="70">
        <f t="shared" si="13"/>
        <v>0</v>
      </c>
      <c r="AP60" s="70">
        <f t="shared" si="14"/>
        <v>0</v>
      </c>
      <c r="AQ60" s="70">
        <f t="shared" si="15"/>
        <v>46.109140269999997</v>
      </c>
      <c r="AR60" s="70">
        <f t="shared" si="16"/>
        <v>0</v>
      </c>
    </row>
    <row r="61" spans="2:44" x14ac:dyDescent="0.25">
      <c r="B61" s="17">
        <v>59</v>
      </c>
      <c r="C61" s="10"/>
      <c r="D61" s="10"/>
      <c r="E61" s="72"/>
      <c r="F61" s="18"/>
      <c r="G61" s="10"/>
      <c r="H61" s="10"/>
      <c r="I61" s="10"/>
      <c r="J61" s="11"/>
      <c r="K61" s="11">
        <f t="shared" si="17"/>
        <v>0</v>
      </c>
      <c r="L61" s="37">
        <f t="shared" si="18"/>
        <v>0</v>
      </c>
      <c r="M61" s="11"/>
      <c r="N61" s="10"/>
      <c r="O61" s="21"/>
      <c r="P61" s="21"/>
      <c r="Q61" s="21"/>
      <c r="R61" s="23"/>
      <c r="S61" s="50"/>
      <c r="T61" s="48"/>
      <c r="U61" s="82"/>
      <c r="V61" s="26"/>
      <c r="W61" s="200"/>
      <c r="X61" s="17"/>
      <c r="Z61">
        <v>10</v>
      </c>
      <c r="AA61" s="416"/>
      <c r="AB61" s="96">
        <v>5</v>
      </c>
      <c r="AC61" s="56" t="s">
        <v>64</v>
      </c>
      <c r="AD61" s="41">
        <f t="shared" si="2"/>
        <v>0</v>
      </c>
      <c r="AE61" s="70">
        <f t="shared" si="3"/>
        <v>0</v>
      </c>
      <c r="AF61" s="70">
        <f t="shared" si="4"/>
        <v>0</v>
      </c>
      <c r="AG61" s="70">
        <f t="shared" si="5"/>
        <v>0</v>
      </c>
      <c r="AH61" s="109">
        <f t="shared" si="6"/>
        <v>0</v>
      </c>
      <c r="AI61" s="120">
        <f t="shared" si="7"/>
        <v>0</v>
      </c>
      <c r="AJ61" s="121">
        <f t="shared" si="8"/>
        <v>0</v>
      </c>
      <c r="AK61" s="121">
        <f t="shared" si="9"/>
        <v>0</v>
      </c>
      <c r="AL61" s="121">
        <f t="shared" si="10"/>
        <v>0</v>
      </c>
      <c r="AM61" s="122">
        <f t="shared" si="11"/>
        <v>0</v>
      </c>
      <c r="AN61" s="41">
        <f t="shared" si="12"/>
        <v>0</v>
      </c>
      <c r="AO61" s="70">
        <f t="shared" si="13"/>
        <v>0</v>
      </c>
      <c r="AP61" s="70">
        <f t="shared" si="14"/>
        <v>0</v>
      </c>
      <c r="AQ61" s="70">
        <f t="shared" si="15"/>
        <v>0</v>
      </c>
      <c r="AR61" s="70">
        <f t="shared" si="16"/>
        <v>0</v>
      </c>
    </row>
    <row r="62" spans="2:44" ht="14.25" thickBot="1" x14ac:dyDescent="0.3">
      <c r="B62" s="17">
        <v>60</v>
      </c>
      <c r="C62" s="10"/>
      <c r="D62" s="10"/>
      <c r="E62" s="72"/>
      <c r="F62" s="18"/>
      <c r="G62" s="10"/>
      <c r="H62" s="10"/>
      <c r="I62" s="10"/>
      <c r="J62" s="11"/>
      <c r="K62" s="11">
        <f t="shared" si="17"/>
        <v>0</v>
      </c>
      <c r="L62" s="37">
        <f t="shared" si="18"/>
        <v>0</v>
      </c>
      <c r="M62" s="11"/>
      <c r="N62" s="10"/>
      <c r="O62" s="21"/>
      <c r="P62" s="21"/>
      <c r="Q62" s="21"/>
      <c r="R62" s="23"/>
      <c r="S62" s="50"/>
      <c r="T62" s="48"/>
      <c r="U62" s="82"/>
      <c r="V62" s="26"/>
      <c r="W62" s="200"/>
      <c r="X62" s="17"/>
      <c r="Z62">
        <v>10</v>
      </c>
      <c r="AA62" s="417"/>
      <c r="AB62" s="97" t="s">
        <v>3</v>
      </c>
      <c r="AC62" s="106"/>
      <c r="AD62" s="99">
        <f>SUM(AD57:AD61)</f>
        <v>4186.24</v>
      </c>
      <c r="AE62" s="99">
        <f t="shared" ref="AE62" si="149">SUM(AE57:AE61)</f>
        <v>0</v>
      </c>
      <c r="AF62" s="99">
        <f t="shared" ref="AF62" si="150">SUM(AF57:AF61)</f>
        <v>0</v>
      </c>
      <c r="AG62" s="99">
        <f t="shared" ref="AG62" si="151">SUM(AG57:AG61)</f>
        <v>4186.24</v>
      </c>
      <c r="AH62" s="110">
        <f t="shared" ref="AH62" si="152">SUM(AH57:AH61)</f>
        <v>0</v>
      </c>
      <c r="AI62" s="123">
        <f t="shared" ref="AI62" si="153">SUM(AI57:AI61)</f>
        <v>3</v>
      </c>
      <c r="AJ62" s="124">
        <f t="shared" ref="AJ62" si="154">SUM(AJ57:AJ61)</f>
        <v>0</v>
      </c>
      <c r="AK62" s="124">
        <f t="shared" ref="AK62" si="155">SUM(AK57:AK61)</f>
        <v>0</v>
      </c>
      <c r="AL62" s="124">
        <f t="shared" ref="AL62" si="156">SUM(AL57:AL61)</f>
        <v>3</v>
      </c>
      <c r="AM62" s="125">
        <f t="shared" ref="AM62" si="157">SUM(AM57:AM61)</f>
        <v>0</v>
      </c>
      <c r="AN62" s="99">
        <f t="shared" ref="AN62" si="158">SUM(AN57:AN61)</f>
        <v>51.314890269999999</v>
      </c>
      <c r="AO62" s="99">
        <f t="shared" ref="AO62" si="159">SUM(AO57:AO61)</f>
        <v>0</v>
      </c>
      <c r="AP62" s="99">
        <f t="shared" ref="AP62" si="160">SUM(AP57:AP61)</f>
        <v>0</v>
      </c>
      <c r="AQ62" s="99">
        <f t="shared" ref="AQ62" si="161">SUM(AQ57:AQ61)</f>
        <v>51.314890269999999</v>
      </c>
      <c r="AR62" s="99">
        <f t="shared" ref="AR62" si="162">SUM(AR57:AR61)</f>
        <v>0</v>
      </c>
    </row>
    <row r="63" spans="2:44" x14ac:dyDescent="0.25">
      <c r="B63" s="17">
        <v>61</v>
      </c>
      <c r="C63" s="10"/>
      <c r="D63" s="10"/>
      <c r="E63" s="72"/>
      <c r="F63" s="18"/>
      <c r="G63" s="10"/>
      <c r="H63" s="10"/>
      <c r="I63" s="10"/>
      <c r="J63" s="11"/>
      <c r="K63" s="11">
        <f t="shared" si="17"/>
        <v>0</v>
      </c>
      <c r="L63" s="37">
        <f t="shared" si="18"/>
        <v>0</v>
      </c>
      <c r="M63" s="11"/>
      <c r="N63" s="10"/>
      <c r="O63" s="21"/>
      <c r="P63" s="21"/>
      <c r="Q63" s="21"/>
      <c r="R63" s="23"/>
      <c r="S63" s="50"/>
      <c r="T63" s="48"/>
      <c r="U63" s="82"/>
      <c r="V63" s="26"/>
      <c r="W63" s="200"/>
      <c r="X63" s="17"/>
      <c r="Z63">
        <v>11</v>
      </c>
      <c r="AA63" s="415">
        <v>11</v>
      </c>
      <c r="AB63" s="94">
        <v>1</v>
      </c>
      <c r="AC63" s="100" t="s">
        <v>129</v>
      </c>
      <c r="AD63" s="41">
        <f t="shared" si="2"/>
        <v>3132.8</v>
      </c>
      <c r="AE63" s="70">
        <f t="shared" si="3"/>
        <v>0</v>
      </c>
      <c r="AF63" s="70">
        <f t="shared" si="4"/>
        <v>0</v>
      </c>
      <c r="AG63" s="70">
        <f t="shared" si="5"/>
        <v>3132.8</v>
      </c>
      <c r="AH63" s="109">
        <f t="shared" si="6"/>
        <v>0</v>
      </c>
      <c r="AI63" s="120">
        <f t="shared" si="7"/>
        <v>2</v>
      </c>
      <c r="AJ63" s="121">
        <f t="shared" si="8"/>
        <v>0</v>
      </c>
      <c r="AK63" s="121">
        <f t="shared" si="9"/>
        <v>0</v>
      </c>
      <c r="AL63" s="121">
        <f t="shared" si="10"/>
        <v>2</v>
      </c>
      <c r="AM63" s="122">
        <f t="shared" si="11"/>
        <v>0</v>
      </c>
      <c r="AN63" s="41">
        <f t="shared" si="12"/>
        <v>47.400000000000006</v>
      </c>
      <c r="AO63" s="70">
        <f t="shared" si="13"/>
        <v>0</v>
      </c>
      <c r="AP63" s="70">
        <f t="shared" si="14"/>
        <v>0</v>
      </c>
      <c r="AQ63" s="70">
        <f t="shared" si="15"/>
        <v>47.400000000000006</v>
      </c>
      <c r="AR63" s="70">
        <f t="shared" si="16"/>
        <v>0</v>
      </c>
    </row>
    <row r="64" spans="2:44" x14ac:dyDescent="0.25">
      <c r="B64" s="17">
        <v>62</v>
      </c>
      <c r="C64" s="10"/>
      <c r="D64" s="10"/>
      <c r="E64" s="72"/>
      <c r="F64" s="18"/>
      <c r="G64" s="10"/>
      <c r="H64" s="10"/>
      <c r="I64" s="10"/>
      <c r="J64" s="11"/>
      <c r="K64" s="11">
        <f t="shared" si="17"/>
        <v>0</v>
      </c>
      <c r="L64" s="37">
        <f t="shared" si="18"/>
        <v>0</v>
      </c>
      <c r="M64" s="11"/>
      <c r="N64" s="10"/>
      <c r="O64" s="21"/>
      <c r="P64" s="21"/>
      <c r="Q64" s="21"/>
      <c r="R64" s="23"/>
      <c r="S64" s="50"/>
      <c r="T64" s="48"/>
      <c r="U64" s="82"/>
      <c r="V64" s="26"/>
      <c r="W64" s="200"/>
      <c r="X64" s="17"/>
      <c r="Z64">
        <v>11</v>
      </c>
      <c r="AA64" s="416"/>
      <c r="AB64" s="95">
        <v>2</v>
      </c>
      <c r="AC64" s="102" t="s">
        <v>65</v>
      </c>
      <c r="AD64" s="41">
        <f t="shared" si="2"/>
        <v>0</v>
      </c>
      <c r="AE64" s="70">
        <f t="shared" si="3"/>
        <v>0</v>
      </c>
      <c r="AF64" s="70">
        <f t="shared" si="4"/>
        <v>0</v>
      </c>
      <c r="AG64" s="70">
        <f t="shared" si="5"/>
        <v>0</v>
      </c>
      <c r="AH64" s="109">
        <f t="shared" si="6"/>
        <v>0</v>
      </c>
      <c r="AI64" s="120">
        <f t="shared" si="7"/>
        <v>0</v>
      </c>
      <c r="AJ64" s="121">
        <f t="shared" si="8"/>
        <v>0</v>
      </c>
      <c r="AK64" s="121">
        <f t="shared" si="9"/>
        <v>0</v>
      </c>
      <c r="AL64" s="121">
        <f t="shared" si="10"/>
        <v>0</v>
      </c>
      <c r="AM64" s="122">
        <f t="shared" si="11"/>
        <v>0</v>
      </c>
      <c r="AN64" s="41">
        <f t="shared" si="12"/>
        <v>0</v>
      </c>
      <c r="AO64" s="70">
        <f t="shared" si="13"/>
        <v>0</v>
      </c>
      <c r="AP64" s="70">
        <f t="shared" si="14"/>
        <v>0</v>
      </c>
      <c r="AQ64" s="70">
        <f t="shared" si="15"/>
        <v>0</v>
      </c>
      <c r="AR64" s="70">
        <f t="shared" si="16"/>
        <v>0</v>
      </c>
    </row>
    <row r="65" spans="2:44" x14ac:dyDescent="0.25">
      <c r="B65" s="17">
        <v>63</v>
      </c>
      <c r="C65" s="10"/>
      <c r="D65" s="10"/>
      <c r="E65" s="72"/>
      <c r="F65" s="18"/>
      <c r="G65" s="10"/>
      <c r="H65" s="10"/>
      <c r="I65" s="10"/>
      <c r="J65" s="11"/>
      <c r="K65" s="11">
        <f t="shared" si="17"/>
        <v>0</v>
      </c>
      <c r="L65" s="37">
        <f t="shared" si="18"/>
        <v>0</v>
      </c>
      <c r="M65" s="11"/>
      <c r="N65" s="10"/>
      <c r="O65" s="21"/>
      <c r="P65" s="21"/>
      <c r="Q65" s="21"/>
      <c r="R65" s="23"/>
      <c r="S65" s="50"/>
      <c r="T65" s="48"/>
      <c r="U65" s="82"/>
      <c r="V65" s="26"/>
      <c r="W65" s="200"/>
      <c r="X65" s="17"/>
      <c r="Z65">
        <v>11</v>
      </c>
      <c r="AA65" s="416"/>
      <c r="AB65" s="95">
        <v>3</v>
      </c>
      <c r="AC65" s="102" t="s">
        <v>66</v>
      </c>
      <c r="AD65" s="41">
        <f t="shared" si="2"/>
        <v>0</v>
      </c>
      <c r="AE65" s="70">
        <f t="shared" si="3"/>
        <v>0</v>
      </c>
      <c r="AF65" s="70">
        <f t="shared" si="4"/>
        <v>0</v>
      </c>
      <c r="AG65" s="70">
        <f t="shared" si="5"/>
        <v>0</v>
      </c>
      <c r="AH65" s="109">
        <f t="shared" si="6"/>
        <v>0</v>
      </c>
      <c r="AI65" s="120">
        <f t="shared" si="7"/>
        <v>0</v>
      </c>
      <c r="AJ65" s="121">
        <f t="shared" si="8"/>
        <v>0</v>
      </c>
      <c r="AK65" s="121">
        <f t="shared" si="9"/>
        <v>0</v>
      </c>
      <c r="AL65" s="121">
        <f t="shared" si="10"/>
        <v>0</v>
      </c>
      <c r="AM65" s="122">
        <f t="shared" si="11"/>
        <v>0</v>
      </c>
      <c r="AN65" s="41">
        <f t="shared" si="12"/>
        <v>0</v>
      </c>
      <c r="AO65" s="70">
        <f t="shared" si="13"/>
        <v>0</v>
      </c>
      <c r="AP65" s="70">
        <f t="shared" si="14"/>
        <v>0</v>
      </c>
      <c r="AQ65" s="70">
        <f t="shared" si="15"/>
        <v>0</v>
      </c>
      <c r="AR65" s="70">
        <f t="shared" si="16"/>
        <v>0</v>
      </c>
    </row>
    <row r="66" spans="2:44" x14ac:dyDescent="0.25">
      <c r="B66" s="17">
        <v>64</v>
      </c>
      <c r="C66" s="10"/>
      <c r="D66" s="10"/>
      <c r="E66" s="72"/>
      <c r="F66" s="18"/>
      <c r="G66" s="10"/>
      <c r="H66" s="10"/>
      <c r="I66" s="10"/>
      <c r="J66" s="11"/>
      <c r="K66" s="11">
        <f t="shared" si="17"/>
        <v>0</v>
      </c>
      <c r="L66" s="37">
        <f t="shared" si="18"/>
        <v>0</v>
      </c>
      <c r="M66" s="11"/>
      <c r="N66" s="10"/>
      <c r="O66" s="21"/>
      <c r="P66" s="21"/>
      <c r="Q66" s="21"/>
      <c r="R66" s="23"/>
      <c r="S66" s="50"/>
      <c r="T66" s="48"/>
      <c r="U66" s="82"/>
      <c r="V66" s="32"/>
      <c r="W66" s="200"/>
      <c r="X66" s="17"/>
      <c r="Z66">
        <v>11</v>
      </c>
      <c r="AA66" s="416"/>
      <c r="AB66" s="95">
        <v>4</v>
      </c>
      <c r="AC66" s="102" t="s">
        <v>67</v>
      </c>
      <c r="AD66" s="41">
        <f t="shared" si="2"/>
        <v>0</v>
      </c>
      <c r="AE66" s="70">
        <f t="shared" si="3"/>
        <v>0</v>
      </c>
      <c r="AF66" s="70">
        <f t="shared" si="4"/>
        <v>0</v>
      </c>
      <c r="AG66" s="70">
        <f t="shared" si="5"/>
        <v>0</v>
      </c>
      <c r="AH66" s="109">
        <f t="shared" si="6"/>
        <v>0</v>
      </c>
      <c r="AI66" s="120">
        <f t="shared" si="7"/>
        <v>0</v>
      </c>
      <c r="AJ66" s="121">
        <f t="shared" si="8"/>
        <v>0</v>
      </c>
      <c r="AK66" s="121">
        <f t="shared" si="9"/>
        <v>0</v>
      </c>
      <c r="AL66" s="121">
        <f t="shared" si="10"/>
        <v>0</v>
      </c>
      <c r="AM66" s="122">
        <f t="shared" si="11"/>
        <v>0</v>
      </c>
      <c r="AN66" s="41">
        <f t="shared" si="12"/>
        <v>0</v>
      </c>
      <c r="AO66" s="70">
        <f t="shared" si="13"/>
        <v>0</v>
      </c>
      <c r="AP66" s="70">
        <f t="shared" si="14"/>
        <v>0</v>
      </c>
      <c r="AQ66" s="70">
        <f t="shared" si="15"/>
        <v>0</v>
      </c>
      <c r="AR66" s="70">
        <f t="shared" si="16"/>
        <v>0</v>
      </c>
    </row>
    <row r="67" spans="2:44" x14ac:dyDescent="0.25">
      <c r="B67" s="17">
        <v>65</v>
      </c>
      <c r="C67" s="10"/>
      <c r="D67" s="10"/>
      <c r="E67" s="72"/>
      <c r="F67" s="18"/>
      <c r="G67" s="10"/>
      <c r="H67" s="10"/>
      <c r="I67" s="10"/>
      <c r="J67" s="11"/>
      <c r="K67" s="11">
        <f t="shared" si="17"/>
        <v>0</v>
      </c>
      <c r="L67" s="37">
        <f t="shared" si="18"/>
        <v>0</v>
      </c>
      <c r="M67" s="11"/>
      <c r="N67" s="10"/>
      <c r="O67" s="21"/>
      <c r="P67" s="21"/>
      <c r="Q67" s="21"/>
      <c r="R67" s="23"/>
      <c r="S67" s="50"/>
      <c r="T67" s="48"/>
      <c r="U67" s="82"/>
      <c r="V67" s="32"/>
      <c r="W67" s="200"/>
      <c r="X67" s="17"/>
      <c r="Z67">
        <v>11</v>
      </c>
      <c r="AA67" s="416"/>
      <c r="AB67" s="96">
        <v>5</v>
      </c>
      <c r="AC67" s="105"/>
      <c r="AD67" s="41">
        <f t="shared" si="2"/>
        <v>0</v>
      </c>
      <c r="AE67" s="70">
        <f t="shared" si="3"/>
        <v>0</v>
      </c>
      <c r="AF67" s="70">
        <f t="shared" si="4"/>
        <v>0</v>
      </c>
      <c r="AG67" s="70">
        <f t="shared" si="5"/>
        <v>0</v>
      </c>
      <c r="AH67" s="109">
        <f t="shared" si="6"/>
        <v>0</v>
      </c>
      <c r="AI67" s="120">
        <f t="shared" si="7"/>
        <v>0</v>
      </c>
      <c r="AJ67" s="121">
        <f t="shared" si="8"/>
        <v>0</v>
      </c>
      <c r="AK67" s="121">
        <f t="shared" si="9"/>
        <v>0</v>
      </c>
      <c r="AL67" s="121">
        <f t="shared" si="10"/>
        <v>0</v>
      </c>
      <c r="AM67" s="122">
        <f t="shared" si="11"/>
        <v>0</v>
      </c>
      <c r="AN67" s="41">
        <f t="shared" si="12"/>
        <v>0</v>
      </c>
      <c r="AO67" s="70">
        <f t="shared" si="13"/>
        <v>0</v>
      </c>
      <c r="AP67" s="70">
        <f t="shared" si="14"/>
        <v>0</v>
      </c>
      <c r="AQ67" s="70">
        <f t="shared" si="15"/>
        <v>0</v>
      </c>
      <c r="AR67" s="70">
        <f t="shared" si="16"/>
        <v>0</v>
      </c>
    </row>
    <row r="68" spans="2:44" ht="14.25" thickBot="1" x14ac:dyDescent="0.3">
      <c r="B68" s="17">
        <v>66</v>
      </c>
      <c r="C68" s="10"/>
      <c r="D68" s="10"/>
      <c r="E68" s="72"/>
      <c r="F68" s="18"/>
      <c r="G68" s="10"/>
      <c r="H68" s="10"/>
      <c r="I68" s="10"/>
      <c r="J68" s="11"/>
      <c r="K68" s="11">
        <f t="shared" ref="K68:K131" si="163">J68*1.1</f>
        <v>0</v>
      </c>
      <c r="L68" s="37">
        <f t="shared" ref="L68:L131" si="164">J68*0.00000001</f>
        <v>0</v>
      </c>
      <c r="M68" s="11"/>
      <c r="N68" s="10"/>
      <c r="O68" s="21"/>
      <c r="P68" s="21"/>
      <c r="Q68" s="21"/>
      <c r="R68" s="23"/>
      <c r="S68" s="50"/>
      <c r="T68" s="48"/>
      <c r="U68" s="82"/>
      <c r="V68" s="32"/>
      <c r="W68" s="200"/>
      <c r="X68" s="17"/>
      <c r="Z68">
        <v>11</v>
      </c>
      <c r="AA68" s="417"/>
      <c r="AB68" s="97" t="s">
        <v>3</v>
      </c>
      <c r="AC68" s="106"/>
      <c r="AD68" s="99">
        <f>SUM(AD63:AD67)</f>
        <v>3132.8</v>
      </c>
      <c r="AE68" s="99">
        <f t="shared" ref="AE68" si="165">SUM(AE63:AE67)</f>
        <v>0</v>
      </c>
      <c r="AF68" s="99">
        <f t="shared" ref="AF68" si="166">SUM(AF63:AF67)</f>
        <v>0</v>
      </c>
      <c r="AG68" s="99">
        <f t="shared" ref="AG68" si="167">SUM(AG63:AG67)</f>
        <v>3132.8</v>
      </c>
      <c r="AH68" s="110">
        <f t="shared" ref="AH68" si="168">SUM(AH63:AH67)</f>
        <v>0</v>
      </c>
      <c r="AI68" s="123">
        <f t="shared" ref="AI68" si="169">SUM(AI63:AI67)</f>
        <v>2</v>
      </c>
      <c r="AJ68" s="124">
        <f t="shared" ref="AJ68" si="170">SUM(AJ63:AJ67)</f>
        <v>0</v>
      </c>
      <c r="AK68" s="124">
        <f t="shared" ref="AK68" si="171">SUM(AK63:AK67)</f>
        <v>0</v>
      </c>
      <c r="AL68" s="124">
        <f t="shared" ref="AL68" si="172">SUM(AL63:AL67)</f>
        <v>2</v>
      </c>
      <c r="AM68" s="125">
        <f t="shared" ref="AM68" si="173">SUM(AM63:AM67)</f>
        <v>0</v>
      </c>
      <c r="AN68" s="99">
        <f t="shared" ref="AN68" si="174">SUM(AN63:AN67)</f>
        <v>47.400000000000006</v>
      </c>
      <c r="AO68" s="99">
        <f t="shared" ref="AO68" si="175">SUM(AO63:AO67)</f>
        <v>0</v>
      </c>
      <c r="AP68" s="99">
        <f t="shared" ref="AP68" si="176">SUM(AP63:AP67)</f>
        <v>0</v>
      </c>
      <c r="AQ68" s="99">
        <f t="shared" ref="AQ68" si="177">SUM(AQ63:AQ67)</f>
        <v>47.400000000000006</v>
      </c>
      <c r="AR68" s="99">
        <f t="shared" ref="AR68" si="178">SUM(AR63:AR67)</f>
        <v>0</v>
      </c>
    </row>
    <row r="69" spans="2:44" x14ac:dyDescent="0.25">
      <c r="B69" s="17">
        <v>67</v>
      </c>
      <c r="C69" s="10"/>
      <c r="D69" s="10"/>
      <c r="E69" s="72"/>
      <c r="F69" s="18"/>
      <c r="G69" s="10"/>
      <c r="H69" s="10"/>
      <c r="I69" s="10"/>
      <c r="J69" s="11"/>
      <c r="K69" s="11">
        <f t="shared" si="163"/>
        <v>0</v>
      </c>
      <c r="L69" s="37">
        <f t="shared" si="164"/>
        <v>0</v>
      </c>
      <c r="M69" s="11"/>
      <c r="N69" s="10"/>
      <c r="O69" s="21"/>
      <c r="P69" s="21"/>
      <c r="Q69" s="21"/>
      <c r="R69" s="23"/>
      <c r="S69" s="50"/>
      <c r="T69" s="48"/>
      <c r="U69" s="82"/>
      <c r="V69" s="32"/>
      <c r="W69" s="200"/>
      <c r="X69" s="17"/>
      <c r="Z69">
        <v>12</v>
      </c>
      <c r="AA69" s="422">
        <v>12</v>
      </c>
      <c r="AB69" s="98">
        <v>1</v>
      </c>
      <c r="AC69" s="107" t="s">
        <v>130</v>
      </c>
      <c r="AD69" s="41">
        <f t="shared" ref="AD69:AD73" si="179">SUM(AE69:AH69)</f>
        <v>0</v>
      </c>
      <c r="AE69" s="70">
        <f t="shared" ref="AE69:AE73" si="180">SUMIFS($I:$I,$C:$C, $AE$2,$G:$G,$Z69,$H:$H,$AB69)</f>
        <v>0</v>
      </c>
      <c r="AF69" s="70">
        <f t="shared" ref="AF69:AF73" si="181">SUMIFS($I:$I,$C:$C, $AF$2,$G:$G,$Z69,$H:$H,$AB69)</f>
        <v>0</v>
      </c>
      <c r="AG69" s="70">
        <f t="shared" ref="AG69:AG73" si="182">SUMIFS($I:$I,$C:$C, $AG$2,$G:$G,$Z69,$H:$H,$AB69)</f>
        <v>0</v>
      </c>
      <c r="AH69" s="109">
        <f t="shared" ref="AH69:AH73" si="183">SUMIFS($I:$I,$C:$C, $AH$2,$G:$G,$Z69,$H:$H,$AB69)</f>
        <v>0</v>
      </c>
      <c r="AI69" s="120">
        <f t="shared" ref="AI69:AI73" si="184">SUM(AJ69:AM69)</f>
        <v>0</v>
      </c>
      <c r="AJ69" s="121">
        <f t="shared" ref="AJ69:AJ73" si="185">COUNTIFS($C:$C, $AJ$2,$G:$G,$Z69,$H:$H,$AB69)</f>
        <v>0</v>
      </c>
      <c r="AK69" s="121">
        <f t="shared" ref="AK69:AK73" si="186">COUNTIFS($C:$C, $AK$2,$G:$G,$Z69,$H:$H,$AB69)</f>
        <v>0</v>
      </c>
      <c r="AL69" s="121">
        <f t="shared" ref="AL69:AL73" si="187">COUNTIFS($C:$C, $AL$2,$G:$G,$Z69,$H:$H,$AB69)</f>
        <v>0</v>
      </c>
      <c r="AM69" s="122">
        <f t="shared" ref="AM69:AM73" si="188">COUNTIFS($C:$C, $AM$2,$G:$G,$Z69,$H:$H,$AB69)</f>
        <v>0</v>
      </c>
      <c r="AN69" s="41">
        <f t="shared" ref="AN69:AN73" si="189">SUM(AO69:AR69)</f>
        <v>0</v>
      </c>
      <c r="AO69" s="70">
        <f t="shared" ref="AO69:AO73" si="190">SUMIFS($L:$L,$C:$C, $AO$2,$G:$G,$Z69,$H:$H,$AB69)</f>
        <v>0</v>
      </c>
      <c r="AP69" s="70">
        <f t="shared" ref="AP69:AP73" si="191">SUMIFS($L:$L,$C:$C, $AP$2,$G:$G,$Z69,$H:$H,$AB69)</f>
        <v>0</v>
      </c>
      <c r="AQ69" s="70">
        <f t="shared" ref="AQ69:AQ73" si="192">SUMIFS($L:$L,$C:$C, $AQ$2,$G:$G,$Z69,$H:$H,$AB69)</f>
        <v>0</v>
      </c>
      <c r="AR69" s="70">
        <f t="shared" ref="AR69:AR73" si="193">SUMIFS($L:$L,$C:$C, $AR$2,$G:$G,$Z69,$H:$H,$AB69)</f>
        <v>0</v>
      </c>
    </row>
    <row r="70" spans="2:44" x14ac:dyDescent="0.25">
      <c r="B70" s="17">
        <v>68</v>
      </c>
      <c r="C70" s="10"/>
      <c r="D70" s="10"/>
      <c r="E70" s="72"/>
      <c r="F70" s="18"/>
      <c r="G70" s="10"/>
      <c r="H70" s="10"/>
      <c r="I70" s="10"/>
      <c r="J70" s="11"/>
      <c r="K70" s="11">
        <f t="shared" si="163"/>
        <v>0</v>
      </c>
      <c r="L70" s="37">
        <f t="shared" si="164"/>
        <v>0</v>
      </c>
      <c r="M70" s="11"/>
      <c r="N70" s="10"/>
      <c r="O70" s="21"/>
      <c r="P70" s="21"/>
      <c r="Q70" s="21"/>
      <c r="R70" s="23"/>
      <c r="S70" s="50"/>
      <c r="T70" s="48"/>
      <c r="U70" s="82"/>
      <c r="V70" s="26"/>
      <c r="W70" s="200"/>
      <c r="X70" s="17"/>
      <c r="Z70">
        <v>12</v>
      </c>
      <c r="AA70" s="416"/>
      <c r="AB70" s="95">
        <v>2</v>
      </c>
      <c r="AC70" s="102" t="s">
        <v>125</v>
      </c>
      <c r="AD70" s="41">
        <f t="shared" si="179"/>
        <v>0</v>
      </c>
      <c r="AE70" s="70">
        <f t="shared" si="180"/>
        <v>0</v>
      </c>
      <c r="AF70" s="70">
        <f t="shared" si="181"/>
        <v>0</v>
      </c>
      <c r="AG70" s="70">
        <f t="shared" si="182"/>
        <v>0</v>
      </c>
      <c r="AH70" s="109">
        <f t="shared" si="183"/>
        <v>0</v>
      </c>
      <c r="AI70" s="120">
        <f t="shared" si="184"/>
        <v>0</v>
      </c>
      <c r="AJ70" s="121">
        <f t="shared" si="185"/>
        <v>0</v>
      </c>
      <c r="AK70" s="121">
        <f t="shared" si="186"/>
        <v>0</v>
      </c>
      <c r="AL70" s="121">
        <f t="shared" si="187"/>
        <v>0</v>
      </c>
      <c r="AM70" s="122">
        <f t="shared" si="188"/>
        <v>0</v>
      </c>
      <c r="AN70" s="41">
        <f t="shared" si="189"/>
        <v>0</v>
      </c>
      <c r="AO70" s="70">
        <f t="shared" si="190"/>
        <v>0</v>
      </c>
      <c r="AP70" s="70">
        <f t="shared" si="191"/>
        <v>0</v>
      </c>
      <c r="AQ70" s="70">
        <f t="shared" si="192"/>
        <v>0</v>
      </c>
      <c r="AR70" s="70">
        <f t="shared" si="193"/>
        <v>0</v>
      </c>
    </row>
    <row r="71" spans="2:44" x14ac:dyDescent="0.25">
      <c r="B71" s="17">
        <v>69</v>
      </c>
      <c r="C71" s="10"/>
      <c r="D71" s="10"/>
      <c r="E71" s="72"/>
      <c r="F71" s="18"/>
      <c r="G71" s="10"/>
      <c r="H71" s="10"/>
      <c r="I71" s="10"/>
      <c r="J71" s="11"/>
      <c r="K71" s="11">
        <f t="shared" si="163"/>
        <v>0</v>
      </c>
      <c r="L71" s="37">
        <f t="shared" si="164"/>
        <v>0</v>
      </c>
      <c r="M71" s="11"/>
      <c r="N71" s="10"/>
      <c r="O71" s="21"/>
      <c r="P71" s="21"/>
      <c r="Q71" s="21"/>
      <c r="R71" s="23"/>
      <c r="S71" s="50"/>
      <c r="T71" s="48"/>
      <c r="U71" s="82"/>
      <c r="V71" s="26"/>
      <c r="W71" s="200"/>
      <c r="X71" s="17"/>
      <c r="Z71">
        <v>12</v>
      </c>
      <c r="AA71" s="416"/>
      <c r="AB71" s="95">
        <v>3</v>
      </c>
      <c r="AC71" s="102" t="s">
        <v>126</v>
      </c>
      <c r="AD71" s="41">
        <f t="shared" si="179"/>
        <v>0</v>
      </c>
      <c r="AE71" s="70">
        <f t="shared" si="180"/>
        <v>0</v>
      </c>
      <c r="AF71" s="70">
        <f t="shared" si="181"/>
        <v>0</v>
      </c>
      <c r="AG71" s="70">
        <f t="shared" si="182"/>
        <v>0</v>
      </c>
      <c r="AH71" s="109">
        <f t="shared" si="183"/>
        <v>0</v>
      </c>
      <c r="AI71" s="120">
        <f t="shared" si="184"/>
        <v>0</v>
      </c>
      <c r="AJ71" s="121">
        <f t="shared" si="185"/>
        <v>0</v>
      </c>
      <c r="AK71" s="121">
        <f t="shared" si="186"/>
        <v>0</v>
      </c>
      <c r="AL71" s="121">
        <f t="shared" si="187"/>
        <v>0</v>
      </c>
      <c r="AM71" s="122">
        <f t="shared" si="188"/>
        <v>0</v>
      </c>
      <c r="AN71" s="41">
        <f t="shared" si="189"/>
        <v>0</v>
      </c>
      <c r="AO71" s="70">
        <f t="shared" si="190"/>
        <v>0</v>
      </c>
      <c r="AP71" s="70">
        <f t="shared" si="191"/>
        <v>0</v>
      </c>
      <c r="AQ71" s="70">
        <f t="shared" si="192"/>
        <v>0</v>
      </c>
      <c r="AR71" s="70">
        <f t="shared" si="193"/>
        <v>0</v>
      </c>
    </row>
    <row r="72" spans="2:44" x14ac:dyDescent="0.25">
      <c r="B72" s="17">
        <v>70</v>
      </c>
      <c r="C72" s="10"/>
      <c r="D72" s="10"/>
      <c r="E72" s="72"/>
      <c r="F72" s="18"/>
      <c r="G72" s="10"/>
      <c r="H72" s="10"/>
      <c r="I72" s="10"/>
      <c r="J72" s="11"/>
      <c r="K72" s="11">
        <f t="shared" si="163"/>
        <v>0</v>
      </c>
      <c r="L72" s="37">
        <f t="shared" si="164"/>
        <v>0</v>
      </c>
      <c r="M72" s="11"/>
      <c r="N72" s="10"/>
      <c r="O72" s="21"/>
      <c r="P72" s="21"/>
      <c r="Q72" s="21"/>
      <c r="R72" s="23"/>
      <c r="S72" s="50"/>
      <c r="T72" s="48"/>
      <c r="U72" s="82"/>
      <c r="V72" s="26"/>
      <c r="W72" s="200"/>
      <c r="X72" s="17"/>
      <c r="Z72">
        <v>12</v>
      </c>
      <c r="AA72" s="416"/>
      <c r="AB72" s="95">
        <v>4</v>
      </c>
      <c r="AC72" s="102" t="s">
        <v>127</v>
      </c>
      <c r="AD72" s="41">
        <f t="shared" si="179"/>
        <v>499.2</v>
      </c>
      <c r="AE72" s="70">
        <f t="shared" si="180"/>
        <v>0</v>
      </c>
      <c r="AF72" s="70">
        <f t="shared" si="181"/>
        <v>0</v>
      </c>
      <c r="AG72" s="70">
        <f t="shared" si="182"/>
        <v>499.2</v>
      </c>
      <c r="AH72" s="109">
        <f t="shared" si="183"/>
        <v>0</v>
      </c>
      <c r="AI72" s="120">
        <f t="shared" si="184"/>
        <v>1</v>
      </c>
      <c r="AJ72" s="121">
        <f t="shared" si="185"/>
        <v>0</v>
      </c>
      <c r="AK72" s="121">
        <f t="shared" si="186"/>
        <v>0</v>
      </c>
      <c r="AL72" s="121">
        <f t="shared" si="187"/>
        <v>1</v>
      </c>
      <c r="AM72" s="122">
        <f t="shared" si="188"/>
        <v>0</v>
      </c>
      <c r="AN72" s="41">
        <f t="shared" si="189"/>
        <v>7.78</v>
      </c>
      <c r="AO72" s="70">
        <f t="shared" si="190"/>
        <v>0</v>
      </c>
      <c r="AP72" s="70">
        <f t="shared" si="191"/>
        <v>0</v>
      </c>
      <c r="AQ72" s="70">
        <f t="shared" si="192"/>
        <v>7.78</v>
      </c>
      <c r="AR72" s="70">
        <f t="shared" si="193"/>
        <v>0</v>
      </c>
    </row>
    <row r="73" spans="2:44" x14ac:dyDescent="0.25">
      <c r="B73" s="17">
        <v>71</v>
      </c>
      <c r="C73" s="10"/>
      <c r="D73" s="10"/>
      <c r="E73" s="72"/>
      <c r="F73" s="18"/>
      <c r="G73" s="10"/>
      <c r="H73" s="10"/>
      <c r="I73" s="10"/>
      <c r="J73" s="11"/>
      <c r="K73" s="11">
        <f t="shared" si="163"/>
        <v>0</v>
      </c>
      <c r="L73" s="37">
        <f t="shared" si="164"/>
        <v>0</v>
      </c>
      <c r="M73" s="11"/>
      <c r="N73" s="10"/>
      <c r="O73" s="21"/>
      <c r="P73" s="21"/>
      <c r="Q73" s="21"/>
      <c r="R73" s="23"/>
      <c r="S73" s="50"/>
      <c r="T73" s="48"/>
      <c r="U73" s="82"/>
      <c r="V73" s="26"/>
      <c r="W73" s="200"/>
      <c r="X73" s="17"/>
      <c r="Z73">
        <v>12</v>
      </c>
      <c r="AA73" s="416"/>
      <c r="AB73" s="96">
        <v>5</v>
      </c>
      <c r="AC73" s="105" t="s">
        <v>131</v>
      </c>
      <c r="AD73" s="41">
        <f t="shared" si="179"/>
        <v>0</v>
      </c>
      <c r="AE73" s="70">
        <f t="shared" si="180"/>
        <v>0</v>
      </c>
      <c r="AF73" s="70">
        <f t="shared" si="181"/>
        <v>0</v>
      </c>
      <c r="AG73" s="70">
        <f t="shared" si="182"/>
        <v>0</v>
      </c>
      <c r="AH73" s="109">
        <f t="shared" si="183"/>
        <v>0</v>
      </c>
      <c r="AI73" s="120">
        <f t="shared" si="184"/>
        <v>0</v>
      </c>
      <c r="AJ73" s="121">
        <f t="shared" si="185"/>
        <v>0</v>
      </c>
      <c r="AK73" s="121">
        <f t="shared" si="186"/>
        <v>0</v>
      </c>
      <c r="AL73" s="121">
        <f t="shared" si="187"/>
        <v>0</v>
      </c>
      <c r="AM73" s="122">
        <f t="shared" si="188"/>
        <v>0</v>
      </c>
      <c r="AN73" s="41">
        <f t="shared" si="189"/>
        <v>0</v>
      </c>
      <c r="AO73" s="70">
        <f t="shared" si="190"/>
        <v>0</v>
      </c>
      <c r="AP73" s="70">
        <f t="shared" si="191"/>
        <v>0</v>
      </c>
      <c r="AQ73" s="70">
        <f t="shared" si="192"/>
        <v>0</v>
      </c>
      <c r="AR73" s="70">
        <f t="shared" si="193"/>
        <v>0</v>
      </c>
    </row>
    <row r="74" spans="2:44" ht="14.25" thickBot="1" x14ac:dyDescent="0.3">
      <c r="B74" s="17">
        <v>72</v>
      </c>
      <c r="C74" s="10"/>
      <c r="D74" s="10"/>
      <c r="E74" s="72"/>
      <c r="F74" s="18"/>
      <c r="G74" s="10"/>
      <c r="H74" s="10"/>
      <c r="I74" s="10"/>
      <c r="J74" s="11"/>
      <c r="K74" s="11">
        <f t="shared" si="163"/>
        <v>0</v>
      </c>
      <c r="L74" s="37">
        <f t="shared" si="164"/>
        <v>0</v>
      </c>
      <c r="M74" s="11"/>
      <c r="N74" s="10"/>
      <c r="O74" s="21"/>
      <c r="P74" s="21"/>
      <c r="Q74" s="21"/>
      <c r="R74" s="23"/>
      <c r="S74" s="50"/>
      <c r="T74" s="48"/>
      <c r="U74" s="82"/>
      <c r="V74" s="26"/>
      <c r="W74" s="200"/>
      <c r="X74" s="17"/>
      <c r="Z74">
        <v>12</v>
      </c>
      <c r="AA74" s="417"/>
      <c r="AB74" s="97" t="s">
        <v>3</v>
      </c>
      <c r="AC74" s="106"/>
      <c r="AD74" s="99">
        <f>SUM(AD69:AD73)</f>
        <v>499.2</v>
      </c>
      <c r="AE74" s="99">
        <f t="shared" ref="AE74:AR74" si="194">SUM(AE69:AE73)</f>
        <v>0</v>
      </c>
      <c r="AF74" s="99">
        <f t="shared" si="194"/>
        <v>0</v>
      </c>
      <c r="AG74" s="99">
        <f t="shared" si="194"/>
        <v>499.2</v>
      </c>
      <c r="AH74" s="110">
        <f t="shared" si="194"/>
        <v>0</v>
      </c>
      <c r="AI74" s="123">
        <f t="shared" si="194"/>
        <v>1</v>
      </c>
      <c r="AJ74" s="124">
        <f t="shared" si="194"/>
        <v>0</v>
      </c>
      <c r="AK74" s="124">
        <f t="shared" si="194"/>
        <v>0</v>
      </c>
      <c r="AL74" s="124">
        <f t="shared" si="194"/>
        <v>1</v>
      </c>
      <c r="AM74" s="125">
        <f t="shared" si="194"/>
        <v>0</v>
      </c>
      <c r="AN74" s="99">
        <f t="shared" si="194"/>
        <v>7.78</v>
      </c>
      <c r="AO74" s="99">
        <f t="shared" si="194"/>
        <v>0</v>
      </c>
      <c r="AP74" s="99">
        <f t="shared" si="194"/>
        <v>0</v>
      </c>
      <c r="AQ74" s="99">
        <f t="shared" si="194"/>
        <v>7.78</v>
      </c>
      <c r="AR74" s="99">
        <f t="shared" si="194"/>
        <v>0</v>
      </c>
    </row>
    <row r="75" spans="2:44" ht="17.25" thickBot="1" x14ac:dyDescent="0.3">
      <c r="B75" s="17">
        <v>73</v>
      </c>
      <c r="C75" s="10"/>
      <c r="D75" s="10"/>
      <c r="E75" s="72"/>
      <c r="F75" s="18"/>
      <c r="G75" s="10"/>
      <c r="H75" s="10"/>
      <c r="I75" s="10"/>
      <c r="J75" s="11"/>
      <c r="K75" s="11">
        <f t="shared" si="163"/>
        <v>0</v>
      </c>
      <c r="L75" s="37">
        <f t="shared" si="164"/>
        <v>0</v>
      </c>
      <c r="M75" s="11"/>
      <c r="N75" s="10"/>
      <c r="O75" s="21"/>
      <c r="P75" s="21"/>
      <c r="Q75" s="21"/>
      <c r="R75" s="23"/>
      <c r="S75" s="50"/>
      <c r="T75" s="48"/>
      <c r="U75" s="82"/>
      <c r="V75" s="32"/>
      <c r="W75" s="200"/>
      <c r="X75" s="17"/>
      <c r="AA75" s="418" t="s">
        <v>36</v>
      </c>
      <c r="AB75" s="419"/>
      <c r="AC75" s="108"/>
      <c r="AD75" s="90">
        <f>SUM(AD8,AD14,AD20,AD26,AD32,AD38,AD44,AD50,AD56,AD62,AD68,AD74)</f>
        <v>9413.98</v>
      </c>
      <c r="AE75" s="90"/>
      <c r="AF75" s="90"/>
      <c r="AG75" s="91"/>
      <c r="AH75" s="91"/>
      <c r="AI75" s="126"/>
      <c r="AJ75" s="127"/>
      <c r="AK75" s="127"/>
      <c r="AL75" s="127"/>
      <c r="AM75" s="128"/>
      <c r="AN75" s="92"/>
      <c r="AO75" s="92"/>
      <c r="AP75" s="92"/>
      <c r="AQ75" s="92"/>
      <c r="AR75" s="93"/>
    </row>
    <row r="76" spans="2:44" x14ac:dyDescent="0.25">
      <c r="B76" s="17">
        <v>74</v>
      </c>
      <c r="C76" s="10"/>
      <c r="D76" s="10"/>
      <c r="E76" s="72"/>
      <c r="F76" s="18"/>
      <c r="G76" s="10"/>
      <c r="H76" s="10"/>
      <c r="I76" s="10"/>
      <c r="J76" s="11"/>
      <c r="K76" s="11">
        <f t="shared" si="163"/>
        <v>0</v>
      </c>
      <c r="L76" s="37">
        <f t="shared" si="164"/>
        <v>0</v>
      </c>
      <c r="M76" s="11"/>
      <c r="N76" s="10"/>
      <c r="O76" s="21"/>
      <c r="P76" s="21"/>
      <c r="Q76" s="21"/>
      <c r="R76" s="23"/>
      <c r="S76" s="50"/>
      <c r="T76" s="48"/>
      <c r="U76" s="82"/>
      <c r="V76" s="32"/>
      <c r="W76" s="200"/>
      <c r="X76" s="17"/>
    </row>
    <row r="77" spans="2:44" x14ac:dyDescent="0.25">
      <c r="B77" s="17">
        <v>75</v>
      </c>
      <c r="C77" s="10"/>
      <c r="D77" s="10"/>
      <c r="E77" s="72"/>
      <c r="F77" s="18"/>
      <c r="G77" s="10"/>
      <c r="H77" s="10"/>
      <c r="I77" s="10"/>
      <c r="J77" s="11"/>
      <c r="K77" s="11">
        <f t="shared" si="163"/>
        <v>0</v>
      </c>
      <c r="L77" s="37">
        <f t="shared" si="164"/>
        <v>0</v>
      </c>
      <c r="M77" s="11"/>
      <c r="N77" s="10"/>
      <c r="O77" s="21"/>
      <c r="P77" s="21"/>
      <c r="Q77" s="21"/>
      <c r="R77" s="23"/>
      <c r="S77" s="50"/>
      <c r="T77" s="48"/>
      <c r="U77" s="82"/>
      <c r="V77" s="26"/>
      <c r="W77" s="200"/>
      <c r="X77" s="17"/>
    </row>
    <row r="78" spans="2:44" x14ac:dyDescent="0.25">
      <c r="B78" s="17">
        <v>76</v>
      </c>
      <c r="C78" s="10"/>
      <c r="D78" s="10"/>
      <c r="E78" s="72"/>
      <c r="F78" s="18"/>
      <c r="G78" s="10"/>
      <c r="H78" s="10"/>
      <c r="I78" s="10"/>
      <c r="J78" s="11"/>
      <c r="K78" s="11">
        <f t="shared" si="163"/>
        <v>0</v>
      </c>
      <c r="L78" s="37">
        <f t="shared" si="164"/>
        <v>0</v>
      </c>
      <c r="M78" s="11"/>
      <c r="N78" s="10"/>
      <c r="O78" s="21"/>
      <c r="P78" s="21"/>
      <c r="Q78" s="21"/>
      <c r="R78" s="23"/>
      <c r="S78" s="50"/>
      <c r="T78" s="48"/>
      <c r="U78" s="82"/>
      <c r="V78" s="26"/>
      <c r="W78" s="200"/>
      <c r="X78" s="17"/>
    </row>
    <row r="79" spans="2:44" x14ac:dyDescent="0.25">
      <c r="B79" s="17">
        <v>77</v>
      </c>
      <c r="C79" s="10"/>
      <c r="D79" s="10"/>
      <c r="E79" s="72"/>
      <c r="F79" s="18"/>
      <c r="G79" s="10"/>
      <c r="H79" s="10"/>
      <c r="I79" s="10"/>
      <c r="J79" s="11"/>
      <c r="K79" s="11">
        <f t="shared" si="163"/>
        <v>0</v>
      </c>
      <c r="L79" s="37">
        <f t="shared" si="164"/>
        <v>0</v>
      </c>
      <c r="M79" s="11"/>
      <c r="N79" s="10"/>
      <c r="O79" s="21"/>
      <c r="P79" s="21"/>
      <c r="Q79" s="21"/>
      <c r="R79" s="23"/>
      <c r="S79" s="50"/>
      <c r="T79" s="48"/>
      <c r="U79" s="82"/>
      <c r="V79" s="26"/>
      <c r="W79" s="200"/>
      <c r="X79" s="17"/>
    </row>
    <row r="80" spans="2:44" x14ac:dyDescent="0.25">
      <c r="B80" s="17">
        <v>78</v>
      </c>
      <c r="C80" s="10"/>
      <c r="D80" s="10"/>
      <c r="E80" s="72"/>
      <c r="F80" s="18"/>
      <c r="G80" s="10"/>
      <c r="H80" s="10"/>
      <c r="I80" s="10"/>
      <c r="J80" s="11"/>
      <c r="K80" s="11">
        <f t="shared" si="163"/>
        <v>0</v>
      </c>
      <c r="L80" s="37">
        <f t="shared" si="164"/>
        <v>0</v>
      </c>
      <c r="M80" s="11"/>
      <c r="N80" s="10"/>
      <c r="O80" s="21"/>
      <c r="P80" s="21"/>
      <c r="Q80" s="21"/>
      <c r="R80" s="23"/>
      <c r="S80" s="50"/>
      <c r="T80" s="48"/>
      <c r="U80" s="82"/>
      <c r="V80" s="26"/>
      <c r="W80" s="200"/>
      <c r="X80" s="17"/>
    </row>
    <row r="81" spans="2:24" x14ac:dyDescent="0.25">
      <c r="B81" s="17">
        <v>79</v>
      </c>
      <c r="C81" s="10"/>
      <c r="D81" s="10"/>
      <c r="E81" s="72"/>
      <c r="F81" s="18"/>
      <c r="G81" s="10"/>
      <c r="H81" s="10"/>
      <c r="I81" s="10"/>
      <c r="J81" s="11"/>
      <c r="K81" s="11">
        <f t="shared" si="163"/>
        <v>0</v>
      </c>
      <c r="L81" s="37">
        <f t="shared" si="164"/>
        <v>0</v>
      </c>
      <c r="M81" s="11"/>
      <c r="N81" s="10"/>
      <c r="O81" s="21"/>
      <c r="P81" s="21"/>
      <c r="Q81" s="21"/>
      <c r="R81" s="23"/>
      <c r="S81" s="50"/>
      <c r="T81" s="48"/>
      <c r="U81" s="82"/>
      <c r="V81" s="32"/>
      <c r="W81" s="200"/>
      <c r="X81" s="17"/>
    </row>
    <row r="82" spans="2:24" x14ac:dyDescent="0.25">
      <c r="B82" s="17">
        <v>80</v>
      </c>
      <c r="C82" s="10"/>
      <c r="D82" s="10"/>
      <c r="E82" s="72"/>
      <c r="F82" s="18"/>
      <c r="G82" s="10"/>
      <c r="H82" s="10"/>
      <c r="I82" s="10"/>
      <c r="J82" s="11"/>
      <c r="K82" s="11">
        <f t="shared" si="163"/>
        <v>0</v>
      </c>
      <c r="L82" s="37">
        <f t="shared" si="164"/>
        <v>0</v>
      </c>
      <c r="M82" s="11"/>
      <c r="N82" s="10"/>
      <c r="O82" s="21"/>
      <c r="P82" s="21"/>
      <c r="Q82" s="21"/>
      <c r="R82" s="23"/>
      <c r="S82" s="50"/>
      <c r="T82" s="48"/>
      <c r="U82" s="82"/>
      <c r="V82" s="32"/>
      <c r="W82" s="200"/>
      <c r="X82" s="17"/>
    </row>
    <row r="83" spans="2:24" x14ac:dyDescent="0.25">
      <c r="B83" s="17">
        <v>81</v>
      </c>
      <c r="C83" s="10"/>
      <c r="D83" s="10"/>
      <c r="E83" s="72"/>
      <c r="F83" s="18"/>
      <c r="G83" s="10"/>
      <c r="H83" s="10"/>
      <c r="I83" s="10"/>
      <c r="J83" s="11"/>
      <c r="K83" s="11">
        <f t="shared" si="163"/>
        <v>0</v>
      </c>
      <c r="L83" s="37">
        <f t="shared" si="164"/>
        <v>0</v>
      </c>
      <c r="M83" s="11"/>
      <c r="N83" s="10"/>
      <c r="O83" s="21"/>
      <c r="P83" s="21"/>
      <c r="Q83" s="21"/>
      <c r="R83" s="23"/>
      <c r="S83" s="50"/>
      <c r="T83" s="48"/>
      <c r="U83" s="82"/>
      <c r="V83" s="26"/>
      <c r="W83" s="200"/>
      <c r="X83" s="17"/>
    </row>
    <row r="84" spans="2:24" x14ac:dyDescent="0.25">
      <c r="B84" s="17">
        <v>82</v>
      </c>
      <c r="C84" s="10"/>
      <c r="D84" s="10"/>
      <c r="E84" s="72"/>
      <c r="F84" s="18"/>
      <c r="G84" s="10"/>
      <c r="H84" s="10"/>
      <c r="I84" s="10"/>
      <c r="J84" s="11"/>
      <c r="K84" s="11">
        <f t="shared" si="163"/>
        <v>0</v>
      </c>
      <c r="L84" s="37">
        <f t="shared" si="164"/>
        <v>0</v>
      </c>
      <c r="M84" s="11"/>
      <c r="N84" s="10"/>
      <c r="O84" s="21"/>
      <c r="P84" s="21"/>
      <c r="Q84" s="21"/>
      <c r="R84" s="23"/>
      <c r="S84" s="50"/>
      <c r="T84" s="48"/>
      <c r="U84" s="82"/>
      <c r="V84" s="26"/>
      <c r="W84" s="200"/>
      <c r="X84" s="17"/>
    </row>
    <row r="85" spans="2:24" x14ac:dyDescent="0.25">
      <c r="B85" s="17">
        <v>83</v>
      </c>
      <c r="C85" s="10"/>
      <c r="D85" s="10"/>
      <c r="E85" s="72"/>
      <c r="F85" s="18"/>
      <c r="G85" s="10"/>
      <c r="H85" s="10"/>
      <c r="I85" s="10"/>
      <c r="J85" s="11"/>
      <c r="K85" s="11">
        <f t="shared" si="163"/>
        <v>0</v>
      </c>
      <c r="L85" s="37">
        <f t="shared" si="164"/>
        <v>0</v>
      </c>
      <c r="M85" s="11"/>
      <c r="N85" s="10"/>
      <c r="O85" s="21"/>
      <c r="P85" s="21"/>
      <c r="Q85" s="21"/>
      <c r="R85" s="23"/>
      <c r="S85" s="50"/>
      <c r="T85" s="48"/>
      <c r="U85" s="82"/>
      <c r="V85" s="26"/>
      <c r="W85" s="200"/>
      <c r="X85" s="17"/>
    </row>
    <row r="86" spans="2:24" x14ac:dyDescent="0.25">
      <c r="B86" s="17">
        <v>84</v>
      </c>
      <c r="C86" s="10"/>
      <c r="D86" s="10"/>
      <c r="E86" s="72"/>
      <c r="F86" s="18"/>
      <c r="G86" s="10"/>
      <c r="H86" s="10"/>
      <c r="I86" s="10"/>
      <c r="J86" s="11"/>
      <c r="K86" s="11">
        <f t="shared" si="163"/>
        <v>0</v>
      </c>
      <c r="L86" s="37">
        <f t="shared" si="164"/>
        <v>0</v>
      </c>
      <c r="M86" s="11"/>
      <c r="N86" s="10"/>
      <c r="O86" s="21"/>
      <c r="P86" s="21"/>
      <c r="Q86" s="21"/>
      <c r="R86" s="23"/>
      <c r="S86" s="50"/>
      <c r="T86" s="48"/>
      <c r="U86" s="82"/>
      <c r="V86" s="26"/>
      <c r="W86" s="200"/>
      <c r="X86" s="17"/>
    </row>
    <row r="87" spans="2:24" x14ac:dyDescent="0.25">
      <c r="B87" s="17">
        <v>85</v>
      </c>
      <c r="C87" s="10"/>
      <c r="D87" s="10"/>
      <c r="E87" s="72"/>
      <c r="F87" s="18"/>
      <c r="G87" s="10"/>
      <c r="H87" s="10"/>
      <c r="I87" s="10"/>
      <c r="J87" s="11"/>
      <c r="K87" s="11">
        <f t="shared" si="163"/>
        <v>0</v>
      </c>
      <c r="L87" s="37">
        <f t="shared" si="164"/>
        <v>0</v>
      </c>
      <c r="M87" s="11"/>
      <c r="N87" s="10"/>
      <c r="O87" s="21"/>
      <c r="P87" s="21"/>
      <c r="Q87" s="21"/>
      <c r="R87" s="23"/>
      <c r="S87" s="50"/>
      <c r="T87" s="48"/>
      <c r="U87" s="82"/>
      <c r="V87" s="26"/>
      <c r="W87" s="200"/>
      <c r="X87" s="17"/>
    </row>
    <row r="88" spans="2:24" x14ac:dyDescent="0.25">
      <c r="B88" s="17">
        <v>86</v>
      </c>
      <c r="C88" s="10"/>
      <c r="D88" s="10"/>
      <c r="E88" s="72"/>
      <c r="F88" s="18"/>
      <c r="G88" s="10"/>
      <c r="H88" s="10"/>
      <c r="I88" s="10"/>
      <c r="J88" s="11"/>
      <c r="K88" s="11">
        <f t="shared" si="163"/>
        <v>0</v>
      </c>
      <c r="L88" s="37">
        <f t="shared" si="164"/>
        <v>0</v>
      </c>
      <c r="M88" s="11"/>
      <c r="N88" s="10"/>
      <c r="O88" s="21"/>
      <c r="P88" s="21"/>
      <c r="Q88" s="21"/>
      <c r="R88" s="23"/>
      <c r="S88" s="50"/>
      <c r="T88" s="48"/>
      <c r="U88" s="82"/>
      <c r="V88" s="32"/>
      <c r="W88" s="200"/>
      <c r="X88" s="17"/>
    </row>
    <row r="89" spans="2:24" x14ac:dyDescent="0.25">
      <c r="B89" s="17">
        <v>87</v>
      </c>
      <c r="C89" s="10"/>
      <c r="D89" s="10"/>
      <c r="E89" s="72"/>
      <c r="F89" s="18"/>
      <c r="G89" s="10"/>
      <c r="H89" s="10"/>
      <c r="I89" s="10"/>
      <c r="J89" s="11"/>
      <c r="K89" s="11">
        <f t="shared" si="163"/>
        <v>0</v>
      </c>
      <c r="L89" s="37">
        <f t="shared" si="164"/>
        <v>0</v>
      </c>
      <c r="M89" s="11"/>
      <c r="N89" s="10"/>
      <c r="O89" s="21"/>
      <c r="P89" s="21"/>
      <c r="Q89" s="21"/>
      <c r="R89" s="23"/>
      <c r="S89" s="50"/>
      <c r="T89" s="48"/>
      <c r="U89" s="82"/>
      <c r="V89" s="32"/>
      <c r="W89" s="200"/>
      <c r="X89" s="17"/>
    </row>
    <row r="90" spans="2:24" x14ac:dyDescent="0.25">
      <c r="B90" s="17">
        <v>88</v>
      </c>
      <c r="C90" s="10"/>
      <c r="D90" s="10"/>
      <c r="E90" s="72"/>
      <c r="F90" s="18"/>
      <c r="G90" s="10"/>
      <c r="H90" s="10"/>
      <c r="I90" s="10"/>
      <c r="J90" s="11"/>
      <c r="K90" s="11">
        <f t="shared" si="163"/>
        <v>0</v>
      </c>
      <c r="L90" s="37">
        <f t="shared" si="164"/>
        <v>0</v>
      </c>
      <c r="M90" s="11"/>
      <c r="N90" s="10"/>
      <c r="O90" s="21"/>
      <c r="P90" s="21"/>
      <c r="Q90" s="21"/>
      <c r="R90" s="23"/>
      <c r="S90" s="50"/>
      <c r="T90" s="48"/>
      <c r="U90" s="82"/>
      <c r="V90" s="26"/>
      <c r="W90" s="200"/>
      <c r="X90" s="17"/>
    </row>
    <row r="91" spans="2:24" x14ac:dyDescent="0.25">
      <c r="B91" s="17">
        <v>89</v>
      </c>
      <c r="C91" s="10"/>
      <c r="D91" s="10"/>
      <c r="E91" s="72"/>
      <c r="F91" s="18"/>
      <c r="G91" s="10"/>
      <c r="H91" s="10"/>
      <c r="I91" s="10"/>
      <c r="J91" s="11"/>
      <c r="K91" s="11">
        <f t="shared" si="163"/>
        <v>0</v>
      </c>
      <c r="L91" s="37">
        <f t="shared" si="164"/>
        <v>0</v>
      </c>
      <c r="M91" s="11"/>
      <c r="N91" s="10"/>
      <c r="O91" s="21"/>
      <c r="P91" s="21"/>
      <c r="Q91" s="21"/>
      <c r="R91" s="23"/>
      <c r="S91" s="50"/>
      <c r="T91" s="48"/>
      <c r="U91" s="82"/>
      <c r="V91" s="26"/>
      <c r="W91" s="200"/>
      <c r="X91" s="17"/>
    </row>
    <row r="92" spans="2:24" x14ac:dyDescent="0.25">
      <c r="B92" s="17">
        <v>90</v>
      </c>
      <c r="C92" s="10"/>
      <c r="D92" s="10"/>
      <c r="E92" s="72"/>
      <c r="F92" s="18"/>
      <c r="G92" s="10"/>
      <c r="H92" s="10"/>
      <c r="I92" s="10"/>
      <c r="J92" s="11"/>
      <c r="K92" s="11">
        <f t="shared" si="163"/>
        <v>0</v>
      </c>
      <c r="L92" s="37">
        <f t="shared" si="164"/>
        <v>0</v>
      </c>
      <c r="M92" s="11"/>
      <c r="N92" s="10"/>
      <c r="O92" s="21"/>
      <c r="P92" s="21"/>
      <c r="Q92" s="21"/>
      <c r="R92" s="23"/>
      <c r="S92" s="50"/>
      <c r="T92" s="48"/>
      <c r="U92" s="82"/>
      <c r="V92" s="26"/>
      <c r="W92" s="200"/>
      <c r="X92" s="17"/>
    </row>
    <row r="93" spans="2:24" x14ac:dyDescent="0.25">
      <c r="B93" s="17">
        <v>91</v>
      </c>
      <c r="C93" s="10"/>
      <c r="D93" s="10"/>
      <c r="E93" s="72"/>
      <c r="F93" s="18"/>
      <c r="G93" s="10"/>
      <c r="H93" s="10"/>
      <c r="I93" s="10"/>
      <c r="J93" s="11"/>
      <c r="K93" s="11">
        <f t="shared" si="163"/>
        <v>0</v>
      </c>
      <c r="L93" s="37">
        <f t="shared" si="164"/>
        <v>0</v>
      </c>
      <c r="M93" s="11"/>
      <c r="N93" s="10"/>
      <c r="O93" s="21"/>
      <c r="P93" s="21"/>
      <c r="Q93" s="21"/>
      <c r="R93" s="23"/>
      <c r="S93" s="50"/>
      <c r="T93" s="48"/>
      <c r="U93" s="82"/>
      <c r="V93" s="26"/>
      <c r="W93" s="200"/>
      <c r="X93" s="17"/>
    </row>
    <row r="94" spans="2:24" x14ac:dyDescent="0.25">
      <c r="B94" s="17">
        <v>92</v>
      </c>
      <c r="C94" s="10"/>
      <c r="D94" s="10"/>
      <c r="E94" s="72"/>
      <c r="F94" s="18"/>
      <c r="G94" s="10"/>
      <c r="H94" s="10"/>
      <c r="I94" s="10"/>
      <c r="J94" s="11"/>
      <c r="K94" s="11">
        <f t="shared" si="163"/>
        <v>0</v>
      </c>
      <c r="L94" s="37">
        <f t="shared" si="164"/>
        <v>0</v>
      </c>
      <c r="M94" s="11"/>
      <c r="N94" s="10"/>
      <c r="O94" s="21"/>
      <c r="P94" s="21"/>
      <c r="Q94" s="21"/>
      <c r="R94" s="23"/>
      <c r="S94" s="50"/>
      <c r="T94" s="48"/>
      <c r="U94" s="82"/>
      <c r="V94" s="26"/>
      <c r="W94" s="200"/>
      <c r="X94" s="17"/>
    </row>
    <row r="95" spans="2:24" x14ac:dyDescent="0.25">
      <c r="B95" s="17">
        <v>93</v>
      </c>
      <c r="C95" s="10"/>
      <c r="D95" s="10"/>
      <c r="E95" s="72"/>
      <c r="F95" s="18"/>
      <c r="G95" s="10"/>
      <c r="H95" s="10"/>
      <c r="I95" s="10"/>
      <c r="J95" s="11"/>
      <c r="K95" s="11">
        <f t="shared" si="163"/>
        <v>0</v>
      </c>
      <c r="L95" s="37">
        <f t="shared" si="164"/>
        <v>0</v>
      </c>
      <c r="M95" s="11"/>
      <c r="N95" s="10"/>
      <c r="O95" s="21"/>
      <c r="P95" s="21"/>
      <c r="Q95" s="21"/>
      <c r="R95" s="23"/>
      <c r="S95" s="50"/>
      <c r="T95" s="48"/>
      <c r="U95" s="82"/>
      <c r="V95" s="32"/>
      <c r="W95" s="200"/>
      <c r="X95" s="17"/>
    </row>
    <row r="96" spans="2:24" x14ac:dyDescent="0.25">
      <c r="B96" s="17">
        <v>94</v>
      </c>
      <c r="C96" s="10"/>
      <c r="D96" s="10"/>
      <c r="E96" s="72"/>
      <c r="F96" s="18"/>
      <c r="G96" s="10"/>
      <c r="H96" s="10"/>
      <c r="I96" s="10"/>
      <c r="J96" s="11"/>
      <c r="K96" s="11">
        <f t="shared" si="163"/>
        <v>0</v>
      </c>
      <c r="L96" s="37">
        <f t="shared" si="164"/>
        <v>0</v>
      </c>
      <c r="M96" s="11"/>
      <c r="N96" s="10"/>
      <c r="O96" s="21"/>
      <c r="P96" s="21"/>
      <c r="Q96" s="21"/>
      <c r="R96" s="23"/>
      <c r="S96" s="50"/>
      <c r="T96" s="48"/>
      <c r="U96" s="82"/>
      <c r="V96" s="32"/>
      <c r="W96" s="200"/>
      <c r="X96" s="17"/>
    </row>
    <row r="97" spans="2:24" x14ac:dyDescent="0.25">
      <c r="B97" s="17">
        <v>95</v>
      </c>
      <c r="C97" s="10"/>
      <c r="D97" s="10"/>
      <c r="E97" s="72"/>
      <c r="F97" s="18"/>
      <c r="G97" s="10"/>
      <c r="H97" s="10"/>
      <c r="I97" s="10"/>
      <c r="J97" s="11"/>
      <c r="K97" s="11">
        <f t="shared" si="163"/>
        <v>0</v>
      </c>
      <c r="L97" s="37">
        <f t="shared" si="164"/>
        <v>0</v>
      </c>
      <c r="M97" s="11"/>
      <c r="N97" s="10"/>
      <c r="O97" s="21"/>
      <c r="P97" s="21"/>
      <c r="Q97" s="21"/>
      <c r="R97" s="23"/>
      <c r="S97" s="50"/>
      <c r="T97" s="48"/>
      <c r="U97" s="82"/>
      <c r="V97" s="32"/>
      <c r="W97" s="200"/>
      <c r="X97" s="17"/>
    </row>
    <row r="98" spans="2:24" x14ac:dyDescent="0.25">
      <c r="B98" s="17">
        <v>96</v>
      </c>
      <c r="C98" s="10"/>
      <c r="D98" s="10"/>
      <c r="E98" s="72"/>
      <c r="F98" s="18"/>
      <c r="G98" s="10"/>
      <c r="H98" s="10"/>
      <c r="I98" s="10"/>
      <c r="J98" s="11"/>
      <c r="K98" s="11">
        <f t="shared" si="163"/>
        <v>0</v>
      </c>
      <c r="L98" s="37">
        <f t="shared" si="164"/>
        <v>0</v>
      </c>
      <c r="M98" s="11"/>
      <c r="N98" s="10"/>
      <c r="O98" s="21"/>
      <c r="P98" s="21"/>
      <c r="Q98" s="21"/>
      <c r="R98" s="23"/>
      <c r="S98" s="50"/>
      <c r="T98" s="48"/>
      <c r="U98" s="82"/>
      <c r="V98" s="32"/>
      <c r="W98" s="200"/>
      <c r="X98" s="17"/>
    </row>
    <row r="99" spans="2:24" x14ac:dyDescent="0.25">
      <c r="B99" s="17">
        <v>97</v>
      </c>
      <c r="C99" s="10"/>
      <c r="D99" s="10"/>
      <c r="E99" s="72"/>
      <c r="F99" s="18"/>
      <c r="G99" s="10"/>
      <c r="H99" s="10"/>
      <c r="I99" s="10"/>
      <c r="J99" s="11"/>
      <c r="K99" s="11">
        <f t="shared" si="163"/>
        <v>0</v>
      </c>
      <c r="L99" s="37">
        <f t="shared" si="164"/>
        <v>0</v>
      </c>
      <c r="M99" s="11"/>
      <c r="N99" s="10"/>
      <c r="O99" s="21"/>
      <c r="P99" s="21"/>
      <c r="Q99" s="21"/>
      <c r="R99" s="23"/>
      <c r="S99" s="50"/>
      <c r="T99" s="48"/>
      <c r="U99" s="82"/>
      <c r="V99" s="26"/>
      <c r="W99" s="200"/>
      <c r="X99" s="17"/>
    </row>
    <row r="100" spans="2:24" x14ac:dyDescent="0.25">
      <c r="B100" s="17">
        <v>98</v>
      </c>
      <c r="C100" s="10"/>
      <c r="D100" s="10"/>
      <c r="E100" s="72"/>
      <c r="F100" s="18"/>
      <c r="G100" s="10"/>
      <c r="H100" s="10"/>
      <c r="I100" s="10"/>
      <c r="J100" s="11"/>
      <c r="K100" s="11">
        <f t="shared" si="163"/>
        <v>0</v>
      </c>
      <c r="L100" s="37">
        <f t="shared" si="164"/>
        <v>0</v>
      </c>
      <c r="M100" s="11"/>
      <c r="N100" s="10"/>
      <c r="O100" s="21"/>
      <c r="P100" s="21"/>
      <c r="Q100" s="21"/>
      <c r="R100" s="23"/>
      <c r="S100" s="50"/>
      <c r="T100" s="48"/>
      <c r="U100" s="82"/>
      <c r="V100" s="26"/>
      <c r="W100" s="200"/>
      <c r="X100" s="17"/>
    </row>
    <row r="101" spans="2:24" x14ac:dyDescent="0.25">
      <c r="B101" s="17">
        <v>99</v>
      </c>
      <c r="C101" s="10"/>
      <c r="D101" s="10"/>
      <c r="E101" s="72"/>
      <c r="F101" s="18"/>
      <c r="G101" s="10"/>
      <c r="H101" s="10"/>
      <c r="I101" s="10"/>
      <c r="J101" s="11"/>
      <c r="K101" s="11">
        <f t="shared" si="163"/>
        <v>0</v>
      </c>
      <c r="L101" s="37">
        <f t="shared" si="164"/>
        <v>0</v>
      </c>
      <c r="M101" s="11"/>
      <c r="N101" s="10"/>
      <c r="O101" s="21"/>
      <c r="P101" s="21"/>
      <c r="Q101" s="21"/>
      <c r="R101" s="23"/>
      <c r="S101" s="50"/>
      <c r="T101" s="48"/>
      <c r="U101" s="82"/>
      <c r="V101" s="26"/>
      <c r="W101" s="200"/>
      <c r="X101" s="17"/>
    </row>
    <row r="102" spans="2:24" x14ac:dyDescent="0.25">
      <c r="B102" s="17">
        <v>100</v>
      </c>
      <c r="C102" s="10"/>
      <c r="D102" s="10"/>
      <c r="E102" s="72"/>
      <c r="F102" s="18"/>
      <c r="G102" s="10"/>
      <c r="H102" s="10"/>
      <c r="I102" s="10"/>
      <c r="J102" s="11"/>
      <c r="K102" s="11">
        <f t="shared" si="163"/>
        <v>0</v>
      </c>
      <c r="L102" s="37">
        <f t="shared" si="164"/>
        <v>0</v>
      </c>
      <c r="M102" s="11"/>
      <c r="N102" s="10"/>
      <c r="O102" s="21"/>
      <c r="P102" s="21"/>
      <c r="Q102" s="21"/>
      <c r="R102" s="23"/>
      <c r="S102" s="50"/>
      <c r="T102" s="48"/>
      <c r="U102" s="82"/>
      <c r="V102" s="26"/>
      <c r="W102" s="200"/>
      <c r="X102" s="17"/>
    </row>
    <row r="103" spans="2:24" x14ac:dyDescent="0.25">
      <c r="B103" s="17">
        <v>101</v>
      </c>
      <c r="C103" s="10"/>
      <c r="D103" s="10"/>
      <c r="E103" s="72"/>
      <c r="F103" s="18"/>
      <c r="G103" s="10"/>
      <c r="H103" s="10"/>
      <c r="I103" s="10"/>
      <c r="J103" s="11"/>
      <c r="K103" s="11">
        <f t="shared" si="163"/>
        <v>0</v>
      </c>
      <c r="L103" s="37">
        <f t="shared" si="164"/>
        <v>0</v>
      </c>
      <c r="M103" s="11"/>
      <c r="N103" s="10"/>
      <c r="O103" s="21"/>
      <c r="P103" s="21"/>
      <c r="Q103" s="21"/>
      <c r="R103" s="23"/>
      <c r="S103" s="50"/>
      <c r="T103" s="48"/>
      <c r="U103" s="82"/>
      <c r="V103" s="32"/>
      <c r="W103" s="200"/>
      <c r="X103" s="17"/>
    </row>
    <row r="104" spans="2:24" x14ac:dyDescent="0.25">
      <c r="B104" s="17">
        <v>102</v>
      </c>
      <c r="C104" s="10"/>
      <c r="D104" s="10"/>
      <c r="E104" s="72"/>
      <c r="F104" s="18"/>
      <c r="G104" s="10"/>
      <c r="H104" s="10"/>
      <c r="I104" s="10"/>
      <c r="J104" s="11"/>
      <c r="K104" s="11">
        <f t="shared" si="163"/>
        <v>0</v>
      </c>
      <c r="L104" s="37">
        <f t="shared" si="164"/>
        <v>0</v>
      </c>
      <c r="M104" s="11"/>
      <c r="N104" s="10"/>
      <c r="O104" s="21"/>
      <c r="P104" s="21"/>
      <c r="Q104" s="21"/>
      <c r="R104" s="23"/>
      <c r="S104" s="50"/>
      <c r="T104" s="48"/>
      <c r="U104" s="82"/>
      <c r="V104" s="32"/>
      <c r="W104" s="200"/>
      <c r="X104" s="17"/>
    </row>
    <row r="105" spans="2:24" x14ac:dyDescent="0.25">
      <c r="B105" s="17">
        <v>103</v>
      </c>
      <c r="C105" s="10"/>
      <c r="D105" s="10"/>
      <c r="E105" s="72"/>
      <c r="F105" s="18"/>
      <c r="G105" s="10"/>
      <c r="H105" s="10"/>
      <c r="I105" s="10"/>
      <c r="J105" s="11"/>
      <c r="K105" s="11">
        <f t="shared" si="163"/>
        <v>0</v>
      </c>
      <c r="L105" s="37">
        <f t="shared" si="164"/>
        <v>0</v>
      </c>
      <c r="M105" s="11"/>
      <c r="N105" s="10"/>
      <c r="O105" s="21"/>
      <c r="P105" s="21"/>
      <c r="Q105" s="21"/>
      <c r="R105" s="23"/>
      <c r="S105" s="50"/>
      <c r="T105" s="48"/>
      <c r="U105" s="82"/>
      <c r="V105" s="26"/>
      <c r="W105" s="200"/>
      <c r="X105" s="17"/>
    </row>
    <row r="106" spans="2:24" x14ac:dyDescent="0.25">
      <c r="B106" s="17">
        <v>104</v>
      </c>
      <c r="C106" s="10"/>
      <c r="D106" s="10"/>
      <c r="E106" s="72"/>
      <c r="F106" s="18"/>
      <c r="G106" s="10"/>
      <c r="H106" s="10"/>
      <c r="I106" s="10"/>
      <c r="J106" s="11"/>
      <c r="K106" s="11">
        <f t="shared" si="163"/>
        <v>0</v>
      </c>
      <c r="L106" s="37">
        <f t="shared" si="164"/>
        <v>0</v>
      </c>
      <c r="M106" s="11"/>
      <c r="N106" s="10"/>
      <c r="O106" s="21"/>
      <c r="P106" s="21"/>
      <c r="Q106" s="21"/>
      <c r="R106" s="23"/>
      <c r="S106" s="50"/>
      <c r="T106" s="48"/>
      <c r="U106" s="82"/>
      <c r="V106" s="26"/>
      <c r="W106" s="200"/>
      <c r="X106" s="17"/>
    </row>
    <row r="107" spans="2:24" x14ac:dyDescent="0.25">
      <c r="B107" s="17">
        <v>105</v>
      </c>
      <c r="C107" s="10"/>
      <c r="D107" s="10"/>
      <c r="E107" s="72"/>
      <c r="F107" s="18"/>
      <c r="G107" s="10"/>
      <c r="H107" s="10"/>
      <c r="I107" s="10"/>
      <c r="J107" s="11"/>
      <c r="K107" s="11">
        <f t="shared" si="163"/>
        <v>0</v>
      </c>
      <c r="L107" s="37">
        <f t="shared" si="164"/>
        <v>0</v>
      </c>
      <c r="M107" s="11"/>
      <c r="N107" s="10"/>
      <c r="O107" s="21"/>
      <c r="P107" s="21"/>
      <c r="Q107" s="21"/>
      <c r="R107" s="23"/>
      <c r="S107" s="50"/>
      <c r="T107" s="48"/>
      <c r="U107" s="82"/>
      <c r="V107" s="26"/>
      <c r="W107" s="200"/>
      <c r="X107" s="17"/>
    </row>
    <row r="108" spans="2:24" x14ac:dyDescent="0.25">
      <c r="B108" s="17">
        <v>106</v>
      </c>
      <c r="C108" s="10"/>
      <c r="D108" s="10"/>
      <c r="E108" s="72"/>
      <c r="F108" s="18"/>
      <c r="G108" s="10"/>
      <c r="H108" s="10"/>
      <c r="I108" s="10"/>
      <c r="J108" s="11"/>
      <c r="K108" s="11">
        <f t="shared" si="163"/>
        <v>0</v>
      </c>
      <c r="L108" s="37">
        <f t="shared" si="164"/>
        <v>0</v>
      </c>
      <c r="M108" s="11"/>
      <c r="N108" s="10"/>
      <c r="O108" s="21"/>
      <c r="P108" s="21"/>
      <c r="Q108" s="21"/>
      <c r="R108" s="23"/>
      <c r="S108" s="50"/>
      <c r="T108" s="48"/>
      <c r="U108" s="82"/>
      <c r="V108" s="26"/>
      <c r="W108" s="200"/>
      <c r="X108" s="17"/>
    </row>
    <row r="109" spans="2:24" x14ac:dyDescent="0.25">
      <c r="B109" s="17">
        <v>107</v>
      </c>
      <c r="C109" s="10"/>
      <c r="D109" s="10"/>
      <c r="E109" s="72"/>
      <c r="F109" s="18"/>
      <c r="G109" s="10"/>
      <c r="H109" s="10"/>
      <c r="I109" s="10"/>
      <c r="J109" s="11"/>
      <c r="K109" s="11">
        <f t="shared" si="163"/>
        <v>0</v>
      </c>
      <c r="L109" s="37">
        <f t="shared" si="164"/>
        <v>0</v>
      </c>
      <c r="M109" s="11"/>
      <c r="N109" s="10"/>
      <c r="O109" s="21"/>
      <c r="P109" s="21"/>
      <c r="Q109" s="21"/>
      <c r="R109" s="23"/>
      <c r="S109" s="50"/>
      <c r="T109" s="48"/>
      <c r="U109" s="82"/>
      <c r="V109" s="26"/>
      <c r="W109" s="200"/>
      <c r="X109" s="17"/>
    </row>
    <row r="110" spans="2:24" x14ac:dyDescent="0.25">
      <c r="B110" s="17">
        <v>108</v>
      </c>
      <c r="C110" s="10"/>
      <c r="D110" s="10"/>
      <c r="E110" s="72"/>
      <c r="F110" s="18"/>
      <c r="G110" s="10"/>
      <c r="H110" s="10"/>
      <c r="I110" s="10"/>
      <c r="J110" s="11"/>
      <c r="K110" s="11">
        <f t="shared" si="163"/>
        <v>0</v>
      </c>
      <c r="L110" s="37">
        <f t="shared" si="164"/>
        <v>0</v>
      </c>
      <c r="M110" s="11"/>
      <c r="N110" s="10"/>
      <c r="O110" s="21"/>
      <c r="P110" s="21"/>
      <c r="Q110" s="21"/>
      <c r="R110" s="23"/>
      <c r="S110" s="50"/>
      <c r="T110" s="48"/>
      <c r="U110" s="82"/>
      <c r="V110" s="32"/>
      <c r="W110" s="200"/>
      <c r="X110" s="17"/>
    </row>
    <row r="111" spans="2:24" x14ac:dyDescent="0.25">
      <c r="B111" s="17">
        <v>109</v>
      </c>
      <c r="C111" s="10"/>
      <c r="D111" s="10"/>
      <c r="E111" s="72"/>
      <c r="F111" s="18"/>
      <c r="G111" s="10"/>
      <c r="H111" s="10"/>
      <c r="I111" s="10"/>
      <c r="J111" s="11"/>
      <c r="K111" s="11">
        <f t="shared" si="163"/>
        <v>0</v>
      </c>
      <c r="L111" s="37">
        <f t="shared" si="164"/>
        <v>0</v>
      </c>
      <c r="M111" s="11"/>
      <c r="N111" s="10"/>
      <c r="O111" s="21"/>
      <c r="P111" s="21"/>
      <c r="Q111" s="21"/>
      <c r="R111" s="23"/>
      <c r="S111" s="50"/>
      <c r="T111" s="48"/>
      <c r="U111" s="82"/>
      <c r="V111" s="32"/>
      <c r="W111" s="200"/>
      <c r="X111" s="17"/>
    </row>
    <row r="112" spans="2:24" x14ac:dyDescent="0.25">
      <c r="B112" s="17">
        <v>110</v>
      </c>
      <c r="C112" s="10"/>
      <c r="D112" s="10"/>
      <c r="E112" s="72"/>
      <c r="F112" s="18"/>
      <c r="G112" s="10"/>
      <c r="H112" s="10"/>
      <c r="I112" s="10"/>
      <c r="J112" s="11"/>
      <c r="K112" s="11">
        <f t="shared" si="163"/>
        <v>0</v>
      </c>
      <c r="L112" s="37">
        <f t="shared" si="164"/>
        <v>0</v>
      </c>
      <c r="M112" s="11"/>
      <c r="N112" s="10"/>
      <c r="O112" s="21"/>
      <c r="P112" s="21"/>
      <c r="Q112" s="21"/>
      <c r="R112" s="23"/>
      <c r="S112" s="50"/>
      <c r="T112" s="48"/>
      <c r="U112" s="82"/>
      <c r="V112" s="26"/>
      <c r="W112" s="200"/>
      <c r="X112" s="17"/>
    </row>
    <row r="113" spans="2:24" x14ac:dyDescent="0.25">
      <c r="B113" s="17">
        <v>111</v>
      </c>
      <c r="C113" s="10"/>
      <c r="D113" s="10"/>
      <c r="E113" s="72"/>
      <c r="F113" s="18"/>
      <c r="G113" s="10"/>
      <c r="H113" s="10"/>
      <c r="I113" s="10"/>
      <c r="J113" s="11"/>
      <c r="K113" s="11">
        <f t="shared" si="163"/>
        <v>0</v>
      </c>
      <c r="L113" s="37">
        <f t="shared" si="164"/>
        <v>0</v>
      </c>
      <c r="M113" s="11"/>
      <c r="N113" s="10"/>
      <c r="O113" s="21"/>
      <c r="P113" s="21"/>
      <c r="Q113" s="21"/>
      <c r="R113" s="23"/>
      <c r="S113" s="50"/>
      <c r="T113" s="48"/>
      <c r="U113" s="82"/>
      <c r="V113" s="26"/>
      <c r="W113" s="200"/>
      <c r="X113" s="17"/>
    </row>
    <row r="114" spans="2:24" x14ac:dyDescent="0.25">
      <c r="B114" s="17">
        <v>112</v>
      </c>
      <c r="C114" s="10"/>
      <c r="D114" s="10"/>
      <c r="E114" s="72"/>
      <c r="F114" s="18"/>
      <c r="G114" s="10"/>
      <c r="H114" s="10"/>
      <c r="I114" s="10"/>
      <c r="J114" s="11"/>
      <c r="K114" s="11">
        <f t="shared" si="163"/>
        <v>0</v>
      </c>
      <c r="L114" s="37">
        <f t="shared" si="164"/>
        <v>0</v>
      </c>
      <c r="M114" s="11"/>
      <c r="N114" s="10"/>
      <c r="O114" s="21"/>
      <c r="P114" s="21"/>
      <c r="Q114" s="21"/>
      <c r="R114" s="23"/>
      <c r="S114" s="50"/>
      <c r="T114" s="48"/>
      <c r="U114" s="82"/>
      <c r="V114" s="26"/>
      <c r="W114" s="200"/>
      <c r="X114" s="17"/>
    </row>
    <row r="115" spans="2:24" x14ac:dyDescent="0.25">
      <c r="B115" s="17">
        <v>113</v>
      </c>
      <c r="C115" s="10"/>
      <c r="D115" s="10"/>
      <c r="E115" s="72"/>
      <c r="F115" s="18"/>
      <c r="G115" s="10"/>
      <c r="H115" s="10"/>
      <c r="I115" s="10"/>
      <c r="J115" s="11"/>
      <c r="K115" s="11">
        <f t="shared" si="163"/>
        <v>0</v>
      </c>
      <c r="L115" s="37">
        <f t="shared" si="164"/>
        <v>0</v>
      </c>
      <c r="M115" s="11"/>
      <c r="N115" s="10"/>
      <c r="O115" s="21"/>
      <c r="P115" s="21"/>
      <c r="Q115" s="21"/>
      <c r="R115" s="23"/>
      <c r="S115" s="50"/>
      <c r="T115" s="48"/>
      <c r="U115" s="82"/>
      <c r="V115" s="26"/>
      <c r="W115" s="200"/>
      <c r="X115" s="17"/>
    </row>
    <row r="116" spans="2:24" x14ac:dyDescent="0.25">
      <c r="B116" s="17">
        <v>114</v>
      </c>
      <c r="C116" s="10"/>
      <c r="D116" s="10"/>
      <c r="E116" s="72"/>
      <c r="F116" s="18"/>
      <c r="G116" s="10"/>
      <c r="H116" s="10"/>
      <c r="I116" s="10"/>
      <c r="J116" s="11"/>
      <c r="K116" s="11">
        <f t="shared" si="163"/>
        <v>0</v>
      </c>
      <c r="L116" s="37">
        <f t="shared" si="164"/>
        <v>0</v>
      </c>
      <c r="M116" s="11"/>
      <c r="N116" s="10"/>
      <c r="O116" s="21"/>
      <c r="P116" s="21"/>
      <c r="Q116" s="21"/>
      <c r="R116" s="23"/>
      <c r="S116" s="50"/>
      <c r="T116" s="48"/>
      <c r="U116" s="82"/>
      <c r="V116" s="26"/>
      <c r="W116" s="200"/>
      <c r="X116" s="17"/>
    </row>
    <row r="117" spans="2:24" x14ac:dyDescent="0.25">
      <c r="B117" s="17">
        <v>115</v>
      </c>
      <c r="C117" s="10"/>
      <c r="D117" s="10"/>
      <c r="E117" s="72"/>
      <c r="F117" s="18"/>
      <c r="G117" s="10"/>
      <c r="H117" s="10"/>
      <c r="I117" s="10"/>
      <c r="J117" s="11"/>
      <c r="K117" s="11">
        <f t="shared" si="163"/>
        <v>0</v>
      </c>
      <c r="L117" s="37">
        <f t="shared" si="164"/>
        <v>0</v>
      </c>
      <c r="M117" s="11"/>
      <c r="N117" s="10"/>
      <c r="O117" s="21"/>
      <c r="P117" s="21"/>
      <c r="Q117" s="21"/>
      <c r="R117" s="23"/>
      <c r="S117" s="50"/>
      <c r="T117" s="48"/>
      <c r="U117" s="82"/>
      <c r="V117" s="32"/>
      <c r="W117" s="200"/>
      <c r="X117" s="17"/>
    </row>
    <row r="118" spans="2:24" x14ac:dyDescent="0.25">
      <c r="B118" s="17">
        <v>116</v>
      </c>
      <c r="C118" s="10"/>
      <c r="D118" s="10"/>
      <c r="E118" s="72"/>
      <c r="F118" s="18"/>
      <c r="G118" s="10"/>
      <c r="H118" s="10"/>
      <c r="I118" s="10"/>
      <c r="J118" s="11"/>
      <c r="K118" s="11">
        <f t="shared" si="163"/>
        <v>0</v>
      </c>
      <c r="L118" s="37">
        <f t="shared" si="164"/>
        <v>0</v>
      </c>
      <c r="M118" s="11"/>
      <c r="N118" s="10"/>
      <c r="O118" s="21"/>
      <c r="P118" s="21"/>
      <c r="Q118" s="21"/>
      <c r="R118" s="23"/>
      <c r="S118" s="50"/>
      <c r="T118" s="48"/>
      <c r="U118" s="82"/>
      <c r="V118" s="32"/>
      <c r="W118" s="200"/>
      <c r="X118" s="17"/>
    </row>
    <row r="119" spans="2:24" x14ac:dyDescent="0.25">
      <c r="B119" s="17">
        <v>117</v>
      </c>
      <c r="C119" s="10"/>
      <c r="D119" s="10"/>
      <c r="E119" s="72"/>
      <c r="F119" s="18"/>
      <c r="G119" s="10"/>
      <c r="H119" s="10"/>
      <c r="I119" s="10"/>
      <c r="J119" s="11"/>
      <c r="K119" s="11">
        <f t="shared" si="163"/>
        <v>0</v>
      </c>
      <c r="L119" s="37">
        <f t="shared" si="164"/>
        <v>0</v>
      </c>
      <c r="M119" s="11"/>
      <c r="N119" s="10"/>
      <c r="O119" s="21"/>
      <c r="P119" s="21"/>
      <c r="Q119" s="21"/>
      <c r="R119" s="23"/>
      <c r="S119" s="50"/>
      <c r="T119" s="48"/>
      <c r="U119" s="82"/>
      <c r="V119" s="32"/>
      <c r="W119" s="200"/>
      <c r="X119" s="17"/>
    </row>
    <row r="120" spans="2:24" x14ac:dyDescent="0.25">
      <c r="B120" s="17">
        <v>118</v>
      </c>
      <c r="C120" s="10"/>
      <c r="D120" s="10"/>
      <c r="E120" s="72"/>
      <c r="F120" s="18"/>
      <c r="G120" s="10"/>
      <c r="H120" s="10"/>
      <c r="I120" s="10"/>
      <c r="J120" s="11"/>
      <c r="K120" s="11">
        <f t="shared" si="163"/>
        <v>0</v>
      </c>
      <c r="L120" s="37">
        <f t="shared" si="164"/>
        <v>0</v>
      </c>
      <c r="M120" s="11"/>
      <c r="N120" s="10"/>
      <c r="O120" s="21"/>
      <c r="P120" s="21"/>
      <c r="Q120" s="21"/>
      <c r="R120" s="23"/>
      <c r="S120" s="50"/>
      <c r="T120" s="48"/>
      <c r="U120" s="82"/>
      <c r="V120" s="32"/>
      <c r="W120" s="200"/>
      <c r="X120" s="17"/>
    </row>
    <row r="121" spans="2:24" x14ac:dyDescent="0.25">
      <c r="B121" s="17">
        <v>119</v>
      </c>
      <c r="C121" s="10"/>
      <c r="D121" s="10"/>
      <c r="E121" s="72"/>
      <c r="F121" s="18"/>
      <c r="G121" s="10"/>
      <c r="H121" s="10"/>
      <c r="I121" s="10"/>
      <c r="J121" s="11"/>
      <c r="K121" s="11">
        <f t="shared" si="163"/>
        <v>0</v>
      </c>
      <c r="L121" s="37">
        <f t="shared" si="164"/>
        <v>0</v>
      </c>
      <c r="M121" s="11"/>
      <c r="N121" s="10"/>
      <c r="O121" s="21"/>
      <c r="P121" s="21"/>
      <c r="Q121" s="21"/>
      <c r="R121" s="23"/>
      <c r="S121" s="50"/>
      <c r="T121" s="48"/>
      <c r="U121" s="82"/>
      <c r="V121" s="26"/>
      <c r="W121" s="200"/>
      <c r="X121" s="17"/>
    </row>
    <row r="122" spans="2:24" x14ac:dyDescent="0.25">
      <c r="B122" s="17">
        <v>120</v>
      </c>
      <c r="C122" s="10"/>
      <c r="D122" s="10"/>
      <c r="E122" s="72"/>
      <c r="F122" s="18"/>
      <c r="G122" s="10"/>
      <c r="H122" s="10"/>
      <c r="I122" s="10"/>
      <c r="J122" s="11"/>
      <c r="K122" s="11">
        <f t="shared" si="163"/>
        <v>0</v>
      </c>
      <c r="L122" s="37">
        <f t="shared" si="164"/>
        <v>0</v>
      </c>
      <c r="M122" s="11"/>
      <c r="N122" s="10"/>
      <c r="O122" s="21"/>
      <c r="P122" s="21"/>
      <c r="Q122" s="21"/>
      <c r="R122" s="23"/>
      <c r="S122" s="50"/>
      <c r="T122" s="48"/>
      <c r="U122" s="82"/>
      <c r="V122" s="26"/>
      <c r="W122" s="200"/>
      <c r="X122" s="17"/>
    </row>
    <row r="123" spans="2:24" x14ac:dyDescent="0.25">
      <c r="B123" s="17">
        <v>121</v>
      </c>
      <c r="C123" s="10"/>
      <c r="D123" s="10"/>
      <c r="E123" s="72"/>
      <c r="F123" s="18"/>
      <c r="G123" s="10"/>
      <c r="H123" s="10"/>
      <c r="I123" s="10"/>
      <c r="J123" s="11"/>
      <c r="K123" s="11">
        <f t="shared" si="163"/>
        <v>0</v>
      </c>
      <c r="L123" s="37">
        <f t="shared" si="164"/>
        <v>0</v>
      </c>
      <c r="M123" s="11"/>
      <c r="N123" s="10"/>
      <c r="O123" s="21"/>
      <c r="P123" s="21"/>
      <c r="Q123" s="21"/>
      <c r="R123" s="23"/>
      <c r="S123" s="50"/>
      <c r="T123" s="48"/>
      <c r="U123" s="82"/>
      <c r="V123" s="26"/>
      <c r="W123" s="200"/>
      <c r="X123" s="17"/>
    </row>
    <row r="124" spans="2:24" x14ac:dyDescent="0.25">
      <c r="B124" s="17">
        <v>122</v>
      </c>
      <c r="C124" s="10"/>
      <c r="D124" s="10"/>
      <c r="E124" s="72"/>
      <c r="F124" s="18"/>
      <c r="G124" s="10"/>
      <c r="H124" s="10"/>
      <c r="I124" s="10"/>
      <c r="J124" s="11"/>
      <c r="K124" s="11">
        <f t="shared" si="163"/>
        <v>0</v>
      </c>
      <c r="L124" s="37">
        <f t="shared" si="164"/>
        <v>0</v>
      </c>
      <c r="M124" s="11"/>
      <c r="N124" s="10"/>
      <c r="O124" s="21"/>
      <c r="P124" s="21"/>
      <c r="Q124" s="21"/>
      <c r="R124" s="23"/>
      <c r="S124" s="50"/>
      <c r="T124" s="48"/>
      <c r="U124" s="82"/>
      <c r="V124" s="26"/>
      <c r="W124" s="200"/>
      <c r="X124" s="17"/>
    </row>
    <row r="125" spans="2:24" x14ac:dyDescent="0.25">
      <c r="B125" s="17">
        <v>123</v>
      </c>
      <c r="C125" s="10"/>
      <c r="D125" s="10"/>
      <c r="E125" s="72"/>
      <c r="F125" s="18"/>
      <c r="G125" s="10"/>
      <c r="H125" s="10"/>
      <c r="I125" s="10"/>
      <c r="J125" s="11"/>
      <c r="K125" s="11">
        <f t="shared" si="163"/>
        <v>0</v>
      </c>
      <c r="L125" s="37">
        <f t="shared" si="164"/>
        <v>0</v>
      </c>
      <c r="M125" s="11"/>
      <c r="N125" s="10"/>
      <c r="O125" s="21"/>
      <c r="P125" s="21"/>
      <c r="Q125" s="21"/>
      <c r="R125" s="23"/>
      <c r="S125" s="50"/>
      <c r="T125" s="48"/>
      <c r="U125" s="82"/>
      <c r="V125" s="26"/>
      <c r="W125" s="200"/>
      <c r="X125" s="17"/>
    </row>
    <row r="126" spans="2:24" x14ac:dyDescent="0.25">
      <c r="B126" s="17">
        <v>124</v>
      </c>
      <c r="C126" s="10"/>
      <c r="D126" s="10"/>
      <c r="E126" s="72"/>
      <c r="F126" s="18"/>
      <c r="G126" s="10"/>
      <c r="H126" s="10"/>
      <c r="I126" s="10"/>
      <c r="J126" s="11"/>
      <c r="K126" s="11">
        <f t="shared" si="163"/>
        <v>0</v>
      </c>
      <c r="L126" s="37">
        <f t="shared" si="164"/>
        <v>0</v>
      </c>
      <c r="M126" s="11"/>
      <c r="N126" s="10"/>
      <c r="O126" s="21"/>
      <c r="P126" s="21"/>
      <c r="Q126" s="21"/>
      <c r="R126" s="23"/>
      <c r="S126" s="50"/>
      <c r="T126" s="48"/>
      <c r="U126" s="82"/>
      <c r="V126" s="32"/>
      <c r="W126" s="200"/>
      <c r="X126" s="17"/>
    </row>
    <row r="127" spans="2:24" x14ac:dyDescent="0.25">
      <c r="B127" s="17">
        <v>125</v>
      </c>
      <c r="C127" s="10"/>
      <c r="D127" s="10"/>
      <c r="E127" s="72"/>
      <c r="F127" s="18"/>
      <c r="G127" s="10"/>
      <c r="H127" s="10"/>
      <c r="I127" s="10"/>
      <c r="J127" s="11"/>
      <c r="K127" s="11">
        <f t="shared" si="163"/>
        <v>0</v>
      </c>
      <c r="L127" s="37">
        <f t="shared" si="164"/>
        <v>0</v>
      </c>
      <c r="M127" s="11"/>
      <c r="N127" s="10"/>
      <c r="O127" s="21"/>
      <c r="P127" s="21"/>
      <c r="Q127" s="21"/>
      <c r="R127" s="23"/>
      <c r="S127" s="50"/>
      <c r="T127" s="48"/>
      <c r="U127" s="82"/>
      <c r="V127" s="32"/>
      <c r="W127" s="200"/>
      <c r="X127" s="17"/>
    </row>
    <row r="128" spans="2:24" x14ac:dyDescent="0.25">
      <c r="B128" s="17">
        <v>126</v>
      </c>
      <c r="C128" s="10"/>
      <c r="D128" s="10"/>
      <c r="E128" s="72"/>
      <c r="F128" s="18"/>
      <c r="G128" s="10"/>
      <c r="H128" s="10"/>
      <c r="I128" s="10"/>
      <c r="J128" s="11"/>
      <c r="K128" s="11">
        <f t="shared" si="163"/>
        <v>0</v>
      </c>
      <c r="L128" s="37">
        <f t="shared" si="164"/>
        <v>0</v>
      </c>
      <c r="M128" s="11"/>
      <c r="N128" s="10"/>
      <c r="O128" s="21"/>
      <c r="P128" s="21"/>
      <c r="Q128" s="21"/>
      <c r="R128" s="23"/>
      <c r="S128" s="50"/>
      <c r="T128" s="48"/>
      <c r="U128" s="82"/>
      <c r="V128" s="26"/>
      <c r="W128" s="200"/>
      <c r="X128" s="17"/>
    </row>
    <row r="129" spans="2:24" x14ac:dyDescent="0.25">
      <c r="B129" s="17">
        <v>127</v>
      </c>
      <c r="C129" s="10"/>
      <c r="D129" s="10"/>
      <c r="E129" s="72"/>
      <c r="F129" s="18"/>
      <c r="G129" s="10"/>
      <c r="H129" s="10"/>
      <c r="I129" s="10"/>
      <c r="J129" s="11"/>
      <c r="K129" s="11">
        <f t="shared" si="163"/>
        <v>0</v>
      </c>
      <c r="L129" s="37">
        <f t="shared" si="164"/>
        <v>0</v>
      </c>
      <c r="M129" s="11"/>
      <c r="N129" s="10"/>
      <c r="O129" s="21"/>
      <c r="P129" s="21"/>
      <c r="Q129" s="21"/>
      <c r="R129" s="23"/>
      <c r="S129" s="50"/>
      <c r="T129" s="48"/>
      <c r="U129" s="82"/>
      <c r="V129" s="26"/>
      <c r="W129" s="200"/>
      <c r="X129" s="17"/>
    </row>
    <row r="130" spans="2:24" x14ac:dyDescent="0.25">
      <c r="B130" s="17">
        <v>128</v>
      </c>
      <c r="C130" s="10"/>
      <c r="D130" s="10"/>
      <c r="E130" s="72"/>
      <c r="F130" s="18"/>
      <c r="G130" s="10"/>
      <c r="H130" s="10"/>
      <c r="I130" s="10"/>
      <c r="J130" s="11"/>
      <c r="K130" s="11">
        <f t="shared" si="163"/>
        <v>0</v>
      </c>
      <c r="L130" s="37">
        <f t="shared" si="164"/>
        <v>0</v>
      </c>
      <c r="M130" s="11"/>
      <c r="N130" s="10"/>
      <c r="O130" s="21"/>
      <c r="P130" s="21"/>
      <c r="Q130" s="21"/>
      <c r="R130" s="23"/>
      <c r="S130" s="50"/>
      <c r="T130" s="48"/>
      <c r="U130" s="82"/>
      <c r="V130" s="26"/>
      <c r="W130" s="200"/>
      <c r="X130" s="17"/>
    </row>
    <row r="131" spans="2:24" x14ac:dyDescent="0.25">
      <c r="B131" s="17">
        <v>129</v>
      </c>
      <c r="C131" s="10"/>
      <c r="D131" s="10"/>
      <c r="E131" s="72"/>
      <c r="F131" s="18"/>
      <c r="G131" s="10"/>
      <c r="H131" s="10"/>
      <c r="I131" s="10"/>
      <c r="J131" s="11"/>
      <c r="K131" s="11">
        <f t="shared" si="163"/>
        <v>0</v>
      </c>
      <c r="L131" s="37">
        <f t="shared" si="164"/>
        <v>0</v>
      </c>
      <c r="M131" s="11"/>
      <c r="N131" s="10"/>
      <c r="O131" s="21"/>
      <c r="P131" s="21"/>
      <c r="Q131" s="21"/>
      <c r="R131" s="23"/>
      <c r="S131" s="50"/>
      <c r="T131" s="48"/>
      <c r="U131" s="82"/>
      <c r="V131" s="26"/>
      <c r="W131" s="200"/>
      <c r="X131" s="17"/>
    </row>
    <row r="132" spans="2:24" x14ac:dyDescent="0.25">
      <c r="B132" s="17">
        <v>130</v>
      </c>
      <c r="C132" s="10"/>
      <c r="D132" s="10"/>
      <c r="E132" s="72"/>
      <c r="F132" s="18"/>
      <c r="G132" s="10"/>
      <c r="H132" s="10"/>
      <c r="I132" s="10"/>
      <c r="J132" s="11"/>
      <c r="K132" s="11">
        <f t="shared" ref="K132:K195" si="195">J132*1.1</f>
        <v>0</v>
      </c>
      <c r="L132" s="37">
        <f t="shared" ref="L132:L195" si="196">J132*0.00000001</f>
        <v>0</v>
      </c>
      <c r="M132" s="11"/>
      <c r="N132" s="10"/>
      <c r="O132" s="21"/>
      <c r="P132" s="21"/>
      <c r="Q132" s="21"/>
      <c r="R132" s="23"/>
      <c r="S132" s="50"/>
      <c r="T132" s="48"/>
      <c r="U132" s="82"/>
      <c r="V132" s="26"/>
      <c r="W132" s="200"/>
      <c r="X132" s="17"/>
    </row>
    <row r="133" spans="2:24" x14ac:dyDescent="0.25">
      <c r="B133" s="17">
        <v>131</v>
      </c>
      <c r="C133" s="10"/>
      <c r="D133" s="10"/>
      <c r="E133" s="72"/>
      <c r="F133" s="18"/>
      <c r="G133" s="10"/>
      <c r="H133" s="10"/>
      <c r="I133" s="10"/>
      <c r="J133" s="11"/>
      <c r="K133" s="11">
        <f t="shared" si="195"/>
        <v>0</v>
      </c>
      <c r="L133" s="37">
        <f t="shared" si="196"/>
        <v>0</v>
      </c>
      <c r="M133" s="11"/>
      <c r="N133" s="10"/>
      <c r="O133" s="21"/>
      <c r="P133" s="21"/>
      <c r="Q133" s="21"/>
      <c r="R133" s="23"/>
      <c r="S133" s="50"/>
      <c r="T133" s="48"/>
      <c r="U133" s="82"/>
      <c r="V133" s="32"/>
      <c r="W133" s="200"/>
      <c r="X133" s="17"/>
    </row>
    <row r="134" spans="2:24" x14ac:dyDescent="0.25">
      <c r="B134" s="17">
        <v>132</v>
      </c>
      <c r="C134" s="10"/>
      <c r="D134" s="10"/>
      <c r="E134" s="72"/>
      <c r="F134" s="18"/>
      <c r="G134" s="10"/>
      <c r="H134" s="10"/>
      <c r="I134" s="10"/>
      <c r="J134" s="11"/>
      <c r="K134" s="11">
        <f t="shared" si="195"/>
        <v>0</v>
      </c>
      <c r="L134" s="37">
        <f t="shared" si="196"/>
        <v>0</v>
      </c>
      <c r="M134" s="11"/>
      <c r="N134" s="10"/>
      <c r="O134" s="21"/>
      <c r="P134" s="21"/>
      <c r="Q134" s="21"/>
      <c r="R134" s="23"/>
      <c r="S134" s="50"/>
      <c r="T134" s="48"/>
      <c r="U134" s="82"/>
      <c r="V134" s="32"/>
      <c r="W134" s="200"/>
      <c r="X134" s="17"/>
    </row>
    <row r="135" spans="2:24" x14ac:dyDescent="0.25">
      <c r="B135" s="17">
        <v>133</v>
      </c>
      <c r="C135" s="10"/>
      <c r="D135" s="10"/>
      <c r="E135" s="72"/>
      <c r="F135" s="18"/>
      <c r="G135" s="10"/>
      <c r="H135" s="10"/>
      <c r="I135" s="10"/>
      <c r="J135" s="11"/>
      <c r="K135" s="11">
        <f t="shared" si="195"/>
        <v>0</v>
      </c>
      <c r="L135" s="37">
        <f t="shared" si="196"/>
        <v>0</v>
      </c>
      <c r="M135" s="11"/>
      <c r="N135" s="10"/>
      <c r="O135" s="21"/>
      <c r="P135" s="21"/>
      <c r="Q135" s="21"/>
      <c r="R135" s="23"/>
      <c r="S135" s="50"/>
      <c r="T135" s="48"/>
      <c r="U135" s="82"/>
      <c r="V135" s="32"/>
      <c r="W135" s="200"/>
      <c r="X135" s="17"/>
    </row>
    <row r="136" spans="2:24" x14ac:dyDescent="0.25">
      <c r="B136" s="17">
        <v>134</v>
      </c>
      <c r="C136" s="10"/>
      <c r="D136" s="10"/>
      <c r="E136" s="72"/>
      <c r="F136" s="18"/>
      <c r="G136" s="10"/>
      <c r="H136" s="10"/>
      <c r="I136" s="10"/>
      <c r="J136" s="11"/>
      <c r="K136" s="11">
        <f t="shared" si="195"/>
        <v>0</v>
      </c>
      <c r="L136" s="37">
        <f t="shared" si="196"/>
        <v>0</v>
      </c>
      <c r="M136" s="11"/>
      <c r="N136" s="10"/>
      <c r="O136" s="21"/>
      <c r="P136" s="21"/>
      <c r="Q136" s="21"/>
      <c r="R136" s="23"/>
      <c r="S136" s="50"/>
      <c r="T136" s="48"/>
      <c r="U136" s="82"/>
      <c r="V136" s="32"/>
      <c r="W136" s="200"/>
      <c r="X136" s="17"/>
    </row>
    <row r="137" spans="2:24" x14ac:dyDescent="0.25">
      <c r="B137" s="17">
        <v>135</v>
      </c>
      <c r="C137" s="10"/>
      <c r="D137" s="10"/>
      <c r="E137" s="72"/>
      <c r="F137" s="18"/>
      <c r="G137" s="10"/>
      <c r="H137" s="10"/>
      <c r="I137" s="10"/>
      <c r="J137" s="11"/>
      <c r="K137" s="11">
        <f t="shared" si="195"/>
        <v>0</v>
      </c>
      <c r="L137" s="37">
        <f t="shared" si="196"/>
        <v>0</v>
      </c>
      <c r="M137" s="11"/>
      <c r="N137" s="10"/>
      <c r="O137" s="21"/>
      <c r="P137" s="21"/>
      <c r="Q137" s="21"/>
      <c r="R137" s="23"/>
      <c r="S137" s="50"/>
      <c r="T137" s="48"/>
      <c r="U137" s="82"/>
      <c r="V137" s="26"/>
      <c r="W137" s="200"/>
      <c r="X137" s="17"/>
    </row>
    <row r="138" spans="2:24" x14ac:dyDescent="0.25">
      <c r="B138" s="17">
        <v>136</v>
      </c>
      <c r="C138" s="10"/>
      <c r="D138" s="10"/>
      <c r="E138" s="72"/>
      <c r="F138" s="18"/>
      <c r="G138" s="10"/>
      <c r="H138" s="10"/>
      <c r="I138" s="10"/>
      <c r="J138" s="11"/>
      <c r="K138" s="11">
        <f t="shared" si="195"/>
        <v>0</v>
      </c>
      <c r="L138" s="37">
        <f t="shared" si="196"/>
        <v>0</v>
      </c>
      <c r="M138" s="11"/>
      <c r="N138" s="10"/>
      <c r="O138" s="21"/>
      <c r="P138" s="21"/>
      <c r="Q138" s="21"/>
      <c r="R138" s="23"/>
      <c r="S138" s="50"/>
      <c r="T138" s="48"/>
      <c r="U138" s="82"/>
      <c r="V138" s="26"/>
      <c r="W138" s="200"/>
      <c r="X138" s="17"/>
    </row>
    <row r="139" spans="2:24" x14ac:dyDescent="0.25">
      <c r="B139" s="17">
        <v>137</v>
      </c>
      <c r="C139" s="10"/>
      <c r="D139" s="10"/>
      <c r="E139" s="72"/>
      <c r="F139" s="18"/>
      <c r="G139" s="10"/>
      <c r="H139" s="10"/>
      <c r="I139" s="10"/>
      <c r="J139" s="11"/>
      <c r="K139" s="11">
        <f t="shared" si="195"/>
        <v>0</v>
      </c>
      <c r="L139" s="37">
        <f t="shared" si="196"/>
        <v>0</v>
      </c>
      <c r="M139" s="11"/>
      <c r="N139" s="10"/>
      <c r="O139" s="21"/>
      <c r="P139" s="21"/>
      <c r="Q139" s="21"/>
      <c r="R139" s="23"/>
      <c r="S139" s="50"/>
      <c r="T139" s="48"/>
      <c r="U139" s="82"/>
      <c r="V139" s="26"/>
      <c r="W139" s="200"/>
      <c r="X139" s="17"/>
    </row>
    <row r="140" spans="2:24" x14ac:dyDescent="0.25">
      <c r="B140" s="17">
        <v>138</v>
      </c>
      <c r="C140" s="10"/>
      <c r="D140" s="10"/>
      <c r="E140" s="72"/>
      <c r="F140" s="18"/>
      <c r="G140" s="10"/>
      <c r="H140" s="10"/>
      <c r="I140" s="10"/>
      <c r="J140" s="11"/>
      <c r="K140" s="11">
        <f t="shared" si="195"/>
        <v>0</v>
      </c>
      <c r="L140" s="37">
        <f t="shared" si="196"/>
        <v>0</v>
      </c>
      <c r="M140" s="11"/>
      <c r="N140" s="10"/>
      <c r="O140" s="21"/>
      <c r="P140" s="21"/>
      <c r="Q140" s="21"/>
      <c r="R140" s="23"/>
      <c r="S140" s="50"/>
      <c r="T140" s="48"/>
      <c r="U140" s="82"/>
      <c r="V140" s="26"/>
      <c r="W140" s="200"/>
      <c r="X140" s="17"/>
    </row>
    <row r="141" spans="2:24" x14ac:dyDescent="0.25">
      <c r="B141" s="17">
        <v>139</v>
      </c>
      <c r="C141" s="10"/>
      <c r="D141" s="10"/>
      <c r="E141" s="72"/>
      <c r="F141" s="18"/>
      <c r="G141" s="10"/>
      <c r="H141" s="10"/>
      <c r="I141" s="10"/>
      <c r="J141" s="11"/>
      <c r="K141" s="11">
        <f t="shared" si="195"/>
        <v>0</v>
      </c>
      <c r="L141" s="37">
        <f t="shared" si="196"/>
        <v>0</v>
      </c>
      <c r="M141" s="11"/>
      <c r="N141" s="10"/>
      <c r="O141" s="21"/>
      <c r="P141" s="21"/>
      <c r="Q141" s="21"/>
      <c r="R141" s="23"/>
      <c r="S141" s="50"/>
      <c r="T141" s="48"/>
      <c r="U141" s="82"/>
      <c r="V141" s="26"/>
      <c r="W141" s="200"/>
      <c r="X141" s="17"/>
    </row>
    <row r="142" spans="2:24" x14ac:dyDescent="0.25">
      <c r="B142" s="17">
        <v>140</v>
      </c>
      <c r="C142" s="10"/>
      <c r="D142" s="10"/>
      <c r="E142" s="72"/>
      <c r="F142" s="18"/>
      <c r="G142" s="10"/>
      <c r="H142" s="10"/>
      <c r="I142" s="10"/>
      <c r="J142" s="11"/>
      <c r="K142" s="11">
        <f t="shared" si="195"/>
        <v>0</v>
      </c>
      <c r="L142" s="37">
        <f t="shared" si="196"/>
        <v>0</v>
      </c>
      <c r="M142" s="11"/>
      <c r="N142" s="10"/>
      <c r="O142" s="21"/>
      <c r="P142" s="21"/>
      <c r="Q142" s="21"/>
      <c r="R142" s="23"/>
      <c r="S142" s="50"/>
      <c r="T142" s="48"/>
      <c r="U142" s="82"/>
      <c r="V142" s="32"/>
      <c r="W142" s="200"/>
      <c r="X142" s="17"/>
    </row>
    <row r="143" spans="2:24" x14ac:dyDescent="0.25">
      <c r="B143" s="17">
        <v>141</v>
      </c>
      <c r="C143" s="10"/>
      <c r="D143" s="10"/>
      <c r="E143" s="72"/>
      <c r="F143" s="18"/>
      <c r="G143" s="10"/>
      <c r="H143" s="10"/>
      <c r="I143" s="10"/>
      <c r="J143" s="11"/>
      <c r="K143" s="11">
        <f t="shared" si="195"/>
        <v>0</v>
      </c>
      <c r="L143" s="37">
        <f t="shared" si="196"/>
        <v>0</v>
      </c>
      <c r="M143" s="11"/>
      <c r="N143" s="10"/>
      <c r="O143" s="21"/>
      <c r="P143" s="21"/>
      <c r="Q143" s="21"/>
      <c r="R143" s="23"/>
      <c r="S143" s="50"/>
      <c r="T143" s="48"/>
      <c r="U143" s="82"/>
      <c r="V143" s="32"/>
      <c r="W143" s="200"/>
      <c r="X143" s="17"/>
    </row>
    <row r="144" spans="2:24" x14ac:dyDescent="0.25">
      <c r="B144" s="17">
        <v>142</v>
      </c>
      <c r="C144" s="10"/>
      <c r="D144" s="10"/>
      <c r="E144" s="72"/>
      <c r="F144" s="18"/>
      <c r="G144" s="10"/>
      <c r="H144" s="10"/>
      <c r="I144" s="10"/>
      <c r="J144" s="11"/>
      <c r="K144" s="11">
        <f t="shared" si="195"/>
        <v>0</v>
      </c>
      <c r="L144" s="37">
        <f t="shared" si="196"/>
        <v>0</v>
      </c>
      <c r="M144" s="11"/>
      <c r="N144" s="10"/>
      <c r="O144" s="21"/>
      <c r="P144" s="21"/>
      <c r="Q144" s="21"/>
      <c r="R144" s="23"/>
      <c r="S144" s="50"/>
      <c r="T144" s="48"/>
      <c r="U144" s="82"/>
      <c r="V144" s="26"/>
      <c r="W144" s="200"/>
      <c r="X144" s="17"/>
    </row>
    <row r="145" spans="2:24" x14ac:dyDescent="0.25">
      <c r="B145" s="17">
        <v>143</v>
      </c>
      <c r="C145" s="10"/>
      <c r="D145" s="10"/>
      <c r="E145" s="72"/>
      <c r="F145" s="18"/>
      <c r="G145" s="10"/>
      <c r="H145" s="10"/>
      <c r="I145" s="10"/>
      <c r="J145" s="11"/>
      <c r="K145" s="11">
        <f t="shared" si="195"/>
        <v>0</v>
      </c>
      <c r="L145" s="37">
        <f t="shared" si="196"/>
        <v>0</v>
      </c>
      <c r="M145" s="11"/>
      <c r="N145" s="10"/>
      <c r="O145" s="21"/>
      <c r="P145" s="21"/>
      <c r="Q145" s="21"/>
      <c r="R145" s="23"/>
      <c r="S145" s="50"/>
      <c r="T145" s="48"/>
      <c r="U145" s="82"/>
      <c r="V145" s="26"/>
      <c r="W145" s="200"/>
      <c r="X145" s="17"/>
    </row>
    <row r="146" spans="2:24" x14ac:dyDescent="0.25">
      <c r="B146" s="17">
        <v>144</v>
      </c>
      <c r="C146" s="10"/>
      <c r="D146" s="10"/>
      <c r="E146" s="72"/>
      <c r="F146" s="18"/>
      <c r="G146" s="10"/>
      <c r="H146" s="10"/>
      <c r="I146" s="10"/>
      <c r="J146" s="11"/>
      <c r="K146" s="11">
        <f t="shared" si="195"/>
        <v>0</v>
      </c>
      <c r="L146" s="37">
        <f t="shared" si="196"/>
        <v>0</v>
      </c>
      <c r="M146" s="11"/>
      <c r="N146" s="10"/>
      <c r="O146" s="21"/>
      <c r="P146" s="21"/>
      <c r="Q146" s="21"/>
      <c r="R146" s="23"/>
      <c r="S146" s="50"/>
      <c r="T146" s="48"/>
      <c r="U146" s="82"/>
      <c r="V146" s="26"/>
      <c r="W146" s="200"/>
      <c r="X146" s="17"/>
    </row>
    <row r="147" spans="2:24" x14ac:dyDescent="0.25">
      <c r="B147" s="17">
        <v>145</v>
      </c>
      <c r="C147" s="10"/>
      <c r="D147" s="10"/>
      <c r="E147" s="72"/>
      <c r="F147" s="18"/>
      <c r="G147" s="10"/>
      <c r="H147" s="10"/>
      <c r="I147" s="10"/>
      <c r="J147" s="11"/>
      <c r="K147" s="11">
        <f t="shared" si="195"/>
        <v>0</v>
      </c>
      <c r="L147" s="37">
        <f t="shared" si="196"/>
        <v>0</v>
      </c>
      <c r="M147" s="11"/>
      <c r="N147" s="10"/>
      <c r="O147" s="21"/>
      <c r="P147" s="21"/>
      <c r="Q147" s="21"/>
      <c r="R147" s="23"/>
      <c r="S147" s="50"/>
      <c r="T147" s="48"/>
      <c r="U147" s="82"/>
      <c r="V147" s="26"/>
      <c r="W147" s="200"/>
      <c r="X147" s="17"/>
    </row>
    <row r="148" spans="2:24" x14ac:dyDescent="0.25">
      <c r="B148" s="17">
        <v>146</v>
      </c>
      <c r="C148" s="10"/>
      <c r="D148" s="10"/>
      <c r="E148" s="72"/>
      <c r="F148" s="18"/>
      <c r="G148" s="10"/>
      <c r="H148" s="10"/>
      <c r="I148" s="10"/>
      <c r="J148" s="11"/>
      <c r="K148" s="11">
        <f t="shared" si="195"/>
        <v>0</v>
      </c>
      <c r="L148" s="37">
        <f t="shared" si="196"/>
        <v>0</v>
      </c>
      <c r="M148" s="11"/>
      <c r="N148" s="10"/>
      <c r="O148" s="21"/>
      <c r="P148" s="21"/>
      <c r="Q148" s="21"/>
      <c r="R148" s="23"/>
      <c r="S148" s="50"/>
      <c r="T148" s="48"/>
      <c r="U148" s="82"/>
      <c r="V148" s="32"/>
      <c r="W148" s="200"/>
      <c r="X148" s="17"/>
    </row>
    <row r="149" spans="2:24" x14ac:dyDescent="0.25">
      <c r="B149" s="17">
        <v>147</v>
      </c>
      <c r="C149" s="10"/>
      <c r="D149" s="10"/>
      <c r="E149" s="72"/>
      <c r="F149" s="18"/>
      <c r="G149" s="10"/>
      <c r="H149" s="10"/>
      <c r="I149" s="10"/>
      <c r="J149" s="11"/>
      <c r="K149" s="11">
        <f t="shared" si="195"/>
        <v>0</v>
      </c>
      <c r="L149" s="37">
        <f t="shared" si="196"/>
        <v>0</v>
      </c>
      <c r="M149" s="11"/>
      <c r="N149" s="10"/>
      <c r="O149" s="21"/>
      <c r="P149" s="21"/>
      <c r="Q149" s="21"/>
      <c r="R149" s="23"/>
      <c r="S149" s="50"/>
      <c r="T149" s="48"/>
      <c r="U149" s="82"/>
      <c r="V149" s="32"/>
      <c r="W149" s="200"/>
      <c r="X149" s="17"/>
    </row>
    <row r="150" spans="2:24" x14ac:dyDescent="0.25">
      <c r="B150" s="17">
        <v>148</v>
      </c>
      <c r="C150" s="10"/>
      <c r="D150" s="10"/>
      <c r="E150" s="72"/>
      <c r="F150" s="18"/>
      <c r="G150" s="10"/>
      <c r="H150" s="10"/>
      <c r="I150" s="10"/>
      <c r="J150" s="11"/>
      <c r="K150" s="11">
        <f t="shared" si="195"/>
        <v>0</v>
      </c>
      <c r="L150" s="37">
        <f t="shared" si="196"/>
        <v>0</v>
      </c>
      <c r="M150" s="11"/>
      <c r="N150" s="10"/>
      <c r="O150" s="21"/>
      <c r="P150" s="21"/>
      <c r="Q150" s="21"/>
      <c r="R150" s="23"/>
      <c r="S150" s="50"/>
      <c r="T150" s="48"/>
      <c r="U150" s="82"/>
      <c r="V150" s="26"/>
      <c r="W150" s="200"/>
      <c r="X150" s="17"/>
    </row>
    <row r="151" spans="2:24" x14ac:dyDescent="0.25">
      <c r="B151" s="17">
        <v>149</v>
      </c>
      <c r="C151" s="10"/>
      <c r="D151" s="10"/>
      <c r="E151" s="72"/>
      <c r="F151" s="18"/>
      <c r="G151" s="10"/>
      <c r="H151" s="10"/>
      <c r="I151" s="10"/>
      <c r="J151" s="11"/>
      <c r="K151" s="11">
        <f t="shared" si="195"/>
        <v>0</v>
      </c>
      <c r="L151" s="37">
        <f t="shared" si="196"/>
        <v>0</v>
      </c>
      <c r="M151" s="11"/>
      <c r="N151" s="10"/>
      <c r="O151" s="21"/>
      <c r="P151" s="21"/>
      <c r="Q151" s="21"/>
      <c r="R151" s="23"/>
      <c r="S151" s="50"/>
      <c r="T151" s="48"/>
      <c r="U151" s="82"/>
      <c r="V151" s="26"/>
      <c r="W151" s="200"/>
      <c r="X151" s="17"/>
    </row>
    <row r="152" spans="2:24" x14ac:dyDescent="0.25">
      <c r="B152" s="17">
        <v>150</v>
      </c>
      <c r="C152" s="10"/>
      <c r="D152" s="10"/>
      <c r="E152" s="72"/>
      <c r="F152" s="18"/>
      <c r="G152" s="10"/>
      <c r="H152" s="10"/>
      <c r="I152" s="10"/>
      <c r="J152" s="11"/>
      <c r="K152" s="11">
        <f t="shared" si="195"/>
        <v>0</v>
      </c>
      <c r="L152" s="37">
        <f t="shared" si="196"/>
        <v>0</v>
      </c>
      <c r="M152" s="11"/>
      <c r="N152" s="10"/>
      <c r="O152" s="21"/>
      <c r="P152" s="21"/>
      <c r="Q152" s="21"/>
      <c r="R152" s="23"/>
      <c r="S152" s="50"/>
      <c r="T152" s="48"/>
      <c r="U152" s="82"/>
      <c r="V152" s="26"/>
      <c r="W152" s="200"/>
      <c r="X152" s="17"/>
    </row>
    <row r="153" spans="2:24" x14ac:dyDescent="0.25">
      <c r="B153" s="17">
        <v>151</v>
      </c>
      <c r="C153" s="10"/>
      <c r="D153" s="10"/>
      <c r="E153" s="72"/>
      <c r="F153" s="18"/>
      <c r="G153" s="10"/>
      <c r="H153" s="10"/>
      <c r="I153" s="10"/>
      <c r="J153" s="11"/>
      <c r="K153" s="11">
        <f t="shared" si="195"/>
        <v>0</v>
      </c>
      <c r="L153" s="37">
        <f t="shared" si="196"/>
        <v>0</v>
      </c>
      <c r="M153" s="11"/>
      <c r="N153" s="10"/>
      <c r="O153" s="21"/>
      <c r="P153" s="21"/>
      <c r="Q153" s="21"/>
      <c r="R153" s="23"/>
      <c r="S153" s="50"/>
      <c r="T153" s="48"/>
      <c r="U153" s="82"/>
      <c r="V153" s="26"/>
      <c r="W153" s="200"/>
      <c r="X153" s="17"/>
    </row>
    <row r="154" spans="2:24" x14ac:dyDescent="0.25">
      <c r="B154" s="17">
        <v>152</v>
      </c>
      <c r="C154" s="10"/>
      <c r="D154" s="10"/>
      <c r="E154" s="72"/>
      <c r="F154" s="18"/>
      <c r="G154" s="10"/>
      <c r="H154" s="10"/>
      <c r="I154" s="10"/>
      <c r="J154" s="11"/>
      <c r="K154" s="11">
        <f t="shared" si="195"/>
        <v>0</v>
      </c>
      <c r="L154" s="37">
        <f t="shared" si="196"/>
        <v>0</v>
      </c>
      <c r="M154" s="11"/>
      <c r="N154" s="10"/>
      <c r="O154" s="21"/>
      <c r="P154" s="21"/>
      <c r="Q154" s="21"/>
      <c r="R154" s="23"/>
      <c r="S154" s="50"/>
      <c r="T154" s="48"/>
      <c r="U154" s="82"/>
      <c r="V154" s="26"/>
      <c r="W154" s="200"/>
      <c r="X154" s="17"/>
    </row>
    <row r="155" spans="2:24" x14ac:dyDescent="0.25">
      <c r="B155" s="17">
        <v>153</v>
      </c>
      <c r="C155" s="10"/>
      <c r="D155" s="10"/>
      <c r="E155" s="72"/>
      <c r="F155" s="18"/>
      <c r="G155" s="10"/>
      <c r="H155" s="10"/>
      <c r="I155" s="10"/>
      <c r="J155" s="11"/>
      <c r="K155" s="11">
        <f t="shared" si="195"/>
        <v>0</v>
      </c>
      <c r="L155" s="37">
        <f t="shared" si="196"/>
        <v>0</v>
      </c>
      <c r="M155" s="11"/>
      <c r="N155" s="10"/>
      <c r="O155" s="21"/>
      <c r="P155" s="21"/>
      <c r="Q155" s="21"/>
      <c r="R155" s="23"/>
      <c r="S155" s="50"/>
      <c r="T155" s="48"/>
      <c r="U155" s="82"/>
      <c r="V155" s="32"/>
      <c r="W155" s="200"/>
      <c r="X155" s="17"/>
    </row>
    <row r="156" spans="2:24" x14ac:dyDescent="0.25">
      <c r="B156" s="17">
        <v>154</v>
      </c>
      <c r="C156" s="10"/>
      <c r="D156" s="10"/>
      <c r="E156" s="72"/>
      <c r="F156" s="18"/>
      <c r="G156" s="10"/>
      <c r="H156" s="10"/>
      <c r="I156" s="10"/>
      <c r="J156" s="11"/>
      <c r="K156" s="11">
        <f t="shared" si="195"/>
        <v>0</v>
      </c>
      <c r="L156" s="37">
        <f t="shared" si="196"/>
        <v>0</v>
      </c>
      <c r="M156" s="11"/>
      <c r="N156" s="10"/>
      <c r="O156" s="21"/>
      <c r="P156" s="21"/>
      <c r="Q156" s="21"/>
      <c r="R156" s="23"/>
      <c r="S156" s="50"/>
      <c r="T156" s="48"/>
      <c r="U156" s="82"/>
      <c r="V156" s="32"/>
      <c r="W156" s="200"/>
      <c r="X156" s="17"/>
    </row>
    <row r="157" spans="2:24" x14ac:dyDescent="0.25">
      <c r="B157" s="17">
        <v>155</v>
      </c>
      <c r="C157" s="10"/>
      <c r="D157" s="10"/>
      <c r="E157" s="72"/>
      <c r="F157" s="18"/>
      <c r="G157" s="10"/>
      <c r="H157" s="10"/>
      <c r="I157" s="10"/>
      <c r="J157" s="11"/>
      <c r="K157" s="11">
        <f t="shared" si="195"/>
        <v>0</v>
      </c>
      <c r="L157" s="37">
        <f t="shared" si="196"/>
        <v>0</v>
      </c>
      <c r="M157" s="11"/>
      <c r="N157" s="10"/>
      <c r="O157" s="21"/>
      <c r="P157" s="21"/>
      <c r="Q157" s="21"/>
      <c r="R157" s="23"/>
      <c r="S157" s="50"/>
      <c r="T157" s="48"/>
      <c r="U157" s="82"/>
      <c r="V157" s="26"/>
      <c r="W157" s="200"/>
      <c r="X157" s="17"/>
    </row>
    <row r="158" spans="2:24" x14ac:dyDescent="0.25">
      <c r="B158" s="17">
        <v>156</v>
      </c>
      <c r="C158" s="10"/>
      <c r="D158" s="10"/>
      <c r="E158" s="72"/>
      <c r="F158" s="18"/>
      <c r="G158" s="10"/>
      <c r="H158" s="10"/>
      <c r="I158" s="10"/>
      <c r="J158" s="11"/>
      <c r="K158" s="11">
        <f t="shared" si="195"/>
        <v>0</v>
      </c>
      <c r="L158" s="37">
        <f t="shared" si="196"/>
        <v>0</v>
      </c>
      <c r="M158" s="11"/>
      <c r="N158" s="10"/>
      <c r="O158" s="21"/>
      <c r="P158" s="21"/>
      <c r="Q158" s="21"/>
      <c r="R158" s="23"/>
      <c r="S158" s="50"/>
      <c r="T158" s="48"/>
      <c r="U158" s="82"/>
      <c r="V158" s="26"/>
      <c r="W158" s="200"/>
      <c r="X158" s="17"/>
    </row>
    <row r="159" spans="2:24" x14ac:dyDescent="0.25">
      <c r="B159" s="17">
        <v>157</v>
      </c>
      <c r="C159" s="10"/>
      <c r="D159" s="10"/>
      <c r="E159" s="72"/>
      <c r="F159" s="18"/>
      <c r="G159" s="10"/>
      <c r="H159" s="10"/>
      <c r="I159" s="10"/>
      <c r="J159" s="11"/>
      <c r="K159" s="11">
        <f t="shared" si="195"/>
        <v>0</v>
      </c>
      <c r="L159" s="37">
        <f t="shared" si="196"/>
        <v>0</v>
      </c>
      <c r="M159" s="11"/>
      <c r="N159" s="10"/>
      <c r="O159" s="21"/>
      <c r="P159" s="21"/>
      <c r="Q159" s="21"/>
      <c r="R159" s="23"/>
      <c r="S159" s="50"/>
      <c r="T159" s="48"/>
      <c r="U159" s="82"/>
      <c r="V159" s="26"/>
      <c r="W159" s="200"/>
      <c r="X159" s="17"/>
    </row>
    <row r="160" spans="2:24" x14ac:dyDescent="0.25">
      <c r="B160" s="17">
        <v>158</v>
      </c>
      <c r="C160" s="10"/>
      <c r="D160" s="10"/>
      <c r="E160" s="72"/>
      <c r="F160" s="18"/>
      <c r="G160" s="10"/>
      <c r="H160" s="10"/>
      <c r="I160" s="10"/>
      <c r="J160" s="11"/>
      <c r="K160" s="11">
        <f t="shared" si="195"/>
        <v>0</v>
      </c>
      <c r="L160" s="37">
        <f t="shared" si="196"/>
        <v>0</v>
      </c>
      <c r="M160" s="11"/>
      <c r="N160" s="10"/>
      <c r="O160" s="21"/>
      <c r="P160" s="21"/>
      <c r="Q160" s="21"/>
      <c r="R160" s="23"/>
      <c r="S160" s="50"/>
      <c r="T160" s="48"/>
      <c r="U160" s="82"/>
      <c r="V160" s="26"/>
      <c r="W160" s="200"/>
      <c r="X160" s="17"/>
    </row>
    <row r="161" spans="2:24" x14ac:dyDescent="0.25">
      <c r="B161" s="17">
        <v>159</v>
      </c>
      <c r="C161" s="10"/>
      <c r="D161" s="10"/>
      <c r="E161" s="72"/>
      <c r="F161" s="18"/>
      <c r="G161" s="10"/>
      <c r="H161" s="10"/>
      <c r="I161" s="10"/>
      <c r="J161" s="11"/>
      <c r="K161" s="11">
        <f t="shared" si="195"/>
        <v>0</v>
      </c>
      <c r="L161" s="37">
        <f t="shared" si="196"/>
        <v>0</v>
      </c>
      <c r="M161" s="11"/>
      <c r="N161" s="10"/>
      <c r="O161" s="21"/>
      <c r="P161" s="21"/>
      <c r="Q161" s="21"/>
      <c r="R161" s="23"/>
      <c r="S161" s="50"/>
      <c r="T161" s="48"/>
      <c r="U161" s="82"/>
      <c r="V161" s="26"/>
      <c r="W161" s="200"/>
      <c r="X161" s="17"/>
    </row>
    <row r="162" spans="2:24" x14ac:dyDescent="0.25">
      <c r="B162" s="17">
        <v>160</v>
      </c>
      <c r="C162" s="10"/>
      <c r="D162" s="10"/>
      <c r="E162" s="72"/>
      <c r="F162" s="18"/>
      <c r="G162" s="10"/>
      <c r="H162" s="10"/>
      <c r="I162" s="10"/>
      <c r="J162" s="11"/>
      <c r="K162" s="11">
        <f t="shared" si="195"/>
        <v>0</v>
      </c>
      <c r="L162" s="37">
        <f t="shared" si="196"/>
        <v>0</v>
      </c>
      <c r="M162" s="11"/>
      <c r="N162" s="10"/>
      <c r="O162" s="21"/>
      <c r="P162" s="21"/>
      <c r="Q162" s="21"/>
      <c r="R162" s="23"/>
      <c r="S162" s="50"/>
      <c r="T162" s="48"/>
      <c r="U162" s="82"/>
      <c r="V162" s="32"/>
      <c r="W162" s="200"/>
      <c r="X162" s="17"/>
    </row>
    <row r="163" spans="2:24" x14ac:dyDescent="0.25">
      <c r="B163" s="17">
        <v>161</v>
      </c>
      <c r="C163" s="10"/>
      <c r="D163" s="10"/>
      <c r="E163" s="72"/>
      <c r="F163" s="18"/>
      <c r="G163" s="10"/>
      <c r="H163" s="10"/>
      <c r="I163" s="10"/>
      <c r="J163" s="11"/>
      <c r="K163" s="11">
        <f t="shared" si="195"/>
        <v>0</v>
      </c>
      <c r="L163" s="37">
        <f t="shared" si="196"/>
        <v>0</v>
      </c>
      <c r="M163" s="11"/>
      <c r="N163" s="10"/>
      <c r="O163" s="21"/>
      <c r="P163" s="21"/>
      <c r="Q163" s="21"/>
      <c r="R163" s="23"/>
      <c r="S163" s="50"/>
      <c r="T163" s="48"/>
      <c r="U163" s="82"/>
      <c r="V163" s="32"/>
      <c r="W163" s="200"/>
      <c r="X163" s="17"/>
    </row>
    <row r="164" spans="2:24" x14ac:dyDescent="0.25">
      <c r="B164" s="17">
        <v>162</v>
      </c>
      <c r="C164" s="10"/>
      <c r="D164" s="10"/>
      <c r="E164" s="72"/>
      <c r="F164" s="18"/>
      <c r="G164" s="10"/>
      <c r="H164" s="10"/>
      <c r="I164" s="10"/>
      <c r="J164" s="11"/>
      <c r="K164" s="11">
        <f t="shared" si="195"/>
        <v>0</v>
      </c>
      <c r="L164" s="37">
        <f t="shared" si="196"/>
        <v>0</v>
      </c>
      <c r="M164" s="11"/>
      <c r="N164" s="10"/>
      <c r="O164" s="21"/>
      <c r="P164" s="21"/>
      <c r="Q164" s="21"/>
      <c r="R164" s="23"/>
      <c r="S164" s="50"/>
      <c r="T164" s="48"/>
      <c r="U164" s="82"/>
      <c r="V164" s="32"/>
      <c r="W164" s="200"/>
      <c r="X164" s="17"/>
    </row>
    <row r="165" spans="2:24" x14ac:dyDescent="0.25">
      <c r="B165" s="17">
        <v>163</v>
      </c>
      <c r="C165" s="10"/>
      <c r="D165" s="10"/>
      <c r="E165" s="72"/>
      <c r="F165" s="18"/>
      <c r="G165" s="10"/>
      <c r="H165" s="10"/>
      <c r="I165" s="10"/>
      <c r="J165" s="11"/>
      <c r="K165" s="11">
        <f t="shared" si="195"/>
        <v>0</v>
      </c>
      <c r="L165" s="37">
        <f t="shared" si="196"/>
        <v>0</v>
      </c>
      <c r="M165" s="11"/>
      <c r="N165" s="10"/>
      <c r="O165" s="21"/>
      <c r="P165" s="21"/>
      <c r="Q165" s="21"/>
      <c r="R165" s="23"/>
      <c r="S165" s="50"/>
      <c r="T165" s="48"/>
      <c r="U165" s="82"/>
      <c r="V165" s="32"/>
      <c r="W165" s="200"/>
      <c r="X165" s="17"/>
    </row>
    <row r="166" spans="2:24" x14ac:dyDescent="0.25">
      <c r="B166" s="17">
        <v>164</v>
      </c>
      <c r="C166" s="10"/>
      <c r="D166" s="10"/>
      <c r="E166" s="72"/>
      <c r="F166" s="18"/>
      <c r="G166" s="10"/>
      <c r="H166" s="10"/>
      <c r="I166" s="10"/>
      <c r="J166" s="11"/>
      <c r="K166" s="11">
        <f t="shared" si="195"/>
        <v>0</v>
      </c>
      <c r="L166" s="37">
        <f t="shared" si="196"/>
        <v>0</v>
      </c>
      <c r="M166" s="11"/>
      <c r="N166" s="10"/>
      <c r="O166" s="21"/>
      <c r="P166" s="21"/>
      <c r="Q166" s="21"/>
      <c r="R166" s="23"/>
      <c r="S166" s="50"/>
      <c r="T166" s="48"/>
      <c r="U166" s="82"/>
      <c r="V166" s="26"/>
      <c r="W166" s="200"/>
      <c r="X166" s="17"/>
    </row>
    <row r="167" spans="2:24" x14ac:dyDescent="0.25">
      <c r="B167" s="17">
        <v>165</v>
      </c>
      <c r="C167" s="10"/>
      <c r="D167" s="10"/>
      <c r="E167" s="72"/>
      <c r="F167" s="18"/>
      <c r="G167" s="10"/>
      <c r="H167" s="10"/>
      <c r="I167" s="10"/>
      <c r="J167" s="11"/>
      <c r="K167" s="11">
        <f t="shared" si="195"/>
        <v>0</v>
      </c>
      <c r="L167" s="37">
        <f t="shared" si="196"/>
        <v>0</v>
      </c>
      <c r="M167" s="11"/>
      <c r="N167" s="10"/>
      <c r="O167" s="21"/>
      <c r="P167" s="21"/>
      <c r="Q167" s="21"/>
      <c r="R167" s="23"/>
      <c r="S167" s="50"/>
      <c r="T167" s="48"/>
      <c r="U167" s="82"/>
      <c r="V167" s="26"/>
      <c r="W167" s="200"/>
      <c r="X167" s="17"/>
    </row>
    <row r="168" spans="2:24" x14ac:dyDescent="0.25">
      <c r="B168" s="17">
        <v>166</v>
      </c>
      <c r="C168" s="10"/>
      <c r="D168" s="10"/>
      <c r="E168" s="72"/>
      <c r="F168" s="18"/>
      <c r="G168" s="10"/>
      <c r="H168" s="10"/>
      <c r="I168" s="10"/>
      <c r="J168" s="11"/>
      <c r="K168" s="11">
        <f t="shared" si="195"/>
        <v>0</v>
      </c>
      <c r="L168" s="37">
        <f t="shared" si="196"/>
        <v>0</v>
      </c>
      <c r="M168" s="11"/>
      <c r="N168" s="10"/>
      <c r="O168" s="21"/>
      <c r="P168" s="21"/>
      <c r="Q168" s="21"/>
      <c r="R168" s="23"/>
      <c r="S168" s="50"/>
      <c r="T168" s="48"/>
      <c r="U168" s="82"/>
      <c r="V168" s="26"/>
      <c r="W168" s="200"/>
      <c r="X168" s="17"/>
    </row>
    <row r="169" spans="2:24" x14ac:dyDescent="0.25">
      <c r="B169" s="17">
        <v>167</v>
      </c>
      <c r="C169" s="10"/>
      <c r="D169" s="10"/>
      <c r="E169" s="72"/>
      <c r="F169" s="18"/>
      <c r="G169" s="10"/>
      <c r="H169" s="10"/>
      <c r="I169" s="10"/>
      <c r="J169" s="11"/>
      <c r="K169" s="11">
        <f t="shared" si="195"/>
        <v>0</v>
      </c>
      <c r="L169" s="37">
        <f t="shared" si="196"/>
        <v>0</v>
      </c>
      <c r="M169" s="11"/>
      <c r="N169" s="10"/>
      <c r="O169" s="21"/>
      <c r="P169" s="21"/>
      <c r="Q169" s="21"/>
      <c r="R169" s="23"/>
      <c r="S169" s="50"/>
      <c r="T169" s="48"/>
      <c r="U169" s="82"/>
      <c r="V169" s="26"/>
      <c r="W169" s="200"/>
      <c r="X169" s="17"/>
    </row>
    <row r="170" spans="2:24" x14ac:dyDescent="0.25">
      <c r="B170" s="17">
        <v>168</v>
      </c>
      <c r="C170" s="10"/>
      <c r="D170" s="10"/>
      <c r="E170" s="72"/>
      <c r="F170" s="18"/>
      <c r="G170" s="10"/>
      <c r="H170" s="10"/>
      <c r="I170" s="10"/>
      <c r="J170" s="11"/>
      <c r="K170" s="11">
        <f t="shared" si="195"/>
        <v>0</v>
      </c>
      <c r="L170" s="37">
        <f t="shared" si="196"/>
        <v>0</v>
      </c>
      <c r="M170" s="11"/>
      <c r="N170" s="10"/>
      <c r="O170" s="21"/>
      <c r="P170" s="21"/>
      <c r="Q170" s="21"/>
      <c r="R170" s="23"/>
      <c r="S170" s="50"/>
      <c r="T170" s="48"/>
      <c r="U170" s="82"/>
      <c r="V170" s="32"/>
      <c r="W170" s="200"/>
      <c r="X170" s="17"/>
    </row>
    <row r="171" spans="2:24" x14ac:dyDescent="0.25">
      <c r="B171" s="17">
        <v>169</v>
      </c>
      <c r="C171" s="10"/>
      <c r="D171" s="10"/>
      <c r="E171" s="72"/>
      <c r="F171" s="18"/>
      <c r="G171" s="10"/>
      <c r="H171" s="10"/>
      <c r="I171" s="10"/>
      <c r="J171" s="11"/>
      <c r="K171" s="11">
        <f t="shared" si="195"/>
        <v>0</v>
      </c>
      <c r="L171" s="37">
        <f t="shared" si="196"/>
        <v>0</v>
      </c>
      <c r="M171" s="11"/>
      <c r="N171" s="10"/>
      <c r="O171" s="21"/>
      <c r="P171" s="21"/>
      <c r="Q171" s="21"/>
      <c r="R171" s="23"/>
      <c r="S171" s="50"/>
      <c r="T171" s="48"/>
      <c r="U171" s="82"/>
      <c r="V171" s="32"/>
      <c r="W171" s="200"/>
      <c r="X171" s="17"/>
    </row>
    <row r="172" spans="2:24" x14ac:dyDescent="0.25">
      <c r="B172" s="17">
        <v>170</v>
      </c>
      <c r="C172" s="10"/>
      <c r="D172" s="10"/>
      <c r="E172" s="72"/>
      <c r="F172" s="18"/>
      <c r="G172" s="10"/>
      <c r="H172" s="10"/>
      <c r="I172" s="10"/>
      <c r="J172" s="11"/>
      <c r="K172" s="11">
        <f t="shared" si="195"/>
        <v>0</v>
      </c>
      <c r="L172" s="37">
        <f t="shared" si="196"/>
        <v>0</v>
      </c>
      <c r="M172" s="11"/>
      <c r="N172" s="10"/>
      <c r="O172" s="21"/>
      <c r="P172" s="21"/>
      <c r="Q172" s="21"/>
      <c r="R172" s="23"/>
      <c r="S172" s="50"/>
      <c r="T172" s="48"/>
      <c r="U172" s="82"/>
      <c r="V172" s="26"/>
      <c r="W172" s="200"/>
      <c r="X172" s="17"/>
    </row>
    <row r="173" spans="2:24" x14ac:dyDescent="0.25">
      <c r="B173" s="17">
        <v>171</v>
      </c>
      <c r="C173" s="10"/>
      <c r="D173" s="10"/>
      <c r="E173" s="72"/>
      <c r="F173" s="18"/>
      <c r="G173" s="10"/>
      <c r="H173" s="10"/>
      <c r="I173" s="10"/>
      <c r="J173" s="11"/>
      <c r="K173" s="11">
        <f t="shared" si="195"/>
        <v>0</v>
      </c>
      <c r="L173" s="37">
        <f t="shared" si="196"/>
        <v>0</v>
      </c>
      <c r="M173" s="11"/>
      <c r="N173" s="10"/>
      <c r="O173" s="21"/>
      <c r="P173" s="21"/>
      <c r="Q173" s="21"/>
      <c r="R173" s="23"/>
      <c r="S173" s="50"/>
      <c r="T173" s="48"/>
      <c r="U173" s="82"/>
      <c r="V173" s="26"/>
      <c r="W173" s="200"/>
      <c r="X173" s="17"/>
    </row>
    <row r="174" spans="2:24" x14ac:dyDescent="0.25">
      <c r="B174" s="17">
        <v>172</v>
      </c>
      <c r="C174" s="10"/>
      <c r="D174" s="10"/>
      <c r="E174" s="72"/>
      <c r="F174" s="18"/>
      <c r="G174" s="10"/>
      <c r="H174" s="10"/>
      <c r="I174" s="10"/>
      <c r="J174" s="11"/>
      <c r="K174" s="11">
        <f t="shared" si="195"/>
        <v>0</v>
      </c>
      <c r="L174" s="37">
        <f t="shared" si="196"/>
        <v>0</v>
      </c>
      <c r="M174" s="11"/>
      <c r="N174" s="10"/>
      <c r="O174" s="21"/>
      <c r="P174" s="21"/>
      <c r="Q174" s="21"/>
      <c r="R174" s="23"/>
      <c r="S174" s="50"/>
      <c r="T174" s="48"/>
      <c r="U174" s="82"/>
      <c r="V174" s="26"/>
      <c r="W174" s="200"/>
      <c r="X174" s="17"/>
    </row>
    <row r="175" spans="2:24" x14ac:dyDescent="0.25">
      <c r="B175" s="17">
        <v>173</v>
      </c>
      <c r="C175" s="10"/>
      <c r="D175" s="10"/>
      <c r="E175" s="72"/>
      <c r="F175" s="18"/>
      <c r="G175" s="10"/>
      <c r="H175" s="10"/>
      <c r="I175" s="10"/>
      <c r="J175" s="11"/>
      <c r="K175" s="11">
        <f t="shared" si="195"/>
        <v>0</v>
      </c>
      <c r="L175" s="37">
        <f t="shared" si="196"/>
        <v>0</v>
      </c>
      <c r="M175" s="11"/>
      <c r="N175" s="10"/>
      <c r="O175" s="21"/>
      <c r="P175" s="21"/>
      <c r="Q175" s="21"/>
      <c r="R175" s="23"/>
      <c r="S175" s="50"/>
      <c r="T175" s="48"/>
      <c r="U175" s="82"/>
      <c r="V175" s="26"/>
      <c r="W175" s="200"/>
      <c r="X175" s="17"/>
    </row>
    <row r="176" spans="2:24" x14ac:dyDescent="0.25">
      <c r="B176" s="17">
        <v>174</v>
      </c>
      <c r="C176" s="10"/>
      <c r="D176" s="10"/>
      <c r="E176" s="72"/>
      <c r="F176" s="18"/>
      <c r="G176" s="10"/>
      <c r="H176" s="10"/>
      <c r="I176" s="10"/>
      <c r="J176" s="11"/>
      <c r="K176" s="11">
        <f t="shared" si="195"/>
        <v>0</v>
      </c>
      <c r="L176" s="37">
        <f t="shared" si="196"/>
        <v>0</v>
      </c>
      <c r="M176" s="11"/>
      <c r="N176" s="10"/>
      <c r="O176" s="21"/>
      <c r="P176" s="21"/>
      <c r="Q176" s="21"/>
      <c r="R176" s="23"/>
      <c r="S176" s="50"/>
      <c r="T176" s="48"/>
      <c r="U176" s="82"/>
      <c r="V176" s="26"/>
      <c r="W176" s="200"/>
      <c r="X176" s="17"/>
    </row>
    <row r="177" spans="2:24" x14ac:dyDescent="0.25">
      <c r="B177" s="17">
        <v>175</v>
      </c>
      <c r="C177" s="10"/>
      <c r="D177" s="10"/>
      <c r="E177" s="72"/>
      <c r="F177" s="18"/>
      <c r="G177" s="10"/>
      <c r="H177" s="10"/>
      <c r="I177" s="10"/>
      <c r="J177" s="11"/>
      <c r="K177" s="11">
        <f t="shared" si="195"/>
        <v>0</v>
      </c>
      <c r="L177" s="37">
        <f t="shared" si="196"/>
        <v>0</v>
      </c>
      <c r="M177" s="11"/>
      <c r="N177" s="10"/>
      <c r="O177" s="21"/>
      <c r="P177" s="21"/>
      <c r="Q177" s="21"/>
      <c r="R177" s="23"/>
      <c r="S177" s="50"/>
      <c r="T177" s="48"/>
      <c r="U177" s="82"/>
      <c r="V177" s="32"/>
      <c r="W177" s="200"/>
      <c r="X177" s="17"/>
    </row>
    <row r="178" spans="2:24" x14ac:dyDescent="0.25">
      <c r="B178" s="17">
        <v>176</v>
      </c>
      <c r="C178" s="10"/>
      <c r="D178" s="10"/>
      <c r="E178" s="72"/>
      <c r="F178" s="18"/>
      <c r="G178" s="10"/>
      <c r="H178" s="10"/>
      <c r="I178" s="10"/>
      <c r="J178" s="11"/>
      <c r="K178" s="11">
        <f t="shared" si="195"/>
        <v>0</v>
      </c>
      <c r="L178" s="37">
        <f t="shared" si="196"/>
        <v>0</v>
      </c>
      <c r="M178" s="11"/>
      <c r="N178" s="10"/>
      <c r="O178" s="21"/>
      <c r="P178" s="21"/>
      <c r="Q178" s="21"/>
      <c r="R178" s="23"/>
      <c r="S178" s="50"/>
      <c r="T178" s="48"/>
      <c r="U178" s="82"/>
      <c r="V178" s="32"/>
      <c r="W178" s="200"/>
      <c r="X178" s="17"/>
    </row>
    <row r="179" spans="2:24" x14ac:dyDescent="0.25">
      <c r="B179" s="17">
        <v>177</v>
      </c>
      <c r="C179" s="10"/>
      <c r="D179" s="10"/>
      <c r="E179" s="72"/>
      <c r="F179" s="18"/>
      <c r="G179" s="10"/>
      <c r="H179" s="10"/>
      <c r="I179" s="10"/>
      <c r="J179" s="11"/>
      <c r="K179" s="11">
        <f t="shared" si="195"/>
        <v>0</v>
      </c>
      <c r="L179" s="37">
        <f t="shared" si="196"/>
        <v>0</v>
      </c>
      <c r="M179" s="11"/>
      <c r="N179" s="10"/>
      <c r="O179" s="21"/>
      <c r="P179" s="21"/>
      <c r="Q179" s="21"/>
      <c r="R179" s="23"/>
      <c r="S179" s="50"/>
      <c r="T179" s="48"/>
      <c r="U179" s="82"/>
      <c r="V179" s="26"/>
      <c r="W179" s="200"/>
      <c r="X179" s="17"/>
    </row>
    <row r="180" spans="2:24" x14ac:dyDescent="0.25">
      <c r="B180" s="17">
        <v>178</v>
      </c>
      <c r="C180" s="10"/>
      <c r="D180" s="10"/>
      <c r="E180" s="72"/>
      <c r="F180" s="18"/>
      <c r="G180" s="10"/>
      <c r="H180" s="10"/>
      <c r="I180" s="10"/>
      <c r="J180" s="11"/>
      <c r="K180" s="11">
        <f t="shared" si="195"/>
        <v>0</v>
      </c>
      <c r="L180" s="37">
        <f t="shared" si="196"/>
        <v>0</v>
      </c>
      <c r="M180" s="11"/>
      <c r="N180" s="10"/>
      <c r="O180" s="21"/>
      <c r="P180" s="21"/>
      <c r="Q180" s="21"/>
      <c r="R180" s="23"/>
      <c r="S180" s="50"/>
      <c r="T180" s="48"/>
      <c r="U180" s="82"/>
      <c r="V180" s="26"/>
      <c r="W180" s="200"/>
      <c r="X180" s="17"/>
    </row>
    <row r="181" spans="2:24" x14ac:dyDescent="0.25">
      <c r="B181" s="17">
        <v>179</v>
      </c>
      <c r="C181" s="10"/>
      <c r="D181" s="10"/>
      <c r="E181" s="72"/>
      <c r="F181" s="18"/>
      <c r="G181" s="10"/>
      <c r="H181" s="10"/>
      <c r="I181" s="10"/>
      <c r="J181" s="11"/>
      <c r="K181" s="11">
        <f t="shared" si="195"/>
        <v>0</v>
      </c>
      <c r="L181" s="37">
        <f t="shared" si="196"/>
        <v>0</v>
      </c>
      <c r="M181" s="11"/>
      <c r="N181" s="10"/>
      <c r="O181" s="21"/>
      <c r="P181" s="21"/>
      <c r="Q181" s="21"/>
      <c r="R181" s="23"/>
      <c r="S181" s="50"/>
      <c r="T181" s="48"/>
      <c r="U181" s="82"/>
      <c r="V181" s="26"/>
      <c r="W181" s="200"/>
      <c r="X181" s="17"/>
    </row>
    <row r="182" spans="2:24" x14ac:dyDescent="0.25">
      <c r="B182" s="17">
        <v>180</v>
      </c>
      <c r="C182" s="10"/>
      <c r="D182" s="10"/>
      <c r="E182" s="72"/>
      <c r="F182" s="18"/>
      <c r="G182" s="10"/>
      <c r="H182" s="10"/>
      <c r="I182" s="10"/>
      <c r="J182" s="11"/>
      <c r="K182" s="11">
        <f t="shared" si="195"/>
        <v>0</v>
      </c>
      <c r="L182" s="37">
        <f t="shared" si="196"/>
        <v>0</v>
      </c>
      <c r="M182" s="11"/>
      <c r="N182" s="10"/>
      <c r="O182" s="21"/>
      <c r="P182" s="21"/>
      <c r="Q182" s="21"/>
      <c r="R182" s="23"/>
      <c r="S182" s="50"/>
      <c r="T182" s="48"/>
      <c r="U182" s="82"/>
      <c r="V182" s="26"/>
      <c r="W182" s="200"/>
      <c r="X182" s="17"/>
    </row>
    <row r="183" spans="2:24" x14ac:dyDescent="0.25">
      <c r="B183" s="17">
        <v>181</v>
      </c>
      <c r="C183" s="10"/>
      <c r="D183" s="10"/>
      <c r="E183" s="72"/>
      <c r="F183" s="18"/>
      <c r="G183" s="10"/>
      <c r="H183" s="10"/>
      <c r="I183" s="10"/>
      <c r="J183" s="11"/>
      <c r="K183" s="11">
        <f t="shared" si="195"/>
        <v>0</v>
      </c>
      <c r="L183" s="37">
        <f t="shared" si="196"/>
        <v>0</v>
      </c>
      <c r="M183" s="11"/>
      <c r="N183" s="10"/>
      <c r="O183" s="21"/>
      <c r="P183" s="21"/>
      <c r="Q183" s="21"/>
      <c r="R183" s="23"/>
      <c r="S183" s="50"/>
      <c r="T183" s="48"/>
      <c r="U183" s="82"/>
      <c r="V183" s="26"/>
      <c r="W183" s="200"/>
      <c r="X183" s="17"/>
    </row>
    <row r="184" spans="2:24" x14ac:dyDescent="0.25">
      <c r="B184" s="17">
        <v>182</v>
      </c>
      <c r="C184" s="10"/>
      <c r="D184" s="10"/>
      <c r="E184" s="72"/>
      <c r="F184" s="18"/>
      <c r="G184" s="10"/>
      <c r="H184" s="10"/>
      <c r="I184" s="10"/>
      <c r="J184" s="11"/>
      <c r="K184" s="11">
        <f t="shared" si="195"/>
        <v>0</v>
      </c>
      <c r="L184" s="37">
        <f t="shared" si="196"/>
        <v>0</v>
      </c>
      <c r="M184" s="11"/>
      <c r="N184" s="10"/>
      <c r="O184" s="21"/>
      <c r="P184" s="21"/>
      <c r="Q184" s="21"/>
      <c r="R184" s="23"/>
      <c r="S184" s="50"/>
      <c r="T184" s="48"/>
      <c r="U184" s="82"/>
      <c r="V184" s="32"/>
      <c r="W184" s="200"/>
      <c r="X184" s="17"/>
    </row>
    <row r="185" spans="2:24" x14ac:dyDescent="0.25">
      <c r="B185" s="17">
        <v>183</v>
      </c>
      <c r="C185" s="10"/>
      <c r="D185" s="10"/>
      <c r="E185" s="72"/>
      <c r="F185" s="18"/>
      <c r="G185" s="10"/>
      <c r="H185" s="10"/>
      <c r="I185" s="10"/>
      <c r="J185" s="11"/>
      <c r="K185" s="11">
        <f t="shared" si="195"/>
        <v>0</v>
      </c>
      <c r="L185" s="37">
        <f t="shared" si="196"/>
        <v>0</v>
      </c>
      <c r="M185" s="11"/>
      <c r="N185" s="10"/>
      <c r="O185" s="21"/>
      <c r="P185" s="21"/>
      <c r="Q185" s="21"/>
      <c r="R185" s="23"/>
      <c r="S185" s="50"/>
      <c r="T185" s="48"/>
      <c r="U185" s="82"/>
      <c r="V185" s="32"/>
      <c r="W185" s="200"/>
      <c r="X185" s="17"/>
    </row>
    <row r="186" spans="2:24" x14ac:dyDescent="0.25">
      <c r="B186" s="17">
        <v>184</v>
      </c>
      <c r="C186" s="10"/>
      <c r="D186" s="10"/>
      <c r="E186" s="72"/>
      <c r="F186" s="18"/>
      <c r="G186" s="10"/>
      <c r="H186" s="10"/>
      <c r="I186" s="10"/>
      <c r="J186" s="11"/>
      <c r="K186" s="11">
        <f t="shared" si="195"/>
        <v>0</v>
      </c>
      <c r="L186" s="37">
        <f t="shared" si="196"/>
        <v>0</v>
      </c>
      <c r="M186" s="11"/>
      <c r="N186" s="10"/>
      <c r="O186" s="21"/>
      <c r="P186" s="21"/>
      <c r="Q186" s="21"/>
      <c r="R186" s="23"/>
      <c r="S186" s="50"/>
      <c r="T186" s="48"/>
      <c r="U186" s="82"/>
      <c r="V186" s="32"/>
      <c r="W186" s="200"/>
      <c r="X186" s="17"/>
    </row>
    <row r="187" spans="2:24" x14ac:dyDescent="0.25">
      <c r="B187" s="17">
        <v>185</v>
      </c>
      <c r="C187" s="10"/>
      <c r="D187" s="10"/>
      <c r="E187" s="72"/>
      <c r="F187" s="18"/>
      <c r="G187" s="10"/>
      <c r="H187" s="10"/>
      <c r="I187" s="10"/>
      <c r="J187" s="11"/>
      <c r="K187" s="11">
        <f t="shared" si="195"/>
        <v>0</v>
      </c>
      <c r="L187" s="37">
        <f t="shared" si="196"/>
        <v>0</v>
      </c>
      <c r="M187" s="11"/>
      <c r="N187" s="10"/>
      <c r="O187" s="21"/>
      <c r="P187" s="21"/>
      <c r="Q187" s="21"/>
      <c r="R187" s="23"/>
      <c r="S187" s="50"/>
      <c r="T187" s="48"/>
      <c r="U187" s="82"/>
      <c r="V187" s="32"/>
      <c r="W187" s="200"/>
      <c r="X187" s="17"/>
    </row>
    <row r="188" spans="2:24" x14ac:dyDescent="0.25">
      <c r="B188" s="17">
        <v>186</v>
      </c>
      <c r="C188" s="10"/>
      <c r="D188" s="10"/>
      <c r="E188" s="72"/>
      <c r="F188" s="18"/>
      <c r="G188" s="10"/>
      <c r="H188" s="10"/>
      <c r="I188" s="10"/>
      <c r="J188" s="11"/>
      <c r="K188" s="11">
        <f t="shared" si="195"/>
        <v>0</v>
      </c>
      <c r="L188" s="37">
        <f t="shared" si="196"/>
        <v>0</v>
      </c>
      <c r="M188" s="11"/>
      <c r="N188" s="10"/>
      <c r="O188" s="21"/>
      <c r="P188" s="21"/>
      <c r="Q188" s="21"/>
      <c r="R188" s="23"/>
      <c r="S188" s="50"/>
      <c r="T188" s="48"/>
      <c r="U188" s="82"/>
      <c r="V188" s="26"/>
      <c r="W188" s="200"/>
      <c r="X188" s="17"/>
    </row>
    <row r="189" spans="2:24" x14ac:dyDescent="0.25">
      <c r="B189" s="17">
        <v>187</v>
      </c>
      <c r="C189" s="10"/>
      <c r="D189" s="10"/>
      <c r="E189" s="72"/>
      <c r="F189" s="18"/>
      <c r="G189" s="10"/>
      <c r="H189" s="10"/>
      <c r="I189" s="10"/>
      <c r="J189" s="11"/>
      <c r="K189" s="11">
        <f t="shared" si="195"/>
        <v>0</v>
      </c>
      <c r="L189" s="37">
        <f t="shared" si="196"/>
        <v>0</v>
      </c>
      <c r="M189" s="11"/>
      <c r="N189" s="10"/>
      <c r="O189" s="21"/>
      <c r="P189" s="21"/>
      <c r="Q189" s="21"/>
      <c r="R189" s="23"/>
      <c r="S189" s="50"/>
      <c r="T189" s="48"/>
      <c r="U189" s="82"/>
      <c r="V189" s="26"/>
      <c r="W189" s="200"/>
      <c r="X189" s="17"/>
    </row>
    <row r="190" spans="2:24" x14ac:dyDescent="0.25">
      <c r="B190" s="17">
        <v>188</v>
      </c>
      <c r="C190" s="10"/>
      <c r="D190" s="10"/>
      <c r="E190" s="72"/>
      <c r="F190" s="18"/>
      <c r="G190" s="10"/>
      <c r="H190" s="10"/>
      <c r="I190" s="10"/>
      <c r="J190" s="11"/>
      <c r="K190" s="11">
        <f t="shared" si="195"/>
        <v>0</v>
      </c>
      <c r="L190" s="37">
        <f t="shared" si="196"/>
        <v>0</v>
      </c>
      <c r="M190" s="11"/>
      <c r="N190" s="10"/>
      <c r="O190" s="21"/>
      <c r="P190" s="21"/>
      <c r="Q190" s="21"/>
      <c r="R190" s="23"/>
      <c r="S190" s="50"/>
      <c r="T190" s="48"/>
      <c r="U190" s="82"/>
      <c r="V190" s="26"/>
      <c r="W190" s="200"/>
      <c r="X190" s="17"/>
    </row>
    <row r="191" spans="2:24" x14ac:dyDescent="0.25">
      <c r="B191" s="17">
        <v>189</v>
      </c>
      <c r="C191" s="10"/>
      <c r="D191" s="10"/>
      <c r="E191" s="72"/>
      <c r="F191" s="18"/>
      <c r="G191" s="10"/>
      <c r="H191" s="10"/>
      <c r="I191" s="10"/>
      <c r="J191" s="11"/>
      <c r="K191" s="11">
        <f t="shared" si="195"/>
        <v>0</v>
      </c>
      <c r="L191" s="37">
        <f t="shared" si="196"/>
        <v>0</v>
      </c>
      <c r="M191" s="11"/>
      <c r="N191" s="10"/>
      <c r="O191" s="21"/>
      <c r="P191" s="21"/>
      <c r="Q191" s="21"/>
      <c r="R191" s="23"/>
      <c r="S191" s="50"/>
      <c r="T191" s="48"/>
      <c r="U191" s="82"/>
      <c r="V191" s="26"/>
      <c r="W191" s="200"/>
      <c r="X191" s="17"/>
    </row>
    <row r="192" spans="2:24" x14ac:dyDescent="0.25">
      <c r="B192" s="17">
        <v>190</v>
      </c>
      <c r="C192" s="10"/>
      <c r="D192" s="10"/>
      <c r="E192" s="72"/>
      <c r="F192" s="18"/>
      <c r="G192" s="10"/>
      <c r="H192" s="10"/>
      <c r="I192" s="10"/>
      <c r="J192" s="11"/>
      <c r="K192" s="11">
        <f t="shared" si="195"/>
        <v>0</v>
      </c>
      <c r="L192" s="37">
        <f t="shared" si="196"/>
        <v>0</v>
      </c>
      <c r="M192" s="11"/>
      <c r="N192" s="10"/>
      <c r="O192" s="21"/>
      <c r="P192" s="21"/>
      <c r="Q192" s="21"/>
      <c r="R192" s="23"/>
      <c r="S192" s="50"/>
      <c r="T192" s="48"/>
      <c r="U192" s="82"/>
      <c r="V192" s="26"/>
      <c r="W192" s="200"/>
      <c r="X192" s="17"/>
    </row>
    <row r="193" spans="2:24" x14ac:dyDescent="0.25">
      <c r="B193" s="17">
        <v>191</v>
      </c>
      <c r="C193" s="10"/>
      <c r="D193" s="10"/>
      <c r="E193" s="72"/>
      <c r="F193" s="18"/>
      <c r="G193" s="10"/>
      <c r="H193" s="10"/>
      <c r="I193" s="10"/>
      <c r="J193" s="11"/>
      <c r="K193" s="11">
        <f t="shared" si="195"/>
        <v>0</v>
      </c>
      <c r="L193" s="37">
        <f t="shared" si="196"/>
        <v>0</v>
      </c>
      <c r="M193" s="11"/>
      <c r="N193" s="10"/>
      <c r="O193" s="21"/>
      <c r="P193" s="21"/>
      <c r="Q193" s="21"/>
      <c r="R193" s="23"/>
      <c r="S193" s="50"/>
      <c r="T193" s="48"/>
      <c r="U193" s="82"/>
      <c r="V193" s="32"/>
      <c r="W193" s="200"/>
      <c r="X193" s="17"/>
    </row>
    <row r="194" spans="2:24" x14ac:dyDescent="0.25">
      <c r="B194" s="17">
        <v>192</v>
      </c>
      <c r="C194" s="10"/>
      <c r="D194" s="10"/>
      <c r="E194" s="72"/>
      <c r="F194" s="18"/>
      <c r="G194" s="10"/>
      <c r="H194" s="10"/>
      <c r="I194" s="10"/>
      <c r="J194" s="11"/>
      <c r="K194" s="11">
        <f t="shared" si="195"/>
        <v>0</v>
      </c>
      <c r="L194" s="37">
        <f t="shared" si="196"/>
        <v>0</v>
      </c>
      <c r="M194" s="11"/>
      <c r="N194" s="10"/>
      <c r="O194" s="21"/>
      <c r="P194" s="21"/>
      <c r="Q194" s="21"/>
      <c r="R194" s="23"/>
      <c r="S194" s="50"/>
      <c r="T194" s="48"/>
      <c r="U194" s="82"/>
      <c r="V194" s="32"/>
      <c r="W194" s="200"/>
      <c r="X194" s="17"/>
    </row>
    <row r="195" spans="2:24" x14ac:dyDescent="0.25">
      <c r="B195" s="17">
        <v>193</v>
      </c>
      <c r="C195" s="10"/>
      <c r="D195" s="10"/>
      <c r="E195" s="72"/>
      <c r="F195" s="18"/>
      <c r="G195" s="10"/>
      <c r="H195" s="10"/>
      <c r="I195" s="10"/>
      <c r="J195" s="11"/>
      <c r="K195" s="11">
        <f t="shared" si="195"/>
        <v>0</v>
      </c>
      <c r="L195" s="37">
        <f t="shared" si="196"/>
        <v>0</v>
      </c>
      <c r="M195" s="11"/>
      <c r="N195" s="10"/>
      <c r="O195" s="21"/>
      <c r="P195" s="21"/>
      <c r="Q195" s="21"/>
      <c r="R195" s="23"/>
      <c r="S195" s="50"/>
      <c r="T195" s="48"/>
      <c r="U195" s="82"/>
      <c r="V195" s="26"/>
      <c r="W195" s="200"/>
      <c r="X195" s="17"/>
    </row>
    <row r="196" spans="2:24" x14ac:dyDescent="0.25">
      <c r="B196" s="17">
        <v>194</v>
      </c>
      <c r="C196" s="10"/>
      <c r="D196" s="10"/>
      <c r="E196" s="72"/>
      <c r="F196" s="18"/>
      <c r="G196" s="10"/>
      <c r="H196" s="10"/>
      <c r="I196" s="10"/>
      <c r="J196" s="11"/>
      <c r="K196" s="11">
        <f t="shared" ref="K196:K259" si="197">J196*1.1</f>
        <v>0</v>
      </c>
      <c r="L196" s="37">
        <f t="shared" ref="L196:L259" si="198">J196*0.00000001</f>
        <v>0</v>
      </c>
      <c r="M196" s="11"/>
      <c r="N196" s="10"/>
      <c r="O196" s="21"/>
      <c r="P196" s="21"/>
      <c r="Q196" s="21"/>
      <c r="R196" s="23"/>
      <c r="S196" s="50"/>
      <c r="T196" s="48"/>
      <c r="U196" s="82"/>
      <c r="V196" s="26"/>
      <c r="W196" s="200"/>
      <c r="X196" s="17"/>
    </row>
    <row r="197" spans="2:24" x14ac:dyDescent="0.25">
      <c r="B197" s="17">
        <v>195</v>
      </c>
      <c r="C197" s="10"/>
      <c r="D197" s="10"/>
      <c r="E197" s="72"/>
      <c r="F197" s="18"/>
      <c r="G197" s="10"/>
      <c r="H197" s="10"/>
      <c r="I197" s="10"/>
      <c r="J197" s="11"/>
      <c r="K197" s="11">
        <f t="shared" si="197"/>
        <v>0</v>
      </c>
      <c r="L197" s="37">
        <f t="shared" si="198"/>
        <v>0</v>
      </c>
      <c r="M197" s="11"/>
      <c r="N197" s="10"/>
      <c r="O197" s="21"/>
      <c r="P197" s="21"/>
      <c r="Q197" s="21"/>
      <c r="R197" s="23"/>
      <c r="S197" s="50"/>
      <c r="T197" s="48"/>
      <c r="U197" s="82"/>
      <c r="V197" s="26"/>
      <c r="W197" s="200"/>
      <c r="X197" s="17"/>
    </row>
    <row r="198" spans="2:24" x14ac:dyDescent="0.25">
      <c r="B198" s="17">
        <v>196</v>
      </c>
      <c r="C198" s="10"/>
      <c r="D198" s="10"/>
      <c r="E198" s="72"/>
      <c r="F198" s="18"/>
      <c r="G198" s="10"/>
      <c r="H198" s="10"/>
      <c r="I198" s="10"/>
      <c r="J198" s="11"/>
      <c r="K198" s="11">
        <f t="shared" si="197"/>
        <v>0</v>
      </c>
      <c r="L198" s="37">
        <f t="shared" si="198"/>
        <v>0</v>
      </c>
      <c r="M198" s="11"/>
      <c r="N198" s="10"/>
      <c r="O198" s="21"/>
      <c r="P198" s="21"/>
      <c r="Q198" s="21"/>
      <c r="R198" s="23"/>
      <c r="S198" s="50"/>
      <c r="T198" s="48"/>
      <c r="U198" s="82"/>
      <c r="V198" s="26"/>
      <c r="W198" s="200"/>
      <c r="X198" s="17"/>
    </row>
    <row r="199" spans="2:24" x14ac:dyDescent="0.25">
      <c r="B199" s="17">
        <v>197</v>
      </c>
      <c r="C199" s="10"/>
      <c r="D199" s="10"/>
      <c r="E199" s="72"/>
      <c r="F199" s="18"/>
      <c r="G199" s="10"/>
      <c r="H199" s="10"/>
      <c r="I199" s="10"/>
      <c r="J199" s="11"/>
      <c r="K199" s="11">
        <f t="shared" si="197"/>
        <v>0</v>
      </c>
      <c r="L199" s="37">
        <f t="shared" si="198"/>
        <v>0</v>
      </c>
      <c r="M199" s="11"/>
      <c r="N199" s="10"/>
      <c r="O199" s="21"/>
      <c r="P199" s="21"/>
      <c r="Q199" s="21"/>
      <c r="R199" s="23"/>
      <c r="S199" s="50"/>
      <c r="T199" s="48"/>
      <c r="U199" s="82"/>
      <c r="V199" s="26"/>
      <c r="W199" s="200"/>
      <c r="X199" s="17"/>
    </row>
    <row r="200" spans="2:24" x14ac:dyDescent="0.25">
      <c r="B200" s="17">
        <v>198</v>
      </c>
      <c r="C200" s="10"/>
      <c r="D200" s="10"/>
      <c r="E200" s="72"/>
      <c r="F200" s="18"/>
      <c r="G200" s="10"/>
      <c r="H200" s="10"/>
      <c r="I200" s="10"/>
      <c r="J200" s="11"/>
      <c r="K200" s="11">
        <f t="shared" si="197"/>
        <v>0</v>
      </c>
      <c r="L200" s="37">
        <f t="shared" si="198"/>
        <v>0</v>
      </c>
      <c r="M200" s="11"/>
      <c r="N200" s="10"/>
      <c r="O200" s="21"/>
      <c r="P200" s="21"/>
      <c r="Q200" s="21"/>
      <c r="R200" s="23"/>
      <c r="S200" s="50"/>
      <c r="T200" s="48"/>
      <c r="U200" s="82"/>
      <c r="V200" s="32"/>
      <c r="W200" s="200"/>
      <c r="X200" s="17"/>
    </row>
    <row r="201" spans="2:24" x14ac:dyDescent="0.25">
      <c r="B201" s="17">
        <v>199</v>
      </c>
      <c r="C201" s="10"/>
      <c r="D201" s="10"/>
      <c r="E201" s="72"/>
      <c r="F201" s="18"/>
      <c r="G201" s="10"/>
      <c r="H201" s="10"/>
      <c r="I201" s="10"/>
      <c r="J201" s="11"/>
      <c r="K201" s="11">
        <f t="shared" si="197"/>
        <v>0</v>
      </c>
      <c r="L201" s="37">
        <f t="shared" si="198"/>
        <v>0</v>
      </c>
      <c r="M201" s="11"/>
      <c r="N201" s="10"/>
      <c r="O201" s="21"/>
      <c r="P201" s="21"/>
      <c r="Q201" s="21"/>
      <c r="R201" s="23"/>
      <c r="S201" s="50"/>
      <c r="T201" s="48"/>
      <c r="U201" s="82"/>
      <c r="V201" s="32"/>
      <c r="W201" s="200"/>
      <c r="X201" s="17"/>
    </row>
    <row r="202" spans="2:24" x14ac:dyDescent="0.25">
      <c r="B202" s="17">
        <v>200</v>
      </c>
      <c r="C202" s="10"/>
      <c r="D202" s="10"/>
      <c r="E202" s="72"/>
      <c r="F202" s="18"/>
      <c r="G202" s="10"/>
      <c r="H202" s="10"/>
      <c r="I202" s="10"/>
      <c r="J202" s="11"/>
      <c r="K202" s="11">
        <f t="shared" si="197"/>
        <v>0</v>
      </c>
      <c r="L202" s="37">
        <f t="shared" si="198"/>
        <v>0</v>
      </c>
      <c r="M202" s="11"/>
      <c r="N202" s="10"/>
      <c r="O202" s="21"/>
      <c r="P202" s="21"/>
      <c r="Q202" s="21"/>
      <c r="R202" s="23"/>
      <c r="S202" s="50"/>
      <c r="T202" s="48"/>
      <c r="U202" s="82"/>
      <c r="V202" s="32"/>
      <c r="W202" s="200"/>
      <c r="X202" s="17"/>
    </row>
    <row r="203" spans="2:24" x14ac:dyDescent="0.25">
      <c r="B203" s="17">
        <v>201</v>
      </c>
      <c r="C203" s="10"/>
      <c r="D203" s="10"/>
      <c r="E203" s="72"/>
      <c r="F203" s="18"/>
      <c r="G203" s="10"/>
      <c r="H203" s="10"/>
      <c r="I203" s="10"/>
      <c r="J203" s="11"/>
      <c r="K203" s="11">
        <f t="shared" si="197"/>
        <v>0</v>
      </c>
      <c r="L203" s="37">
        <f t="shared" si="198"/>
        <v>0</v>
      </c>
      <c r="M203" s="11"/>
      <c r="N203" s="10"/>
      <c r="O203" s="21"/>
      <c r="P203" s="21"/>
      <c r="Q203" s="21"/>
      <c r="R203" s="23"/>
      <c r="S203" s="50"/>
      <c r="T203" s="48"/>
      <c r="U203" s="82"/>
      <c r="V203" s="32"/>
      <c r="W203" s="200"/>
      <c r="X203" s="17"/>
    </row>
    <row r="204" spans="2:24" x14ac:dyDescent="0.25">
      <c r="B204" s="17">
        <v>202</v>
      </c>
      <c r="C204" s="10"/>
      <c r="D204" s="10"/>
      <c r="E204" s="72"/>
      <c r="F204" s="18"/>
      <c r="G204" s="10"/>
      <c r="H204" s="10"/>
      <c r="I204" s="10"/>
      <c r="J204" s="11"/>
      <c r="K204" s="11">
        <f t="shared" si="197"/>
        <v>0</v>
      </c>
      <c r="L204" s="37">
        <f t="shared" si="198"/>
        <v>0</v>
      </c>
      <c r="M204" s="11"/>
      <c r="N204" s="10"/>
      <c r="O204" s="21"/>
      <c r="P204" s="21"/>
      <c r="Q204" s="21"/>
      <c r="R204" s="23"/>
      <c r="S204" s="50"/>
      <c r="T204" s="48"/>
      <c r="U204" s="82"/>
      <c r="V204" s="26"/>
      <c r="W204" s="200"/>
      <c r="X204" s="17"/>
    </row>
    <row r="205" spans="2:24" x14ac:dyDescent="0.25">
      <c r="B205" s="17">
        <v>203</v>
      </c>
      <c r="C205" s="10"/>
      <c r="D205" s="10"/>
      <c r="E205" s="72"/>
      <c r="F205" s="18"/>
      <c r="G205" s="10"/>
      <c r="H205" s="10"/>
      <c r="I205" s="10"/>
      <c r="J205" s="11"/>
      <c r="K205" s="11">
        <f t="shared" si="197"/>
        <v>0</v>
      </c>
      <c r="L205" s="37">
        <f t="shared" si="198"/>
        <v>0</v>
      </c>
      <c r="M205" s="11"/>
      <c r="N205" s="10"/>
      <c r="O205" s="21"/>
      <c r="P205" s="21"/>
      <c r="Q205" s="21"/>
      <c r="R205" s="23"/>
      <c r="S205" s="50"/>
      <c r="T205" s="48"/>
      <c r="U205" s="82"/>
      <c r="V205" s="26"/>
      <c r="W205" s="200"/>
      <c r="X205" s="17"/>
    </row>
    <row r="206" spans="2:24" x14ac:dyDescent="0.25">
      <c r="B206" s="17">
        <v>204</v>
      </c>
      <c r="C206" s="10"/>
      <c r="D206" s="10"/>
      <c r="E206" s="72"/>
      <c r="F206" s="18"/>
      <c r="G206" s="10"/>
      <c r="H206" s="10"/>
      <c r="I206" s="10"/>
      <c r="J206" s="11"/>
      <c r="K206" s="11">
        <f t="shared" si="197"/>
        <v>0</v>
      </c>
      <c r="L206" s="37">
        <f t="shared" si="198"/>
        <v>0</v>
      </c>
      <c r="M206" s="11"/>
      <c r="N206" s="10"/>
      <c r="O206" s="21"/>
      <c r="P206" s="21"/>
      <c r="Q206" s="21"/>
      <c r="R206" s="23"/>
      <c r="S206" s="50"/>
      <c r="T206" s="48"/>
      <c r="U206" s="82"/>
      <c r="V206" s="26"/>
      <c r="W206" s="200"/>
      <c r="X206" s="17"/>
    </row>
    <row r="207" spans="2:24" x14ac:dyDescent="0.25">
      <c r="B207" s="17">
        <v>205</v>
      </c>
      <c r="C207" s="10"/>
      <c r="D207" s="10"/>
      <c r="E207" s="72"/>
      <c r="F207" s="18"/>
      <c r="G207" s="10"/>
      <c r="H207" s="10"/>
      <c r="I207" s="10"/>
      <c r="J207" s="11"/>
      <c r="K207" s="11">
        <f t="shared" si="197"/>
        <v>0</v>
      </c>
      <c r="L207" s="37">
        <f t="shared" si="198"/>
        <v>0</v>
      </c>
      <c r="M207" s="11"/>
      <c r="N207" s="10"/>
      <c r="O207" s="21"/>
      <c r="P207" s="21"/>
      <c r="Q207" s="21"/>
      <c r="R207" s="23"/>
      <c r="S207" s="50"/>
      <c r="T207" s="48"/>
      <c r="U207" s="82"/>
      <c r="V207" s="26"/>
      <c r="W207" s="200"/>
      <c r="X207" s="17"/>
    </row>
    <row r="208" spans="2:24" x14ac:dyDescent="0.25">
      <c r="B208" s="17">
        <v>206</v>
      </c>
      <c r="C208" s="10"/>
      <c r="D208" s="10"/>
      <c r="E208" s="72"/>
      <c r="F208" s="18"/>
      <c r="G208" s="10"/>
      <c r="H208" s="10"/>
      <c r="I208" s="10"/>
      <c r="J208" s="11"/>
      <c r="K208" s="11">
        <f t="shared" si="197"/>
        <v>0</v>
      </c>
      <c r="L208" s="37">
        <f t="shared" si="198"/>
        <v>0</v>
      </c>
      <c r="M208" s="11"/>
      <c r="N208" s="10"/>
      <c r="O208" s="21"/>
      <c r="P208" s="21"/>
      <c r="Q208" s="21"/>
      <c r="R208" s="23"/>
      <c r="S208" s="50"/>
      <c r="T208" s="48"/>
      <c r="U208" s="82"/>
      <c r="V208" s="26"/>
      <c r="W208" s="200"/>
      <c r="X208" s="17"/>
    </row>
    <row r="209" spans="2:24" x14ac:dyDescent="0.25">
      <c r="B209" s="17">
        <v>207</v>
      </c>
      <c r="C209" s="10"/>
      <c r="D209" s="10"/>
      <c r="E209" s="72"/>
      <c r="F209" s="18"/>
      <c r="G209" s="10"/>
      <c r="H209" s="10"/>
      <c r="I209" s="10"/>
      <c r="J209" s="11"/>
      <c r="K209" s="11">
        <f t="shared" si="197"/>
        <v>0</v>
      </c>
      <c r="L209" s="37">
        <f t="shared" si="198"/>
        <v>0</v>
      </c>
      <c r="M209" s="11"/>
      <c r="N209" s="10"/>
      <c r="O209" s="21"/>
      <c r="P209" s="21"/>
      <c r="Q209" s="21"/>
      <c r="R209" s="23"/>
      <c r="S209" s="50"/>
      <c r="T209" s="48"/>
      <c r="U209" s="82"/>
      <c r="V209" s="32"/>
      <c r="W209" s="200"/>
      <c r="X209" s="17"/>
    </row>
    <row r="210" spans="2:24" x14ac:dyDescent="0.25">
      <c r="B210" s="17">
        <v>208</v>
      </c>
      <c r="C210" s="10"/>
      <c r="D210" s="10"/>
      <c r="E210" s="72"/>
      <c r="F210" s="18"/>
      <c r="G210" s="10"/>
      <c r="H210" s="10"/>
      <c r="I210" s="10"/>
      <c r="J210" s="11"/>
      <c r="K210" s="11">
        <f t="shared" si="197"/>
        <v>0</v>
      </c>
      <c r="L210" s="37">
        <f t="shared" si="198"/>
        <v>0</v>
      </c>
      <c r="M210" s="11"/>
      <c r="N210" s="10"/>
      <c r="O210" s="21"/>
      <c r="P210" s="21"/>
      <c r="Q210" s="21"/>
      <c r="R210" s="23"/>
      <c r="S210" s="50"/>
      <c r="T210" s="48"/>
      <c r="U210" s="82"/>
      <c r="V210" s="32"/>
      <c r="W210" s="200"/>
      <c r="X210" s="17"/>
    </row>
    <row r="211" spans="2:24" x14ac:dyDescent="0.25">
      <c r="B211" s="17">
        <v>209</v>
      </c>
      <c r="C211" s="10"/>
      <c r="D211" s="10"/>
      <c r="E211" s="72"/>
      <c r="F211" s="18"/>
      <c r="G211" s="10"/>
      <c r="H211" s="10"/>
      <c r="I211" s="10"/>
      <c r="J211" s="11"/>
      <c r="K211" s="11">
        <f t="shared" si="197"/>
        <v>0</v>
      </c>
      <c r="L211" s="37">
        <f t="shared" si="198"/>
        <v>0</v>
      </c>
      <c r="M211" s="11"/>
      <c r="N211" s="10"/>
      <c r="O211" s="21"/>
      <c r="P211" s="21"/>
      <c r="Q211" s="21"/>
      <c r="R211" s="23"/>
      <c r="S211" s="50"/>
      <c r="T211" s="48"/>
      <c r="U211" s="82"/>
      <c r="V211" s="26"/>
      <c r="W211" s="200"/>
      <c r="X211" s="17"/>
    </row>
    <row r="212" spans="2:24" x14ac:dyDescent="0.25">
      <c r="B212" s="17">
        <v>210</v>
      </c>
      <c r="C212" s="10"/>
      <c r="D212" s="10"/>
      <c r="E212" s="72"/>
      <c r="F212" s="18"/>
      <c r="G212" s="10"/>
      <c r="H212" s="10"/>
      <c r="I212" s="10"/>
      <c r="J212" s="11"/>
      <c r="K212" s="11">
        <f t="shared" si="197"/>
        <v>0</v>
      </c>
      <c r="L212" s="37">
        <f t="shared" si="198"/>
        <v>0</v>
      </c>
      <c r="M212" s="11"/>
      <c r="N212" s="10"/>
      <c r="O212" s="21"/>
      <c r="P212" s="21"/>
      <c r="Q212" s="21"/>
      <c r="R212" s="23"/>
      <c r="S212" s="50"/>
      <c r="T212" s="48"/>
      <c r="U212" s="82"/>
      <c r="V212" s="26"/>
      <c r="W212" s="200"/>
      <c r="X212" s="17"/>
    </row>
    <row r="213" spans="2:24" x14ac:dyDescent="0.25">
      <c r="B213" s="17">
        <v>211</v>
      </c>
      <c r="C213" s="10"/>
      <c r="D213" s="10"/>
      <c r="E213" s="72"/>
      <c r="F213" s="18"/>
      <c r="G213" s="10"/>
      <c r="H213" s="10"/>
      <c r="I213" s="10"/>
      <c r="J213" s="11"/>
      <c r="K213" s="11">
        <f t="shared" si="197"/>
        <v>0</v>
      </c>
      <c r="L213" s="37">
        <f t="shared" si="198"/>
        <v>0</v>
      </c>
      <c r="M213" s="11"/>
      <c r="N213" s="10"/>
      <c r="O213" s="21"/>
      <c r="P213" s="21"/>
      <c r="Q213" s="21"/>
      <c r="R213" s="23"/>
      <c r="S213" s="50"/>
      <c r="T213" s="48"/>
      <c r="U213" s="82"/>
      <c r="V213" s="26"/>
      <c r="W213" s="200"/>
      <c r="X213" s="17"/>
    </row>
    <row r="214" spans="2:24" x14ac:dyDescent="0.25">
      <c r="B214" s="17">
        <v>212</v>
      </c>
      <c r="C214" s="10"/>
      <c r="D214" s="10"/>
      <c r="E214" s="72"/>
      <c r="F214" s="18"/>
      <c r="G214" s="10"/>
      <c r="H214" s="10"/>
      <c r="I214" s="10"/>
      <c r="J214" s="11"/>
      <c r="K214" s="11">
        <f t="shared" si="197"/>
        <v>0</v>
      </c>
      <c r="L214" s="37">
        <f t="shared" si="198"/>
        <v>0</v>
      </c>
      <c r="M214" s="11"/>
      <c r="N214" s="10"/>
      <c r="O214" s="21"/>
      <c r="P214" s="21"/>
      <c r="Q214" s="21"/>
      <c r="R214" s="23"/>
      <c r="S214" s="50"/>
      <c r="T214" s="48"/>
      <c r="U214" s="82"/>
      <c r="V214" s="26"/>
      <c r="W214" s="200"/>
      <c r="X214" s="17"/>
    </row>
    <row r="215" spans="2:24" x14ac:dyDescent="0.25">
      <c r="B215" s="17">
        <v>213</v>
      </c>
      <c r="C215" s="10"/>
      <c r="D215" s="10"/>
      <c r="E215" s="72"/>
      <c r="F215" s="18"/>
      <c r="G215" s="10"/>
      <c r="H215" s="10"/>
      <c r="I215" s="10"/>
      <c r="J215" s="11"/>
      <c r="K215" s="11">
        <f t="shared" si="197"/>
        <v>0</v>
      </c>
      <c r="L215" s="37">
        <f t="shared" si="198"/>
        <v>0</v>
      </c>
      <c r="M215" s="11"/>
      <c r="N215" s="10"/>
      <c r="O215" s="21"/>
      <c r="P215" s="21"/>
      <c r="Q215" s="21"/>
      <c r="R215" s="23"/>
      <c r="S215" s="50"/>
      <c r="T215" s="48"/>
      <c r="U215" s="82"/>
      <c r="V215" s="26"/>
      <c r="W215" s="200"/>
      <c r="X215" s="17"/>
    </row>
    <row r="216" spans="2:24" x14ac:dyDescent="0.25">
      <c r="B216" s="17">
        <v>214</v>
      </c>
      <c r="C216" s="10"/>
      <c r="D216" s="10"/>
      <c r="E216" s="72"/>
      <c r="F216" s="18"/>
      <c r="G216" s="10"/>
      <c r="H216" s="10"/>
      <c r="I216" s="10"/>
      <c r="J216" s="11"/>
      <c r="K216" s="11">
        <f t="shared" si="197"/>
        <v>0</v>
      </c>
      <c r="L216" s="37">
        <f t="shared" si="198"/>
        <v>0</v>
      </c>
      <c r="M216" s="11"/>
      <c r="N216" s="10"/>
      <c r="O216" s="21"/>
      <c r="P216" s="21"/>
      <c r="Q216" s="21"/>
      <c r="R216" s="23"/>
      <c r="S216" s="50"/>
      <c r="T216" s="48"/>
      <c r="U216" s="82"/>
      <c r="V216" s="32"/>
      <c r="W216" s="200"/>
      <c r="X216" s="17"/>
    </row>
    <row r="217" spans="2:24" x14ac:dyDescent="0.25">
      <c r="B217" s="17">
        <v>215</v>
      </c>
      <c r="C217" s="10"/>
      <c r="D217" s="10"/>
      <c r="E217" s="72"/>
      <c r="F217" s="18"/>
      <c r="G217" s="10"/>
      <c r="H217" s="10"/>
      <c r="I217" s="10"/>
      <c r="J217" s="11"/>
      <c r="K217" s="11">
        <f t="shared" si="197"/>
        <v>0</v>
      </c>
      <c r="L217" s="37">
        <f t="shared" si="198"/>
        <v>0</v>
      </c>
      <c r="M217" s="11"/>
      <c r="N217" s="10"/>
      <c r="O217" s="21"/>
      <c r="P217" s="21"/>
      <c r="Q217" s="21"/>
      <c r="R217" s="23"/>
      <c r="S217" s="50"/>
      <c r="T217" s="48"/>
      <c r="U217" s="82"/>
      <c r="V217" s="32"/>
      <c r="W217" s="200"/>
      <c r="X217" s="17"/>
    </row>
    <row r="218" spans="2:24" x14ac:dyDescent="0.25">
      <c r="B218" s="17">
        <v>216</v>
      </c>
      <c r="C218" s="10"/>
      <c r="D218" s="10"/>
      <c r="E218" s="72"/>
      <c r="F218" s="18"/>
      <c r="G218" s="10"/>
      <c r="H218" s="10"/>
      <c r="I218" s="10"/>
      <c r="J218" s="11"/>
      <c r="K218" s="11">
        <f t="shared" si="197"/>
        <v>0</v>
      </c>
      <c r="L218" s="37">
        <f t="shared" si="198"/>
        <v>0</v>
      </c>
      <c r="M218" s="11"/>
      <c r="N218" s="10"/>
      <c r="O218" s="21"/>
      <c r="P218" s="21"/>
      <c r="Q218" s="21"/>
      <c r="R218" s="23"/>
      <c r="S218" s="50"/>
      <c r="T218" s="48"/>
      <c r="U218" s="82"/>
      <c r="V218" s="32"/>
      <c r="W218" s="200"/>
      <c r="X218" s="17"/>
    </row>
    <row r="219" spans="2:24" x14ac:dyDescent="0.25">
      <c r="B219" s="17">
        <v>217</v>
      </c>
      <c r="C219" s="10"/>
      <c r="D219" s="10"/>
      <c r="E219" s="72"/>
      <c r="F219" s="18"/>
      <c r="G219" s="10"/>
      <c r="H219" s="10"/>
      <c r="I219" s="10"/>
      <c r="J219" s="11"/>
      <c r="K219" s="11">
        <f t="shared" si="197"/>
        <v>0</v>
      </c>
      <c r="L219" s="37">
        <f t="shared" si="198"/>
        <v>0</v>
      </c>
      <c r="M219" s="11"/>
      <c r="N219" s="10"/>
      <c r="O219" s="21"/>
      <c r="P219" s="21"/>
      <c r="Q219" s="21"/>
      <c r="R219" s="23"/>
      <c r="S219" s="50"/>
      <c r="T219" s="48"/>
      <c r="U219" s="82"/>
      <c r="V219" s="32"/>
      <c r="W219" s="200"/>
      <c r="X219" s="17"/>
    </row>
    <row r="220" spans="2:24" x14ac:dyDescent="0.25">
      <c r="B220" s="17">
        <v>218</v>
      </c>
      <c r="C220" s="10"/>
      <c r="D220" s="10"/>
      <c r="E220" s="72"/>
      <c r="F220" s="18"/>
      <c r="G220" s="10"/>
      <c r="H220" s="10"/>
      <c r="I220" s="10"/>
      <c r="J220" s="11"/>
      <c r="K220" s="11">
        <f t="shared" si="197"/>
        <v>0</v>
      </c>
      <c r="L220" s="37">
        <f t="shared" si="198"/>
        <v>0</v>
      </c>
      <c r="M220" s="11"/>
      <c r="N220" s="10"/>
      <c r="O220" s="21"/>
      <c r="P220" s="21"/>
      <c r="Q220" s="21"/>
      <c r="R220" s="23"/>
      <c r="S220" s="50"/>
      <c r="T220" s="48"/>
      <c r="U220" s="82"/>
      <c r="V220" s="26"/>
      <c r="W220" s="200"/>
      <c r="X220" s="17"/>
    </row>
    <row r="221" spans="2:24" x14ac:dyDescent="0.25">
      <c r="B221" s="17">
        <v>219</v>
      </c>
      <c r="C221" s="10"/>
      <c r="D221" s="10"/>
      <c r="E221" s="72"/>
      <c r="F221" s="18"/>
      <c r="G221" s="10"/>
      <c r="H221" s="10"/>
      <c r="I221" s="10"/>
      <c r="J221" s="11"/>
      <c r="K221" s="11">
        <f t="shared" si="197"/>
        <v>0</v>
      </c>
      <c r="L221" s="37">
        <f t="shared" si="198"/>
        <v>0</v>
      </c>
      <c r="M221" s="11"/>
      <c r="N221" s="10"/>
      <c r="O221" s="21"/>
      <c r="P221" s="21"/>
      <c r="Q221" s="21"/>
      <c r="R221" s="23"/>
      <c r="S221" s="50"/>
      <c r="T221" s="48"/>
      <c r="U221" s="82"/>
      <c r="V221" s="26"/>
      <c r="W221" s="200"/>
      <c r="X221" s="17"/>
    </row>
    <row r="222" spans="2:24" x14ac:dyDescent="0.25">
      <c r="B222" s="17">
        <v>220</v>
      </c>
      <c r="C222" s="10"/>
      <c r="D222" s="10"/>
      <c r="E222" s="72"/>
      <c r="F222" s="18"/>
      <c r="G222" s="10"/>
      <c r="H222" s="10"/>
      <c r="I222" s="10"/>
      <c r="J222" s="11"/>
      <c r="K222" s="11">
        <f t="shared" si="197"/>
        <v>0</v>
      </c>
      <c r="L222" s="37">
        <f t="shared" si="198"/>
        <v>0</v>
      </c>
      <c r="M222" s="11"/>
      <c r="N222" s="10"/>
      <c r="O222" s="21"/>
      <c r="P222" s="21"/>
      <c r="Q222" s="21"/>
      <c r="R222" s="23"/>
      <c r="S222" s="50"/>
      <c r="T222" s="48"/>
      <c r="U222" s="82"/>
      <c r="V222" s="26"/>
      <c r="W222" s="200"/>
      <c r="X222" s="17"/>
    </row>
    <row r="223" spans="2:24" x14ac:dyDescent="0.25">
      <c r="B223" s="17">
        <v>221</v>
      </c>
      <c r="C223" s="10"/>
      <c r="D223" s="10"/>
      <c r="E223" s="72"/>
      <c r="F223" s="18"/>
      <c r="G223" s="10"/>
      <c r="H223" s="10"/>
      <c r="I223" s="10"/>
      <c r="J223" s="11"/>
      <c r="K223" s="11">
        <f t="shared" si="197"/>
        <v>0</v>
      </c>
      <c r="L223" s="37">
        <f t="shared" si="198"/>
        <v>0</v>
      </c>
      <c r="M223" s="11"/>
      <c r="N223" s="10"/>
      <c r="O223" s="21"/>
      <c r="P223" s="21"/>
      <c r="Q223" s="21"/>
      <c r="R223" s="23"/>
      <c r="S223" s="50"/>
      <c r="T223" s="48"/>
      <c r="U223" s="82"/>
      <c r="V223" s="26"/>
      <c r="W223" s="200"/>
      <c r="X223" s="17"/>
    </row>
    <row r="224" spans="2:24" x14ac:dyDescent="0.25">
      <c r="B224" s="17">
        <v>222</v>
      </c>
      <c r="C224" s="10"/>
      <c r="D224" s="10"/>
      <c r="E224" s="72"/>
      <c r="F224" s="18"/>
      <c r="G224" s="10"/>
      <c r="H224" s="10"/>
      <c r="I224" s="10"/>
      <c r="J224" s="11"/>
      <c r="K224" s="11">
        <f t="shared" si="197"/>
        <v>0</v>
      </c>
      <c r="L224" s="37">
        <f t="shared" si="198"/>
        <v>0</v>
      </c>
      <c r="M224" s="11"/>
      <c r="N224" s="10"/>
      <c r="O224" s="21"/>
      <c r="P224" s="21"/>
      <c r="Q224" s="21"/>
      <c r="R224" s="23"/>
      <c r="S224" s="50"/>
      <c r="T224" s="48"/>
      <c r="U224" s="82"/>
      <c r="V224" s="26"/>
      <c r="W224" s="200"/>
      <c r="X224" s="17"/>
    </row>
    <row r="225" spans="2:24" x14ac:dyDescent="0.25">
      <c r="B225" s="17">
        <v>223</v>
      </c>
      <c r="C225" s="10"/>
      <c r="D225" s="10"/>
      <c r="E225" s="72"/>
      <c r="F225" s="18"/>
      <c r="G225" s="10"/>
      <c r="H225" s="10"/>
      <c r="I225" s="10"/>
      <c r="J225" s="11"/>
      <c r="K225" s="11">
        <f t="shared" si="197"/>
        <v>0</v>
      </c>
      <c r="L225" s="37">
        <f t="shared" si="198"/>
        <v>0</v>
      </c>
      <c r="M225" s="11"/>
      <c r="N225" s="10"/>
      <c r="O225" s="21"/>
      <c r="P225" s="21"/>
      <c r="Q225" s="21"/>
      <c r="R225" s="23"/>
      <c r="S225" s="50"/>
      <c r="T225" s="48"/>
      <c r="U225" s="82"/>
      <c r="V225" s="32"/>
      <c r="W225" s="200"/>
      <c r="X225" s="17"/>
    </row>
    <row r="226" spans="2:24" x14ac:dyDescent="0.25">
      <c r="B226" s="17">
        <v>224</v>
      </c>
      <c r="C226" s="10"/>
      <c r="D226" s="10"/>
      <c r="E226" s="72"/>
      <c r="F226" s="18"/>
      <c r="G226" s="10"/>
      <c r="H226" s="10"/>
      <c r="I226" s="10"/>
      <c r="J226" s="11"/>
      <c r="K226" s="11">
        <f t="shared" si="197"/>
        <v>0</v>
      </c>
      <c r="L226" s="37">
        <f t="shared" si="198"/>
        <v>0</v>
      </c>
      <c r="M226" s="11"/>
      <c r="N226" s="10"/>
      <c r="O226" s="21"/>
      <c r="P226" s="21"/>
      <c r="Q226" s="21"/>
      <c r="R226" s="23"/>
      <c r="S226" s="50"/>
      <c r="T226" s="48"/>
      <c r="U226" s="82"/>
      <c r="V226" s="32"/>
      <c r="W226" s="200"/>
      <c r="X226" s="17"/>
    </row>
    <row r="227" spans="2:24" x14ac:dyDescent="0.25">
      <c r="B227" s="17">
        <v>225</v>
      </c>
      <c r="C227" s="10"/>
      <c r="D227" s="10"/>
      <c r="E227" s="72"/>
      <c r="F227" s="18"/>
      <c r="G227" s="10"/>
      <c r="H227" s="10"/>
      <c r="I227" s="10"/>
      <c r="J227" s="11"/>
      <c r="K227" s="11">
        <f t="shared" si="197"/>
        <v>0</v>
      </c>
      <c r="L227" s="37">
        <f t="shared" si="198"/>
        <v>0</v>
      </c>
      <c r="M227" s="11"/>
      <c r="N227" s="10"/>
      <c r="O227" s="21"/>
      <c r="P227" s="21"/>
      <c r="Q227" s="21"/>
      <c r="R227" s="23"/>
      <c r="S227" s="50"/>
      <c r="T227" s="48"/>
      <c r="U227" s="82"/>
      <c r="V227" s="26"/>
      <c r="W227" s="200"/>
      <c r="X227" s="17"/>
    </row>
    <row r="228" spans="2:24" x14ac:dyDescent="0.25">
      <c r="B228" s="17">
        <v>226</v>
      </c>
      <c r="C228" s="10"/>
      <c r="D228" s="10"/>
      <c r="E228" s="72"/>
      <c r="F228" s="18"/>
      <c r="G228" s="10"/>
      <c r="H228" s="10"/>
      <c r="I228" s="10"/>
      <c r="J228" s="11"/>
      <c r="K228" s="11">
        <f t="shared" si="197"/>
        <v>0</v>
      </c>
      <c r="L228" s="37">
        <f t="shared" si="198"/>
        <v>0</v>
      </c>
      <c r="M228" s="11"/>
      <c r="N228" s="10"/>
      <c r="O228" s="21"/>
      <c r="P228" s="21"/>
      <c r="Q228" s="21"/>
      <c r="R228" s="23"/>
      <c r="S228" s="50"/>
      <c r="T228" s="48"/>
      <c r="U228" s="82"/>
      <c r="V228" s="26"/>
      <c r="W228" s="200"/>
      <c r="X228" s="17"/>
    </row>
    <row r="229" spans="2:24" x14ac:dyDescent="0.25">
      <c r="B229" s="17">
        <v>227</v>
      </c>
      <c r="C229" s="10"/>
      <c r="D229" s="10"/>
      <c r="E229" s="72"/>
      <c r="F229" s="18"/>
      <c r="G229" s="10"/>
      <c r="H229" s="10"/>
      <c r="I229" s="10"/>
      <c r="J229" s="11"/>
      <c r="K229" s="11">
        <f t="shared" si="197"/>
        <v>0</v>
      </c>
      <c r="L229" s="37">
        <f t="shared" si="198"/>
        <v>0</v>
      </c>
      <c r="M229" s="11"/>
      <c r="N229" s="10"/>
      <c r="O229" s="21"/>
      <c r="P229" s="21"/>
      <c r="Q229" s="21"/>
      <c r="R229" s="23"/>
      <c r="S229" s="50"/>
      <c r="T229" s="48"/>
      <c r="U229" s="82"/>
      <c r="V229" s="26"/>
      <c r="W229" s="200"/>
      <c r="X229" s="17"/>
    </row>
    <row r="230" spans="2:24" x14ac:dyDescent="0.25">
      <c r="B230" s="17">
        <v>228</v>
      </c>
      <c r="C230" s="10"/>
      <c r="D230" s="10"/>
      <c r="E230" s="72"/>
      <c r="F230" s="18"/>
      <c r="G230" s="10"/>
      <c r="H230" s="10"/>
      <c r="I230" s="10"/>
      <c r="J230" s="11"/>
      <c r="K230" s="11">
        <f t="shared" si="197"/>
        <v>0</v>
      </c>
      <c r="L230" s="37">
        <f t="shared" si="198"/>
        <v>0</v>
      </c>
      <c r="M230" s="11"/>
      <c r="N230" s="10"/>
      <c r="O230" s="21"/>
      <c r="P230" s="21"/>
      <c r="Q230" s="21"/>
      <c r="R230" s="23"/>
      <c r="S230" s="50"/>
      <c r="T230" s="48"/>
      <c r="U230" s="82"/>
      <c r="V230" s="26"/>
      <c r="W230" s="200"/>
      <c r="X230" s="17"/>
    </row>
    <row r="231" spans="2:24" x14ac:dyDescent="0.25">
      <c r="B231" s="17">
        <v>229</v>
      </c>
      <c r="C231" s="10"/>
      <c r="D231" s="10"/>
      <c r="E231" s="72"/>
      <c r="F231" s="18"/>
      <c r="G231" s="10"/>
      <c r="H231" s="10"/>
      <c r="I231" s="10"/>
      <c r="J231" s="11"/>
      <c r="K231" s="11">
        <f t="shared" si="197"/>
        <v>0</v>
      </c>
      <c r="L231" s="37">
        <f t="shared" si="198"/>
        <v>0</v>
      </c>
      <c r="M231" s="11"/>
      <c r="N231" s="10"/>
      <c r="O231" s="21"/>
      <c r="P231" s="21"/>
      <c r="Q231" s="21"/>
      <c r="R231" s="23"/>
      <c r="S231" s="50"/>
      <c r="T231" s="48"/>
      <c r="U231" s="82"/>
      <c r="V231" s="32"/>
      <c r="W231" s="200"/>
      <c r="X231" s="17"/>
    </row>
    <row r="232" spans="2:24" x14ac:dyDescent="0.25">
      <c r="B232" s="17">
        <v>230</v>
      </c>
      <c r="C232" s="10"/>
      <c r="D232" s="10"/>
      <c r="E232" s="72"/>
      <c r="F232" s="18"/>
      <c r="G232" s="10"/>
      <c r="H232" s="10"/>
      <c r="I232" s="10"/>
      <c r="J232" s="11"/>
      <c r="K232" s="11">
        <f t="shared" si="197"/>
        <v>0</v>
      </c>
      <c r="L232" s="37">
        <f t="shared" si="198"/>
        <v>0</v>
      </c>
      <c r="M232" s="11"/>
      <c r="N232" s="10"/>
      <c r="O232" s="21"/>
      <c r="P232" s="21"/>
      <c r="Q232" s="21"/>
      <c r="R232" s="23"/>
      <c r="S232" s="50"/>
      <c r="T232" s="48"/>
      <c r="U232" s="82"/>
      <c r="V232" s="32"/>
      <c r="W232" s="200"/>
      <c r="X232" s="17"/>
    </row>
    <row r="233" spans="2:24" x14ac:dyDescent="0.25">
      <c r="B233" s="17">
        <v>231</v>
      </c>
      <c r="C233" s="10"/>
      <c r="D233" s="10"/>
      <c r="E233" s="72"/>
      <c r="F233" s="18"/>
      <c r="G233" s="10"/>
      <c r="H233" s="10"/>
      <c r="I233" s="10"/>
      <c r="J233" s="11"/>
      <c r="K233" s="11">
        <f t="shared" si="197"/>
        <v>0</v>
      </c>
      <c r="L233" s="37">
        <f t="shared" si="198"/>
        <v>0</v>
      </c>
      <c r="M233" s="11"/>
      <c r="N233" s="10"/>
      <c r="O233" s="21"/>
      <c r="P233" s="21"/>
      <c r="Q233" s="21"/>
      <c r="R233" s="23"/>
      <c r="S233" s="50"/>
      <c r="T233" s="48"/>
      <c r="U233" s="82"/>
      <c r="V233" s="26"/>
      <c r="W233" s="200"/>
      <c r="X233" s="17"/>
    </row>
    <row r="234" spans="2:24" x14ac:dyDescent="0.25">
      <c r="B234" s="17">
        <v>232</v>
      </c>
      <c r="C234" s="10"/>
      <c r="D234" s="10"/>
      <c r="E234" s="72"/>
      <c r="F234" s="18"/>
      <c r="G234" s="10"/>
      <c r="H234" s="10"/>
      <c r="I234" s="10"/>
      <c r="J234" s="11"/>
      <c r="K234" s="11">
        <f t="shared" si="197"/>
        <v>0</v>
      </c>
      <c r="L234" s="37">
        <f t="shared" si="198"/>
        <v>0</v>
      </c>
      <c r="M234" s="11"/>
      <c r="N234" s="10"/>
      <c r="O234" s="21"/>
      <c r="P234" s="21"/>
      <c r="Q234" s="21"/>
      <c r="R234" s="23"/>
      <c r="S234" s="50"/>
      <c r="T234" s="48"/>
      <c r="U234" s="82"/>
      <c r="V234" s="26"/>
      <c r="W234" s="200"/>
      <c r="X234" s="17"/>
    </row>
    <row r="235" spans="2:24" x14ac:dyDescent="0.25">
      <c r="B235" s="17">
        <v>233</v>
      </c>
      <c r="C235" s="10"/>
      <c r="D235" s="10"/>
      <c r="E235" s="72"/>
      <c r="F235" s="18"/>
      <c r="G235" s="10"/>
      <c r="H235" s="10"/>
      <c r="I235" s="10"/>
      <c r="J235" s="11"/>
      <c r="K235" s="11">
        <f t="shared" si="197"/>
        <v>0</v>
      </c>
      <c r="L235" s="37">
        <f t="shared" si="198"/>
        <v>0</v>
      </c>
      <c r="M235" s="11"/>
      <c r="N235" s="10"/>
      <c r="O235" s="21"/>
      <c r="P235" s="21"/>
      <c r="Q235" s="21"/>
      <c r="R235" s="23"/>
      <c r="S235" s="50"/>
      <c r="T235" s="48"/>
      <c r="U235" s="82"/>
      <c r="V235" s="26"/>
      <c r="W235" s="200"/>
      <c r="X235" s="17"/>
    </row>
    <row r="236" spans="2:24" x14ac:dyDescent="0.25">
      <c r="B236" s="17">
        <v>234</v>
      </c>
      <c r="C236" s="10"/>
      <c r="D236" s="10"/>
      <c r="E236" s="72"/>
      <c r="F236" s="18"/>
      <c r="G236" s="10"/>
      <c r="H236" s="10"/>
      <c r="I236" s="10"/>
      <c r="J236" s="11"/>
      <c r="K236" s="11">
        <f t="shared" si="197"/>
        <v>0</v>
      </c>
      <c r="L236" s="37">
        <f t="shared" si="198"/>
        <v>0</v>
      </c>
      <c r="M236" s="11"/>
      <c r="N236" s="10"/>
      <c r="O236" s="21"/>
      <c r="P236" s="21"/>
      <c r="Q236" s="21"/>
      <c r="R236" s="23"/>
      <c r="S236" s="50"/>
      <c r="T236" s="48"/>
      <c r="U236" s="82"/>
      <c r="V236" s="26"/>
      <c r="W236" s="200"/>
      <c r="X236" s="17"/>
    </row>
    <row r="237" spans="2:24" x14ac:dyDescent="0.25">
      <c r="B237" s="17">
        <v>235</v>
      </c>
      <c r="C237" s="10"/>
      <c r="D237" s="10"/>
      <c r="E237" s="72"/>
      <c r="F237" s="18"/>
      <c r="G237" s="10"/>
      <c r="H237" s="10"/>
      <c r="I237" s="10"/>
      <c r="J237" s="11"/>
      <c r="K237" s="11">
        <f t="shared" si="197"/>
        <v>0</v>
      </c>
      <c r="L237" s="37">
        <f t="shared" si="198"/>
        <v>0</v>
      </c>
      <c r="M237" s="11"/>
      <c r="N237" s="10"/>
      <c r="O237" s="21"/>
      <c r="P237" s="21"/>
      <c r="Q237" s="21"/>
      <c r="R237" s="23"/>
      <c r="S237" s="50"/>
      <c r="T237" s="48"/>
      <c r="U237" s="82"/>
      <c r="V237" s="26"/>
      <c r="W237" s="200"/>
      <c r="X237" s="17"/>
    </row>
    <row r="238" spans="2:24" x14ac:dyDescent="0.25">
      <c r="B238" s="17">
        <v>236</v>
      </c>
      <c r="C238" s="10"/>
      <c r="D238" s="10"/>
      <c r="E238" s="72"/>
      <c r="F238" s="18"/>
      <c r="G238" s="10"/>
      <c r="H238" s="10"/>
      <c r="I238" s="10"/>
      <c r="J238" s="11"/>
      <c r="K238" s="11">
        <f t="shared" si="197"/>
        <v>0</v>
      </c>
      <c r="L238" s="37">
        <f t="shared" si="198"/>
        <v>0</v>
      </c>
      <c r="M238" s="11"/>
      <c r="N238" s="10"/>
      <c r="O238" s="21"/>
      <c r="P238" s="21"/>
      <c r="Q238" s="21"/>
      <c r="R238" s="23"/>
      <c r="S238" s="50"/>
      <c r="T238" s="48"/>
      <c r="U238" s="82"/>
      <c r="V238" s="32"/>
      <c r="W238" s="200"/>
      <c r="X238" s="17"/>
    </row>
    <row r="239" spans="2:24" x14ac:dyDescent="0.25">
      <c r="B239" s="17">
        <v>237</v>
      </c>
      <c r="C239" s="10"/>
      <c r="D239" s="10"/>
      <c r="E239" s="72"/>
      <c r="F239" s="18"/>
      <c r="G239" s="10"/>
      <c r="H239" s="10"/>
      <c r="I239" s="10"/>
      <c r="J239" s="11"/>
      <c r="K239" s="11">
        <f t="shared" si="197"/>
        <v>0</v>
      </c>
      <c r="L239" s="37">
        <f t="shared" si="198"/>
        <v>0</v>
      </c>
      <c r="M239" s="11"/>
      <c r="N239" s="10"/>
      <c r="O239" s="21"/>
      <c r="P239" s="21"/>
      <c r="Q239" s="21"/>
      <c r="R239" s="23"/>
      <c r="S239" s="50"/>
      <c r="T239" s="48"/>
      <c r="U239" s="82"/>
      <c r="V239" s="32"/>
      <c r="W239" s="200"/>
      <c r="X239" s="17"/>
    </row>
    <row r="240" spans="2:24" x14ac:dyDescent="0.25">
      <c r="B240" s="17">
        <v>238</v>
      </c>
      <c r="C240" s="10"/>
      <c r="D240" s="10"/>
      <c r="E240" s="72"/>
      <c r="F240" s="18"/>
      <c r="G240" s="10"/>
      <c r="H240" s="10"/>
      <c r="I240" s="10"/>
      <c r="J240" s="11"/>
      <c r="K240" s="11">
        <f t="shared" si="197"/>
        <v>0</v>
      </c>
      <c r="L240" s="37">
        <f t="shared" si="198"/>
        <v>0</v>
      </c>
      <c r="M240" s="11"/>
      <c r="N240" s="10"/>
      <c r="O240" s="21"/>
      <c r="P240" s="21"/>
      <c r="Q240" s="21"/>
      <c r="R240" s="23"/>
      <c r="S240" s="50"/>
      <c r="T240" s="48"/>
      <c r="U240" s="82"/>
      <c r="V240" s="26"/>
      <c r="W240" s="200"/>
      <c r="X240" s="17"/>
    </row>
    <row r="241" spans="2:24" x14ac:dyDescent="0.25">
      <c r="B241" s="17">
        <v>239</v>
      </c>
      <c r="C241" s="10"/>
      <c r="D241" s="10"/>
      <c r="E241" s="72"/>
      <c r="F241" s="18"/>
      <c r="G241" s="10"/>
      <c r="H241" s="10"/>
      <c r="I241" s="10"/>
      <c r="J241" s="11"/>
      <c r="K241" s="11">
        <f t="shared" si="197"/>
        <v>0</v>
      </c>
      <c r="L241" s="37">
        <f t="shared" si="198"/>
        <v>0</v>
      </c>
      <c r="M241" s="11"/>
      <c r="N241" s="10"/>
      <c r="O241" s="21"/>
      <c r="P241" s="21"/>
      <c r="Q241" s="21"/>
      <c r="R241" s="23"/>
      <c r="S241" s="50"/>
      <c r="T241" s="48"/>
      <c r="U241" s="82"/>
      <c r="V241" s="26"/>
      <c r="W241" s="200"/>
      <c r="X241" s="17"/>
    </row>
    <row r="242" spans="2:24" x14ac:dyDescent="0.25">
      <c r="B242" s="17">
        <v>240</v>
      </c>
      <c r="C242" s="10"/>
      <c r="D242" s="10"/>
      <c r="E242" s="72"/>
      <c r="F242" s="18"/>
      <c r="G242" s="10"/>
      <c r="H242" s="10"/>
      <c r="I242" s="10"/>
      <c r="J242" s="11"/>
      <c r="K242" s="11">
        <f t="shared" si="197"/>
        <v>0</v>
      </c>
      <c r="L242" s="37">
        <f t="shared" si="198"/>
        <v>0</v>
      </c>
      <c r="M242" s="11"/>
      <c r="N242" s="10"/>
      <c r="O242" s="21"/>
      <c r="P242" s="21"/>
      <c r="Q242" s="21"/>
      <c r="R242" s="23"/>
      <c r="S242" s="50"/>
      <c r="T242" s="48"/>
      <c r="U242" s="82"/>
      <c r="V242" s="26"/>
      <c r="W242" s="200"/>
      <c r="X242" s="17"/>
    </row>
    <row r="243" spans="2:24" x14ac:dyDescent="0.25">
      <c r="B243" s="17">
        <v>241</v>
      </c>
      <c r="C243" s="10"/>
      <c r="D243" s="10"/>
      <c r="E243" s="72"/>
      <c r="F243" s="18"/>
      <c r="G243" s="10"/>
      <c r="H243" s="10"/>
      <c r="I243" s="10"/>
      <c r="J243" s="11"/>
      <c r="K243" s="11">
        <f t="shared" si="197"/>
        <v>0</v>
      </c>
      <c r="L243" s="37">
        <f t="shared" si="198"/>
        <v>0</v>
      </c>
      <c r="M243" s="11"/>
      <c r="N243" s="10"/>
      <c r="O243" s="21"/>
      <c r="P243" s="21"/>
      <c r="Q243" s="21"/>
      <c r="R243" s="23"/>
      <c r="S243" s="50"/>
      <c r="T243" s="48"/>
      <c r="U243" s="82"/>
      <c r="V243" s="26"/>
      <c r="W243" s="200"/>
      <c r="X243" s="17"/>
    </row>
    <row r="244" spans="2:24" x14ac:dyDescent="0.25">
      <c r="B244" s="17">
        <v>242</v>
      </c>
      <c r="C244" s="10"/>
      <c r="D244" s="10"/>
      <c r="E244" s="72"/>
      <c r="F244" s="18"/>
      <c r="G244" s="10"/>
      <c r="H244" s="10"/>
      <c r="I244" s="10"/>
      <c r="J244" s="11"/>
      <c r="K244" s="11">
        <f t="shared" si="197"/>
        <v>0</v>
      </c>
      <c r="L244" s="37">
        <f t="shared" si="198"/>
        <v>0</v>
      </c>
      <c r="M244" s="11"/>
      <c r="N244" s="10"/>
      <c r="O244" s="21"/>
      <c r="P244" s="21"/>
      <c r="Q244" s="21"/>
      <c r="R244" s="23"/>
      <c r="S244" s="50"/>
      <c r="T244" s="48"/>
      <c r="U244" s="82"/>
      <c r="V244" s="26"/>
      <c r="W244" s="200"/>
      <c r="X244" s="17"/>
    </row>
    <row r="245" spans="2:24" x14ac:dyDescent="0.25">
      <c r="B245" s="17">
        <v>243</v>
      </c>
      <c r="C245" s="10"/>
      <c r="D245" s="10"/>
      <c r="E245" s="72"/>
      <c r="F245" s="18"/>
      <c r="G245" s="10"/>
      <c r="H245" s="10"/>
      <c r="I245" s="10"/>
      <c r="J245" s="11"/>
      <c r="K245" s="11">
        <f t="shared" si="197"/>
        <v>0</v>
      </c>
      <c r="L245" s="37">
        <f t="shared" si="198"/>
        <v>0</v>
      </c>
      <c r="M245" s="11"/>
      <c r="N245" s="10"/>
      <c r="O245" s="21"/>
      <c r="P245" s="21"/>
      <c r="Q245" s="21"/>
      <c r="R245" s="23"/>
      <c r="S245" s="50"/>
      <c r="T245" s="48"/>
      <c r="U245" s="82"/>
      <c r="V245" s="32"/>
      <c r="W245" s="200"/>
      <c r="X245" s="17"/>
    </row>
    <row r="246" spans="2:24" x14ac:dyDescent="0.25">
      <c r="B246" s="17">
        <v>244</v>
      </c>
      <c r="C246" s="10"/>
      <c r="D246" s="10"/>
      <c r="E246" s="72"/>
      <c r="F246" s="18"/>
      <c r="G246" s="10"/>
      <c r="H246" s="10"/>
      <c r="I246" s="10"/>
      <c r="J246" s="11"/>
      <c r="K246" s="11">
        <f t="shared" si="197"/>
        <v>0</v>
      </c>
      <c r="L246" s="37">
        <f t="shared" si="198"/>
        <v>0</v>
      </c>
      <c r="M246" s="11"/>
      <c r="N246" s="10"/>
      <c r="O246" s="21"/>
      <c r="P246" s="21"/>
      <c r="Q246" s="21"/>
      <c r="R246" s="23"/>
      <c r="S246" s="50"/>
      <c r="T246" s="48"/>
      <c r="U246" s="82"/>
      <c r="V246" s="32"/>
      <c r="W246" s="200"/>
      <c r="X246" s="17"/>
    </row>
    <row r="247" spans="2:24" x14ac:dyDescent="0.25">
      <c r="B247" s="17">
        <v>245</v>
      </c>
      <c r="C247" s="10"/>
      <c r="D247" s="10"/>
      <c r="E247" s="72"/>
      <c r="F247" s="18"/>
      <c r="G247" s="10"/>
      <c r="H247" s="10"/>
      <c r="I247" s="10"/>
      <c r="J247" s="11"/>
      <c r="K247" s="11">
        <f t="shared" si="197"/>
        <v>0</v>
      </c>
      <c r="L247" s="37">
        <f t="shared" si="198"/>
        <v>0</v>
      </c>
      <c r="M247" s="11"/>
      <c r="N247" s="10"/>
      <c r="O247" s="21"/>
      <c r="P247" s="21"/>
      <c r="Q247" s="21"/>
      <c r="R247" s="23"/>
      <c r="S247" s="50"/>
      <c r="T247" s="48"/>
      <c r="U247" s="82"/>
      <c r="V247" s="32"/>
      <c r="W247" s="200"/>
      <c r="X247" s="17"/>
    </row>
    <row r="248" spans="2:24" x14ac:dyDescent="0.25">
      <c r="B248" s="17">
        <v>246</v>
      </c>
      <c r="C248" s="10"/>
      <c r="D248" s="10"/>
      <c r="E248" s="72"/>
      <c r="F248" s="18"/>
      <c r="G248" s="10"/>
      <c r="H248" s="10"/>
      <c r="I248" s="10"/>
      <c r="J248" s="11"/>
      <c r="K248" s="11">
        <f t="shared" si="197"/>
        <v>0</v>
      </c>
      <c r="L248" s="37">
        <f t="shared" si="198"/>
        <v>0</v>
      </c>
      <c r="M248" s="11"/>
      <c r="N248" s="10"/>
      <c r="O248" s="21"/>
      <c r="P248" s="21"/>
      <c r="Q248" s="21"/>
      <c r="R248" s="23"/>
      <c r="S248" s="50"/>
      <c r="T248" s="48"/>
      <c r="U248" s="82"/>
      <c r="V248" s="32"/>
      <c r="W248" s="200"/>
      <c r="X248" s="17"/>
    </row>
    <row r="249" spans="2:24" x14ac:dyDescent="0.25">
      <c r="B249" s="17">
        <v>247</v>
      </c>
      <c r="C249" s="10"/>
      <c r="D249" s="10"/>
      <c r="E249" s="72"/>
      <c r="F249" s="18"/>
      <c r="G249" s="10"/>
      <c r="H249" s="10"/>
      <c r="I249" s="10"/>
      <c r="J249" s="11"/>
      <c r="K249" s="11">
        <f t="shared" si="197"/>
        <v>0</v>
      </c>
      <c r="L249" s="37">
        <f t="shared" si="198"/>
        <v>0</v>
      </c>
      <c r="M249" s="11"/>
      <c r="N249" s="10"/>
      <c r="O249" s="21"/>
      <c r="P249" s="21"/>
      <c r="Q249" s="21"/>
      <c r="R249" s="23"/>
      <c r="S249" s="50"/>
      <c r="T249" s="48"/>
      <c r="U249" s="82"/>
      <c r="V249" s="26"/>
      <c r="W249" s="200"/>
      <c r="X249" s="17"/>
    </row>
    <row r="250" spans="2:24" x14ac:dyDescent="0.25">
      <c r="B250" s="17">
        <v>248</v>
      </c>
      <c r="C250" s="10"/>
      <c r="D250" s="10"/>
      <c r="E250" s="72"/>
      <c r="F250" s="18"/>
      <c r="G250" s="10"/>
      <c r="H250" s="10"/>
      <c r="I250" s="10"/>
      <c r="J250" s="11"/>
      <c r="K250" s="11">
        <f t="shared" si="197"/>
        <v>0</v>
      </c>
      <c r="L250" s="37">
        <f t="shared" si="198"/>
        <v>0</v>
      </c>
      <c r="M250" s="11"/>
      <c r="N250" s="10"/>
      <c r="O250" s="21"/>
      <c r="P250" s="21"/>
      <c r="Q250" s="21"/>
      <c r="R250" s="23"/>
      <c r="S250" s="50"/>
      <c r="T250" s="48"/>
      <c r="U250" s="82"/>
      <c r="V250" s="26"/>
      <c r="W250" s="200"/>
      <c r="X250" s="17"/>
    </row>
    <row r="251" spans="2:24" x14ac:dyDescent="0.25">
      <c r="B251" s="17">
        <v>249</v>
      </c>
      <c r="C251" s="10"/>
      <c r="D251" s="10"/>
      <c r="E251" s="72"/>
      <c r="F251" s="18"/>
      <c r="G251" s="10"/>
      <c r="H251" s="10"/>
      <c r="I251" s="10"/>
      <c r="J251" s="11"/>
      <c r="K251" s="11">
        <f t="shared" si="197"/>
        <v>0</v>
      </c>
      <c r="L251" s="37">
        <f t="shared" si="198"/>
        <v>0</v>
      </c>
      <c r="M251" s="11"/>
      <c r="N251" s="10"/>
      <c r="O251" s="21"/>
      <c r="P251" s="21"/>
      <c r="Q251" s="21"/>
      <c r="R251" s="23"/>
      <c r="S251" s="50"/>
      <c r="T251" s="48"/>
      <c r="U251" s="82"/>
      <c r="V251" s="26"/>
      <c r="W251" s="200"/>
      <c r="X251" s="17"/>
    </row>
    <row r="252" spans="2:24" x14ac:dyDescent="0.25">
      <c r="B252" s="17">
        <v>250</v>
      </c>
      <c r="C252" s="10"/>
      <c r="D252" s="10"/>
      <c r="E252" s="72"/>
      <c r="F252" s="18"/>
      <c r="G252" s="10"/>
      <c r="H252" s="10"/>
      <c r="I252" s="10"/>
      <c r="J252" s="11"/>
      <c r="K252" s="11">
        <f t="shared" si="197"/>
        <v>0</v>
      </c>
      <c r="L252" s="37">
        <f t="shared" si="198"/>
        <v>0</v>
      </c>
      <c r="M252" s="11"/>
      <c r="N252" s="10"/>
      <c r="O252" s="21"/>
      <c r="P252" s="21"/>
      <c r="Q252" s="21"/>
      <c r="R252" s="23"/>
      <c r="S252" s="50"/>
      <c r="T252" s="48"/>
      <c r="U252" s="82"/>
      <c r="V252" s="26"/>
      <c r="W252" s="200"/>
      <c r="X252" s="17"/>
    </row>
    <row r="253" spans="2:24" x14ac:dyDescent="0.25">
      <c r="B253" s="17">
        <v>251</v>
      </c>
      <c r="C253" s="10"/>
      <c r="D253" s="10"/>
      <c r="E253" s="72"/>
      <c r="F253" s="18"/>
      <c r="G253" s="10"/>
      <c r="H253" s="10"/>
      <c r="I253" s="10"/>
      <c r="J253" s="11"/>
      <c r="K253" s="11">
        <f t="shared" si="197"/>
        <v>0</v>
      </c>
      <c r="L253" s="37">
        <f t="shared" si="198"/>
        <v>0</v>
      </c>
      <c r="M253" s="11"/>
      <c r="N253" s="10"/>
      <c r="O253" s="21"/>
      <c r="P253" s="21"/>
      <c r="Q253" s="21"/>
      <c r="R253" s="23"/>
      <c r="S253" s="50"/>
      <c r="T253" s="48"/>
      <c r="U253" s="82"/>
      <c r="V253" s="32"/>
      <c r="W253" s="200"/>
      <c r="X253" s="17"/>
    </row>
    <row r="254" spans="2:24" x14ac:dyDescent="0.25">
      <c r="B254" s="17">
        <v>252</v>
      </c>
      <c r="C254" s="10"/>
      <c r="D254" s="10"/>
      <c r="E254" s="72"/>
      <c r="F254" s="18"/>
      <c r="G254" s="10"/>
      <c r="H254" s="10"/>
      <c r="I254" s="10"/>
      <c r="J254" s="11"/>
      <c r="K254" s="11">
        <f t="shared" si="197"/>
        <v>0</v>
      </c>
      <c r="L254" s="37">
        <f t="shared" si="198"/>
        <v>0</v>
      </c>
      <c r="M254" s="11"/>
      <c r="N254" s="10"/>
      <c r="O254" s="21"/>
      <c r="P254" s="21"/>
      <c r="Q254" s="21"/>
      <c r="R254" s="23"/>
      <c r="S254" s="50"/>
      <c r="T254" s="48"/>
      <c r="U254" s="82"/>
      <c r="V254" s="32"/>
      <c r="W254" s="200"/>
      <c r="X254" s="17"/>
    </row>
    <row r="255" spans="2:24" x14ac:dyDescent="0.25">
      <c r="B255" s="17">
        <v>253</v>
      </c>
      <c r="C255" s="10"/>
      <c r="D255" s="10"/>
      <c r="E255" s="72"/>
      <c r="F255" s="18"/>
      <c r="G255" s="10"/>
      <c r="H255" s="10"/>
      <c r="I255" s="10"/>
      <c r="J255" s="11"/>
      <c r="K255" s="11">
        <f t="shared" si="197"/>
        <v>0</v>
      </c>
      <c r="L255" s="37">
        <f t="shared" si="198"/>
        <v>0</v>
      </c>
      <c r="M255" s="11"/>
      <c r="N255" s="10"/>
      <c r="O255" s="21"/>
      <c r="P255" s="21"/>
      <c r="Q255" s="21"/>
      <c r="R255" s="23"/>
      <c r="S255" s="50"/>
      <c r="T255" s="48"/>
      <c r="U255" s="82"/>
      <c r="V255" s="26"/>
      <c r="W255" s="200"/>
      <c r="X255" s="17"/>
    </row>
    <row r="256" spans="2:24" x14ac:dyDescent="0.25">
      <c r="B256" s="17">
        <v>254</v>
      </c>
      <c r="C256" s="10"/>
      <c r="D256" s="10"/>
      <c r="E256" s="72"/>
      <c r="F256" s="18"/>
      <c r="G256" s="10"/>
      <c r="H256" s="10"/>
      <c r="I256" s="10"/>
      <c r="J256" s="11"/>
      <c r="K256" s="11">
        <f t="shared" si="197"/>
        <v>0</v>
      </c>
      <c r="L256" s="37">
        <f t="shared" si="198"/>
        <v>0</v>
      </c>
      <c r="M256" s="11"/>
      <c r="N256" s="10"/>
      <c r="O256" s="21"/>
      <c r="P256" s="21"/>
      <c r="Q256" s="21"/>
      <c r="R256" s="23"/>
      <c r="S256" s="50"/>
      <c r="T256" s="48"/>
      <c r="U256" s="82"/>
      <c r="V256" s="26"/>
      <c r="W256" s="200"/>
      <c r="X256" s="17"/>
    </row>
    <row r="257" spans="2:24" x14ac:dyDescent="0.25">
      <c r="B257" s="17">
        <v>255</v>
      </c>
      <c r="C257" s="10"/>
      <c r="D257" s="10"/>
      <c r="E257" s="72"/>
      <c r="F257" s="18"/>
      <c r="G257" s="10"/>
      <c r="H257" s="10"/>
      <c r="I257" s="10"/>
      <c r="J257" s="11"/>
      <c r="K257" s="11">
        <f t="shared" si="197"/>
        <v>0</v>
      </c>
      <c r="L257" s="37">
        <f t="shared" si="198"/>
        <v>0</v>
      </c>
      <c r="M257" s="11"/>
      <c r="N257" s="10"/>
      <c r="O257" s="21"/>
      <c r="P257" s="21"/>
      <c r="Q257" s="21"/>
      <c r="R257" s="23"/>
      <c r="S257" s="50"/>
      <c r="T257" s="48"/>
      <c r="U257" s="82"/>
      <c r="V257" s="26"/>
      <c r="W257" s="200"/>
      <c r="X257" s="17"/>
    </row>
    <row r="258" spans="2:24" x14ac:dyDescent="0.25">
      <c r="B258" s="17">
        <v>256</v>
      </c>
      <c r="C258" s="10"/>
      <c r="D258" s="10"/>
      <c r="E258" s="72"/>
      <c r="F258" s="18"/>
      <c r="G258" s="10"/>
      <c r="H258" s="10"/>
      <c r="I258" s="10"/>
      <c r="J258" s="11"/>
      <c r="K258" s="11">
        <f t="shared" si="197"/>
        <v>0</v>
      </c>
      <c r="L258" s="37">
        <f t="shared" si="198"/>
        <v>0</v>
      </c>
      <c r="M258" s="11"/>
      <c r="N258" s="10"/>
      <c r="O258" s="21"/>
      <c r="P258" s="21"/>
      <c r="Q258" s="21"/>
      <c r="R258" s="23"/>
      <c r="S258" s="50"/>
      <c r="T258" s="48"/>
      <c r="U258" s="82"/>
      <c r="V258" s="26"/>
      <c r="W258" s="200"/>
      <c r="X258" s="17"/>
    </row>
    <row r="259" spans="2:24" x14ac:dyDescent="0.25">
      <c r="B259" s="17">
        <v>257</v>
      </c>
      <c r="C259" s="10"/>
      <c r="D259" s="10"/>
      <c r="E259" s="72"/>
      <c r="F259" s="18"/>
      <c r="G259" s="10"/>
      <c r="H259" s="10"/>
      <c r="I259" s="10"/>
      <c r="J259" s="11"/>
      <c r="K259" s="11">
        <f t="shared" si="197"/>
        <v>0</v>
      </c>
      <c r="L259" s="37">
        <f t="shared" si="198"/>
        <v>0</v>
      </c>
      <c r="M259" s="11"/>
      <c r="N259" s="10"/>
      <c r="O259" s="21"/>
      <c r="P259" s="21"/>
      <c r="Q259" s="21"/>
      <c r="R259" s="23"/>
      <c r="S259" s="50"/>
      <c r="T259" s="48"/>
      <c r="U259" s="82"/>
      <c r="V259" s="26"/>
      <c r="W259" s="200"/>
      <c r="X259" s="17"/>
    </row>
    <row r="260" spans="2:24" x14ac:dyDescent="0.25">
      <c r="B260" s="17">
        <v>258</v>
      </c>
      <c r="C260" s="10"/>
      <c r="D260" s="10"/>
      <c r="E260" s="72"/>
      <c r="F260" s="18"/>
      <c r="G260" s="10"/>
      <c r="H260" s="10"/>
      <c r="I260" s="10"/>
      <c r="J260" s="11"/>
      <c r="K260" s="11">
        <f t="shared" ref="K260:K284" si="199">J260*1.1</f>
        <v>0</v>
      </c>
      <c r="L260" s="37">
        <f t="shared" ref="L260:L284" si="200">J260*0.00000001</f>
        <v>0</v>
      </c>
      <c r="M260" s="11"/>
      <c r="N260" s="10"/>
      <c r="O260" s="21"/>
      <c r="P260" s="21"/>
      <c r="Q260" s="21"/>
      <c r="R260" s="23"/>
      <c r="S260" s="50"/>
      <c r="T260" s="48"/>
      <c r="U260" s="82"/>
      <c r="V260" s="32"/>
      <c r="W260" s="200"/>
      <c r="X260" s="17"/>
    </row>
    <row r="261" spans="2:24" x14ac:dyDescent="0.25">
      <c r="B261" s="17">
        <v>259</v>
      </c>
      <c r="C261" s="10"/>
      <c r="D261" s="10"/>
      <c r="E261" s="72"/>
      <c r="F261" s="18"/>
      <c r="G261" s="10"/>
      <c r="H261" s="10"/>
      <c r="I261" s="10"/>
      <c r="J261" s="11"/>
      <c r="K261" s="11">
        <f t="shared" si="199"/>
        <v>0</v>
      </c>
      <c r="L261" s="37">
        <f t="shared" si="200"/>
        <v>0</v>
      </c>
      <c r="M261" s="11"/>
      <c r="N261" s="10"/>
      <c r="O261" s="21"/>
      <c r="P261" s="21"/>
      <c r="Q261" s="21"/>
      <c r="R261" s="23"/>
      <c r="S261" s="50"/>
      <c r="T261" s="48"/>
      <c r="U261" s="82"/>
      <c r="V261" s="32"/>
      <c r="W261" s="200"/>
      <c r="X261" s="17"/>
    </row>
    <row r="262" spans="2:24" x14ac:dyDescent="0.25">
      <c r="B262" s="17">
        <v>260</v>
      </c>
      <c r="C262" s="10"/>
      <c r="D262" s="10"/>
      <c r="E262" s="72"/>
      <c r="F262" s="18"/>
      <c r="G262" s="10"/>
      <c r="H262" s="10"/>
      <c r="I262" s="10"/>
      <c r="J262" s="11"/>
      <c r="K262" s="11">
        <f t="shared" si="199"/>
        <v>0</v>
      </c>
      <c r="L262" s="37">
        <f t="shared" si="200"/>
        <v>0</v>
      </c>
      <c r="M262" s="11"/>
      <c r="N262" s="10"/>
      <c r="O262" s="21"/>
      <c r="P262" s="21"/>
      <c r="Q262" s="21"/>
      <c r="R262" s="23"/>
      <c r="S262" s="50"/>
      <c r="T262" s="48"/>
      <c r="U262" s="82"/>
      <c r="V262" s="26"/>
      <c r="W262" s="200"/>
      <c r="X262" s="17"/>
    </row>
    <row r="263" spans="2:24" x14ac:dyDescent="0.25">
      <c r="B263" s="17">
        <v>261</v>
      </c>
      <c r="C263" s="10"/>
      <c r="D263" s="10"/>
      <c r="E263" s="72"/>
      <c r="F263" s="18"/>
      <c r="G263" s="10"/>
      <c r="H263" s="10"/>
      <c r="I263" s="10"/>
      <c r="J263" s="11"/>
      <c r="K263" s="11">
        <f t="shared" si="199"/>
        <v>0</v>
      </c>
      <c r="L263" s="37">
        <f t="shared" si="200"/>
        <v>0</v>
      </c>
      <c r="M263" s="11"/>
      <c r="N263" s="10"/>
      <c r="O263" s="21"/>
      <c r="P263" s="21"/>
      <c r="Q263" s="21"/>
      <c r="R263" s="23"/>
      <c r="S263" s="50"/>
      <c r="T263" s="48"/>
      <c r="U263" s="82"/>
      <c r="V263" s="26"/>
      <c r="W263" s="200"/>
      <c r="X263" s="17"/>
    </row>
    <row r="264" spans="2:24" x14ac:dyDescent="0.25">
      <c r="B264" s="17">
        <v>262</v>
      </c>
      <c r="C264" s="10"/>
      <c r="D264" s="10"/>
      <c r="E264" s="72"/>
      <c r="F264" s="18"/>
      <c r="G264" s="10"/>
      <c r="H264" s="10"/>
      <c r="I264" s="10"/>
      <c r="J264" s="11"/>
      <c r="K264" s="11">
        <f t="shared" si="199"/>
        <v>0</v>
      </c>
      <c r="L264" s="37">
        <f t="shared" si="200"/>
        <v>0</v>
      </c>
      <c r="M264" s="11"/>
      <c r="N264" s="10"/>
      <c r="O264" s="21"/>
      <c r="P264" s="21"/>
      <c r="Q264" s="21"/>
      <c r="R264" s="23"/>
      <c r="S264" s="50"/>
      <c r="T264" s="48"/>
      <c r="U264" s="82"/>
      <c r="V264" s="26"/>
      <c r="W264" s="200"/>
      <c r="X264" s="17"/>
    </row>
    <row r="265" spans="2:24" x14ac:dyDescent="0.25">
      <c r="B265" s="17">
        <v>263</v>
      </c>
      <c r="C265" s="10"/>
      <c r="D265" s="10"/>
      <c r="E265" s="72"/>
      <c r="F265" s="18"/>
      <c r="G265" s="10"/>
      <c r="H265" s="10"/>
      <c r="I265" s="10"/>
      <c r="J265" s="11"/>
      <c r="K265" s="11">
        <f t="shared" si="199"/>
        <v>0</v>
      </c>
      <c r="L265" s="37">
        <f t="shared" si="200"/>
        <v>0</v>
      </c>
      <c r="M265" s="11"/>
      <c r="N265" s="10"/>
      <c r="O265" s="21"/>
      <c r="P265" s="21"/>
      <c r="Q265" s="21"/>
      <c r="R265" s="23"/>
      <c r="S265" s="50"/>
      <c r="T265" s="48"/>
      <c r="U265" s="82"/>
      <c r="V265" s="26"/>
      <c r="W265" s="200"/>
      <c r="X265" s="17"/>
    </row>
    <row r="266" spans="2:24" x14ac:dyDescent="0.25">
      <c r="B266" s="17">
        <v>264</v>
      </c>
      <c r="C266" s="10"/>
      <c r="D266" s="10"/>
      <c r="E266" s="72"/>
      <c r="F266" s="18"/>
      <c r="G266" s="10"/>
      <c r="H266" s="10"/>
      <c r="I266" s="10"/>
      <c r="J266" s="11"/>
      <c r="K266" s="11">
        <f t="shared" si="199"/>
        <v>0</v>
      </c>
      <c r="L266" s="37">
        <f t="shared" si="200"/>
        <v>0</v>
      </c>
      <c r="M266" s="11"/>
      <c r="N266" s="10"/>
      <c r="O266" s="21"/>
      <c r="P266" s="21"/>
      <c r="Q266" s="21"/>
      <c r="R266" s="23"/>
      <c r="S266" s="50"/>
      <c r="T266" s="48"/>
      <c r="U266" s="82"/>
      <c r="V266" s="26"/>
      <c r="W266" s="200"/>
      <c r="X266" s="17"/>
    </row>
    <row r="267" spans="2:24" x14ac:dyDescent="0.25">
      <c r="B267" s="17">
        <v>265</v>
      </c>
      <c r="C267" s="10"/>
      <c r="D267" s="10"/>
      <c r="E267" s="72"/>
      <c r="F267" s="18"/>
      <c r="G267" s="10"/>
      <c r="H267" s="10"/>
      <c r="I267" s="10"/>
      <c r="J267" s="11"/>
      <c r="K267" s="11">
        <f t="shared" si="199"/>
        <v>0</v>
      </c>
      <c r="L267" s="37">
        <f t="shared" si="200"/>
        <v>0</v>
      </c>
      <c r="M267" s="11"/>
      <c r="N267" s="10"/>
      <c r="O267" s="21"/>
      <c r="P267" s="21"/>
      <c r="Q267" s="21"/>
      <c r="R267" s="23"/>
      <c r="S267" s="50"/>
      <c r="T267" s="48"/>
      <c r="U267" s="82"/>
      <c r="V267" s="32"/>
      <c r="W267" s="200"/>
      <c r="X267" s="17"/>
    </row>
    <row r="268" spans="2:24" x14ac:dyDescent="0.25">
      <c r="B268" s="17">
        <v>266</v>
      </c>
      <c r="C268" s="10"/>
      <c r="D268" s="10"/>
      <c r="E268" s="72"/>
      <c r="F268" s="18"/>
      <c r="G268" s="10"/>
      <c r="H268" s="10"/>
      <c r="I268" s="10"/>
      <c r="J268" s="11"/>
      <c r="K268" s="11">
        <f t="shared" si="199"/>
        <v>0</v>
      </c>
      <c r="L268" s="37">
        <f t="shared" si="200"/>
        <v>0</v>
      </c>
      <c r="M268" s="11"/>
      <c r="N268" s="10"/>
      <c r="O268" s="21"/>
      <c r="P268" s="21"/>
      <c r="Q268" s="21"/>
      <c r="R268" s="23"/>
      <c r="S268" s="50"/>
      <c r="T268" s="48"/>
      <c r="U268" s="82"/>
      <c r="V268" s="32"/>
      <c r="W268" s="200"/>
      <c r="X268" s="17"/>
    </row>
    <row r="269" spans="2:24" x14ac:dyDescent="0.25">
      <c r="B269" s="17">
        <v>267</v>
      </c>
      <c r="C269" s="10"/>
      <c r="D269" s="10"/>
      <c r="E269" s="72"/>
      <c r="F269" s="18"/>
      <c r="G269" s="10"/>
      <c r="H269" s="10"/>
      <c r="I269" s="10"/>
      <c r="J269" s="11"/>
      <c r="K269" s="11">
        <f t="shared" si="199"/>
        <v>0</v>
      </c>
      <c r="L269" s="37">
        <f t="shared" si="200"/>
        <v>0</v>
      </c>
      <c r="M269" s="11"/>
      <c r="N269" s="10"/>
      <c r="O269" s="21"/>
      <c r="P269" s="21"/>
      <c r="Q269" s="21"/>
      <c r="R269" s="23"/>
      <c r="S269" s="50"/>
      <c r="T269" s="48"/>
      <c r="U269" s="82"/>
      <c r="V269" s="32"/>
      <c r="W269" s="200"/>
      <c r="X269" s="17"/>
    </row>
    <row r="270" spans="2:24" x14ac:dyDescent="0.25">
      <c r="B270" s="17">
        <v>268</v>
      </c>
      <c r="C270" s="10"/>
      <c r="D270" s="10"/>
      <c r="E270" s="72"/>
      <c r="F270" s="18"/>
      <c r="G270" s="10"/>
      <c r="H270" s="10"/>
      <c r="I270" s="10"/>
      <c r="J270" s="11"/>
      <c r="K270" s="11">
        <f t="shared" si="199"/>
        <v>0</v>
      </c>
      <c r="L270" s="37">
        <f t="shared" si="200"/>
        <v>0</v>
      </c>
      <c r="M270" s="11"/>
      <c r="N270" s="10"/>
      <c r="O270" s="21"/>
      <c r="P270" s="21"/>
      <c r="Q270" s="21"/>
      <c r="R270" s="23"/>
      <c r="S270" s="50"/>
      <c r="T270" s="48"/>
      <c r="U270" s="82"/>
      <c r="V270" s="32"/>
      <c r="W270" s="200"/>
      <c r="X270" s="17"/>
    </row>
    <row r="271" spans="2:24" x14ac:dyDescent="0.25">
      <c r="B271" s="17">
        <v>269</v>
      </c>
      <c r="C271" s="10"/>
      <c r="D271" s="10"/>
      <c r="E271" s="72"/>
      <c r="F271" s="18"/>
      <c r="G271" s="10"/>
      <c r="H271" s="10"/>
      <c r="I271" s="10"/>
      <c r="J271" s="11"/>
      <c r="K271" s="11">
        <f t="shared" si="199"/>
        <v>0</v>
      </c>
      <c r="L271" s="37">
        <f t="shared" si="200"/>
        <v>0</v>
      </c>
      <c r="M271" s="11"/>
      <c r="N271" s="10"/>
      <c r="O271" s="21"/>
      <c r="P271" s="21"/>
      <c r="Q271" s="21"/>
      <c r="R271" s="23"/>
      <c r="S271" s="50"/>
      <c r="T271" s="48"/>
      <c r="U271" s="82"/>
      <c r="V271" s="26"/>
      <c r="W271" s="200"/>
      <c r="X271" s="17"/>
    </row>
    <row r="272" spans="2:24" x14ac:dyDescent="0.25">
      <c r="B272" s="17">
        <v>270</v>
      </c>
      <c r="C272" s="10"/>
      <c r="D272" s="10"/>
      <c r="E272" s="72"/>
      <c r="F272" s="18"/>
      <c r="G272" s="10"/>
      <c r="H272" s="10"/>
      <c r="I272" s="10"/>
      <c r="J272" s="11"/>
      <c r="K272" s="11">
        <f t="shared" si="199"/>
        <v>0</v>
      </c>
      <c r="L272" s="37">
        <f t="shared" si="200"/>
        <v>0</v>
      </c>
      <c r="M272" s="11"/>
      <c r="N272" s="10"/>
      <c r="O272" s="21"/>
      <c r="P272" s="21"/>
      <c r="Q272" s="21"/>
      <c r="R272" s="23"/>
      <c r="S272" s="50"/>
      <c r="T272" s="48"/>
      <c r="U272" s="82"/>
      <c r="V272" s="26"/>
      <c r="W272" s="200"/>
      <c r="X272" s="17"/>
    </row>
    <row r="273" spans="2:24" x14ac:dyDescent="0.25">
      <c r="B273" s="17">
        <v>271</v>
      </c>
      <c r="C273" s="10"/>
      <c r="D273" s="10"/>
      <c r="E273" s="72"/>
      <c r="F273" s="18"/>
      <c r="G273" s="10"/>
      <c r="H273" s="10"/>
      <c r="I273" s="10"/>
      <c r="J273" s="11"/>
      <c r="K273" s="11">
        <f t="shared" si="199"/>
        <v>0</v>
      </c>
      <c r="L273" s="37">
        <f t="shared" si="200"/>
        <v>0</v>
      </c>
      <c r="M273" s="11"/>
      <c r="N273" s="10"/>
      <c r="O273" s="21"/>
      <c r="P273" s="21"/>
      <c r="Q273" s="21"/>
      <c r="R273" s="23"/>
      <c r="S273" s="50"/>
      <c r="T273" s="48"/>
      <c r="U273" s="82"/>
      <c r="V273" s="26"/>
      <c r="W273" s="200"/>
      <c r="X273" s="17"/>
    </row>
    <row r="274" spans="2:24" x14ac:dyDescent="0.25">
      <c r="B274" s="17">
        <v>272</v>
      </c>
      <c r="C274" s="10"/>
      <c r="D274" s="10"/>
      <c r="E274" s="72"/>
      <c r="F274" s="18"/>
      <c r="G274" s="10"/>
      <c r="H274" s="10"/>
      <c r="I274" s="10"/>
      <c r="J274" s="11"/>
      <c r="K274" s="11">
        <f t="shared" si="199"/>
        <v>0</v>
      </c>
      <c r="L274" s="37">
        <f t="shared" si="200"/>
        <v>0</v>
      </c>
      <c r="M274" s="11"/>
      <c r="N274" s="10"/>
      <c r="O274" s="21"/>
      <c r="P274" s="21"/>
      <c r="Q274" s="21"/>
      <c r="R274" s="23"/>
      <c r="S274" s="50"/>
      <c r="T274" s="48"/>
      <c r="U274" s="82"/>
      <c r="V274" s="26"/>
      <c r="W274" s="200"/>
      <c r="X274" s="17"/>
    </row>
    <row r="275" spans="2:24" x14ac:dyDescent="0.25">
      <c r="B275" s="17">
        <v>273</v>
      </c>
      <c r="C275" s="10"/>
      <c r="D275" s="10"/>
      <c r="E275" s="72"/>
      <c r="F275" s="18"/>
      <c r="G275" s="10"/>
      <c r="H275" s="10"/>
      <c r="I275" s="10"/>
      <c r="J275" s="11"/>
      <c r="K275" s="11">
        <f t="shared" si="199"/>
        <v>0</v>
      </c>
      <c r="L275" s="37">
        <f t="shared" si="200"/>
        <v>0</v>
      </c>
      <c r="M275" s="11"/>
      <c r="N275" s="10"/>
      <c r="O275" s="21"/>
      <c r="P275" s="21"/>
      <c r="Q275" s="21"/>
      <c r="R275" s="23"/>
      <c r="S275" s="50"/>
      <c r="T275" s="48"/>
      <c r="U275" s="82"/>
      <c r="V275" s="26"/>
      <c r="W275" s="200"/>
      <c r="X275" s="17"/>
    </row>
    <row r="276" spans="2:24" x14ac:dyDescent="0.25">
      <c r="B276" s="17">
        <v>274</v>
      </c>
      <c r="C276" s="10"/>
      <c r="D276" s="10"/>
      <c r="E276" s="72"/>
      <c r="F276" s="18"/>
      <c r="G276" s="10"/>
      <c r="H276" s="10"/>
      <c r="I276" s="10"/>
      <c r="J276" s="11"/>
      <c r="K276" s="11">
        <f t="shared" si="199"/>
        <v>0</v>
      </c>
      <c r="L276" s="37">
        <f t="shared" si="200"/>
        <v>0</v>
      </c>
      <c r="M276" s="11"/>
      <c r="N276" s="10"/>
      <c r="O276" s="21"/>
      <c r="P276" s="21"/>
      <c r="Q276" s="21"/>
      <c r="R276" s="23"/>
      <c r="S276" s="50"/>
      <c r="T276" s="48"/>
      <c r="U276" s="82"/>
      <c r="V276" s="32"/>
      <c r="W276" s="200"/>
      <c r="X276" s="17"/>
    </row>
    <row r="277" spans="2:24" x14ac:dyDescent="0.25">
      <c r="B277" s="17">
        <v>275</v>
      </c>
      <c r="C277" s="10"/>
      <c r="D277" s="10"/>
      <c r="E277" s="72"/>
      <c r="F277" s="18"/>
      <c r="G277" s="10"/>
      <c r="H277" s="10"/>
      <c r="I277" s="10"/>
      <c r="J277" s="11"/>
      <c r="K277" s="11">
        <f t="shared" si="199"/>
        <v>0</v>
      </c>
      <c r="L277" s="37">
        <f t="shared" si="200"/>
        <v>0</v>
      </c>
      <c r="M277" s="11"/>
      <c r="N277" s="10"/>
      <c r="O277" s="21"/>
      <c r="P277" s="21"/>
      <c r="Q277" s="21"/>
      <c r="R277" s="23"/>
      <c r="S277" s="50"/>
      <c r="T277" s="48"/>
      <c r="U277" s="82"/>
      <c r="V277" s="32"/>
      <c r="W277" s="200"/>
      <c r="X277" s="17"/>
    </row>
    <row r="278" spans="2:24" x14ac:dyDescent="0.25">
      <c r="B278" s="17">
        <v>276</v>
      </c>
      <c r="C278" s="10"/>
      <c r="D278" s="10"/>
      <c r="E278" s="72"/>
      <c r="F278" s="18"/>
      <c r="G278" s="10"/>
      <c r="H278" s="10"/>
      <c r="I278" s="10"/>
      <c r="J278" s="11"/>
      <c r="K278" s="11">
        <f t="shared" si="199"/>
        <v>0</v>
      </c>
      <c r="L278" s="37">
        <f t="shared" si="200"/>
        <v>0</v>
      </c>
      <c r="M278" s="11"/>
      <c r="N278" s="10"/>
      <c r="O278" s="21"/>
      <c r="P278" s="21"/>
      <c r="Q278" s="21"/>
      <c r="R278" s="23"/>
      <c r="S278" s="50"/>
      <c r="T278" s="48"/>
      <c r="U278" s="82"/>
      <c r="V278" s="26"/>
      <c r="W278" s="200"/>
      <c r="X278" s="17"/>
    </row>
    <row r="279" spans="2:24" x14ac:dyDescent="0.25">
      <c r="B279" s="17">
        <v>277</v>
      </c>
      <c r="C279" s="10"/>
      <c r="D279" s="10"/>
      <c r="E279" s="72"/>
      <c r="F279" s="18"/>
      <c r="G279" s="10"/>
      <c r="H279" s="10"/>
      <c r="I279" s="10"/>
      <c r="J279" s="11"/>
      <c r="K279" s="11">
        <f t="shared" si="199"/>
        <v>0</v>
      </c>
      <c r="L279" s="37">
        <f t="shared" si="200"/>
        <v>0</v>
      </c>
      <c r="M279" s="11"/>
      <c r="N279" s="10"/>
      <c r="O279" s="21"/>
      <c r="P279" s="21"/>
      <c r="Q279" s="21"/>
      <c r="R279" s="23"/>
      <c r="S279" s="50"/>
      <c r="T279" s="48"/>
      <c r="U279" s="82"/>
      <c r="V279" s="26"/>
      <c r="W279" s="200"/>
      <c r="X279" s="17"/>
    </row>
    <row r="280" spans="2:24" x14ac:dyDescent="0.25">
      <c r="B280" s="17">
        <v>278</v>
      </c>
      <c r="C280" s="10"/>
      <c r="D280" s="10"/>
      <c r="E280" s="72"/>
      <c r="F280" s="18"/>
      <c r="G280" s="10"/>
      <c r="H280" s="10"/>
      <c r="I280" s="10"/>
      <c r="J280" s="11"/>
      <c r="K280" s="11">
        <f t="shared" si="199"/>
        <v>0</v>
      </c>
      <c r="L280" s="37">
        <f t="shared" si="200"/>
        <v>0</v>
      </c>
      <c r="M280" s="11"/>
      <c r="N280" s="10"/>
      <c r="O280" s="21"/>
      <c r="P280" s="21"/>
      <c r="Q280" s="21"/>
      <c r="R280" s="23"/>
      <c r="S280" s="50"/>
      <c r="T280" s="48"/>
      <c r="U280" s="82"/>
      <c r="V280" s="26"/>
      <c r="W280" s="200"/>
      <c r="X280" s="17"/>
    </row>
    <row r="281" spans="2:24" x14ac:dyDescent="0.25">
      <c r="B281" s="17">
        <v>279</v>
      </c>
      <c r="C281" s="10"/>
      <c r="D281" s="10"/>
      <c r="E281" s="72"/>
      <c r="F281" s="18"/>
      <c r="G281" s="10"/>
      <c r="H281" s="10"/>
      <c r="I281" s="10"/>
      <c r="J281" s="11"/>
      <c r="K281" s="11">
        <f t="shared" si="199"/>
        <v>0</v>
      </c>
      <c r="L281" s="37">
        <f t="shared" si="200"/>
        <v>0</v>
      </c>
      <c r="M281" s="11"/>
      <c r="N281" s="10"/>
      <c r="O281" s="21"/>
      <c r="P281" s="21"/>
      <c r="Q281" s="21"/>
      <c r="R281" s="23"/>
      <c r="S281" s="50"/>
      <c r="T281" s="48"/>
      <c r="U281" s="82"/>
      <c r="V281" s="26"/>
      <c r="W281" s="200"/>
      <c r="X281" s="17"/>
    </row>
    <row r="282" spans="2:24" x14ac:dyDescent="0.25">
      <c r="B282" s="17">
        <v>280</v>
      </c>
      <c r="C282" s="10"/>
      <c r="D282" s="10"/>
      <c r="E282" s="72"/>
      <c r="F282" s="18"/>
      <c r="G282" s="10"/>
      <c r="H282" s="10"/>
      <c r="I282" s="10"/>
      <c r="J282" s="11"/>
      <c r="K282" s="11">
        <f t="shared" si="199"/>
        <v>0</v>
      </c>
      <c r="L282" s="37">
        <f t="shared" si="200"/>
        <v>0</v>
      </c>
      <c r="M282" s="11"/>
      <c r="N282" s="10"/>
      <c r="O282" s="21"/>
      <c r="P282" s="21"/>
      <c r="Q282" s="21"/>
      <c r="R282" s="23"/>
      <c r="S282" s="50"/>
      <c r="T282" s="48"/>
      <c r="U282" s="82"/>
      <c r="V282" s="26"/>
      <c r="W282" s="200"/>
      <c r="X282" s="17"/>
    </row>
    <row r="283" spans="2:24" x14ac:dyDescent="0.25">
      <c r="B283" s="17">
        <v>281</v>
      </c>
      <c r="C283" s="10"/>
      <c r="D283" s="10"/>
      <c r="E283" s="72"/>
      <c r="F283" s="18"/>
      <c r="G283" s="10"/>
      <c r="H283" s="10"/>
      <c r="I283" s="10"/>
      <c r="J283" s="11"/>
      <c r="K283" s="11">
        <f t="shared" si="199"/>
        <v>0</v>
      </c>
      <c r="L283" s="37">
        <f t="shared" si="200"/>
        <v>0</v>
      </c>
      <c r="M283" s="11"/>
      <c r="N283" s="10"/>
      <c r="O283" s="21"/>
      <c r="P283" s="21"/>
      <c r="Q283" s="21"/>
      <c r="R283" s="23"/>
      <c r="S283" s="50"/>
      <c r="T283" s="48"/>
      <c r="U283" s="82"/>
      <c r="V283" s="32"/>
      <c r="W283" s="200"/>
      <c r="X283" s="17"/>
    </row>
    <row r="284" spans="2:24" x14ac:dyDescent="0.25">
      <c r="B284" s="17">
        <v>282</v>
      </c>
      <c r="C284" s="10"/>
      <c r="D284" s="10"/>
      <c r="E284" s="72"/>
      <c r="F284" s="18"/>
      <c r="G284" s="10"/>
      <c r="H284" s="10"/>
      <c r="I284" s="10"/>
      <c r="J284" s="11"/>
      <c r="K284" s="11">
        <f t="shared" si="199"/>
        <v>0</v>
      </c>
      <c r="L284" s="37">
        <f t="shared" si="200"/>
        <v>0</v>
      </c>
      <c r="M284" s="11"/>
      <c r="N284" s="10"/>
      <c r="O284" s="21"/>
      <c r="P284" s="21"/>
      <c r="Q284" s="21"/>
      <c r="R284" s="23"/>
      <c r="S284" s="50"/>
      <c r="T284" s="48"/>
      <c r="U284" s="82"/>
      <c r="V284" s="32"/>
      <c r="W284" s="200"/>
      <c r="X284" s="17"/>
    </row>
    <row r="285" spans="2:24" x14ac:dyDescent="0.25">
      <c r="B285" s="17">
        <v>283</v>
      </c>
      <c r="C285" s="10"/>
      <c r="D285" s="10"/>
      <c r="E285" s="72"/>
      <c r="F285" s="18"/>
      <c r="G285" s="10"/>
      <c r="H285" s="10"/>
      <c r="I285" s="10"/>
      <c r="J285" s="11"/>
      <c r="K285" s="11">
        <f t="shared" ref="K285:K302" si="201">J285*1.1</f>
        <v>0</v>
      </c>
      <c r="L285" s="37">
        <f t="shared" ref="L285:L302" si="202">J285*0.00000001</f>
        <v>0</v>
      </c>
      <c r="M285" s="11"/>
      <c r="N285" s="10"/>
      <c r="O285" s="21"/>
      <c r="P285" s="21"/>
      <c r="R285" s="23"/>
      <c r="S285" s="50"/>
      <c r="T285" s="48"/>
      <c r="U285" s="82"/>
      <c r="V285" s="32"/>
      <c r="W285" s="200"/>
      <c r="X285" s="17"/>
    </row>
    <row r="286" spans="2:24" x14ac:dyDescent="0.25">
      <c r="B286" s="17">
        <v>284</v>
      </c>
      <c r="C286" s="10"/>
      <c r="D286" s="10"/>
      <c r="K286" s="11">
        <f t="shared" si="201"/>
        <v>0</v>
      </c>
      <c r="L286" s="37">
        <f t="shared" si="202"/>
        <v>0</v>
      </c>
      <c r="T286" s="56"/>
      <c r="U286" s="82"/>
      <c r="V286" s="84"/>
      <c r="W286" s="200"/>
      <c r="X286" s="17"/>
    </row>
    <row r="287" spans="2:24" x14ac:dyDescent="0.25">
      <c r="B287" s="17">
        <v>285</v>
      </c>
      <c r="C287" s="10"/>
      <c r="D287" s="10"/>
      <c r="K287" s="11">
        <f t="shared" si="201"/>
        <v>0</v>
      </c>
      <c r="L287" s="37">
        <f t="shared" si="202"/>
        <v>0</v>
      </c>
      <c r="T287" s="56"/>
      <c r="U287" s="82"/>
      <c r="V287" s="84"/>
      <c r="W287" s="200"/>
      <c r="X287" s="17"/>
    </row>
    <row r="288" spans="2:24" x14ac:dyDescent="0.25">
      <c r="B288" s="17">
        <v>286</v>
      </c>
      <c r="C288" s="10"/>
      <c r="D288" s="10"/>
      <c r="K288" s="11">
        <f t="shared" si="201"/>
        <v>0</v>
      </c>
      <c r="L288" s="37">
        <f t="shared" si="202"/>
        <v>0</v>
      </c>
      <c r="T288" s="56"/>
      <c r="U288" s="82"/>
      <c r="V288" s="84"/>
      <c r="W288" s="200"/>
      <c r="X288" s="17"/>
    </row>
    <row r="289" spans="2:24" x14ac:dyDescent="0.25">
      <c r="B289" s="17">
        <v>287</v>
      </c>
      <c r="C289" s="10"/>
      <c r="D289" s="10"/>
      <c r="K289" s="11">
        <f t="shared" si="201"/>
        <v>0</v>
      </c>
      <c r="L289" s="37">
        <f t="shared" si="202"/>
        <v>0</v>
      </c>
      <c r="T289" s="56"/>
      <c r="U289" s="82"/>
      <c r="V289" s="84"/>
      <c r="W289" s="200"/>
      <c r="X289" s="17"/>
    </row>
    <row r="290" spans="2:24" x14ac:dyDescent="0.25">
      <c r="B290" s="17">
        <v>288</v>
      </c>
      <c r="C290" s="10"/>
      <c r="D290" s="10"/>
      <c r="K290" s="11">
        <f t="shared" si="201"/>
        <v>0</v>
      </c>
      <c r="L290" s="37">
        <f t="shared" si="202"/>
        <v>0</v>
      </c>
      <c r="T290" s="56"/>
      <c r="U290" s="82"/>
      <c r="V290" s="84"/>
      <c r="W290" s="200"/>
      <c r="X290" s="17"/>
    </row>
    <row r="291" spans="2:24" x14ac:dyDescent="0.25">
      <c r="B291" s="17">
        <v>289</v>
      </c>
      <c r="C291" s="10"/>
      <c r="D291" s="10"/>
      <c r="K291" s="11">
        <f t="shared" si="201"/>
        <v>0</v>
      </c>
      <c r="L291" s="37">
        <f t="shared" si="202"/>
        <v>0</v>
      </c>
      <c r="T291" s="56"/>
      <c r="U291" s="82"/>
      <c r="V291" s="84"/>
      <c r="W291" s="200"/>
      <c r="X291" s="17"/>
    </row>
    <row r="292" spans="2:24" x14ac:dyDescent="0.25">
      <c r="B292" s="17">
        <v>290</v>
      </c>
      <c r="C292" s="10"/>
      <c r="D292" s="10"/>
      <c r="K292" s="11">
        <f t="shared" si="201"/>
        <v>0</v>
      </c>
      <c r="L292" s="37">
        <f t="shared" si="202"/>
        <v>0</v>
      </c>
      <c r="T292" s="56"/>
      <c r="U292" s="82"/>
      <c r="V292" s="84"/>
      <c r="W292" s="200"/>
      <c r="X292" s="17"/>
    </row>
    <row r="293" spans="2:24" x14ac:dyDescent="0.25">
      <c r="B293" s="17">
        <v>291</v>
      </c>
      <c r="C293" s="10"/>
      <c r="D293" s="10"/>
      <c r="K293" s="11">
        <f t="shared" si="201"/>
        <v>0</v>
      </c>
      <c r="L293" s="37">
        <f t="shared" si="202"/>
        <v>0</v>
      </c>
      <c r="T293" s="56"/>
      <c r="U293" s="82"/>
      <c r="V293" s="84"/>
      <c r="W293" s="200"/>
      <c r="X293" s="17"/>
    </row>
    <row r="294" spans="2:24" x14ac:dyDescent="0.25">
      <c r="B294" s="17">
        <v>292</v>
      </c>
      <c r="C294" s="10"/>
      <c r="D294" s="10"/>
      <c r="K294" s="11">
        <f t="shared" si="201"/>
        <v>0</v>
      </c>
      <c r="L294" s="37">
        <f t="shared" si="202"/>
        <v>0</v>
      </c>
      <c r="T294" s="56"/>
      <c r="U294" s="82"/>
      <c r="V294" s="84"/>
      <c r="W294" s="200"/>
      <c r="X294" s="17"/>
    </row>
    <row r="295" spans="2:24" x14ac:dyDescent="0.25">
      <c r="B295" s="17">
        <v>293</v>
      </c>
      <c r="C295" s="10"/>
      <c r="D295" s="10"/>
      <c r="K295" s="11">
        <f t="shared" si="201"/>
        <v>0</v>
      </c>
      <c r="L295" s="37">
        <f t="shared" si="202"/>
        <v>0</v>
      </c>
      <c r="T295" s="56"/>
      <c r="U295" s="82"/>
      <c r="V295" s="84"/>
      <c r="W295" s="200"/>
      <c r="X295" s="17"/>
    </row>
    <row r="296" spans="2:24" x14ac:dyDescent="0.25">
      <c r="B296" s="17">
        <v>294</v>
      </c>
      <c r="C296" s="10"/>
      <c r="D296" s="10"/>
      <c r="K296" s="11">
        <f t="shared" si="201"/>
        <v>0</v>
      </c>
      <c r="L296" s="37">
        <f t="shared" si="202"/>
        <v>0</v>
      </c>
      <c r="T296" s="56"/>
      <c r="U296" s="82"/>
      <c r="V296" s="84"/>
      <c r="W296" s="200"/>
      <c r="X296" s="17"/>
    </row>
    <row r="297" spans="2:24" x14ac:dyDescent="0.25">
      <c r="B297" s="17">
        <v>295</v>
      </c>
      <c r="C297" s="10"/>
      <c r="D297" s="10"/>
      <c r="K297" s="11">
        <f t="shared" si="201"/>
        <v>0</v>
      </c>
      <c r="L297" s="37">
        <f t="shared" si="202"/>
        <v>0</v>
      </c>
      <c r="T297" s="56"/>
      <c r="U297" s="82"/>
      <c r="V297" s="84"/>
      <c r="W297" s="200"/>
      <c r="X297" s="17"/>
    </row>
    <row r="298" spans="2:24" x14ac:dyDescent="0.25">
      <c r="B298" s="17">
        <v>296</v>
      </c>
      <c r="C298" s="10"/>
      <c r="D298" s="10"/>
      <c r="K298" s="11">
        <f t="shared" si="201"/>
        <v>0</v>
      </c>
      <c r="L298" s="37">
        <f t="shared" si="202"/>
        <v>0</v>
      </c>
      <c r="T298" s="56"/>
      <c r="U298" s="82"/>
      <c r="V298" s="84"/>
      <c r="W298" s="200"/>
      <c r="X298" s="17"/>
    </row>
    <row r="299" spans="2:24" x14ac:dyDescent="0.25">
      <c r="B299" s="17">
        <v>297</v>
      </c>
      <c r="C299" s="10"/>
      <c r="D299" s="10"/>
      <c r="K299" s="11">
        <f t="shared" si="201"/>
        <v>0</v>
      </c>
      <c r="L299" s="37">
        <f t="shared" si="202"/>
        <v>0</v>
      </c>
      <c r="T299" s="56"/>
      <c r="U299" s="82"/>
      <c r="V299" s="84"/>
      <c r="W299" s="200"/>
      <c r="X299" s="17"/>
    </row>
    <row r="300" spans="2:24" x14ac:dyDescent="0.25">
      <c r="B300" s="17">
        <v>298</v>
      </c>
      <c r="C300" s="10"/>
      <c r="D300" s="10"/>
      <c r="K300" s="11">
        <f t="shared" si="201"/>
        <v>0</v>
      </c>
      <c r="L300" s="37">
        <f t="shared" si="202"/>
        <v>0</v>
      </c>
      <c r="T300" s="56"/>
      <c r="U300" s="82"/>
      <c r="V300" s="84"/>
      <c r="W300" s="200"/>
      <c r="X300" s="17"/>
    </row>
    <row r="301" spans="2:24" x14ac:dyDescent="0.25">
      <c r="B301" s="17">
        <v>299</v>
      </c>
      <c r="C301" s="10"/>
      <c r="D301" s="10"/>
      <c r="K301" s="11">
        <f t="shared" si="201"/>
        <v>0</v>
      </c>
      <c r="L301" s="37">
        <f t="shared" si="202"/>
        <v>0</v>
      </c>
      <c r="T301" s="56"/>
      <c r="U301" s="82"/>
      <c r="V301" s="84"/>
      <c r="W301" s="200"/>
      <c r="X301" s="17"/>
    </row>
    <row r="302" spans="2:24" x14ac:dyDescent="0.25">
      <c r="B302" s="17">
        <v>300</v>
      </c>
      <c r="C302" s="10"/>
      <c r="D302" s="10"/>
      <c r="K302" s="11">
        <f t="shared" si="201"/>
        <v>0</v>
      </c>
      <c r="L302" s="37">
        <f t="shared" si="202"/>
        <v>0</v>
      </c>
      <c r="T302" s="56"/>
      <c r="U302" s="82"/>
      <c r="V302" s="84"/>
      <c r="W302" s="200"/>
      <c r="X302" s="17"/>
    </row>
    <row r="305" spans="17:17" x14ac:dyDescent="0.25">
      <c r="Q305" s="21"/>
    </row>
    <row r="306" spans="17:17" x14ac:dyDescent="0.25">
      <c r="Q306" s="21"/>
    </row>
    <row r="307" spans="17:17" x14ac:dyDescent="0.25">
      <c r="Q307" s="21"/>
    </row>
    <row r="308" spans="17:17" x14ac:dyDescent="0.25">
      <c r="Q308" s="21"/>
    </row>
    <row r="309" spans="17:17" x14ac:dyDescent="0.25">
      <c r="Q309" s="21"/>
    </row>
    <row r="310" spans="17:17" x14ac:dyDescent="0.25">
      <c r="Q310" s="21"/>
    </row>
    <row r="311" spans="17:17" x14ac:dyDescent="0.25">
      <c r="Q311" s="21"/>
    </row>
    <row r="312" spans="17:17" x14ac:dyDescent="0.25">
      <c r="Q312" s="21"/>
    </row>
    <row r="313" spans="17:17" x14ac:dyDescent="0.25">
      <c r="Q313" s="21"/>
    </row>
    <row r="314" spans="17:17" x14ac:dyDescent="0.25">
      <c r="Q314" s="21"/>
    </row>
    <row r="315" spans="17:17" x14ac:dyDescent="0.25">
      <c r="Q315" s="21"/>
    </row>
    <row r="316" spans="17:17" x14ac:dyDescent="0.25">
      <c r="Q316" s="21"/>
    </row>
    <row r="317" spans="17:17" x14ac:dyDescent="0.25">
      <c r="Q317" s="21"/>
    </row>
    <row r="318" spans="17:17" x14ac:dyDescent="0.25">
      <c r="Q318" s="21"/>
    </row>
  </sheetData>
  <mergeCells count="15">
    <mergeCell ref="AA21:AA26"/>
    <mergeCell ref="AA27:AA32"/>
    <mergeCell ref="AA1:AR1"/>
    <mergeCell ref="AA2:AB2"/>
    <mergeCell ref="AA3:AA8"/>
    <mergeCell ref="AA9:AA14"/>
    <mergeCell ref="AA15:AA20"/>
    <mergeCell ref="AA69:AA74"/>
    <mergeCell ref="AA75:AB75"/>
    <mergeCell ref="AA33:AA38"/>
    <mergeCell ref="AA39:AA44"/>
    <mergeCell ref="AA45:AA50"/>
    <mergeCell ref="AA51:AA56"/>
    <mergeCell ref="AA57:AA62"/>
    <mergeCell ref="AA63:AA68"/>
  </mergeCells>
  <phoneticPr fontId="5" type="noConversion"/>
  <conditionalFormatting sqref="U1:U1048576">
    <cfRule type="cellIs" dxfId="9" priority="3" operator="equal">
      <formula>"마케팅"</formula>
    </cfRule>
  </conditionalFormatting>
  <conditionalFormatting sqref="W1:W1048576">
    <cfRule type="cellIs" dxfId="8" priority="1" operator="equal">
      <formula>"마케팅"</formula>
    </cfRule>
  </conditionalFormatting>
  <dataValidations disablePrompts="1" count="7">
    <dataValidation type="list" allowBlank="1" showInputMessage="1" showErrorMessage="1" sqref="S3:S285" xr:uid="{00000000-0002-0000-0B00-000000000000}">
      <formula1>"(주)그랜드썬기술단, (주)그랜드썬,지에스피,유지에스"</formula1>
    </dataValidation>
    <dataValidation type="list" allowBlank="1" showInputMessage="1" showErrorMessage="1" sqref="U3:U285" xr:uid="{00000000-0002-0000-0B00-000001000000}">
      <formula1>"소개,그 외"</formula1>
    </dataValidation>
    <dataValidation type="list" allowBlank="1" showInputMessage="1" showErrorMessage="1" sqref="D3:D302" xr:uid="{00000000-0002-0000-0B00-000002000000}">
      <formula1>"기존시설물(A),일반부지(B),수면(C)"</formula1>
    </dataValidation>
    <dataValidation type="list" allowBlank="1" showInputMessage="1" showErrorMessage="1" sqref="C3:C302" xr:uid="{00000000-0002-0000-0B00-000003000000}">
      <formula1>"직영(가),외주(나),입찰(다),검토(라)"</formula1>
    </dataValidation>
    <dataValidation type="list" allowBlank="1" showInputMessage="1" showErrorMessage="1" sqref="W3:W302" xr:uid="{00000000-0002-0000-0B00-000004000000}">
      <formula1>"산단,공장,창고,축사,근생,자원순환,토지,업무시설"</formula1>
    </dataValidation>
    <dataValidation type="list" allowBlank="1" showInputMessage="1" showErrorMessage="1" sqref="X3:X302" xr:uid="{00000000-0002-0000-0B00-000005000000}">
      <formula1>"유지,보류,취소"</formula1>
    </dataValidation>
    <dataValidation type="list" allowBlank="1" showInputMessage="1" showErrorMessage="1" sqref="Q3:Q318" xr:uid="{A1CFAA79-EE67-46CC-B1CC-9F2AA6CEBD24}">
      <formula1>"경기,강원,충남,충북,서울,인천,대전,세종,경남,경북,전남,전북,부산,대구,울산,제주,광주"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V318"/>
  <sheetViews>
    <sheetView zoomScale="75" zoomScaleNormal="75" workbookViewId="0">
      <pane ySplit="2" topLeftCell="A3" activePane="bottomLeft" state="frozen"/>
      <selection activeCell="O33" sqref="O33"/>
      <selection pane="bottomLeft" activeCell="O33" sqref="O33"/>
    </sheetView>
  </sheetViews>
  <sheetFormatPr defaultRowHeight="13.5" x14ac:dyDescent="0.25"/>
  <cols>
    <col min="1" max="1" width="3.7109375" customWidth="1"/>
    <col min="2" max="4" width="10.7109375" customWidth="1"/>
    <col min="5" max="5" width="10.7109375" style="75" customWidth="1"/>
    <col min="6" max="6" width="12.7109375" style="19" customWidth="1"/>
    <col min="7" max="8" width="10.7109375" customWidth="1"/>
    <col min="9" max="9" width="11.85546875" customWidth="1"/>
    <col min="10" max="11" width="15.7109375" style="6" customWidth="1"/>
    <col min="12" max="12" width="15.7109375" style="38" customWidth="1"/>
    <col min="13" max="13" width="15.7109375" style="6" customWidth="1"/>
    <col min="14" max="14" width="15.7109375" customWidth="1"/>
    <col min="15" max="15" width="21.42578125" customWidth="1"/>
    <col min="16" max="17" width="6" customWidth="1"/>
    <col min="18" max="18" width="38.42578125" style="22" customWidth="1"/>
    <col min="19" max="19" width="20.7109375" customWidth="1"/>
    <col min="20" max="20" width="13.42578125" customWidth="1"/>
    <col min="21" max="21" width="9.140625" style="34"/>
    <col min="22" max="22" width="47" style="7" customWidth="1"/>
    <col min="23" max="23" width="9.140625" style="34"/>
    <col min="29" max="29" width="11.140625" customWidth="1"/>
    <col min="30" max="34" width="11.7109375" customWidth="1"/>
    <col min="35" max="39" width="11.7109375" style="129" customWidth="1"/>
    <col min="40" max="44" width="11.7109375" customWidth="1"/>
  </cols>
  <sheetData>
    <row r="1" spans="2:48" ht="27" thickBot="1" x14ac:dyDescent="0.3">
      <c r="B1" s="33"/>
      <c r="C1" s="33"/>
      <c r="D1" s="33"/>
      <c r="E1" s="73"/>
      <c r="G1" s="8"/>
      <c r="H1" s="8"/>
      <c r="I1" s="24"/>
      <c r="J1" s="9"/>
      <c r="K1" s="9"/>
      <c r="L1" s="35"/>
      <c r="M1" s="9"/>
      <c r="U1" s="45"/>
      <c r="W1" s="45"/>
      <c r="AA1" s="423" t="s">
        <v>3</v>
      </c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5"/>
    </row>
    <row r="2" spans="2:48" ht="43.5" customHeight="1" thickTop="1" thickBot="1" x14ac:dyDescent="0.3">
      <c r="B2" s="16" t="s">
        <v>0</v>
      </c>
      <c r="C2" s="71" t="s">
        <v>90</v>
      </c>
      <c r="D2" s="71" t="s">
        <v>91</v>
      </c>
      <c r="E2" s="74" t="s">
        <v>92</v>
      </c>
      <c r="F2" s="20" t="s">
        <v>1</v>
      </c>
      <c r="G2" s="12" t="s">
        <v>22</v>
      </c>
      <c r="H2" s="12" t="s">
        <v>21</v>
      </c>
      <c r="I2" s="13" t="s">
        <v>2</v>
      </c>
      <c r="J2" s="14" t="s">
        <v>20</v>
      </c>
      <c r="K2" s="14" t="s">
        <v>4</v>
      </c>
      <c r="L2" s="36" t="s">
        <v>50</v>
      </c>
      <c r="M2" s="14" t="s">
        <v>29</v>
      </c>
      <c r="N2" s="12" t="s">
        <v>26</v>
      </c>
      <c r="O2" s="12" t="s">
        <v>28</v>
      </c>
      <c r="P2" s="12" t="s">
        <v>48</v>
      </c>
      <c r="Q2" s="12" t="s">
        <v>2158</v>
      </c>
      <c r="R2" s="12" t="s">
        <v>27</v>
      </c>
      <c r="S2" s="15" t="s">
        <v>5</v>
      </c>
      <c r="T2" s="25" t="s">
        <v>38</v>
      </c>
      <c r="U2" s="206" t="s">
        <v>54</v>
      </c>
      <c r="V2" s="16" t="s">
        <v>37</v>
      </c>
      <c r="W2" s="205" t="s">
        <v>256</v>
      </c>
      <c r="X2" s="108" t="s">
        <v>271</v>
      </c>
      <c r="AA2" s="420" t="s">
        <v>132</v>
      </c>
      <c r="AB2" s="421"/>
      <c r="AC2" s="111" t="s">
        <v>1</v>
      </c>
      <c r="AD2" s="112" t="s">
        <v>133</v>
      </c>
      <c r="AE2" s="113" t="s">
        <v>102</v>
      </c>
      <c r="AF2" s="113" t="s">
        <v>101</v>
      </c>
      <c r="AG2" s="113" t="s">
        <v>103</v>
      </c>
      <c r="AH2" s="114" t="s">
        <v>104</v>
      </c>
      <c r="AI2" s="117" t="s">
        <v>134</v>
      </c>
      <c r="AJ2" s="118" t="s">
        <v>102</v>
      </c>
      <c r="AK2" s="118" t="s">
        <v>101</v>
      </c>
      <c r="AL2" s="118" t="s">
        <v>103</v>
      </c>
      <c r="AM2" s="119" t="s">
        <v>104</v>
      </c>
      <c r="AN2" s="115" t="s">
        <v>135</v>
      </c>
      <c r="AO2" s="116" t="s">
        <v>102</v>
      </c>
      <c r="AP2" s="116" t="s">
        <v>101</v>
      </c>
      <c r="AQ2" s="116" t="s">
        <v>103</v>
      </c>
      <c r="AR2" s="116" t="s">
        <v>104</v>
      </c>
      <c r="AT2" s="151"/>
      <c r="AU2" s="152" t="s">
        <v>148</v>
      </c>
      <c r="AV2" s="153"/>
    </row>
    <row r="3" spans="2:48" s="10" customFormat="1" ht="13.5" customHeight="1" x14ac:dyDescent="0.25">
      <c r="B3" s="17">
        <v>1</v>
      </c>
      <c r="E3" s="72"/>
      <c r="F3" s="18"/>
      <c r="J3" s="11"/>
      <c r="K3" s="11">
        <f>J3*1.1</f>
        <v>0</v>
      </c>
      <c r="L3" s="37">
        <f>J3*0.00000001</f>
        <v>0</v>
      </c>
      <c r="M3" s="11"/>
      <c r="O3" s="21"/>
      <c r="P3" s="21"/>
      <c r="Q3" s="21"/>
      <c r="R3" s="23"/>
      <c r="S3" s="50"/>
      <c r="T3" s="86"/>
      <c r="U3" s="85"/>
      <c r="V3" s="83"/>
      <c r="W3" s="199"/>
      <c r="X3" s="208"/>
      <c r="Z3">
        <v>1</v>
      </c>
      <c r="AA3" s="415">
        <v>1</v>
      </c>
      <c r="AB3" s="94">
        <v>1</v>
      </c>
      <c r="AC3" s="100" t="s">
        <v>105</v>
      </c>
      <c r="AD3" s="41">
        <f>SUM(AE3:AH3)</f>
        <v>0</v>
      </c>
      <c r="AE3" s="70">
        <f>SUMIFS($I:$I,$C:$C, $AE$2,$G:$G,$Z3,$H:$H,$AB3)</f>
        <v>0</v>
      </c>
      <c r="AF3" s="70">
        <f>SUMIFS($I:$I,$C:$C, $AF$2,$G:$G,$Z3,$H:$H,$AB3)</f>
        <v>0</v>
      </c>
      <c r="AG3" s="70">
        <f>SUMIFS($I:$I,$C:$C, $AG$2,$G:$G,$Z3,$H:$H,$AB3)</f>
        <v>0</v>
      </c>
      <c r="AH3" s="109">
        <f>SUMIFS($I:$I,$C:$C, $AH$2,$G:$G,$Z3,$H:$H,$AB3)</f>
        <v>0</v>
      </c>
      <c r="AI3" s="120">
        <f>SUM(AJ3:AM3)</f>
        <v>0</v>
      </c>
      <c r="AJ3" s="121">
        <f>COUNTIFS($C:$C, $AJ$2,$G:$G,$Z3,$H:$H,$AB3)</f>
        <v>0</v>
      </c>
      <c r="AK3" s="121">
        <f>COUNTIFS($C:$C, $AK$2,$G:$G,$Z3,$H:$H,$AB3)</f>
        <v>0</v>
      </c>
      <c r="AL3" s="121">
        <f>COUNTIFS($C:$C, $AL$2,$G:$G,$Z3,$H:$H,$AB3)</f>
        <v>0</v>
      </c>
      <c r="AM3" s="122">
        <f>COUNTIFS($C:$C, $AM$2,$G:$G,$Z3,$H:$H,$AB3)</f>
        <v>0</v>
      </c>
      <c r="AN3" s="41">
        <f>SUM(AO3:AR3)</f>
        <v>0</v>
      </c>
      <c r="AO3" s="70">
        <f>SUMIFS($L:$L,$C:$C, $AO$2,$G:$G,$Z3,$H:$H,$AB3)</f>
        <v>0</v>
      </c>
      <c r="AP3" s="70">
        <f>SUMIFS($L:$L,$C:$C, $AP$2,$G:$G,$Z3,$H:$H,$AB3)</f>
        <v>0</v>
      </c>
      <c r="AQ3" s="70">
        <f>SUMIFS($L:$L,$C:$C, $AQ$2,$G:$G,$Z3,$H:$H,$AB3)</f>
        <v>0</v>
      </c>
      <c r="AR3" s="70">
        <f>SUMIFS($L:$L,$C:$C, $AR$2,$G:$G,$Z3,$H:$H,$AB3)</f>
        <v>0</v>
      </c>
      <c r="AT3" s="154" t="s">
        <v>149</v>
      </c>
      <c r="AU3" s="155" t="s">
        <v>150</v>
      </c>
      <c r="AV3" s="156" t="s">
        <v>151</v>
      </c>
    </row>
    <row r="4" spans="2:48" s="10" customFormat="1" ht="13.5" customHeight="1" x14ac:dyDescent="0.25">
      <c r="B4" s="17">
        <v>2</v>
      </c>
      <c r="E4" s="72"/>
      <c r="F4" s="18"/>
      <c r="J4" s="11"/>
      <c r="K4" s="11">
        <f t="shared" ref="K4:K67" si="0">J4*1.1</f>
        <v>0</v>
      </c>
      <c r="L4" s="37">
        <f>J4*0.00000001</f>
        <v>0</v>
      </c>
      <c r="M4" s="11"/>
      <c r="O4" s="21"/>
      <c r="P4" s="21"/>
      <c r="Q4" s="21"/>
      <c r="R4" s="23"/>
      <c r="S4" s="50"/>
      <c r="T4" s="48"/>
      <c r="U4" s="81"/>
      <c r="V4" s="26"/>
      <c r="W4" s="200"/>
      <c r="X4" s="17"/>
      <c r="Z4">
        <v>1</v>
      </c>
      <c r="AA4" s="416"/>
      <c r="AB4" s="95">
        <v>2</v>
      </c>
      <c r="AC4" s="101" t="s">
        <v>61</v>
      </c>
      <c r="AD4" s="41">
        <f t="shared" ref="AD4:AD67" si="1">SUM(AE4:AH4)</f>
        <v>0</v>
      </c>
      <c r="AE4" s="70">
        <f t="shared" ref="AE4:AE67" si="2">SUMIFS($I:$I,$C:$C, $AE$2,$G:$G,$Z4,$H:$H,$AB4)</f>
        <v>0</v>
      </c>
      <c r="AF4" s="70">
        <f t="shared" ref="AF4:AF67" si="3">SUMIFS($I:$I,$C:$C, $AF$2,$G:$G,$Z4,$H:$H,$AB4)</f>
        <v>0</v>
      </c>
      <c r="AG4" s="70">
        <f t="shared" ref="AG4:AG67" si="4">SUMIFS($I:$I,$C:$C, $AG$2,$G:$G,$Z4,$H:$H,$AB4)</f>
        <v>0</v>
      </c>
      <c r="AH4" s="109">
        <f t="shared" ref="AH4:AH67" si="5">SUMIFS($I:$I,$C:$C, $AH$2,$G:$G,$Z4,$H:$H,$AB4)</f>
        <v>0</v>
      </c>
      <c r="AI4" s="120">
        <f t="shared" ref="AI4:AI67" si="6">SUM(AJ4:AM4)</f>
        <v>0</v>
      </c>
      <c r="AJ4" s="121">
        <f t="shared" ref="AJ4:AJ67" si="7">COUNTIFS($C:$C, $AJ$2,$G:$G,$Z4,$H:$H,$AB4)</f>
        <v>0</v>
      </c>
      <c r="AK4" s="121">
        <f t="shared" ref="AK4:AK67" si="8">COUNTIFS($C:$C, $AK$2,$G:$G,$Z4,$H:$H,$AB4)</f>
        <v>0</v>
      </c>
      <c r="AL4" s="121">
        <f t="shared" ref="AL4:AL67" si="9">COUNTIFS($C:$C, $AL$2,$G:$G,$Z4,$H:$H,$AB4)</f>
        <v>0</v>
      </c>
      <c r="AM4" s="122">
        <f t="shared" ref="AM4:AM67" si="10">COUNTIFS($C:$C, $AM$2,$G:$G,$Z4,$H:$H,$AB4)</f>
        <v>0</v>
      </c>
      <c r="AN4" s="41">
        <f t="shared" ref="AN4:AN67" si="11">SUM(AO4:AR4)</f>
        <v>0</v>
      </c>
      <c r="AO4" s="70">
        <f t="shared" ref="AO4:AO67" si="12">SUMIFS($L:$L,$C:$C, $AO$2,$G:$G,$Z4,$H:$H,$AB4)</f>
        <v>0</v>
      </c>
      <c r="AP4" s="70">
        <f t="shared" ref="AP4:AP67" si="13">SUMIFS($L:$L,$C:$C, $AP$2,$G:$G,$Z4,$H:$H,$AB4)</f>
        <v>0</v>
      </c>
      <c r="AQ4" s="70">
        <f t="shared" ref="AQ4:AQ67" si="14">SUMIFS($L:$L,$C:$C, $AQ$2,$G:$G,$Z4,$H:$H,$AB4)</f>
        <v>0</v>
      </c>
      <c r="AR4" s="70">
        <f t="shared" ref="AR4:AR67" si="15">SUMIFS($L:$L,$C:$C, $AR$2,$G:$G,$Z4,$H:$H,$AB4)</f>
        <v>0</v>
      </c>
      <c r="AT4" s="157">
        <v>1</v>
      </c>
      <c r="AU4" s="158">
        <f>COUNTIFS($U:$U,$AU$3,$G:$G,$AT4)</f>
        <v>0</v>
      </c>
      <c r="AV4" s="159">
        <f>COUNTIFS($U:$U,$AV$3,$G:$G,$AT4)</f>
        <v>0</v>
      </c>
    </row>
    <row r="5" spans="2:48" s="10" customFormat="1" ht="13.5" customHeight="1" x14ac:dyDescent="0.25">
      <c r="B5" s="17">
        <v>3</v>
      </c>
      <c r="E5" s="72"/>
      <c r="F5" s="18"/>
      <c r="J5" s="11"/>
      <c r="K5" s="11">
        <f t="shared" si="0"/>
        <v>0</v>
      </c>
      <c r="L5" s="37">
        <f t="shared" ref="L5:L67" si="16">J5*0.00000001</f>
        <v>0</v>
      </c>
      <c r="M5" s="11"/>
      <c r="O5" s="21"/>
      <c r="P5" s="21"/>
      <c r="Q5" s="21"/>
      <c r="R5" s="23"/>
      <c r="S5" s="50"/>
      <c r="T5" s="48"/>
      <c r="U5" s="81"/>
      <c r="V5" s="26"/>
      <c r="W5" s="200"/>
      <c r="X5" s="17"/>
      <c r="Z5">
        <v>1</v>
      </c>
      <c r="AA5" s="416"/>
      <c r="AB5" s="95">
        <v>3</v>
      </c>
      <c r="AC5" s="102" t="s">
        <v>62</v>
      </c>
      <c r="AD5" s="41">
        <f t="shared" si="1"/>
        <v>0</v>
      </c>
      <c r="AE5" s="70">
        <f t="shared" si="2"/>
        <v>0</v>
      </c>
      <c r="AF5" s="70">
        <f t="shared" si="3"/>
        <v>0</v>
      </c>
      <c r="AG5" s="70">
        <f t="shared" si="4"/>
        <v>0</v>
      </c>
      <c r="AH5" s="109">
        <f t="shared" si="5"/>
        <v>0</v>
      </c>
      <c r="AI5" s="120">
        <f t="shared" si="6"/>
        <v>0</v>
      </c>
      <c r="AJ5" s="121">
        <f t="shared" si="7"/>
        <v>0</v>
      </c>
      <c r="AK5" s="121">
        <f t="shared" si="8"/>
        <v>0</v>
      </c>
      <c r="AL5" s="121">
        <f t="shared" si="9"/>
        <v>0</v>
      </c>
      <c r="AM5" s="122">
        <f t="shared" si="10"/>
        <v>0</v>
      </c>
      <c r="AN5" s="41">
        <f t="shared" si="11"/>
        <v>0</v>
      </c>
      <c r="AO5" s="70">
        <f t="shared" si="12"/>
        <v>0</v>
      </c>
      <c r="AP5" s="70">
        <f t="shared" si="13"/>
        <v>0</v>
      </c>
      <c r="AQ5" s="70">
        <f t="shared" si="14"/>
        <v>0</v>
      </c>
      <c r="AR5" s="70">
        <f t="shared" si="15"/>
        <v>0</v>
      </c>
      <c r="AT5" s="157">
        <v>2</v>
      </c>
      <c r="AU5" s="158">
        <f t="shared" ref="AU5:AU15" si="17">COUNTIFS($U:$U,$AU$3,$G:$G,$AT5)</f>
        <v>0</v>
      </c>
      <c r="AV5" s="159">
        <f t="shared" ref="AV5:AV15" si="18">COUNTIFS($U:$U,$AV$3,$G:$G,$AT5)</f>
        <v>0</v>
      </c>
    </row>
    <row r="6" spans="2:48" s="10" customFormat="1" ht="13.5" customHeight="1" x14ac:dyDescent="0.25">
      <c r="B6" s="17">
        <v>4</v>
      </c>
      <c r="E6" s="72"/>
      <c r="F6" s="18"/>
      <c r="J6" s="11"/>
      <c r="K6" s="11">
        <f t="shared" si="0"/>
        <v>0</v>
      </c>
      <c r="L6" s="37">
        <f t="shared" si="16"/>
        <v>0</v>
      </c>
      <c r="M6" s="11"/>
      <c r="O6" s="21"/>
      <c r="P6" s="21"/>
      <c r="Q6" s="21"/>
      <c r="R6" s="23"/>
      <c r="S6" s="50"/>
      <c r="T6" s="48"/>
      <c r="U6" s="81"/>
      <c r="V6" s="26"/>
      <c r="W6" s="200"/>
      <c r="X6" s="17"/>
      <c r="Z6">
        <v>1</v>
      </c>
      <c r="AA6" s="416"/>
      <c r="AB6" s="95">
        <v>4</v>
      </c>
      <c r="AC6" s="102" t="s">
        <v>63</v>
      </c>
      <c r="AD6" s="41">
        <f t="shared" si="1"/>
        <v>0</v>
      </c>
      <c r="AE6" s="70">
        <f t="shared" si="2"/>
        <v>0</v>
      </c>
      <c r="AF6" s="70">
        <f t="shared" si="3"/>
        <v>0</v>
      </c>
      <c r="AG6" s="70">
        <f t="shared" si="4"/>
        <v>0</v>
      </c>
      <c r="AH6" s="109">
        <f t="shared" si="5"/>
        <v>0</v>
      </c>
      <c r="AI6" s="120">
        <f t="shared" si="6"/>
        <v>0</v>
      </c>
      <c r="AJ6" s="121">
        <f t="shared" si="7"/>
        <v>0</v>
      </c>
      <c r="AK6" s="121">
        <f t="shared" si="8"/>
        <v>0</v>
      </c>
      <c r="AL6" s="121">
        <f t="shared" si="9"/>
        <v>0</v>
      </c>
      <c r="AM6" s="122">
        <f t="shared" si="10"/>
        <v>0</v>
      </c>
      <c r="AN6" s="41">
        <f t="shared" si="11"/>
        <v>0</v>
      </c>
      <c r="AO6" s="70">
        <f t="shared" si="12"/>
        <v>0</v>
      </c>
      <c r="AP6" s="70">
        <f t="shared" si="13"/>
        <v>0</v>
      </c>
      <c r="AQ6" s="70">
        <f t="shared" si="14"/>
        <v>0</v>
      </c>
      <c r="AR6" s="70">
        <f t="shared" si="15"/>
        <v>0</v>
      </c>
      <c r="AT6" s="157">
        <v>3</v>
      </c>
      <c r="AU6" s="158">
        <f t="shared" si="17"/>
        <v>0</v>
      </c>
      <c r="AV6" s="159">
        <f t="shared" si="18"/>
        <v>0</v>
      </c>
    </row>
    <row r="7" spans="2:48" s="10" customFormat="1" ht="13.5" customHeight="1" x14ac:dyDescent="0.25">
      <c r="B7" s="17">
        <v>5</v>
      </c>
      <c r="E7" s="72"/>
      <c r="F7" s="18"/>
      <c r="J7" s="11"/>
      <c r="K7" s="11">
        <f t="shared" si="0"/>
        <v>0</v>
      </c>
      <c r="L7" s="37">
        <f t="shared" si="16"/>
        <v>0</v>
      </c>
      <c r="M7" s="11"/>
      <c r="O7" s="21"/>
      <c r="P7" s="21"/>
      <c r="Q7" s="21"/>
      <c r="R7" s="23"/>
      <c r="S7" s="50"/>
      <c r="T7" s="48"/>
      <c r="U7" s="81"/>
      <c r="V7" s="26"/>
      <c r="W7" s="200"/>
      <c r="X7" s="17"/>
      <c r="Z7">
        <v>1</v>
      </c>
      <c r="AA7" s="416"/>
      <c r="AB7" s="96">
        <v>5</v>
      </c>
      <c r="AC7" s="102" t="s">
        <v>64</v>
      </c>
      <c r="AD7" s="41">
        <f t="shared" si="1"/>
        <v>0</v>
      </c>
      <c r="AE7" s="70">
        <f t="shared" si="2"/>
        <v>0</v>
      </c>
      <c r="AF7" s="70">
        <f t="shared" si="3"/>
        <v>0</v>
      </c>
      <c r="AG7" s="70">
        <f t="shared" si="4"/>
        <v>0</v>
      </c>
      <c r="AH7" s="109">
        <f t="shared" si="5"/>
        <v>0</v>
      </c>
      <c r="AI7" s="120">
        <f t="shared" si="6"/>
        <v>0</v>
      </c>
      <c r="AJ7" s="121">
        <f t="shared" si="7"/>
        <v>0</v>
      </c>
      <c r="AK7" s="121">
        <f t="shared" si="8"/>
        <v>0</v>
      </c>
      <c r="AL7" s="121">
        <f t="shared" si="9"/>
        <v>0</v>
      </c>
      <c r="AM7" s="122">
        <f t="shared" si="10"/>
        <v>0</v>
      </c>
      <c r="AN7" s="41">
        <f t="shared" si="11"/>
        <v>0</v>
      </c>
      <c r="AO7" s="70">
        <f t="shared" si="12"/>
        <v>0</v>
      </c>
      <c r="AP7" s="70">
        <f t="shared" si="13"/>
        <v>0</v>
      </c>
      <c r="AQ7" s="70">
        <f t="shared" si="14"/>
        <v>0</v>
      </c>
      <c r="AR7" s="70">
        <f t="shared" si="15"/>
        <v>0</v>
      </c>
      <c r="AT7" s="157">
        <v>4</v>
      </c>
      <c r="AU7" s="158">
        <f t="shared" si="17"/>
        <v>0</v>
      </c>
      <c r="AV7" s="159">
        <f t="shared" si="18"/>
        <v>0</v>
      </c>
    </row>
    <row r="8" spans="2:48" s="10" customFormat="1" ht="13.5" customHeight="1" thickBot="1" x14ac:dyDescent="0.3">
      <c r="B8" s="17">
        <v>6</v>
      </c>
      <c r="E8" s="72"/>
      <c r="F8" s="18"/>
      <c r="J8" s="11"/>
      <c r="K8" s="11">
        <f t="shared" si="0"/>
        <v>0</v>
      </c>
      <c r="L8" s="37">
        <f t="shared" si="16"/>
        <v>0</v>
      </c>
      <c r="M8" s="11"/>
      <c r="O8" s="21"/>
      <c r="P8" s="21"/>
      <c r="Q8" s="21"/>
      <c r="R8" s="23"/>
      <c r="S8" s="50"/>
      <c r="T8" s="48"/>
      <c r="U8" s="81"/>
      <c r="V8" s="26"/>
      <c r="W8" s="200"/>
      <c r="X8" s="17"/>
      <c r="Z8">
        <v>1</v>
      </c>
      <c r="AA8" s="417"/>
      <c r="AB8" s="97" t="s">
        <v>3</v>
      </c>
      <c r="AC8" s="103"/>
      <c r="AD8" s="99">
        <f>SUM(AD3:AD7)</f>
        <v>0</v>
      </c>
      <c r="AE8" s="99">
        <f t="shared" ref="AE8" si="19">SUM(AE3:AE7)</f>
        <v>0</v>
      </c>
      <c r="AF8" s="99">
        <f t="shared" ref="AF8" si="20">SUM(AF3:AF7)</f>
        <v>0</v>
      </c>
      <c r="AG8" s="99">
        <f t="shared" ref="AG8" si="21">SUM(AG3:AG7)</f>
        <v>0</v>
      </c>
      <c r="AH8" s="110">
        <f t="shared" ref="AH8" si="22">SUM(AH3:AH7)</f>
        <v>0</v>
      </c>
      <c r="AI8" s="123">
        <f t="shared" ref="AI8" si="23">SUM(AI3:AI7)</f>
        <v>0</v>
      </c>
      <c r="AJ8" s="124">
        <f t="shared" ref="AJ8" si="24">SUM(AJ3:AJ7)</f>
        <v>0</v>
      </c>
      <c r="AK8" s="124">
        <f t="shared" ref="AK8" si="25">SUM(AK3:AK7)</f>
        <v>0</v>
      </c>
      <c r="AL8" s="124">
        <f t="shared" ref="AL8" si="26">SUM(AL3:AL7)</f>
        <v>0</v>
      </c>
      <c r="AM8" s="125">
        <f t="shared" ref="AM8" si="27">SUM(AM3:AM7)</f>
        <v>0</v>
      </c>
      <c r="AN8" s="99">
        <f t="shared" ref="AN8" si="28">SUM(AN3:AN7)</f>
        <v>0</v>
      </c>
      <c r="AO8" s="99">
        <f t="shared" ref="AO8" si="29">SUM(AO3:AO7)</f>
        <v>0</v>
      </c>
      <c r="AP8" s="99">
        <f t="shared" ref="AP8" si="30">SUM(AP3:AP7)</f>
        <v>0</v>
      </c>
      <c r="AQ8" s="99">
        <f t="shared" ref="AQ8" si="31">SUM(AQ3:AQ7)</f>
        <v>0</v>
      </c>
      <c r="AR8" s="99">
        <f t="shared" ref="AR8" si="32">SUM(AR3:AR7)</f>
        <v>0</v>
      </c>
      <c r="AT8" s="157">
        <v>5</v>
      </c>
      <c r="AU8" s="158">
        <f t="shared" si="17"/>
        <v>0</v>
      </c>
      <c r="AV8" s="159">
        <f t="shared" si="18"/>
        <v>0</v>
      </c>
    </row>
    <row r="9" spans="2:48" s="10" customFormat="1" ht="13.5" customHeight="1" x14ac:dyDescent="0.25">
      <c r="B9" s="17">
        <v>7</v>
      </c>
      <c r="E9" s="72"/>
      <c r="F9" s="18"/>
      <c r="J9" s="11"/>
      <c r="K9" s="11">
        <f t="shared" si="0"/>
        <v>0</v>
      </c>
      <c r="L9" s="37">
        <f t="shared" si="16"/>
        <v>0</v>
      </c>
      <c r="M9" s="11"/>
      <c r="O9" s="21"/>
      <c r="P9" s="21"/>
      <c r="Q9" s="21"/>
      <c r="R9" s="23"/>
      <c r="S9" s="50"/>
      <c r="T9" s="48"/>
      <c r="U9" s="81"/>
      <c r="V9" s="26"/>
      <c r="W9" s="200"/>
      <c r="X9" s="17"/>
      <c r="Z9">
        <v>2</v>
      </c>
      <c r="AA9" s="415">
        <v>2</v>
      </c>
      <c r="AB9" s="94">
        <v>1</v>
      </c>
      <c r="AC9" s="104" t="s">
        <v>106</v>
      </c>
      <c r="AD9" s="41">
        <f t="shared" si="1"/>
        <v>0</v>
      </c>
      <c r="AE9" s="70">
        <f t="shared" si="2"/>
        <v>0</v>
      </c>
      <c r="AF9" s="70">
        <f t="shared" si="3"/>
        <v>0</v>
      </c>
      <c r="AG9" s="70">
        <f t="shared" si="4"/>
        <v>0</v>
      </c>
      <c r="AH9" s="109">
        <f t="shared" si="5"/>
        <v>0</v>
      </c>
      <c r="AI9" s="120">
        <f t="shared" si="6"/>
        <v>0</v>
      </c>
      <c r="AJ9" s="121">
        <f t="shared" si="7"/>
        <v>0</v>
      </c>
      <c r="AK9" s="121">
        <f t="shared" si="8"/>
        <v>0</v>
      </c>
      <c r="AL9" s="121">
        <f t="shared" si="9"/>
        <v>0</v>
      </c>
      <c r="AM9" s="122">
        <f t="shared" si="10"/>
        <v>0</v>
      </c>
      <c r="AN9" s="41">
        <f t="shared" si="11"/>
        <v>0</v>
      </c>
      <c r="AO9" s="70">
        <f t="shared" si="12"/>
        <v>0</v>
      </c>
      <c r="AP9" s="70">
        <f t="shared" si="13"/>
        <v>0</v>
      </c>
      <c r="AQ9" s="70">
        <f t="shared" si="14"/>
        <v>0</v>
      </c>
      <c r="AR9" s="70">
        <f t="shared" si="15"/>
        <v>0</v>
      </c>
      <c r="AT9" s="157">
        <v>6</v>
      </c>
      <c r="AU9" s="158">
        <f t="shared" si="17"/>
        <v>0</v>
      </c>
      <c r="AV9" s="159">
        <f t="shared" si="18"/>
        <v>0</v>
      </c>
    </row>
    <row r="10" spans="2:48" s="10" customFormat="1" ht="13.5" customHeight="1" x14ac:dyDescent="0.25">
      <c r="B10" s="17">
        <v>8</v>
      </c>
      <c r="E10" s="72"/>
      <c r="F10" s="18"/>
      <c r="J10" s="11"/>
      <c r="K10" s="11">
        <f t="shared" si="0"/>
        <v>0</v>
      </c>
      <c r="L10" s="37">
        <f t="shared" si="16"/>
        <v>0</v>
      </c>
      <c r="M10" s="11"/>
      <c r="O10" s="21"/>
      <c r="P10" s="21"/>
      <c r="Q10" s="21"/>
      <c r="R10" s="23"/>
      <c r="S10" s="50"/>
      <c r="T10" s="48"/>
      <c r="U10" s="81"/>
      <c r="V10" s="26"/>
      <c r="W10" s="200"/>
      <c r="X10" s="17"/>
      <c r="Z10">
        <v>2</v>
      </c>
      <c r="AA10" s="416"/>
      <c r="AB10" s="95">
        <v>2</v>
      </c>
      <c r="AC10" s="102" t="s">
        <v>65</v>
      </c>
      <c r="AD10" s="41">
        <f t="shared" si="1"/>
        <v>0</v>
      </c>
      <c r="AE10" s="70">
        <f t="shared" si="2"/>
        <v>0</v>
      </c>
      <c r="AF10" s="70">
        <f t="shared" si="3"/>
        <v>0</v>
      </c>
      <c r="AG10" s="70">
        <f t="shared" si="4"/>
        <v>0</v>
      </c>
      <c r="AH10" s="109">
        <f t="shared" si="5"/>
        <v>0</v>
      </c>
      <c r="AI10" s="120">
        <f t="shared" si="6"/>
        <v>0</v>
      </c>
      <c r="AJ10" s="121">
        <f t="shared" si="7"/>
        <v>0</v>
      </c>
      <c r="AK10" s="121">
        <f t="shared" si="8"/>
        <v>0</v>
      </c>
      <c r="AL10" s="121">
        <f t="shared" si="9"/>
        <v>0</v>
      </c>
      <c r="AM10" s="122">
        <f t="shared" si="10"/>
        <v>0</v>
      </c>
      <c r="AN10" s="41">
        <f t="shared" si="11"/>
        <v>0</v>
      </c>
      <c r="AO10" s="70">
        <f t="shared" si="12"/>
        <v>0</v>
      </c>
      <c r="AP10" s="70">
        <f t="shared" si="13"/>
        <v>0</v>
      </c>
      <c r="AQ10" s="70">
        <f t="shared" si="14"/>
        <v>0</v>
      </c>
      <c r="AR10" s="70">
        <f t="shared" si="15"/>
        <v>0</v>
      </c>
      <c r="AT10" s="157">
        <v>7</v>
      </c>
      <c r="AU10" s="158">
        <f t="shared" si="17"/>
        <v>0</v>
      </c>
      <c r="AV10" s="159">
        <f t="shared" si="18"/>
        <v>0</v>
      </c>
    </row>
    <row r="11" spans="2:48" s="10" customFormat="1" ht="13.5" customHeight="1" x14ac:dyDescent="0.25">
      <c r="B11" s="17">
        <v>9</v>
      </c>
      <c r="E11" s="72"/>
      <c r="F11" s="18"/>
      <c r="J11" s="11"/>
      <c r="K11" s="11">
        <f t="shared" si="0"/>
        <v>0</v>
      </c>
      <c r="L11" s="37">
        <f t="shared" si="16"/>
        <v>0</v>
      </c>
      <c r="M11" s="11"/>
      <c r="O11" s="21"/>
      <c r="P11" s="21"/>
      <c r="Q11" s="21"/>
      <c r="R11" s="23"/>
      <c r="S11" s="50"/>
      <c r="T11" s="48"/>
      <c r="U11" s="81"/>
      <c r="V11" s="26"/>
      <c r="W11" s="200"/>
      <c r="X11" s="17"/>
      <c r="Z11">
        <v>2</v>
      </c>
      <c r="AA11" s="416"/>
      <c r="AB11" s="95">
        <v>3</v>
      </c>
      <c r="AC11" s="102" t="s">
        <v>66</v>
      </c>
      <c r="AD11" s="41">
        <f t="shared" si="1"/>
        <v>0</v>
      </c>
      <c r="AE11" s="70">
        <f t="shared" si="2"/>
        <v>0</v>
      </c>
      <c r="AF11" s="70">
        <f t="shared" si="3"/>
        <v>0</v>
      </c>
      <c r="AG11" s="70">
        <f t="shared" si="4"/>
        <v>0</v>
      </c>
      <c r="AH11" s="109">
        <f t="shared" si="5"/>
        <v>0</v>
      </c>
      <c r="AI11" s="120">
        <f t="shared" si="6"/>
        <v>0</v>
      </c>
      <c r="AJ11" s="121">
        <f t="shared" si="7"/>
        <v>0</v>
      </c>
      <c r="AK11" s="121">
        <f t="shared" si="8"/>
        <v>0</v>
      </c>
      <c r="AL11" s="121">
        <f t="shared" si="9"/>
        <v>0</v>
      </c>
      <c r="AM11" s="122">
        <f t="shared" si="10"/>
        <v>0</v>
      </c>
      <c r="AN11" s="41">
        <f t="shared" si="11"/>
        <v>0</v>
      </c>
      <c r="AO11" s="70">
        <f t="shared" si="12"/>
        <v>0</v>
      </c>
      <c r="AP11" s="70">
        <f t="shared" si="13"/>
        <v>0</v>
      </c>
      <c r="AQ11" s="70">
        <f t="shared" si="14"/>
        <v>0</v>
      </c>
      <c r="AR11" s="70">
        <f t="shared" si="15"/>
        <v>0</v>
      </c>
      <c r="AT11" s="157">
        <v>8</v>
      </c>
      <c r="AU11" s="158">
        <f t="shared" si="17"/>
        <v>0</v>
      </c>
      <c r="AV11" s="159">
        <f t="shared" si="18"/>
        <v>0</v>
      </c>
    </row>
    <row r="12" spans="2:48" s="10" customFormat="1" ht="13.5" customHeight="1" x14ac:dyDescent="0.25">
      <c r="B12" s="17">
        <v>10</v>
      </c>
      <c r="E12" s="72"/>
      <c r="F12" s="18"/>
      <c r="J12" s="11"/>
      <c r="K12" s="11">
        <f t="shared" si="0"/>
        <v>0</v>
      </c>
      <c r="L12" s="37">
        <f t="shared" si="16"/>
        <v>0</v>
      </c>
      <c r="M12" s="11"/>
      <c r="O12" s="21"/>
      <c r="P12" s="21"/>
      <c r="Q12" s="21"/>
      <c r="R12" s="23"/>
      <c r="S12" s="50"/>
      <c r="T12" s="48"/>
      <c r="U12" s="81"/>
      <c r="V12" s="26"/>
      <c r="W12" s="200"/>
      <c r="X12" s="17"/>
      <c r="Z12">
        <v>2</v>
      </c>
      <c r="AA12" s="416"/>
      <c r="AB12" s="95">
        <v>4</v>
      </c>
      <c r="AC12" s="102" t="s">
        <v>67</v>
      </c>
      <c r="AD12" s="41">
        <f t="shared" si="1"/>
        <v>0</v>
      </c>
      <c r="AE12" s="70">
        <f t="shared" si="2"/>
        <v>0</v>
      </c>
      <c r="AF12" s="70">
        <f t="shared" si="3"/>
        <v>0</v>
      </c>
      <c r="AG12" s="70">
        <f t="shared" si="4"/>
        <v>0</v>
      </c>
      <c r="AH12" s="109">
        <f t="shared" si="5"/>
        <v>0</v>
      </c>
      <c r="AI12" s="120">
        <f t="shared" si="6"/>
        <v>0</v>
      </c>
      <c r="AJ12" s="121">
        <f t="shared" si="7"/>
        <v>0</v>
      </c>
      <c r="AK12" s="121">
        <f t="shared" si="8"/>
        <v>0</v>
      </c>
      <c r="AL12" s="121">
        <f t="shared" si="9"/>
        <v>0</v>
      </c>
      <c r="AM12" s="122">
        <f t="shared" si="10"/>
        <v>0</v>
      </c>
      <c r="AN12" s="41">
        <f t="shared" si="11"/>
        <v>0</v>
      </c>
      <c r="AO12" s="70">
        <f t="shared" si="12"/>
        <v>0</v>
      </c>
      <c r="AP12" s="70">
        <f t="shared" si="13"/>
        <v>0</v>
      </c>
      <c r="AQ12" s="70">
        <f t="shared" si="14"/>
        <v>0</v>
      </c>
      <c r="AR12" s="70">
        <f t="shared" si="15"/>
        <v>0</v>
      </c>
      <c r="AT12" s="157">
        <v>9</v>
      </c>
      <c r="AU12" s="158">
        <f t="shared" si="17"/>
        <v>0</v>
      </c>
      <c r="AV12" s="159">
        <f t="shared" si="18"/>
        <v>0</v>
      </c>
    </row>
    <row r="13" spans="2:48" s="10" customFormat="1" ht="13.5" customHeight="1" x14ac:dyDescent="0.25">
      <c r="B13" s="17">
        <v>11</v>
      </c>
      <c r="E13" s="72"/>
      <c r="F13" s="18"/>
      <c r="J13" s="11"/>
      <c r="K13" s="11">
        <f t="shared" si="0"/>
        <v>0</v>
      </c>
      <c r="L13" s="37">
        <f t="shared" si="16"/>
        <v>0</v>
      </c>
      <c r="M13" s="11"/>
      <c r="O13" s="21"/>
      <c r="P13" s="21"/>
      <c r="Q13" s="21"/>
      <c r="R13" s="23"/>
      <c r="S13" s="50"/>
      <c r="T13" s="48"/>
      <c r="U13" s="81"/>
      <c r="V13" s="26"/>
      <c r="W13" s="200"/>
      <c r="X13" s="17"/>
      <c r="Z13">
        <v>2</v>
      </c>
      <c r="AA13" s="416"/>
      <c r="AB13" s="96">
        <v>5</v>
      </c>
      <c r="AC13" s="102"/>
      <c r="AD13" s="41">
        <f t="shared" si="1"/>
        <v>0</v>
      </c>
      <c r="AE13" s="70">
        <f t="shared" si="2"/>
        <v>0</v>
      </c>
      <c r="AF13" s="70">
        <f t="shared" si="3"/>
        <v>0</v>
      </c>
      <c r="AG13" s="70">
        <f t="shared" si="4"/>
        <v>0</v>
      </c>
      <c r="AH13" s="109">
        <f t="shared" si="5"/>
        <v>0</v>
      </c>
      <c r="AI13" s="120">
        <f t="shared" si="6"/>
        <v>0</v>
      </c>
      <c r="AJ13" s="121">
        <f t="shared" si="7"/>
        <v>0</v>
      </c>
      <c r="AK13" s="121">
        <f t="shared" si="8"/>
        <v>0</v>
      </c>
      <c r="AL13" s="121">
        <f t="shared" si="9"/>
        <v>0</v>
      </c>
      <c r="AM13" s="122">
        <f t="shared" si="10"/>
        <v>0</v>
      </c>
      <c r="AN13" s="41">
        <f t="shared" si="11"/>
        <v>0</v>
      </c>
      <c r="AO13" s="70">
        <f t="shared" si="12"/>
        <v>0</v>
      </c>
      <c r="AP13" s="70">
        <f t="shared" si="13"/>
        <v>0</v>
      </c>
      <c r="AQ13" s="70">
        <f t="shared" si="14"/>
        <v>0</v>
      </c>
      <c r="AR13" s="70">
        <f t="shared" si="15"/>
        <v>0</v>
      </c>
      <c r="AT13" s="157">
        <v>10</v>
      </c>
      <c r="AU13" s="158">
        <f t="shared" si="17"/>
        <v>0</v>
      </c>
      <c r="AV13" s="159">
        <f t="shared" si="18"/>
        <v>0</v>
      </c>
    </row>
    <row r="14" spans="2:48" s="10" customFormat="1" ht="13.5" customHeight="1" thickBot="1" x14ac:dyDescent="0.3">
      <c r="B14" s="17">
        <v>12</v>
      </c>
      <c r="E14" s="72"/>
      <c r="F14" s="18"/>
      <c r="J14" s="11"/>
      <c r="K14" s="11">
        <f t="shared" si="0"/>
        <v>0</v>
      </c>
      <c r="L14" s="37">
        <f t="shared" si="16"/>
        <v>0</v>
      </c>
      <c r="M14" s="11"/>
      <c r="O14" s="21"/>
      <c r="P14" s="21"/>
      <c r="Q14" s="21"/>
      <c r="R14" s="23"/>
      <c r="S14" s="50"/>
      <c r="T14" s="48"/>
      <c r="U14" s="81"/>
      <c r="V14" s="31"/>
      <c r="W14" s="200"/>
      <c r="X14" s="17"/>
      <c r="Z14">
        <v>2</v>
      </c>
      <c r="AA14" s="417"/>
      <c r="AB14" s="97" t="s">
        <v>3</v>
      </c>
      <c r="AC14" s="103"/>
      <c r="AD14" s="99">
        <f>SUM(AD9:AD13)</f>
        <v>0</v>
      </c>
      <c r="AE14" s="99">
        <f t="shared" ref="AE14" si="33">SUM(AE9:AE13)</f>
        <v>0</v>
      </c>
      <c r="AF14" s="99">
        <f t="shared" ref="AF14" si="34">SUM(AF9:AF13)</f>
        <v>0</v>
      </c>
      <c r="AG14" s="99">
        <f t="shared" ref="AG14" si="35">SUM(AG9:AG13)</f>
        <v>0</v>
      </c>
      <c r="AH14" s="110">
        <f t="shared" ref="AH14" si="36">SUM(AH9:AH13)</f>
        <v>0</v>
      </c>
      <c r="AI14" s="123">
        <f t="shared" ref="AI14" si="37">SUM(AI9:AI13)</f>
        <v>0</v>
      </c>
      <c r="AJ14" s="124">
        <f t="shared" ref="AJ14" si="38">SUM(AJ9:AJ13)</f>
        <v>0</v>
      </c>
      <c r="AK14" s="124">
        <f t="shared" ref="AK14" si="39">SUM(AK9:AK13)</f>
        <v>0</v>
      </c>
      <c r="AL14" s="124">
        <f t="shared" ref="AL14" si="40">SUM(AL9:AL13)</f>
        <v>0</v>
      </c>
      <c r="AM14" s="125">
        <f t="shared" ref="AM14" si="41">SUM(AM9:AM13)</f>
        <v>0</v>
      </c>
      <c r="AN14" s="99">
        <f t="shared" ref="AN14" si="42">SUM(AN9:AN13)</f>
        <v>0</v>
      </c>
      <c r="AO14" s="99">
        <f t="shared" ref="AO14" si="43">SUM(AO9:AO13)</f>
        <v>0</v>
      </c>
      <c r="AP14" s="99">
        <f t="shared" ref="AP14" si="44">SUM(AP9:AP13)</f>
        <v>0</v>
      </c>
      <c r="AQ14" s="99">
        <f t="shared" ref="AQ14" si="45">SUM(AQ9:AQ13)</f>
        <v>0</v>
      </c>
      <c r="AR14" s="99">
        <f t="shared" ref="AR14" si="46">SUM(AR9:AR13)</f>
        <v>0</v>
      </c>
      <c r="AT14" s="157">
        <v>11</v>
      </c>
      <c r="AU14" s="158">
        <f t="shared" si="17"/>
        <v>0</v>
      </c>
      <c r="AV14" s="159">
        <f t="shared" si="18"/>
        <v>0</v>
      </c>
    </row>
    <row r="15" spans="2:48" s="10" customFormat="1" ht="13.5" customHeight="1" thickBot="1" x14ac:dyDescent="0.3">
      <c r="B15" s="17">
        <v>13</v>
      </c>
      <c r="E15" s="72"/>
      <c r="F15" s="18"/>
      <c r="J15" s="11"/>
      <c r="K15" s="11">
        <f t="shared" si="0"/>
        <v>0</v>
      </c>
      <c r="L15" s="37">
        <f t="shared" si="16"/>
        <v>0</v>
      </c>
      <c r="M15" s="11"/>
      <c r="O15" s="21"/>
      <c r="P15" s="21"/>
      <c r="Q15" s="21"/>
      <c r="R15" s="23"/>
      <c r="S15" s="50"/>
      <c r="T15" s="48"/>
      <c r="U15" s="81"/>
      <c r="V15" s="32"/>
      <c r="W15" s="200"/>
      <c r="X15" s="17"/>
      <c r="Z15">
        <v>3</v>
      </c>
      <c r="AA15" s="415">
        <v>3</v>
      </c>
      <c r="AB15" s="94">
        <v>1</v>
      </c>
      <c r="AC15" s="100" t="s">
        <v>107</v>
      </c>
      <c r="AD15" s="41">
        <f t="shared" si="1"/>
        <v>0</v>
      </c>
      <c r="AE15" s="70">
        <f t="shared" si="2"/>
        <v>0</v>
      </c>
      <c r="AF15" s="70">
        <f t="shared" si="3"/>
        <v>0</v>
      </c>
      <c r="AG15" s="70">
        <f t="shared" si="4"/>
        <v>0</v>
      </c>
      <c r="AH15" s="109">
        <f t="shared" si="5"/>
        <v>0</v>
      </c>
      <c r="AI15" s="120">
        <f t="shared" si="6"/>
        <v>0</v>
      </c>
      <c r="AJ15" s="121">
        <f t="shared" si="7"/>
        <v>0</v>
      </c>
      <c r="AK15" s="121">
        <f t="shared" si="8"/>
        <v>0</v>
      </c>
      <c r="AL15" s="121">
        <f t="shared" si="9"/>
        <v>0</v>
      </c>
      <c r="AM15" s="122">
        <f t="shared" si="10"/>
        <v>0</v>
      </c>
      <c r="AN15" s="41">
        <f t="shared" si="11"/>
        <v>0</v>
      </c>
      <c r="AO15" s="70">
        <f t="shared" si="12"/>
        <v>0</v>
      </c>
      <c r="AP15" s="70">
        <f t="shared" si="13"/>
        <v>0</v>
      </c>
      <c r="AQ15" s="70">
        <f t="shared" si="14"/>
        <v>0</v>
      </c>
      <c r="AR15" s="70">
        <f t="shared" si="15"/>
        <v>0</v>
      </c>
      <c r="AT15" s="160">
        <v>12</v>
      </c>
      <c r="AU15" s="158">
        <f t="shared" si="17"/>
        <v>0</v>
      </c>
      <c r="AV15" s="159">
        <f t="shared" si="18"/>
        <v>0</v>
      </c>
    </row>
    <row r="16" spans="2:48" s="10" customFormat="1" ht="13.5" customHeight="1" thickBot="1" x14ac:dyDescent="0.3">
      <c r="B16" s="17">
        <v>14</v>
      </c>
      <c r="E16" s="72"/>
      <c r="F16" s="18"/>
      <c r="J16" s="11"/>
      <c r="K16" s="11">
        <f t="shared" si="0"/>
        <v>0</v>
      </c>
      <c r="L16" s="37">
        <f t="shared" si="16"/>
        <v>0</v>
      </c>
      <c r="M16" s="11"/>
      <c r="O16" s="21"/>
      <c r="P16" s="21"/>
      <c r="Q16" s="21"/>
      <c r="R16" s="23"/>
      <c r="S16" s="50"/>
      <c r="T16" s="48"/>
      <c r="U16" s="81"/>
      <c r="V16" s="32"/>
      <c r="W16" s="200"/>
      <c r="X16" s="17"/>
      <c r="Z16">
        <v>3</v>
      </c>
      <c r="AA16" s="416"/>
      <c r="AB16" s="95">
        <v>2</v>
      </c>
      <c r="AC16" s="101" t="s">
        <v>65</v>
      </c>
      <c r="AD16" s="41">
        <f t="shared" si="1"/>
        <v>0</v>
      </c>
      <c r="AE16" s="70">
        <f t="shared" si="2"/>
        <v>0</v>
      </c>
      <c r="AF16" s="70">
        <f t="shared" si="3"/>
        <v>0</v>
      </c>
      <c r="AG16" s="70">
        <f t="shared" si="4"/>
        <v>0</v>
      </c>
      <c r="AH16" s="109">
        <f t="shared" si="5"/>
        <v>0</v>
      </c>
      <c r="AI16" s="120">
        <f t="shared" si="6"/>
        <v>0</v>
      </c>
      <c r="AJ16" s="121">
        <f t="shared" si="7"/>
        <v>0</v>
      </c>
      <c r="AK16" s="121">
        <f t="shared" si="8"/>
        <v>0</v>
      </c>
      <c r="AL16" s="121">
        <f t="shared" si="9"/>
        <v>0</v>
      </c>
      <c r="AM16" s="122">
        <f t="shared" si="10"/>
        <v>0</v>
      </c>
      <c r="AN16" s="41">
        <f t="shared" si="11"/>
        <v>0</v>
      </c>
      <c r="AO16" s="70">
        <f t="shared" si="12"/>
        <v>0</v>
      </c>
      <c r="AP16" s="70">
        <f t="shared" si="13"/>
        <v>0</v>
      </c>
      <c r="AQ16" s="70">
        <f t="shared" si="14"/>
        <v>0</v>
      </c>
      <c r="AR16" s="70">
        <f t="shared" si="15"/>
        <v>0</v>
      </c>
      <c r="AT16" s="161" t="s">
        <v>3</v>
      </c>
      <c r="AU16" s="162">
        <f>SUM(AU4:AU15)</f>
        <v>0</v>
      </c>
      <c r="AV16" s="162">
        <f>SUM(AV4:AV15)</f>
        <v>0</v>
      </c>
    </row>
    <row r="17" spans="2:48" s="10" customFormat="1" ht="13.5" customHeight="1" thickBot="1" x14ac:dyDescent="0.3">
      <c r="B17" s="17">
        <v>15</v>
      </c>
      <c r="E17" s="72"/>
      <c r="F17" s="18"/>
      <c r="J17" s="11"/>
      <c r="K17" s="11">
        <f t="shared" si="0"/>
        <v>0</v>
      </c>
      <c r="L17" s="37">
        <f t="shared" si="16"/>
        <v>0</v>
      </c>
      <c r="M17" s="11"/>
      <c r="O17" s="21"/>
      <c r="P17" s="21"/>
      <c r="Q17" s="21"/>
      <c r="R17" s="23"/>
      <c r="S17" s="50"/>
      <c r="T17" s="48"/>
      <c r="U17" s="81"/>
      <c r="V17" s="32"/>
      <c r="W17" s="200"/>
      <c r="X17" s="17"/>
      <c r="Z17">
        <v>3</v>
      </c>
      <c r="AA17" s="416"/>
      <c r="AB17" s="95">
        <v>3</v>
      </c>
      <c r="AC17" s="102" t="s">
        <v>66</v>
      </c>
      <c r="AD17" s="41">
        <f t="shared" si="1"/>
        <v>0</v>
      </c>
      <c r="AE17" s="70">
        <f t="shared" si="2"/>
        <v>0</v>
      </c>
      <c r="AF17" s="70">
        <f t="shared" si="3"/>
        <v>0</v>
      </c>
      <c r="AG17" s="70">
        <f t="shared" si="4"/>
        <v>0</v>
      </c>
      <c r="AH17" s="109">
        <f t="shared" si="5"/>
        <v>0</v>
      </c>
      <c r="AI17" s="120">
        <f t="shared" si="6"/>
        <v>0</v>
      </c>
      <c r="AJ17" s="121">
        <f t="shared" si="7"/>
        <v>0</v>
      </c>
      <c r="AK17" s="121">
        <f t="shared" si="8"/>
        <v>0</v>
      </c>
      <c r="AL17" s="121">
        <f t="shared" si="9"/>
        <v>0</v>
      </c>
      <c r="AM17" s="122">
        <f t="shared" si="10"/>
        <v>0</v>
      </c>
      <c r="AN17" s="41">
        <f t="shared" si="11"/>
        <v>0</v>
      </c>
      <c r="AO17" s="70">
        <f t="shared" si="12"/>
        <v>0</v>
      </c>
      <c r="AP17" s="70">
        <f t="shared" si="13"/>
        <v>0</v>
      </c>
      <c r="AQ17" s="70">
        <f t="shared" si="14"/>
        <v>0</v>
      </c>
      <c r="AR17" s="70">
        <f t="shared" si="15"/>
        <v>0</v>
      </c>
      <c r="AT17" s="161" t="s">
        <v>152</v>
      </c>
      <c r="AU17" s="163" t="e">
        <f>AU16/($AU$16+$AV$16)</f>
        <v>#DIV/0!</v>
      </c>
      <c r="AV17" s="164" t="e">
        <f>AV16/($AV$16+$AU$16)</f>
        <v>#DIV/0!</v>
      </c>
    </row>
    <row r="18" spans="2:48" s="10" customFormat="1" ht="13.5" customHeight="1" x14ac:dyDescent="0.25">
      <c r="B18" s="17">
        <v>16</v>
      </c>
      <c r="E18" s="72"/>
      <c r="F18" s="18"/>
      <c r="J18" s="11"/>
      <c r="K18" s="11">
        <f t="shared" si="0"/>
        <v>0</v>
      </c>
      <c r="L18" s="37">
        <f t="shared" si="16"/>
        <v>0</v>
      </c>
      <c r="M18" s="11"/>
      <c r="O18" s="21"/>
      <c r="P18" s="21"/>
      <c r="Q18" s="21"/>
      <c r="R18" s="23"/>
      <c r="S18" s="50"/>
      <c r="T18" s="48"/>
      <c r="U18" s="81"/>
      <c r="V18" s="26"/>
      <c r="W18" s="200"/>
      <c r="X18" s="17"/>
      <c r="Z18">
        <v>3</v>
      </c>
      <c r="AA18" s="416"/>
      <c r="AB18" s="95">
        <v>4</v>
      </c>
      <c r="AC18" s="102" t="s">
        <v>67</v>
      </c>
      <c r="AD18" s="41">
        <f t="shared" si="1"/>
        <v>0</v>
      </c>
      <c r="AE18" s="70">
        <f t="shared" si="2"/>
        <v>0</v>
      </c>
      <c r="AF18" s="70">
        <f t="shared" si="3"/>
        <v>0</v>
      </c>
      <c r="AG18" s="70">
        <f t="shared" si="4"/>
        <v>0</v>
      </c>
      <c r="AH18" s="109">
        <f t="shared" si="5"/>
        <v>0</v>
      </c>
      <c r="AI18" s="120">
        <f t="shared" si="6"/>
        <v>0</v>
      </c>
      <c r="AJ18" s="121">
        <f t="shared" si="7"/>
        <v>0</v>
      </c>
      <c r="AK18" s="121">
        <f t="shared" si="8"/>
        <v>0</v>
      </c>
      <c r="AL18" s="121">
        <f t="shared" si="9"/>
        <v>0</v>
      </c>
      <c r="AM18" s="122">
        <f t="shared" si="10"/>
        <v>0</v>
      </c>
      <c r="AN18" s="41">
        <f t="shared" si="11"/>
        <v>0</v>
      </c>
      <c r="AO18" s="70">
        <f t="shared" si="12"/>
        <v>0</v>
      </c>
      <c r="AP18" s="70">
        <f t="shared" si="13"/>
        <v>0</v>
      </c>
      <c r="AQ18" s="70">
        <f t="shared" si="14"/>
        <v>0</v>
      </c>
      <c r="AR18" s="70">
        <f t="shared" si="15"/>
        <v>0</v>
      </c>
    </row>
    <row r="19" spans="2:48" s="10" customFormat="1" ht="13.5" customHeight="1" x14ac:dyDescent="0.25">
      <c r="B19" s="17">
        <v>17</v>
      </c>
      <c r="E19" s="72"/>
      <c r="F19" s="18"/>
      <c r="J19" s="11"/>
      <c r="K19" s="11">
        <f t="shared" si="0"/>
        <v>0</v>
      </c>
      <c r="L19" s="37">
        <f t="shared" si="16"/>
        <v>0</v>
      </c>
      <c r="M19" s="11"/>
      <c r="O19" s="21"/>
      <c r="P19" s="21"/>
      <c r="Q19" s="21"/>
      <c r="R19" s="23"/>
      <c r="S19" s="50"/>
      <c r="T19" s="48"/>
      <c r="U19" s="81"/>
      <c r="V19" s="26"/>
      <c r="W19" s="200"/>
      <c r="X19" s="17"/>
      <c r="Z19">
        <v>3</v>
      </c>
      <c r="AA19" s="416"/>
      <c r="AB19" s="96">
        <v>5</v>
      </c>
      <c r="AC19" s="102"/>
      <c r="AD19" s="41">
        <f t="shared" si="1"/>
        <v>0</v>
      </c>
      <c r="AE19" s="70">
        <f t="shared" si="2"/>
        <v>0</v>
      </c>
      <c r="AF19" s="70">
        <f t="shared" si="3"/>
        <v>0</v>
      </c>
      <c r="AG19" s="70">
        <f t="shared" si="4"/>
        <v>0</v>
      </c>
      <c r="AH19" s="109">
        <f t="shared" si="5"/>
        <v>0</v>
      </c>
      <c r="AI19" s="120">
        <f t="shared" si="6"/>
        <v>0</v>
      </c>
      <c r="AJ19" s="121">
        <f t="shared" si="7"/>
        <v>0</v>
      </c>
      <c r="AK19" s="121">
        <f t="shared" si="8"/>
        <v>0</v>
      </c>
      <c r="AL19" s="121">
        <f t="shared" si="9"/>
        <v>0</v>
      </c>
      <c r="AM19" s="122">
        <f t="shared" si="10"/>
        <v>0</v>
      </c>
      <c r="AN19" s="41">
        <f t="shared" si="11"/>
        <v>0</v>
      </c>
      <c r="AO19" s="70">
        <f t="shared" si="12"/>
        <v>0</v>
      </c>
      <c r="AP19" s="70">
        <f t="shared" si="13"/>
        <v>0</v>
      </c>
      <c r="AQ19" s="70">
        <f t="shared" si="14"/>
        <v>0</v>
      </c>
      <c r="AR19" s="70">
        <f t="shared" si="15"/>
        <v>0</v>
      </c>
    </row>
    <row r="20" spans="2:48" s="10" customFormat="1" ht="13.5" customHeight="1" thickBot="1" x14ac:dyDescent="0.3">
      <c r="B20" s="17">
        <v>18</v>
      </c>
      <c r="E20" s="72"/>
      <c r="F20" s="18"/>
      <c r="J20" s="11"/>
      <c r="K20" s="11">
        <f t="shared" si="0"/>
        <v>0</v>
      </c>
      <c r="L20" s="37">
        <f t="shared" si="16"/>
        <v>0</v>
      </c>
      <c r="M20" s="11"/>
      <c r="O20" s="21"/>
      <c r="P20" s="21"/>
      <c r="Q20" s="21"/>
      <c r="R20" s="23"/>
      <c r="S20" s="50"/>
      <c r="T20" s="48"/>
      <c r="U20" s="81"/>
      <c r="V20" s="26"/>
      <c r="W20" s="200"/>
      <c r="X20" s="17"/>
      <c r="Z20">
        <v>3</v>
      </c>
      <c r="AA20" s="417"/>
      <c r="AB20" s="97" t="s">
        <v>3</v>
      </c>
      <c r="AC20" s="103"/>
      <c r="AD20" s="99">
        <f>SUM(AD15:AD19)</f>
        <v>0</v>
      </c>
      <c r="AE20" s="99">
        <f t="shared" ref="AE20" si="47">SUM(AE15:AE19)</f>
        <v>0</v>
      </c>
      <c r="AF20" s="99">
        <f t="shared" ref="AF20" si="48">SUM(AF15:AF19)</f>
        <v>0</v>
      </c>
      <c r="AG20" s="99">
        <f t="shared" ref="AG20" si="49">SUM(AG15:AG19)</f>
        <v>0</v>
      </c>
      <c r="AH20" s="110">
        <f t="shared" ref="AH20" si="50">SUM(AH15:AH19)</f>
        <v>0</v>
      </c>
      <c r="AI20" s="123">
        <f t="shared" ref="AI20" si="51">SUM(AI15:AI19)</f>
        <v>0</v>
      </c>
      <c r="AJ20" s="124">
        <f t="shared" ref="AJ20" si="52">SUM(AJ15:AJ19)</f>
        <v>0</v>
      </c>
      <c r="AK20" s="124">
        <f t="shared" ref="AK20" si="53">SUM(AK15:AK19)</f>
        <v>0</v>
      </c>
      <c r="AL20" s="124">
        <f t="shared" ref="AL20" si="54">SUM(AL15:AL19)</f>
        <v>0</v>
      </c>
      <c r="AM20" s="125">
        <f t="shared" ref="AM20" si="55">SUM(AM15:AM19)</f>
        <v>0</v>
      </c>
      <c r="AN20" s="99">
        <f t="shared" ref="AN20" si="56">SUM(AN15:AN19)</f>
        <v>0</v>
      </c>
      <c r="AO20" s="99">
        <f t="shared" ref="AO20" si="57">SUM(AO15:AO19)</f>
        <v>0</v>
      </c>
      <c r="AP20" s="99">
        <f t="shared" ref="AP20" si="58">SUM(AP15:AP19)</f>
        <v>0</v>
      </c>
      <c r="AQ20" s="99">
        <f t="shared" ref="AQ20" si="59">SUM(AQ15:AQ19)</f>
        <v>0</v>
      </c>
      <c r="AR20" s="99">
        <f t="shared" ref="AR20" si="60">SUM(AR15:AR19)</f>
        <v>0</v>
      </c>
    </row>
    <row r="21" spans="2:48" s="10" customFormat="1" ht="13.5" customHeight="1" x14ac:dyDescent="0.25">
      <c r="B21" s="17">
        <v>19</v>
      </c>
      <c r="E21" s="72"/>
      <c r="F21" s="18"/>
      <c r="J21" s="11"/>
      <c r="K21" s="11">
        <f t="shared" si="0"/>
        <v>0</v>
      </c>
      <c r="L21" s="37">
        <f t="shared" si="16"/>
        <v>0</v>
      </c>
      <c r="M21" s="11"/>
      <c r="O21" s="21"/>
      <c r="P21" s="21"/>
      <c r="Q21" s="21"/>
      <c r="R21" s="23"/>
      <c r="S21" s="50"/>
      <c r="T21" s="48"/>
      <c r="U21" s="81"/>
      <c r="V21" s="26"/>
      <c r="W21" s="200"/>
      <c r="X21" s="17"/>
      <c r="Z21">
        <v>4</v>
      </c>
      <c r="AA21" s="415">
        <v>4</v>
      </c>
      <c r="AB21" s="94">
        <v>1</v>
      </c>
      <c r="AC21" s="100" t="s">
        <v>108</v>
      </c>
      <c r="AD21" s="41">
        <f t="shared" si="1"/>
        <v>0</v>
      </c>
      <c r="AE21" s="70">
        <f t="shared" si="2"/>
        <v>0</v>
      </c>
      <c r="AF21" s="70">
        <f t="shared" si="3"/>
        <v>0</v>
      </c>
      <c r="AG21" s="70">
        <f t="shared" si="4"/>
        <v>0</v>
      </c>
      <c r="AH21" s="109">
        <f t="shared" si="5"/>
        <v>0</v>
      </c>
      <c r="AI21" s="120">
        <f t="shared" si="6"/>
        <v>0</v>
      </c>
      <c r="AJ21" s="121">
        <f t="shared" si="7"/>
        <v>0</v>
      </c>
      <c r="AK21" s="121">
        <f t="shared" si="8"/>
        <v>0</v>
      </c>
      <c r="AL21" s="121">
        <f t="shared" si="9"/>
        <v>0</v>
      </c>
      <c r="AM21" s="122">
        <f t="shared" si="10"/>
        <v>0</v>
      </c>
      <c r="AN21" s="41">
        <f t="shared" si="11"/>
        <v>0</v>
      </c>
      <c r="AO21" s="70">
        <f t="shared" si="12"/>
        <v>0</v>
      </c>
      <c r="AP21" s="70">
        <f t="shared" si="13"/>
        <v>0</v>
      </c>
      <c r="AQ21" s="70">
        <f t="shared" si="14"/>
        <v>0</v>
      </c>
      <c r="AR21" s="70">
        <f t="shared" si="15"/>
        <v>0</v>
      </c>
    </row>
    <row r="22" spans="2:48" s="10" customFormat="1" ht="13.5" customHeight="1" x14ac:dyDescent="0.25">
      <c r="B22" s="17">
        <v>20</v>
      </c>
      <c r="E22" s="72"/>
      <c r="F22" s="18"/>
      <c r="J22" s="11"/>
      <c r="K22" s="11">
        <f t="shared" si="0"/>
        <v>0</v>
      </c>
      <c r="L22" s="37">
        <f t="shared" si="16"/>
        <v>0</v>
      </c>
      <c r="M22" s="11"/>
      <c r="O22" s="21"/>
      <c r="P22" s="21"/>
      <c r="Q22" s="21"/>
      <c r="R22" s="23"/>
      <c r="S22" s="50"/>
      <c r="T22" s="48"/>
      <c r="U22" s="81"/>
      <c r="V22" s="26"/>
      <c r="W22" s="200"/>
      <c r="X22" s="17"/>
      <c r="Z22">
        <v>4</v>
      </c>
      <c r="AA22" s="416"/>
      <c r="AB22" s="95">
        <v>2</v>
      </c>
      <c r="AC22" s="102" t="s">
        <v>68</v>
      </c>
      <c r="AD22" s="41">
        <f t="shared" si="1"/>
        <v>0</v>
      </c>
      <c r="AE22" s="70">
        <f t="shared" si="2"/>
        <v>0</v>
      </c>
      <c r="AF22" s="70">
        <f t="shared" si="3"/>
        <v>0</v>
      </c>
      <c r="AG22" s="70">
        <f t="shared" si="4"/>
        <v>0</v>
      </c>
      <c r="AH22" s="109">
        <f t="shared" si="5"/>
        <v>0</v>
      </c>
      <c r="AI22" s="120">
        <f t="shared" si="6"/>
        <v>0</v>
      </c>
      <c r="AJ22" s="121">
        <f t="shared" si="7"/>
        <v>0</v>
      </c>
      <c r="AK22" s="121">
        <f t="shared" si="8"/>
        <v>0</v>
      </c>
      <c r="AL22" s="121">
        <f t="shared" si="9"/>
        <v>0</v>
      </c>
      <c r="AM22" s="122">
        <f t="shared" si="10"/>
        <v>0</v>
      </c>
      <c r="AN22" s="41">
        <f t="shared" si="11"/>
        <v>0</v>
      </c>
      <c r="AO22" s="70">
        <f t="shared" si="12"/>
        <v>0</v>
      </c>
      <c r="AP22" s="70">
        <f t="shared" si="13"/>
        <v>0</v>
      </c>
      <c r="AQ22" s="70">
        <f t="shared" si="14"/>
        <v>0</v>
      </c>
      <c r="AR22" s="70">
        <f t="shared" si="15"/>
        <v>0</v>
      </c>
    </row>
    <row r="23" spans="2:48" s="10" customFormat="1" ht="13.5" customHeight="1" x14ac:dyDescent="0.25">
      <c r="B23" s="17">
        <v>21</v>
      </c>
      <c r="E23" s="72"/>
      <c r="F23" s="18"/>
      <c r="J23" s="11"/>
      <c r="K23" s="11">
        <f t="shared" si="0"/>
        <v>0</v>
      </c>
      <c r="L23" s="37">
        <f t="shared" si="16"/>
        <v>0</v>
      </c>
      <c r="M23" s="11"/>
      <c r="O23" s="21"/>
      <c r="P23" s="21"/>
      <c r="Q23" s="21"/>
      <c r="R23" s="23"/>
      <c r="S23" s="50"/>
      <c r="T23" s="48"/>
      <c r="U23" s="81"/>
      <c r="V23" s="26"/>
      <c r="W23" s="200"/>
      <c r="X23" s="17"/>
      <c r="Z23">
        <v>4</v>
      </c>
      <c r="AA23" s="416"/>
      <c r="AB23" s="95">
        <v>3</v>
      </c>
      <c r="AC23" s="102" t="s">
        <v>69</v>
      </c>
      <c r="AD23" s="41">
        <f t="shared" si="1"/>
        <v>0</v>
      </c>
      <c r="AE23" s="70">
        <f t="shared" si="2"/>
        <v>0</v>
      </c>
      <c r="AF23" s="70">
        <f t="shared" si="3"/>
        <v>0</v>
      </c>
      <c r="AG23" s="70">
        <f t="shared" si="4"/>
        <v>0</v>
      </c>
      <c r="AH23" s="109">
        <f t="shared" si="5"/>
        <v>0</v>
      </c>
      <c r="AI23" s="120">
        <f t="shared" si="6"/>
        <v>0</v>
      </c>
      <c r="AJ23" s="121">
        <f t="shared" si="7"/>
        <v>0</v>
      </c>
      <c r="AK23" s="121">
        <f t="shared" si="8"/>
        <v>0</v>
      </c>
      <c r="AL23" s="121">
        <f t="shared" si="9"/>
        <v>0</v>
      </c>
      <c r="AM23" s="122">
        <f t="shared" si="10"/>
        <v>0</v>
      </c>
      <c r="AN23" s="41">
        <f t="shared" si="11"/>
        <v>0</v>
      </c>
      <c r="AO23" s="70">
        <f t="shared" si="12"/>
        <v>0</v>
      </c>
      <c r="AP23" s="70">
        <f t="shared" si="13"/>
        <v>0</v>
      </c>
      <c r="AQ23" s="70">
        <f t="shared" si="14"/>
        <v>0</v>
      </c>
      <c r="AR23" s="70">
        <f t="shared" si="15"/>
        <v>0</v>
      </c>
    </row>
    <row r="24" spans="2:48" s="10" customFormat="1" ht="13.5" customHeight="1" x14ac:dyDescent="0.25">
      <c r="B24" s="17">
        <v>22</v>
      </c>
      <c r="E24" s="72"/>
      <c r="F24" s="18"/>
      <c r="J24" s="11"/>
      <c r="K24" s="11">
        <f t="shared" si="0"/>
        <v>0</v>
      </c>
      <c r="L24" s="37">
        <f t="shared" si="16"/>
        <v>0</v>
      </c>
      <c r="M24" s="11"/>
      <c r="O24" s="21"/>
      <c r="P24" s="21"/>
      <c r="Q24" s="21"/>
      <c r="R24" s="23"/>
      <c r="S24" s="50"/>
      <c r="T24" s="48"/>
      <c r="U24" s="81"/>
      <c r="V24" s="26"/>
      <c r="W24" s="200"/>
      <c r="X24" s="17"/>
      <c r="Z24">
        <v>4</v>
      </c>
      <c r="AA24" s="416"/>
      <c r="AB24" s="95">
        <v>4</v>
      </c>
      <c r="AC24" s="102" t="s">
        <v>70</v>
      </c>
      <c r="AD24" s="41">
        <f t="shared" si="1"/>
        <v>0</v>
      </c>
      <c r="AE24" s="70">
        <f t="shared" si="2"/>
        <v>0</v>
      </c>
      <c r="AF24" s="70">
        <f t="shared" si="3"/>
        <v>0</v>
      </c>
      <c r="AG24" s="70">
        <f t="shared" si="4"/>
        <v>0</v>
      </c>
      <c r="AH24" s="109">
        <f t="shared" si="5"/>
        <v>0</v>
      </c>
      <c r="AI24" s="120">
        <f t="shared" si="6"/>
        <v>0</v>
      </c>
      <c r="AJ24" s="121">
        <f t="shared" si="7"/>
        <v>0</v>
      </c>
      <c r="AK24" s="121">
        <f t="shared" si="8"/>
        <v>0</v>
      </c>
      <c r="AL24" s="121">
        <f t="shared" si="9"/>
        <v>0</v>
      </c>
      <c r="AM24" s="122">
        <f t="shared" si="10"/>
        <v>0</v>
      </c>
      <c r="AN24" s="41">
        <f t="shared" si="11"/>
        <v>0</v>
      </c>
      <c r="AO24" s="70">
        <f t="shared" si="12"/>
        <v>0</v>
      </c>
      <c r="AP24" s="70">
        <f t="shared" si="13"/>
        <v>0</v>
      </c>
      <c r="AQ24" s="70">
        <f t="shared" si="14"/>
        <v>0</v>
      </c>
      <c r="AR24" s="70">
        <f t="shared" si="15"/>
        <v>0</v>
      </c>
      <c r="AT24" s="201" t="s">
        <v>256</v>
      </c>
      <c r="AU24" s="201" t="s">
        <v>257</v>
      </c>
      <c r="AV24" s="201" t="s">
        <v>152</v>
      </c>
    </row>
    <row r="25" spans="2:48" s="10" customFormat="1" ht="13.5" customHeight="1" x14ac:dyDescent="0.25">
      <c r="B25" s="17">
        <v>23</v>
      </c>
      <c r="E25" s="72"/>
      <c r="F25" s="18"/>
      <c r="J25" s="11"/>
      <c r="K25" s="11">
        <f t="shared" si="0"/>
        <v>0</v>
      </c>
      <c r="L25" s="37">
        <f t="shared" si="16"/>
        <v>0</v>
      </c>
      <c r="M25" s="11"/>
      <c r="O25" s="21"/>
      <c r="P25" s="21"/>
      <c r="Q25" s="21"/>
      <c r="R25" s="23"/>
      <c r="S25" s="50"/>
      <c r="T25" s="48"/>
      <c r="U25" s="81"/>
      <c r="V25" s="26"/>
      <c r="W25" s="200"/>
      <c r="X25" s="17"/>
      <c r="Z25">
        <v>4</v>
      </c>
      <c r="AA25" s="416"/>
      <c r="AB25" s="96">
        <v>5</v>
      </c>
      <c r="AC25" s="102" t="s">
        <v>109</v>
      </c>
      <c r="AD25" s="41">
        <f t="shared" si="1"/>
        <v>0</v>
      </c>
      <c r="AE25" s="70">
        <f t="shared" si="2"/>
        <v>0</v>
      </c>
      <c r="AF25" s="70">
        <f t="shared" si="3"/>
        <v>0</v>
      </c>
      <c r="AG25" s="70">
        <f t="shared" si="4"/>
        <v>0</v>
      </c>
      <c r="AH25" s="109">
        <f t="shared" si="5"/>
        <v>0</v>
      </c>
      <c r="AI25" s="120">
        <f t="shared" si="6"/>
        <v>0</v>
      </c>
      <c r="AJ25" s="121">
        <f t="shared" si="7"/>
        <v>0</v>
      </c>
      <c r="AK25" s="121">
        <f t="shared" si="8"/>
        <v>0</v>
      </c>
      <c r="AL25" s="121">
        <f t="shared" si="9"/>
        <v>0</v>
      </c>
      <c r="AM25" s="122">
        <f t="shared" si="10"/>
        <v>0</v>
      </c>
      <c r="AN25" s="41">
        <f t="shared" si="11"/>
        <v>0</v>
      </c>
      <c r="AO25" s="70">
        <f t="shared" si="12"/>
        <v>0</v>
      </c>
      <c r="AP25" s="70">
        <f t="shared" si="13"/>
        <v>0</v>
      </c>
      <c r="AQ25" s="70">
        <f t="shared" si="14"/>
        <v>0</v>
      </c>
      <c r="AR25" s="70">
        <f t="shared" si="15"/>
        <v>0</v>
      </c>
      <c r="AT25" s="202" t="s">
        <v>270</v>
      </c>
      <c r="AU25" s="202">
        <f>COUNTIF($W:$W, AT25)</f>
        <v>0</v>
      </c>
      <c r="AV25" s="203" t="e">
        <f>AU25/$AU$33</f>
        <v>#DIV/0!</v>
      </c>
    </row>
    <row r="26" spans="2:48" s="10" customFormat="1" ht="13.5" customHeight="1" thickBot="1" x14ac:dyDescent="0.3">
      <c r="B26" s="17">
        <v>24</v>
      </c>
      <c r="E26" s="72"/>
      <c r="F26" s="18"/>
      <c r="J26" s="11"/>
      <c r="K26" s="11">
        <f t="shared" si="0"/>
        <v>0</v>
      </c>
      <c r="L26" s="37">
        <f t="shared" si="16"/>
        <v>0</v>
      </c>
      <c r="M26" s="11"/>
      <c r="O26" s="21"/>
      <c r="P26" s="21"/>
      <c r="Q26" s="21"/>
      <c r="R26" s="23"/>
      <c r="S26" s="50"/>
      <c r="T26" s="48"/>
      <c r="U26" s="81"/>
      <c r="V26" s="26"/>
      <c r="W26" s="200"/>
      <c r="X26" s="17"/>
      <c r="Z26">
        <v>4</v>
      </c>
      <c r="AA26" s="417"/>
      <c r="AB26" s="97" t="s">
        <v>3</v>
      </c>
      <c r="AC26" s="103"/>
      <c r="AD26" s="99">
        <f>SUM(AD21:AD25)</f>
        <v>0</v>
      </c>
      <c r="AE26" s="99">
        <f t="shared" ref="AE26" si="61">SUM(AE21:AE25)</f>
        <v>0</v>
      </c>
      <c r="AF26" s="99">
        <f t="shared" ref="AF26" si="62">SUM(AF21:AF25)</f>
        <v>0</v>
      </c>
      <c r="AG26" s="99">
        <f t="shared" ref="AG26" si="63">SUM(AG21:AG25)</f>
        <v>0</v>
      </c>
      <c r="AH26" s="110">
        <f t="shared" ref="AH26" si="64">SUM(AH21:AH25)</f>
        <v>0</v>
      </c>
      <c r="AI26" s="123">
        <f t="shared" ref="AI26" si="65">SUM(AI21:AI25)</f>
        <v>0</v>
      </c>
      <c r="AJ26" s="124">
        <f t="shared" ref="AJ26" si="66">SUM(AJ21:AJ25)</f>
        <v>0</v>
      </c>
      <c r="AK26" s="124">
        <f t="shared" ref="AK26" si="67">SUM(AK21:AK25)</f>
        <v>0</v>
      </c>
      <c r="AL26" s="124">
        <f t="shared" ref="AL26" si="68">SUM(AL21:AL25)</f>
        <v>0</v>
      </c>
      <c r="AM26" s="125">
        <f t="shared" ref="AM26" si="69">SUM(AM21:AM25)</f>
        <v>0</v>
      </c>
      <c r="AN26" s="99">
        <f t="shared" ref="AN26" si="70">SUM(AN21:AN25)</f>
        <v>0</v>
      </c>
      <c r="AO26" s="99">
        <f t="shared" ref="AO26" si="71">SUM(AO21:AO25)</f>
        <v>0</v>
      </c>
      <c r="AP26" s="99">
        <f t="shared" ref="AP26" si="72">SUM(AP21:AP25)</f>
        <v>0</v>
      </c>
      <c r="AQ26" s="99">
        <f t="shared" ref="AQ26" si="73">SUM(AQ21:AQ25)</f>
        <v>0</v>
      </c>
      <c r="AR26" s="99">
        <f t="shared" ref="AR26" si="74">SUM(AR21:AR25)</f>
        <v>0</v>
      </c>
      <c r="AT26" s="202" t="s">
        <v>259</v>
      </c>
      <c r="AU26" s="202">
        <f t="shared" ref="AU26:AU32" si="75">COUNTIF($W:$W, AT26)</f>
        <v>0</v>
      </c>
      <c r="AV26" s="203" t="e">
        <f t="shared" ref="AV26:AV33" si="76">AU26/$AU$33</f>
        <v>#DIV/0!</v>
      </c>
    </row>
    <row r="27" spans="2:48" s="10" customFormat="1" ht="13.5" customHeight="1" x14ac:dyDescent="0.25">
      <c r="B27" s="17">
        <v>25</v>
      </c>
      <c r="E27" s="72"/>
      <c r="F27" s="18"/>
      <c r="J27" s="11"/>
      <c r="K27" s="11">
        <f t="shared" si="0"/>
        <v>0</v>
      </c>
      <c r="L27" s="37">
        <f t="shared" si="16"/>
        <v>0</v>
      </c>
      <c r="M27" s="11"/>
      <c r="O27" s="21"/>
      <c r="P27" s="21"/>
      <c r="Q27" s="21"/>
      <c r="R27" s="23"/>
      <c r="S27" s="50"/>
      <c r="T27" s="48"/>
      <c r="U27" s="81"/>
      <c r="V27" s="26"/>
      <c r="W27" s="200"/>
      <c r="X27" s="17"/>
      <c r="Z27">
        <v>5</v>
      </c>
      <c r="AA27" s="415">
        <v>5</v>
      </c>
      <c r="AB27" s="94">
        <v>1</v>
      </c>
      <c r="AC27" s="100" t="s">
        <v>110</v>
      </c>
      <c r="AD27" s="41">
        <f t="shared" si="1"/>
        <v>0</v>
      </c>
      <c r="AE27" s="70">
        <f t="shared" si="2"/>
        <v>0</v>
      </c>
      <c r="AF27" s="70">
        <f t="shared" si="3"/>
        <v>0</v>
      </c>
      <c r="AG27" s="70">
        <f t="shared" si="4"/>
        <v>0</v>
      </c>
      <c r="AH27" s="109">
        <f t="shared" si="5"/>
        <v>0</v>
      </c>
      <c r="AI27" s="120">
        <f t="shared" si="6"/>
        <v>0</v>
      </c>
      <c r="AJ27" s="121">
        <f t="shared" si="7"/>
        <v>0</v>
      </c>
      <c r="AK27" s="121">
        <f t="shared" si="8"/>
        <v>0</v>
      </c>
      <c r="AL27" s="121">
        <f t="shared" si="9"/>
        <v>0</v>
      </c>
      <c r="AM27" s="122">
        <f t="shared" si="10"/>
        <v>0</v>
      </c>
      <c r="AN27" s="41">
        <f t="shared" si="11"/>
        <v>0</v>
      </c>
      <c r="AO27" s="70">
        <f t="shared" si="12"/>
        <v>0</v>
      </c>
      <c r="AP27" s="70">
        <f t="shared" si="13"/>
        <v>0</v>
      </c>
      <c r="AQ27" s="70">
        <f t="shared" si="14"/>
        <v>0</v>
      </c>
      <c r="AR27" s="70">
        <f t="shared" si="15"/>
        <v>0</v>
      </c>
      <c r="AT27" s="202" t="s">
        <v>260</v>
      </c>
      <c r="AU27" s="202">
        <f t="shared" si="75"/>
        <v>0</v>
      </c>
      <c r="AV27" s="203" t="e">
        <f t="shared" si="76"/>
        <v>#DIV/0!</v>
      </c>
    </row>
    <row r="28" spans="2:48" s="10" customFormat="1" ht="13.5" customHeight="1" x14ac:dyDescent="0.25">
      <c r="B28" s="17">
        <v>26</v>
      </c>
      <c r="E28" s="72"/>
      <c r="F28" s="18"/>
      <c r="J28" s="11"/>
      <c r="K28" s="11">
        <f t="shared" si="0"/>
        <v>0</v>
      </c>
      <c r="L28" s="37">
        <f t="shared" si="16"/>
        <v>0</v>
      </c>
      <c r="M28" s="11"/>
      <c r="O28" s="21"/>
      <c r="P28" s="21"/>
      <c r="Q28" s="21"/>
      <c r="R28" s="23"/>
      <c r="S28" s="50"/>
      <c r="T28" s="48"/>
      <c r="U28" s="81"/>
      <c r="V28" s="26"/>
      <c r="W28" s="200"/>
      <c r="X28" s="17"/>
      <c r="Z28">
        <v>5</v>
      </c>
      <c r="AA28" s="416"/>
      <c r="AB28" s="95">
        <v>2</v>
      </c>
      <c r="AC28" s="102" t="s">
        <v>111</v>
      </c>
      <c r="AD28" s="41">
        <f t="shared" si="1"/>
        <v>0</v>
      </c>
      <c r="AE28" s="70">
        <f t="shared" si="2"/>
        <v>0</v>
      </c>
      <c r="AF28" s="70">
        <f t="shared" si="3"/>
        <v>0</v>
      </c>
      <c r="AG28" s="70">
        <f t="shared" si="4"/>
        <v>0</v>
      </c>
      <c r="AH28" s="109">
        <f t="shared" si="5"/>
        <v>0</v>
      </c>
      <c r="AI28" s="120">
        <f t="shared" si="6"/>
        <v>0</v>
      </c>
      <c r="AJ28" s="121">
        <f t="shared" si="7"/>
        <v>0</v>
      </c>
      <c r="AK28" s="121">
        <f t="shared" si="8"/>
        <v>0</v>
      </c>
      <c r="AL28" s="121">
        <f t="shared" si="9"/>
        <v>0</v>
      </c>
      <c r="AM28" s="122">
        <f t="shared" si="10"/>
        <v>0</v>
      </c>
      <c r="AN28" s="41">
        <f t="shared" si="11"/>
        <v>0</v>
      </c>
      <c r="AO28" s="70">
        <f t="shared" si="12"/>
        <v>0</v>
      </c>
      <c r="AP28" s="70">
        <f t="shared" si="13"/>
        <v>0</v>
      </c>
      <c r="AQ28" s="70">
        <f t="shared" si="14"/>
        <v>0</v>
      </c>
      <c r="AR28" s="70">
        <f t="shared" si="15"/>
        <v>0</v>
      </c>
      <c r="AT28" s="202" t="s">
        <v>261</v>
      </c>
      <c r="AU28" s="202">
        <f t="shared" si="75"/>
        <v>0</v>
      </c>
      <c r="AV28" s="203" t="e">
        <f t="shared" si="76"/>
        <v>#DIV/0!</v>
      </c>
    </row>
    <row r="29" spans="2:48" s="10" customFormat="1" ht="13.5" customHeight="1" x14ac:dyDescent="0.25">
      <c r="B29" s="17">
        <v>27</v>
      </c>
      <c r="E29" s="72"/>
      <c r="F29" s="18"/>
      <c r="J29" s="11"/>
      <c r="K29" s="11">
        <f t="shared" si="0"/>
        <v>0</v>
      </c>
      <c r="L29" s="37">
        <f t="shared" si="16"/>
        <v>0</v>
      </c>
      <c r="M29" s="11"/>
      <c r="O29" s="21"/>
      <c r="P29" s="21"/>
      <c r="Q29" s="21"/>
      <c r="R29" s="23"/>
      <c r="S29" s="50"/>
      <c r="T29" s="48"/>
      <c r="U29" s="81"/>
      <c r="V29" s="26"/>
      <c r="W29" s="200"/>
      <c r="X29" s="17"/>
      <c r="Z29">
        <v>5</v>
      </c>
      <c r="AA29" s="416"/>
      <c r="AB29" s="95">
        <v>3</v>
      </c>
      <c r="AC29" s="102" t="s">
        <v>112</v>
      </c>
      <c r="AD29" s="41">
        <f t="shared" si="1"/>
        <v>0</v>
      </c>
      <c r="AE29" s="70">
        <f t="shared" si="2"/>
        <v>0</v>
      </c>
      <c r="AF29" s="70">
        <f t="shared" si="3"/>
        <v>0</v>
      </c>
      <c r="AG29" s="70">
        <f t="shared" si="4"/>
        <v>0</v>
      </c>
      <c r="AH29" s="109">
        <f t="shared" si="5"/>
        <v>0</v>
      </c>
      <c r="AI29" s="120">
        <f t="shared" si="6"/>
        <v>0</v>
      </c>
      <c r="AJ29" s="121">
        <f t="shared" si="7"/>
        <v>0</v>
      </c>
      <c r="AK29" s="121">
        <f t="shared" si="8"/>
        <v>0</v>
      </c>
      <c r="AL29" s="121">
        <f t="shared" si="9"/>
        <v>0</v>
      </c>
      <c r="AM29" s="122">
        <f t="shared" si="10"/>
        <v>0</v>
      </c>
      <c r="AN29" s="41">
        <f t="shared" si="11"/>
        <v>0</v>
      </c>
      <c r="AO29" s="70">
        <f t="shared" si="12"/>
        <v>0</v>
      </c>
      <c r="AP29" s="70">
        <f t="shared" si="13"/>
        <v>0</v>
      </c>
      <c r="AQ29" s="70">
        <f t="shared" si="14"/>
        <v>0</v>
      </c>
      <c r="AR29" s="70">
        <f t="shared" si="15"/>
        <v>0</v>
      </c>
      <c r="AT29" s="202" t="s">
        <v>262</v>
      </c>
      <c r="AU29" s="202">
        <f t="shared" si="75"/>
        <v>0</v>
      </c>
      <c r="AV29" s="203" t="e">
        <f t="shared" si="76"/>
        <v>#DIV/0!</v>
      </c>
    </row>
    <row r="30" spans="2:48" s="10" customFormat="1" ht="13.5" customHeight="1" x14ac:dyDescent="0.25">
      <c r="B30" s="17">
        <v>28</v>
      </c>
      <c r="E30" s="72"/>
      <c r="F30" s="18"/>
      <c r="J30" s="11"/>
      <c r="K30" s="11">
        <f t="shared" si="0"/>
        <v>0</v>
      </c>
      <c r="L30" s="37">
        <f t="shared" si="16"/>
        <v>0</v>
      </c>
      <c r="M30" s="11"/>
      <c r="O30" s="21"/>
      <c r="P30" s="21"/>
      <c r="Q30" s="21"/>
      <c r="R30" s="23"/>
      <c r="S30" s="50"/>
      <c r="T30" s="48"/>
      <c r="U30" s="81"/>
      <c r="V30" s="26"/>
      <c r="W30" s="200"/>
      <c r="X30" s="17"/>
      <c r="Z30">
        <v>5</v>
      </c>
      <c r="AA30" s="416"/>
      <c r="AB30" s="95">
        <v>4</v>
      </c>
      <c r="AC30" s="102" t="s">
        <v>113</v>
      </c>
      <c r="AD30" s="41">
        <f t="shared" si="1"/>
        <v>0</v>
      </c>
      <c r="AE30" s="70">
        <f t="shared" si="2"/>
        <v>0</v>
      </c>
      <c r="AF30" s="70">
        <f t="shared" si="3"/>
        <v>0</v>
      </c>
      <c r="AG30" s="70">
        <f t="shared" si="4"/>
        <v>0</v>
      </c>
      <c r="AH30" s="109">
        <f t="shared" si="5"/>
        <v>0</v>
      </c>
      <c r="AI30" s="120">
        <f t="shared" si="6"/>
        <v>0</v>
      </c>
      <c r="AJ30" s="121">
        <f t="shared" si="7"/>
        <v>0</v>
      </c>
      <c r="AK30" s="121">
        <f t="shared" si="8"/>
        <v>0</v>
      </c>
      <c r="AL30" s="121">
        <f t="shared" si="9"/>
        <v>0</v>
      </c>
      <c r="AM30" s="122">
        <f t="shared" si="10"/>
        <v>0</v>
      </c>
      <c r="AN30" s="41">
        <f t="shared" si="11"/>
        <v>0</v>
      </c>
      <c r="AO30" s="70">
        <f t="shared" si="12"/>
        <v>0</v>
      </c>
      <c r="AP30" s="70">
        <f t="shared" si="13"/>
        <v>0</v>
      </c>
      <c r="AQ30" s="70">
        <f t="shared" si="14"/>
        <v>0</v>
      </c>
      <c r="AR30" s="70">
        <f t="shared" si="15"/>
        <v>0</v>
      </c>
      <c r="AT30" s="202" t="s">
        <v>263</v>
      </c>
      <c r="AU30" s="202">
        <f t="shared" si="75"/>
        <v>0</v>
      </c>
      <c r="AV30" s="203" t="e">
        <f t="shared" si="76"/>
        <v>#DIV/0!</v>
      </c>
    </row>
    <row r="31" spans="2:48" s="10" customFormat="1" ht="13.5" customHeight="1" x14ac:dyDescent="0.25">
      <c r="B31" s="17">
        <v>29</v>
      </c>
      <c r="E31" s="72"/>
      <c r="F31" s="18"/>
      <c r="J31" s="11"/>
      <c r="K31" s="11">
        <f t="shared" si="0"/>
        <v>0</v>
      </c>
      <c r="L31" s="37">
        <f t="shared" si="16"/>
        <v>0</v>
      </c>
      <c r="M31" s="11"/>
      <c r="O31" s="21"/>
      <c r="P31" s="21"/>
      <c r="Q31" s="21"/>
      <c r="R31" s="23"/>
      <c r="S31" s="50"/>
      <c r="T31" s="48"/>
      <c r="U31" s="81"/>
      <c r="V31" s="26"/>
      <c r="W31" s="200"/>
      <c r="X31" s="17"/>
      <c r="Z31">
        <v>5</v>
      </c>
      <c r="AA31" s="416"/>
      <c r="AB31" s="96">
        <v>5</v>
      </c>
      <c r="AC31" s="102"/>
      <c r="AD31" s="41">
        <f t="shared" si="1"/>
        <v>0</v>
      </c>
      <c r="AE31" s="70">
        <f t="shared" si="2"/>
        <v>0</v>
      </c>
      <c r="AF31" s="70">
        <f t="shared" si="3"/>
        <v>0</v>
      </c>
      <c r="AG31" s="70">
        <f t="shared" si="4"/>
        <v>0</v>
      </c>
      <c r="AH31" s="109">
        <f t="shared" si="5"/>
        <v>0</v>
      </c>
      <c r="AI31" s="120">
        <f t="shared" si="6"/>
        <v>0</v>
      </c>
      <c r="AJ31" s="121">
        <f t="shared" si="7"/>
        <v>0</v>
      </c>
      <c r="AK31" s="121">
        <f t="shared" si="8"/>
        <v>0</v>
      </c>
      <c r="AL31" s="121">
        <f t="shared" si="9"/>
        <v>0</v>
      </c>
      <c r="AM31" s="122">
        <f t="shared" si="10"/>
        <v>0</v>
      </c>
      <c r="AN31" s="41">
        <f t="shared" si="11"/>
        <v>0</v>
      </c>
      <c r="AO31" s="70">
        <f t="shared" si="12"/>
        <v>0</v>
      </c>
      <c r="AP31" s="70">
        <f t="shared" si="13"/>
        <v>0</v>
      </c>
      <c r="AQ31" s="70">
        <f t="shared" si="14"/>
        <v>0</v>
      </c>
      <c r="AR31" s="70">
        <f t="shared" si="15"/>
        <v>0</v>
      </c>
      <c r="AT31" s="202" t="s">
        <v>264</v>
      </c>
      <c r="AU31" s="202">
        <f t="shared" si="75"/>
        <v>0</v>
      </c>
      <c r="AV31" s="203" t="e">
        <f t="shared" si="76"/>
        <v>#DIV/0!</v>
      </c>
    </row>
    <row r="32" spans="2:48" s="10" customFormat="1" ht="13.5" customHeight="1" thickBot="1" x14ac:dyDescent="0.3">
      <c r="B32" s="17">
        <v>30</v>
      </c>
      <c r="E32" s="72"/>
      <c r="F32" s="18"/>
      <c r="J32" s="11"/>
      <c r="K32" s="11">
        <f t="shared" si="0"/>
        <v>0</v>
      </c>
      <c r="L32" s="37">
        <f t="shared" si="16"/>
        <v>0</v>
      </c>
      <c r="M32" s="11"/>
      <c r="O32" s="21"/>
      <c r="P32" s="21"/>
      <c r="Q32" s="21"/>
      <c r="R32" s="23"/>
      <c r="S32" s="50"/>
      <c r="T32" s="48"/>
      <c r="U32" s="81"/>
      <c r="V32" s="26"/>
      <c r="W32" s="200"/>
      <c r="X32" s="17"/>
      <c r="Z32">
        <v>5</v>
      </c>
      <c r="AA32" s="417"/>
      <c r="AB32" s="97" t="s">
        <v>3</v>
      </c>
      <c r="AC32" s="103"/>
      <c r="AD32" s="99">
        <f>SUM(AD27:AD31)</f>
        <v>0</v>
      </c>
      <c r="AE32" s="99">
        <f t="shared" ref="AE32" si="77">SUM(AE27:AE31)</f>
        <v>0</v>
      </c>
      <c r="AF32" s="99">
        <f t="shared" ref="AF32" si="78">SUM(AF27:AF31)</f>
        <v>0</v>
      </c>
      <c r="AG32" s="99">
        <f t="shared" ref="AG32" si="79">SUM(AG27:AG31)</f>
        <v>0</v>
      </c>
      <c r="AH32" s="110">
        <f t="shared" ref="AH32" si="80">SUM(AH27:AH31)</f>
        <v>0</v>
      </c>
      <c r="AI32" s="123">
        <f t="shared" ref="AI32" si="81">SUM(AI27:AI31)</f>
        <v>0</v>
      </c>
      <c r="AJ32" s="124">
        <f t="shared" ref="AJ32" si="82">SUM(AJ27:AJ31)</f>
        <v>0</v>
      </c>
      <c r="AK32" s="124">
        <f t="shared" ref="AK32" si="83">SUM(AK27:AK31)</f>
        <v>0</v>
      </c>
      <c r="AL32" s="124">
        <f t="shared" ref="AL32" si="84">SUM(AL27:AL31)</f>
        <v>0</v>
      </c>
      <c r="AM32" s="125">
        <f t="shared" ref="AM32" si="85">SUM(AM27:AM31)</f>
        <v>0</v>
      </c>
      <c r="AN32" s="99">
        <f t="shared" ref="AN32" si="86">SUM(AN27:AN31)</f>
        <v>0</v>
      </c>
      <c r="AO32" s="99">
        <f t="shared" ref="AO32" si="87">SUM(AO27:AO31)</f>
        <v>0</v>
      </c>
      <c r="AP32" s="99">
        <f t="shared" ref="AP32" si="88">SUM(AP27:AP31)</f>
        <v>0</v>
      </c>
      <c r="AQ32" s="99">
        <f t="shared" ref="AQ32" si="89">SUM(AQ27:AQ31)</f>
        <v>0</v>
      </c>
      <c r="AR32" s="99">
        <f t="shared" ref="AR32" si="90">SUM(AR27:AR31)</f>
        <v>0</v>
      </c>
      <c r="AT32" s="202" t="s">
        <v>265</v>
      </c>
      <c r="AU32" s="202">
        <f t="shared" si="75"/>
        <v>0</v>
      </c>
      <c r="AV32" s="203" t="e">
        <f t="shared" si="76"/>
        <v>#DIV/0!</v>
      </c>
    </row>
    <row r="33" spans="2:48" s="10" customFormat="1" ht="13.5" customHeight="1" x14ac:dyDescent="0.25">
      <c r="B33" s="17">
        <v>31</v>
      </c>
      <c r="E33" s="72"/>
      <c r="F33" s="18"/>
      <c r="J33" s="11"/>
      <c r="K33" s="11">
        <f t="shared" si="0"/>
        <v>0</v>
      </c>
      <c r="L33" s="37">
        <f t="shared" si="16"/>
        <v>0</v>
      </c>
      <c r="M33" s="11"/>
      <c r="O33" s="21"/>
      <c r="P33" s="21"/>
      <c r="Q33" s="21"/>
      <c r="R33" s="23"/>
      <c r="S33" s="50"/>
      <c r="T33" s="48"/>
      <c r="U33" s="81"/>
      <c r="V33" s="26"/>
      <c r="W33" s="200"/>
      <c r="X33" s="17"/>
      <c r="Z33">
        <v>6</v>
      </c>
      <c r="AA33" s="415">
        <v>6</v>
      </c>
      <c r="AB33" s="94">
        <v>1</v>
      </c>
      <c r="AC33" s="100" t="s">
        <v>114</v>
      </c>
      <c r="AD33" s="41">
        <f t="shared" si="1"/>
        <v>0</v>
      </c>
      <c r="AE33" s="70">
        <f t="shared" si="2"/>
        <v>0</v>
      </c>
      <c r="AF33" s="70">
        <f t="shared" si="3"/>
        <v>0</v>
      </c>
      <c r="AG33" s="70">
        <f t="shared" si="4"/>
        <v>0</v>
      </c>
      <c r="AH33" s="109">
        <f t="shared" si="5"/>
        <v>0</v>
      </c>
      <c r="AI33" s="120">
        <f t="shared" si="6"/>
        <v>0</v>
      </c>
      <c r="AJ33" s="121">
        <f t="shared" si="7"/>
        <v>0</v>
      </c>
      <c r="AK33" s="121">
        <f t="shared" si="8"/>
        <v>0</v>
      </c>
      <c r="AL33" s="121">
        <f t="shared" si="9"/>
        <v>0</v>
      </c>
      <c r="AM33" s="122">
        <f t="shared" si="10"/>
        <v>0</v>
      </c>
      <c r="AN33" s="41">
        <f t="shared" si="11"/>
        <v>0</v>
      </c>
      <c r="AO33" s="70">
        <f t="shared" si="12"/>
        <v>0</v>
      </c>
      <c r="AP33" s="70">
        <f t="shared" si="13"/>
        <v>0</v>
      </c>
      <c r="AQ33" s="70">
        <f t="shared" si="14"/>
        <v>0</v>
      </c>
      <c r="AR33" s="70">
        <f t="shared" si="15"/>
        <v>0</v>
      </c>
      <c r="AT33" s="201" t="s">
        <v>266</v>
      </c>
      <c r="AU33" s="201">
        <f>SUM(AU25:AU32)</f>
        <v>0</v>
      </c>
      <c r="AV33" s="204" t="e">
        <f t="shared" si="76"/>
        <v>#DIV/0!</v>
      </c>
    </row>
    <row r="34" spans="2:48" s="10" customFormat="1" ht="13.5" customHeight="1" x14ac:dyDescent="0.25">
      <c r="B34" s="17">
        <v>32</v>
      </c>
      <c r="E34" s="72"/>
      <c r="F34" s="18"/>
      <c r="J34" s="11"/>
      <c r="K34" s="11">
        <f t="shared" si="0"/>
        <v>0</v>
      </c>
      <c r="L34" s="37">
        <f t="shared" si="16"/>
        <v>0</v>
      </c>
      <c r="M34" s="11"/>
      <c r="O34" s="21"/>
      <c r="P34" s="21"/>
      <c r="Q34" s="21"/>
      <c r="R34" s="23"/>
      <c r="S34" s="50"/>
      <c r="T34" s="48"/>
      <c r="U34" s="81"/>
      <c r="V34" s="26"/>
      <c r="W34" s="200"/>
      <c r="X34" s="17"/>
      <c r="Z34">
        <v>6</v>
      </c>
      <c r="AA34" s="416"/>
      <c r="AB34" s="95">
        <v>2</v>
      </c>
      <c r="AC34" s="102" t="s">
        <v>115</v>
      </c>
      <c r="AD34" s="41">
        <f t="shared" si="1"/>
        <v>0</v>
      </c>
      <c r="AE34" s="70">
        <f t="shared" si="2"/>
        <v>0</v>
      </c>
      <c r="AF34" s="70">
        <f t="shared" si="3"/>
        <v>0</v>
      </c>
      <c r="AG34" s="70">
        <f t="shared" si="4"/>
        <v>0</v>
      </c>
      <c r="AH34" s="109">
        <f t="shared" si="5"/>
        <v>0</v>
      </c>
      <c r="AI34" s="120">
        <f t="shared" si="6"/>
        <v>0</v>
      </c>
      <c r="AJ34" s="121">
        <f t="shared" si="7"/>
        <v>0</v>
      </c>
      <c r="AK34" s="121">
        <f t="shared" si="8"/>
        <v>0</v>
      </c>
      <c r="AL34" s="121">
        <f t="shared" si="9"/>
        <v>0</v>
      </c>
      <c r="AM34" s="122">
        <f t="shared" si="10"/>
        <v>0</v>
      </c>
      <c r="AN34" s="41">
        <f t="shared" si="11"/>
        <v>0</v>
      </c>
      <c r="AO34" s="70">
        <f t="shared" si="12"/>
        <v>0</v>
      </c>
      <c r="AP34" s="70">
        <f t="shared" si="13"/>
        <v>0</v>
      </c>
      <c r="AQ34" s="70">
        <f t="shared" si="14"/>
        <v>0</v>
      </c>
      <c r="AR34" s="70">
        <f t="shared" si="15"/>
        <v>0</v>
      </c>
    </row>
    <row r="35" spans="2:48" s="10" customFormat="1" ht="13.5" customHeight="1" x14ac:dyDescent="0.25">
      <c r="B35" s="17">
        <v>33</v>
      </c>
      <c r="E35" s="72"/>
      <c r="F35" s="18"/>
      <c r="J35" s="11"/>
      <c r="K35" s="11">
        <f t="shared" si="0"/>
        <v>0</v>
      </c>
      <c r="L35" s="37">
        <f t="shared" si="16"/>
        <v>0</v>
      </c>
      <c r="M35" s="11"/>
      <c r="O35" s="21"/>
      <c r="P35" s="21"/>
      <c r="Q35" s="21"/>
      <c r="R35" s="23"/>
      <c r="S35" s="50"/>
      <c r="T35" s="48"/>
      <c r="U35" s="81"/>
      <c r="V35" s="26"/>
      <c r="W35" s="200"/>
      <c r="X35" s="17"/>
      <c r="Z35">
        <v>6</v>
      </c>
      <c r="AA35" s="416"/>
      <c r="AB35" s="95">
        <v>3</v>
      </c>
      <c r="AC35" s="102" t="s">
        <v>116</v>
      </c>
      <c r="AD35" s="41">
        <f t="shared" si="1"/>
        <v>0</v>
      </c>
      <c r="AE35" s="70">
        <f t="shared" si="2"/>
        <v>0</v>
      </c>
      <c r="AF35" s="70">
        <f t="shared" si="3"/>
        <v>0</v>
      </c>
      <c r="AG35" s="70">
        <f t="shared" si="4"/>
        <v>0</v>
      </c>
      <c r="AH35" s="109">
        <f t="shared" si="5"/>
        <v>0</v>
      </c>
      <c r="AI35" s="120">
        <f t="shared" si="6"/>
        <v>0</v>
      </c>
      <c r="AJ35" s="121">
        <f t="shared" si="7"/>
        <v>0</v>
      </c>
      <c r="AK35" s="121">
        <f t="shared" si="8"/>
        <v>0</v>
      </c>
      <c r="AL35" s="121">
        <f t="shared" si="9"/>
        <v>0</v>
      </c>
      <c r="AM35" s="122">
        <f t="shared" si="10"/>
        <v>0</v>
      </c>
      <c r="AN35" s="41">
        <f t="shared" si="11"/>
        <v>0</v>
      </c>
      <c r="AO35" s="70">
        <f t="shared" si="12"/>
        <v>0</v>
      </c>
      <c r="AP35" s="70">
        <f t="shared" si="13"/>
        <v>0</v>
      </c>
      <c r="AQ35" s="70">
        <f t="shared" si="14"/>
        <v>0</v>
      </c>
      <c r="AR35" s="70">
        <f t="shared" si="15"/>
        <v>0</v>
      </c>
    </row>
    <row r="36" spans="2:48" s="10" customFormat="1" ht="13.5" customHeight="1" x14ac:dyDescent="0.25">
      <c r="B36" s="17">
        <v>34</v>
      </c>
      <c r="E36" s="72"/>
      <c r="F36" s="18"/>
      <c r="J36" s="11"/>
      <c r="K36" s="11">
        <f t="shared" si="0"/>
        <v>0</v>
      </c>
      <c r="L36" s="37">
        <f t="shared" si="16"/>
        <v>0</v>
      </c>
      <c r="M36" s="11"/>
      <c r="O36" s="21"/>
      <c r="P36" s="21"/>
      <c r="Q36" s="21"/>
      <c r="R36" s="23"/>
      <c r="S36" s="50"/>
      <c r="T36" s="48"/>
      <c r="U36" s="81"/>
      <c r="V36" s="32"/>
      <c r="W36" s="200"/>
      <c r="X36" s="17"/>
      <c r="Z36">
        <v>6</v>
      </c>
      <c r="AA36" s="416"/>
      <c r="AB36" s="95">
        <v>4</v>
      </c>
      <c r="AC36" s="102" t="s">
        <v>117</v>
      </c>
      <c r="AD36" s="41">
        <f t="shared" si="1"/>
        <v>0</v>
      </c>
      <c r="AE36" s="70">
        <f t="shared" si="2"/>
        <v>0</v>
      </c>
      <c r="AF36" s="70">
        <f t="shared" si="3"/>
        <v>0</v>
      </c>
      <c r="AG36" s="70">
        <f t="shared" si="4"/>
        <v>0</v>
      </c>
      <c r="AH36" s="109">
        <f t="shared" si="5"/>
        <v>0</v>
      </c>
      <c r="AI36" s="120">
        <f t="shared" si="6"/>
        <v>0</v>
      </c>
      <c r="AJ36" s="121">
        <f t="shared" si="7"/>
        <v>0</v>
      </c>
      <c r="AK36" s="121">
        <f t="shared" si="8"/>
        <v>0</v>
      </c>
      <c r="AL36" s="121">
        <f t="shared" si="9"/>
        <v>0</v>
      </c>
      <c r="AM36" s="122">
        <f t="shared" si="10"/>
        <v>0</v>
      </c>
      <c r="AN36" s="41">
        <f t="shared" si="11"/>
        <v>0</v>
      </c>
      <c r="AO36" s="70">
        <f t="shared" si="12"/>
        <v>0</v>
      </c>
      <c r="AP36" s="70">
        <f t="shared" si="13"/>
        <v>0</v>
      </c>
      <c r="AQ36" s="70">
        <f t="shared" si="14"/>
        <v>0</v>
      </c>
      <c r="AR36" s="70">
        <f t="shared" si="15"/>
        <v>0</v>
      </c>
    </row>
    <row r="37" spans="2:48" s="10" customFormat="1" ht="13.5" customHeight="1" x14ac:dyDescent="0.25">
      <c r="B37" s="17">
        <v>35</v>
      </c>
      <c r="E37" s="72"/>
      <c r="F37" s="18"/>
      <c r="J37" s="11"/>
      <c r="K37" s="11">
        <f t="shared" si="0"/>
        <v>0</v>
      </c>
      <c r="L37" s="37">
        <f t="shared" si="16"/>
        <v>0</v>
      </c>
      <c r="M37" s="11"/>
      <c r="O37" s="21"/>
      <c r="P37" s="21"/>
      <c r="Q37" s="21"/>
      <c r="R37" s="23"/>
      <c r="S37" s="50"/>
      <c r="T37" s="48"/>
      <c r="U37" s="81"/>
      <c r="V37" s="32"/>
      <c r="W37" s="200"/>
      <c r="X37" s="17"/>
      <c r="Z37">
        <v>6</v>
      </c>
      <c r="AA37" s="416"/>
      <c r="AB37" s="96">
        <v>5</v>
      </c>
      <c r="AC37" s="102"/>
      <c r="AD37" s="41">
        <f t="shared" si="1"/>
        <v>0</v>
      </c>
      <c r="AE37" s="70">
        <f t="shared" si="2"/>
        <v>0</v>
      </c>
      <c r="AF37" s="70">
        <f t="shared" si="3"/>
        <v>0</v>
      </c>
      <c r="AG37" s="70">
        <f t="shared" si="4"/>
        <v>0</v>
      </c>
      <c r="AH37" s="109">
        <f t="shared" si="5"/>
        <v>0</v>
      </c>
      <c r="AI37" s="120">
        <f t="shared" si="6"/>
        <v>0</v>
      </c>
      <c r="AJ37" s="121">
        <f t="shared" si="7"/>
        <v>0</v>
      </c>
      <c r="AK37" s="121">
        <f t="shared" si="8"/>
        <v>0</v>
      </c>
      <c r="AL37" s="121">
        <f t="shared" si="9"/>
        <v>0</v>
      </c>
      <c r="AM37" s="122">
        <f t="shared" si="10"/>
        <v>0</v>
      </c>
      <c r="AN37" s="41">
        <f t="shared" si="11"/>
        <v>0</v>
      </c>
      <c r="AO37" s="70">
        <f t="shared" si="12"/>
        <v>0</v>
      </c>
      <c r="AP37" s="70">
        <f t="shared" si="13"/>
        <v>0</v>
      </c>
      <c r="AQ37" s="70">
        <f t="shared" si="14"/>
        <v>0</v>
      </c>
      <c r="AR37" s="70">
        <f t="shared" si="15"/>
        <v>0</v>
      </c>
    </row>
    <row r="38" spans="2:48" s="10" customFormat="1" ht="13.5" customHeight="1" thickBot="1" x14ac:dyDescent="0.3">
      <c r="B38" s="17">
        <v>36</v>
      </c>
      <c r="E38" s="72"/>
      <c r="F38" s="18"/>
      <c r="J38" s="11"/>
      <c r="K38" s="11">
        <f t="shared" si="0"/>
        <v>0</v>
      </c>
      <c r="L38" s="37">
        <f t="shared" si="16"/>
        <v>0</v>
      </c>
      <c r="M38" s="11"/>
      <c r="O38" s="21"/>
      <c r="P38" s="21"/>
      <c r="Q38" s="21"/>
      <c r="R38" s="23"/>
      <c r="S38" s="50"/>
      <c r="T38" s="48"/>
      <c r="U38" s="81"/>
      <c r="V38" s="26"/>
      <c r="W38" s="200"/>
      <c r="X38" s="17"/>
      <c r="Z38">
        <v>6</v>
      </c>
      <c r="AA38" s="417"/>
      <c r="AB38" s="97" t="s">
        <v>3</v>
      </c>
      <c r="AC38" s="103"/>
      <c r="AD38" s="99">
        <f>SUM(AD33:AD37)</f>
        <v>0</v>
      </c>
      <c r="AE38" s="99">
        <f t="shared" ref="AE38" si="91">SUM(AE33:AE37)</f>
        <v>0</v>
      </c>
      <c r="AF38" s="99">
        <f t="shared" ref="AF38" si="92">SUM(AF33:AF37)</f>
        <v>0</v>
      </c>
      <c r="AG38" s="99">
        <f t="shared" ref="AG38" si="93">SUM(AG33:AG37)</f>
        <v>0</v>
      </c>
      <c r="AH38" s="110">
        <f t="shared" ref="AH38" si="94">SUM(AH33:AH37)</f>
        <v>0</v>
      </c>
      <c r="AI38" s="123">
        <f t="shared" ref="AI38" si="95">SUM(AI33:AI37)</f>
        <v>0</v>
      </c>
      <c r="AJ38" s="124">
        <f t="shared" ref="AJ38" si="96">SUM(AJ33:AJ37)</f>
        <v>0</v>
      </c>
      <c r="AK38" s="124">
        <f t="shared" ref="AK38" si="97">SUM(AK33:AK37)</f>
        <v>0</v>
      </c>
      <c r="AL38" s="124">
        <f t="shared" ref="AL38" si="98">SUM(AL33:AL37)</f>
        <v>0</v>
      </c>
      <c r="AM38" s="125">
        <f t="shared" ref="AM38" si="99">SUM(AM33:AM37)</f>
        <v>0</v>
      </c>
      <c r="AN38" s="99">
        <f t="shared" ref="AN38" si="100">SUM(AN33:AN37)</f>
        <v>0</v>
      </c>
      <c r="AO38" s="99">
        <f t="shared" ref="AO38" si="101">SUM(AO33:AO37)</f>
        <v>0</v>
      </c>
      <c r="AP38" s="99">
        <f t="shared" ref="AP38" si="102">SUM(AP33:AP37)</f>
        <v>0</v>
      </c>
      <c r="AQ38" s="99">
        <f t="shared" ref="AQ38" si="103">SUM(AQ33:AQ37)</f>
        <v>0</v>
      </c>
      <c r="AR38" s="99">
        <f t="shared" ref="AR38" si="104">SUM(AR33:AR37)</f>
        <v>0</v>
      </c>
    </row>
    <row r="39" spans="2:48" s="10" customFormat="1" ht="13.5" customHeight="1" x14ac:dyDescent="0.25">
      <c r="B39" s="17">
        <v>37</v>
      </c>
      <c r="E39" s="72"/>
      <c r="F39" s="18"/>
      <c r="J39" s="11"/>
      <c r="K39" s="11">
        <f t="shared" si="0"/>
        <v>0</v>
      </c>
      <c r="L39" s="37">
        <f t="shared" si="16"/>
        <v>0</v>
      </c>
      <c r="M39" s="11"/>
      <c r="O39" s="21"/>
      <c r="P39" s="21"/>
      <c r="Q39" s="21"/>
      <c r="R39" s="23"/>
      <c r="S39" s="50"/>
      <c r="T39" s="48"/>
      <c r="U39" s="81"/>
      <c r="V39" s="26"/>
      <c r="W39" s="200"/>
      <c r="X39" s="17"/>
      <c r="Z39">
        <v>7</v>
      </c>
      <c r="AA39" s="415">
        <v>7</v>
      </c>
      <c r="AB39" s="94">
        <v>1</v>
      </c>
      <c r="AC39" s="100" t="s">
        <v>118</v>
      </c>
      <c r="AD39" s="41">
        <f t="shared" si="1"/>
        <v>0</v>
      </c>
      <c r="AE39" s="70">
        <f t="shared" si="2"/>
        <v>0</v>
      </c>
      <c r="AF39" s="70">
        <f t="shared" si="3"/>
        <v>0</v>
      </c>
      <c r="AG39" s="70">
        <f t="shared" si="4"/>
        <v>0</v>
      </c>
      <c r="AH39" s="109">
        <f t="shared" si="5"/>
        <v>0</v>
      </c>
      <c r="AI39" s="120">
        <f t="shared" si="6"/>
        <v>0</v>
      </c>
      <c r="AJ39" s="121">
        <f t="shared" si="7"/>
        <v>0</v>
      </c>
      <c r="AK39" s="121">
        <f t="shared" si="8"/>
        <v>0</v>
      </c>
      <c r="AL39" s="121">
        <f t="shared" si="9"/>
        <v>0</v>
      </c>
      <c r="AM39" s="122">
        <f t="shared" si="10"/>
        <v>0</v>
      </c>
      <c r="AN39" s="41">
        <f t="shared" si="11"/>
        <v>0</v>
      </c>
      <c r="AO39" s="70">
        <f t="shared" si="12"/>
        <v>0</v>
      </c>
      <c r="AP39" s="70">
        <f t="shared" si="13"/>
        <v>0</v>
      </c>
      <c r="AQ39" s="70">
        <f t="shared" si="14"/>
        <v>0</v>
      </c>
      <c r="AR39" s="70">
        <f t="shared" si="15"/>
        <v>0</v>
      </c>
    </row>
    <row r="40" spans="2:48" s="10" customFormat="1" ht="13.5" customHeight="1" x14ac:dyDescent="0.25">
      <c r="B40" s="17">
        <v>38</v>
      </c>
      <c r="E40" s="72"/>
      <c r="F40" s="18"/>
      <c r="J40" s="11"/>
      <c r="K40" s="11">
        <f t="shared" si="0"/>
        <v>0</v>
      </c>
      <c r="L40" s="37">
        <f t="shared" si="16"/>
        <v>0</v>
      </c>
      <c r="M40" s="11"/>
      <c r="O40" s="21"/>
      <c r="P40" s="21"/>
      <c r="Q40" s="21"/>
      <c r="R40" s="23"/>
      <c r="S40" s="50"/>
      <c r="T40" s="48"/>
      <c r="U40" s="81"/>
      <c r="V40" s="26"/>
      <c r="W40" s="200"/>
      <c r="X40" s="17"/>
      <c r="Z40">
        <v>7</v>
      </c>
      <c r="AA40" s="416"/>
      <c r="AB40" s="95">
        <v>2</v>
      </c>
      <c r="AC40" s="102" t="s">
        <v>68</v>
      </c>
      <c r="AD40" s="41">
        <f t="shared" si="1"/>
        <v>0</v>
      </c>
      <c r="AE40" s="70">
        <f t="shared" si="2"/>
        <v>0</v>
      </c>
      <c r="AF40" s="70">
        <f t="shared" si="3"/>
        <v>0</v>
      </c>
      <c r="AG40" s="70">
        <f t="shared" si="4"/>
        <v>0</v>
      </c>
      <c r="AH40" s="109">
        <f t="shared" si="5"/>
        <v>0</v>
      </c>
      <c r="AI40" s="120">
        <f t="shared" si="6"/>
        <v>0</v>
      </c>
      <c r="AJ40" s="121">
        <f t="shared" si="7"/>
        <v>0</v>
      </c>
      <c r="AK40" s="121">
        <f t="shared" si="8"/>
        <v>0</v>
      </c>
      <c r="AL40" s="121">
        <f t="shared" si="9"/>
        <v>0</v>
      </c>
      <c r="AM40" s="122">
        <f t="shared" si="10"/>
        <v>0</v>
      </c>
      <c r="AN40" s="41">
        <f t="shared" si="11"/>
        <v>0</v>
      </c>
      <c r="AO40" s="70">
        <f t="shared" si="12"/>
        <v>0</v>
      </c>
      <c r="AP40" s="70">
        <f t="shared" si="13"/>
        <v>0</v>
      </c>
      <c r="AQ40" s="70">
        <f t="shared" si="14"/>
        <v>0</v>
      </c>
      <c r="AR40" s="70">
        <f t="shared" si="15"/>
        <v>0</v>
      </c>
    </row>
    <row r="41" spans="2:48" s="10" customFormat="1" ht="13.5" customHeight="1" x14ac:dyDescent="0.25">
      <c r="B41" s="17">
        <v>39</v>
      </c>
      <c r="E41" s="72"/>
      <c r="F41" s="18"/>
      <c r="J41" s="11"/>
      <c r="K41" s="11">
        <f t="shared" si="0"/>
        <v>0</v>
      </c>
      <c r="L41" s="37">
        <f t="shared" si="16"/>
        <v>0</v>
      </c>
      <c r="M41" s="11"/>
      <c r="O41" s="21"/>
      <c r="P41" s="21"/>
      <c r="Q41" s="21"/>
      <c r="R41" s="23"/>
      <c r="S41" s="50"/>
      <c r="T41" s="48"/>
      <c r="U41" s="81"/>
      <c r="V41" s="26"/>
      <c r="W41" s="200"/>
      <c r="X41" s="17"/>
      <c r="Z41">
        <v>7</v>
      </c>
      <c r="AA41" s="416"/>
      <c r="AB41" s="95">
        <v>3</v>
      </c>
      <c r="AC41" s="102" t="s">
        <v>69</v>
      </c>
      <c r="AD41" s="41">
        <f t="shared" si="1"/>
        <v>0</v>
      </c>
      <c r="AE41" s="70">
        <f t="shared" si="2"/>
        <v>0</v>
      </c>
      <c r="AF41" s="70">
        <f t="shared" si="3"/>
        <v>0</v>
      </c>
      <c r="AG41" s="70">
        <f t="shared" si="4"/>
        <v>0</v>
      </c>
      <c r="AH41" s="109">
        <f t="shared" si="5"/>
        <v>0</v>
      </c>
      <c r="AI41" s="120">
        <f t="shared" si="6"/>
        <v>0</v>
      </c>
      <c r="AJ41" s="121">
        <f t="shared" si="7"/>
        <v>0</v>
      </c>
      <c r="AK41" s="121">
        <f t="shared" si="8"/>
        <v>0</v>
      </c>
      <c r="AL41" s="121">
        <f t="shared" si="9"/>
        <v>0</v>
      </c>
      <c r="AM41" s="122">
        <f t="shared" si="10"/>
        <v>0</v>
      </c>
      <c r="AN41" s="41">
        <f t="shared" si="11"/>
        <v>0</v>
      </c>
      <c r="AO41" s="70">
        <f t="shared" si="12"/>
        <v>0</v>
      </c>
      <c r="AP41" s="70">
        <f t="shared" si="13"/>
        <v>0</v>
      </c>
      <c r="AQ41" s="70">
        <f t="shared" si="14"/>
        <v>0</v>
      </c>
      <c r="AR41" s="70">
        <f t="shared" si="15"/>
        <v>0</v>
      </c>
    </row>
    <row r="42" spans="2:48" s="10" customFormat="1" ht="13.5" customHeight="1" x14ac:dyDescent="0.25">
      <c r="B42" s="17">
        <v>40</v>
      </c>
      <c r="E42" s="72"/>
      <c r="F42" s="18"/>
      <c r="J42" s="11"/>
      <c r="K42" s="11">
        <f t="shared" si="0"/>
        <v>0</v>
      </c>
      <c r="L42" s="37">
        <f t="shared" si="16"/>
        <v>0</v>
      </c>
      <c r="M42" s="11"/>
      <c r="O42" s="21"/>
      <c r="P42" s="21"/>
      <c r="Q42" s="21"/>
      <c r="R42" s="23"/>
      <c r="S42" s="50"/>
      <c r="T42" s="48"/>
      <c r="U42" s="81"/>
      <c r="V42" s="26"/>
      <c r="W42" s="200"/>
      <c r="X42" s="17"/>
      <c r="Z42">
        <v>7</v>
      </c>
      <c r="AA42" s="416"/>
      <c r="AB42" s="95">
        <v>4</v>
      </c>
      <c r="AC42" s="102" t="s">
        <v>70</v>
      </c>
      <c r="AD42" s="41">
        <f t="shared" si="1"/>
        <v>0</v>
      </c>
      <c r="AE42" s="70">
        <f t="shared" si="2"/>
        <v>0</v>
      </c>
      <c r="AF42" s="70">
        <f t="shared" si="3"/>
        <v>0</v>
      </c>
      <c r="AG42" s="70">
        <f t="shared" si="4"/>
        <v>0</v>
      </c>
      <c r="AH42" s="109">
        <f t="shared" si="5"/>
        <v>0</v>
      </c>
      <c r="AI42" s="120">
        <f t="shared" si="6"/>
        <v>0</v>
      </c>
      <c r="AJ42" s="121">
        <f t="shared" si="7"/>
        <v>0</v>
      </c>
      <c r="AK42" s="121">
        <f t="shared" si="8"/>
        <v>0</v>
      </c>
      <c r="AL42" s="121">
        <f t="shared" si="9"/>
        <v>0</v>
      </c>
      <c r="AM42" s="122">
        <f t="shared" si="10"/>
        <v>0</v>
      </c>
      <c r="AN42" s="41">
        <f t="shared" si="11"/>
        <v>0</v>
      </c>
      <c r="AO42" s="70">
        <f t="shared" si="12"/>
        <v>0</v>
      </c>
      <c r="AP42" s="70">
        <f t="shared" si="13"/>
        <v>0</v>
      </c>
      <c r="AQ42" s="70">
        <f t="shared" si="14"/>
        <v>0</v>
      </c>
      <c r="AR42" s="70">
        <f t="shared" si="15"/>
        <v>0</v>
      </c>
    </row>
    <row r="43" spans="2:48" x14ac:dyDescent="0.25">
      <c r="B43" s="17">
        <v>41</v>
      </c>
      <c r="C43" s="10"/>
      <c r="D43" s="10"/>
      <c r="E43" s="72"/>
      <c r="F43" s="18"/>
      <c r="G43" s="10"/>
      <c r="H43" s="10"/>
      <c r="I43" s="10"/>
      <c r="J43" s="11"/>
      <c r="K43" s="11">
        <f t="shared" si="0"/>
        <v>0</v>
      </c>
      <c r="L43" s="37">
        <f t="shared" si="16"/>
        <v>0</v>
      </c>
      <c r="M43" s="11"/>
      <c r="N43" s="10"/>
      <c r="O43" s="21"/>
      <c r="P43" s="21"/>
      <c r="Q43" s="21"/>
      <c r="R43" s="23"/>
      <c r="S43" s="50"/>
      <c r="T43" s="48"/>
      <c r="U43" s="82"/>
      <c r="V43" s="32"/>
      <c r="W43" s="200"/>
      <c r="X43" s="17"/>
      <c r="Z43">
        <v>7</v>
      </c>
      <c r="AA43" s="416"/>
      <c r="AB43" s="96">
        <v>5</v>
      </c>
      <c r="AC43" s="105" t="s">
        <v>119</v>
      </c>
      <c r="AD43" s="41">
        <f t="shared" si="1"/>
        <v>0</v>
      </c>
      <c r="AE43" s="70">
        <f t="shared" si="2"/>
        <v>0</v>
      </c>
      <c r="AF43" s="70">
        <f t="shared" si="3"/>
        <v>0</v>
      </c>
      <c r="AG43" s="70">
        <f t="shared" si="4"/>
        <v>0</v>
      </c>
      <c r="AH43" s="109">
        <f t="shared" si="5"/>
        <v>0</v>
      </c>
      <c r="AI43" s="120">
        <f t="shared" si="6"/>
        <v>0</v>
      </c>
      <c r="AJ43" s="121">
        <f t="shared" si="7"/>
        <v>0</v>
      </c>
      <c r="AK43" s="121">
        <f t="shared" si="8"/>
        <v>0</v>
      </c>
      <c r="AL43" s="121">
        <f t="shared" si="9"/>
        <v>0</v>
      </c>
      <c r="AM43" s="122">
        <f t="shared" si="10"/>
        <v>0</v>
      </c>
      <c r="AN43" s="41">
        <f t="shared" si="11"/>
        <v>0</v>
      </c>
      <c r="AO43" s="70">
        <f t="shared" si="12"/>
        <v>0</v>
      </c>
      <c r="AP43" s="70">
        <f t="shared" si="13"/>
        <v>0</v>
      </c>
      <c r="AQ43" s="70">
        <f t="shared" si="14"/>
        <v>0</v>
      </c>
      <c r="AR43" s="70">
        <f t="shared" si="15"/>
        <v>0</v>
      </c>
    </row>
    <row r="44" spans="2:48" ht="14.25" thickBot="1" x14ac:dyDescent="0.3">
      <c r="B44" s="17">
        <v>42</v>
      </c>
      <c r="C44" s="10"/>
      <c r="D44" s="10"/>
      <c r="E44" s="72"/>
      <c r="F44" s="18"/>
      <c r="G44" s="10"/>
      <c r="H44" s="10"/>
      <c r="I44" s="10"/>
      <c r="J44" s="11"/>
      <c r="K44" s="11">
        <f t="shared" si="0"/>
        <v>0</v>
      </c>
      <c r="L44" s="37">
        <f t="shared" si="16"/>
        <v>0</v>
      </c>
      <c r="M44" s="11"/>
      <c r="N44" s="10"/>
      <c r="O44" s="21"/>
      <c r="P44" s="21"/>
      <c r="Q44" s="21"/>
      <c r="R44" s="23"/>
      <c r="S44" s="50"/>
      <c r="T44" s="48"/>
      <c r="U44" s="82"/>
      <c r="V44" s="32"/>
      <c r="W44" s="200"/>
      <c r="X44" s="17"/>
      <c r="Z44">
        <v>7</v>
      </c>
      <c r="AA44" s="417"/>
      <c r="AB44" s="97" t="s">
        <v>3</v>
      </c>
      <c r="AC44" s="106"/>
      <c r="AD44" s="99">
        <f>SUM(AD39:AD43)</f>
        <v>0</v>
      </c>
      <c r="AE44" s="99">
        <f t="shared" ref="AE44" si="105">SUM(AE39:AE43)</f>
        <v>0</v>
      </c>
      <c r="AF44" s="99">
        <f t="shared" ref="AF44" si="106">SUM(AF39:AF43)</f>
        <v>0</v>
      </c>
      <c r="AG44" s="99">
        <f t="shared" ref="AG44" si="107">SUM(AG39:AG43)</f>
        <v>0</v>
      </c>
      <c r="AH44" s="110">
        <f t="shared" ref="AH44" si="108">SUM(AH39:AH43)</f>
        <v>0</v>
      </c>
      <c r="AI44" s="123">
        <f t="shared" ref="AI44" si="109">SUM(AI39:AI43)</f>
        <v>0</v>
      </c>
      <c r="AJ44" s="124">
        <f t="shared" ref="AJ44" si="110">SUM(AJ39:AJ43)</f>
        <v>0</v>
      </c>
      <c r="AK44" s="124">
        <f t="shared" ref="AK44" si="111">SUM(AK39:AK43)</f>
        <v>0</v>
      </c>
      <c r="AL44" s="124">
        <f t="shared" ref="AL44" si="112">SUM(AL39:AL43)</f>
        <v>0</v>
      </c>
      <c r="AM44" s="125">
        <f t="shared" ref="AM44" si="113">SUM(AM39:AM43)</f>
        <v>0</v>
      </c>
      <c r="AN44" s="99">
        <f t="shared" ref="AN44" si="114">SUM(AN39:AN43)</f>
        <v>0</v>
      </c>
      <c r="AO44" s="99">
        <f t="shared" ref="AO44" si="115">SUM(AO39:AO43)</f>
        <v>0</v>
      </c>
      <c r="AP44" s="99">
        <f t="shared" ref="AP44" si="116">SUM(AP39:AP43)</f>
        <v>0</v>
      </c>
      <c r="AQ44" s="99">
        <f t="shared" ref="AQ44" si="117">SUM(AQ39:AQ43)</f>
        <v>0</v>
      </c>
      <c r="AR44" s="99">
        <f t="shared" ref="AR44" si="118">SUM(AR39:AR43)</f>
        <v>0</v>
      </c>
    </row>
    <row r="45" spans="2:48" x14ac:dyDescent="0.25">
      <c r="B45" s="17">
        <v>43</v>
      </c>
      <c r="C45" s="10"/>
      <c r="D45" s="10"/>
      <c r="E45" s="72"/>
      <c r="F45" s="18"/>
      <c r="G45" s="10"/>
      <c r="H45" s="10"/>
      <c r="I45" s="10"/>
      <c r="J45" s="11"/>
      <c r="K45" s="11">
        <f t="shared" si="0"/>
        <v>0</v>
      </c>
      <c r="L45" s="37">
        <f t="shared" si="16"/>
        <v>0</v>
      </c>
      <c r="M45" s="11"/>
      <c r="N45" s="10"/>
      <c r="O45" s="21"/>
      <c r="P45" s="21"/>
      <c r="Q45" s="21"/>
      <c r="R45" s="23"/>
      <c r="S45" s="50"/>
      <c r="T45" s="48"/>
      <c r="U45" s="82"/>
      <c r="V45" s="26"/>
      <c r="W45" s="200"/>
      <c r="X45" s="17"/>
      <c r="Z45">
        <v>8</v>
      </c>
      <c r="AA45" s="415">
        <v>8</v>
      </c>
      <c r="AB45" s="94">
        <v>1</v>
      </c>
      <c r="AC45" s="100" t="s">
        <v>120</v>
      </c>
      <c r="AD45" s="41">
        <f t="shared" si="1"/>
        <v>0</v>
      </c>
      <c r="AE45" s="70">
        <f t="shared" si="2"/>
        <v>0</v>
      </c>
      <c r="AF45" s="70">
        <f t="shared" si="3"/>
        <v>0</v>
      </c>
      <c r="AG45" s="70">
        <f t="shared" si="4"/>
        <v>0</v>
      </c>
      <c r="AH45" s="109">
        <f t="shared" si="5"/>
        <v>0</v>
      </c>
      <c r="AI45" s="120">
        <f t="shared" si="6"/>
        <v>0</v>
      </c>
      <c r="AJ45" s="121">
        <f t="shared" si="7"/>
        <v>0</v>
      </c>
      <c r="AK45" s="121">
        <f t="shared" si="8"/>
        <v>0</v>
      </c>
      <c r="AL45" s="121">
        <f t="shared" si="9"/>
        <v>0</v>
      </c>
      <c r="AM45" s="122">
        <f t="shared" si="10"/>
        <v>0</v>
      </c>
      <c r="AN45" s="41">
        <f t="shared" si="11"/>
        <v>0</v>
      </c>
      <c r="AO45" s="70">
        <f t="shared" si="12"/>
        <v>0</v>
      </c>
      <c r="AP45" s="70">
        <f t="shared" si="13"/>
        <v>0</v>
      </c>
      <c r="AQ45" s="70">
        <f t="shared" si="14"/>
        <v>0</v>
      </c>
      <c r="AR45" s="70">
        <f t="shared" si="15"/>
        <v>0</v>
      </c>
    </row>
    <row r="46" spans="2:48" x14ac:dyDescent="0.25">
      <c r="B46" s="17">
        <v>44</v>
      </c>
      <c r="C46" s="10"/>
      <c r="D46" s="10"/>
      <c r="E46" s="72"/>
      <c r="F46" s="18"/>
      <c r="G46" s="10"/>
      <c r="H46" s="10"/>
      <c r="I46" s="10"/>
      <c r="J46" s="11"/>
      <c r="K46" s="11">
        <f t="shared" si="0"/>
        <v>0</v>
      </c>
      <c r="L46" s="37">
        <f t="shared" si="16"/>
        <v>0</v>
      </c>
      <c r="M46" s="11"/>
      <c r="N46" s="10"/>
      <c r="O46" s="21"/>
      <c r="P46" s="21"/>
      <c r="Q46" s="21"/>
      <c r="R46" s="23"/>
      <c r="S46" s="50"/>
      <c r="T46" s="48"/>
      <c r="U46" s="82"/>
      <c r="V46" s="26"/>
      <c r="W46" s="200"/>
      <c r="X46" s="17"/>
      <c r="Z46">
        <v>8</v>
      </c>
      <c r="AA46" s="416"/>
      <c r="AB46" s="95">
        <v>2</v>
      </c>
      <c r="AC46" s="102" t="s">
        <v>121</v>
      </c>
      <c r="AD46" s="41">
        <f t="shared" si="1"/>
        <v>0</v>
      </c>
      <c r="AE46" s="70">
        <f t="shared" si="2"/>
        <v>0</v>
      </c>
      <c r="AF46" s="70">
        <f t="shared" si="3"/>
        <v>0</v>
      </c>
      <c r="AG46" s="70">
        <f t="shared" si="4"/>
        <v>0</v>
      </c>
      <c r="AH46" s="109">
        <f t="shared" si="5"/>
        <v>0</v>
      </c>
      <c r="AI46" s="120">
        <f t="shared" si="6"/>
        <v>0</v>
      </c>
      <c r="AJ46" s="121">
        <f t="shared" si="7"/>
        <v>0</v>
      </c>
      <c r="AK46" s="121">
        <f t="shared" si="8"/>
        <v>0</v>
      </c>
      <c r="AL46" s="121">
        <f t="shared" si="9"/>
        <v>0</v>
      </c>
      <c r="AM46" s="122">
        <f t="shared" si="10"/>
        <v>0</v>
      </c>
      <c r="AN46" s="41">
        <f t="shared" si="11"/>
        <v>0</v>
      </c>
      <c r="AO46" s="70">
        <f t="shared" si="12"/>
        <v>0</v>
      </c>
      <c r="AP46" s="70">
        <f t="shared" si="13"/>
        <v>0</v>
      </c>
      <c r="AQ46" s="70">
        <f t="shared" si="14"/>
        <v>0</v>
      </c>
      <c r="AR46" s="70">
        <f t="shared" si="15"/>
        <v>0</v>
      </c>
    </row>
    <row r="47" spans="2:48" x14ac:dyDescent="0.25">
      <c r="B47" s="17">
        <v>45</v>
      </c>
      <c r="C47" s="10"/>
      <c r="D47" s="10"/>
      <c r="E47" s="72"/>
      <c r="F47" s="18"/>
      <c r="G47" s="10"/>
      <c r="H47" s="10"/>
      <c r="I47" s="10"/>
      <c r="J47" s="11"/>
      <c r="K47" s="11">
        <f t="shared" si="0"/>
        <v>0</v>
      </c>
      <c r="L47" s="37">
        <f t="shared" si="16"/>
        <v>0</v>
      </c>
      <c r="M47" s="11"/>
      <c r="N47" s="10"/>
      <c r="O47" s="21"/>
      <c r="P47" s="21"/>
      <c r="Q47" s="21"/>
      <c r="R47" s="23"/>
      <c r="S47" s="50"/>
      <c r="T47" s="48"/>
      <c r="U47" s="82"/>
      <c r="V47" s="26"/>
      <c r="W47" s="200"/>
      <c r="X47" s="17"/>
      <c r="Z47">
        <v>8</v>
      </c>
      <c r="AA47" s="416"/>
      <c r="AB47" s="95">
        <v>3</v>
      </c>
      <c r="AC47" s="102" t="s">
        <v>122</v>
      </c>
      <c r="AD47" s="41">
        <f t="shared" si="1"/>
        <v>0</v>
      </c>
      <c r="AE47" s="70">
        <f t="shared" si="2"/>
        <v>0</v>
      </c>
      <c r="AF47" s="70">
        <f t="shared" si="3"/>
        <v>0</v>
      </c>
      <c r="AG47" s="70">
        <f t="shared" si="4"/>
        <v>0</v>
      </c>
      <c r="AH47" s="109">
        <f t="shared" si="5"/>
        <v>0</v>
      </c>
      <c r="AI47" s="120">
        <f t="shared" si="6"/>
        <v>0</v>
      </c>
      <c r="AJ47" s="121">
        <f t="shared" si="7"/>
        <v>0</v>
      </c>
      <c r="AK47" s="121">
        <f t="shared" si="8"/>
        <v>0</v>
      </c>
      <c r="AL47" s="121">
        <f t="shared" si="9"/>
        <v>0</v>
      </c>
      <c r="AM47" s="122">
        <f t="shared" si="10"/>
        <v>0</v>
      </c>
      <c r="AN47" s="41">
        <f t="shared" si="11"/>
        <v>0</v>
      </c>
      <c r="AO47" s="70">
        <f t="shared" si="12"/>
        <v>0</v>
      </c>
      <c r="AP47" s="70">
        <f t="shared" si="13"/>
        <v>0</v>
      </c>
      <c r="AQ47" s="70">
        <f t="shared" si="14"/>
        <v>0</v>
      </c>
      <c r="AR47" s="70">
        <f t="shared" si="15"/>
        <v>0</v>
      </c>
    </row>
    <row r="48" spans="2:48" x14ac:dyDescent="0.25">
      <c r="B48" s="17">
        <v>46</v>
      </c>
      <c r="C48" s="10"/>
      <c r="D48" s="10"/>
      <c r="E48" s="72"/>
      <c r="F48" s="18"/>
      <c r="G48" s="10"/>
      <c r="H48" s="10"/>
      <c r="I48" s="10"/>
      <c r="J48" s="11"/>
      <c r="K48" s="11">
        <f t="shared" si="0"/>
        <v>0</v>
      </c>
      <c r="L48" s="37">
        <f t="shared" si="16"/>
        <v>0</v>
      </c>
      <c r="M48" s="11"/>
      <c r="N48" s="10"/>
      <c r="O48" s="21"/>
      <c r="P48" s="21"/>
      <c r="Q48" s="21"/>
      <c r="R48" s="23"/>
      <c r="S48" s="50"/>
      <c r="T48" s="48"/>
      <c r="U48" s="82"/>
      <c r="V48" s="26"/>
      <c r="W48" s="200"/>
      <c r="X48" s="17"/>
      <c r="Z48">
        <v>8</v>
      </c>
      <c r="AA48" s="416"/>
      <c r="AB48" s="95">
        <v>4</v>
      </c>
      <c r="AC48" s="102" t="s">
        <v>123</v>
      </c>
      <c r="AD48" s="41">
        <f t="shared" si="1"/>
        <v>0</v>
      </c>
      <c r="AE48" s="70">
        <f t="shared" si="2"/>
        <v>0</v>
      </c>
      <c r="AF48" s="70">
        <f t="shared" si="3"/>
        <v>0</v>
      </c>
      <c r="AG48" s="70">
        <f t="shared" si="4"/>
        <v>0</v>
      </c>
      <c r="AH48" s="109">
        <f t="shared" si="5"/>
        <v>0</v>
      </c>
      <c r="AI48" s="120">
        <f t="shared" si="6"/>
        <v>0</v>
      </c>
      <c r="AJ48" s="121">
        <f t="shared" si="7"/>
        <v>0</v>
      </c>
      <c r="AK48" s="121">
        <f t="shared" si="8"/>
        <v>0</v>
      </c>
      <c r="AL48" s="121">
        <f t="shared" si="9"/>
        <v>0</v>
      </c>
      <c r="AM48" s="122">
        <f t="shared" si="10"/>
        <v>0</v>
      </c>
      <c r="AN48" s="41">
        <f t="shared" si="11"/>
        <v>0</v>
      </c>
      <c r="AO48" s="70">
        <f t="shared" si="12"/>
        <v>0</v>
      </c>
      <c r="AP48" s="70">
        <f t="shared" si="13"/>
        <v>0</v>
      </c>
      <c r="AQ48" s="70">
        <f t="shared" si="14"/>
        <v>0</v>
      </c>
      <c r="AR48" s="70">
        <f t="shared" si="15"/>
        <v>0</v>
      </c>
    </row>
    <row r="49" spans="2:44" x14ac:dyDescent="0.25">
      <c r="B49" s="17">
        <v>47</v>
      </c>
      <c r="C49" s="10"/>
      <c r="D49" s="10"/>
      <c r="E49" s="72"/>
      <c r="F49" s="18"/>
      <c r="G49" s="10"/>
      <c r="H49" s="10"/>
      <c r="I49" s="10"/>
      <c r="J49" s="11"/>
      <c r="K49" s="11">
        <f t="shared" si="0"/>
        <v>0</v>
      </c>
      <c r="L49" s="37">
        <f t="shared" si="16"/>
        <v>0</v>
      </c>
      <c r="M49" s="11"/>
      <c r="N49" s="10"/>
      <c r="O49" s="21"/>
      <c r="P49" s="21"/>
      <c r="Q49" s="21"/>
      <c r="R49" s="23"/>
      <c r="S49" s="50"/>
      <c r="T49" s="48"/>
      <c r="U49" s="82"/>
      <c r="V49" s="26"/>
      <c r="W49" s="200"/>
      <c r="X49" s="17"/>
      <c r="Z49">
        <v>8</v>
      </c>
      <c r="AA49" s="416"/>
      <c r="AB49" s="96">
        <v>5</v>
      </c>
      <c r="AC49" s="105"/>
      <c r="AD49" s="41">
        <f t="shared" si="1"/>
        <v>0</v>
      </c>
      <c r="AE49" s="70">
        <f t="shared" si="2"/>
        <v>0</v>
      </c>
      <c r="AF49" s="70">
        <f t="shared" si="3"/>
        <v>0</v>
      </c>
      <c r="AG49" s="70">
        <f t="shared" si="4"/>
        <v>0</v>
      </c>
      <c r="AH49" s="109">
        <f t="shared" si="5"/>
        <v>0</v>
      </c>
      <c r="AI49" s="120">
        <f t="shared" si="6"/>
        <v>0</v>
      </c>
      <c r="AJ49" s="121">
        <f t="shared" si="7"/>
        <v>0</v>
      </c>
      <c r="AK49" s="121">
        <f t="shared" si="8"/>
        <v>0</v>
      </c>
      <c r="AL49" s="121">
        <f t="shared" si="9"/>
        <v>0</v>
      </c>
      <c r="AM49" s="122">
        <f t="shared" si="10"/>
        <v>0</v>
      </c>
      <c r="AN49" s="41">
        <f t="shared" si="11"/>
        <v>0</v>
      </c>
      <c r="AO49" s="70">
        <f t="shared" si="12"/>
        <v>0</v>
      </c>
      <c r="AP49" s="70">
        <f t="shared" si="13"/>
        <v>0</v>
      </c>
      <c r="AQ49" s="70">
        <f t="shared" si="14"/>
        <v>0</v>
      </c>
      <c r="AR49" s="70">
        <f t="shared" si="15"/>
        <v>0</v>
      </c>
    </row>
    <row r="50" spans="2:44" ht="14.25" thickBot="1" x14ac:dyDescent="0.3">
      <c r="B50" s="17">
        <v>48</v>
      </c>
      <c r="C50" s="10"/>
      <c r="D50" s="10"/>
      <c r="E50" s="72"/>
      <c r="F50" s="18"/>
      <c r="G50" s="10"/>
      <c r="H50" s="10"/>
      <c r="I50" s="10"/>
      <c r="J50" s="11"/>
      <c r="K50" s="11">
        <f t="shared" si="0"/>
        <v>0</v>
      </c>
      <c r="L50" s="37">
        <f t="shared" si="16"/>
        <v>0</v>
      </c>
      <c r="M50" s="11"/>
      <c r="N50" s="10"/>
      <c r="O50" s="21"/>
      <c r="P50" s="21"/>
      <c r="Q50" s="21"/>
      <c r="R50" s="23"/>
      <c r="S50" s="50"/>
      <c r="T50" s="48"/>
      <c r="U50" s="82"/>
      <c r="V50" s="32"/>
      <c r="W50" s="200"/>
      <c r="X50" s="17"/>
      <c r="Z50">
        <v>8</v>
      </c>
      <c r="AA50" s="417"/>
      <c r="AB50" s="97" t="s">
        <v>3</v>
      </c>
      <c r="AC50" s="106"/>
      <c r="AD50" s="99">
        <f>SUM(AD45:AD49)</f>
        <v>0</v>
      </c>
      <c r="AE50" s="99">
        <f t="shared" ref="AE50" si="119">SUM(AE45:AE49)</f>
        <v>0</v>
      </c>
      <c r="AF50" s="99">
        <f t="shared" ref="AF50" si="120">SUM(AF45:AF49)</f>
        <v>0</v>
      </c>
      <c r="AG50" s="99">
        <f t="shared" ref="AG50" si="121">SUM(AG45:AG49)</f>
        <v>0</v>
      </c>
      <c r="AH50" s="110">
        <f t="shared" ref="AH50" si="122">SUM(AH45:AH49)</f>
        <v>0</v>
      </c>
      <c r="AI50" s="123">
        <f t="shared" ref="AI50" si="123">SUM(AI45:AI49)</f>
        <v>0</v>
      </c>
      <c r="AJ50" s="124">
        <f t="shared" ref="AJ50" si="124">SUM(AJ45:AJ49)</f>
        <v>0</v>
      </c>
      <c r="AK50" s="124">
        <f t="shared" ref="AK50" si="125">SUM(AK45:AK49)</f>
        <v>0</v>
      </c>
      <c r="AL50" s="124">
        <f t="shared" ref="AL50" si="126">SUM(AL45:AL49)</f>
        <v>0</v>
      </c>
      <c r="AM50" s="125">
        <f t="shared" ref="AM50" si="127">SUM(AM45:AM49)</f>
        <v>0</v>
      </c>
      <c r="AN50" s="99">
        <f t="shared" ref="AN50" si="128">SUM(AN45:AN49)</f>
        <v>0</v>
      </c>
      <c r="AO50" s="99">
        <f t="shared" ref="AO50" si="129">SUM(AO45:AO49)</f>
        <v>0</v>
      </c>
      <c r="AP50" s="99">
        <f t="shared" ref="AP50" si="130">SUM(AP45:AP49)</f>
        <v>0</v>
      </c>
      <c r="AQ50" s="99">
        <f t="shared" ref="AQ50" si="131">SUM(AQ45:AQ49)</f>
        <v>0</v>
      </c>
      <c r="AR50" s="99">
        <f t="shared" ref="AR50" si="132">SUM(AR45:AR49)</f>
        <v>0</v>
      </c>
    </row>
    <row r="51" spans="2:44" x14ac:dyDescent="0.25">
      <c r="B51" s="17">
        <v>49</v>
      </c>
      <c r="C51" s="10"/>
      <c r="D51" s="10"/>
      <c r="E51" s="72"/>
      <c r="F51" s="18"/>
      <c r="G51" s="10"/>
      <c r="H51" s="10"/>
      <c r="I51" s="10"/>
      <c r="J51" s="11"/>
      <c r="K51" s="11">
        <f t="shared" si="0"/>
        <v>0</v>
      </c>
      <c r="L51" s="37">
        <f t="shared" si="16"/>
        <v>0</v>
      </c>
      <c r="M51" s="11"/>
      <c r="N51" s="10"/>
      <c r="O51" s="21"/>
      <c r="P51" s="21"/>
      <c r="Q51" s="21"/>
      <c r="R51" s="23"/>
      <c r="S51" s="50"/>
      <c r="T51" s="48"/>
      <c r="U51" s="82"/>
      <c r="V51" s="32"/>
      <c r="W51" s="200"/>
      <c r="X51" s="17"/>
      <c r="Z51">
        <v>9</v>
      </c>
      <c r="AA51" s="415">
        <v>9</v>
      </c>
      <c r="AB51" s="94">
        <v>1</v>
      </c>
      <c r="AC51" s="100" t="s">
        <v>124</v>
      </c>
      <c r="AD51" s="41">
        <f t="shared" si="1"/>
        <v>0</v>
      </c>
      <c r="AE51" s="70">
        <f t="shared" si="2"/>
        <v>0</v>
      </c>
      <c r="AF51" s="70">
        <f t="shared" si="3"/>
        <v>0</v>
      </c>
      <c r="AG51" s="70">
        <f t="shared" si="4"/>
        <v>0</v>
      </c>
      <c r="AH51" s="109">
        <f t="shared" si="5"/>
        <v>0</v>
      </c>
      <c r="AI51" s="120">
        <f t="shared" si="6"/>
        <v>0</v>
      </c>
      <c r="AJ51" s="121">
        <f t="shared" si="7"/>
        <v>0</v>
      </c>
      <c r="AK51" s="121">
        <f t="shared" si="8"/>
        <v>0</v>
      </c>
      <c r="AL51" s="121">
        <f t="shared" si="9"/>
        <v>0</v>
      </c>
      <c r="AM51" s="122">
        <f t="shared" si="10"/>
        <v>0</v>
      </c>
      <c r="AN51" s="41">
        <f t="shared" si="11"/>
        <v>0</v>
      </c>
      <c r="AO51" s="70">
        <f t="shared" si="12"/>
        <v>0</v>
      </c>
      <c r="AP51" s="70">
        <f t="shared" si="13"/>
        <v>0</v>
      </c>
      <c r="AQ51" s="70">
        <f t="shared" si="14"/>
        <v>0</v>
      </c>
      <c r="AR51" s="70">
        <f t="shared" si="15"/>
        <v>0</v>
      </c>
    </row>
    <row r="52" spans="2:44" x14ac:dyDescent="0.25">
      <c r="B52" s="17">
        <v>50</v>
      </c>
      <c r="C52" s="10"/>
      <c r="D52" s="10"/>
      <c r="E52" s="72"/>
      <c r="F52" s="18"/>
      <c r="G52" s="10"/>
      <c r="H52" s="10"/>
      <c r="I52" s="10"/>
      <c r="J52" s="11"/>
      <c r="K52" s="11">
        <f t="shared" si="0"/>
        <v>0</v>
      </c>
      <c r="L52" s="37">
        <f t="shared" si="16"/>
        <v>0</v>
      </c>
      <c r="M52" s="11"/>
      <c r="N52" s="10"/>
      <c r="O52" s="21"/>
      <c r="P52" s="21"/>
      <c r="Q52" s="21"/>
      <c r="R52" s="23"/>
      <c r="S52" s="50"/>
      <c r="T52" s="48"/>
      <c r="U52" s="82"/>
      <c r="V52" s="32"/>
      <c r="W52" s="200"/>
      <c r="X52" s="17"/>
      <c r="Z52">
        <v>9</v>
      </c>
      <c r="AA52" s="416"/>
      <c r="AB52" s="95">
        <v>2</v>
      </c>
      <c r="AC52" s="102" t="s">
        <v>125</v>
      </c>
      <c r="AD52" s="41">
        <f t="shared" si="1"/>
        <v>0</v>
      </c>
      <c r="AE52" s="70">
        <f t="shared" si="2"/>
        <v>0</v>
      </c>
      <c r="AF52" s="70">
        <f t="shared" si="3"/>
        <v>0</v>
      </c>
      <c r="AG52" s="70">
        <f t="shared" si="4"/>
        <v>0</v>
      </c>
      <c r="AH52" s="109">
        <f t="shared" si="5"/>
        <v>0</v>
      </c>
      <c r="AI52" s="120">
        <f t="shared" si="6"/>
        <v>0</v>
      </c>
      <c r="AJ52" s="121">
        <f t="shared" si="7"/>
        <v>0</v>
      </c>
      <c r="AK52" s="121">
        <f t="shared" si="8"/>
        <v>0</v>
      </c>
      <c r="AL52" s="121">
        <f t="shared" si="9"/>
        <v>0</v>
      </c>
      <c r="AM52" s="122">
        <f t="shared" si="10"/>
        <v>0</v>
      </c>
      <c r="AN52" s="41">
        <f t="shared" si="11"/>
        <v>0</v>
      </c>
      <c r="AO52" s="70">
        <f t="shared" si="12"/>
        <v>0</v>
      </c>
      <c r="AP52" s="70">
        <f t="shared" si="13"/>
        <v>0</v>
      </c>
      <c r="AQ52" s="70">
        <f t="shared" si="14"/>
        <v>0</v>
      </c>
      <c r="AR52" s="70">
        <f t="shared" si="15"/>
        <v>0</v>
      </c>
    </row>
    <row r="53" spans="2:44" x14ac:dyDescent="0.25">
      <c r="B53" s="17">
        <v>51</v>
      </c>
      <c r="C53" s="10"/>
      <c r="D53" s="10"/>
      <c r="E53" s="72"/>
      <c r="F53" s="18"/>
      <c r="G53" s="10"/>
      <c r="H53" s="10"/>
      <c r="I53" s="10"/>
      <c r="J53" s="11"/>
      <c r="K53" s="11">
        <f t="shared" si="0"/>
        <v>0</v>
      </c>
      <c r="L53" s="37">
        <f t="shared" si="16"/>
        <v>0</v>
      </c>
      <c r="M53" s="11"/>
      <c r="N53" s="10"/>
      <c r="O53" s="21"/>
      <c r="P53" s="21"/>
      <c r="Q53" s="21"/>
      <c r="R53" s="23"/>
      <c r="S53" s="50"/>
      <c r="T53" s="48"/>
      <c r="U53" s="82"/>
      <c r="V53" s="32"/>
      <c r="W53" s="200"/>
      <c r="X53" s="17"/>
      <c r="Z53">
        <v>9</v>
      </c>
      <c r="AA53" s="416"/>
      <c r="AB53" s="95">
        <v>3</v>
      </c>
      <c r="AC53" s="102" t="s">
        <v>126</v>
      </c>
      <c r="AD53" s="41">
        <f t="shared" si="1"/>
        <v>0</v>
      </c>
      <c r="AE53" s="70">
        <f t="shared" si="2"/>
        <v>0</v>
      </c>
      <c r="AF53" s="70">
        <f t="shared" si="3"/>
        <v>0</v>
      </c>
      <c r="AG53" s="70">
        <f t="shared" si="4"/>
        <v>0</v>
      </c>
      <c r="AH53" s="109">
        <f t="shared" si="5"/>
        <v>0</v>
      </c>
      <c r="AI53" s="120">
        <f t="shared" si="6"/>
        <v>0</v>
      </c>
      <c r="AJ53" s="121">
        <f t="shared" si="7"/>
        <v>0</v>
      </c>
      <c r="AK53" s="121">
        <f t="shared" si="8"/>
        <v>0</v>
      </c>
      <c r="AL53" s="121">
        <f t="shared" si="9"/>
        <v>0</v>
      </c>
      <c r="AM53" s="122">
        <f t="shared" si="10"/>
        <v>0</v>
      </c>
      <c r="AN53" s="41">
        <f t="shared" si="11"/>
        <v>0</v>
      </c>
      <c r="AO53" s="70">
        <f t="shared" si="12"/>
        <v>0</v>
      </c>
      <c r="AP53" s="70">
        <f t="shared" si="13"/>
        <v>0</v>
      </c>
      <c r="AQ53" s="70">
        <f t="shared" si="14"/>
        <v>0</v>
      </c>
      <c r="AR53" s="70">
        <f t="shared" si="15"/>
        <v>0</v>
      </c>
    </row>
    <row r="54" spans="2:44" x14ac:dyDescent="0.25">
      <c r="B54" s="17">
        <v>52</v>
      </c>
      <c r="C54" s="10"/>
      <c r="D54" s="10"/>
      <c r="E54" s="72"/>
      <c r="F54" s="18"/>
      <c r="G54" s="10"/>
      <c r="H54" s="10"/>
      <c r="I54" s="10"/>
      <c r="J54" s="11"/>
      <c r="K54" s="11">
        <f t="shared" si="0"/>
        <v>0</v>
      </c>
      <c r="L54" s="37">
        <f t="shared" si="16"/>
        <v>0</v>
      </c>
      <c r="M54" s="11"/>
      <c r="N54" s="10"/>
      <c r="O54" s="21"/>
      <c r="P54" s="21"/>
      <c r="Q54" s="21"/>
      <c r="R54" s="23"/>
      <c r="S54" s="50"/>
      <c r="T54" s="48"/>
      <c r="U54" s="82"/>
      <c r="V54" s="26"/>
      <c r="W54" s="200"/>
      <c r="X54" s="17"/>
      <c r="Z54">
        <v>9</v>
      </c>
      <c r="AA54" s="416"/>
      <c r="AB54" s="95">
        <v>4</v>
      </c>
      <c r="AC54" s="102" t="s">
        <v>127</v>
      </c>
      <c r="AD54" s="41">
        <f t="shared" si="1"/>
        <v>0</v>
      </c>
      <c r="AE54" s="70">
        <f t="shared" si="2"/>
        <v>0</v>
      </c>
      <c r="AF54" s="70">
        <f t="shared" si="3"/>
        <v>0</v>
      </c>
      <c r="AG54" s="70">
        <f t="shared" si="4"/>
        <v>0</v>
      </c>
      <c r="AH54" s="109">
        <f t="shared" si="5"/>
        <v>0</v>
      </c>
      <c r="AI54" s="120">
        <f t="shared" si="6"/>
        <v>0</v>
      </c>
      <c r="AJ54" s="121">
        <f t="shared" si="7"/>
        <v>0</v>
      </c>
      <c r="AK54" s="121">
        <f t="shared" si="8"/>
        <v>0</v>
      </c>
      <c r="AL54" s="121">
        <f t="shared" si="9"/>
        <v>0</v>
      </c>
      <c r="AM54" s="122">
        <f t="shared" si="10"/>
        <v>0</v>
      </c>
      <c r="AN54" s="41">
        <f t="shared" si="11"/>
        <v>0</v>
      </c>
      <c r="AO54" s="70">
        <f t="shared" si="12"/>
        <v>0</v>
      </c>
      <c r="AP54" s="70">
        <f t="shared" si="13"/>
        <v>0</v>
      </c>
      <c r="AQ54" s="70">
        <f t="shared" si="14"/>
        <v>0</v>
      </c>
      <c r="AR54" s="70">
        <f t="shared" si="15"/>
        <v>0</v>
      </c>
    </row>
    <row r="55" spans="2:44" x14ac:dyDescent="0.25">
      <c r="B55" s="17">
        <v>53</v>
      </c>
      <c r="C55" s="10"/>
      <c r="D55" s="10"/>
      <c r="E55" s="72"/>
      <c r="F55" s="18"/>
      <c r="G55" s="10"/>
      <c r="H55" s="10"/>
      <c r="I55" s="10"/>
      <c r="J55" s="11"/>
      <c r="K55" s="11">
        <f t="shared" si="0"/>
        <v>0</v>
      </c>
      <c r="L55" s="37">
        <f t="shared" si="16"/>
        <v>0</v>
      </c>
      <c r="M55" s="11"/>
      <c r="N55" s="10"/>
      <c r="O55" s="21"/>
      <c r="P55" s="21"/>
      <c r="Q55" s="21"/>
      <c r="R55" s="23"/>
      <c r="S55" s="50"/>
      <c r="T55" s="48"/>
      <c r="U55" s="82"/>
      <c r="V55" s="26"/>
      <c r="W55" s="200"/>
      <c r="X55" s="17"/>
      <c r="Z55">
        <v>9</v>
      </c>
      <c r="AA55" s="416"/>
      <c r="AB55" s="96">
        <v>5</v>
      </c>
      <c r="AC55" s="105"/>
      <c r="AD55" s="41">
        <f t="shared" si="1"/>
        <v>0</v>
      </c>
      <c r="AE55" s="70">
        <f t="shared" si="2"/>
        <v>0</v>
      </c>
      <c r="AF55" s="70">
        <f t="shared" si="3"/>
        <v>0</v>
      </c>
      <c r="AG55" s="70">
        <f t="shared" si="4"/>
        <v>0</v>
      </c>
      <c r="AH55" s="109">
        <f t="shared" si="5"/>
        <v>0</v>
      </c>
      <c r="AI55" s="120">
        <f t="shared" si="6"/>
        <v>0</v>
      </c>
      <c r="AJ55" s="121">
        <f t="shared" si="7"/>
        <v>0</v>
      </c>
      <c r="AK55" s="121">
        <f t="shared" si="8"/>
        <v>0</v>
      </c>
      <c r="AL55" s="121">
        <f t="shared" si="9"/>
        <v>0</v>
      </c>
      <c r="AM55" s="122">
        <f t="shared" si="10"/>
        <v>0</v>
      </c>
      <c r="AN55" s="41">
        <f t="shared" si="11"/>
        <v>0</v>
      </c>
      <c r="AO55" s="70">
        <f t="shared" si="12"/>
        <v>0</v>
      </c>
      <c r="AP55" s="70">
        <f t="shared" si="13"/>
        <v>0</v>
      </c>
      <c r="AQ55" s="70">
        <f t="shared" si="14"/>
        <v>0</v>
      </c>
      <c r="AR55" s="70">
        <f t="shared" si="15"/>
        <v>0</v>
      </c>
    </row>
    <row r="56" spans="2:44" ht="14.25" thickBot="1" x14ac:dyDescent="0.3">
      <c r="B56" s="17">
        <v>54</v>
      </c>
      <c r="C56" s="10"/>
      <c r="D56" s="10"/>
      <c r="E56" s="72"/>
      <c r="F56" s="18"/>
      <c r="G56" s="10"/>
      <c r="H56" s="10"/>
      <c r="I56" s="10"/>
      <c r="J56" s="11"/>
      <c r="K56" s="11">
        <f t="shared" si="0"/>
        <v>0</v>
      </c>
      <c r="L56" s="37">
        <f t="shared" si="16"/>
        <v>0</v>
      </c>
      <c r="M56" s="11"/>
      <c r="N56" s="10"/>
      <c r="O56" s="21"/>
      <c r="P56" s="21"/>
      <c r="Q56" s="21"/>
      <c r="R56" s="23"/>
      <c r="S56" s="50"/>
      <c r="T56" s="48"/>
      <c r="U56" s="82"/>
      <c r="V56" s="26"/>
      <c r="W56" s="200"/>
      <c r="X56" s="17"/>
      <c r="Z56">
        <v>9</v>
      </c>
      <c r="AA56" s="417"/>
      <c r="AB56" s="97" t="s">
        <v>3</v>
      </c>
      <c r="AC56" s="106"/>
      <c r="AD56" s="99">
        <f>SUM(AD51:AD55)</f>
        <v>0</v>
      </c>
      <c r="AE56" s="99">
        <f t="shared" ref="AE56" si="133">SUM(AE51:AE55)</f>
        <v>0</v>
      </c>
      <c r="AF56" s="99">
        <f t="shared" ref="AF56" si="134">SUM(AF51:AF55)</f>
        <v>0</v>
      </c>
      <c r="AG56" s="99">
        <f t="shared" ref="AG56" si="135">SUM(AG51:AG55)</f>
        <v>0</v>
      </c>
      <c r="AH56" s="110">
        <f t="shared" ref="AH56" si="136">SUM(AH51:AH55)</f>
        <v>0</v>
      </c>
      <c r="AI56" s="123">
        <f t="shared" ref="AI56" si="137">SUM(AI51:AI55)</f>
        <v>0</v>
      </c>
      <c r="AJ56" s="124">
        <f t="shared" ref="AJ56" si="138">SUM(AJ51:AJ55)</f>
        <v>0</v>
      </c>
      <c r="AK56" s="124">
        <f t="shared" ref="AK56" si="139">SUM(AK51:AK55)</f>
        <v>0</v>
      </c>
      <c r="AL56" s="124">
        <f t="shared" ref="AL56" si="140">SUM(AL51:AL55)</f>
        <v>0</v>
      </c>
      <c r="AM56" s="125">
        <f t="shared" ref="AM56" si="141">SUM(AM51:AM55)</f>
        <v>0</v>
      </c>
      <c r="AN56" s="99">
        <f t="shared" ref="AN56" si="142">SUM(AN51:AN55)</f>
        <v>0</v>
      </c>
      <c r="AO56" s="99">
        <f t="shared" ref="AO56" si="143">SUM(AO51:AO55)</f>
        <v>0</v>
      </c>
      <c r="AP56" s="99">
        <f t="shared" ref="AP56" si="144">SUM(AP51:AP55)</f>
        <v>0</v>
      </c>
      <c r="AQ56" s="99">
        <f t="shared" ref="AQ56" si="145">SUM(AQ51:AQ55)</f>
        <v>0</v>
      </c>
      <c r="AR56" s="99">
        <f t="shared" ref="AR56" si="146">SUM(AR51:AR55)</f>
        <v>0</v>
      </c>
    </row>
    <row r="57" spans="2:44" x14ac:dyDescent="0.25">
      <c r="B57" s="17">
        <v>55</v>
      </c>
      <c r="C57" s="10"/>
      <c r="D57" s="10"/>
      <c r="E57" s="72"/>
      <c r="F57" s="18"/>
      <c r="G57" s="10"/>
      <c r="H57" s="10"/>
      <c r="I57" s="10"/>
      <c r="J57" s="11"/>
      <c r="K57" s="11">
        <f t="shared" si="0"/>
        <v>0</v>
      </c>
      <c r="L57" s="37">
        <f t="shared" si="16"/>
        <v>0</v>
      </c>
      <c r="M57" s="11"/>
      <c r="N57" s="10"/>
      <c r="O57" s="21"/>
      <c r="P57" s="21"/>
      <c r="Q57" s="21"/>
      <c r="R57" s="23"/>
      <c r="S57" s="50"/>
      <c r="T57" s="48"/>
      <c r="U57" s="82"/>
      <c r="V57" s="26"/>
      <c r="W57" s="200"/>
      <c r="X57" s="17"/>
      <c r="Z57">
        <v>10</v>
      </c>
      <c r="AA57" s="415">
        <v>10</v>
      </c>
      <c r="AB57" s="94">
        <v>1</v>
      </c>
      <c r="AC57" s="100" t="s">
        <v>128</v>
      </c>
      <c r="AD57" s="41">
        <f t="shared" si="1"/>
        <v>0</v>
      </c>
      <c r="AE57" s="70">
        <f t="shared" si="2"/>
        <v>0</v>
      </c>
      <c r="AF57" s="70">
        <f t="shared" si="3"/>
        <v>0</v>
      </c>
      <c r="AG57" s="70">
        <f t="shared" si="4"/>
        <v>0</v>
      </c>
      <c r="AH57" s="109">
        <f t="shared" si="5"/>
        <v>0</v>
      </c>
      <c r="AI57" s="120">
        <f t="shared" si="6"/>
        <v>0</v>
      </c>
      <c r="AJ57" s="121">
        <f t="shared" si="7"/>
        <v>0</v>
      </c>
      <c r="AK57" s="121">
        <f t="shared" si="8"/>
        <v>0</v>
      </c>
      <c r="AL57" s="121">
        <f t="shared" si="9"/>
        <v>0</v>
      </c>
      <c r="AM57" s="122">
        <f t="shared" si="10"/>
        <v>0</v>
      </c>
      <c r="AN57" s="41">
        <f t="shared" si="11"/>
        <v>0</v>
      </c>
      <c r="AO57" s="70">
        <f t="shared" si="12"/>
        <v>0</v>
      </c>
      <c r="AP57" s="70">
        <f t="shared" si="13"/>
        <v>0</v>
      </c>
      <c r="AQ57" s="70">
        <f t="shared" si="14"/>
        <v>0</v>
      </c>
      <c r="AR57" s="70">
        <f t="shared" si="15"/>
        <v>0</v>
      </c>
    </row>
    <row r="58" spans="2:44" x14ac:dyDescent="0.25">
      <c r="B58" s="17">
        <v>56</v>
      </c>
      <c r="C58" s="10"/>
      <c r="D58" s="10"/>
      <c r="E58" s="72"/>
      <c r="F58" s="18"/>
      <c r="G58" s="10"/>
      <c r="H58" s="10"/>
      <c r="I58" s="10"/>
      <c r="J58" s="11"/>
      <c r="K58" s="11">
        <f t="shared" si="0"/>
        <v>0</v>
      </c>
      <c r="L58" s="37">
        <f t="shared" si="16"/>
        <v>0</v>
      </c>
      <c r="M58" s="11"/>
      <c r="N58" s="10"/>
      <c r="O58" s="21"/>
      <c r="P58" s="21"/>
      <c r="Q58" s="21"/>
      <c r="R58" s="23"/>
      <c r="S58" s="50"/>
      <c r="T58" s="48"/>
      <c r="U58" s="82"/>
      <c r="V58" s="26"/>
      <c r="W58" s="200"/>
      <c r="X58" s="17"/>
      <c r="Z58">
        <v>10</v>
      </c>
      <c r="AA58" s="416"/>
      <c r="AB58" s="95">
        <v>2</v>
      </c>
      <c r="AC58" s="101" t="s">
        <v>61</v>
      </c>
      <c r="AD58" s="41">
        <f t="shared" si="1"/>
        <v>0</v>
      </c>
      <c r="AE58" s="70">
        <f t="shared" si="2"/>
        <v>0</v>
      </c>
      <c r="AF58" s="70">
        <f t="shared" si="3"/>
        <v>0</v>
      </c>
      <c r="AG58" s="70">
        <f t="shared" si="4"/>
        <v>0</v>
      </c>
      <c r="AH58" s="109">
        <f t="shared" si="5"/>
        <v>0</v>
      </c>
      <c r="AI58" s="120">
        <f t="shared" si="6"/>
        <v>0</v>
      </c>
      <c r="AJ58" s="121">
        <f t="shared" si="7"/>
        <v>0</v>
      </c>
      <c r="AK58" s="121">
        <f t="shared" si="8"/>
        <v>0</v>
      </c>
      <c r="AL58" s="121">
        <f t="shared" si="9"/>
        <v>0</v>
      </c>
      <c r="AM58" s="122">
        <f t="shared" si="10"/>
        <v>0</v>
      </c>
      <c r="AN58" s="41">
        <f t="shared" si="11"/>
        <v>0</v>
      </c>
      <c r="AO58" s="70">
        <f t="shared" si="12"/>
        <v>0</v>
      </c>
      <c r="AP58" s="70">
        <f t="shared" si="13"/>
        <v>0</v>
      </c>
      <c r="AQ58" s="70">
        <f t="shared" si="14"/>
        <v>0</v>
      </c>
      <c r="AR58" s="70">
        <f t="shared" si="15"/>
        <v>0</v>
      </c>
    </row>
    <row r="59" spans="2:44" x14ac:dyDescent="0.25">
      <c r="B59" s="17">
        <v>57</v>
      </c>
      <c r="C59" s="10"/>
      <c r="D59" s="10"/>
      <c r="E59" s="72"/>
      <c r="F59" s="18"/>
      <c r="G59" s="10"/>
      <c r="H59" s="10"/>
      <c r="I59" s="10"/>
      <c r="J59" s="11"/>
      <c r="K59" s="11">
        <f t="shared" si="0"/>
        <v>0</v>
      </c>
      <c r="L59" s="37">
        <f t="shared" si="16"/>
        <v>0</v>
      </c>
      <c r="M59" s="11"/>
      <c r="N59" s="10"/>
      <c r="O59" s="21"/>
      <c r="P59" s="21"/>
      <c r="Q59" s="21"/>
      <c r="R59" s="23"/>
      <c r="S59" s="50"/>
      <c r="T59" s="48"/>
      <c r="U59" s="82"/>
      <c r="V59" s="32"/>
      <c r="W59" s="200"/>
      <c r="X59" s="17"/>
      <c r="Z59">
        <v>10</v>
      </c>
      <c r="AA59" s="416"/>
      <c r="AB59" s="95">
        <v>3</v>
      </c>
      <c r="AC59" s="102" t="s">
        <v>62</v>
      </c>
      <c r="AD59" s="41">
        <f t="shared" si="1"/>
        <v>0</v>
      </c>
      <c r="AE59" s="70">
        <f t="shared" si="2"/>
        <v>0</v>
      </c>
      <c r="AF59" s="70">
        <f t="shared" si="3"/>
        <v>0</v>
      </c>
      <c r="AG59" s="70">
        <f t="shared" si="4"/>
        <v>0</v>
      </c>
      <c r="AH59" s="109">
        <f t="shared" si="5"/>
        <v>0</v>
      </c>
      <c r="AI59" s="120">
        <f t="shared" si="6"/>
        <v>0</v>
      </c>
      <c r="AJ59" s="121">
        <f t="shared" si="7"/>
        <v>0</v>
      </c>
      <c r="AK59" s="121">
        <f t="shared" si="8"/>
        <v>0</v>
      </c>
      <c r="AL59" s="121">
        <f t="shared" si="9"/>
        <v>0</v>
      </c>
      <c r="AM59" s="122">
        <f t="shared" si="10"/>
        <v>0</v>
      </c>
      <c r="AN59" s="41">
        <f t="shared" si="11"/>
        <v>0</v>
      </c>
      <c r="AO59" s="70">
        <f t="shared" si="12"/>
        <v>0</v>
      </c>
      <c r="AP59" s="70">
        <f t="shared" si="13"/>
        <v>0</v>
      </c>
      <c r="AQ59" s="70">
        <f t="shared" si="14"/>
        <v>0</v>
      </c>
      <c r="AR59" s="70">
        <f t="shared" si="15"/>
        <v>0</v>
      </c>
    </row>
    <row r="60" spans="2:44" x14ac:dyDescent="0.25">
      <c r="B60" s="17">
        <v>58</v>
      </c>
      <c r="C60" s="10"/>
      <c r="D60" s="10"/>
      <c r="E60" s="72"/>
      <c r="F60" s="18"/>
      <c r="G60" s="10"/>
      <c r="H60" s="10"/>
      <c r="I60" s="10"/>
      <c r="J60" s="11"/>
      <c r="K60" s="11">
        <f t="shared" si="0"/>
        <v>0</v>
      </c>
      <c r="L60" s="37">
        <f t="shared" si="16"/>
        <v>0</v>
      </c>
      <c r="M60" s="11"/>
      <c r="N60" s="10"/>
      <c r="O60" s="21"/>
      <c r="P60" s="21"/>
      <c r="Q60" s="21"/>
      <c r="R60" s="23"/>
      <c r="S60" s="50"/>
      <c r="T60" s="48"/>
      <c r="U60" s="82"/>
      <c r="V60" s="32"/>
      <c r="W60" s="200"/>
      <c r="X60" s="17"/>
      <c r="Z60">
        <v>10</v>
      </c>
      <c r="AA60" s="416"/>
      <c r="AB60" s="95">
        <v>4</v>
      </c>
      <c r="AC60" s="102" t="s">
        <v>63</v>
      </c>
      <c r="AD60" s="41">
        <f t="shared" si="1"/>
        <v>0</v>
      </c>
      <c r="AE60" s="70">
        <f t="shared" si="2"/>
        <v>0</v>
      </c>
      <c r="AF60" s="70">
        <f t="shared" si="3"/>
        <v>0</v>
      </c>
      <c r="AG60" s="70">
        <f t="shared" si="4"/>
        <v>0</v>
      </c>
      <c r="AH60" s="109">
        <f t="shared" si="5"/>
        <v>0</v>
      </c>
      <c r="AI60" s="120">
        <f t="shared" si="6"/>
        <v>0</v>
      </c>
      <c r="AJ60" s="121">
        <f t="shared" si="7"/>
        <v>0</v>
      </c>
      <c r="AK60" s="121">
        <f t="shared" si="8"/>
        <v>0</v>
      </c>
      <c r="AL60" s="121">
        <f t="shared" si="9"/>
        <v>0</v>
      </c>
      <c r="AM60" s="122">
        <f t="shared" si="10"/>
        <v>0</v>
      </c>
      <c r="AN60" s="41">
        <f t="shared" si="11"/>
        <v>0</v>
      </c>
      <c r="AO60" s="70">
        <f t="shared" si="12"/>
        <v>0</v>
      </c>
      <c r="AP60" s="70">
        <f t="shared" si="13"/>
        <v>0</v>
      </c>
      <c r="AQ60" s="70">
        <f t="shared" si="14"/>
        <v>0</v>
      </c>
      <c r="AR60" s="70">
        <f t="shared" si="15"/>
        <v>0</v>
      </c>
    </row>
    <row r="61" spans="2:44" x14ac:dyDescent="0.25">
      <c r="B61" s="17">
        <v>59</v>
      </c>
      <c r="C61" s="10"/>
      <c r="D61" s="10"/>
      <c r="E61" s="72"/>
      <c r="F61" s="18"/>
      <c r="G61" s="10"/>
      <c r="H61" s="10"/>
      <c r="I61" s="10"/>
      <c r="J61" s="11"/>
      <c r="K61" s="11">
        <f t="shared" si="0"/>
        <v>0</v>
      </c>
      <c r="L61" s="37">
        <f t="shared" si="16"/>
        <v>0</v>
      </c>
      <c r="M61" s="11"/>
      <c r="N61" s="10"/>
      <c r="O61" s="21"/>
      <c r="P61" s="21"/>
      <c r="Q61" s="21"/>
      <c r="R61" s="23"/>
      <c r="S61" s="50"/>
      <c r="T61" s="48"/>
      <c r="U61" s="82"/>
      <c r="V61" s="26"/>
      <c r="W61" s="200"/>
      <c r="X61" s="17"/>
      <c r="Z61">
        <v>10</v>
      </c>
      <c r="AA61" s="416"/>
      <c r="AB61" s="96">
        <v>5</v>
      </c>
      <c r="AC61" s="56" t="s">
        <v>64</v>
      </c>
      <c r="AD61" s="41">
        <f t="shared" si="1"/>
        <v>0</v>
      </c>
      <c r="AE61" s="70">
        <f t="shared" si="2"/>
        <v>0</v>
      </c>
      <c r="AF61" s="70">
        <f t="shared" si="3"/>
        <v>0</v>
      </c>
      <c r="AG61" s="70">
        <f t="shared" si="4"/>
        <v>0</v>
      </c>
      <c r="AH61" s="109">
        <f t="shared" si="5"/>
        <v>0</v>
      </c>
      <c r="AI61" s="120">
        <f t="shared" si="6"/>
        <v>0</v>
      </c>
      <c r="AJ61" s="121">
        <f t="shared" si="7"/>
        <v>0</v>
      </c>
      <c r="AK61" s="121">
        <f t="shared" si="8"/>
        <v>0</v>
      </c>
      <c r="AL61" s="121">
        <f t="shared" si="9"/>
        <v>0</v>
      </c>
      <c r="AM61" s="122">
        <f t="shared" si="10"/>
        <v>0</v>
      </c>
      <c r="AN61" s="41">
        <f t="shared" si="11"/>
        <v>0</v>
      </c>
      <c r="AO61" s="70">
        <f t="shared" si="12"/>
        <v>0</v>
      </c>
      <c r="AP61" s="70">
        <f t="shared" si="13"/>
        <v>0</v>
      </c>
      <c r="AQ61" s="70">
        <f t="shared" si="14"/>
        <v>0</v>
      </c>
      <c r="AR61" s="70">
        <f t="shared" si="15"/>
        <v>0</v>
      </c>
    </row>
    <row r="62" spans="2:44" ht="14.25" thickBot="1" x14ac:dyDescent="0.3">
      <c r="B62" s="17">
        <v>60</v>
      </c>
      <c r="C62" s="10"/>
      <c r="D62" s="10"/>
      <c r="E62" s="72"/>
      <c r="F62" s="18"/>
      <c r="G62" s="10"/>
      <c r="H62" s="10"/>
      <c r="I62" s="10"/>
      <c r="J62" s="11"/>
      <c r="K62" s="11">
        <f t="shared" si="0"/>
        <v>0</v>
      </c>
      <c r="L62" s="37">
        <f t="shared" si="16"/>
        <v>0</v>
      </c>
      <c r="M62" s="11"/>
      <c r="N62" s="10"/>
      <c r="O62" s="21"/>
      <c r="P62" s="21"/>
      <c r="Q62" s="21"/>
      <c r="R62" s="23"/>
      <c r="S62" s="50"/>
      <c r="T62" s="48"/>
      <c r="U62" s="82"/>
      <c r="V62" s="26"/>
      <c r="W62" s="200"/>
      <c r="X62" s="17"/>
      <c r="Z62">
        <v>10</v>
      </c>
      <c r="AA62" s="417"/>
      <c r="AB62" s="97" t="s">
        <v>3</v>
      </c>
      <c r="AC62" s="106"/>
      <c r="AD62" s="99">
        <f>SUM(AD57:AD61)</f>
        <v>0</v>
      </c>
      <c r="AE62" s="99">
        <f t="shared" ref="AE62" si="147">SUM(AE57:AE61)</f>
        <v>0</v>
      </c>
      <c r="AF62" s="99">
        <f t="shared" ref="AF62" si="148">SUM(AF57:AF61)</f>
        <v>0</v>
      </c>
      <c r="AG62" s="99">
        <f t="shared" ref="AG62" si="149">SUM(AG57:AG61)</f>
        <v>0</v>
      </c>
      <c r="AH62" s="110">
        <f t="shared" ref="AH62" si="150">SUM(AH57:AH61)</f>
        <v>0</v>
      </c>
      <c r="AI62" s="123">
        <f t="shared" ref="AI62" si="151">SUM(AI57:AI61)</f>
        <v>0</v>
      </c>
      <c r="AJ62" s="124">
        <f t="shared" ref="AJ62" si="152">SUM(AJ57:AJ61)</f>
        <v>0</v>
      </c>
      <c r="AK62" s="124">
        <f t="shared" ref="AK62" si="153">SUM(AK57:AK61)</f>
        <v>0</v>
      </c>
      <c r="AL62" s="124">
        <f t="shared" ref="AL62" si="154">SUM(AL57:AL61)</f>
        <v>0</v>
      </c>
      <c r="AM62" s="125">
        <f t="shared" ref="AM62" si="155">SUM(AM57:AM61)</f>
        <v>0</v>
      </c>
      <c r="AN62" s="99">
        <f t="shared" ref="AN62" si="156">SUM(AN57:AN61)</f>
        <v>0</v>
      </c>
      <c r="AO62" s="99">
        <f t="shared" ref="AO62" si="157">SUM(AO57:AO61)</f>
        <v>0</v>
      </c>
      <c r="AP62" s="99">
        <f t="shared" ref="AP62" si="158">SUM(AP57:AP61)</f>
        <v>0</v>
      </c>
      <c r="AQ62" s="99">
        <f t="shared" ref="AQ62" si="159">SUM(AQ57:AQ61)</f>
        <v>0</v>
      </c>
      <c r="AR62" s="99">
        <f t="shared" ref="AR62" si="160">SUM(AR57:AR61)</f>
        <v>0</v>
      </c>
    </row>
    <row r="63" spans="2:44" x14ac:dyDescent="0.25">
      <c r="B63" s="17">
        <v>61</v>
      </c>
      <c r="C63" s="10"/>
      <c r="D63" s="10"/>
      <c r="E63" s="72"/>
      <c r="F63" s="18"/>
      <c r="G63" s="10"/>
      <c r="H63" s="10"/>
      <c r="I63" s="10"/>
      <c r="J63" s="11"/>
      <c r="K63" s="11">
        <f t="shared" si="0"/>
        <v>0</v>
      </c>
      <c r="L63" s="37">
        <f t="shared" si="16"/>
        <v>0</v>
      </c>
      <c r="M63" s="11"/>
      <c r="N63" s="10"/>
      <c r="O63" s="21"/>
      <c r="P63" s="21"/>
      <c r="Q63" s="21"/>
      <c r="R63" s="23"/>
      <c r="S63" s="50"/>
      <c r="T63" s="48"/>
      <c r="U63" s="82"/>
      <c r="V63" s="26"/>
      <c r="W63" s="200"/>
      <c r="X63" s="17"/>
      <c r="Z63">
        <v>11</v>
      </c>
      <c r="AA63" s="415">
        <v>11</v>
      </c>
      <c r="AB63" s="94">
        <v>1</v>
      </c>
      <c r="AC63" s="100" t="s">
        <v>129</v>
      </c>
      <c r="AD63" s="41">
        <f t="shared" si="1"/>
        <v>0</v>
      </c>
      <c r="AE63" s="70">
        <f t="shared" si="2"/>
        <v>0</v>
      </c>
      <c r="AF63" s="70">
        <f t="shared" si="3"/>
        <v>0</v>
      </c>
      <c r="AG63" s="70">
        <f t="shared" si="4"/>
        <v>0</v>
      </c>
      <c r="AH63" s="109">
        <f t="shared" si="5"/>
        <v>0</v>
      </c>
      <c r="AI63" s="120">
        <f t="shared" si="6"/>
        <v>0</v>
      </c>
      <c r="AJ63" s="121">
        <f t="shared" si="7"/>
        <v>0</v>
      </c>
      <c r="AK63" s="121">
        <f t="shared" si="8"/>
        <v>0</v>
      </c>
      <c r="AL63" s="121">
        <f t="shared" si="9"/>
        <v>0</v>
      </c>
      <c r="AM63" s="122">
        <f t="shared" si="10"/>
        <v>0</v>
      </c>
      <c r="AN63" s="41">
        <f t="shared" si="11"/>
        <v>0</v>
      </c>
      <c r="AO63" s="70">
        <f t="shared" si="12"/>
        <v>0</v>
      </c>
      <c r="AP63" s="70">
        <f t="shared" si="13"/>
        <v>0</v>
      </c>
      <c r="AQ63" s="70">
        <f t="shared" si="14"/>
        <v>0</v>
      </c>
      <c r="AR63" s="70">
        <f t="shared" si="15"/>
        <v>0</v>
      </c>
    </row>
    <row r="64" spans="2:44" x14ac:dyDescent="0.25">
      <c r="B64" s="17">
        <v>62</v>
      </c>
      <c r="C64" s="10"/>
      <c r="D64" s="10"/>
      <c r="E64" s="72"/>
      <c r="F64" s="18"/>
      <c r="G64" s="10"/>
      <c r="H64" s="10"/>
      <c r="I64" s="10"/>
      <c r="J64" s="11"/>
      <c r="K64" s="11">
        <f t="shared" si="0"/>
        <v>0</v>
      </c>
      <c r="L64" s="37">
        <f t="shared" si="16"/>
        <v>0</v>
      </c>
      <c r="M64" s="11"/>
      <c r="N64" s="10"/>
      <c r="O64" s="21"/>
      <c r="P64" s="21"/>
      <c r="Q64" s="21"/>
      <c r="R64" s="23"/>
      <c r="S64" s="50"/>
      <c r="T64" s="48"/>
      <c r="U64" s="82"/>
      <c r="V64" s="26"/>
      <c r="W64" s="200"/>
      <c r="X64" s="17"/>
      <c r="Z64">
        <v>11</v>
      </c>
      <c r="AA64" s="416"/>
      <c r="AB64" s="95">
        <v>2</v>
      </c>
      <c r="AC64" s="102" t="s">
        <v>65</v>
      </c>
      <c r="AD64" s="41">
        <f t="shared" si="1"/>
        <v>0</v>
      </c>
      <c r="AE64" s="70">
        <f t="shared" si="2"/>
        <v>0</v>
      </c>
      <c r="AF64" s="70">
        <f t="shared" si="3"/>
        <v>0</v>
      </c>
      <c r="AG64" s="70">
        <f t="shared" si="4"/>
        <v>0</v>
      </c>
      <c r="AH64" s="109">
        <f t="shared" si="5"/>
        <v>0</v>
      </c>
      <c r="AI64" s="120">
        <f t="shared" si="6"/>
        <v>0</v>
      </c>
      <c r="AJ64" s="121">
        <f t="shared" si="7"/>
        <v>0</v>
      </c>
      <c r="AK64" s="121">
        <f t="shared" si="8"/>
        <v>0</v>
      </c>
      <c r="AL64" s="121">
        <f t="shared" si="9"/>
        <v>0</v>
      </c>
      <c r="AM64" s="122">
        <f t="shared" si="10"/>
        <v>0</v>
      </c>
      <c r="AN64" s="41">
        <f t="shared" si="11"/>
        <v>0</v>
      </c>
      <c r="AO64" s="70">
        <f t="shared" si="12"/>
        <v>0</v>
      </c>
      <c r="AP64" s="70">
        <f t="shared" si="13"/>
        <v>0</v>
      </c>
      <c r="AQ64" s="70">
        <f t="shared" si="14"/>
        <v>0</v>
      </c>
      <c r="AR64" s="70">
        <f t="shared" si="15"/>
        <v>0</v>
      </c>
    </row>
    <row r="65" spans="2:44" x14ac:dyDescent="0.25">
      <c r="B65" s="17">
        <v>63</v>
      </c>
      <c r="C65" s="10"/>
      <c r="D65" s="10"/>
      <c r="E65" s="72"/>
      <c r="F65" s="18"/>
      <c r="G65" s="10"/>
      <c r="H65" s="10"/>
      <c r="I65" s="10"/>
      <c r="J65" s="11"/>
      <c r="K65" s="11">
        <f t="shared" si="0"/>
        <v>0</v>
      </c>
      <c r="L65" s="37">
        <f t="shared" si="16"/>
        <v>0</v>
      </c>
      <c r="M65" s="11"/>
      <c r="N65" s="10"/>
      <c r="O65" s="21"/>
      <c r="P65" s="21"/>
      <c r="Q65" s="21"/>
      <c r="R65" s="23"/>
      <c r="S65" s="50"/>
      <c r="T65" s="48"/>
      <c r="U65" s="82"/>
      <c r="V65" s="26"/>
      <c r="W65" s="200"/>
      <c r="X65" s="17"/>
      <c r="Z65">
        <v>11</v>
      </c>
      <c r="AA65" s="416"/>
      <c r="AB65" s="95">
        <v>3</v>
      </c>
      <c r="AC65" s="102" t="s">
        <v>66</v>
      </c>
      <c r="AD65" s="41">
        <f t="shared" si="1"/>
        <v>0</v>
      </c>
      <c r="AE65" s="70">
        <f t="shared" si="2"/>
        <v>0</v>
      </c>
      <c r="AF65" s="70">
        <f t="shared" si="3"/>
        <v>0</v>
      </c>
      <c r="AG65" s="70">
        <f t="shared" si="4"/>
        <v>0</v>
      </c>
      <c r="AH65" s="109">
        <f t="shared" si="5"/>
        <v>0</v>
      </c>
      <c r="AI65" s="120">
        <f t="shared" si="6"/>
        <v>0</v>
      </c>
      <c r="AJ65" s="121">
        <f t="shared" si="7"/>
        <v>0</v>
      </c>
      <c r="AK65" s="121">
        <f t="shared" si="8"/>
        <v>0</v>
      </c>
      <c r="AL65" s="121">
        <f t="shared" si="9"/>
        <v>0</v>
      </c>
      <c r="AM65" s="122">
        <f t="shared" si="10"/>
        <v>0</v>
      </c>
      <c r="AN65" s="41">
        <f t="shared" si="11"/>
        <v>0</v>
      </c>
      <c r="AO65" s="70">
        <f t="shared" si="12"/>
        <v>0</v>
      </c>
      <c r="AP65" s="70">
        <f t="shared" si="13"/>
        <v>0</v>
      </c>
      <c r="AQ65" s="70">
        <f t="shared" si="14"/>
        <v>0</v>
      </c>
      <c r="AR65" s="70">
        <f t="shared" si="15"/>
        <v>0</v>
      </c>
    </row>
    <row r="66" spans="2:44" x14ac:dyDescent="0.25">
      <c r="B66" s="17">
        <v>64</v>
      </c>
      <c r="C66" s="10"/>
      <c r="D66" s="10"/>
      <c r="E66" s="72"/>
      <c r="F66" s="18"/>
      <c r="G66" s="10"/>
      <c r="H66" s="10"/>
      <c r="I66" s="10"/>
      <c r="J66" s="11"/>
      <c r="K66" s="11">
        <f t="shared" si="0"/>
        <v>0</v>
      </c>
      <c r="L66" s="37">
        <f t="shared" si="16"/>
        <v>0</v>
      </c>
      <c r="M66" s="11"/>
      <c r="N66" s="10"/>
      <c r="O66" s="21"/>
      <c r="P66" s="21"/>
      <c r="Q66" s="21"/>
      <c r="R66" s="23"/>
      <c r="S66" s="50"/>
      <c r="T66" s="48"/>
      <c r="U66" s="82"/>
      <c r="V66" s="32"/>
      <c r="W66" s="200"/>
      <c r="X66" s="17"/>
      <c r="Z66">
        <v>11</v>
      </c>
      <c r="AA66" s="416"/>
      <c r="AB66" s="95">
        <v>4</v>
      </c>
      <c r="AC66" s="102" t="s">
        <v>67</v>
      </c>
      <c r="AD66" s="41">
        <f t="shared" si="1"/>
        <v>0</v>
      </c>
      <c r="AE66" s="70">
        <f t="shared" si="2"/>
        <v>0</v>
      </c>
      <c r="AF66" s="70">
        <f t="shared" si="3"/>
        <v>0</v>
      </c>
      <c r="AG66" s="70">
        <f t="shared" si="4"/>
        <v>0</v>
      </c>
      <c r="AH66" s="109">
        <f t="shared" si="5"/>
        <v>0</v>
      </c>
      <c r="AI66" s="120">
        <f t="shared" si="6"/>
        <v>0</v>
      </c>
      <c r="AJ66" s="121">
        <f t="shared" si="7"/>
        <v>0</v>
      </c>
      <c r="AK66" s="121">
        <f t="shared" si="8"/>
        <v>0</v>
      </c>
      <c r="AL66" s="121">
        <f t="shared" si="9"/>
        <v>0</v>
      </c>
      <c r="AM66" s="122">
        <f t="shared" si="10"/>
        <v>0</v>
      </c>
      <c r="AN66" s="41">
        <f t="shared" si="11"/>
        <v>0</v>
      </c>
      <c r="AO66" s="70">
        <f t="shared" si="12"/>
        <v>0</v>
      </c>
      <c r="AP66" s="70">
        <f t="shared" si="13"/>
        <v>0</v>
      </c>
      <c r="AQ66" s="70">
        <f t="shared" si="14"/>
        <v>0</v>
      </c>
      <c r="AR66" s="70">
        <f t="shared" si="15"/>
        <v>0</v>
      </c>
    </row>
    <row r="67" spans="2:44" x14ac:dyDescent="0.25">
      <c r="B67" s="17">
        <v>65</v>
      </c>
      <c r="C67" s="10"/>
      <c r="D67" s="10"/>
      <c r="E67" s="72"/>
      <c r="F67" s="18"/>
      <c r="G67" s="10"/>
      <c r="H67" s="10"/>
      <c r="I67" s="10"/>
      <c r="J67" s="11"/>
      <c r="K67" s="11">
        <f t="shared" si="0"/>
        <v>0</v>
      </c>
      <c r="L67" s="37">
        <f t="shared" si="16"/>
        <v>0</v>
      </c>
      <c r="M67" s="11"/>
      <c r="N67" s="10"/>
      <c r="O67" s="21"/>
      <c r="P67" s="21"/>
      <c r="Q67" s="21"/>
      <c r="R67" s="23"/>
      <c r="S67" s="50"/>
      <c r="T67" s="48"/>
      <c r="U67" s="82"/>
      <c r="V67" s="32"/>
      <c r="W67" s="200"/>
      <c r="X67" s="17"/>
      <c r="Z67">
        <v>11</v>
      </c>
      <c r="AA67" s="416"/>
      <c r="AB67" s="96">
        <v>5</v>
      </c>
      <c r="AC67" s="105"/>
      <c r="AD67" s="41">
        <f t="shared" si="1"/>
        <v>0</v>
      </c>
      <c r="AE67" s="70">
        <f t="shared" si="2"/>
        <v>0</v>
      </c>
      <c r="AF67" s="70">
        <f t="shared" si="3"/>
        <v>0</v>
      </c>
      <c r="AG67" s="70">
        <f t="shared" si="4"/>
        <v>0</v>
      </c>
      <c r="AH67" s="109">
        <f t="shared" si="5"/>
        <v>0</v>
      </c>
      <c r="AI67" s="120">
        <f t="shared" si="6"/>
        <v>0</v>
      </c>
      <c r="AJ67" s="121">
        <f t="shared" si="7"/>
        <v>0</v>
      </c>
      <c r="AK67" s="121">
        <f t="shared" si="8"/>
        <v>0</v>
      </c>
      <c r="AL67" s="121">
        <f t="shared" si="9"/>
        <v>0</v>
      </c>
      <c r="AM67" s="122">
        <f t="shared" si="10"/>
        <v>0</v>
      </c>
      <c r="AN67" s="41">
        <f t="shared" si="11"/>
        <v>0</v>
      </c>
      <c r="AO67" s="70">
        <f t="shared" si="12"/>
        <v>0</v>
      </c>
      <c r="AP67" s="70">
        <f t="shared" si="13"/>
        <v>0</v>
      </c>
      <c r="AQ67" s="70">
        <f t="shared" si="14"/>
        <v>0</v>
      </c>
      <c r="AR67" s="70">
        <f t="shared" si="15"/>
        <v>0</v>
      </c>
    </row>
    <row r="68" spans="2:44" ht="14.25" thickBot="1" x14ac:dyDescent="0.3">
      <c r="B68" s="17">
        <v>66</v>
      </c>
      <c r="C68" s="10"/>
      <c r="D68" s="10"/>
      <c r="E68" s="72"/>
      <c r="F68" s="18"/>
      <c r="G68" s="10"/>
      <c r="H68" s="10"/>
      <c r="I68" s="10"/>
      <c r="J68" s="11"/>
      <c r="K68" s="11">
        <f t="shared" ref="K68:K131" si="161">J68*1.1</f>
        <v>0</v>
      </c>
      <c r="L68" s="37">
        <f t="shared" ref="L68:L131" si="162">J68*0.00000001</f>
        <v>0</v>
      </c>
      <c r="M68" s="11"/>
      <c r="N68" s="10"/>
      <c r="O68" s="21"/>
      <c r="P68" s="21"/>
      <c r="Q68" s="21"/>
      <c r="R68" s="23"/>
      <c r="S68" s="50"/>
      <c r="T68" s="48"/>
      <c r="U68" s="82"/>
      <c r="V68" s="32"/>
      <c r="W68" s="200"/>
      <c r="X68" s="17"/>
      <c r="Z68">
        <v>11</v>
      </c>
      <c r="AA68" s="417"/>
      <c r="AB68" s="97" t="s">
        <v>3</v>
      </c>
      <c r="AC68" s="106"/>
      <c r="AD68" s="99">
        <f>SUM(AD63:AD67)</f>
        <v>0</v>
      </c>
      <c r="AE68" s="99">
        <f t="shared" ref="AE68" si="163">SUM(AE63:AE67)</f>
        <v>0</v>
      </c>
      <c r="AF68" s="99">
        <f t="shared" ref="AF68" si="164">SUM(AF63:AF67)</f>
        <v>0</v>
      </c>
      <c r="AG68" s="99">
        <f t="shared" ref="AG68" si="165">SUM(AG63:AG67)</f>
        <v>0</v>
      </c>
      <c r="AH68" s="110">
        <f t="shared" ref="AH68" si="166">SUM(AH63:AH67)</f>
        <v>0</v>
      </c>
      <c r="AI68" s="123">
        <f t="shared" ref="AI68" si="167">SUM(AI63:AI67)</f>
        <v>0</v>
      </c>
      <c r="AJ68" s="124">
        <f t="shared" ref="AJ68" si="168">SUM(AJ63:AJ67)</f>
        <v>0</v>
      </c>
      <c r="AK68" s="124">
        <f t="shared" ref="AK68" si="169">SUM(AK63:AK67)</f>
        <v>0</v>
      </c>
      <c r="AL68" s="124">
        <f t="shared" ref="AL68" si="170">SUM(AL63:AL67)</f>
        <v>0</v>
      </c>
      <c r="AM68" s="125">
        <f t="shared" ref="AM68" si="171">SUM(AM63:AM67)</f>
        <v>0</v>
      </c>
      <c r="AN68" s="99">
        <f t="shared" ref="AN68" si="172">SUM(AN63:AN67)</f>
        <v>0</v>
      </c>
      <c r="AO68" s="99">
        <f t="shared" ref="AO68" si="173">SUM(AO63:AO67)</f>
        <v>0</v>
      </c>
      <c r="AP68" s="99">
        <f t="shared" ref="AP68" si="174">SUM(AP63:AP67)</f>
        <v>0</v>
      </c>
      <c r="AQ68" s="99">
        <f t="shared" ref="AQ68" si="175">SUM(AQ63:AQ67)</f>
        <v>0</v>
      </c>
      <c r="AR68" s="99">
        <f t="shared" ref="AR68" si="176">SUM(AR63:AR67)</f>
        <v>0</v>
      </c>
    </row>
    <row r="69" spans="2:44" x14ac:dyDescent="0.25">
      <c r="B69" s="17">
        <v>67</v>
      </c>
      <c r="C69" s="10"/>
      <c r="D69" s="10"/>
      <c r="E69" s="72"/>
      <c r="F69" s="18"/>
      <c r="G69" s="10"/>
      <c r="H69" s="10"/>
      <c r="I69" s="10"/>
      <c r="J69" s="11"/>
      <c r="K69" s="11">
        <f t="shared" si="161"/>
        <v>0</v>
      </c>
      <c r="L69" s="37">
        <f t="shared" si="162"/>
        <v>0</v>
      </c>
      <c r="M69" s="11"/>
      <c r="N69" s="10"/>
      <c r="O69" s="21"/>
      <c r="P69" s="21"/>
      <c r="Q69" s="21"/>
      <c r="R69" s="23"/>
      <c r="S69" s="50"/>
      <c r="T69" s="48"/>
      <c r="U69" s="82"/>
      <c r="V69" s="32"/>
      <c r="W69" s="200"/>
      <c r="X69" s="17"/>
      <c r="Z69">
        <v>12</v>
      </c>
      <c r="AA69" s="422">
        <v>12</v>
      </c>
      <c r="AB69" s="98">
        <v>1</v>
      </c>
      <c r="AC69" s="107" t="s">
        <v>130</v>
      </c>
      <c r="AD69" s="41">
        <f t="shared" ref="AD69:AD73" si="177">SUM(AE69:AH69)</f>
        <v>0</v>
      </c>
      <c r="AE69" s="70">
        <f t="shared" ref="AE69:AE73" si="178">SUMIFS($I:$I,$C:$C, $AE$2,$G:$G,$Z69,$H:$H,$AB69)</f>
        <v>0</v>
      </c>
      <c r="AF69" s="70">
        <f t="shared" ref="AF69:AF73" si="179">SUMIFS($I:$I,$C:$C, $AF$2,$G:$G,$Z69,$H:$H,$AB69)</f>
        <v>0</v>
      </c>
      <c r="AG69" s="70">
        <f t="shared" ref="AG69:AG73" si="180">SUMIFS($I:$I,$C:$C, $AG$2,$G:$G,$Z69,$H:$H,$AB69)</f>
        <v>0</v>
      </c>
      <c r="AH69" s="109">
        <f t="shared" ref="AH69:AH73" si="181">SUMIFS($I:$I,$C:$C, $AH$2,$G:$G,$Z69,$H:$H,$AB69)</f>
        <v>0</v>
      </c>
      <c r="AI69" s="120">
        <f t="shared" ref="AI69:AI73" si="182">SUM(AJ69:AM69)</f>
        <v>0</v>
      </c>
      <c r="AJ69" s="121">
        <f t="shared" ref="AJ69:AJ73" si="183">COUNTIFS($C:$C, $AJ$2,$G:$G,$Z69,$H:$H,$AB69)</f>
        <v>0</v>
      </c>
      <c r="AK69" s="121">
        <f t="shared" ref="AK69:AK73" si="184">COUNTIFS($C:$C, $AK$2,$G:$G,$Z69,$H:$H,$AB69)</f>
        <v>0</v>
      </c>
      <c r="AL69" s="121">
        <f t="shared" ref="AL69:AL73" si="185">COUNTIFS($C:$C, $AL$2,$G:$G,$Z69,$H:$H,$AB69)</f>
        <v>0</v>
      </c>
      <c r="AM69" s="122">
        <f t="shared" ref="AM69:AM73" si="186">COUNTIFS($C:$C, $AM$2,$G:$G,$Z69,$H:$H,$AB69)</f>
        <v>0</v>
      </c>
      <c r="AN69" s="41">
        <f t="shared" ref="AN69:AN73" si="187">SUM(AO69:AR69)</f>
        <v>0</v>
      </c>
      <c r="AO69" s="70">
        <f t="shared" ref="AO69:AO73" si="188">SUMIFS($L:$L,$C:$C, $AO$2,$G:$G,$Z69,$H:$H,$AB69)</f>
        <v>0</v>
      </c>
      <c r="AP69" s="70">
        <f t="shared" ref="AP69:AP73" si="189">SUMIFS($L:$L,$C:$C, $AP$2,$G:$G,$Z69,$H:$H,$AB69)</f>
        <v>0</v>
      </c>
      <c r="AQ69" s="70">
        <f t="shared" ref="AQ69:AQ73" si="190">SUMIFS($L:$L,$C:$C, $AQ$2,$G:$G,$Z69,$H:$H,$AB69)</f>
        <v>0</v>
      </c>
      <c r="AR69" s="70">
        <f t="shared" ref="AR69:AR73" si="191">SUMIFS($L:$L,$C:$C, $AR$2,$G:$G,$Z69,$H:$H,$AB69)</f>
        <v>0</v>
      </c>
    </row>
    <row r="70" spans="2:44" x14ac:dyDescent="0.25">
      <c r="B70" s="17">
        <v>68</v>
      </c>
      <c r="C70" s="10"/>
      <c r="D70" s="10"/>
      <c r="E70" s="72"/>
      <c r="F70" s="18"/>
      <c r="G70" s="10"/>
      <c r="H70" s="10"/>
      <c r="I70" s="10"/>
      <c r="J70" s="11"/>
      <c r="K70" s="11">
        <f t="shared" si="161"/>
        <v>0</v>
      </c>
      <c r="L70" s="37">
        <f t="shared" si="162"/>
        <v>0</v>
      </c>
      <c r="M70" s="11"/>
      <c r="N70" s="10"/>
      <c r="O70" s="21"/>
      <c r="P70" s="21"/>
      <c r="Q70" s="21"/>
      <c r="R70" s="23"/>
      <c r="S70" s="50"/>
      <c r="T70" s="48"/>
      <c r="U70" s="82"/>
      <c r="V70" s="26"/>
      <c r="W70" s="200"/>
      <c r="X70" s="17"/>
      <c r="Z70">
        <v>12</v>
      </c>
      <c r="AA70" s="416"/>
      <c r="AB70" s="95">
        <v>2</v>
      </c>
      <c r="AC70" s="102" t="s">
        <v>125</v>
      </c>
      <c r="AD70" s="41">
        <f t="shared" si="177"/>
        <v>0</v>
      </c>
      <c r="AE70" s="70">
        <f t="shared" si="178"/>
        <v>0</v>
      </c>
      <c r="AF70" s="70">
        <f t="shared" si="179"/>
        <v>0</v>
      </c>
      <c r="AG70" s="70">
        <f t="shared" si="180"/>
        <v>0</v>
      </c>
      <c r="AH70" s="109">
        <f t="shared" si="181"/>
        <v>0</v>
      </c>
      <c r="AI70" s="120">
        <f t="shared" si="182"/>
        <v>0</v>
      </c>
      <c r="AJ70" s="121">
        <f t="shared" si="183"/>
        <v>0</v>
      </c>
      <c r="AK70" s="121">
        <f t="shared" si="184"/>
        <v>0</v>
      </c>
      <c r="AL70" s="121">
        <f t="shared" si="185"/>
        <v>0</v>
      </c>
      <c r="AM70" s="122">
        <f t="shared" si="186"/>
        <v>0</v>
      </c>
      <c r="AN70" s="41">
        <f t="shared" si="187"/>
        <v>0</v>
      </c>
      <c r="AO70" s="70">
        <f t="shared" si="188"/>
        <v>0</v>
      </c>
      <c r="AP70" s="70">
        <f t="shared" si="189"/>
        <v>0</v>
      </c>
      <c r="AQ70" s="70">
        <f t="shared" si="190"/>
        <v>0</v>
      </c>
      <c r="AR70" s="70">
        <f t="shared" si="191"/>
        <v>0</v>
      </c>
    </row>
    <row r="71" spans="2:44" x14ac:dyDescent="0.25">
      <c r="B71" s="17">
        <v>69</v>
      </c>
      <c r="C71" s="10"/>
      <c r="D71" s="10"/>
      <c r="E71" s="72"/>
      <c r="F71" s="18"/>
      <c r="G71" s="10"/>
      <c r="H71" s="10"/>
      <c r="I71" s="10"/>
      <c r="J71" s="11"/>
      <c r="K71" s="11">
        <f t="shared" si="161"/>
        <v>0</v>
      </c>
      <c r="L71" s="37">
        <f t="shared" si="162"/>
        <v>0</v>
      </c>
      <c r="M71" s="11"/>
      <c r="N71" s="10"/>
      <c r="O71" s="21"/>
      <c r="P71" s="21"/>
      <c r="Q71" s="21"/>
      <c r="R71" s="23"/>
      <c r="S71" s="50"/>
      <c r="T71" s="48"/>
      <c r="U71" s="82"/>
      <c r="V71" s="26"/>
      <c r="W71" s="200"/>
      <c r="X71" s="17"/>
      <c r="Z71">
        <v>12</v>
      </c>
      <c r="AA71" s="416"/>
      <c r="AB71" s="95">
        <v>3</v>
      </c>
      <c r="AC71" s="102" t="s">
        <v>126</v>
      </c>
      <c r="AD71" s="41">
        <f t="shared" si="177"/>
        <v>0</v>
      </c>
      <c r="AE71" s="70">
        <f t="shared" si="178"/>
        <v>0</v>
      </c>
      <c r="AF71" s="70">
        <f t="shared" si="179"/>
        <v>0</v>
      </c>
      <c r="AG71" s="70">
        <f t="shared" si="180"/>
        <v>0</v>
      </c>
      <c r="AH71" s="109">
        <f t="shared" si="181"/>
        <v>0</v>
      </c>
      <c r="AI71" s="120">
        <f t="shared" si="182"/>
        <v>0</v>
      </c>
      <c r="AJ71" s="121">
        <f t="shared" si="183"/>
        <v>0</v>
      </c>
      <c r="AK71" s="121">
        <f t="shared" si="184"/>
        <v>0</v>
      </c>
      <c r="AL71" s="121">
        <f t="shared" si="185"/>
        <v>0</v>
      </c>
      <c r="AM71" s="122">
        <f t="shared" si="186"/>
        <v>0</v>
      </c>
      <c r="AN71" s="41">
        <f t="shared" si="187"/>
        <v>0</v>
      </c>
      <c r="AO71" s="70">
        <f t="shared" si="188"/>
        <v>0</v>
      </c>
      <c r="AP71" s="70">
        <f t="shared" si="189"/>
        <v>0</v>
      </c>
      <c r="AQ71" s="70">
        <f t="shared" si="190"/>
        <v>0</v>
      </c>
      <c r="AR71" s="70">
        <f t="shared" si="191"/>
        <v>0</v>
      </c>
    </row>
    <row r="72" spans="2:44" x14ac:dyDescent="0.25">
      <c r="B72" s="17">
        <v>70</v>
      </c>
      <c r="C72" s="10"/>
      <c r="D72" s="10"/>
      <c r="E72" s="72"/>
      <c r="F72" s="18"/>
      <c r="G72" s="10"/>
      <c r="H72" s="10"/>
      <c r="I72" s="10"/>
      <c r="J72" s="11"/>
      <c r="K72" s="11">
        <f t="shared" si="161"/>
        <v>0</v>
      </c>
      <c r="L72" s="37">
        <f t="shared" si="162"/>
        <v>0</v>
      </c>
      <c r="M72" s="11"/>
      <c r="N72" s="10"/>
      <c r="O72" s="21"/>
      <c r="P72" s="21"/>
      <c r="Q72" s="21"/>
      <c r="R72" s="23"/>
      <c r="S72" s="50"/>
      <c r="T72" s="48"/>
      <c r="U72" s="82"/>
      <c r="V72" s="26"/>
      <c r="W72" s="200"/>
      <c r="X72" s="17"/>
      <c r="Z72">
        <v>12</v>
      </c>
      <c r="AA72" s="416"/>
      <c r="AB72" s="95">
        <v>4</v>
      </c>
      <c r="AC72" s="102" t="s">
        <v>127</v>
      </c>
      <c r="AD72" s="41">
        <f t="shared" si="177"/>
        <v>0</v>
      </c>
      <c r="AE72" s="70">
        <f t="shared" si="178"/>
        <v>0</v>
      </c>
      <c r="AF72" s="70">
        <f t="shared" si="179"/>
        <v>0</v>
      </c>
      <c r="AG72" s="70">
        <f t="shared" si="180"/>
        <v>0</v>
      </c>
      <c r="AH72" s="109">
        <f t="shared" si="181"/>
        <v>0</v>
      </c>
      <c r="AI72" s="120">
        <f t="shared" si="182"/>
        <v>0</v>
      </c>
      <c r="AJ72" s="121">
        <f t="shared" si="183"/>
        <v>0</v>
      </c>
      <c r="AK72" s="121">
        <f t="shared" si="184"/>
        <v>0</v>
      </c>
      <c r="AL72" s="121">
        <f t="shared" si="185"/>
        <v>0</v>
      </c>
      <c r="AM72" s="122">
        <f t="shared" si="186"/>
        <v>0</v>
      </c>
      <c r="AN72" s="41">
        <f t="shared" si="187"/>
        <v>0</v>
      </c>
      <c r="AO72" s="70">
        <f t="shared" si="188"/>
        <v>0</v>
      </c>
      <c r="AP72" s="70">
        <f t="shared" si="189"/>
        <v>0</v>
      </c>
      <c r="AQ72" s="70">
        <f t="shared" si="190"/>
        <v>0</v>
      </c>
      <c r="AR72" s="70">
        <f t="shared" si="191"/>
        <v>0</v>
      </c>
    </row>
    <row r="73" spans="2:44" x14ac:dyDescent="0.25">
      <c r="B73" s="17">
        <v>71</v>
      </c>
      <c r="C73" s="10"/>
      <c r="D73" s="10"/>
      <c r="E73" s="72"/>
      <c r="F73" s="18"/>
      <c r="G73" s="10"/>
      <c r="H73" s="10"/>
      <c r="I73" s="10"/>
      <c r="J73" s="11"/>
      <c r="K73" s="11">
        <f t="shared" si="161"/>
        <v>0</v>
      </c>
      <c r="L73" s="37">
        <f t="shared" si="162"/>
        <v>0</v>
      </c>
      <c r="M73" s="11"/>
      <c r="N73" s="10"/>
      <c r="O73" s="21"/>
      <c r="P73" s="21"/>
      <c r="Q73" s="21"/>
      <c r="R73" s="23"/>
      <c r="S73" s="50"/>
      <c r="T73" s="48"/>
      <c r="U73" s="82"/>
      <c r="V73" s="26"/>
      <c r="W73" s="200"/>
      <c r="X73" s="17"/>
      <c r="Z73">
        <v>12</v>
      </c>
      <c r="AA73" s="416"/>
      <c r="AB73" s="96">
        <v>5</v>
      </c>
      <c r="AC73" s="105" t="s">
        <v>131</v>
      </c>
      <c r="AD73" s="41">
        <f t="shared" si="177"/>
        <v>0</v>
      </c>
      <c r="AE73" s="70">
        <f t="shared" si="178"/>
        <v>0</v>
      </c>
      <c r="AF73" s="70">
        <f t="shared" si="179"/>
        <v>0</v>
      </c>
      <c r="AG73" s="70">
        <f t="shared" si="180"/>
        <v>0</v>
      </c>
      <c r="AH73" s="109">
        <f t="shared" si="181"/>
        <v>0</v>
      </c>
      <c r="AI73" s="120">
        <f t="shared" si="182"/>
        <v>0</v>
      </c>
      <c r="AJ73" s="121">
        <f t="shared" si="183"/>
        <v>0</v>
      </c>
      <c r="AK73" s="121">
        <f t="shared" si="184"/>
        <v>0</v>
      </c>
      <c r="AL73" s="121">
        <f t="shared" si="185"/>
        <v>0</v>
      </c>
      <c r="AM73" s="122">
        <f t="shared" si="186"/>
        <v>0</v>
      </c>
      <c r="AN73" s="41">
        <f t="shared" si="187"/>
        <v>0</v>
      </c>
      <c r="AO73" s="70">
        <f t="shared" si="188"/>
        <v>0</v>
      </c>
      <c r="AP73" s="70">
        <f t="shared" si="189"/>
        <v>0</v>
      </c>
      <c r="AQ73" s="70">
        <f t="shared" si="190"/>
        <v>0</v>
      </c>
      <c r="AR73" s="70">
        <f t="shared" si="191"/>
        <v>0</v>
      </c>
    </row>
    <row r="74" spans="2:44" ht="14.25" thickBot="1" x14ac:dyDescent="0.3">
      <c r="B74" s="17">
        <v>72</v>
      </c>
      <c r="C74" s="10"/>
      <c r="D74" s="10"/>
      <c r="E74" s="72"/>
      <c r="F74" s="18"/>
      <c r="G74" s="10"/>
      <c r="H74" s="10"/>
      <c r="I74" s="10"/>
      <c r="J74" s="11"/>
      <c r="K74" s="11">
        <f t="shared" si="161"/>
        <v>0</v>
      </c>
      <c r="L74" s="37">
        <f t="shared" si="162"/>
        <v>0</v>
      </c>
      <c r="M74" s="11"/>
      <c r="N74" s="10"/>
      <c r="O74" s="21"/>
      <c r="P74" s="21"/>
      <c r="Q74" s="21"/>
      <c r="R74" s="23"/>
      <c r="S74" s="50"/>
      <c r="T74" s="48"/>
      <c r="U74" s="82"/>
      <c r="V74" s="26"/>
      <c r="W74" s="200"/>
      <c r="X74" s="17"/>
      <c r="Z74">
        <v>12</v>
      </c>
      <c r="AA74" s="417"/>
      <c r="AB74" s="97" t="s">
        <v>3</v>
      </c>
      <c r="AC74" s="106"/>
      <c r="AD74" s="99">
        <f>SUM(AD69:AD73)</f>
        <v>0</v>
      </c>
      <c r="AE74" s="99">
        <f t="shared" ref="AE74:AR74" si="192">SUM(AE69:AE73)</f>
        <v>0</v>
      </c>
      <c r="AF74" s="99">
        <f t="shared" si="192"/>
        <v>0</v>
      </c>
      <c r="AG74" s="99">
        <f t="shared" si="192"/>
        <v>0</v>
      </c>
      <c r="AH74" s="110">
        <f t="shared" si="192"/>
        <v>0</v>
      </c>
      <c r="AI74" s="123">
        <f t="shared" si="192"/>
        <v>0</v>
      </c>
      <c r="AJ74" s="124">
        <f t="shared" si="192"/>
        <v>0</v>
      </c>
      <c r="AK74" s="124">
        <f t="shared" si="192"/>
        <v>0</v>
      </c>
      <c r="AL74" s="124">
        <f t="shared" si="192"/>
        <v>0</v>
      </c>
      <c r="AM74" s="125">
        <f t="shared" si="192"/>
        <v>0</v>
      </c>
      <c r="AN74" s="99">
        <f t="shared" si="192"/>
        <v>0</v>
      </c>
      <c r="AO74" s="99">
        <f t="shared" si="192"/>
        <v>0</v>
      </c>
      <c r="AP74" s="99">
        <f t="shared" si="192"/>
        <v>0</v>
      </c>
      <c r="AQ74" s="99">
        <f t="shared" si="192"/>
        <v>0</v>
      </c>
      <c r="AR74" s="99">
        <f t="shared" si="192"/>
        <v>0</v>
      </c>
    </row>
    <row r="75" spans="2:44" ht="17.25" thickBot="1" x14ac:dyDescent="0.3">
      <c r="B75" s="17">
        <v>73</v>
      </c>
      <c r="C75" s="10"/>
      <c r="D75" s="10"/>
      <c r="E75" s="72"/>
      <c r="F75" s="18"/>
      <c r="G75" s="10"/>
      <c r="H75" s="10"/>
      <c r="I75" s="10"/>
      <c r="J75" s="11"/>
      <c r="K75" s="11">
        <f t="shared" si="161"/>
        <v>0</v>
      </c>
      <c r="L75" s="37">
        <f t="shared" si="162"/>
        <v>0</v>
      </c>
      <c r="M75" s="11"/>
      <c r="N75" s="10"/>
      <c r="O75" s="21"/>
      <c r="P75" s="21"/>
      <c r="Q75" s="21"/>
      <c r="R75" s="23"/>
      <c r="S75" s="50"/>
      <c r="T75" s="48"/>
      <c r="U75" s="82"/>
      <c r="V75" s="32"/>
      <c r="W75" s="200"/>
      <c r="X75" s="17"/>
      <c r="AA75" s="418" t="s">
        <v>36</v>
      </c>
      <c r="AB75" s="419"/>
      <c r="AC75" s="108"/>
      <c r="AD75" s="90">
        <f>SUM(AD8,AD14,AD20,AD26,AD32,AD38,AD44,AD50,AD56,AD62,AD68,AD74)</f>
        <v>0</v>
      </c>
      <c r="AE75" s="90"/>
      <c r="AF75" s="90"/>
      <c r="AG75" s="91"/>
      <c r="AH75" s="91"/>
      <c r="AI75" s="126"/>
      <c r="AJ75" s="127"/>
      <c r="AK75" s="127"/>
      <c r="AL75" s="127"/>
      <c r="AM75" s="128"/>
      <c r="AN75" s="92"/>
      <c r="AO75" s="92"/>
      <c r="AP75" s="92"/>
      <c r="AQ75" s="92"/>
      <c r="AR75" s="93"/>
    </row>
    <row r="76" spans="2:44" x14ac:dyDescent="0.25">
      <c r="B76" s="17">
        <v>74</v>
      </c>
      <c r="C76" s="10"/>
      <c r="D76" s="10"/>
      <c r="E76" s="72"/>
      <c r="F76" s="18"/>
      <c r="G76" s="10"/>
      <c r="H76" s="10"/>
      <c r="I76" s="10"/>
      <c r="J76" s="11"/>
      <c r="K76" s="11">
        <f t="shared" si="161"/>
        <v>0</v>
      </c>
      <c r="L76" s="37">
        <f t="shared" si="162"/>
        <v>0</v>
      </c>
      <c r="M76" s="11"/>
      <c r="N76" s="10"/>
      <c r="O76" s="21"/>
      <c r="P76" s="21"/>
      <c r="Q76" s="21"/>
      <c r="R76" s="23"/>
      <c r="S76" s="50"/>
      <c r="T76" s="48"/>
      <c r="U76" s="82"/>
      <c r="V76" s="32"/>
      <c r="W76" s="200"/>
      <c r="X76" s="17"/>
    </row>
    <row r="77" spans="2:44" x14ac:dyDescent="0.25">
      <c r="B77" s="17">
        <v>75</v>
      </c>
      <c r="C77" s="10"/>
      <c r="D77" s="10"/>
      <c r="E77" s="72"/>
      <c r="F77" s="18"/>
      <c r="G77" s="10"/>
      <c r="H77" s="10"/>
      <c r="I77" s="10"/>
      <c r="J77" s="11"/>
      <c r="K77" s="11">
        <f t="shared" si="161"/>
        <v>0</v>
      </c>
      <c r="L77" s="37">
        <f t="shared" si="162"/>
        <v>0</v>
      </c>
      <c r="M77" s="11"/>
      <c r="N77" s="10"/>
      <c r="O77" s="21"/>
      <c r="P77" s="21"/>
      <c r="Q77" s="21"/>
      <c r="R77" s="23"/>
      <c r="S77" s="50"/>
      <c r="T77" s="48"/>
      <c r="U77" s="82"/>
      <c r="V77" s="26"/>
      <c r="W77" s="200"/>
      <c r="X77" s="17"/>
    </row>
    <row r="78" spans="2:44" x14ac:dyDescent="0.25">
      <c r="B78" s="17">
        <v>76</v>
      </c>
      <c r="C78" s="10"/>
      <c r="D78" s="10"/>
      <c r="E78" s="72"/>
      <c r="F78" s="18"/>
      <c r="G78" s="10"/>
      <c r="H78" s="10"/>
      <c r="I78" s="10"/>
      <c r="J78" s="11"/>
      <c r="K78" s="11">
        <f t="shared" si="161"/>
        <v>0</v>
      </c>
      <c r="L78" s="37">
        <f t="shared" si="162"/>
        <v>0</v>
      </c>
      <c r="M78" s="11"/>
      <c r="N78" s="10"/>
      <c r="O78" s="21"/>
      <c r="P78" s="21"/>
      <c r="Q78" s="21"/>
      <c r="R78" s="23"/>
      <c r="S78" s="50"/>
      <c r="T78" s="48"/>
      <c r="U78" s="82"/>
      <c r="V78" s="26"/>
      <c r="W78" s="200"/>
      <c r="X78" s="17"/>
    </row>
    <row r="79" spans="2:44" x14ac:dyDescent="0.25">
      <c r="B79" s="17">
        <v>77</v>
      </c>
      <c r="C79" s="10"/>
      <c r="D79" s="10"/>
      <c r="E79" s="72"/>
      <c r="F79" s="18"/>
      <c r="G79" s="10"/>
      <c r="H79" s="10"/>
      <c r="I79" s="10"/>
      <c r="J79" s="11"/>
      <c r="K79" s="11">
        <f t="shared" si="161"/>
        <v>0</v>
      </c>
      <c r="L79" s="37">
        <f t="shared" si="162"/>
        <v>0</v>
      </c>
      <c r="M79" s="11"/>
      <c r="N79" s="10"/>
      <c r="O79" s="21"/>
      <c r="P79" s="21"/>
      <c r="Q79" s="21"/>
      <c r="R79" s="23"/>
      <c r="S79" s="50"/>
      <c r="T79" s="48"/>
      <c r="U79" s="82"/>
      <c r="V79" s="26"/>
      <c r="W79" s="200"/>
      <c r="X79" s="17"/>
    </row>
    <row r="80" spans="2:44" x14ac:dyDescent="0.25">
      <c r="B80" s="17">
        <v>78</v>
      </c>
      <c r="C80" s="10"/>
      <c r="D80" s="10"/>
      <c r="E80" s="72"/>
      <c r="F80" s="18"/>
      <c r="G80" s="10"/>
      <c r="H80" s="10"/>
      <c r="I80" s="10"/>
      <c r="J80" s="11"/>
      <c r="K80" s="11">
        <f t="shared" si="161"/>
        <v>0</v>
      </c>
      <c r="L80" s="37">
        <f t="shared" si="162"/>
        <v>0</v>
      </c>
      <c r="M80" s="11"/>
      <c r="N80" s="10"/>
      <c r="O80" s="21"/>
      <c r="P80" s="21"/>
      <c r="Q80" s="21"/>
      <c r="R80" s="23"/>
      <c r="S80" s="50"/>
      <c r="T80" s="48"/>
      <c r="U80" s="82"/>
      <c r="V80" s="26"/>
      <c r="W80" s="200"/>
      <c r="X80" s="17"/>
    </row>
    <row r="81" spans="2:24" x14ac:dyDescent="0.25">
      <c r="B81" s="17">
        <v>79</v>
      </c>
      <c r="C81" s="10"/>
      <c r="D81" s="10"/>
      <c r="E81" s="72"/>
      <c r="F81" s="18"/>
      <c r="G81" s="10"/>
      <c r="H81" s="10"/>
      <c r="I81" s="10"/>
      <c r="J81" s="11"/>
      <c r="K81" s="11">
        <f t="shared" si="161"/>
        <v>0</v>
      </c>
      <c r="L81" s="37">
        <f t="shared" si="162"/>
        <v>0</v>
      </c>
      <c r="M81" s="11"/>
      <c r="N81" s="10"/>
      <c r="O81" s="21"/>
      <c r="P81" s="21"/>
      <c r="Q81" s="21"/>
      <c r="R81" s="23"/>
      <c r="S81" s="50"/>
      <c r="T81" s="48"/>
      <c r="U81" s="82"/>
      <c r="V81" s="32"/>
      <c r="W81" s="200"/>
      <c r="X81" s="17"/>
    </row>
    <row r="82" spans="2:24" x14ac:dyDescent="0.25">
      <c r="B82" s="17">
        <v>80</v>
      </c>
      <c r="C82" s="10"/>
      <c r="D82" s="10"/>
      <c r="E82" s="72"/>
      <c r="F82" s="18"/>
      <c r="G82" s="10"/>
      <c r="H82" s="10"/>
      <c r="I82" s="10"/>
      <c r="J82" s="11"/>
      <c r="K82" s="11">
        <f t="shared" si="161"/>
        <v>0</v>
      </c>
      <c r="L82" s="37">
        <f t="shared" si="162"/>
        <v>0</v>
      </c>
      <c r="M82" s="11"/>
      <c r="N82" s="10"/>
      <c r="O82" s="21"/>
      <c r="P82" s="21"/>
      <c r="Q82" s="21"/>
      <c r="R82" s="23"/>
      <c r="S82" s="50"/>
      <c r="T82" s="48"/>
      <c r="U82" s="82"/>
      <c r="V82" s="32"/>
      <c r="W82" s="200"/>
      <c r="X82" s="17"/>
    </row>
    <row r="83" spans="2:24" x14ac:dyDescent="0.25">
      <c r="B83" s="17">
        <v>81</v>
      </c>
      <c r="C83" s="10"/>
      <c r="D83" s="10"/>
      <c r="E83" s="72"/>
      <c r="F83" s="18"/>
      <c r="G83" s="10"/>
      <c r="H83" s="10"/>
      <c r="I83" s="10"/>
      <c r="J83" s="11"/>
      <c r="K83" s="11">
        <f t="shared" si="161"/>
        <v>0</v>
      </c>
      <c r="L83" s="37">
        <f t="shared" si="162"/>
        <v>0</v>
      </c>
      <c r="M83" s="11"/>
      <c r="N83" s="10"/>
      <c r="O83" s="21"/>
      <c r="P83" s="21"/>
      <c r="Q83" s="21"/>
      <c r="R83" s="23"/>
      <c r="S83" s="50"/>
      <c r="T83" s="48"/>
      <c r="U83" s="82"/>
      <c r="V83" s="26"/>
      <c r="W83" s="200"/>
      <c r="X83" s="17"/>
    </row>
    <row r="84" spans="2:24" x14ac:dyDescent="0.25">
      <c r="B84" s="17">
        <v>82</v>
      </c>
      <c r="C84" s="10"/>
      <c r="D84" s="10"/>
      <c r="E84" s="72"/>
      <c r="F84" s="18"/>
      <c r="G84" s="10"/>
      <c r="H84" s="10"/>
      <c r="I84" s="10"/>
      <c r="J84" s="11"/>
      <c r="K84" s="11">
        <f t="shared" si="161"/>
        <v>0</v>
      </c>
      <c r="L84" s="37">
        <f t="shared" si="162"/>
        <v>0</v>
      </c>
      <c r="M84" s="11"/>
      <c r="N84" s="10"/>
      <c r="O84" s="21"/>
      <c r="P84" s="21"/>
      <c r="Q84" s="21"/>
      <c r="R84" s="23"/>
      <c r="S84" s="50"/>
      <c r="T84" s="48"/>
      <c r="U84" s="82"/>
      <c r="V84" s="26"/>
      <c r="W84" s="200"/>
      <c r="X84" s="17"/>
    </row>
    <row r="85" spans="2:24" x14ac:dyDescent="0.25">
      <c r="B85" s="17">
        <v>83</v>
      </c>
      <c r="C85" s="10"/>
      <c r="D85" s="10"/>
      <c r="E85" s="72"/>
      <c r="F85" s="18"/>
      <c r="G85" s="10"/>
      <c r="H85" s="10"/>
      <c r="I85" s="10"/>
      <c r="J85" s="11"/>
      <c r="K85" s="11">
        <f t="shared" si="161"/>
        <v>0</v>
      </c>
      <c r="L85" s="37">
        <f t="shared" si="162"/>
        <v>0</v>
      </c>
      <c r="M85" s="11"/>
      <c r="N85" s="10"/>
      <c r="O85" s="21"/>
      <c r="P85" s="21"/>
      <c r="Q85" s="21"/>
      <c r="R85" s="23"/>
      <c r="S85" s="50"/>
      <c r="T85" s="48"/>
      <c r="U85" s="82"/>
      <c r="V85" s="26"/>
      <c r="W85" s="200"/>
      <c r="X85" s="17"/>
    </row>
    <row r="86" spans="2:24" x14ac:dyDescent="0.25">
      <c r="B86" s="17">
        <v>84</v>
      </c>
      <c r="C86" s="10"/>
      <c r="D86" s="10"/>
      <c r="E86" s="72"/>
      <c r="F86" s="18"/>
      <c r="G86" s="10"/>
      <c r="H86" s="10"/>
      <c r="I86" s="10"/>
      <c r="J86" s="11"/>
      <c r="K86" s="11">
        <f t="shared" si="161"/>
        <v>0</v>
      </c>
      <c r="L86" s="37">
        <f t="shared" si="162"/>
        <v>0</v>
      </c>
      <c r="M86" s="11"/>
      <c r="N86" s="10"/>
      <c r="O86" s="21"/>
      <c r="P86" s="21"/>
      <c r="Q86" s="21"/>
      <c r="R86" s="23"/>
      <c r="S86" s="50"/>
      <c r="T86" s="48"/>
      <c r="U86" s="82"/>
      <c r="V86" s="26"/>
      <c r="W86" s="200"/>
      <c r="X86" s="17"/>
    </row>
    <row r="87" spans="2:24" x14ac:dyDescent="0.25">
      <c r="B87" s="17">
        <v>85</v>
      </c>
      <c r="C87" s="10"/>
      <c r="D87" s="10"/>
      <c r="E87" s="72"/>
      <c r="F87" s="18"/>
      <c r="G87" s="10"/>
      <c r="H87" s="10"/>
      <c r="I87" s="10"/>
      <c r="J87" s="11"/>
      <c r="K87" s="11">
        <f t="shared" si="161"/>
        <v>0</v>
      </c>
      <c r="L87" s="37">
        <f t="shared" si="162"/>
        <v>0</v>
      </c>
      <c r="M87" s="11"/>
      <c r="N87" s="10"/>
      <c r="O87" s="21"/>
      <c r="P87" s="21"/>
      <c r="Q87" s="21"/>
      <c r="R87" s="23"/>
      <c r="S87" s="50"/>
      <c r="T87" s="48"/>
      <c r="U87" s="82"/>
      <c r="V87" s="26"/>
      <c r="W87" s="200"/>
      <c r="X87" s="17"/>
    </row>
    <row r="88" spans="2:24" x14ac:dyDescent="0.25">
      <c r="B88" s="17">
        <v>86</v>
      </c>
      <c r="C88" s="10"/>
      <c r="D88" s="10"/>
      <c r="E88" s="72"/>
      <c r="F88" s="18"/>
      <c r="G88" s="10"/>
      <c r="H88" s="10"/>
      <c r="I88" s="10"/>
      <c r="J88" s="11"/>
      <c r="K88" s="11">
        <f t="shared" si="161"/>
        <v>0</v>
      </c>
      <c r="L88" s="37">
        <f t="shared" si="162"/>
        <v>0</v>
      </c>
      <c r="M88" s="11"/>
      <c r="N88" s="10"/>
      <c r="O88" s="21"/>
      <c r="P88" s="21"/>
      <c r="Q88" s="21"/>
      <c r="R88" s="23"/>
      <c r="S88" s="50"/>
      <c r="T88" s="48"/>
      <c r="U88" s="82"/>
      <c r="V88" s="32"/>
      <c r="W88" s="200"/>
      <c r="X88" s="17"/>
    </row>
    <row r="89" spans="2:24" x14ac:dyDescent="0.25">
      <c r="B89" s="17">
        <v>87</v>
      </c>
      <c r="C89" s="10"/>
      <c r="D89" s="10"/>
      <c r="E89" s="72"/>
      <c r="F89" s="18"/>
      <c r="G89" s="10"/>
      <c r="H89" s="10"/>
      <c r="I89" s="10"/>
      <c r="J89" s="11"/>
      <c r="K89" s="11">
        <f t="shared" si="161"/>
        <v>0</v>
      </c>
      <c r="L89" s="37">
        <f t="shared" si="162"/>
        <v>0</v>
      </c>
      <c r="M89" s="11"/>
      <c r="N89" s="10"/>
      <c r="O89" s="21"/>
      <c r="P89" s="21"/>
      <c r="Q89" s="21"/>
      <c r="R89" s="23"/>
      <c r="S89" s="50"/>
      <c r="T89" s="48"/>
      <c r="U89" s="82"/>
      <c r="V89" s="32"/>
      <c r="W89" s="200"/>
      <c r="X89" s="17"/>
    </row>
    <row r="90" spans="2:24" x14ac:dyDescent="0.25">
      <c r="B90" s="17">
        <v>88</v>
      </c>
      <c r="C90" s="10"/>
      <c r="D90" s="10"/>
      <c r="E90" s="72"/>
      <c r="F90" s="18"/>
      <c r="G90" s="10"/>
      <c r="H90" s="10"/>
      <c r="I90" s="10"/>
      <c r="J90" s="11"/>
      <c r="K90" s="11">
        <f t="shared" si="161"/>
        <v>0</v>
      </c>
      <c r="L90" s="37">
        <f t="shared" si="162"/>
        <v>0</v>
      </c>
      <c r="M90" s="11"/>
      <c r="N90" s="10"/>
      <c r="O90" s="21"/>
      <c r="P90" s="21"/>
      <c r="Q90" s="21"/>
      <c r="R90" s="23"/>
      <c r="S90" s="50"/>
      <c r="T90" s="48"/>
      <c r="U90" s="82"/>
      <c r="V90" s="26"/>
      <c r="W90" s="200"/>
      <c r="X90" s="17"/>
    </row>
    <row r="91" spans="2:24" x14ac:dyDescent="0.25">
      <c r="B91" s="17">
        <v>89</v>
      </c>
      <c r="C91" s="10"/>
      <c r="D91" s="10"/>
      <c r="E91" s="72"/>
      <c r="F91" s="18"/>
      <c r="G91" s="10"/>
      <c r="H91" s="10"/>
      <c r="I91" s="10"/>
      <c r="J91" s="11"/>
      <c r="K91" s="11">
        <f t="shared" si="161"/>
        <v>0</v>
      </c>
      <c r="L91" s="37">
        <f t="shared" si="162"/>
        <v>0</v>
      </c>
      <c r="M91" s="11"/>
      <c r="N91" s="10"/>
      <c r="O91" s="21"/>
      <c r="P91" s="21"/>
      <c r="Q91" s="21"/>
      <c r="R91" s="23"/>
      <c r="S91" s="50"/>
      <c r="T91" s="48"/>
      <c r="U91" s="82"/>
      <c r="V91" s="26"/>
      <c r="W91" s="200"/>
      <c r="X91" s="17"/>
    </row>
    <row r="92" spans="2:24" x14ac:dyDescent="0.25">
      <c r="B92" s="17">
        <v>90</v>
      </c>
      <c r="C92" s="10"/>
      <c r="D92" s="10"/>
      <c r="E92" s="72"/>
      <c r="F92" s="18"/>
      <c r="G92" s="10"/>
      <c r="H92" s="10"/>
      <c r="I92" s="10"/>
      <c r="J92" s="11"/>
      <c r="K92" s="11">
        <f t="shared" si="161"/>
        <v>0</v>
      </c>
      <c r="L92" s="37">
        <f t="shared" si="162"/>
        <v>0</v>
      </c>
      <c r="M92" s="11"/>
      <c r="N92" s="10"/>
      <c r="O92" s="21"/>
      <c r="P92" s="21"/>
      <c r="Q92" s="21"/>
      <c r="R92" s="23"/>
      <c r="S92" s="50"/>
      <c r="T92" s="48"/>
      <c r="U92" s="82"/>
      <c r="V92" s="26"/>
      <c r="W92" s="200"/>
      <c r="X92" s="17"/>
    </row>
    <row r="93" spans="2:24" x14ac:dyDescent="0.25">
      <c r="B93" s="17">
        <v>91</v>
      </c>
      <c r="C93" s="10"/>
      <c r="D93" s="10"/>
      <c r="E93" s="72"/>
      <c r="F93" s="18"/>
      <c r="G93" s="10"/>
      <c r="H93" s="10"/>
      <c r="I93" s="10"/>
      <c r="J93" s="11"/>
      <c r="K93" s="11">
        <f t="shared" si="161"/>
        <v>0</v>
      </c>
      <c r="L93" s="37">
        <f t="shared" si="162"/>
        <v>0</v>
      </c>
      <c r="M93" s="11"/>
      <c r="N93" s="10"/>
      <c r="O93" s="21"/>
      <c r="P93" s="21"/>
      <c r="Q93" s="21"/>
      <c r="R93" s="23"/>
      <c r="S93" s="50"/>
      <c r="T93" s="48"/>
      <c r="U93" s="82"/>
      <c r="V93" s="26"/>
      <c r="W93" s="200"/>
      <c r="X93" s="17"/>
    </row>
    <row r="94" spans="2:24" x14ac:dyDescent="0.25">
      <c r="B94" s="17">
        <v>92</v>
      </c>
      <c r="C94" s="10"/>
      <c r="D94" s="10"/>
      <c r="E94" s="72"/>
      <c r="F94" s="18"/>
      <c r="G94" s="10"/>
      <c r="H94" s="10"/>
      <c r="I94" s="10"/>
      <c r="J94" s="11"/>
      <c r="K94" s="11">
        <f t="shared" si="161"/>
        <v>0</v>
      </c>
      <c r="L94" s="37">
        <f t="shared" si="162"/>
        <v>0</v>
      </c>
      <c r="M94" s="11"/>
      <c r="N94" s="10"/>
      <c r="O94" s="21"/>
      <c r="P94" s="21"/>
      <c r="Q94" s="21"/>
      <c r="R94" s="23"/>
      <c r="S94" s="50"/>
      <c r="T94" s="48"/>
      <c r="U94" s="82"/>
      <c r="V94" s="26"/>
      <c r="W94" s="200"/>
      <c r="X94" s="17"/>
    </row>
    <row r="95" spans="2:24" x14ac:dyDescent="0.25">
      <c r="B95" s="17">
        <v>93</v>
      </c>
      <c r="C95" s="10"/>
      <c r="D95" s="10"/>
      <c r="E95" s="72"/>
      <c r="F95" s="18"/>
      <c r="G95" s="10"/>
      <c r="H95" s="10"/>
      <c r="I95" s="10"/>
      <c r="J95" s="11"/>
      <c r="K95" s="11">
        <f t="shared" si="161"/>
        <v>0</v>
      </c>
      <c r="L95" s="37">
        <f t="shared" si="162"/>
        <v>0</v>
      </c>
      <c r="M95" s="11"/>
      <c r="N95" s="10"/>
      <c r="O95" s="21"/>
      <c r="P95" s="21"/>
      <c r="Q95" s="21"/>
      <c r="R95" s="23"/>
      <c r="S95" s="50"/>
      <c r="T95" s="48"/>
      <c r="U95" s="82"/>
      <c r="V95" s="32"/>
      <c r="W95" s="200"/>
      <c r="X95" s="17"/>
    </row>
    <row r="96" spans="2:24" x14ac:dyDescent="0.25">
      <c r="B96" s="17">
        <v>94</v>
      </c>
      <c r="C96" s="10"/>
      <c r="D96" s="10"/>
      <c r="E96" s="72"/>
      <c r="F96" s="18"/>
      <c r="G96" s="10"/>
      <c r="H96" s="10"/>
      <c r="I96" s="10"/>
      <c r="J96" s="11"/>
      <c r="K96" s="11">
        <f t="shared" si="161"/>
        <v>0</v>
      </c>
      <c r="L96" s="37">
        <f t="shared" si="162"/>
        <v>0</v>
      </c>
      <c r="M96" s="11"/>
      <c r="N96" s="10"/>
      <c r="O96" s="21"/>
      <c r="P96" s="21"/>
      <c r="Q96" s="21"/>
      <c r="R96" s="23"/>
      <c r="S96" s="50"/>
      <c r="T96" s="48"/>
      <c r="U96" s="82"/>
      <c r="V96" s="32"/>
      <c r="W96" s="200"/>
      <c r="X96" s="17"/>
    </row>
    <row r="97" spans="2:24" x14ac:dyDescent="0.25">
      <c r="B97" s="17">
        <v>95</v>
      </c>
      <c r="C97" s="10"/>
      <c r="D97" s="10"/>
      <c r="E97" s="72"/>
      <c r="F97" s="18"/>
      <c r="G97" s="10"/>
      <c r="H97" s="10"/>
      <c r="I97" s="10"/>
      <c r="J97" s="11"/>
      <c r="K97" s="11">
        <f t="shared" si="161"/>
        <v>0</v>
      </c>
      <c r="L97" s="37">
        <f t="shared" si="162"/>
        <v>0</v>
      </c>
      <c r="M97" s="11"/>
      <c r="N97" s="10"/>
      <c r="O97" s="21"/>
      <c r="P97" s="21"/>
      <c r="Q97" s="21"/>
      <c r="R97" s="23"/>
      <c r="S97" s="50"/>
      <c r="T97" s="48"/>
      <c r="U97" s="82"/>
      <c r="V97" s="32"/>
      <c r="W97" s="200"/>
      <c r="X97" s="17"/>
    </row>
    <row r="98" spans="2:24" x14ac:dyDescent="0.25">
      <c r="B98" s="17">
        <v>96</v>
      </c>
      <c r="C98" s="10"/>
      <c r="D98" s="10"/>
      <c r="E98" s="72"/>
      <c r="F98" s="18"/>
      <c r="G98" s="10"/>
      <c r="H98" s="10"/>
      <c r="I98" s="10"/>
      <c r="J98" s="11"/>
      <c r="K98" s="11">
        <f t="shared" si="161"/>
        <v>0</v>
      </c>
      <c r="L98" s="37">
        <f t="shared" si="162"/>
        <v>0</v>
      </c>
      <c r="M98" s="11"/>
      <c r="N98" s="10"/>
      <c r="O98" s="21"/>
      <c r="P98" s="21"/>
      <c r="Q98" s="21"/>
      <c r="R98" s="23"/>
      <c r="S98" s="50"/>
      <c r="T98" s="48"/>
      <c r="U98" s="82"/>
      <c r="V98" s="32"/>
      <c r="W98" s="200"/>
      <c r="X98" s="17"/>
    </row>
    <row r="99" spans="2:24" x14ac:dyDescent="0.25">
      <c r="B99" s="17">
        <v>97</v>
      </c>
      <c r="C99" s="10"/>
      <c r="D99" s="10"/>
      <c r="E99" s="72"/>
      <c r="F99" s="18"/>
      <c r="G99" s="10"/>
      <c r="H99" s="10"/>
      <c r="I99" s="10"/>
      <c r="J99" s="11"/>
      <c r="K99" s="11">
        <f t="shared" si="161"/>
        <v>0</v>
      </c>
      <c r="L99" s="37">
        <f t="shared" si="162"/>
        <v>0</v>
      </c>
      <c r="M99" s="11"/>
      <c r="N99" s="10"/>
      <c r="O99" s="21"/>
      <c r="P99" s="21"/>
      <c r="Q99" s="21"/>
      <c r="R99" s="23"/>
      <c r="S99" s="50"/>
      <c r="T99" s="48"/>
      <c r="U99" s="82"/>
      <c r="V99" s="26"/>
      <c r="W99" s="200"/>
      <c r="X99" s="17"/>
    </row>
    <row r="100" spans="2:24" x14ac:dyDescent="0.25">
      <c r="B100" s="17">
        <v>98</v>
      </c>
      <c r="C100" s="10"/>
      <c r="D100" s="10"/>
      <c r="E100" s="72"/>
      <c r="F100" s="18"/>
      <c r="G100" s="10"/>
      <c r="H100" s="10"/>
      <c r="I100" s="10"/>
      <c r="J100" s="11"/>
      <c r="K100" s="11">
        <f t="shared" si="161"/>
        <v>0</v>
      </c>
      <c r="L100" s="37">
        <f t="shared" si="162"/>
        <v>0</v>
      </c>
      <c r="M100" s="11"/>
      <c r="N100" s="10"/>
      <c r="O100" s="21"/>
      <c r="P100" s="21"/>
      <c r="Q100" s="21"/>
      <c r="R100" s="23"/>
      <c r="S100" s="50"/>
      <c r="T100" s="48"/>
      <c r="U100" s="82"/>
      <c r="V100" s="26"/>
      <c r="W100" s="200"/>
      <c r="X100" s="17"/>
    </row>
    <row r="101" spans="2:24" x14ac:dyDescent="0.25">
      <c r="B101" s="17">
        <v>99</v>
      </c>
      <c r="C101" s="10"/>
      <c r="D101" s="10"/>
      <c r="E101" s="72"/>
      <c r="F101" s="18"/>
      <c r="G101" s="10"/>
      <c r="H101" s="10"/>
      <c r="I101" s="10"/>
      <c r="J101" s="11"/>
      <c r="K101" s="11">
        <f t="shared" si="161"/>
        <v>0</v>
      </c>
      <c r="L101" s="37">
        <f t="shared" si="162"/>
        <v>0</v>
      </c>
      <c r="M101" s="11"/>
      <c r="N101" s="10"/>
      <c r="O101" s="21"/>
      <c r="P101" s="21"/>
      <c r="Q101" s="21"/>
      <c r="R101" s="23"/>
      <c r="S101" s="50"/>
      <c r="T101" s="48"/>
      <c r="U101" s="82"/>
      <c r="V101" s="26"/>
      <c r="W101" s="200"/>
      <c r="X101" s="17"/>
    </row>
    <row r="102" spans="2:24" x14ac:dyDescent="0.25">
      <c r="B102" s="17">
        <v>100</v>
      </c>
      <c r="C102" s="10"/>
      <c r="D102" s="10"/>
      <c r="E102" s="72"/>
      <c r="F102" s="18"/>
      <c r="G102" s="10"/>
      <c r="H102" s="10"/>
      <c r="I102" s="10"/>
      <c r="J102" s="11"/>
      <c r="K102" s="11">
        <f t="shared" si="161"/>
        <v>0</v>
      </c>
      <c r="L102" s="37">
        <f t="shared" si="162"/>
        <v>0</v>
      </c>
      <c r="M102" s="11"/>
      <c r="N102" s="10"/>
      <c r="O102" s="21"/>
      <c r="P102" s="21"/>
      <c r="Q102" s="21"/>
      <c r="R102" s="23"/>
      <c r="S102" s="50"/>
      <c r="T102" s="48"/>
      <c r="U102" s="82"/>
      <c r="V102" s="26"/>
      <c r="W102" s="200"/>
      <c r="X102" s="17"/>
    </row>
    <row r="103" spans="2:24" x14ac:dyDescent="0.25">
      <c r="B103" s="17">
        <v>101</v>
      </c>
      <c r="C103" s="10"/>
      <c r="D103" s="10"/>
      <c r="E103" s="72"/>
      <c r="F103" s="18"/>
      <c r="G103" s="10"/>
      <c r="H103" s="10"/>
      <c r="I103" s="10"/>
      <c r="J103" s="11"/>
      <c r="K103" s="11">
        <f t="shared" si="161"/>
        <v>0</v>
      </c>
      <c r="L103" s="37">
        <f t="shared" si="162"/>
        <v>0</v>
      </c>
      <c r="M103" s="11"/>
      <c r="N103" s="10"/>
      <c r="O103" s="21"/>
      <c r="P103" s="21"/>
      <c r="Q103" s="21"/>
      <c r="R103" s="23"/>
      <c r="S103" s="50"/>
      <c r="T103" s="48"/>
      <c r="U103" s="82"/>
      <c r="V103" s="32"/>
      <c r="W103" s="200"/>
      <c r="X103" s="17"/>
    </row>
    <row r="104" spans="2:24" x14ac:dyDescent="0.25">
      <c r="B104" s="17">
        <v>102</v>
      </c>
      <c r="C104" s="10"/>
      <c r="D104" s="10"/>
      <c r="E104" s="72"/>
      <c r="F104" s="18"/>
      <c r="G104" s="10"/>
      <c r="H104" s="10"/>
      <c r="I104" s="10"/>
      <c r="J104" s="11"/>
      <c r="K104" s="11">
        <f t="shared" si="161"/>
        <v>0</v>
      </c>
      <c r="L104" s="37">
        <f t="shared" si="162"/>
        <v>0</v>
      </c>
      <c r="M104" s="11"/>
      <c r="N104" s="10"/>
      <c r="O104" s="21"/>
      <c r="P104" s="21"/>
      <c r="Q104" s="21"/>
      <c r="R104" s="23"/>
      <c r="S104" s="50"/>
      <c r="T104" s="48"/>
      <c r="U104" s="82"/>
      <c r="V104" s="32"/>
      <c r="W104" s="200"/>
      <c r="X104" s="17"/>
    </row>
    <row r="105" spans="2:24" x14ac:dyDescent="0.25">
      <c r="B105" s="17">
        <v>103</v>
      </c>
      <c r="C105" s="10"/>
      <c r="D105" s="10"/>
      <c r="E105" s="72"/>
      <c r="F105" s="18"/>
      <c r="G105" s="10"/>
      <c r="H105" s="10"/>
      <c r="I105" s="10"/>
      <c r="J105" s="11"/>
      <c r="K105" s="11">
        <f t="shared" si="161"/>
        <v>0</v>
      </c>
      <c r="L105" s="37">
        <f t="shared" si="162"/>
        <v>0</v>
      </c>
      <c r="M105" s="11"/>
      <c r="N105" s="10"/>
      <c r="O105" s="21"/>
      <c r="P105" s="21"/>
      <c r="Q105" s="21"/>
      <c r="R105" s="23"/>
      <c r="S105" s="50"/>
      <c r="T105" s="48"/>
      <c r="U105" s="82"/>
      <c r="V105" s="26"/>
      <c r="W105" s="200"/>
      <c r="X105" s="17"/>
    </row>
    <row r="106" spans="2:24" x14ac:dyDescent="0.25">
      <c r="B106" s="17">
        <v>104</v>
      </c>
      <c r="C106" s="10"/>
      <c r="D106" s="10"/>
      <c r="E106" s="72"/>
      <c r="F106" s="18"/>
      <c r="G106" s="10"/>
      <c r="H106" s="10"/>
      <c r="I106" s="10"/>
      <c r="J106" s="11"/>
      <c r="K106" s="11">
        <f t="shared" si="161"/>
        <v>0</v>
      </c>
      <c r="L106" s="37">
        <f t="shared" si="162"/>
        <v>0</v>
      </c>
      <c r="M106" s="11"/>
      <c r="N106" s="10"/>
      <c r="O106" s="21"/>
      <c r="P106" s="21"/>
      <c r="Q106" s="21"/>
      <c r="R106" s="23"/>
      <c r="S106" s="50"/>
      <c r="T106" s="48"/>
      <c r="U106" s="82"/>
      <c r="V106" s="26"/>
      <c r="W106" s="200"/>
      <c r="X106" s="17"/>
    </row>
    <row r="107" spans="2:24" x14ac:dyDescent="0.25">
      <c r="B107" s="17">
        <v>105</v>
      </c>
      <c r="C107" s="10"/>
      <c r="D107" s="10"/>
      <c r="E107" s="72"/>
      <c r="F107" s="18"/>
      <c r="G107" s="10"/>
      <c r="H107" s="10"/>
      <c r="I107" s="10"/>
      <c r="J107" s="11"/>
      <c r="K107" s="11">
        <f t="shared" si="161"/>
        <v>0</v>
      </c>
      <c r="L107" s="37">
        <f t="shared" si="162"/>
        <v>0</v>
      </c>
      <c r="M107" s="11"/>
      <c r="N107" s="10"/>
      <c r="O107" s="21"/>
      <c r="P107" s="21"/>
      <c r="Q107" s="21"/>
      <c r="R107" s="23"/>
      <c r="S107" s="50"/>
      <c r="T107" s="48"/>
      <c r="U107" s="82"/>
      <c r="V107" s="26"/>
      <c r="W107" s="200"/>
      <c r="X107" s="17"/>
    </row>
    <row r="108" spans="2:24" x14ac:dyDescent="0.25">
      <c r="B108" s="17">
        <v>106</v>
      </c>
      <c r="C108" s="10"/>
      <c r="D108" s="10"/>
      <c r="E108" s="72"/>
      <c r="F108" s="18"/>
      <c r="G108" s="10"/>
      <c r="H108" s="10"/>
      <c r="I108" s="10"/>
      <c r="J108" s="11"/>
      <c r="K108" s="11">
        <f t="shared" si="161"/>
        <v>0</v>
      </c>
      <c r="L108" s="37">
        <f t="shared" si="162"/>
        <v>0</v>
      </c>
      <c r="M108" s="11"/>
      <c r="N108" s="10"/>
      <c r="O108" s="21"/>
      <c r="P108" s="21"/>
      <c r="Q108" s="21"/>
      <c r="R108" s="23"/>
      <c r="S108" s="50"/>
      <c r="T108" s="48"/>
      <c r="U108" s="82"/>
      <c r="V108" s="26"/>
      <c r="W108" s="200"/>
      <c r="X108" s="17"/>
    </row>
    <row r="109" spans="2:24" x14ac:dyDescent="0.25">
      <c r="B109" s="17">
        <v>107</v>
      </c>
      <c r="C109" s="10"/>
      <c r="D109" s="10"/>
      <c r="E109" s="72"/>
      <c r="F109" s="18"/>
      <c r="G109" s="10"/>
      <c r="H109" s="10"/>
      <c r="I109" s="10"/>
      <c r="J109" s="11"/>
      <c r="K109" s="11">
        <f t="shared" si="161"/>
        <v>0</v>
      </c>
      <c r="L109" s="37">
        <f t="shared" si="162"/>
        <v>0</v>
      </c>
      <c r="M109" s="11"/>
      <c r="N109" s="10"/>
      <c r="O109" s="21"/>
      <c r="P109" s="21"/>
      <c r="Q109" s="21"/>
      <c r="R109" s="23"/>
      <c r="S109" s="50"/>
      <c r="T109" s="48"/>
      <c r="U109" s="82"/>
      <c r="V109" s="26"/>
      <c r="W109" s="200"/>
      <c r="X109" s="17"/>
    </row>
    <row r="110" spans="2:24" x14ac:dyDescent="0.25">
      <c r="B110" s="17">
        <v>108</v>
      </c>
      <c r="C110" s="10"/>
      <c r="D110" s="10"/>
      <c r="E110" s="72"/>
      <c r="F110" s="18"/>
      <c r="G110" s="10"/>
      <c r="H110" s="10"/>
      <c r="I110" s="10"/>
      <c r="J110" s="11"/>
      <c r="K110" s="11">
        <f t="shared" si="161"/>
        <v>0</v>
      </c>
      <c r="L110" s="37">
        <f t="shared" si="162"/>
        <v>0</v>
      </c>
      <c r="M110" s="11"/>
      <c r="N110" s="10"/>
      <c r="O110" s="21"/>
      <c r="P110" s="21"/>
      <c r="Q110" s="21"/>
      <c r="R110" s="23"/>
      <c r="S110" s="50"/>
      <c r="T110" s="48"/>
      <c r="U110" s="82"/>
      <c r="V110" s="32"/>
      <c r="W110" s="200"/>
      <c r="X110" s="17"/>
    </row>
    <row r="111" spans="2:24" x14ac:dyDescent="0.25">
      <c r="B111" s="17">
        <v>109</v>
      </c>
      <c r="C111" s="10"/>
      <c r="D111" s="10"/>
      <c r="E111" s="72"/>
      <c r="F111" s="18"/>
      <c r="G111" s="10"/>
      <c r="H111" s="10"/>
      <c r="I111" s="10"/>
      <c r="J111" s="11"/>
      <c r="K111" s="11">
        <f t="shared" si="161"/>
        <v>0</v>
      </c>
      <c r="L111" s="37">
        <f t="shared" si="162"/>
        <v>0</v>
      </c>
      <c r="M111" s="11"/>
      <c r="N111" s="10"/>
      <c r="O111" s="21"/>
      <c r="P111" s="21"/>
      <c r="Q111" s="21"/>
      <c r="R111" s="23"/>
      <c r="S111" s="50"/>
      <c r="T111" s="48"/>
      <c r="U111" s="82"/>
      <c r="V111" s="32"/>
      <c r="W111" s="200"/>
      <c r="X111" s="17"/>
    </row>
    <row r="112" spans="2:24" x14ac:dyDescent="0.25">
      <c r="B112" s="17">
        <v>110</v>
      </c>
      <c r="C112" s="10"/>
      <c r="D112" s="10"/>
      <c r="E112" s="72"/>
      <c r="F112" s="18"/>
      <c r="G112" s="10"/>
      <c r="H112" s="10"/>
      <c r="I112" s="10"/>
      <c r="J112" s="11"/>
      <c r="K112" s="11">
        <f t="shared" si="161"/>
        <v>0</v>
      </c>
      <c r="L112" s="37">
        <f t="shared" si="162"/>
        <v>0</v>
      </c>
      <c r="M112" s="11"/>
      <c r="N112" s="10"/>
      <c r="O112" s="21"/>
      <c r="P112" s="21"/>
      <c r="Q112" s="21"/>
      <c r="R112" s="23"/>
      <c r="S112" s="50"/>
      <c r="T112" s="48"/>
      <c r="U112" s="82"/>
      <c r="V112" s="26"/>
      <c r="W112" s="200"/>
      <c r="X112" s="17"/>
    </row>
    <row r="113" spans="2:24" x14ac:dyDescent="0.25">
      <c r="B113" s="17">
        <v>111</v>
      </c>
      <c r="C113" s="10"/>
      <c r="D113" s="10"/>
      <c r="E113" s="72"/>
      <c r="F113" s="18"/>
      <c r="G113" s="10"/>
      <c r="H113" s="10"/>
      <c r="I113" s="10"/>
      <c r="J113" s="11"/>
      <c r="K113" s="11">
        <f t="shared" si="161"/>
        <v>0</v>
      </c>
      <c r="L113" s="37">
        <f t="shared" si="162"/>
        <v>0</v>
      </c>
      <c r="M113" s="11"/>
      <c r="N113" s="10"/>
      <c r="O113" s="21"/>
      <c r="P113" s="21"/>
      <c r="Q113" s="21"/>
      <c r="R113" s="23"/>
      <c r="S113" s="50"/>
      <c r="T113" s="48"/>
      <c r="U113" s="82"/>
      <c r="V113" s="26"/>
      <c r="W113" s="200"/>
      <c r="X113" s="17"/>
    </row>
    <row r="114" spans="2:24" x14ac:dyDescent="0.25">
      <c r="B114" s="17">
        <v>112</v>
      </c>
      <c r="C114" s="10"/>
      <c r="D114" s="10"/>
      <c r="E114" s="72"/>
      <c r="F114" s="18"/>
      <c r="G114" s="10"/>
      <c r="H114" s="10"/>
      <c r="I114" s="10"/>
      <c r="J114" s="11"/>
      <c r="K114" s="11">
        <f t="shared" si="161"/>
        <v>0</v>
      </c>
      <c r="L114" s="37">
        <f t="shared" si="162"/>
        <v>0</v>
      </c>
      <c r="M114" s="11"/>
      <c r="N114" s="10"/>
      <c r="O114" s="21"/>
      <c r="P114" s="21"/>
      <c r="Q114" s="21"/>
      <c r="R114" s="23"/>
      <c r="S114" s="50"/>
      <c r="T114" s="48"/>
      <c r="U114" s="82"/>
      <c r="V114" s="26"/>
      <c r="W114" s="200"/>
      <c r="X114" s="17"/>
    </row>
    <row r="115" spans="2:24" x14ac:dyDescent="0.25">
      <c r="B115" s="17">
        <v>113</v>
      </c>
      <c r="C115" s="10"/>
      <c r="D115" s="10"/>
      <c r="E115" s="72"/>
      <c r="F115" s="18"/>
      <c r="G115" s="10"/>
      <c r="H115" s="10"/>
      <c r="I115" s="10"/>
      <c r="J115" s="11"/>
      <c r="K115" s="11">
        <f t="shared" si="161"/>
        <v>0</v>
      </c>
      <c r="L115" s="37">
        <f t="shared" si="162"/>
        <v>0</v>
      </c>
      <c r="M115" s="11"/>
      <c r="N115" s="10"/>
      <c r="O115" s="21"/>
      <c r="P115" s="21"/>
      <c r="Q115" s="21"/>
      <c r="R115" s="23"/>
      <c r="S115" s="50"/>
      <c r="T115" s="48"/>
      <c r="U115" s="82"/>
      <c r="V115" s="26"/>
      <c r="W115" s="200"/>
      <c r="X115" s="17"/>
    </row>
    <row r="116" spans="2:24" x14ac:dyDescent="0.25">
      <c r="B116" s="17">
        <v>114</v>
      </c>
      <c r="C116" s="10"/>
      <c r="D116" s="10"/>
      <c r="E116" s="72"/>
      <c r="F116" s="18"/>
      <c r="G116" s="10"/>
      <c r="H116" s="10"/>
      <c r="I116" s="10"/>
      <c r="J116" s="11"/>
      <c r="K116" s="11">
        <f t="shared" si="161"/>
        <v>0</v>
      </c>
      <c r="L116" s="37">
        <f t="shared" si="162"/>
        <v>0</v>
      </c>
      <c r="M116" s="11"/>
      <c r="N116" s="10"/>
      <c r="O116" s="21"/>
      <c r="P116" s="21"/>
      <c r="Q116" s="21"/>
      <c r="R116" s="23"/>
      <c r="S116" s="50"/>
      <c r="T116" s="48"/>
      <c r="U116" s="82"/>
      <c r="V116" s="26"/>
      <c r="W116" s="200"/>
      <c r="X116" s="17"/>
    </row>
    <row r="117" spans="2:24" x14ac:dyDescent="0.25">
      <c r="B117" s="17">
        <v>115</v>
      </c>
      <c r="C117" s="10"/>
      <c r="D117" s="10"/>
      <c r="E117" s="72"/>
      <c r="F117" s="18"/>
      <c r="G117" s="10"/>
      <c r="H117" s="10"/>
      <c r="I117" s="10"/>
      <c r="J117" s="11"/>
      <c r="K117" s="11">
        <f t="shared" si="161"/>
        <v>0</v>
      </c>
      <c r="L117" s="37">
        <f t="shared" si="162"/>
        <v>0</v>
      </c>
      <c r="M117" s="11"/>
      <c r="N117" s="10"/>
      <c r="O117" s="21"/>
      <c r="P117" s="21"/>
      <c r="Q117" s="21"/>
      <c r="R117" s="23"/>
      <c r="S117" s="50"/>
      <c r="T117" s="48"/>
      <c r="U117" s="82"/>
      <c r="V117" s="32"/>
      <c r="W117" s="200"/>
      <c r="X117" s="17"/>
    </row>
    <row r="118" spans="2:24" x14ac:dyDescent="0.25">
      <c r="B118" s="17">
        <v>116</v>
      </c>
      <c r="C118" s="10"/>
      <c r="D118" s="10"/>
      <c r="E118" s="72"/>
      <c r="F118" s="18"/>
      <c r="G118" s="10"/>
      <c r="H118" s="10"/>
      <c r="I118" s="10"/>
      <c r="J118" s="11"/>
      <c r="K118" s="11">
        <f t="shared" si="161"/>
        <v>0</v>
      </c>
      <c r="L118" s="37">
        <f t="shared" si="162"/>
        <v>0</v>
      </c>
      <c r="M118" s="11"/>
      <c r="N118" s="10"/>
      <c r="O118" s="21"/>
      <c r="P118" s="21"/>
      <c r="Q118" s="21"/>
      <c r="R118" s="23"/>
      <c r="S118" s="50"/>
      <c r="T118" s="48"/>
      <c r="U118" s="82"/>
      <c r="V118" s="32"/>
      <c r="W118" s="200"/>
      <c r="X118" s="17"/>
    </row>
    <row r="119" spans="2:24" x14ac:dyDescent="0.25">
      <c r="B119" s="17">
        <v>117</v>
      </c>
      <c r="C119" s="10"/>
      <c r="D119" s="10"/>
      <c r="E119" s="72"/>
      <c r="F119" s="18"/>
      <c r="G119" s="10"/>
      <c r="H119" s="10"/>
      <c r="I119" s="10"/>
      <c r="J119" s="11"/>
      <c r="K119" s="11">
        <f t="shared" si="161"/>
        <v>0</v>
      </c>
      <c r="L119" s="37">
        <f t="shared" si="162"/>
        <v>0</v>
      </c>
      <c r="M119" s="11"/>
      <c r="N119" s="10"/>
      <c r="O119" s="21"/>
      <c r="P119" s="21"/>
      <c r="Q119" s="21"/>
      <c r="R119" s="23"/>
      <c r="S119" s="50"/>
      <c r="T119" s="48"/>
      <c r="U119" s="82"/>
      <c r="V119" s="32"/>
      <c r="W119" s="200"/>
      <c r="X119" s="17"/>
    </row>
    <row r="120" spans="2:24" x14ac:dyDescent="0.25">
      <c r="B120" s="17">
        <v>118</v>
      </c>
      <c r="C120" s="10"/>
      <c r="D120" s="10"/>
      <c r="E120" s="72"/>
      <c r="F120" s="18"/>
      <c r="G120" s="10"/>
      <c r="H120" s="10"/>
      <c r="I120" s="10"/>
      <c r="J120" s="11"/>
      <c r="K120" s="11">
        <f t="shared" si="161"/>
        <v>0</v>
      </c>
      <c r="L120" s="37">
        <f t="shared" si="162"/>
        <v>0</v>
      </c>
      <c r="M120" s="11"/>
      <c r="N120" s="10"/>
      <c r="O120" s="21"/>
      <c r="P120" s="21"/>
      <c r="Q120" s="21"/>
      <c r="R120" s="23"/>
      <c r="S120" s="50"/>
      <c r="T120" s="48"/>
      <c r="U120" s="82"/>
      <c r="V120" s="32"/>
      <c r="W120" s="200"/>
      <c r="X120" s="17"/>
    </row>
    <row r="121" spans="2:24" x14ac:dyDescent="0.25">
      <c r="B121" s="17">
        <v>119</v>
      </c>
      <c r="C121" s="10"/>
      <c r="D121" s="10"/>
      <c r="E121" s="72"/>
      <c r="F121" s="18"/>
      <c r="G121" s="10"/>
      <c r="H121" s="10"/>
      <c r="I121" s="10"/>
      <c r="J121" s="11"/>
      <c r="K121" s="11">
        <f t="shared" si="161"/>
        <v>0</v>
      </c>
      <c r="L121" s="37">
        <f t="shared" si="162"/>
        <v>0</v>
      </c>
      <c r="M121" s="11"/>
      <c r="N121" s="10"/>
      <c r="O121" s="21"/>
      <c r="P121" s="21"/>
      <c r="Q121" s="21"/>
      <c r="R121" s="23"/>
      <c r="S121" s="50"/>
      <c r="T121" s="48"/>
      <c r="U121" s="82"/>
      <c r="V121" s="26"/>
      <c r="W121" s="200"/>
      <c r="X121" s="17"/>
    </row>
    <row r="122" spans="2:24" x14ac:dyDescent="0.25">
      <c r="B122" s="17">
        <v>120</v>
      </c>
      <c r="C122" s="10"/>
      <c r="D122" s="10"/>
      <c r="E122" s="72"/>
      <c r="F122" s="18"/>
      <c r="G122" s="10"/>
      <c r="H122" s="10"/>
      <c r="I122" s="10"/>
      <c r="J122" s="11"/>
      <c r="K122" s="11">
        <f t="shared" si="161"/>
        <v>0</v>
      </c>
      <c r="L122" s="37">
        <f t="shared" si="162"/>
        <v>0</v>
      </c>
      <c r="M122" s="11"/>
      <c r="N122" s="10"/>
      <c r="O122" s="21"/>
      <c r="P122" s="21"/>
      <c r="Q122" s="21"/>
      <c r="R122" s="23"/>
      <c r="S122" s="50"/>
      <c r="T122" s="48"/>
      <c r="U122" s="82"/>
      <c r="V122" s="26"/>
      <c r="W122" s="200"/>
      <c r="X122" s="17"/>
    </row>
    <row r="123" spans="2:24" x14ac:dyDescent="0.25">
      <c r="B123" s="17">
        <v>121</v>
      </c>
      <c r="C123" s="10"/>
      <c r="D123" s="10"/>
      <c r="E123" s="72"/>
      <c r="F123" s="18"/>
      <c r="G123" s="10"/>
      <c r="H123" s="10"/>
      <c r="I123" s="10"/>
      <c r="J123" s="11"/>
      <c r="K123" s="11">
        <f t="shared" si="161"/>
        <v>0</v>
      </c>
      <c r="L123" s="37">
        <f t="shared" si="162"/>
        <v>0</v>
      </c>
      <c r="M123" s="11"/>
      <c r="N123" s="10"/>
      <c r="O123" s="21"/>
      <c r="P123" s="21"/>
      <c r="Q123" s="21"/>
      <c r="R123" s="23"/>
      <c r="S123" s="50"/>
      <c r="T123" s="48"/>
      <c r="U123" s="82"/>
      <c r="V123" s="26"/>
      <c r="W123" s="200"/>
      <c r="X123" s="17"/>
    </row>
    <row r="124" spans="2:24" x14ac:dyDescent="0.25">
      <c r="B124" s="17">
        <v>122</v>
      </c>
      <c r="C124" s="10"/>
      <c r="D124" s="10"/>
      <c r="E124" s="72"/>
      <c r="F124" s="18"/>
      <c r="G124" s="10"/>
      <c r="H124" s="10"/>
      <c r="I124" s="10"/>
      <c r="J124" s="11"/>
      <c r="K124" s="11">
        <f t="shared" si="161"/>
        <v>0</v>
      </c>
      <c r="L124" s="37">
        <f t="shared" si="162"/>
        <v>0</v>
      </c>
      <c r="M124" s="11"/>
      <c r="N124" s="10"/>
      <c r="O124" s="21"/>
      <c r="P124" s="21"/>
      <c r="Q124" s="21"/>
      <c r="R124" s="23"/>
      <c r="S124" s="50"/>
      <c r="T124" s="48"/>
      <c r="U124" s="82"/>
      <c r="V124" s="26"/>
      <c r="W124" s="200"/>
      <c r="X124" s="17"/>
    </row>
    <row r="125" spans="2:24" x14ac:dyDescent="0.25">
      <c r="B125" s="17">
        <v>123</v>
      </c>
      <c r="C125" s="10"/>
      <c r="D125" s="10"/>
      <c r="E125" s="72"/>
      <c r="F125" s="18"/>
      <c r="G125" s="10"/>
      <c r="H125" s="10"/>
      <c r="I125" s="10"/>
      <c r="J125" s="11"/>
      <c r="K125" s="11">
        <f t="shared" si="161"/>
        <v>0</v>
      </c>
      <c r="L125" s="37">
        <f t="shared" si="162"/>
        <v>0</v>
      </c>
      <c r="M125" s="11"/>
      <c r="N125" s="10"/>
      <c r="O125" s="21"/>
      <c r="P125" s="21"/>
      <c r="Q125" s="21"/>
      <c r="R125" s="23"/>
      <c r="S125" s="50"/>
      <c r="T125" s="48"/>
      <c r="U125" s="82"/>
      <c r="V125" s="26"/>
      <c r="W125" s="200"/>
      <c r="X125" s="17"/>
    </row>
    <row r="126" spans="2:24" x14ac:dyDescent="0.25">
      <c r="B126" s="17">
        <v>124</v>
      </c>
      <c r="C126" s="10"/>
      <c r="D126" s="10"/>
      <c r="E126" s="72"/>
      <c r="F126" s="18"/>
      <c r="G126" s="10"/>
      <c r="H126" s="10"/>
      <c r="I126" s="10"/>
      <c r="J126" s="11"/>
      <c r="K126" s="11">
        <f t="shared" si="161"/>
        <v>0</v>
      </c>
      <c r="L126" s="37">
        <f t="shared" si="162"/>
        <v>0</v>
      </c>
      <c r="M126" s="11"/>
      <c r="N126" s="10"/>
      <c r="O126" s="21"/>
      <c r="P126" s="21"/>
      <c r="Q126" s="21"/>
      <c r="R126" s="23"/>
      <c r="S126" s="50"/>
      <c r="T126" s="48"/>
      <c r="U126" s="82"/>
      <c r="V126" s="32"/>
      <c r="W126" s="200"/>
      <c r="X126" s="17"/>
    </row>
    <row r="127" spans="2:24" x14ac:dyDescent="0.25">
      <c r="B127" s="17">
        <v>125</v>
      </c>
      <c r="C127" s="10"/>
      <c r="D127" s="10"/>
      <c r="E127" s="72"/>
      <c r="F127" s="18"/>
      <c r="G127" s="10"/>
      <c r="H127" s="10"/>
      <c r="I127" s="10"/>
      <c r="J127" s="11"/>
      <c r="K127" s="11">
        <f t="shared" si="161"/>
        <v>0</v>
      </c>
      <c r="L127" s="37">
        <f t="shared" si="162"/>
        <v>0</v>
      </c>
      <c r="M127" s="11"/>
      <c r="N127" s="10"/>
      <c r="O127" s="21"/>
      <c r="P127" s="21"/>
      <c r="Q127" s="21"/>
      <c r="R127" s="23"/>
      <c r="S127" s="50"/>
      <c r="T127" s="48"/>
      <c r="U127" s="82"/>
      <c r="V127" s="32"/>
      <c r="W127" s="200"/>
      <c r="X127" s="17"/>
    </row>
    <row r="128" spans="2:24" x14ac:dyDescent="0.25">
      <c r="B128" s="17">
        <v>126</v>
      </c>
      <c r="C128" s="10"/>
      <c r="D128" s="10"/>
      <c r="E128" s="72"/>
      <c r="F128" s="18"/>
      <c r="G128" s="10"/>
      <c r="H128" s="10"/>
      <c r="I128" s="10"/>
      <c r="J128" s="11"/>
      <c r="K128" s="11">
        <f t="shared" si="161"/>
        <v>0</v>
      </c>
      <c r="L128" s="37">
        <f t="shared" si="162"/>
        <v>0</v>
      </c>
      <c r="M128" s="11"/>
      <c r="N128" s="10"/>
      <c r="O128" s="21"/>
      <c r="P128" s="21"/>
      <c r="Q128" s="21"/>
      <c r="R128" s="23"/>
      <c r="S128" s="50"/>
      <c r="T128" s="48"/>
      <c r="U128" s="82"/>
      <c r="V128" s="26"/>
      <c r="W128" s="200"/>
      <c r="X128" s="17"/>
    </row>
    <row r="129" spans="2:24" x14ac:dyDescent="0.25">
      <c r="B129" s="17">
        <v>127</v>
      </c>
      <c r="C129" s="10"/>
      <c r="D129" s="10"/>
      <c r="E129" s="72"/>
      <c r="F129" s="18"/>
      <c r="G129" s="10"/>
      <c r="H129" s="10"/>
      <c r="I129" s="10"/>
      <c r="J129" s="11"/>
      <c r="K129" s="11">
        <f t="shared" si="161"/>
        <v>0</v>
      </c>
      <c r="L129" s="37">
        <f t="shared" si="162"/>
        <v>0</v>
      </c>
      <c r="M129" s="11"/>
      <c r="N129" s="10"/>
      <c r="O129" s="21"/>
      <c r="P129" s="21"/>
      <c r="Q129" s="21"/>
      <c r="R129" s="23"/>
      <c r="S129" s="50"/>
      <c r="T129" s="48"/>
      <c r="U129" s="82"/>
      <c r="V129" s="26"/>
      <c r="W129" s="200"/>
      <c r="X129" s="17"/>
    </row>
    <row r="130" spans="2:24" x14ac:dyDescent="0.25">
      <c r="B130" s="17">
        <v>128</v>
      </c>
      <c r="C130" s="10"/>
      <c r="D130" s="10"/>
      <c r="E130" s="72"/>
      <c r="F130" s="18"/>
      <c r="G130" s="10"/>
      <c r="H130" s="10"/>
      <c r="I130" s="10"/>
      <c r="J130" s="11"/>
      <c r="K130" s="11">
        <f t="shared" si="161"/>
        <v>0</v>
      </c>
      <c r="L130" s="37">
        <f t="shared" si="162"/>
        <v>0</v>
      </c>
      <c r="M130" s="11"/>
      <c r="N130" s="10"/>
      <c r="O130" s="21"/>
      <c r="P130" s="21"/>
      <c r="Q130" s="21"/>
      <c r="R130" s="23"/>
      <c r="S130" s="50"/>
      <c r="T130" s="48"/>
      <c r="U130" s="82"/>
      <c r="V130" s="26"/>
      <c r="W130" s="200"/>
      <c r="X130" s="17"/>
    </row>
    <row r="131" spans="2:24" x14ac:dyDescent="0.25">
      <c r="B131" s="17">
        <v>129</v>
      </c>
      <c r="C131" s="10"/>
      <c r="D131" s="10"/>
      <c r="E131" s="72"/>
      <c r="F131" s="18"/>
      <c r="G131" s="10"/>
      <c r="H131" s="10"/>
      <c r="I131" s="10"/>
      <c r="J131" s="11"/>
      <c r="K131" s="11">
        <f t="shared" si="161"/>
        <v>0</v>
      </c>
      <c r="L131" s="37">
        <f t="shared" si="162"/>
        <v>0</v>
      </c>
      <c r="M131" s="11"/>
      <c r="N131" s="10"/>
      <c r="O131" s="21"/>
      <c r="P131" s="21"/>
      <c r="Q131" s="21"/>
      <c r="R131" s="23"/>
      <c r="S131" s="50"/>
      <c r="T131" s="48"/>
      <c r="U131" s="82"/>
      <c r="V131" s="26"/>
      <c r="W131" s="200"/>
      <c r="X131" s="17"/>
    </row>
    <row r="132" spans="2:24" x14ac:dyDescent="0.25">
      <c r="B132" s="17">
        <v>130</v>
      </c>
      <c r="C132" s="10"/>
      <c r="D132" s="10"/>
      <c r="E132" s="72"/>
      <c r="F132" s="18"/>
      <c r="G132" s="10"/>
      <c r="H132" s="10"/>
      <c r="I132" s="10"/>
      <c r="J132" s="11"/>
      <c r="K132" s="11">
        <f t="shared" ref="K132:K195" si="193">J132*1.1</f>
        <v>0</v>
      </c>
      <c r="L132" s="37">
        <f t="shared" ref="L132:L195" si="194">J132*0.00000001</f>
        <v>0</v>
      </c>
      <c r="M132" s="11"/>
      <c r="N132" s="10"/>
      <c r="O132" s="21"/>
      <c r="P132" s="21"/>
      <c r="Q132" s="21"/>
      <c r="R132" s="23"/>
      <c r="S132" s="50"/>
      <c r="T132" s="48"/>
      <c r="U132" s="82"/>
      <c r="V132" s="26"/>
      <c r="W132" s="200"/>
      <c r="X132" s="17"/>
    </row>
    <row r="133" spans="2:24" x14ac:dyDescent="0.25">
      <c r="B133" s="17">
        <v>131</v>
      </c>
      <c r="C133" s="10"/>
      <c r="D133" s="10"/>
      <c r="E133" s="72"/>
      <c r="F133" s="18"/>
      <c r="G133" s="10"/>
      <c r="H133" s="10"/>
      <c r="I133" s="10"/>
      <c r="J133" s="11"/>
      <c r="K133" s="11">
        <f t="shared" si="193"/>
        <v>0</v>
      </c>
      <c r="L133" s="37">
        <f t="shared" si="194"/>
        <v>0</v>
      </c>
      <c r="M133" s="11"/>
      <c r="N133" s="10"/>
      <c r="O133" s="21"/>
      <c r="P133" s="21"/>
      <c r="Q133" s="21"/>
      <c r="R133" s="23"/>
      <c r="S133" s="50"/>
      <c r="T133" s="48"/>
      <c r="U133" s="82"/>
      <c r="V133" s="32"/>
      <c r="W133" s="200"/>
      <c r="X133" s="17"/>
    </row>
    <row r="134" spans="2:24" x14ac:dyDescent="0.25">
      <c r="B134" s="17">
        <v>132</v>
      </c>
      <c r="C134" s="10"/>
      <c r="D134" s="10"/>
      <c r="E134" s="72"/>
      <c r="F134" s="18"/>
      <c r="G134" s="10"/>
      <c r="H134" s="10"/>
      <c r="I134" s="10"/>
      <c r="J134" s="11"/>
      <c r="K134" s="11">
        <f t="shared" si="193"/>
        <v>0</v>
      </c>
      <c r="L134" s="37">
        <f t="shared" si="194"/>
        <v>0</v>
      </c>
      <c r="M134" s="11"/>
      <c r="N134" s="10"/>
      <c r="O134" s="21"/>
      <c r="P134" s="21"/>
      <c r="Q134" s="21"/>
      <c r="R134" s="23"/>
      <c r="S134" s="50"/>
      <c r="T134" s="48"/>
      <c r="U134" s="82"/>
      <c r="V134" s="32"/>
      <c r="W134" s="200"/>
      <c r="X134" s="17"/>
    </row>
    <row r="135" spans="2:24" x14ac:dyDescent="0.25">
      <c r="B135" s="17">
        <v>133</v>
      </c>
      <c r="C135" s="10"/>
      <c r="D135" s="10"/>
      <c r="E135" s="72"/>
      <c r="F135" s="18"/>
      <c r="G135" s="10"/>
      <c r="H135" s="10"/>
      <c r="I135" s="10"/>
      <c r="J135" s="11"/>
      <c r="K135" s="11">
        <f t="shared" si="193"/>
        <v>0</v>
      </c>
      <c r="L135" s="37">
        <f t="shared" si="194"/>
        <v>0</v>
      </c>
      <c r="M135" s="11"/>
      <c r="N135" s="10"/>
      <c r="O135" s="21"/>
      <c r="P135" s="21"/>
      <c r="Q135" s="21"/>
      <c r="R135" s="23"/>
      <c r="S135" s="50"/>
      <c r="T135" s="48"/>
      <c r="U135" s="82"/>
      <c r="V135" s="32"/>
      <c r="W135" s="200"/>
      <c r="X135" s="17"/>
    </row>
    <row r="136" spans="2:24" x14ac:dyDescent="0.25">
      <c r="B136" s="17">
        <v>134</v>
      </c>
      <c r="C136" s="10"/>
      <c r="D136" s="10"/>
      <c r="E136" s="72"/>
      <c r="F136" s="18"/>
      <c r="G136" s="10"/>
      <c r="H136" s="10"/>
      <c r="I136" s="10"/>
      <c r="J136" s="11"/>
      <c r="K136" s="11">
        <f t="shared" si="193"/>
        <v>0</v>
      </c>
      <c r="L136" s="37">
        <f t="shared" si="194"/>
        <v>0</v>
      </c>
      <c r="M136" s="11"/>
      <c r="N136" s="10"/>
      <c r="O136" s="21"/>
      <c r="P136" s="21"/>
      <c r="Q136" s="21"/>
      <c r="R136" s="23"/>
      <c r="S136" s="50"/>
      <c r="T136" s="48"/>
      <c r="U136" s="82"/>
      <c r="V136" s="32"/>
      <c r="W136" s="200"/>
      <c r="X136" s="17"/>
    </row>
    <row r="137" spans="2:24" x14ac:dyDescent="0.25">
      <c r="B137" s="17">
        <v>135</v>
      </c>
      <c r="C137" s="10"/>
      <c r="D137" s="10"/>
      <c r="E137" s="72"/>
      <c r="F137" s="18"/>
      <c r="G137" s="10"/>
      <c r="H137" s="10"/>
      <c r="I137" s="10"/>
      <c r="J137" s="11"/>
      <c r="K137" s="11">
        <f t="shared" si="193"/>
        <v>0</v>
      </c>
      <c r="L137" s="37">
        <f t="shared" si="194"/>
        <v>0</v>
      </c>
      <c r="M137" s="11"/>
      <c r="N137" s="10"/>
      <c r="O137" s="21"/>
      <c r="P137" s="21"/>
      <c r="Q137" s="21"/>
      <c r="R137" s="23"/>
      <c r="S137" s="50"/>
      <c r="T137" s="48"/>
      <c r="U137" s="82"/>
      <c r="V137" s="26"/>
      <c r="W137" s="200"/>
      <c r="X137" s="17"/>
    </row>
    <row r="138" spans="2:24" x14ac:dyDescent="0.25">
      <c r="B138" s="17">
        <v>136</v>
      </c>
      <c r="C138" s="10"/>
      <c r="D138" s="10"/>
      <c r="E138" s="72"/>
      <c r="F138" s="18"/>
      <c r="G138" s="10"/>
      <c r="H138" s="10"/>
      <c r="I138" s="10"/>
      <c r="J138" s="11"/>
      <c r="K138" s="11">
        <f t="shared" si="193"/>
        <v>0</v>
      </c>
      <c r="L138" s="37">
        <f t="shared" si="194"/>
        <v>0</v>
      </c>
      <c r="M138" s="11"/>
      <c r="N138" s="10"/>
      <c r="O138" s="21"/>
      <c r="P138" s="21"/>
      <c r="Q138" s="21"/>
      <c r="R138" s="23"/>
      <c r="S138" s="50"/>
      <c r="T138" s="48"/>
      <c r="U138" s="82"/>
      <c r="V138" s="26"/>
      <c r="W138" s="200"/>
      <c r="X138" s="17"/>
    </row>
    <row r="139" spans="2:24" x14ac:dyDescent="0.25">
      <c r="B139" s="17">
        <v>137</v>
      </c>
      <c r="C139" s="10"/>
      <c r="D139" s="10"/>
      <c r="E139" s="72"/>
      <c r="F139" s="18"/>
      <c r="G139" s="10"/>
      <c r="H139" s="10"/>
      <c r="I139" s="10"/>
      <c r="J139" s="11"/>
      <c r="K139" s="11">
        <f t="shared" si="193"/>
        <v>0</v>
      </c>
      <c r="L139" s="37">
        <f t="shared" si="194"/>
        <v>0</v>
      </c>
      <c r="M139" s="11"/>
      <c r="N139" s="10"/>
      <c r="O139" s="21"/>
      <c r="P139" s="21"/>
      <c r="Q139" s="21"/>
      <c r="R139" s="23"/>
      <c r="S139" s="50"/>
      <c r="T139" s="48"/>
      <c r="U139" s="82"/>
      <c r="V139" s="26"/>
      <c r="W139" s="200"/>
      <c r="X139" s="17"/>
    </row>
    <row r="140" spans="2:24" x14ac:dyDescent="0.25">
      <c r="B140" s="17">
        <v>138</v>
      </c>
      <c r="C140" s="10"/>
      <c r="D140" s="10"/>
      <c r="E140" s="72"/>
      <c r="F140" s="18"/>
      <c r="G140" s="10"/>
      <c r="H140" s="10"/>
      <c r="I140" s="10"/>
      <c r="J140" s="11"/>
      <c r="K140" s="11">
        <f t="shared" si="193"/>
        <v>0</v>
      </c>
      <c r="L140" s="37">
        <f t="shared" si="194"/>
        <v>0</v>
      </c>
      <c r="M140" s="11"/>
      <c r="N140" s="10"/>
      <c r="O140" s="21"/>
      <c r="P140" s="21"/>
      <c r="Q140" s="21"/>
      <c r="R140" s="23"/>
      <c r="S140" s="50"/>
      <c r="T140" s="48"/>
      <c r="U140" s="82"/>
      <c r="V140" s="26"/>
      <c r="W140" s="200"/>
      <c r="X140" s="17"/>
    </row>
    <row r="141" spans="2:24" x14ac:dyDescent="0.25">
      <c r="B141" s="17">
        <v>139</v>
      </c>
      <c r="C141" s="10"/>
      <c r="D141" s="10"/>
      <c r="E141" s="72"/>
      <c r="F141" s="18"/>
      <c r="G141" s="10"/>
      <c r="H141" s="10"/>
      <c r="I141" s="10"/>
      <c r="J141" s="11"/>
      <c r="K141" s="11">
        <f t="shared" si="193"/>
        <v>0</v>
      </c>
      <c r="L141" s="37">
        <f t="shared" si="194"/>
        <v>0</v>
      </c>
      <c r="M141" s="11"/>
      <c r="N141" s="10"/>
      <c r="O141" s="21"/>
      <c r="P141" s="21"/>
      <c r="Q141" s="21"/>
      <c r="R141" s="23"/>
      <c r="S141" s="50"/>
      <c r="T141" s="48"/>
      <c r="U141" s="82"/>
      <c r="V141" s="26"/>
      <c r="W141" s="200"/>
      <c r="X141" s="17"/>
    </row>
    <row r="142" spans="2:24" x14ac:dyDescent="0.25">
      <c r="B142" s="17">
        <v>140</v>
      </c>
      <c r="C142" s="10"/>
      <c r="D142" s="10"/>
      <c r="E142" s="72"/>
      <c r="F142" s="18"/>
      <c r="G142" s="10"/>
      <c r="H142" s="10"/>
      <c r="I142" s="10"/>
      <c r="J142" s="11"/>
      <c r="K142" s="11">
        <f t="shared" si="193"/>
        <v>0</v>
      </c>
      <c r="L142" s="37">
        <f t="shared" si="194"/>
        <v>0</v>
      </c>
      <c r="M142" s="11"/>
      <c r="N142" s="10"/>
      <c r="O142" s="21"/>
      <c r="P142" s="21"/>
      <c r="Q142" s="21"/>
      <c r="R142" s="23"/>
      <c r="S142" s="50"/>
      <c r="T142" s="48"/>
      <c r="U142" s="82"/>
      <c r="V142" s="32"/>
      <c r="W142" s="200"/>
      <c r="X142" s="17"/>
    </row>
    <row r="143" spans="2:24" x14ac:dyDescent="0.25">
      <c r="B143" s="17">
        <v>141</v>
      </c>
      <c r="C143" s="10"/>
      <c r="D143" s="10"/>
      <c r="E143" s="72"/>
      <c r="F143" s="18"/>
      <c r="G143" s="10"/>
      <c r="H143" s="10"/>
      <c r="I143" s="10"/>
      <c r="J143" s="11"/>
      <c r="K143" s="11">
        <f t="shared" si="193"/>
        <v>0</v>
      </c>
      <c r="L143" s="37">
        <f t="shared" si="194"/>
        <v>0</v>
      </c>
      <c r="M143" s="11"/>
      <c r="N143" s="10"/>
      <c r="O143" s="21"/>
      <c r="P143" s="21"/>
      <c r="Q143" s="21"/>
      <c r="R143" s="23"/>
      <c r="S143" s="50"/>
      <c r="T143" s="48"/>
      <c r="U143" s="82"/>
      <c r="V143" s="32"/>
      <c r="W143" s="200"/>
      <c r="X143" s="17"/>
    </row>
    <row r="144" spans="2:24" x14ac:dyDescent="0.25">
      <c r="B144" s="17">
        <v>142</v>
      </c>
      <c r="C144" s="10"/>
      <c r="D144" s="10"/>
      <c r="E144" s="72"/>
      <c r="F144" s="18"/>
      <c r="G144" s="10"/>
      <c r="H144" s="10"/>
      <c r="I144" s="10"/>
      <c r="J144" s="11"/>
      <c r="K144" s="11">
        <f t="shared" si="193"/>
        <v>0</v>
      </c>
      <c r="L144" s="37">
        <f t="shared" si="194"/>
        <v>0</v>
      </c>
      <c r="M144" s="11"/>
      <c r="N144" s="10"/>
      <c r="O144" s="21"/>
      <c r="P144" s="21"/>
      <c r="Q144" s="21"/>
      <c r="R144" s="23"/>
      <c r="S144" s="50"/>
      <c r="T144" s="48"/>
      <c r="U144" s="82"/>
      <c r="V144" s="26"/>
      <c r="W144" s="200"/>
      <c r="X144" s="17"/>
    </row>
    <row r="145" spans="2:24" x14ac:dyDescent="0.25">
      <c r="B145" s="17">
        <v>143</v>
      </c>
      <c r="C145" s="10"/>
      <c r="D145" s="10"/>
      <c r="E145" s="72"/>
      <c r="F145" s="18"/>
      <c r="G145" s="10"/>
      <c r="H145" s="10"/>
      <c r="I145" s="10"/>
      <c r="J145" s="11"/>
      <c r="K145" s="11">
        <f t="shared" si="193"/>
        <v>0</v>
      </c>
      <c r="L145" s="37">
        <f t="shared" si="194"/>
        <v>0</v>
      </c>
      <c r="M145" s="11"/>
      <c r="N145" s="10"/>
      <c r="O145" s="21"/>
      <c r="P145" s="21"/>
      <c r="Q145" s="21"/>
      <c r="R145" s="23"/>
      <c r="S145" s="50"/>
      <c r="T145" s="48"/>
      <c r="U145" s="82"/>
      <c r="V145" s="26"/>
      <c r="W145" s="200"/>
      <c r="X145" s="17"/>
    </row>
    <row r="146" spans="2:24" x14ac:dyDescent="0.25">
      <c r="B146" s="17">
        <v>144</v>
      </c>
      <c r="C146" s="10"/>
      <c r="D146" s="10"/>
      <c r="E146" s="72"/>
      <c r="F146" s="18"/>
      <c r="G146" s="10"/>
      <c r="H146" s="10"/>
      <c r="I146" s="10"/>
      <c r="J146" s="11"/>
      <c r="K146" s="11">
        <f t="shared" si="193"/>
        <v>0</v>
      </c>
      <c r="L146" s="37">
        <f t="shared" si="194"/>
        <v>0</v>
      </c>
      <c r="M146" s="11"/>
      <c r="N146" s="10"/>
      <c r="O146" s="21"/>
      <c r="P146" s="21"/>
      <c r="Q146" s="21"/>
      <c r="R146" s="23"/>
      <c r="S146" s="50"/>
      <c r="T146" s="48"/>
      <c r="U146" s="82"/>
      <c r="V146" s="26"/>
      <c r="W146" s="200"/>
      <c r="X146" s="17"/>
    </row>
    <row r="147" spans="2:24" x14ac:dyDescent="0.25">
      <c r="B147" s="17">
        <v>145</v>
      </c>
      <c r="C147" s="10"/>
      <c r="D147" s="10"/>
      <c r="E147" s="72"/>
      <c r="F147" s="18"/>
      <c r="G147" s="10"/>
      <c r="H147" s="10"/>
      <c r="I147" s="10"/>
      <c r="J147" s="11"/>
      <c r="K147" s="11">
        <f t="shared" si="193"/>
        <v>0</v>
      </c>
      <c r="L147" s="37">
        <f t="shared" si="194"/>
        <v>0</v>
      </c>
      <c r="M147" s="11"/>
      <c r="N147" s="10"/>
      <c r="O147" s="21"/>
      <c r="P147" s="21"/>
      <c r="Q147" s="21"/>
      <c r="R147" s="23"/>
      <c r="S147" s="50"/>
      <c r="T147" s="48"/>
      <c r="U147" s="82"/>
      <c r="V147" s="26"/>
      <c r="W147" s="200"/>
      <c r="X147" s="17"/>
    </row>
    <row r="148" spans="2:24" x14ac:dyDescent="0.25">
      <c r="B148" s="17">
        <v>146</v>
      </c>
      <c r="C148" s="10"/>
      <c r="D148" s="10"/>
      <c r="E148" s="72"/>
      <c r="F148" s="18"/>
      <c r="G148" s="10"/>
      <c r="H148" s="10"/>
      <c r="I148" s="10"/>
      <c r="J148" s="11"/>
      <c r="K148" s="11">
        <f t="shared" si="193"/>
        <v>0</v>
      </c>
      <c r="L148" s="37">
        <f t="shared" si="194"/>
        <v>0</v>
      </c>
      <c r="M148" s="11"/>
      <c r="N148" s="10"/>
      <c r="O148" s="21"/>
      <c r="P148" s="21"/>
      <c r="Q148" s="21"/>
      <c r="R148" s="23"/>
      <c r="S148" s="50"/>
      <c r="T148" s="48"/>
      <c r="U148" s="82"/>
      <c r="V148" s="32"/>
      <c r="W148" s="200"/>
      <c r="X148" s="17"/>
    </row>
    <row r="149" spans="2:24" x14ac:dyDescent="0.25">
      <c r="B149" s="17">
        <v>147</v>
      </c>
      <c r="C149" s="10"/>
      <c r="D149" s="10"/>
      <c r="E149" s="72"/>
      <c r="F149" s="18"/>
      <c r="G149" s="10"/>
      <c r="H149" s="10"/>
      <c r="I149" s="10"/>
      <c r="J149" s="11"/>
      <c r="K149" s="11">
        <f t="shared" si="193"/>
        <v>0</v>
      </c>
      <c r="L149" s="37">
        <f t="shared" si="194"/>
        <v>0</v>
      </c>
      <c r="M149" s="11"/>
      <c r="N149" s="10"/>
      <c r="O149" s="21"/>
      <c r="P149" s="21"/>
      <c r="Q149" s="21"/>
      <c r="R149" s="23"/>
      <c r="S149" s="50"/>
      <c r="T149" s="48"/>
      <c r="U149" s="82"/>
      <c r="V149" s="32"/>
      <c r="W149" s="200"/>
      <c r="X149" s="17"/>
    </row>
    <row r="150" spans="2:24" x14ac:dyDescent="0.25">
      <c r="B150" s="17">
        <v>148</v>
      </c>
      <c r="C150" s="10"/>
      <c r="D150" s="10"/>
      <c r="E150" s="72"/>
      <c r="F150" s="18"/>
      <c r="G150" s="10"/>
      <c r="H150" s="10"/>
      <c r="I150" s="10"/>
      <c r="J150" s="11"/>
      <c r="K150" s="11">
        <f t="shared" si="193"/>
        <v>0</v>
      </c>
      <c r="L150" s="37">
        <f t="shared" si="194"/>
        <v>0</v>
      </c>
      <c r="M150" s="11"/>
      <c r="N150" s="10"/>
      <c r="O150" s="21"/>
      <c r="P150" s="21"/>
      <c r="Q150" s="21"/>
      <c r="R150" s="23"/>
      <c r="S150" s="50"/>
      <c r="T150" s="48"/>
      <c r="U150" s="82"/>
      <c r="V150" s="26"/>
      <c r="W150" s="200"/>
      <c r="X150" s="17"/>
    </row>
    <row r="151" spans="2:24" x14ac:dyDescent="0.25">
      <c r="B151" s="17">
        <v>149</v>
      </c>
      <c r="C151" s="10"/>
      <c r="D151" s="10"/>
      <c r="E151" s="72"/>
      <c r="F151" s="18"/>
      <c r="G151" s="10"/>
      <c r="H151" s="10"/>
      <c r="I151" s="10"/>
      <c r="J151" s="11"/>
      <c r="K151" s="11">
        <f t="shared" si="193"/>
        <v>0</v>
      </c>
      <c r="L151" s="37">
        <f t="shared" si="194"/>
        <v>0</v>
      </c>
      <c r="M151" s="11"/>
      <c r="N151" s="10"/>
      <c r="O151" s="21"/>
      <c r="P151" s="21"/>
      <c r="Q151" s="21"/>
      <c r="R151" s="23"/>
      <c r="S151" s="50"/>
      <c r="T151" s="48"/>
      <c r="U151" s="82"/>
      <c r="V151" s="26"/>
      <c r="W151" s="200"/>
      <c r="X151" s="17"/>
    </row>
    <row r="152" spans="2:24" x14ac:dyDescent="0.25">
      <c r="B152" s="17">
        <v>150</v>
      </c>
      <c r="C152" s="10"/>
      <c r="D152" s="10"/>
      <c r="E152" s="72"/>
      <c r="F152" s="18"/>
      <c r="G152" s="10"/>
      <c r="H152" s="10"/>
      <c r="I152" s="10"/>
      <c r="J152" s="11"/>
      <c r="K152" s="11">
        <f t="shared" si="193"/>
        <v>0</v>
      </c>
      <c r="L152" s="37">
        <f t="shared" si="194"/>
        <v>0</v>
      </c>
      <c r="M152" s="11"/>
      <c r="N152" s="10"/>
      <c r="O152" s="21"/>
      <c r="P152" s="21"/>
      <c r="Q152" s="21"/>
      <c r="R152" s="23"/>
      <c r="S152" s="50"/>
      <c r="T152" s="48"/>
      <c r="U152" s="82"/>
      <c r="V152" s="26"/>
      <c r="W152" s="200"/>
      <c r="X152" s="17"/>
    </row>
    <row r="153" spans="2:24" x14ac:dyDescent="0.25">
      <c r="B153" s="17">
        <v>151</v>
      </c>
      <c r="C153" s="10"/>
      <c r="D153" s="10"/>
      <c r="E153" s="72"/>
      <c r="F153" s="18"/>
      <c r="G153" s="10"/>
      <c r="H153" s="10"/>
      <c r="I153" s="10"/>
      <c r="J153" s="11"/>
      <c r="K153" s="11">
        <f t="shared" si="193"/>
        <v>0</v>
      </c>
      <c r="L153" s="37">
        <f t="shared" si="194"/>
        <v>0</v>
      </c>
      <c r="M153" s="11"/>
      <c r="N153" s="10"/>
      <c r="O153" s="21"/>
      <c r="P153" s="21"/>
      <c r="Q153" s="21"/>
      <c r="R153" s="23"/>
      <c r="S153" s="50"/>
      <c r="T153" s="48"/>
      <c r="U153" s="82"/>
      <c r="V153" s="26"/>
      <c r="W153" s="200"/>
      <c r="X153" s="17"/>
    </row>
    <row r="154" spans="2:24" x14ac:dyDescent="0.25">
      <c r="B154" s="17">
        <v>152</v>
      </c>
      <c r="C154" s="10"/>
      <c r="D154" s="10"/>
      <c r="E154" s="72"/>
      <c r="F154" s="18"/>
      <c r="G154" s="10"/>
      <c r="H154" s="10"/>
      <c r="I154" s="10"/>
      <c r="J154" s="11"/>
      <c r="K154" s="11">
        <f t="shared" si="193"/>
        <v>0</v>
      </c>
      <c r="L154" s="37">
        <f t="shared" si="194"/>
        <v>0</v>
      </c>
      <c r="M154" s="11"/>
      <c r="N154" s="10"/>
      <c r="O154" s="21"/>
      <c r="P154" s="21"/>
      <c r="Q154" s="21"/>
      <c r="R154" s="23"/>
      <c r="S154" s="50"/>
      <c r="T154" s="48"/>
      <c r="U154" s="82"/>
      <c r="V154" s="26"/>
      <c r="W154" s="200"/>
      <c r="X154" s="17"/>
    </row>
    <row r="155" spans="2:24" x14ac:dyDescent="0.25">
      <c r="B155" s="17">
        <v>153</v>
      </c>
      <c r="C155" s="10"/>
      <c r="D155" s="10"/>
      <c r="E155" s="72"/>
      <c r="F155" s="18"/>
      <c r="G155" s="10"/>
      <c r="H155" s="10"/>
      <c r="I155" s="10"/>
      <c r="J155" s="11"/>
      <c r="K155" s="11">
        <f t="shared" si="193"/>
        <v>0</v>
      </c>
      <c r="L155" s="37">
        <f t="shared" si="194"/>
        <v>0</v>
      </c>
      <c r="M155" s="11"/>
      <c r="N155" s="10"/>
      <c r="O155" s="21"/>
      <c r="P155" s="21"/>
      <c r="Q155" s="21"/>
      <c r="R155" s="23"/>
      <c r="S155" s="50"/>
      <c r="T155" s="48"/>
      <c r="U155" s="82"/>
      <c r="V155" s="32"/>
      <c r="W155" s="200"/>
      <c r="X155" s="17"/>
    </row>
    <row r="156" spans="2:24" x14ac:dyDescent="0.25">
      <c r="B156" s="17">
        <v>154</v>
      </c>
      <c r="C156" s="10"/>
      <c r="D156" s="10"/>
      <c r="E156" s="72"/>
      <c r="F156" s="18"/>
      <c r="G156" s="10"/>
      <c r="H156" s="10"/>
      <c r="I156" s="10"/>
      <c r="J156" s="11"/>
      <c r="K156" s="11">
        <f t="shared" si="193"/>
        <v>0</v>
      </c>
      <c r="L156" s="37">
        <f t="shared" si="194"/>
        <v>0</v>
      </c>
      <c r="M156" s="11"/>
      <c r="N156" s="10"/>
      <c r="O156" s="21"/>
      <c r="P156" s="21"/>
      <c r="Q156" s="21"/>
      <c r="R156" s="23"/>
      <c r="S156" s="50"/>
      <c r="T156" s="48"/>
      <c r="U156" s="82"/>
      <c r="V156" s="32"/>
      <c r="W156" s="200"/>
      <c r="X156" s="17"/>
    </row>
    <row r="157" spans="2:24" x14ac:dyDescent="0.25">
      <c r="B157" s="17">
        <v>155</v>
      </c>
      <c r="C157" s="10"/>
      <c r="D157" s="10"/>
      <c r="E157" s="72"/>
      <c r="F157" s="18"/>
      <c r="G157" s="10"/>
      <c r="H157" s="10"/>
      <c r="I157" s="10"/>
      <c r="J157" s="11"/>
      <c r="K157" s="11">
        <f t="shared" si="193"/>
        <v>0</v>
      </c>
      <c r="L157" s="37">
        <f t="shared" si="194"/>
        <v>0</v>
      </c>
      <c r="M157" s="11"/>
      <c r="N157" s="10"/>
      <c r="O157" s="21"/>
      <c r="P157" s="21"/>
      <c r="Q157" s="21"/>
      <c r="R157" s="23"/>
      <c r="S157" s="50"/>
      <c r="T157" s="48"/>
      <c r="U157" s="82"/>
      <c r="V157" s="26"/>
      <c r="W157" s="200"/>
      <c r="X157" s="17"/>
    </row>
    <row r="158" spans="2:24" x14ac:dyDescent="0.25">
      <c r="B158" s="17">
        <v>156</v>
      </c>
      <c r="C158" s="10"/>
      <c r="D158" s="10"/>
      <c r="E158" s="72"/>
      <c r="F158" s="18"/>
      <c r="G158" s="10"/>
      <c r="H158" s="10"/>
      <c r="I158" s="10"/>
      <c r="J158" s="11"/>
      <c r="K158" s="11">
        <f t="shared" si="193"/>
        <v>0</v>
      </c>
      <c r="L158" s="37">
        <f t="shared" si="194"/>
        <v>0</v>
      </c>
      <c r="M158" s="11"/>
      <c r="N158" s="10"/>
      <c r="O158" s="21"/>
      <c r="P158" s="21"/>
      <c r="Q158" s="21"/>
      <c r="R158" s="23"/>
      <c r="S158" s="50"/>
      <c r="T158" s="48"/>
      <c r="U158" s="82"/>
      <c r="V158" s="26"/>
      <c r="W158" s="200"/>
      <c r="X158" s="17"/>
    </row>
    <row r="159" spans="2:24" x14ac:dyDescent="0.25">
      <c r="B159" s="17">
        <v>157</v>
      </c>
      <c r="C159" s="10"/>
      <c r="D159" s="10"/>
      <c r="E159" s="72"/>
      <c r="F159" s="18"/>
      <c r="G159" s="10"/>
      <c r="H159" s="10"/>
      <c r="I159" s="10"/>
      <c r="J159" s="11"/>
      <c r="K159" s="11">
        <f t="shared" si="193"/>
        <v>0</v>
      </c>
      <c r="L159" s="37">
        <f t="shared" si="194"/>
        <v>0</v>
      </c>
      <c r="M159" s="11"/>
      <c r="N159" s="10"/>
      <c r="O159" s="21"/>
      <c r="P159" s="21"/>
      <c r="Q159" s="21"/>
      <c r="R159" s="23"/>
      <c r="S159" s="50"/>
      <c r="T159" s="48"/>
      <c r="U159" s="82"/>
      <c r="V159" s="26"/>
      <c r="W159" s="200"/>
      <c r="X159" s="17"/>
    </row>
    <row r="160" spans="2:24" x14ac:dyDescent="0.25">
      <c r="B160" s="17">
        <v>158</v>
      </c>
      <c r="C160" s="10"/>
      <c r="D160" s="10"/>
      <c r="E160" s="72"/>
      <c r="F160" s="18"/>
      <c r="G160" s="10"/>
      <c r="H160" s="10"/>
      <c r="I160" s="10"/>
      <c r="J160" s="11"/>
      <c r="K160" s="11">
        <f t="shared" si="193"/>
        <v>0</v>
      </c>
      <c r="L160" s="37">
        <f t="shared" si="194"/>
        <v>0</v>
      </c>
      <c r="M160" s="11"/>
      <c r="N160" s="10"/>
      <c r="O160" s="21"/>
      <c r="P160" s="21"/>
      <c r="Q160" s="21"/>
      <c r="R160" s="23"/>
      <c r="S160" s="50"/>
      <c r="T160" s="48"/>
      <c r="U160" s="82"/>
      <c r="V160" s="26"/>
      <c r="W160" s="200"/>
      <c r="X160" s="17"/>
    </row>
    <row r="161" spans="2:24" x14ac:dyDescent="0.25">
      <c r="B161" s="17">
        <v>159</v>
      </c>
      <c r="C161" s="10"/>
      <c r="D161" s="10"/>
      <c r="E161" s="72"/>
      <c r="F161" s="18"/>
      <c r="G161" s="10"/>
      <c r="H161" s="10"/>
      <c r="I161" s="10"/>
      <c r="J161" s="11"/>
      <c r="K161" s="11">
        <f t="shared" si="193"/>
        <v>0</v>
      </c>
      <c r="L161" s="37">
        <f t="shared" si="194"/>
        <v>0</v>
      </c>
      <c r="M161" s="11"/>
      <c r="N161" s="10"/>
      <c r="O161" s="21"/>
      <c r="P161" s="21"/>
      <c r="Q161" s="21"/>
      <c r="R161" s="23"/>
      <c r="S161" s="50"/>
      <c r="T161" s="48"/>
      <c r="U161" s="82"/>
      <c r="V161" s="26"/>
      <c r="W161" s="200"/>
      <c r="X161" s="17"/>
    </row>
    <row r="162" spans="2:24" x14ac:dyDescent="0.25">
      <c r="B162" s="17">
        <v>160</v>
      </c>
      <c r="C162" s="10"/>
      <c r="D162" s="10"/>
      <c r="E162" s="72"/>
      <c r="F162" s="18"/>
      <c r="G162" s="10"/>
      <c r="H162" s="10"/>
      <c r="I162" s="10"/>
      <c r="J162" s="11"/>
      <c r="K162" s="11">
        <f t="shared" si="193"/>
        <v>0</v>
      </c>
      <c r="L162" s="37">
        <f t="shared" si="194"/>
        <v>0</v>
      </c>
      <c r="M162" s="11"/>
      <c r="N162" s="10"/>
      <c r="O162" s="21"/>
      <c r="P162" s="21"/>
      <c r="Q162" s="21"/>
      <c r="R162" s="23"/>
      <c r="S162" s="50"/>
      <c r="T162" s="48"/>
      <c r="U162" s="82"/>
      <c r="V162" s="32"/>
      <c r="W162" s="200"/>
      <c r="X162" s="17"/>
    </row>
    <row r="163" spans="2:24" x14ac:dyDescent="0.25">
      <c r="B163" s="17">
        <v>161</v>
      </c>
      <c r="C163" s="10"/>
      <c r="D163" s="10"/>
      <c r="E163" s="72"/>
      <c r="F163" s="18"/>
      <c r="G163" s="10"/>
      <c r="H163" s="10"/>
      <c r="I163" s="10"/>
      <c r="J163" s="11"/>
      <c r="K163" s="11">
        <f t="shared" si="193"/>
        <v>0</v>
      </c>
      <c r="L163" s="37">
        <f t="shared" si="194"/>
        <v>0</v>
      </c>
      <c r="M163" s="11"/>
      <c r="N163" s="10"/>
      <c r="O163" s="21"/>
      <c r="P163" s="21"/>
      <c r="Q163" s="21"/>
      <c r="R163" s="23"/>
      <c r="S163" s="50"/>
      <c r="T163" s="48"/>
      <c r="U163" s="82"/>
      <c r="V163" s="32"/>
      <c r="W163" s="200"/>
      <c r="X163" s="17"/>
    </row>
    <row r="164" spans="2:24" x14ac:dyDescent="0.25">
      <c r="B164" s="17">
        <v>162</v>
      </c>
      <c r="C164" s="10"/>
      <c r="D164" s="10"/>
      <c r="E164" s="72"/>
      <c r="F164" s="18"/>
      <c r="G164" s="10"/>
      <c r="H164" s="10"/>
      <c r="I164" s="10"/>
      <c r="J164" s="11"/>
      <c r="K164" s="11">
        <f t="shared" si="193"/>
        <v>0</v>
      </c>
      <c r="L164" s="37">
        <f t="shared" si="194"/>
        <v>0</v>
      </c>
      <c r="M164" s="11"/>
      <c r="N164" s="10"/>
      <c r="O164" s="21"/>
      <c r="P164" s="21"/>
      <c r="Q164" s="21"/>
      <c r="R164" s="23"/>
      <c r="S164" s="50"/>
      <c r="T164" s="48"/>
      <c r="U164" s="82"/>
      <c r="V164" s="32"/>
      <c r="W164" s="200"/>
      <c r="X164" s="17"/>
    </row>
    <row r="165" spans="2:24" x14ac:dyDescent="0.25">
      <c r="B165" s="17">
        <v>163</v>
      </c>
      <c r="C165" s="10"/>
      <c r="D165" s="10"/>
      <c r="E165" s="72"/>
      <c r="F165" s="18"/>
      <c r="G165" s="10"/>
      <c r="H165" s="10"/>
      <c r="I165" s="10"/>
      <c r="J165" s="11"/>
      <c r="K165" s="11">
        <f t="shared" si="193"/>
        <v>0</v>
      </c>
      <c r="L165" s="37">
        <f t="shared" si="194"/>
        <v>0</v>
      </c>
      <c r="M165" s="11"/>
      <c r="N165" s="10"/>
      <c r="O165" s="21"/>
      <c r="P165" s="21"/>
      <c r="Q165" s="21"/>
      <c r="R165" s="23"/>
      <c r="S165" s="50"/>
      <c r="T165" s="48"/>
      <c r="U165" s="82"/>
      <c r="V165" s="32"/>
      <c r="W165" s="200"/>
      <c r="X165" s="17"/>
    </row>
    <row r="166" spans="2:24" x14ac:dyDescent="0.25">
      <c r="B166" s="17">
        <v>164</v>
      </c>
      <c r="C166" s="10"/>
      <c r="D166" s="10"/>
      <c r="E166" s="72"/>
      <c r="F166" s="18"/>
      <c r="G166" s="10"/>
      <c r="H166" s="10"/>
      <c r="I166" s="10"/>
      <c r="J166" s="11"/>
      <c r="K166" s="11">
        <f t="shared" si="193"/>
        <v>0</v>
      </c>
      <c r="L166" s="37">
        <f t="shared" si="194"/>
        <v>0</v>
      </c>
      <c r="M166" s="11"/>
      <c r="N166" s="10"/>
      <c r="O166" s="21"/>
      <c r="P166" s="21"/>
      <c r="Q166" s="21"/>
      <c r="R166" s="23"/>
      <c r="S166" s="50"/>
      <c r="T166" s="48"/>
      <c r="U166" s="82"/>
      <c r="V166" s="26"/>
      <c r="W166" s="200"/>
      <c r="X166" s="17"/>
    </row>
    <row r="167" spans="2:24" x14ac:dyDescent="0.25">
      <c r="B167" s="17">
        <v>165</v>
      </c>
      <c r="C167" s="10"/>
      <c r="D167" s="10"/>
      <c r="E167" s="72"/>
      <c r="F167" s="18"/>
      <c r="G167" s="10"/>
      <c r="H167" s="10"/>
      <c r="I167" s="10"/>
      <c r="J167" s="11"/>
      <c r="K167" s="11">
        <f t="shared" si="193"/>
        <v>0</v>
      </c>
      <c r="L167" s="37">
        <f t="shared" si="194"/>
        <v>0</v>
      </c>
      <c r="M167" s="11"/>
      <c r="N167" s="10"/>
      <c r="O167" s="21"/>
      <c r="P167" s="21"/>
      <c r="Q167" s="21"/>
      <c r="R167" s="23"/>
      <c r="S167" s="50"/>
      <c r="T167" s="48"/>
      <c r="U167" s="82"/>
      <c r="V167" s="26"/>
      <c r="W167" s="200"/>
      <c r="X167" s="17"/>
    </row>
    <row r="168" spans="2:24" x14ac:dyDescent="0.25">
      <c r="B168" s="17">
        <v>166</v>
      </c>
      <c r="C168" s="10"/>
      <c r="D168" s="10"/>
      <c r="E168" s="72"/>
      <c r="F168" s="18"/>
      <c r="G168" s="10"/>
      <c r="H168" s="10"/>
      <c r="I168" s="10"/>
      <c r="J168" s="11"/>
      <c r="K168" s="11">
        <f t="shared" si="193"/>
        <v>0</v>
      </c>
      <c r="L168" s="37">
        <f t="shared" si="194"/>
        <v>0</v>
      </c>
      <c r="M168" s="11"/>
      <c r="N168" s="10"/>
      <c r="O168" s="21"/>
      <c r="P168" s="21"/>
      <c r="Q168" s="21"/>
      <c r="R168" s="23"/>
      <c r="S168" s="50"/>
      <c r="T168" s="48"/>
      <c r="U168" s="82"/>
      <c r="V168" s="26"/>
      <c r="W168" s="200"/>
      <c r="X168" s="17"/>
    </row>
    <row r="169" spans="2:24" x14ac:dyDescent="0.25">
      <c r="B169" s="17">
        <v>167</v>
      </c>
      <c r="C169" s="10"/>
      <c r="D169" s="10"/>
      <c r="E169" s="72"/>
      <c r="F169" s="18"/>
      <c r="G169" s="10"/>
      <c r="H169" s="10"/>
      <c r="I169" s="10"/>
      <c r="J169" s="11"/>
      <c r="K169" s="11">
        <f t="shared" si="193"/>
        <v>0</v>
      </c>
      <c r="L169" s="37">
        <f t="shared" si="194"/>
        <v>0</v>
      </c>
      <c r="M169" s="11"/>
      <c r="N169" s="10"/>
      <c r="O169" s="21"/>
      <c r="P169" s="21"/>
      <c r="Q169" s="21"/>
      <c r="R169" s="23"/>
      <c r="S169" s="50"/>
      <c r="T169" s="48"/>
      <c r="U169" s="82"/>
      <c r="V169" s="26"/>
      <c r="W169" s="200"/>
      <c r="X169" s="17"/>
    </row>
    <row r="170" spans="2:24" x14ac:dyDescent="0.25">
      <c r="B170" s="17">
        <v>168</v>
      </c>
      <c r="C170" s="10"/>
      <c r="D170" s="10"/>
      <c r="E170" s="72"/>
      <c r="F170" s="18"/>
      <c r="G170" s="10"/>
      <c r="H170" s="10"/>
      <c r="I170" s="10"/>
      <c r="J170" s="11"/>
      <c r="K170" s="11">
        <f t="shared" si="193"/>
        <v>0</v>
      </c>
      <c r="L170" s="37">
        <f t="shared" si="194"/>
        <v>0</v>
      </c>
      <c r="M170" s="11"/>
      <c r="N170" s="10"/>
      <c r="O170" s="21"/>
      <c r="P170" s="21"/>
      <c r="Q170" s="21"/>
      <c r="R170" s="23"/>
      <c r="S170" s="50"/>
      <c r="T170" s="48"/>
      <c r="U170" s="82"/>
      <c r="V170" s="32"/>
      <c r="W170" s="200"/>
      <c r="X170" s="17"/>
    </row>
    <row r="171" spans="2:24" x14ac:dyDescent="0.25">
      <c r="B171" s="17">
        <v>169</v>
      </c>
      <c r="C171" s="10"/>
      <c r="D171" s="10"/>
      <c r="E171" s="72"/>
      <c r="F171" s="18"/>
      <c r="G171" s="10"/>
      <c r="H171" s="10"/>
      <c r="I171" s="10"/>
      <c r="J171" s="11"/>
      <c r="K171" s="11">
        <f t="shared" si="193"/>
        <v>0</v>
      </c>
      <c r="L171" s="37">
        <f t="shared" si="194"/>
        <v>0</v>
      </c>
      <c r="M171" s="11"/>
      <c r="N171" s="10"/>
      <c r="O171" s="21"/>
      <c r="P171" s="21"/>
      <c r="Q171" s="21"/>
      <c r="R171" s="23"/>
      <c r="S171" s="50"/>
      <c r="T171" s="48"/>
      <c r="U171" s="82"/>
      <c r="V171" s="32"/>
      <c r="W171" s="200"/>
      <c r="X171" s="17"/>
    </row>
    <row r="172" spans="2:24" x14ac:dyDescent="0.25">
      <c r="B172" s="17">
        <v>170</v>
      </c>
      <c r="C172" s="10"/>
      <c r="D172" s="10"/>
      <c r="E172" s="72"/>
      <c r="F172" s="18"/>
      <c r="G172" s="10"/>
      <c r="H172" s="10"/>
      <c r="I172" s="10"/>
      <c r="J172" s="11"/>
      <c r="K172" s="11">
        <f t="shared" si="193"/>
        <v>0</v>
      </c>
      <c r="L172" s="37">
        <f t="shared" si="194"/>
        <v>0</v>
      </c>
      <c r="M172" s="11"/>
      <c r="N172" s="10"/>
      <c r="O172" s="21"/>
      <c r="P172" s="21"/>
      <c r="Q172" s="21"/>
      <c r="R172" s="23"/>
      <c r="S172" s="50"/>
      <c r="T172" s="48"/>
      <c r="U172" s="82"/>
      <c r="V172" s="26"/>
      <c r="W172" s="200"/>
      <c r="X172" s="17"/>
    </row>
    <row r="173" spans="2:24" x14ac:dyDescent="0.25">
      <c r="B173" s="17">
        <v>171</v>
      </c>
      <c r="C173" s="10"/>
      <c r="D173" s="10"/>
      <c r="E173" s="72"/>
      <c r="F173" s="18"/>
      <c r="G173" s="10"/>
      <c r="H173" s="10"/>
      <c r="I173" s="10"/>
      <c r="J173" s="11"/>
      <c r="K173" s="11">
        <f t="shared" si="193"/>
        <v>0</v>
      </c>
      <c r="L173" s="37">
        <f t="shared" si="194"/>
        <v>0</v>
      </c>
      <c r="M173" s="11"/>
      <c r="N173" s="10"/>
      <c r="O173" s="21"/>
      <c r="P173" s="21"/>
      <c r="Q173" s="21"/>
      <c r="R173" s="23"/>
      <c r="S173" s="50"/>
      <c r="T173" s="48"/>
      <c r="U173" s="82"/>
      <c r="V173" s="26"/>
      <c r="W173" s="200"/>
      <c r="X173" s="17"/>
    </row>
    <row r="174" spans="2:24" x14ac:dyDescent="0.25">
      <c r="B174" s="17">
        <v>172</v>
      </c>
      <c r="C174" s="10"/>
      <c r="D174" s="10"/>
      <c r="E174" s="72"/>
      <c r="F174" s="18"/>
      <c r="G174" s="10"/>
      <c r="H174" s="10"/>
      <c r="I174" s="10"/>
      <c r="J174" s="11"/>
      <c r="K174" s="11">
        <f t="shared" si="193"/>
        <v>0</v>
      </c>
      <c r="L174" s="37">
        <f t="shared" si="194"/>
        <v>0</v>
      </c>
      <c r="M174" s="11"/>
      <c r="N174" s="10"/>
      <c r="O174" s="21"/>
      <c r="P174" s="21"/>
      <c r="Q174" s="21"/>
      <c r="R174" s="23"/>
      <c r="S174" s="50"/>
      <c r="T174" s="48"/>
      <c r="U174" s="82"/>
      <c r="V174" s="26"/>
      <c r="W174" s="200"/>
      <c r="X174" s="17"/>
    </row>
    <row r="175" spans="2:24" x14ac:dyDescent="0.25">
      <c r="B175" s="17">
        <v>173</v>
      </c>
      <c r="C175" s="10"/>
      <c r="D175" s="10"/>
      <c r="E175" s="72"/>
      <c r="F175" s="18"/>
      <c r="G175" s="10"/>
      <c r="H175" s="10"/>
      <c r="I175" s="10"/>
      <c r="J175" s="11"/>
      <c r="K175" s="11">
        <f t="shared" si="193"/>
        <v>0</v>
      </c>
      <c r="L175" s="37">
        <f t="shared" si="194"/>
        <v>0</v>
      </c>
      <c r="M175" s="11"/>
      <c r="N175" s="10"/>
      <c r="O175" s="21"/>
      <c r="P175" s="21"/>
      <c r="Q175" s="21"/>
      <c r="R175" s="23"/>
      <c r="S175" s="50"/>
      <c r="T175" s="48"/>
      <c r="U175" s="82"/>
      <c r="V175" s="26"/>
      <c r="W175" s="200"/>
      <c r="X175" s="17"/>
    </row>
    <row r="176" spans="2:24" x14ac:dyDescent="0.25">
      <c r="B176" s="17">
        <v>174</v>
      </c>
      <c r="C176" s="10"/>
      <c r="D176" s="10"/>
      <c r="E176" s="72"/>
      <c r="F176" s="18"/>
      <c r="G176" s="10"/>
      <c r="H176" s="10"/>
      <c r="I176" s="10"/>
      <c r="J176" s="11"/>
      <c r="K176" s="11">
        <f t="shared" si="193"/>
        <v>0</v>
      </c>
      <c r="L176" s="37">
        <f t="shared" si="194"/>
        <v>0</v>
      </c>
      <c r="M176" s="11"/>
      <c r="N176" s="10"/>
      <c r="O176" s="21"/>
      <c r="P176" s="21"/>
      <c r="Q176" s="21"/>
      <c r="R176" s="23"/>
      <c r="S176" s="50"/>
      <c r="T176" s="48"/>
      <c r="U176" s="82"/>
      <c r="V176" s="26"/>
      <c r="W176" s="200"/>
      <c r="X176" s="17"/>
    </row>
    <row r="177" spans="2:24" x14ac:dyDescent="0.25">
      <c r="B177" s="17">
        <v>175</v>
      </c>
      <c r="C177" s="10"/>
      <c r="D177" s="10"/>
      <c r="E177" s="72"/>
      <c r="F177" s="18"/>
      <c r="G177" s="10"/>
      <c r="H177" s="10"/>
      <c r="I177" s="10"/>
      <c r="J177" s="11"/>
      <c r="K177" s="11">
        <f t="shared" si="193"/>
        <v>0</v>
      </c>
      <c r="L177" s="37">
        <f t="shared" si="194"/>
        <v>0</v>
      </c>
      <c r="M177" s="11"/>
      <c r="N177" s="10"/>
      <c r="O177" s="21"/>
      <c r="P177" s="21"/>
      <c r="Q177" s="21"/>
      <c r="R177" s="23"/>
      <c r="S177" s="50"/>
      <c r="T177" s="48"/>
      <c r="U177" s="82"/>
      <c r="V177" s="32"/>
      <c r="W177" s="200"/>
      <c r="X177" s="17"/>
    </row>
    <row r="178" spans="2:24" x14ac:dyDescent="0.25">
      <c r="B178" s="17">
        <v>176</v>
      </c>
      <c r="C178" s="10"/>
      <c r="D178" s="10"/>
      <c r="E178" s="72"/>
      <c r="F178" s="18"/>
      <c r="G178" s="10"/>
      <c r="H178" s="10"/>
      <c r="I178" s="10"/>
      <c r="J178" s="11"/>
      <c r="K178" s="11">
        <f t="shared" si="193"/>
        <v>0</v>
      </c>
      <c r="L178" s="37">
        <f t="shared" si="194"/>
        <v>0</v>
      </c>
      <c r="M178" s="11"/>
      <c r="N178" s="10"/>
      <c r="O178" s="21"/>
      <c r="P178" s="21"/>
      <c r="Q178" s="21"/>
      <c r="R178" s="23"/>
      <c r="S178" s="50"/>
      <c r="T178" s="48"/>
      <c r="U178" s="82"/>
      <c r="V178" s="32"/>
      <c r="W178" s="200"/>
      <c r="X178" s="17"/>
    </row>
    <row r="179" spans="2:24" x14ac:dyDescent="0.25">
      <c r="B179" s="17">
        <v>177</v>
      </c>
      <c r="C179" s="10"/>
      <c r="D179" s="10"/>
      <c r="E179" s="72"/>
      <c r="F179" s="18"/>
      <c r="G179" s="10"/>
      <c r="H179" s="10"/>
      <c r="I179" s="10"/>
      <c r="J179" s="11"/>
      <c r="K179" s="11">
        <f t="shared" si="193"/>
        <v>0</v>
      </c>
      <c r="L179" s="37">
        <f t="shared" si="194"/>
        <v>0</v>
      </c>
      <c r="M179" s="11"/>
      <c r="N179" s="10"/>
      <c r="O179" s="21"/>
      <c r="P179" s="21"/>
      <c r="Q179" s="21"/>
      <c r="R179" s="23"/>
      <c r="S179" s="50"/>
      <c r="T179" s="48"/>
      <c r="U179" s="82"/>
      <c r="V179" s="26"/>
      <c r="W179" s="200"/>
      <c r="X179" s="17"/>
    </row>
    <row r="180" spans="2:24" x14ac:dyDescent="0.25">
      <c r="B180" s="17">
        <v>178</v>
      </c>
      <c r="C180" s="10"/>
      <c r="D180" s="10"/>
      <c r="E180" s="72"/>
      <c r="F180" s="18"/>
      <c r="G180" s="10"/>
      <c r="H180" s="10"/>
      <c r="I180" s="10"/>
      <c r="J180" s="11"/>
      <c r="K180" s="11">
        <f t="shared" si="193"/>
        <v>0</v>
      </c>
      <c r="L180" s="37">
        <f t="shared" si="194"/>
        <v>0</v>
      </c>
      <c r="M180" s="11"/>
      <c r="N180" s="10"/>
      <c r="O180" s="21"/>
      <c r="P180" s="21"/>
      <c r="Q180" s="21"/>
      <c r="R180" s="23"/>
      <c r="S180" s="50"/>
      <c r="T180" s="48"/>
      <c r="U180" s="82"/>
      <c r="V180" s="26"/>
      <c r="W180" s="200"/>
      <c r="X180" s="17"/>
    </row>
    <row r="181" spans="2:24" x14ac:dyDescent="0.25">
      <c r="B181" s="17">
        <v>179</v>
      </c>
      <c r="C181" s="10"/>
      <c r="D181" s="10"/>
      <c r="E181" s="72"/>
      <c r="F181" s="18"/>
      <c r="G181" s="10"/>
      <c r="H181" s="10"/>
      <c r="I181" s="10"/>
      <c r="J181" s="11"/>
      <c r="K181" s="11">
        <f t="shared" si="193"/>
        <v>0</v>
      </c>
      <c r="L181" s="37">
        <f t="shared" si="194"/>
        <v>0</v>
      </c>
      <c r="M181" s="11"/>
      <c r="N181" s="10"/>
      <c r="O181" s="21"/>
      <c r="P181" s="21"/>
      <c r="Q181" s="21"/>
      <c r="R181" s="23"/>
      <c r="S181" s="50"/>
      <c r="T181" s="48"/>
      <c r="U181" s="82"/>
      <c r="V181" s="26"/>
      <c r="W181" s="200"/>
      <c r="X181" s="17"/>
    </row>
    <row r="182" spans="2:24" x14ac:dyDescent="0.25">
      <c r="B182" s="17">
        <v>180</v>
      </c>
      <c r="C182" s="10"/>
      <c r="D182" s="10"/>
      <c r="E182" s="72"/>
      <c r="F182" s="18"/>
      <c r="G182" s="10"/>
      <c r="H182" s="10"/>
      <c r="I182" s="10"/>
      <c r="J182" s="11"/>
      <c r="K182" s="11">
        <f t="shared" si="193"/>
        <v>0</v>
      </c>
      <c r="L182" s="37">
        <f t="shared" si="194"/>
        <v>0</v>
      </c>
      <c r="M182" s="11"/>
      <c r="N182" s="10"/>
      <c r="O182" s="21"/>
      <c r="P182" s="21"/>
      <c r="Q182" s="21"/>
      <c r="R182" s="23"/>
      <c r="S182" s="50"/>
      <c r="T182" s="48"/>
      <c r="U182" s="82"/>
      <c r="V182" s="26"/>
      <c r="W182" s="200"/>
      <c r="X182" s="17"/>
    </row>
    <row r="183" spans="2:24" x14ac:dyDescent="0.25">
      <c r="B183" s="17">
        <v>181</v>
      </c>
      <c r="C183" s="10"/>
      <c r="D183" s="10"/>
      <c r="E183" s="72"/>
      <c r="F183" s="18"/>
      <c r="G183" s="10"/>
      <c r="H183" s="10"/>
      <c r="I183" s="10"/>
      <c r="J183" s="11"/>
      <c r="K183" s="11">
        <f t="shared" si="193"/>
        <v>0</v>
      </c>
      <c r="L183" s="37">
        <f t="shared" si="194"/>
        <v>0</v>
      </c>
      <c r="M183" s="11"/>
      <c r="N183" s="10"/>
      <c r="O183" s="21"/>
      <c r="P183" s="21"/>
      <c r="Q183" s="21"/>
      <c r="R183" s="23"/>
      <c r="S183" s="50"/>
      <c r="T183" s="48"/>
      <c r="U183" s="82"/>
      <c r="V183" s="26"/>
      <c r="W183" s="200"/>
      <c r="X183" s="17"/>
    </row>
    <row r="184" spans="2:24" x14ac:dyDescent="0.25">
      <c r="B184" s="17">
        <v>182</v>
      </c>
      <c r="C184" s="10"/>
      <c r="D184" s="10"/>
      <c r="E184" s="72"/>
      <c r="F184" s="18"/>
      <c r="G184" s="10"/>
      <c r="H184" s="10"/>
      <c r="I184" s="10"/>
      <c r="J184" s="11"/>
      <c r="K184" s="11">
        <f t="shared" si="193"/>
        <v>0</v>
      </c>
      <c r="L184" s="37">
        <f t="shared" si="194"/>
        <v>0</v>
      </c>
      <c r="M184" s="11"/>
      <c r="N184" s="10"/>
      <c r="O184" s="21"/>
      <c r="P184" s="21"/>
      <c r="Q184" s="21"/>
      <c r="R184" s="23"/>
      <c r="S184" s="50"/>
      <c r="T184" s="48"/>
      <c r="U184" s="82"/>
      <c r="V184" s="32"/>
      <c r="W184" s="200"/>
      <c r="X184" s="17"/>
    </row>
    <row r="185" spans="2:24" x14ac:dyDescent="0.25">
      <c r="B185" s="17">
        <v>183</v>
      </c>
      <c r="C185" s="10"/>
      <c r="D185" s="10"/>
      <c r="E185" s="72"/>
      <c r="F185" s="18"/>
      <c r="G185" s="10"/>
      <c r="H185" s="10"/>
      <c r="I185" s="10"/>
      <c r="J185" s="11"/>
      <c r="K185" s="11">
        <f t="shared" si="193"/>
        <v>0</v>
      </c>
      <c r="L185" s="37">
        <f t="shared" si="194"/>
        <v>0</v>
      </c>
      <c r="M185" s="11"/>
      <c r="N185" s="10"/>
      <c r="O185" s="21"/>
      <c r="P185" s="21"/>
      <c r="Q185" s="21"/>
      <c r="R185" s="23"/>
      <c r="S185" s="50"/>
      <c r="T185" s="48"/>
      <c r="U185" s="82"/>
      <c r="V185" s="32"/>
      <c r="W185" s="200"/>
      <c r="X185" s="17"/>
    </row>
    <row r="186" spans="2:24" x14ac:dyDescent="0.25">
      <c r="B186" s="17">
        <v>184</v>
      </c>
      <c r="C186" s="10"/>
      <c r="D186" s="10"/>
      <c r="E186" s="72"/>
      <c r="F186" s="18"/>
      <c r="G186" s="10"/>
      <c r="H186" s="10"/>
      <c r="I186" s="10"/>
      <c r="J186" s="11"/>
      <c r="K186" s="11">
        <f t="shared" si="193"/>
        <v>0</v>
      </c>
      <c r="L186" s="37">
        <f t="shared" si="194"/>
        <v>0</v>
      </c>
      <c r="M186" s="11"/>
      <c r="N186" s="10"/>
      <c r="O186" s="21"/>
      <c r="P186" s="21"/>
      <c r="Q186" s="21"/>
      <c r="R186" s="23"/>
      <c r="S186" s="50"/>
      <c r="T186" s="48"/>
      <c r="U186" s="82"/>
      <c r="V186" s="32"/>
      <c r="W186" s="200"/>
      <c r="X186" s="17"/>
    </row>
    <row r="187" spans="2:24" x14ac:dyDescent="0.25">
      <c r="B187" s="17">
        <v>185</v>
      </c>
      <c r="C187" s="10"/>
      <c r="D187" s="10"/>
      <c r="E187" s="72"/>
      <c r="F187" s="18"/>
      <c r="G187" s="10"/>
      <c r="H187" s="10"/>
      <c r="I187" s="10"/>
      <c r="J187" s="11"/>
      <c r="K187" s="11">
        <f t="shared" si="193"/>
        <v>0</v>
      </c>
      <c r="L187" s="37">
        <f t="shared" si="194"/>
        <v>0</v>
      </c>
      <c r="M187" s="11"/>
      <c r="N187" s="10"/>
      <c r="O187" s="21"/>
      <c r="P187" s="21"/>
      <c r="Q187" s="21"/>
      <c r="R187" s="23"/>
      <c r="S187" s="50"/>
      <c r="T187" s="48"/>
      <c r="U187" s="82"/>
      <c r="V187" s="32"/>
      <c r="W187" s="200"/>
      <c r="X187" s="17"/>
    </row>
    <row r="188" spans="2:24" x14ac:dyDescent="0.25">
      <c r="B188" s="17">
        <v>186</v>
      </c>
      <c r="C188" s="10"/>
      <c r="D188" s="10"/>
      <c r="E188" s="72"/>
      <c r="F188" s="18"/>
      <c r="G188" s="10"/>
      <c r="H188" s="10"/>
      <c r="I188" s="10"/>
      <c r="J188" s="11"/>
      <c r="K188" s="11">
        <f t="shared" si="193"/>
        <v>0</v>
      </c>
      <c r="L188" s="37">
        <f t="shared" si="194"/>
        <v>0</v>
      </c>
      <c r="M188" s="11"/>
      <c r="N188" s="10"/>
      <c r="O188" s="21"/>
      <c r="P188" s="21"/>
      <c r="Q188" s="21"/>
      <c r="R188" s="23"/>
      <c r="S188" s="50"/>
      <c r="T188" s="48"/>
      <c r="U188" s="82"/>
      <c r="V188" s="26"/>
      <c r="W188" s="200"/>
      <c r="X188" s="17"/>
    </row>
    <row r="189" spans="2:24" x14ac:dyDescent="0.25">
      <c r="B189" s="17">
        <v>187</v>
      </c>
      <c r="C189" s="10"/>
      <c r="D189" s="10"/>
      <c r="E189" s="72"/>
      <c r="F189" s="18"/>
      <c r="G189" s="10"/>
      <c r="H189" s="10"/>
      <c r="I189" s="10"/>
      <c r="J189" s="11"/>
      <c r="K189" s="11">
        <f t="shared" si="193"/>
        <v>0</v>
      </c>
      <c r="L189" s="37">
        <f t="shared" si="194"/>
        <v>0</v>
      </c>
      <c r="M189" s="11"/>
      <c r="N189" s="10"/>
      <c r="O189" s="21"/>
      <c r="P189" s="21"/>
      <c r="Q189" s="21"/>
      <c r="R189" s="23"/>
      <c r="S189" s="50"/>
      <c r="T189" s="48"/>
      <c r="U189" s="82"/>
      <c r="V189" s="26"/>
      <c r="W189" s="200"/>
      <c r="X189" s="17"/>
    </row>
    <row r="190" spans="2:24" x14ac:dyDescent="0.25">
      <c r="B190" s="17">
        <v>188</v>
      </c>
      <c r="C190" s="10"/>
      <c r="D190" s="10"/>
      <c r="E190" s="72"/>
      <c r="F190" s="18"/>
      <c r="G190" s="10"/>
      <c r="H190" s="10"/>
      <c r="I190" s="10"/>
      <c r="J190" s="11"/>
      <c r="K190" s="11">
        <f t="shared" si="193"/>
        <v>0</v>
      </c>
      <c r="L190" s="37">
        <f t="shared" si="194"/>
        <v>0</v>
      </c>
      <c r="M190" s="11"/>
      <c r="N190" s="10"/>
      <c r="O190" s="21"/>
      <c r="P190" s="21"/>
      <c r="Q190" s="21"/>
      <c r="R190" s="23"/>
      <c r="S190" s="50"/>
      <c r="T190" s="48"/>
      <c r="U190" s="82"/>
      <c r="V190" s="26"/>
      <c r="W190" s="200"/>
      <c r="X190" s="17"/>
    </row>
    <row r="191" spans="2:24" x14ac:dyDescent="0.25">
      <c r="B191" s="17">
        <v>189</v>
      </c>
      <c r="C191" s="10"/>
      <c r="D191" s="10"/>
      <c r="E191" s="72"/>
      <c r="F191" s="18"/>
      <c r="G191" s="10"/>
      <c r="H191" s="10"/>
      <c r="I191" s="10"/>
      <c r="J191" s="11"/>
      <c r="K191" s="11">
        <f t="shared" si="193"/>
        <v>0</v>
      </c>
      <c r="L191" s="37">
        <f t="shared" si="194"/>
        <v>0</v>
      </c>
      <c r="M191" s="11"/>
      <c r="N191" s="10"/>
      <c r="O191" s="21"/>
      <c r="P191" s="21"/>
      <c r="Q191" s="21"/>
      <c r="R191" s="23"/>
      <c r="S191" s="50"/>
      <c r="T191" s="48"/>
      <c r="U191" s="82"/>
      <c r="V191" s="26"/>
      <c r="W191" s="200"/>
      <c r="X191" s="17"/>
    </row>
    <row r="192" spans="2:24" x14ac:dyDescent="0.25">
      <c r="B192" s="17">
        <v>190</v>
      </c>
      <c r="C192" s="10"/>
      <c r="D192" s="10"/>
      <c r="E192" s="72"/>
      <c r="F192" s="18"/>
      <c r="G192" s="10"/>
      <c r="H192" s="10"/>
      <c r="I192" s="10"/>
      <c r="J192" s="11"/>
      <c r="K192" s="11">
        <f t="shared" si="193"/>
        <v>0</v>
      </c>
      <c r="L192" s="37">
        <f t="shared" si="194"/>
        <v>0</v>
      </c>
      <c r="M192" s="11"/>
      <c r="N192" s="10"/>
      <c r="O192" s="21"/>
      <c r="P192" s="21"/>
      <c r="Q192" s="21"/>
      <c r="R192" s="23"/>
      <c r="S192" s="50"/>
      <c r="T192" s="48"/>
      <c r="U192" s="82"/>
      <c r="V192" s="26"/>
      <c r="W192" s="200"/>
      <c r="X192" s="17"/>
    </row>
    <row r="193" spans="2:24" x14ac:dyDescent="0.25">
      <c r="B193" s="17">
        <v>191</v>
      </c>
      <c r="C193" s="10"/>
      <c r="D193" s="10"/>
      <c r="E193" s="72"/>
      <c r="F193" s="18"/>
      <c r="G193" s="10"/>
      <c r="H193" s="10"/>
      <c r="I193" s="10"/>
      <c r="J193" s="11"/>
      <c r="K193" s="11">
        <f t="shared" si="193"/>
        <v>0</v>
      </c>
      <c r="L193" s="37">
        <f t="shared" si="194"/>
        <v>0</v>
      </c>
      <c r="M193" s="11"/>
      <c r="N193" s="10"/>
      <c r="O193" s="21"/>
      <c r="P193" s="21"/>
      <c r="Q193" s="21"/>
      <c r="R193" s="23"/>
      <c r="S193" s="50"/>
      <c r="T193" s="48"/>
      <c r="U193" s="82"/>
      <c r="V193" s="32"/>
      <c r="W193" s="200"/>
      <c r="X193" s="17"/>
    </row>
    <row r="194" spans="2:24" x14ac:dyDescent="0.25">
      <c r="B194" s="17">
        <v>192</v>
      </c>
      <c r="C194" s="10"/>
      <c r="D194" s="10"/>
      <c r="E194" s="72"/>
      <c r="F194" s="18"/>
      <c r="G194" s="10"/>
      <c r="H194" s="10"/>
      <c r="I194" s="10"/>
      <c r="J194" s="11"/>
      <c r="K194" s="11">
        <f t="shared" si="193"/>
        <v>0</v>
      </c>
      <c r="L194" s="37">
        <f t="shared" si="194"/>
        <v>0</v>
      </c>
      <c r="M194" s="11"/>
      <c r="N194" s="10"/>
      <c r="O194" s="21"/>
      <c r="P194" s="21"/>
      <c r="Q194" s="21"/>
      <c r="R194" s="23"/>
      <c r="S194" s="50"/>
      <c r="T194" s="48"/>
      <c r="U194" s="82"/>
      <c r="V194" s="32"/>
      <c r="W194" s="200"/>
      <c r="X194" s="17"/>
    </row>
    <row r="195" spans="2:24" x14ac:dyDescent="0.25">
      <c r="B195" s="17">
        <v>193</v>
      </c>
      <c r="C195" s="10"/>
      <c r="D195" s="10"/>
      <c r="E195" s="72"/>
      <c r="F195" s="18"/>
      <c r="G195" s="10"/>
      <c r="H195" s="10"/>
      <c r="I195" s="10"/>
      <c r="J195" s="11"/>
      <c r="K195" s="11">
        <f t="shared" si="193"/>
        <v>0</v>
      </c>
      <c r="L195" s="37">
        <f t="shared" si="194"/>
        <v>0</v>
      </c>
      <c r="M195" s="11"/>
      <c r="N195" s="10"/>
      <c r="O195" s="21"/>
      <c r="P195" s="21"/>
      <c r="Q195" s="21"/>
      <c r="R195" s="23"/>
      <c r="S195" s="50"/>
      <c r="T195" s="48"/>
      <c r="U195" s="82"/>
      <c r="V195" s="26"/>
      <c r="W195" s="200"/>
      <c r="X195" s="17"/>
    </row>
    <row r="196" spans="2:24" x14ac:dyDescent="0.25">
      <c r="B196" s="17">
        <v>194</v>
      </c>
      <c r="C196" s="10"/>
      <c r="D196" s="10"/>
      <c r="E196" s="72"/>
      <c r="F196" s="18"/>
      <c r="G196" s="10"/>
      <c r="H196" s="10"/>
      <c r="I196" s="10"/>
      <c r="J196" s="11"/>
      <c r="K196" s="11">
        <f t="shared" ref="K196:K259" si="195">J196*1.1</f>
        <v>0</v>
      </c>
      <c r="L196" s="37">
        <f t="shared" ref="L196:L259" si="196">J196*0.00000001</f>
        <v>0</v>
      </c>
      <c r="M196" s="11"/>
      <c r="N196" s="10"/>
      <c r="O196" s="21"/>
      <c r="P196" s="21"/>
      <c r="Q196" s="21"/>
      <c r="R196" s="23"/>
      <c r="S196" s="50"/>
      <c r="T196" s="48"/>
      <c r="U196" s="82"/>
      <c r="V196" s="26"/>
      <c r="W196" s="200"/>
      <c r="X196" s="17"/>
    </row>
    <row r="197" spans="2:24" x14ac:dyDescent="0.25">
      <c r="B197" s="17">
        <v>195</v>
      </c>
      <c r="C197" s="10"/>
      <c r="D197" s="10"/>
      <c r="E197" s="72"/>
      <c r="F197" s="18"/>
      <c r="G197" s="10"/>
      <c r="H197" s="10"/>
      <c r="I197" s="10"/>
      <c r="J197" s="11"/>
      <c r="K197" s="11">
        <f t="shared" si="195"/>
        <v>0</v>
      </c>
      <c r="L197" s="37">
        <f t="shared" si="196"/>
        <v>0</v>
      </c>
      <c r="M197" s="11"/>
      <c r="N197" s="10"/>
      <c r="O197" s="21"/>
      <c r="P197" s="21"/>
      <c r="Q197" s="21"/>
      <c r="R197" s="23"/>
      <c r="S197" s="50"/>
      <c r="T197" s="48"/>
      <c r="U197" s="82"/>
      <c r="V197" s="26"/>
      <c r="W197" s="200"/>
      <c r="X197" s="17"/>
    </row>
    <row r="198" spans="2:24" x14ac:dyDescent="0.25">
      <c r="B198" s="17">
        <v>196</v>
      </c>
      <c r="C198" s="10"/>
      <c r="D198" s="10"/>
      <c r="E198" s="72"/>
      <c r="F198" s="18"/>
      <c r="G198" s="10"/>
      <c r="H198" s="10"/>
      <c r="I198" s="10"/>
      <c r="J198" s="11"/>
      <c r="K198" s="11">
        <f t="shared" si="195"/>
        <v>0</v>
      </c>
      <c r="L198" s="37">
        <f t="shared" si="196"/>
        <v>0</v>
      </c>
      <c r="M198" s="11"/>
      <c r="N198" s="10"/>
      <c r="O198" s="21"/>
      <c r="P198" s="21"/>
      <c r="Q198" s="21"/>
      <c r="R198" s="23"/>
      <c r="S198" s="50"/>
      <c r="T198" s="48"/>
      <c r="U198" s="82"/>
      <c r="V198" s="26"/>
      <c r="W198" s="200"/>
      <c r="X198" s="17"/>
    </row>
    <row r="199" spans="2:24" x14ac:dyDescent="0.25">
      <c r="B199" s="17">
        <v>197</v>
      </c>
      <c r="C199" s="10"/>
      <c r="D199" s="10"/>
      <c r="E199" s="72"/>
      <c r="F199" s="18"/>
      <c r="G199" s="10"/>
      <c r="H199" s="10"/>
      <c r="I199" s="10"/>
      <c r="J199" s="11"/>
      <c r="K199" s="11">
        <f t="shared" si="195"/>
        <v>0</v>
      </c>
      <c r="L199" s="37">
        <f t="shared" si="196"/>
        <v>0</v>
      </c>
      <c r="M199" s="11"/>
      <c r="N199" s="10"/>
      <c r="O199" s="21"/>
      <c r="P199" s="21"/>
      <c r="Q199" s="21"/>
      <c r="R199" s="23"/>
      <c r="S199" s="50"/>
      <c r="T199" s="48"/>
      <c r="U199" s="82"/>
      <c r="V199" s="26"/>
      <c r="W199" s="200"/>
      <c r="X199" s="17"/>
    </row>
    <row r="200" spans="2:24" x14ac:dyDescent="0.25">
      <c r="B200" s="17">
        <v>198</v>
      </c>
      <c r="C200" s="10"/>
      <c r="D200" s="10"/>
      <c r="E200" s="72"/>
      <c r="F200" s="18"/>
      <c r="G200" s="10"/>
      <c r="H200" s="10"/>
      <c r="I200" s="10"/>
      <c r="J200" s="11"/>
      <c r="K200" s="11">
        <f t="shared" si="195"/>
        <v>0</v>
      </c>
      <c r="L200" s="37">
        <f t="shared" si="196"/>
        <v>0</v>
      </c>
      <c r="M200" s="11"/>
      <c r="N200" s="10"/>
      <c r="O200" s="21"/>
      <c r="P200" s="21"/>
      <c r="Q200" s="21"/>
      <c r="R200" s="23"/>
      <c r="S200" s="50"/>
      <c r="T200" s="48"/>
      <c r="U200" s="82"/>
      <c r="V200" s="32"/>
      <c r="W200" s="200"/>
      <c r="X200" s="17"/>
    </row>
    <row r="201" spans="2:24" x14ac:dyDescent="0.25">
      <c r="B201" s="17">
        <v>199</v>
      </c>
      <c r="C201" s="10"/>
      <c r="D201" s="10"/>
      <c r="E201" s="72"/>
      <c r="F201" s="18"/>
      <c r="G201" s="10"/>
      <c r="H201" s="10"/>
      <c r="I201" s="10"/>
      <c r="J201" s="11"/>
      <c r="K201" s="11">
        <f t="shared" si="195"/>
        <v>0</v>
      </c>
      <c r="L201" s="37">
        <f t="shared" si="196"/>
        <v>0</v>
      </c>
      <c r="M201" s="11"/>
      <c r="N201" s="10"/>
      <c r="O201" s="21"/>
      <c r="P201" s="21"/>
      <c r="Q201" s="21"/>
      <c r="R201" s="23"/>
      <c r="S201" s="50"/>
      <c r="T201" s="48"/>
      <c r="U201" s="82"/>
      <c r="V201" s="32"/>
      <c r="W201" s="200"/>
      <c r="X201" s="17"/>
    </row>
    <row r="202" spans="2:24" x14ac:dyDescent="0.25">
      <c r="B202" s="17">
        <v>200</v>
      </c>
      <c r="C202" s="10"/>
      <c r="D202" s="10"/>
      <c r="E202" s="72"/>
      <c r="F202" s="18"/>
      <c r="G202" s="10"/>
      <c r="H202" s="10"/>
      <c r="I202" s="10"/>
      <c r="J202" s="11"/>
      <c r="K202" s="11">
        <f t="shared" si="195"/>
        <v>0</v>
      </c>
      <c r="L202" s="37">
        <f t="shared" si="196"/>
        <v>0</v>
      </c>
      <c r="M202" s="11"/>
      <c r="N202" s="10"/>
      <c r="O202" s="21"/>
      <c r="P202" s="21"/>
      <c r="Q202" s="21"/>
      <c r="R202" s="23"/>
      <c r="S202" s="50"/>
      <c r="T202" s="48"/>
      <c r="U202" s="82"/>
      <c r="V202" s="32"/>
      <c r="W202" s="200"/>
      <c r="X202" s="17"/>
    </row>
    <row r="203" spans="2:24" x14ac:dyDescent="0.25">
      <c r="B203" s="17">
        <v>201</v>
      </c>
      <c r="C203" s="10"/>
      <c r="D203" s="10"/>
      <c r="E203" s="72"/>
      <c r="F203" s="18"/>
      <c r="G203" s="10"/>
      <c r="H203" s="10"/>
      <c r="I203" s="10"/>
      <c r="J203" s="11"/>
      <c r="K203" s="11">
        <f t="shared" si="195"/>
        <v>0</v>
      </c>
      <c r="L203" s="37">
        <f t="shared" si="196"/>
        <v>0</v>
      </c>
      <c r="M203" s="11"/>
      <c r="N203" s="10"/>
      <c r="O203" s="21"/>
      <c r="P203" s="21"/>
      <c r="Q203" s="21"/>
      <c r="R203" s="23"/>
      <c r="S203" s="50"/>
      <c r="T203" s="48"/>
      <c r="U203" s="82"/>
      <c r="V203" s="32"/>
      <c r="W203" s="200"/>
      <c r="X203" s="17"/>
    </row>
    <row r="204" spans="2:24" x14ac:dyDescent="0.25">
      <c r="B204" s="17">
        <v>202</v>
      </c>
      <c r="C204" s="10"/>
      <c r="D204" s="10"/>
      <c r="E204" s="72"/>
      <c r="F204" s="18"/>
      <c r="G204" s="10"/>
      <c r="H204" s="10"/>
      <c r="I204" s="10"/>
      <c r="J204" s="11"/>
      <c r="K204" s="11">
        <f t="shared" si="195"/>
        <v>0</v>
      </c>
      <c r="L204" s="37">
        <f t="shared" si="196"/>
        <v>0</v>
      </c>
      <c r="M204" s="11"/>
      <c r="N204" s="10"/>
      <c r="O204" s="21"/>
      <c r="P204" s="21"/>
      <c r="Q204" s="21"/>
      <c r="R204" s="23"/>
      <c r="S204" s="50"/>
      <c r="T204" s="48"/>
      <c r="U204" s="82"/>
      <c r="V204" s="26"/>
      <c r="W204" s="200"/>
      <c r="X204" s="17"/>
    </row>
    <row r="205" spans="2:24" x14ac:dyDescent="0.25">
      <c r="B205" s="17">
        <v>203</v>
      </c>
      <c r="C205" s="10"/>
      <c r="D205" s="10"/>
      <c r="E205" s="72"/>
      <c r="F205" s="18"/>
      <c r="G205" s="10"/>
      <c r="H205" s="10"/>
      <c r="I205" s="10"/>
      <c r="J205" s="11"/>
      <c r="K205" s="11">
        <f t="shared" si="195"/>
        <v>0</v>
      </c>
      <c r="L205" s="37">
        <f t="shared" si="196"/>
        <v>0</v>
      </c>
      <c r="M205" s="11"/>
      <c r="N205" s="10"/>
      <c r="O205" s="21"/>
      <c r="P205" s="21"/>
      <c r="Q205" s="21"/>
      <c r="R205" s="23"/>
      <c r="S205" s="50"/>
      <c r="T205" s="48"/>
      <c r="U205" s="82"/>
      <c r="V205" s="26"/>
      <c r="W205" s="200"/>
      <c r="X205" s="17"/>
    </row>
    <row r="206" spans="2:24" x14ac:dyDescent="0.25">
      <c r="B206" s="17">
        <v>204</v>
      </c>
      <c r="C206" s="10"/>
      <c r="D206" s="10"/>
      <c r="E206" s="72"/>
      <c r="F206" s="18"/>
      <c r="G206" s="10"/>
      <c r="H206" s="10"/>
      <c r="I206" s="10"/>
      <c r="J206" s="11"/>
      <c r="K206" s="11">
        <f t="shared" si="195"/>
        <v>0</v>
      </c>
      <c r="L206" s="37">
        <f t="shared" si="196"/>
        <v>0</v>
      </c>
      <c r="M206" s="11"/>
      <c r="N206" s="10"/>
      <c r="O206" s="21"/>
      <c r="P206" s="21"/>
      <c r="Q206" s="21"/>
      <c r="R206" s="23"/>
      <c r="S206" s="50"/>
      <c r="T206" s="48"/>
      <c r="U206" s="82"/>
      <c r="V206" s="26"/>
      <c r="W206" s="200"/>
      <c r="X206" s="17"/>
    </row>
    <row r="207" spans="2:24" x14ac:dyDescent="0.25">
      <c r="B207" s="17">
        <v>205</v>
      </c>
      <c r="C207" s="10"/>
      <c r="D207" s="10"/>
      <c r="E207" s="72"/>
      <c r="F207" s="18"/>
      <c r="G207" s="10"/>
      <c r="H207" s="10"/>
      <c r="I207" s="10"/>
      <c r="J207" s="11"/>
      <c r="K207" s="11">
        <f t="shared" si="195"/>
        <v>0</v>
      </c>
      <c r="L207" s="37">
        <f t="shared" si="196"/>
        <v>0</v>
      </c>
      <c r="M207" s="11"/>
      <c r="N207" s="10"/>
      <c r="O207" s="21"/>
      <c r="P207" s="21"/>
      <c r="Q207" s="21"/>
      <c r="R207" s="23"/>
      <c r="S207" s="50"/>
      <c r="T207" s="48"/>
      <c r="U207" s="82"/>
      <c r="V207" s="26"/>
      <c r="W207" s="200"/>
      <c r="X207" s="17"/>
    </row>
    <row r="208" spans="2:24" x14ac:dyDescent="0.25">
      <c r="B208" s="17">
        <v>206</v>
      </c>
      <c r="C208" s="10"/>
      <c r="D208" s="10"/>
      <c r="E208" s="72"/>
      <c r="F208" s="18"/>
      <c r="G208" s="10"/>
      <c r="H208" s="10"/>
      <c r="I208" s="10"/>
      <c r="J208" s="11"/>
      <c r="K208" s="11">
        <f t="shared" si="195"/>
        <v>0</v>
      </c>
      <c r="L208" s="37">
        <f t="shared" si="196"/>
        <v>0</v>
      </c>
      <c r="M208" s="11"/>
      <c r="N208" s="10"/>
      <c r="O208" s="21"/>
      <c r="P208" s="21"/>
      <c r="Q208" s="21"/>
      <c r="R208" s="23"/>
      <c r="S208" s="50"/>
      <c r="T208" s="48"/>
      <c r="U208" s="82"/>
      <c r="V208" s="26"/>
      <c r="W208" s="200"/>
      <c r="X208" s="17"/>
    </row>
    <row r="209" spans="2:24" x14ac:dyDescent="0.25">
      <c r="B209" s="17">
        <v>207</v>
      </c>
      <c r="C209" s="10"/>
      <c r="D209" s="10"/>
      <c r="E209" s="72"/>
      <c r="F209" s="18"/>
      <c r="G209" s="10"/>
      <c r="H209" s="10"/>
      <c r="I209" s="10"/>
      <c r="J209" s="11"/>
      <c r="K209" s="11">
        <f t="shared" si="195"/>
        <v>0</v>
      </c>
      <c r="L209" s="37">
        <f t="shared" si="196"/>
        <v>0</v>
      </c>
      <c r="M209" s="11"/>
      <c r="N209" s="10"/>
      <c r="O209" s="21"/>
      <c r="P209" s="21"/>
      <c r="Q209" s="21"/>
      <c r="R209" s="23"/>
      <c r="S209" s="50"/>
      <c r="T209" s="48"/>
      <c r="U209" s="82"/>
      <c r="V209" s="32"/>
      <c r="W209" s="200"/>
      <c r="X209" s="17"/>
    </row>
    <row r="210" spans="2:24" x14ac:dyDescent="0.25">
      <c r="B210" s="17">
        <v>208</v>
      </c>
      <c r="C210" s="10"/>
      <c r="D210" s="10"/>
      <c r="E210" s="72"/>
      <c r="F210" s="18"/>
      <c r="G210" s="10"/>
      <c r="H210" s="10"/>
      <c r="I210" s="10"/>
      <c r="J210" s="11"/>
      <c r="K210" s="11">
        <f t="shared" si="195"/>
        <v>0</v>
      </c>
      <c r="L210" s="37">
        <f t="shared" si="196"/>
        <v>0</v>
      </c>
      <c r="M210" s="11"/>
      <c r="N210" s="10"/>
      <c r="O210" s="21"/>
      <c r="P210" s="21"/>
      <c r="Q210" s="21"/>
      <c r="R210" s="23"/>
      <c r="S210" s="50"/>
      <c r="T210" s="48"/>
      <c r="U210" s="82"/>
      <c r="V210" s="32"/>
      <c r="W210" s="200"/>
      <c r="X210" s="17"/>
    </row>
    <row r="211" spans="2:24" x14ac:dyDescent="0.25">
      <c r="B211" s="17">
        <v>209</v>
      </c>
      <c r="C211" s="10"/>
      <c r="D211" s="10"/>
      <c r="E211" s="72"/>
      <c r="F211" s="18"/>
      <c r="G211" s="10"/>
      <c r="H211" s="10"/>
      <c r="I211" s="10"/>
      <c r="J211" s="11"/>
      <c r="K211" s="11">
        <f t="shared" si="195"/>
        <v>0</v>
      </c>
      <c r="L211" s="37">
        <f t="shared" si="196"/>
        <v>0</v>
      </c>
      <c r="M211" s="11"/>
      <c r="N211" s="10"/>
      <c r="O211" s="21"/>
      <c r="P211" s="21"/>
      <c r="Q211" s="21"/>
      <c r="R211" s="23"/>
      <c r="S211" s="50"/>
      <c r="T211" s="48"/>
      <c r="U211" s="82"/>
      <c r="V211" s="26"/>
      <c r="W211" s="200"/>
      <c r="X211" s="17"/>
    </row>
    <row r="212" spans="2:24" x14ac:dyDescent="0.25">
      <c r="B212" s="17">
        <v>210</v>
      </c>
      <c r="C212" s="10"/>
      <c r="D212" s="10"/>
      <c r="E212" s="72"/>
      <c r="F212" s="18"/>
      <c r="G212" s="10"/>
      <c r="H212" s="10"/>
      <c r="I212" s="10"/>
      <c r="J212" s="11"/>
      <c r="K212" s="11">
        <f t="shared" si="195"/>
        <v>0</v>
      </c>
      <c r="L212" s="37">
        <f t="shared" si="196"/>
        <v>0</v>
      </c>
      <c r="M212" s="11"/>
      <c r="N212" s="10"/>
      <c r="O212" s="21"/>
      <c r="P212" s="21"/>
      <c r="Q212" s="21"/>
      <c r="R212" s="23"/>
      <c r="S212" s="50"/>
      <c r="T212" s="48"/>
      <c r="U212" s="82"/>
      <c r="V212" s="26"/>
      <c r="W212" s="200"/>
      <c r="X212" s="17"/>
    </row>
    <row r="213" spans="2:24" x14ac:dyDescent="0.25">
      <c r="B213" s="17">
        <v>211</v>
      </c>
      <c r="C213" s="10"/>
      <c r="D213" s="10"/>
      <c r="E213" s="72"/>
      <c r="F213" s="18"/>
      <c r="G213" s="10"/>
      <c r="H213" s="10"/>
      <c r="I213" s="10"/>
      <c r="J213" s="11"/>
      <c r="K213" s="11">
        <f t="shared" si="195"/>
        <v>0</v>
      </c>
      <c r="L213" s="37">
        <f t="shared" si="196"/>
        <v>0</v>
      </c>
      <c r="M213" s="11"/>
      <c r="N213" s="10"/>
      <c r="O213" s="21"/>
      <c r="P213" s="21"/>
      <c r="Q213" s="21"/>
      <c r="R213" s="23"/>
      <c r="S213" s="50"/>
      <c r="T213" s="48"/>
      <c r="U213" s="82"/>
      <c r="V213" s="26"/>
      <c r="W213" s="200"/>
      <c r="X213" s="17"/>
    </row>
    <row r="214" spans="2:24" x14ac:dyDescent="0.25">
      <c r="B214" s="17">
        <v>212</v>
      </c>
      <c r="C214" s="10"/>
      <c r="D214" s="10"/>
      <c r="E214" s="72"/>
      <c r="F214" s="18"/>
      <c r="G214" s="10"/>
      <c r="H214" s="10"/>
      <c r="I214" s="10"/>
      <c r="J214" s="11"/>
      <c r="K214" s="11">
        <f t="shared" si="195"/>
        <v>0</v>
      </c>
      <c r="L214" s="37">
        <f t="shared" si="196"/>
        <v>0</v>
      </c>
      <c r="M214" s="11"/>
      <c r="N214" s="10"/>
      <c r="O214" s="21"/>
      <c r="P214" s="21"/>
      <c r="Q214" s="21"/>
      <c r="R214" s="23"/>
      <c r="S214" s="50"/>
      <c r="T214" s="48"/>
      <c r="U214" s="82"/>
      <c r="V214" s="26"/>
      <c r="W214" s="200"/>
      <c r="X214" s="17"/>
    </row>
    <row r="215" spans="2:24" x14ac:dyDescent="0.25">
      <c r="B215" s="17">
        <v>213</v>
      </c>
      <c r="C215" s="10"/>
      <c r="D215" s="10"/>
      <c r="E215" s="72"/>
      <c r="F215" s="18"/>
      <c r="G215" s="10"/>
      <c r="H215" s="10"/>
      <c r="I215" s="10"/>
      <c r="J215" s="11"/>
      <c r="K215" s="11">
        <f t="shared" si="195"/>
        <v>0</v>
      </c>
      <c r="L215" s="37">
        <f t="shared" si="196"/>
        <v>0</v>
      </c>
      <c r="M215" s="11"/>
      <c r="N215" s="10"/>
      <c r="O215" s="21"/>
      <c r="P215" s="21"/>
      <c r="Q215" s="21"/>
      <c r="R215" s="23"/>
      <c r="S215" s="50"/>
      <c r="T215" s="48"/>
      <c r="U215" s="82"/>
      <c r="V215" s="26"/>
      <c r="W215" s="200"/>
      <c r="X215" s="17"/>
    </row>
    <row r="216" spans="2:24" x14ac:dyDescent="0.25">
      <c r="B216" s="17">
        <v>214</v>
      </c>
      <c r="C216" s="10"/>
      <c r="D216" s="10"/>
      <c r="E216" s="72"/>
      <c r="F216" s="18"/>
      <c r="G216" s="10"/>
      <c r="H216" s="10"/>
      <c r="I216" s="10"/>
      <c r="J216" s="11"/>
      <c r="K216" s="11">
        <f t="shared" si="195"/>
        <v>0</v>
      </c>
      <c r="L216" s="37">
        <f t="shared" si="196"/>
        <v>0</v>
      </c>
      <c r="M216" s="11"/>
      <c r="N216" s="10"/>
      <c r="O216" s="21"/>
      <c r="P216" s="21"/>
      <c r="Q216" s="21"/>
      <c r="R216" s="23"/>
      <c r="S216" s="50"/>
      <c r="T216" s="48"/>
      <c r="U216" s="82"/>
      <c r="V216" s="32"/>
      <c r="W216" s="200"/>
      <c r="X216" s="17"/>
    </row>
    <row r="217" spans="2:24" x14ac:dyDescent="0.25">
      <c r="B217" s="17">
        <v>215</v>
      </c>
      <c r="C217" s="10"/>
      <c r="D217" s="10"/>
      <c r="E217" s="72"/>
      <c r="F217" s="18"/>
      <c r="G217" s="10"/>
      <c r="H217" s="10"/>
      <c r="I217" s="10"/>
      <c r="J217" s="11"/>
      <c r="K217" s="11">
        <f t="shared" si="195"/>
        <v>0</v>
      </c>
      <c r="L217" s="37">
        <f t="shared" si="196"/>
        <v>0</v>
      </c>
      <c r="M217" s="11"/>
      <c r="N217" s="10"/>
      <c r="O217" s="21"/>
      <c r="P217" s="21"/>
      <c r="Q217" s="21"/>
      <c r="R217" s="23"/>
      <c r="S217" s="50"/>
      <c r="T217" s="48"/>
      <c r="U217" s="82"/>
      <c r="V217" s="32"/>
      <c r="W217" s="200"/>
      <c r="X217" s="17"/>
    </row>
    <row r="218" spans="2:24" x14ac:dyDescent="0.25">
      <c r="B218" s="17">
        <v>216</v>
      </c>
      <c r="C218" s="10"/>
      <c r="D218" s="10"/>
      <c r="E218" s="72"/>
      <c r="F218" s="18"/>
      <c r="G218" s="10"/>
      <c r="H218" s="10"/>
      <c r="I218" s="10"/>
      <c r="J218" s="11"/>
      <c r="K218" s="11">
        <f t="shared" si="195"/>
        <v>0</v>
      </c>
      <c r="L218" s="37">
        <f t="shared" si="196"/>
        <v>0</v>
      </c>
      <c r="M218" s="11"/>
      <c r="N218" s="10"/>
      <c r="O218" s="21"/>
      <c r="P218" s="21"/>
      <c r="Q218" s="21"/>
      <c r="R218" s="23"/>
      <c r="S218" s="50"/>
      <c r="T218" s="48"/>
      <c r="U218" s="82"/>
      <c r="V218" s="32"/>
      <c r="W218" s="200"/>
      <c r="X218" s="17"/>
    </row>
    <row r="219" spans="2:24" x14ac:dyDescent="0.25">
      <c r="B219" s="17">
        <v>217</v>
      </c>
      <c r="C219" s="10"/>
      <c r="D219" s="10"/>
      <c r="E219" s="72"/>
      <c r="F219" s="18"/>
      <c r="G219" s="10"/>
      <c r="H219" s="10"/>
      <c r="I219" s="10"/>
      <c r="J219" s="11"/>
      <c r="K219" s="11">
        <f t="shared" si="195"/>
        <v>0</v>
      </c>
      <c r="L219" s="37">
        <f t="shared" si="196"/>
        <v>0</v>
      </c>
      <c r="M219" s="11"/>
      <c r="N219" s="10"/>
      <c r="O219" s="21"/>
      <c r="P219" s="21"/>
      <c r="Q219" s="21"/>
      <c r="R219" s="23"/>
      <c r="S219" s="50"/>
      <c r="T219" s="48"/>
      <c r="U219" s="82"/>
      <c r="V219" s="32"/>
      <c r="W219" s="200"/>
      <c r="X219" s="17"/>
    </row>
    <row r="220" spans="2:24" x14ac:dyDescent="0.25">
      <c r="B220" s="17">
        <v>218</v>
      </c>
      <c r="C220" s="10"/>
      <c r="D220" s="10"/>
      <c r="E220" s="72"/>
      <c r="F220" s="18"/>
      <c r="G220" s="10"/>
      <c r="H220" s="10"/>
      <c r="I220" s="10"/>
      <c r="J220" s="11"/>
      <c r="K220" s="11">
        <f t="shared" si="195"/>
        <v>0</v>
      </c>
      <c r="L220" s="37">
        <f t="shared" si="196"/>
        <v>0</v>
      </c>
      <c r="M220" s="11"/>
      <c r="N220" s="10"/>
      <c r="O220" s="21"/>
      <c r="P220" s="21"/>
      <c r="Q220" s="21"/>
      <c r="R220" s="23"/>
      <c r="S220" s="50"/>
      <c r="T220" s="48"/>
      <c r="U220" s="82"/>
      <c r="V220" s="26"/>
      <c r="W220" s="200"/>
      <c r="X220" s="17"/>
    </row>
    <row r="221" spans="2:24" x14ac:dyDescent="0.25">
      <c r="B221" s="17">
        <v>219</v>
      </c>
      <c r="C221" s="10"/>
      <c r="D221" s="10"/>
      <c r="E221" s="72"/>
      <c r="F221" s="18"/>
      <c r="G221" s="10"/>
      <c r="H221" s="10"/>
      <c r="I221" s="10"/>
      <c r="J221" s="11"/>
      <c r="K221" s="11">
        <f t="shared" si="195"/>
        <v>0</v>
      </c>
      <c r="L221" s="37">
        <f t="shared" si="196"/>
        <v>0</v>
      </c>
      <c r="M221" s="11"/>
      <c r="N221" s="10"/>
      <c r="O221" s="21"/>
      <c r="P221" s="21"/>
      <c r="Q221" s="21"/>
      <c r="R221" s="23"/>
      <c r="S221" s="50"/>
      <c r="T221" s="48"/>
      <c r="U221" s="82"/>
      <c r="V221" s="26"/>
      <c r="W221" s="200"/>
      <c r="X221" s="17"/>
    </row>
    <row r="222" spans="2:24" x14ac:dyDescent="0.25">
      <c r="B222" s="17">
        <v>220</v>
      </c>
      <c r="C222" s="10"/>
      <c r="D222" s="10"/>
      <c r="E222" s="72"/>
      <c r="F222" s="18"/>
      <c r="G222" s="10"/>
      <c r="H222" s="10"/>
      <c r="I222" s="10"/>
      <c r="J222" s="11"/>
      <c r="K222" s="11">
        <f t="shared" si="195"/>
        <v>0</v>
      </c>
      <c r="L222" s="37">
        <f t="shared" si="196"/>
        <v>0</v>
      </c>
      <c r="M222" s="11"/>
      <c r="N222" s="10"/>
      <c r="O222" s="21"/>
      <c r="P222" s="21"/>
      <c r="Q222" s="21"/>
      <c r="R222" s="23"/>
      <c r="S222" s="50"/>
      <c r="T222" s="48"/>
      <c r="U222" s="82"/>
      <c r="V222" s="26"/>
      <c r="W222" s="200"/>
      <c r="X222" s="17"/>
    </row>
    <row r="223" spans="2:24" x14ac:dyDescent="0.25">
      <c r="B223" s="17">
        <v>221</v>
      </c>
      <c r="C223" s="10"/>
      <c r="D223" s="10"/>
      <c r="E223" s="72"/>
      <c r="F223" s="18"/>
      <c r="G223" s="10"/>
      <c r="H223" s="10"/>
      <c r="I223" s="10"/>
      <c r="J223" s="11"/>
      <c r="K223" s="11">
        <f t="shared" si="195"/>
        <v>0</v>
      </c>
      <c r="L223" s="37">
        <f t="shared" si="196"/>
        <v>0</v>
      </c>
      <c r="M223" s="11"/>
      <c r="N223" s="10"/>
      <c r="O223" s="21"/>
      <c r="P223" s="21"/>
      <c r="Q223" s="21"/>
      <c r="R223" s="23"/>
      <c r="S223" s="50"/>
      <c r="T223" s="48"/>
      <c r="U223" s="82"/>
      <c r="V223" s="26"/>
      <c r="W223" s="200"/>
      <c r="X223" s="17"/>
    </row>
    <row r="224" spans="2:24" x14ac:dyDescent="0.25">
      <c r="B224" s="17">
        <v>222</v>
      </c>
      <c r="C224" s="10"/>
      <c r="D224" s="10"/>
      <c r="E224" s="72"/>
      <c r="F224" s="18"/>
      <c r="G224" s="10"/>
      <c r="H224" s="10"/>
      <c r="I224" s="10"/>
      <c r="J224" s="11"/>
      <c r="K224" s="11">
        <f t="shared" si="195"/>
        <v>0</v>
      </c>
      <c r="L224" s="37">
        <f t="shared" si="196"/>
        <v>0</v>
      </c>
      <c r="M224" s="11"/>
      <c r="N224" s="10"/>
      <c r="O224" s="21"/>
      <c r="P224" s="21"/>
      <c r="Q224" s="21"/>
      <c r="R224" s="23"/>
      <c r="S224" s="50"/>
      <c r="T224" s="48"/>
      <c r="U224" s="82"/>
      <c r="V224" s="26"/>
      <c r="W224" s="200"/>
      <c r="X224" s="17"/>
    </row>
    <row r="225" spans="2:24" x14ac:dyDescent="0.25">
      <c r="B225" s="17">
        <v>223</v>
      </c>
      <c r="C225" s="10"/>
      <c r="D225" s="10"/>
      <c r="E225" s="72"/>
      <c r="F225" s="18"/>
      <c r="G225" s="10"/>
      <c r="H225" s="10"/>
      <c r="I225" s="10"/>
      <c r="J225" s="11"/>
      <c r="K225" s="11">
        <f t="shared" si="195"/>
        <v>0</v>
      </c>
      <c r="L225" s="37">
        <f t="shared" si="196"/>
        <v>0</v>
      </c>
      <c r="M225" s="11"/>
      <c r="N225" s="10"/>
      <c r="O225" s="21"/>
      <c r="P225" s="21"/>
      <c r="Q225" s="21"/>
      <c r="R225" s="23"/>
      <c r="S225" s="50"/>
      <c r="T225" s="48"/>
      <c r="U225" s="82"/>
      <c r="V225" s="32"/>
      <c r="W225" s="200"/>
      <c r="X225" s="17"/>
    </row>
    <row r="226" spans="2:24" x14ac:dyDescent="0.25">
      <c r="B226" s="17">
        <v>224</v>
      </c>
      <c r="C226" s="10"/>
      <c r="D226" s="10"/>
      <c r="E226" s="72"/>
      <c r="F226" s="18"/>
      <c r="G226" s="10"/>
      <c r="H226" s="10"/>
      <c r="I226" s="10"/>
      <c r="J226" s="11"/>
      <c r="K226" s="11">
        <f t="shared" si="195"/>
        <v>0</v>
      </c>
      <c r="L226" s="37">
        <f t="shared" si="196"/>
        <v>0</v>
      </c>
      <c r="M226" s="11"/>
      <c r="N226" s="10"/>
      <c r="O226" s="21"/>
      <c r="P226" s="21"/>
      <c r="Q226" s="21"/>
      <c r="R226" s="23"/>
      <c r="S226" s="50"/>
      <c r="T226" s="48"/>
      <c r="U226" s="82"/>
      <c r="V226" s="32"/>
      <c r="W226" s="200"/>
      <c r="X226" s="17"/>
    </row>
    <row r="227" spans="2:24" x14ac:dyDescent="0.25">
      <c r="B227" s="17">
        <v>225</v>
      </c>
      <c r="C227" s="10"/>
      <c r="D227" s="10"/>
      <c r="E227" s="72"/>
      <c r="F227" s="18"/>
      <c r="G227" s="10"/>
      <c r="H227" s="10"/>
      <c r="I227" s="10"/>
      <c r="J227" s="11"/>
      <c r="K227" s="11">
        <f t="shared" si="195"/>
        <v>0</v>
      </c>
      <c r="L227" s="37">
        <f t="shared" si="196"/>
        <v>0</v>
      </c>
      <c r="M227" s="11"/>
      <c r="N227" s="10"/>
      <c r="O227" s="21"/>
      <c r="P227" s="21"/>
      <c r="Q227" s="21"/>
      <c r="R227" s="23"/>
      <c r="S227" s="50"/>
      <c r="T227" s="48"/>
      <c r="U227" s="82"/>
      <c r="V227" s="26"/>
      <c r="W227" s="200"/>
      <c r="X227" s="17"/>
    </row>
    <row r="228" spans="2:24" x14ac:dyDescent="0.25">
      <c r="B228" s="17">
        <v>226</v>
      </c>
      <c r="C228" s="10"/>
      <c r="D228" s="10"/>
      <c r="E228" s="72"/>
      <c r="F228" s="18"/>
      <c r="G228" s="10"/>
      <c r="H228" s="10"/>
      <c r="I228" s="10"/>
      <c r="J228" s="11"/>
      <c r="K228" s="11">
        <f t="shared" si="195"/>
        <v>0</v>
      </c>
      <c r="L228" s="37">
        <f t="shared" si="196"/>
        <v>0</v>
      </c>
      <c r="M228" s="11"/>
      <c r="N228" s="10"/>
      <c r="O228" s="21"/>
      <c r="P228" s="21"/>
      <c r="Q228" s="21"/>
      <c r="R228" s="23"/>
      <c r="S228" s="50"/>
      <c r="T228" s="48"/>
      <c r="U228" s="82"/>
      <c r="V228" s="26"/>
      <c r="W228" s="200"/>
      <c r="X228" s="17"/>
    </row>
    <row r="229" spans="2:24" x14ac:dyDescent="0.25">
      <c r="B229" s="17">
        <v>227</v>
      </c>
      <c r="C229" s="10"/>
      <c r="D229" s="10"/>
      <c r="E229" s="72"/>
      <c r="F229" s="18"/>
      <c r="G229" s="10"/>
      <c r="H229" s="10"/>
      <c r="I229" s="10"/>
      <c r="J229" s="11"/>
      <c r="K229" s="11">
        <f t="shared" si="195"/>
        <v>0</v>
      </c>
      <c r="L229" s="37">
        <f t="shared" si="196"/>
        <v>0</v>
      </c>
      <c r="M229" s="11"/>
      <c r="N229" s="10"/>
      <c r="O229" s="21"/>
      <c r="P229" s="21"/>
      <c r="Q229" s="21"/>
      <c r="R229" s="23"/>
      <c r="S229" s="50"/>
      <c r="T229" s="48"/>
      <c r="U229" s="82"/>
      <c r="V229" s="26"/>
      <c r="W229" s="200"/>
      <c r="X229" s="17"/>
    </row>
    <row r="230" spans="2:24" x14ac:dyDescent="0.25">
      <c r="B230" s="17">
        <v>228</v>
      </c>
      <c r="C230" s="10"/>
      <c r="D230" s="10"/>
      <c r="E230" s="72"/>
      <c r="F230" s="18"/>
      <c r="G230" s="10"/>
      <c r="H230" s="10"/>
      <c r="I230" s="10"/>
      <c r="J230" s="11"/>
      <c r="K230" s="11">
        <f t="shared" si="195"/>
        <v>0</v>
      </c>
      <c r="L230" s="37">
        <f t="shared" si="196"/>
        <v>0</v>
      </c>
      <c r="M230" s="11"/>
      <c r="N230" s="10"/>
      <c r="O230" s="21"/>
      <c r="P230" s="21"/>
      <c r="Q230" s="21"/>
      <c r="R230" s="23"/>
      <c r="S230" s="50"/>
      <c r="T230" s="48"/>
      <c r="U230" s="82"/>
      <c r="V230" s="26"/>
      <c r="W230" s="200"/>
      <c r="X230" s="17"/>
    </row>
    <row r="231" spans="2:24" x14ac:dyDescent="0.25">
      <c r="B231" s="17">
        <v>229</v>
      </c>
      <c r="C231" s="10"/>
      <c r="D231" s="10"/>
      <c r="E231" s="72"/>
      <c r="F231" s="18"/>
      <c r="G231" s="10"/>
      <c r="H231" s="10"/>
      <c r="I231" s="10"/>
      <c r="J231" s="11"/>
      <c r="K231" s="11">
        <f t="shared" si="195"/>
        <v>0</v>
      </c>
      <c r="L231" s="37">
        <f t="shared" si="196"/>
        <v>0</v>
      </c>
      <c r="M231" s="11"/>
      <c r="N231" s="10"/>
      <c r="O231" s="21"/>
      <c r="P231" s="21"/>
      <c r="Q231" s="21"/>
      <c r="R231" s="23"/>
      <c r="S231" s="50"/>
      <c r="T231" s="48"/>
      <c r="U231" s="82"/>
      <c r="V231" s="32"/>
      <c r="W231" s="200"/>
      <c r="X231" s="17"/>
    </row>
    <row r="232" spans="2:24" x14ac:dyDescent="0.25">
      <c r="B232" s="17">
        <v>230</v>
      </c>
      <c r="C232" s="10"/>
      <c r="D232" s="10"/>
      <c r="E232" s="72"/>
      <c r="F232" s="18"/>
      <c r="G232" s="10"/>
      <c r="H232" s="10"/>
      <c r="I232" s="10"/>
      <c r="J232" s="11"/>
      <c r="K232" s="11">
        <f t="shared" si="195"/>
        <v>0</v>
      </c>
      <c r="L232" s="37">
        <f t="shared" si="196"/>
        <v>0</v>
      </c>
      <c r="M232" s="11"/>
      <c r="N232" s="10"/>
      <c r="O232" s="21"/>
      <c r="P232" s="21"/>
      <c r="Q232" s="21"/>
      <c r="R232" s="23"/>
      <c r="S232" s="50"/>
      <c r="T232" s="48"/>
      <c r="U232" s="82"/>
      <c r="V232" s="32"/>
      <c r="W232" s="200"/>
      <c r="X232" s="17"/>
    </row>
    <row r="233" spans="2:24" x14ac:dyDescent="0.25">
      <c r="B233" s="17">
        <v>231</v>
      </c>
      <c r="C233" s="10"/>
      <c r="D233" s="10"/>
      <c r="E233" s="72"/>
      <c r="F233" s="18"/>
      <c r="G233" s="10"/>
      <c r="H233" s="10"/>
      <c r="I233" s="10"/>
      <c r="J233" s="11"/>
      <c r="K233" s="11">
        <f t="shared" si="195"/>
        <v>0</v>
      </c>
      <c r="L233" s="37">
        <f t="shared" si="196"/>
        <v>0</v>
      </c>
      <c r="M233" s="11"/>
      <c r="N233" s="10"/>
      <c r="O233" s="21"/>
      <c r="P233" s="21"/>
      <c r="Q233" s="21"/>
      <c r="R233" s="23"/>
      <c r="S233" s="50"/>
      <c r="T233" s="48"/>
      <c r="U233" s="82"/>
      <c r="V233" s="26"/>
      <c r="W233" s="200"/>
      <c r="X233" s="17"/>
    </row>
    <row r="234" spans="2:24" x14ac:dyDescent="0.25">
      <c r="B234" s="17">
        <v>232</v>
      </c>
      <c r="C234" s="10"/>
      <c r="D234" s="10"/>
      <c r="E234" s="72"/>
      <c r="F234" s="18"/>
      <c r="G234" s="10"/>
      <c r="H234" s="10"/>
      <c r="I234" s="10"/>
      <c r="J234" s="11"/>
      <c r="K234" s="11">
        <f t="shared" si="195"/>
        <v>0</v>
      </c>
      <c r="L234" s="37">
        <f t="shared" si="196"/>
        <v>0</v>
      </c>
      <c r="M234" s="11"/>
      <c r="N234" s="10"/>
      <c r="O234" s="21"/>
      <c r="P234" s="21"/>
      <c r="Q234" s="21"/>
      <c r="R234" s="23"/>
      <c r="S234" s="50"/>
      <c r="T234" s="48"/>
      <c r="U234" s="82"/>
      <c r="V234" s="26"/>
      <c r="W234" s="200"/>
      <c r="X234" s="17"/>
    </row>
    <row r="235" spans="2:24" x14ac:dyDescent="0.25">
      <c r="B235" s="17">
        <v>233</v>
      </c>
      <c r="C235" s="10"/>
      <c r="D235" s="10"/>
      <c r="E235" s="72"/>
      <c r="F235" s="18"/>
      <c r="G235" s="10"/>
      <c r="H235" s="10"/>
      <c r="I235" s="10"/>
      <c r="J235" s="11"/>
      <c r="K235" s="11">
        <f t="shared" si="195"/>
        <v>0</v>
      </c>
      <c r="L235" s="37">
        <f t="shared" si="196"/>
        <v>0</v>
      </c>
      <c r="M235" s="11"/>
      <c r="N235" s="10"/>
      <c r="O235" s="21"/>
      <c r="P235" s="21"/>
      <c r="Q235" s="21"/>
      <c r="R235" s="23"/>
      <c r="S235" s="50"/>
      <c r="T235" s="48"/>
      <c r="U235" s="82"/>
      <c r="V235" s="26"/>
      <c r="W235" s="200"/>
      <c r="X235" s="17"/>
    </row>
    <row r="236" spans="2:24" x14ac:dyDescent="0.25">
      <c r="B236" s="17">
        <v>234</v>
      </c>
      <c r="C236" s="10"/>
      <c r="D236" s="10"/>
      <c r="E236" s="72"/>
      <c r="F236" s="18"/>
      <c r="G236" s="10"/>
      <c r="H236" s="10"/>
      <c r="I236" s="10"/>
      <c r="J236" s="11"/>
      <c r="K236" s="11">
        <f t="shared" si="195"/>
        <v>0</v>
      </c>
      <c r="L236" s="37">
        <f t="shared" si="196"/>
        <v>0</v>
      </c>
      <c r="M236" s="11"/>
      <c r="N236" s="10"/>
      <c r="O236" s="21"/>
      <c r="P236" s="21"/>
      <c r="Q236" s="21"/>
      <c r="R236" s="23"/>
      <c r="S236" s="50"/>
      <c r="T236" s="48"/>
      <c r="U236" s="82"/>
      <c r="V236" s="26"/>
      <c r="W236" s="200"/>
      <c r="X236" s="17"/>
    </row>
    <row r="237" spans="2:24" x14ac:dyDescent="0.25">
      <c r="B237" s="17">
        <v>235</v>
      </c>
      <c r="C237" s="10"/>
      <c r="D237" s="10"/>
      <c r="E237" s="72"/>
      <c r="F237" s="18"/>
      <c r="G237" s="10"/>
      <c r="H237" s="10"/>
      <c r="I237" s="10"/>
      <c r="J237" s="11"/>
      <c r="K237" s="11">
        <f t="shared" si="195"/>
        <v>0</v>
      </c>
      <c r="L237" s="37">
        <f t="shared" si="196"/>
        <v>0</v>
      </c>
      <c r="M237" s="11"/>
      <c r="N237" s="10"/>
      <c r="O237" s="21"/>
      <c r="P237" s="21"/>
      <c r="Q237" s="21"/>
      <c r="R237" s="23"/>
      <c r="S237" s="50"/>
      <c r="T237" s="48"/>
      <c r="U237" s="82"/>
      <c r="V237" s="26"/>
      <c r="W237" s="200"/>
      <c r="X237" s="17"/>
    </row>
    <row r="238" spans="2:24" x14ac:dyDescent="0.25">
      <c r="B238" s="17">
        <v>236</v>
      </c>
      <c r="C238" s="10"/>
      <c r="D238" s="10"/>
      <c r="E238" s="72"/>
      <c r="F238" s="18"/>
      <c r="G238" s="10"/>
      <c r="H238" s="10"/>
      <c r="I238" s="10"/>
      <c r="J238" s="11"/>
      <c r="K238" s="11">
        <f t="shared" si="195"/>
        <v>0</v>
      </c>
      <c r="L238" s="37">
        <f t="shared" si="196"/>
        <v>0</v>
      </c>
      <c r="M238" s="11"/>
      <c r="N238" s="10"/>
      <c r="O238" s="21"/>
      <c r="P238" s="21"/>
      <c r="Q238" s="21"/>
      <c r="R238" s="23"/>
      <c r="S238" s="50"/>
      <c r="T238" s="48"/>
      <c r="U238" s="82"/>
      <c r="V238" s="32"/>
      <c r="W238" s="200"/>
      <c r="X238" s="17"/>
    </row>
    <row r="239" spans="2:24" x14ac:dyDescent="0.25">
      <c r="B239" s="17">
        <v>237</v>
      </c>
      <c r="C239" s="10"/>
      <c r="D239" s="10"/>
      <c r="E239" s="72"/>
      <c r="F239" s="18"/>
      <c r="G239" s="10"/>
      <c r="H239" s="10"/>
      <c r="I239" s="10"/>
      <c r="J239" s="11"/>
      <c r="K239" s="11">
        <f t="shared" si="195"/>
        <v>0</v>
      </c>
      <c r="L239" s="37">
        <f t="shared" si="196"/>
        <v>0</v>
      </c>
      <c r="M239" s="11"/>
      <c r="N239" s="10"/>
      <c r="O239" s="21"/>
      <c r="P239" s="21"/>
      <c r="Q239" s="21"/>
      <c r="R239" s="23"/>
      <c r="S239" s="50"/>
      <c r="T239" s="48"/>
      <c r="U239" s="82"/>
      <c r="V239" s="32"/>
      <c r="W239" s="200"/>
      <c r="X239" s="17"/>
    </row>
    <row r="240" spans="2:24" x14ac:dyDescent="0.25">
      <c r="B240" s="17">
        <v>238</v>
      </c>
      <c r="C240" s="10"/>
      <c r="D240" s="10"/>
      <c r="E240" s="72"/>
      <c r="F240" s="18"/>
      <c r="G240" s="10"/>
      <c r="H240" s="10"/>
      <c r="I240" s="10"/>
      <c r="J240" s="11"/>
      <c r="K240" s="11">
        <f t="shared" si="195"/>
        <v>0</v>
      </c>
      <c r="L240" s="37">
        <f t="shared" si="196"/>
        <v>0</v>
      </c>
      <c r="M240" s="11"/>
      <c r="N240" s="10"/>
      <c r="O240" s="21"/>
      <c r="P240" s="21"/>
      <c r="Q240" s="21"/>
      <c r="R240" s="23"/>
      <c r="S240" s="50"/>
      <c r="T240" s="48"/>
      <c r="U240" s="82"/>
      <c r="V240" s="26"/>
      <c r="W240" s="200"/>
      <c r="X240" s="17"/>
    </row>
    <row r="241" spans="2:24" x14ac:dyDescent="0.25">
      <c r="B241" s="17">
        <v>239</v>
      </c>
      <c r="C241" s="10"/>
      <c r="D241" s="10"/>
      <c r="E241" s="72"/>
      <c r="F241" s="18"/>
      <c r="G241" s="10"/>
      <c r="H241" s="10"/>
      <c r="I241" s="10"/>
      <c r="J241" s="11"/>
      <c r="K241" s="11">
        <f t="shared" si="195"/>
        <v>0</v>
      </c>
      <c r="L241" s="37">
        <f t="shared" si="196"/>
        <v>0</v>
      </c>
      <c r="M241" s="11"/>
      <c r="N241" s="10"/>
      <c r="O241" s="21"/>
      <c r="P241" s="21"/>
      <c r="Q241" s="21"/>
      <c r="R241" s="23"/>
      <c r="S241" s="50"/>
      <c r="T241" s="48"/>
      <c r="U241" s="82"/>
      <c r="V241" s="26"/>
      <c r="W241" s="200"/>
      <c r="X241" s="17"/>
    </row>
    <row r="242" spans="2:24" x14ac:dyDescent="0.25">
      <c r="B242" s="17">
        <v>240</v>
      </c>
      <c r="C242" s="10"/>
      <c r="D242" s="10"/>
      <c r="E242" s="72"/>
      <c r="F242" s="18"/>
      <c r="G242" s="10"/>
      <c r="H242" s="10"/>
      <c r="I242" s="10"/>
      <c r="J242" s="11"/>
      <c r="K242" s="11">
        <f t="shared" si="195"/>
        <v>0</v>
      </c>
      <c r="L242" s="37">
        <f t="shared" si="196"/>
        <v>0</v>
      </c>
      <c r="M242" s="11"/>
      <c r="N242" s="10"/>
      <c r="O242" s="21"/>
      <c r="P242" s="21"/>
      <c r="Q242" s="21"/>
      <c r="R242" s="23"/>
      <c r="S242" s="50"/>
      <c r="T242" s="48"/>
      <c r="U242" s="82"/>
      <c r="V242" s="26"/>
      <c r="W242" s="200"/>
      <c r="X242" s="17"/>
    </row>
    <row r="243" spans="2:24" x14ac:dyDescent="0.25">
      <c r="B243" s="17">
        <v>241</v>
      </c>
      <c r="C243" s="10"/>
      <c r="D243" s="10"/>
      <c r="E243" s="72"/>
      <c r="F243" s="18"/>
      <c r="G243" s="10"/>
      <c r="H243" s="10"/>
      <c r="I243" s="10"/>
      <c r="J243" s="11"/>
      <c r="K243" s="11">
        <f t="shared" si="195"/>
        <v>0</v>
      </c>
      <c r="L243" s="37">
        <f t="shared" si="196"/>
        <v>0</v>
      </c>
      <c r="M243" s="11"/>
      <c r="N243" s="10"/>
      <c r="O243" s="21"/>
      <c r="P243" s="21"/>
      <c r="Q243" s="21"/>
      <c r="R243" s="23"/>
      <c r="S243" s="50"/>
      <c r="T243" s="48"/>
      <c r="U243" s="82"/>
      <c r="V243" s="26"/>
      <c r="W243" s="200"/>
      <c r="X243" s="17"/>
    </row>
    <row r="244" spans="2:24" x14ac:dyDescent="0.25">
      <c r="B244" s="17">
        <v>242</v>
      </c>
      <c r="C244" s="10"/>
      <c r="D244" s="10"/>
      <c r="E244" s="72"/>
      <c r="F244" s="18"/>
      <c r="G244" s="10"/>
      <c r="H244" s="10"/>
      <c r="I244" s="10"/>
      <c r="J244" s="11"/>
      <c r="K244" s="11">
        <f t="shared" si="195"/>
        <v>0</v>
      </c>
      <c r="L244" s="37">
        <f t="shared" si="196"/>
        <v>0</v>
      </c>
      <c r="M244" s="11"/>
      <c r="N244" s="10"/>
      <c r="O244" s="21"/>
      <c r="P244" s="21"/>
      <c r="Q244" s="21"/>
      <c r="R244" s="23"/>
      <c r="S244" s="50"/>
      <c r="T244" s="48"/>
      <c r="U244" s="82"/>
      <c r="V244" s="26"/>
      <c r="W244" s="200"/>
      <c r="X244" s="17"/>
    </row>
    <row r="245" spans="2:24" x14ac:dyDescent="0.25">
      <c r="B245" s="17">
        <v>243</v>
      </c>
      <c r="C245" s="10"/>
      <c r="D245" s="10"/>
      <c r="E245" s="72"/>
      <c r="F245" s="18"/>
      <c r="G245" s="10"/>
      <c r="H245" s="10"/>
      <c r="I245" s="10"/>
      <c r="J245" s="11"/>
      <c r="K245" s="11">
        <f t="shared" si="195"/>
        <v>0</v>
      </c>
      <c r="L245" s="37">
        <f t="shared" si="196"/>
        <v>0</v>
      </c>
      <c r="M245" s="11"/>
      <c r="N245" s="10"/>
      <c r="O245" s="21"/>
      <c r="P245" s="21"/>
      <c r="Q245" s="21"/>
      <c r="R245" s="23"/>
      <c r="S245" s="50"/>
      <c r="T245" s="48"/>
      <c r="U245" s="82"/>
      <c r="V245" s="32"/>
      <c r="W245" s="200"/>
      <c r="X245" s="17"/>
    </row>
    <row r="246" spans="2:24" x14ac:dyDescent="0.25">
      <c r="B246" s="17">
        <v>244</v>
      </c>
      <c r="C246" s="10"/>
      <c r="D246" s="10"/>
      <c r="E246" s="72"/>
      <c r="F246" s="18"/>
      <c r="G246" s="10"/>
      <c r="H246" s="10"/>
      <c r="I246" s="10"/>
      <c r="J246" s="11"/>
      <c r="K246" s="11">
        <f t="shared" si="195"/>
        <v>0</v>
      </c>
      <c r="L246" s="37">
        <f t="shared" si="196"/>
        <v>0</v>
      </c>
      <c r="M246" s="11"/>
      <c r="N246" s="10"/>
      <c r="O246" s="21"/>
      <c r="P246" s="21"/>
      <c r="Q246" s="21"/>
      <c r="R246" s="23"/>
      <c r="S246" s="50"/>
      <c r="T246" s="48"/>
      <c r="U246" s="82"/>
      <c r="V246" s="32"/>
      <c r="W246" s="200"/>
      <c r="X246" s="17"/>
    </row>
    <row r="247" spans="2:24" x14ac:dyDescent="0.25">
      <c r="B247" s="17">
        <v>245</v>
      </c>
      <c r="C247" s="10"/>
      <c r="D247" s="10"/>
      <c r="E247" s="72"/>
      <c r="F247" s="18"/>
      <c r="G247" s="10"/>
      <c r="H247" s="10"/>
      <c r="I247" s="10"/>
      <c r="J247" s="11"/>
      <c r="K247" s="11">
        <f t="shared" si="195"/>
        <v>0</v>
      </c>
      <c r="L247" s="37">
        <f t="shared" si="196"/>
        <v>0</v>
      </c>
      <c r="M247" s="11"/>
      <c r="N247" s="10"/>
      <c r="O247" s="21"/>
      <c r="P247" s="21"/>
      <c r="Q247" s="21"/>
      <c r="R247" s="23"/>
      <c r="S247" s="50"/>
      <c r="T247" s="48"/>
      <c r="U247" s="82"/>
      <c r="V247" s="32"/>
      <c r="W247" s="200"/>
      <c r="X247" s="17"/>
    </row>
    <row r="248" spans="2:24" x14ac:dyDescent="0.25">
      <c r="B248" s="17">
        <v>246</v>
      </c>
      <c r="C248" s="10"/>
      <c r="D248" s="10"/>
      <c r="E248" s="72"/>
      <c r="F248" s="18"/>
      <c r="G248" s="10"/>
      <c r="H248" s="10"/>
      <c r="I248" s="10"/>
      <c r="J248" s="11"/>
      <c r="K248" s="11">
        <f t="shared" si="195"/>
        <v>0</v>
      </c>
      <c r="L248" s="37">
        <f t="shared" si="196"/>
        <v>0</v>
      </c>
      <c r="M248" s="11"/>
      <c r="N248" s="10"/>
      <c r="O248" s="21"/>
      <c r="P248" s="21"/>
      <c r="Q248" s="21"/>
      <c r="R248" s="23"/>
      <c r="S248" s="50"/>
      <c r="T248" s="48"/>
      <c r="U248" s="82"/>
      <c r="V248" s="32"/>
      <c r="W248" s="200"/>
      <c r="X248" s="17"/>
    </row>
    <row r="249" spans="2:24" x14ac:dyDescent="0.25">
      <c r="B249" s="17">
        <v>247</v>
      </c>
      <c r="C249" s="10"/>
      <c r="D249" s="10"/>
      <c r="E249" s="72"/>
      <c r="F249" s="18"/>
      <c r="G249" s="10"/>
      <c r="H249" s="10"/>
      <c r="I249" s="10"/>
      <c r="J249" s="11"/>
      <c r="K249" s="11">
        <f t="shared" si="195"/>
        <v>0</v>
      </c>
      <c r="L249" s="37">
        <f t="shared" si="196"/>
        <v>0</v>
      </c>
      <c r="M249" s="11"/>
      <c r="N249" s="10"/>
      <c r="O249" s="21"/>
      <c r="P249" s="21"/>
      <c r="Q249" s="21"/>
      <c r="R249" s="23"/>
      <c r="S249" s="50"/>
      <c r="T249" s="48"/>
      <c r="U249" s="82"/>
      <c r="V249" s="26"/>
      <c r="W249" s="200"/>
      <c r="X249" s="17"/>
    </row>
    <row r="250" spans="2:24" x14ac:dyDescent="0.25">
      <c r="B250" s="17">
        <v>248</v>
      </c>
      <c r="C250" s="10"/>
      <c r="D250" s="10"/>
      <c r="E250" s="72"/>
      <c r="F250" s="18"/>
      <c r="G250" s="10"/>
      <c r="H250" s="10"/>
      <c r="I250" s="10"/>
      <c r="J250" s="11"/>
      <c r="K250" s="11">
        <f t="shared" si="195"/>
        <v>0</v>
      </c>
      <c r="L250" s="37">
        <f t="shared" si="196"/>
        <v>0</v>
      </c>
      <c r="M250" s="11"/>
      <c r="N250" s="10"/>
      <c r="O250" s="21"/>
      <c r="P250" s="21"/>
      <c r="Q250" s="21"/>
      <c r="R250" s="23"/>
      <c r="S250" s="50"/>
      <c r="T250" s="48"/>
      <c r="U250" s="82"/>
      <c r="V250" s="26"/>
      <c r="W250" s="200"/>
      <c r="X250" s="17"/>
    </row>
    <row r="251" spans="2:24" x14ac:dyDescent="0.25">
      <c r="B251" s="17">
        <v>249</v>
      </c>
      <c r="C251" s="10"/>
      <c r="D251" s="10"/>
      <c r="E251" s="72"/>
      <c r="F251" s="18"/>
      <c r="G251" s="10"/>
      <c r="H251" s="10"/>
      <c r="I251" s="10"/>
      <c r="J251" s="11"/>
      <c r="K251" s="11">
        <f t="shared" si="195"/>
        <v>0</v>
      </c>
      <c r="L251" s="37">
        <f t="shared" si="196"/>
        <v>0</v>
      </c>
      <c r="M251" s="11"/>
      <c r="N251" s="10"/>
      <c r="O251" s="21"/>
      <c r="P251" s="21"/>
      <c r="Q251" s="21"/>
      <c r="R251" s="23"/>
      <c r="S251" s="50"/>
      <c r="T251" s="48"/>
      <c r="U251" s="82"/>
      <c r="V251" s="26"/>
      <c r="W251" s="200"/>
      <c r="X251" s="17"/>
    </row>
    <row r="252" spans="2:24" x14ac:dyDescent="0.25">
      <c r="B252" s="17">
        <v>250</v>
      </c>
      <c r="C252" s="10"/>
      <c r="D252" s="10"/>
      <c r="E252" s="72"/>
      <c r="F252" s="18"/>
      <c r="G252" s="10"/>
      <c r="H252" s="10"/>
      <c r="I252" s="10"/>
      <c r="J252" s="11"/>
      <c r="K252" s="11">
        <f t="shared" si="195"/>
        <v>0</v>
      </c>
      <c r="L252" s="37">
        <f t="shared" si="196"/>
        <v>0</v>
      </c>
      <c r="M252" s="11"/>
      <c r="N252" s="10"/>
      <c r="O252" s="21"/>
      <c r="P252" s="21"/>
      <c r="Q252" s="21"/>
      <c r="R252" s="23"/>
      <c r="S252" s="50"/>
      <c r="T252" s="48"/>
      <c r="U252" s="82"/>
      <c r="V252" s="26"/>
      <c r="W252" s="200"/>
      <c r="X252" s="17"/>
    </row>
    <row r="253" spans="2:24" x14ac:dyDescent="0.25">
      <c r="B253" s="17">
        <v>251</v>
      </c>
      <c r="C253" s="10"/>
      <c r="D253" s="10"/>
      <c r="E253" s="72"/>
      <c r="F253" s="18"/>
      <c r="G253" s="10"/>
      <c r="H253" s="10"/>
      <c r="I253" s="10"/>
      <c r="J253" s="11"/>
      <c r="K253" s="11">
        <f t="shared" si="195"/>
        <v>0</v>
      </c>
      <c r="L253" s="37">
        <f t="shared" si="196"/>
        <v>0</v>
      </c>
      <c r="M253" s="11"/>
      <c r="N253" s="10"/>
      <c r="O253" s="21"/>
      <c r="P253" s="21"/>
      <c r="Q253" s="21"/>
      <c r="R253" s="23"/>
      <c r="S253" s="50"/>
      <c r="T253" s="48"/>
      <c r="U253" s="82"/>
      <c r="V253" s="32"/>
      <c r="W253" s="200"/>
      <c r="X253" s="17"/>
    </row>
    <row r="254" spans="2:24" x14ac:dyDescent="0.25">
      <c r="B254" s="17">
        <v>252</v>
      </c>
      <c r="C254" s="10"/>
      <c r="D254" s="10"/>
      <c r="E254" s="72"/>
      <c r="F254" s="18"/>
      <c r="G254" s="10"/>
      <c r="H254" s="10"/>
      <c r="I254" s="10"/>
      <c r="J254" s="11"/>
      <c r="K254" s="11">
        <f t="shared" si="195"/>
        <v>0</v>
      </c>
      <c r="L254" s="37">
        <f t="shared" si="196"/>
        <v>0</v>
      </c>
      <c r="M254" s="11"/>
      <c r="N254" s="10"/>
      <c r="O254" s="21"/>
      <c r="P254" s="21"/>
      <c r="Q254" s="21"/>
      <c r="R254" s="23"/>
      <c r="S254" s="50"/>
      <c r="T254" s="48"/>
      <c r="U254" s="82"/>
      <c r="V254" s="32"/>
      <c r="W254" s="200"/>
      <c r="X254" s="17"/>
    </row>
    <row r="255" spans="2:24" x14ac:dyDescent="0.25">
      <c r="B255" s="17">
        <v>253</v>
      </c>
      <c r="C255" s="10"/>
      <c r="D255" s="10"/>
      <c r="E255" s="72"/>
      <c r="F255" s="18"/>
      <c r="G255" s="10"/>
      <c r="H255" s="10"/>
      <c r="I255" s="10"/>
      <c r="J255" s="11"/>
      <c r="K255" s="11">
        <f t="shared" si="195"/>
        <v>0</v>
      </c>
      <c r="L255" s="37">
        <f t="shared" si="196"/>
        <v>0</v>
      </c>
      <c r="M255" s="11"/>
      <c r="N255" s="10"/>
      <c r="O255" s="21"/>
      <c r="P255" s="21"/>
      <c r="Q255" s="21"/>
      <c r="R255" s="23"/>
      <c r="S255" s="50"/>
      <c r="T255" s="48"/>
      <c r="U255" s="82"/>
      <c r="V255" s="26"/>
      <c r="W255" s="200"/>
      <c r="X255" s="17"/>
    </row>
    <row r="256" spans="2:24" x14ac:dyDescent="0.25">
      <c r="B256" s="17">
        <v>254</v>
      </c>
      <c r="C256" s="10"/>
      <c r="D256" s="10"/>
      <c r="E256" s="72"/>
      <c r="F256" s="18"/>
      <c r="G256" s="10"/>
      <c r="H256" s="10"/>
      <c r="I256" s="10"/>
      <c r="J256" s="11"/>
      <c r="K256" s="11">
        <f t="shared" si="195"/>
        <v>0</v>
      </c>
      <c r="L256" s="37">
        <f t="shared" si="196"/>
        <v>0</v>
      </c>
      <c r="M256" s="11"/>
      <c r="N256" s="10"/>
      <c r="O256" s="21"/>
      <c r="P256" s="21"/>
      <c r="Q256" s="21"/>
      <c r="R256" s="23"/>
      <c r="S256" s="50"/>
      <c r="T256" s="48"/>
      <c r="U256" s="82"/>
      <c r="V256" s="26"/>
      <c r="W256" s="200"/>
      <c r="X256" s="17"/>
    </row>
    <row r="257" spans="2:24" x14ac:dyDescent="0.25">
      <c r="B257" s="17">
        <v>255</v>
      </c>
      <c r="C257" s="10"/>
      <c r="D257" s="10"/>
      <c r="E257" s="72"/>
      <c r="F257" s="18"/>
      <c r="G257" s="10"/>
      <c r="H257" s="10"/>
      <c r="I257" s="10"/>
      <c r="J257" s="11"/>
      <c r="K257" s="11">
        <f t="shared" si="195"/>
        <v>0</v>
      </c>
      <c r="L257" s="37">
        <f t="shared" si="196"/>
        <v>0</v>
      </c>
      <c r="M257" s="11"/>
      <c r="N257" s="10"/>
      <c r="O257" s="21"/>
      <c r="P257" s="21"/>
      <c r="Q257" s="21"/>
      <c r="R257" s="23"/>
      <c r="S257" s="50"/>
      <c r="T257" s="48"/>
      <c r="U257" s="82"/>
      <c r="V257" s="26"/>
      <c r="W257" s="200"/>
      <c r="X257" s="17"/>
    </row>
    <row r="258" spans="2:24" x14ac:dyDescent="0.25">
      <c r="B258" s="17">
        <v>256</v>
      </c>
      <c r="C258" s="10"/>
      <c r="D258" s="10"/>
      <c r="E258" s="72"/>
      <c r="F258" s="18"/>
      <c r="G258" s="10"/>
      <c r="H258" s="10"/>
      <c r="I258" s="10"/>
      <c r="J258" s="11"/>
      <c r="K258" s="11">
        <f t="shared" si="195"/>
        <v>0</v>
      </c>
      <c r="L258" s="37">
        <f t="shared" si="196"/>
        <v>0</v>
      </c>
      <c r="M258" s="11"/>
      <c r="N258" s="10"/>
      <c r="O258" s="21"/>
      <c r="P258" s="21"/>
      <c r="Q258" s="21"/>
      <c r="R258" s="23"/>
      <c r="S258" s="50"/>
      <c r="T258" s="48"/>
      <c r="U258" s="82"/>
      <c r="V258" s="26"/>
      <c r="W258" s="200"/>
      <c r="X258" s="17"/>
    </row>
    <row r="259" spans="2:24" x14ac:dyDescent="0.25">
      <c r="B259" s="17">
        <v>257</v>
      </c>
      <c r="C259" s="10"/>
      <c r="D259" s="10"/>
      <c r="E259" s="72"/>
      <c r="F259" s="18"/>
      <c r="G259" s="10"/>
      <c r="H259" s="10"/>
      <c r="I259" s="10"/>
      <c r="J259" s="11"/>
      <c r="K259" s="11">
        <f t="shared" si="195"/>
        <v>0</v>
      </c>
      <c r="L259" s="37">
        <f t="shared" si="196"/>
        <v>0</v>
      </c>
      <c r="M259" s="11"/>
      <c r="N259" s="10"/>
      <c r="O259" s="21"/>
      <c r="P259" s="21"/>
      <c r="Q259" s="21"/>
      <c r="R259" s="23"/>
      <c r="S259" s="50"/>
      <c r="T259" s="48"/>
      <c r="U259" s="82"/>
      <c r="V259" s="26"/>
      <c r="W259" s="200"/>
      <c r="X259" s="17"/>
    </row>
    <row r="260" spans="2:24" x14ac:dyDescent="0.25">
      <c r="B260" s="17">
        <v>258</v>
      </c>
      <c r="C260" s="10"/>
      <c r="D260" s="10"/>
      <c r="E260" s="72"/>
      <c r="F260" s="18"/>
      <c r="G260" s="10"/>
      <c r="H260" s="10"/>
      <c r="I260" s="10"/>
      <c r="J260" s="11"/>
      <c r="K260" s="11">
        <f t="shared" ref="K260:K284" si="197">J260*1.1</f>
        <v>0</v>
      </c>
      <c r="L260" s="37">
        <f t="shared" ref="L260:L284" si="198">J260*0.00000001</f>
        <v>0</v>
      </c>
      <c r="M260" s="11"/>
      <c r="N260" s="10"/>
      <c r="O260" s="21"/>
      <c r="P260" s="21"/>
      <c r="Q260" s="21"/>
      <c r="R260" s="23"/>
      <c r="S260" s="50"/>
      <c r="T260" s="48"/>
      <c r="U260" s="82"/>
      <c r="V260" s="32"/>
      <c r="W260" s="200"/>
      <c r="X260" s="17"/>
    </row>
    <row r="261" spans="2:24" x14ac:dyDescent="0.25">
      <c r="B261" s="17">
        <v>259</v>
      </c>
      <c r="C261" s="10"/>
      <c r="D261" s="10"/>
      <c r="E261" s="72"/>
      <c r="F261" s="18"/>
      <c r="G261" s="10"/>
      <c r="H261" s="10"/>
      <c r="I261" s="10"/>
      <c r="J261" s="11"/>
      <c r="K261" s="11">
        <f t="shared" si="197"/>
        <v>0</v>
      </c>
      <c r="L261" s="37">
        <f t="shared" si="198"/>
        <v>0</v>
      </c>
      <c r="M261" s="11"/>
      <c r="N261" s="10"/>
      <c r="O261" s="21"/>
      <c r="P261" s="21"/>
      <c r="Q261" s="21"/>
      <c r="R261" s="23"/>
      <c r="S261" s="50"/>
      <c r="T261" s="48"/>
      <c r="U261" s="82"/>
      <c r="V261" s="32"/>
      <c r="W261" s="200"/>
      <c r="X261" s="17"/>
    </row>
    <row r="262" spans="2:24" x14ac:dyDescent="0.25">
      <c r="B262" s="17">
        <v>260</v>
      </c>
      <c r="C262" s="10"/>
      <c r="D262" s="10"/>
      <c r="E262" s="72"/>
      <c r="F262" s="18"/>
      <c r="G262" s="10"/>
      <c r="H262" s="10"/>
      <c r="I262" s="10"/>
      <c r="J262" s="11"/>
      <c r="K262" s="11">
        <f t="shared" si="197"/>
        <v>0</v>
      </c>
      <c r="L262" s="37">
        <f t="shared" si="198"/>
        <v>0</v>
      </c>
      <c r="M262" s="11"/>
      <c r="N262" s="10"/>
      <c r="O262" s="21"/>
      <c r="P262" s="21"/>
      <c r="Q262" s="21"/>
      <c r="R262" s="23"/>
      <c r="S262" s="50"/>
      <c r="T262" s="48"/>
      <c r="U262" s="82"/>
      <c r="V262" s="26"/>
      <c r="W262" s="200"/>
      <c r="X262" s="17"/>
    </row>
    <row r="263" spans="2:24" x14ac:dyDescent="0.25">
      <c r="B263" s="17">
        <v>261</v>
      </c>
      <c r="C263" s="10"/>
      <c r="D263" s="10"/>
      <c r="E263" s="72"/>
      <c r="F263" s="18"/>
      <c r="G263" s="10"/>
      <c r="H263" s="10"/>
      <c r="I263" s="10"/>
      <c r="J263" s="11"/>
      <c r="K263" s="11">
        <f t="shared" si="197"/>
        <v>0</v>
      </c>
      <c r="L263" s="37">
        <f t="shared" si="198"/>
        <v>0</v>
      </c>
      <c r="M263" s="11"/>
      <c r="N263" s="10"/>
      <c r="O263" s="21"/>
      <c r="P263" s="21"/>
      <c r="Q263" s="21"/>
      <c r="R263" s="23"/>
      <c r="S263" s="50"/>
      <c r="T263" s="48"/>
      <c r="U263" s="82"/>
      <c r="V263" s="26"/>
      <c r="W263" s="200"/>
      <c r="X263" s="17"/>
    </row>
    <row r="264" spans="2:24" x14ac:dyDescent="0.25">
      <c r="B264" s="17">
        <v>262</v>
      </c>
      <c r="C264" s="10"/>
      <c r="D264" s="10"/>
      <c r="E264" s="72"/>
      <c r="F264" s="18"/>
      <c r="G264" s="10"/>
      <c r="H264" s="10"/>
      <c r="I264" s="10"/>
      <c r="J264" s="11"/>
      <c r="K264" s="11">
        <f t="shared" si="197"/>
        <v>0</v>
      </c>
      <c r="L264" s="37">
        <f t="shared" si="198"/>
        <v>0</v>
      </c>
      <c r="M264" s="11"/>
      <c r="N264" s="10"/>
      <c r="O264" s="21"/>
      <c r="P264" s="21"/>
      <c r="Q264" s="21"/>
      <c r="R264" s="23"/>
      <c r="S264" s="50"/>
      <c r="T264" s="48"/>
      <c r="U264" s="82"/>
      <c r="V264" s="26"/>
      <c r="W264" s="200"/>
      <c r="X264" s="17"/>
    </row>
    <row r="265" spans="2:24" x14ac:dyDescent="0.25">
      <c r="B265" s="17">
        <v>263</v>
      </c>
      <c r="C265" s="10"/>
      <c r="D265" s="10"/>
      <c r="E265" s="72"/>
      <c r="F265" s="18"/>
      <c r="G265" s="10"/>
      <c r="H265" s="10"/>
      <c r="I265" s="10"/>
      <c r="J265" s="11"/>
      <c r="K265" s="11">
        <f t="shared" si="197"/>
        <v>0</v>
      </c>
      <c r="L265" s="37">
        <f t="shared" si="198"/>
        <v>0</v>
      </c>
      <c r="M265" s="11"/>
      <c r="N265" s="10"/>
      <c r="O265" s="21"/>
      <c r="P265" s="21"/>
      <c r="Q265" s="21"/>
      <c r="R265" s="23"/>
      <c r="S265" s="50"/>
      <c r="T265" s="48"/>
      <c r="U265" s="82"/>
      <c r="V265" s="26"/>
      <c r="W265" s="200"/>
      <c r="X265" s="17"/>
    </row>
    <row r="266" spans="2:24" x14ac:dyDescent="0.25">
      <c r="B266" s="17">
        <v>264</v>
      </c>
      <c r="C266" s="10"/>
      <c r="D266" s="10"/>
      <c r="E266" s="72"/>
      <c r="F266" s="18"/>
      <c r="G266" s="10"/>
      <c r="H266" s="10"/>
      <c r="I266" s="10"/>
      <c r="J266" s="11"/>
      <c r="K266" s="11">
        <f t="shared" si="197"/>
        <v>0</v>
      </c>
      <c r="L266" s="37">
        <f t="shared" si="198"/>
        <v>0</v>
      </c>
      <c r="M266" s="11"/>
      <c r="N266" s="10"/>
      <c r="O266" s="21"/>
      <c r="P266" s="21"/>
      <c r="Q266" s="21"/>
      <c r="R266" s="23"/>
      <c r="S266" s="50"/>
      <c r="T266" s="48"/>
      <c r="U266" s="82"/>
      <c r="V266" s="26"/>
      <c r="W266" s="200"/>
      <c r="X266" s="17"/>
    </row>
    <row r="267" spans="2:24" x14ac:dyDescent="0.25">
      <c r="B267" s="17">
        <v>265</v>
      </c>
      <c r="C267" s="10"/>
      <c r="D267" s="10"/>
      <c r="E267" s="72"/>
      <c r="F267" s="18"/>
      <c r="G267" s="10"/>
      <c r="H267" s="10"/>
      <c r="I267" s="10"/>
      <c r="J267" s="11"/>
      <c r="K267" s="11">
        <f t="shared" si="197"/>
        <v>0</v>
      </c>
      <c r="L267" s="37">
        <f t="shared" si="198"/>
        <v>0</v>
      </c>
      <c r="M267" s="11"/>
      <c r="N267" s="10"/>
      <c r="O267" s="21"/>
      <c r="P267" s="21"/>
      <c r="Q267" s="21"/>
      <c r="R267" s="23"/>
      <c r="S267" s="50"/>
      <c r="T267" s="48"/>
      <c r="U267" s="82"/>
      <c r="V267" s="32"/>
      <c r="W267" s="200"/>
      <c r="X267" s="17"/>
    </row>
    <row r="268" spans="2:24" x14ac:dyDescent="0.25">
      <c r="B268" s="17">
        <v>266</v>
      </c>
      <c r="C268" s="10"/>
      <c r="D268" s="10"/>
      <c r="E268" s="72"/>
      <c r="F268" s="18"/>
      <c r="G268" s="10"/>
      <c r="H268" s="10"/>
      <c r="I268" s="10"/>
      <c r="J268" s="11"/>
      <c r="K268" s="11">
        <f t="shared" si="197"/>
        <v>0</v>
      </c>
      <c r="L268" s="37">
        <f t="shared" si="198"/>
        <v>0</v>
      </c>
      <c r="M268" s="11"/>
      <c r="N268" s="10"/>
      <c r="O268" s="21"/>
      <c r="P268" s="21"/>
      <c r="Q268" s="21"/>
      <c r="R268" s="23"/>
      <c r="S268" s="50"/>
      <c r="T268" s="48"/>
      <c r="U268" s="82"/>
      <c r="V268" s="32"/>
      <c r="W268" s="200"/>
      <c r="X268" s="17"/>
    </row>
    <row r="269" spans="2:24" x14ac:dyDescent="0.25">
      <c r="B269" s="17">
        <v>267</v>
      </c>
      <c r="C269" s="10"/>
      <c r="D269" s="10"/>
      <c r="E269" s="72"/>
      <c r="F269" s="18"/>
      <c r="G269" s="10"/>
      <c r="H269" s="10"/>
      <c r="I269" s="10"/>
      <c r="J269" s="11"/>
      <c r="K269" s="11">
        <f t="shared" si="197"/>
        <v>0</v>
      </c>
      <c r="L269" s="37">
        <f t="shared" si="198"/>
        <v>0</v>
      </c>
      <c r="M269" s="11"/>
      <c r="N269" s="10"/>
      <c r="O269" s="21"/>
      <c r="P269" s="21"/>
      <c r="Q269" s="21"/>
      <c r="R269" s="23"/>
      <c r="S269" s="50"/>
      <c r="T269" s="48"/>
      <c r="U269" s="82"/>
      <c r="V269" s="32"/>
      <c r="W269" s="200"/>
      <c r="X269" s="17"/>
    </row>
    <row r="270" spans="2:24" x14ac:dyDescent="0.25">
      <c r="B270" s="17">
        <v>268</v>
      </c>
      <c r="C270" s="10"/>
      <c r="D270" s="10"/>
      <c r="E270" s="72"/>
      <c r="F270" s="18"/>
      <c r="G270" s="10"/>
      <c r="H270" s="10"/>
      <c r="I270" s="10"/>
      <c r="J270" s="11"/>
      <c r="K270" s="11">
        <f t="shared" si="197"/>
        <v>0</v>
      </c>
      <c r="L270" s="37">
        <f t="shared" si="198"/>
        <v>0</v>
      </c>
      <c r="M270" s="11"/>
      <c r="N270" s="10"/>
      <c r="O270" s="21"/>
      <c r="P270" s="21"/>
      <c r="Q270" s="21"/>
      <c r="R270" s="23"/>
      <c r="S270" s="50"/>
      <c r="T270" s="48"/>
      <c r="U270" s="82"/>
      <c r="V270" s="32"/>
      <c r="W270" s="200"/>
      <c r="X270" s="17"/>
    </row>
    <row r="271" spans="2:24" x14ac:dyDescent="0.25">
      <c r="B271" s="17">
        <v>269</v>
      </c>
      <c r="C271" s="10"/>
      <c r="D271" s="10"/>
      <c r="E271" s="72"/>
      <c r="F271" s="18"/>
      <c r="G271" s="10"/>
      <c r="H271" s="10"/>
      <c r="I271" s="10"/>
      <c r="J271" s="11"/>
      <c r="K271" s="11">
        <f t="shared" si="197"/>
        <v>0</v>
      </c>
      <c r="L271" s="37">
        <f t="shared" si="198"/>
        <v>0</v>
      </c>
      <c r="M271" s="11"/>
      <c r="N271" s="10"/>
      <c r="O271" s="21"/>
      <c r="P271" s="21"/>
      <c r="Q271" s="21"/>
      <c r="R271" s="23"/>
      <c r="S271" s="50"/>
      <c r="T271" s="48"/>
      <c r="U271" s="82"/>
      <c r="V271" s="26"/>
      <c r="W271" s="200"/>
      <c r="X271" s="17"/>
    </row>
    <row r="272" spans="2:24" x14ac:dyDescent="0.25">
      <c r="B272" s="17">
        <v>270</v>
      </c>
      <c r="C272" s="10"/>
      <c r="D272" s="10"/>
      <c r="E272" s="72"/>
      <c r="F272" s="18"/>
      <c r="G272" s="10"/>
      <c r="H272" s="10"/>
      <c r="I272" s="10"/>
      <c r="J272" s="11"/>
      <c r="K272" s="11">
        <f t="shared" si="197"/>
        <v>0</v>
      </c>
      <c r="L272" s="37">
        <f t="shared" si="198"/>
        <v>0</v>
      </c>
      <c r="M272" s="11"/>
      <c r="N272" s="10"/>
      <c r="O272" s="21"/>
      <c r="P272" s="21"/>
      <c r="Q272" s="21"/>
      <c r="R272" s="23"/>
      <c r="S272" s="50"/>
      <c r="T272" s="48"/>
      <c r="U272" s="82"/>
      <c r="V272" s="26"/>
      <c r="W272" s="200"/>
      <c r="X272" s="17"/>
    </row>
    <row r="273" spans="2:24" x14ac:dyDescent="0.25">
      <c r="B273" s="17">
        <v>271</v>
      </c>
      <c r="C273" s="10"/>
      <c r="D273" s="10"/>
      <c r="E273" s="72"/>
      <c r="F273" s="18"/>
      <c r="G273" s="10"/>
      <c r="H273" s="10"/>
      <c r="I273" s="10"/>
      <c r="J273" s="11"/>
      <c r="K273" s="11">
        <f t="shared" si="197"/>
        <v>0</v>
      </c>
      <c r="L273" s="37">
        <f t="shared" si="198"/>
        <v>0</v>
      </c>
      <c r="M273" s="11"/>
      <c r="N273" s="10"/>
      <c r="O273" s="21"/>
      <c r="P273" s="21"/>
      <c r="Q273" s="21"/>
      <c r="R273" s="23"/>
      <c r="S273" s="50"/>
      <c r="T273" s="48"/>
      <c r="U273" s="82"/>
      <c r="V273" s="26"/>
      <c r="W273" s="200"/>
      <c r="X273" s="17"/>
    </row>
    <row r="274" spans="2:24" x14ac:dyDescent="0.25">
      <c r="B274" s="17">
        <v>272</v>
      </c>
      <c r="C274" s="10"/>
      <c r="D274" s="10"/>
      <c r="E274" s="72"/>
      <c r="F274" s="18"/>
      <c r="G274" s="10"/>
      <c r="H274" s="10"/>
      <c r="I274" s="10"/>
      <c r="J274" s="11"/>
      <c r="K274" s="11">
        <f t="shared" si="197"/>
        <v>0</v>
      </c>
      <c r="L274" s="37">
        <f t="shared" si="198"/>
        <v>0</v>
      </c>
      <c r="M274" s="11"/>
      <c r="N274" s="10"/>
      <c r="O274" s="21"/>
      <c r="P274" s="21"/>
      <c r="Q274" s="21"/>
      <c r="R274" s="23"/>
      <c r="S274" s="50"/>
      <c r="T274" s="48"/>
      <c r="U274" s="82"/>
      <c r="V274" s="26"/>
      <c r="W274" s="200"/>
      <c r="X274" s="17"/>
    </row>
    <row r="275" spans="2:24" x14ac:dyDescent="0.25">
      <c r="B275" s="17">
        <v>273</v>
      </c>
      <c r="C275" s="10"/>
      <c r="D275" s="10"/>
      <c r="E275" s="72"/>
      <c r="F275" s="18"/>
      <c r="G275" s="10"/>
      <c r="H275" s="10"/>
      <c r="I275" s="10"/>
      <c r="J275" s="11"/>
      <c r="K275" s="11">
        <f t="shared" si="197"/>
        <v>0</v>
      </c>
      <c r="L275" s="37">
        <f t="shared" si="198"/>
        <v>0</v>
      </c>
      <c r="M275" s="11"/>
      <c r="N275" s="10"/>
      <c r="O275" s="21"/>
      <c r="P275" s="21"/>
      <c r="Q275" s="21"/>
      <c r="R275" s="23"/>
      <c r="S275" s="50"/>
      <c r="T275" s="48"/>
      <c r="U275" s="82"/>
      <c r="V275" s="26"/>
      <c r="W275" s="200"/>
      <c r="X275" s="17"/>
    </row>
    <row r="276" spans="2:24" x14ac:dyDescent="0.25">
      <c r="B276" s="17">
        <v>274</v>
      </c>
      <c r="C276" s="10"/>
      <c r="D276" s="10"/>
      <c r="E276" s="72"/>
      <c r="F276" s="18"/>
      <c r="G276" s="10"/>
      <c r="H276" s="10"/>
      <c r="I276" s="10"/>
      <c r="J276" s="11"/>
      <c r="K276" s="11">
        <f t="shared" si="197"/>
        <v>0</v>
      </c>
      <c r="L276" s="37">
        <f t="shared" si="198"/>
        <v>0</v>
      </c>
      <c r="M276" s="11"/>
      <c r="N276" s="10"/>
      <c r="O276" s="21"/>
      <c r="P276" s="21"/>
      <c r="Q276" s="21"/>
      <c r="R276" s="23"/>
      <c r="S276" s="50"/>
      <c r="T276" s="48"/>
      <c r="U276" s="82"/>
      <c r="V276" s="32"/>
      <c r="W276" s="200"/>
      <c r="X276" s="17"/>
    </row>
    <row r="277" spans="2:24" x14ac:dyDescent="0.25">
      <c r="B277" s="17">
        <v>275</v>
      </c>
      <c r="C277" s="10"/>
      <c r="D277" s="10"/>
      <c r="E277" s="72"/>
      <c r="F277" s="18"/>
      <c r="G277" s="10"/>
      <c r="H277" s="10"/>
      <c r="I277" s="10"/>
      <c r="J277" s="11"/>
      <c r="K277" s="11">
        <f t="shared" si="197"/>
        <v>0</v>
      </c>
      <c r="L277" s="37">
        <f t="shared" si="198"/>
        <v>0</v>
      </c>
      <c r="M277" s="11"/>
      <c r="N277" s="10"/>
      <c r="O277" s="21"/>
      <c r="P277" s="21"/>
      <c r="Q277" s="21"/>
      <c r="R277" s="23"/>
      <c r="S277" s="50"/>
      <c r="T277" s="48"/>
      <c r="U277" s="82"/>
      <c r="V277" s="32"/>
      <c r="W277" s="200"/>
      <c r="X277" s="17"/>
    </row>
    <row r="278" spans="2:24" x14ac:dyDescent="0.25">
      <c r="B278" s="17">
        <v>276</v>
      </c>
      <c r="C278" s="10"/>
      <c r="D278" s="10"/>
      <c r="E278" s="72"/>
      <c r="F278" s="18"/>
      <c r="G278" s="10"/>
      <c r="H278" s="10"/>
      <c r="I278" s="10"/>
      <c r="J278" s="11"/>
      <c r="K278" s="11">
        <f t="shared" si="197"/>
        <v>0</v>
      </c>
      <c r="L278" s="37">
        <f t="shared" si="198"/>
        <v>0</v>
      </c>
      <c r="M278" s="11"/>
      <c r="N278" s="10"/>
      <c r="O278" s="21"/>
      <c r="P278" s="21"/>
      <c r="Q278" s="21"/>
      <c r="R278" s="23"/>
      <c r="S278" s="50"/>
      <c r="T278" s="48"/>
      <c r="U278" s="82"/>
      <c r="V278" s="26"/>
      <c r="W278" s="200"/>
      <c r="X278" s="17"/>
    </row>
    <row r="279" spans="2:24" x14ac:dyDescent="0.25">
      <c r="B279" s="17">
        <v>277</v>
      </c>
      <c r="C279" s="10"/>
      <c r="D279" s="10"/>
      <c r="E279" s="72"/>
      <c r="F279" s="18"/>
      <c r="G279" s="10"/>
      <c r="H279" s="10"/>
      <c r="I279" s="10"/>
      <c r="J279" s="11"/>
      <c r="K279" s="11">
        <f t="shared" si="197"/>
        <v>0</v>
      </c>
      <c r="L279" s="37">
        <f t="shared" si="198"/>
        <v>0</v>
      </c>
      <c r="M279" s="11"/>
      <c r="N279" s="10"/>
      <c r="O279" s="21"/>
      <c r="P279" s="21"/>
      <c r="Q279" s="21"/>
      <c r="R279" s="23"/>
      <c r="S279" s="50"/>
      <c r="T279" s="48"/>
      <c r="U279" s="82"/>
      <c r="V279" s="26"/>
      <c r="W279" s="200"/>
      <c r="X279" s="17"/>
    </row>
    <row r="280" spans="2:24" x14ac:dyDescent="0.25">
      <c r="B280" s="17">
        <v>278</v>
      </c>
      <c r="C280" s="10"/>
      <c r="D280" s="10"/>
      <c r="E280" s="72"/>
      <c r="F280" s="18"/>
      <c r="G280" s="10"/>
      <c r="H280" s="10"/>
      <c r="I280" s="10"/>
      <c r="J280" s="11"/>
      <c r="K280" s="11">
        <f t="shared" si="197"/>
        <v>0</v>
      </c>
      <c r="L280" s="37">
        <f t="shared" si="198"/>
        <v>0</v>
      </c>
      <c r="M280" s="11"/>
      <c r="N280" s="10"/>
      <c r="O280" s="21"/>
      <c r="P280" s="21"/>
      <c r="Q280" s="21"/>
      <c r="R280" s="23"/>
      <c r="S280" s="50"/>
      <c r="T280" s="48"/>
      <c r="U280" s="82"/>
      <c r="V280" s="26"/>
      <c r="W280" s="200"/>
      <c r="X280" s="17"/>
    </row>
    <row r="281" spans="2:24" x14ac:dyDescent="0.25">
      <c r="B281" s="17">
        <v>279</v>
      </c>
      <c r="C281" s="10"/>
      <c r="D281" s="10"/>
      <c r="E281" s="72"/>
      <c r="F281" s="18"/>
      <c r="G281" s="10"/>
      <c r="H281" s="10"/>
      <c r="I281" s="10"/>
      <c r="J281" s="11"/>
      <c r="K281" s="11">
        <f t="shared" si="197"/>
        <v>0</v>
      </c>
      <c r="L281" s="37">
        <f t="shared" si="198"/>
        <v>0</v>
      </c>
      <c r="M281" s="11"/>
      <c r="N281" s="10"/>
      <c r="O281" s="21"/>
      <c r="P281" s="21"/>
      <c r="Q281" s="21"/>
      <c r="R281" s="23"/>
      <c r="S281" s="50"/>
      <c r="T281" s="48"/>
      <c r="U281" s="82"/>
      <c r="V281" s="26"/>
      <c r="W281" s="200"/>
      <c r="X281" s="17"/>
    </row>
    <row r="282" spans="2:24" x14ac:dyDescent="0.25">
      <c r="B282" s="17">
        <v>280</v>
      </c>
      <c r="C282" s="10"/>
      <c r="D282" s="10"/>
      <c r="E282" s="72"/>
      <c r="F282" s="18"/>
      <c r="G282" s="10"/>
      <c r="H282" s="10"/>
      <c r="I282" s="10"/>
      <c r="J282" s="11"/>
      <c r="K282" s="11">
        <f t="shared" si="197"/>
        <v>0</v>
      </c>
      <c r="L282" s="37">
        <f t="shared" si="198"/>
        <v>0</v>
      </c>
      <c r="M282" s="11"/>
      <c r="N282" s="10"/>
      <c r="O282" s="21"/>
      <c r="P282" s="21"/>
      <c r="Q282" s="21"/>
      <c r="R282" s="23"/>
      <c r="S282" s="50"/>
      <c r="T282" s="48"/>
      <c r="U282" s="82"/>
      <c r="V282" s="26"/>
      <c r="W282" s="200"/>
      <c r="X282" s="17"/>
    </row>
    <row r="283" spans="2:24" x14ac:dyDescent="0.25">
      <c r="B283" s="17">
        <v>281</v>
      </c>
      <c r="C283" s="10"/>
      <c r="D283" s="10"/>
      <c r="E283" s="72"/>
      <c r="F283" s="18"/>
      <c r="G283" s="10"/>
      <c r="H283" s="10"/>
      <c r="I283" s="10"/>
      <c r="J283" s="11"/>
      <c r="K283" s="11">
        <f t="shared" si="197"/>
        <v>0</v>
      </c>
      <c r="L283" s="37">
        <f t="shared" si="198"/>
        <v>0</v>
      </c>
      <c r="M283" s="11"/>
      <c r="N283" s="10"/>
      <c r="O283" s="21"/>
      <c r="P283" s="21"/>
      <c r="Q283" s="21"/>
      <c r="R283" s="23"/>
      <c r="S283" s="50"/>
      <c r="T283" s="48"/>
      <c r="U283" s="82"/>
      <c r="V283" s="32"/>
      <c r="W283" s="200"/>
      <c r="X283" s="17"/>
    </row>
    <row r="284" spans="2:24" x14ac:dyDescent="0.25">
      <c r="B284" s="17">
        <v>282</v>
      </c>
      <c r="C284" s="10"/>
      <c r="D284" s="10"/>
      <c r="E284" s="72"/>
      <c r="F284" s="18"/>
      <c r="G284" s="10"/>
      <c r="H284" s="10"/>
      <c r="I284" s="10"/>
      <c r="J284" s="11"/>
      <c r="K284" s="11">
        <f t="shared" si="197"/>
        <v>0</v>
      </c>
      <c r="L284" s="37">
        <f t="shared" si="198"/>
        <v>0</v>
      </c>
      <c r="M284" s="11"/>
      <c r="N284" s="10"/>
      <c r="O284" s="21"/>
      <c r="P284" s="21"/>
      <c r="Q284" s="21"/>
      <c r="R284" s="23"/>
      <c r="S284" s="50"/>
      <c r="T284" s="48"/>
      <c r="U284" s="82"/>
      <c r="V284" s="32"/>
      <c r="W284" s="200"/>
      <c r="X284" s="17"/>
    </row>
    <row r="285" spans="2:24" x14ac:dyDescent="0.25">
      <c r="B285" s="17">
        <v>283</v>
      </c>
      <c r="C285" s="10"/>
      <c r="D285" s="10"/>
      <c r="E285" s="72"/>
      <c r="F285" s="18"/>
      <c r="G285" s="10"/>
      <c r="H285" s="10"/>
      <c r="I285" s="10"/>
      <c r="J285" s="11"/>
      <c r="K285" s="11">
        <f t="shared" ref="K285:K302" si="199">J285*1.1</f>
        <v>0</v>
      </c>
      <c r="L285" s="37">
        <f t="shared" ref="L285:L302" si="200">J285*0.00000001</f>
        <v>0</v>
      </c>
      <c r="M285" s="11"/>
      <c r="N285" s="10"/>
      <c r="O285" s="21"/>
      <c r="P285" s="21"/>
      <c r="R285" s="23"/>
      <c r="S285" s="50"/>
      <c r="T285" s="48"/>
      <c r="U285" s="82"/>
      <c r="V285" s="32"/>
      <c r="W285" s="200"/>
      <c r="X285" s="17"/>
    </row>
    <row r="286" spans="2:24" x14ac:dyDescent="0.25">
      <c r="B286" s="17">
        <v>284</v>
      </c>
      <c r="C286" s="10"/>
      <c r="D286" s="10"/>
      <c r="K286" s="11">
        <f t="shared" si="199"/>
        <v>0</v>
      </c>
      <c r="L286" s="37">
        <f t="shared" si="200"/>
        <v>0</v>
      </c>
      <c r="T286" s="56"/>
      <c r="U286" s="82"/>
      <c r="V286" s="84"/>
      <c r="W286" s="200"/>
      <c r="X286" s="17"/>
    </row>
    <row r="287" spans="2:24" x14ac:dyDescent="0.25">
      <c r="B287" s="17">
        <v>285</v>
      </c>
      <c r="C287" s="10"/>
      <c r="D287" s="10"/>
      <c r="K287" s="11">
        <f t="shared" si="199"/>
        <v>0</v>
      </c>
      <c r="L287" s="37">
        <f t="shared" si="200"/>
        <v>0</v>
      </c>
      <c r="T287" s="56"/>
      <c r="U287" s="82"/>
      <c r="V287" s="84"/>
      <c r="W287" s="200"/>
      <c r="X287" s="17"/>
    </row>
    <row r="288" spans="2:24" x14ac:dyDescent="0.25">
      <c r="B288" s="17">
        <v>286</v>
      </c>
      <c r="C288" s="10"/>
      <c r="D288" s="10"/>
      <c r="K288" s="11">
        <f t="shared" si="199"/>
        <v>0</v>
      </c>
      <c r="L288" s="37">
        <f t="shared" si="200"/>
        <v>0</v>
      </c>
      <c r="T288" s="56"/>
      <c r="U288" s="82"/>
      <c r="V288" s="84"/>
      <c r="W288" s="200"/>
      <c r="X288" s="17"/>
    </row>
    <row r="289" spans="2:24" x14ac:dyDescent="0.25">
      <c r="B289" s="17">
        <v>287</v>
      </c>
      <c r="C289" s="10"/>
      <c r="D289" s="10"/>
      <c r="K289" s="11">
        <f t="shared" si="199"/>
        <v>0</v>
      </c>
      <c r="L289" s="37">
        <f t="shared" si="200"/>
        <v>0</v>
      </c>
      <c r="T289" s="56"/>
      <c r="U289" s="82"/>
      <c r="V289" s="84"/>
      <c r="W289" s="200"/>
      <c r="X289" s="17"/>
    </row>
    <row r="290" spans="2:24" x14ac:dyDescent="0.25">
      <c r="B290" s="17">
        <v>288</v>
      </c>
      <c r="C290" s="10"/>
      <c r="D290" s="10"/>
      <c r="K290" s="11">
        <f t="shared" si="199"/>
        <v>0</v>
      </c>
      <c r="L290" s="37">
        <f t="shared" si="200"/>
        <v>0</v>
      </c>
      <c r="T290" s="56"/>
      <c r="U290" s="82"/>
      <c r="V290" s="84"/>
      <c r="W290" s="200"/>
      <c r="X290" s="17"/>
    </row>
    <row r="291" spans="2:24" x14ac:dyDescent="0.25">
      <c r="B291" s="17">
        <v>289</v>
      </c>
      <c r="C291" s="10"/>
      <c r="D291" s="10"/>
      <c r="K291" s="11">
        <f t="shared" si="199"/>
        <v>0</v>
      </c>
      <c r="L291" s="37">
        <f t="shared" si="200"/>
        <v>0</v>
      </c>
      <c r="T291" s="56"/>
      <c r="U291" s="82"/>
      <c r="V291" s="84"/>
      <c r="W291" s="200"/>
      <c r="X291" s="17"/>
    </row>
    <row r="292" spans="2:24" x14ac:dyDescent="0.25">
      <c r="B292" s="17">
        <v>290</v>
      </c>
      <c r="C292" s="10"/>
      <c r="D292" s="10"/>
      <c r="K292" s="11">
        <f t="shared" si="199"/>
        <v>0</v>
      </c>
      <c r="L292" s="37">
        <f t="shared" si="200"/>
        <v>0</v>
      </c>
      <c r="T292" s="56"/>
      <c r="U292" s="82"/>
      <c r="V292" s="84"/>
      <c r="W292" s="200"/>
      <c r="X292" s="17"/>
    </row>
    <row r="293" spans="2:24" x14ac:dyDescent="0.25">
      <c r="B293" s="17">
        <v>291</v>
      </c>
      <c r="C293" s="10"/>
      <c r="D293" s="10"/>
      <c r="K293" s="11">
        <f t="shared" si="199"/>
        <v>0</v>
      </c>
      <c r="L293" s="37">
        <f t="shared" si="200"/>
        <v>0</v>
      </c>
      <c r="T293" s="56"/>
      <c r="U293" s="82"/>
      <c r="V293" s="84"/>
      <c r="W293" s="200"/>
      <c r="X293" s="17"/>
    </row>
    <row r="294" spans="2:24" x14ac:dyDescent="0.25">
      <c r="B294" s="17">
        <v>292</v>
      </c>
      <c r="C294" s="10"/>
      <c r="D294" s="10"/>
      <c r="K294" s="11">
        <f t="shared" si="199"/>
        <v>0</v>
      </c>
      <c r="L294" s="37">
        <f t="shared" si="200"/>
        <v>0</v>
      </c>
      <c r="T294" s="56"/>
      <c r="U294" s="82"/>
      <c r="V294" s="84"/>
      <c r="W294" s="200"/>
      <c r="X294" s="17"/>
    </row>
    <row r="295" spans="2:24" x14ac:dyDescent="0.25">
      <c r="B295" s="17">
        <v>293</v>
      </c>
      <c r="C295" s="10"/>
      <c r="D295" s="10"/>
      <c r="K295" s="11">
        <f t="shared" si="199"/>
        <v>0</v>
      </c>
      <c r="L295" s="37">
        <f t="shared" si="200"/>
        <v>0</v>
      </c>
      <c r="T295" s="56"/>
      <c r="U295" s="82"/>
      <c r="V295" s="84"/>
      <c r="W295" s="200"/>
      <c r="X295" s="17"/>
    </row>
    <row r="296" spans="2:24" x14ac:dyDescent="0.25">
      <c r="B296" s="17">
        <v>294</v>
      </c>
      <c r="C296" s="10"/>
      <c r="D296" s="10"/>
      <c r="K296" s="11">
        <f t="shared" si="199"/>
        <v>0</v>
      </c>
      <c r="L296" s="37">
        <f t="shared" si="200"/>
        <v>0</v>
      </c>
      <c r="T296" s="56"/>
      <c r="U296" s="82"/>
      <c r="V296" s="84"/>
      <c r="W296" s="200"/>
      <c r="X296" s="17"/>
    </row>
    <row r="297" spans="2:24" x14ac:dyDescent="0.25">
      <c r="B297" s="17">
        <v>295</v>
      </c>
      <c r="C297" s="10"/>
      <c r="D297" s="10"/>
      <c r="K297" s="11">
        <f t="shared" si="199"/>
        <v>0</v>
      </c>
      <c r="L297" s="37">
        <f t="shared" si="200"/>
        <v>0</v>
      </c>
      <c r="T297" s="56"/>
      <c r="U297" s="82"/>
      <c r="V297" s="84"/>
      <c r="W297" s="200"/>
      <c r="X297" s="17"/>
    </row>
    <row r="298" spans="2:24" x14ac:dyDescent="0.25">
      <c r="B298" s="17">
        <v>296</v>
      </c>
      <c r="C298" s="10"/>
      <c r="D298" s="10"/>
      <c r="K298" s="11">
        <f t="shared" si="199"/>
        <v>0</v>
      </c>
      <c r="L298" s="37">
        <f t="shared" si="200"/>
        <v>0</v>
      </c>
      <c r="T298" s="56"/>
      <c r="U298" s="82"/>
      <c r="V298" s="84"/>
      <c r="W298" s="200"/>
      <c r="X298" s="17"/>
    </row>
    <row r="299" spans="2:24" x14ac:dyDescent="0.25">
      <c r="B299" s="17">
        <v>297</v>
      </c>
      <c r="C299" s="10"/>
      <c r="D299" s="10"/>
      <c r="K299" s="11">
        <f t="shared" si="199"/>
        <v>0</v>
      </c>
      <c r="L299" s="37">
        <f t="shared" si="200"/>
        <v>0</v>
      </c>
      <c r="T299" s="56"/>
      <c r="U299" s="82"/>
      <c r="V299" s="84"/>
      <c r="W299" s="200"/>
      <c r="X299" s="17"/>
    </row>
    <row r="300" spans="2:24" x14ac:dyDescent="0.25">
      <c r="B300" s="17">
        <v>298</v>
      </c>
      <c r="C300" s="10"/>
      <c r="D300" s="10"/>
      <c r="K300" s="11">
        <f t="shared" si="199"/>
        <v>0</v>
      </c>
      <c r="L300" s="37">
        <f t="shared" si="200"/>
        <v>0</v>
      </c>
      <c r="T300" s="56"/>
      <c r="U300" s="82"/>
      <c r="V300" s="84"/>
      <c r="W300" s="200"/>
      <c r="X300" s="17"/>
    </row>
    <row r="301" spans="2:24" x14ac:dyDescent="0.25">
      <c r="B301" s="17">
        <v>299</v>
      </c>
      <c r="C301" s="10"/>
      <c r="D301" s="10"/>
      <c r="K301" s="11">
        <f t="shared" si="199"/>
        <v>0</v>
      </c>
      <c r="L301" s="37">
        <f t="shared" si="200"/>
        <v>0</v>
      </c>
      <c r="T301" s="56"/>
      <c r="U301" s="82"/>
      <c r="V301" s="84"/>
      <c r="W301" s="200"/>
      <c r="X301" s="17"/>
    </row>
    <row r="302" spans="2:24" x14ac:dyDescent="0.25">
      <c r="B302" s="17">
        <v>300</v>
      </c>
      <c r="C302" s="10"/>
      <c r="D302" s="10"/>
      <c r="K302" s="11">
        <f t="shared" si="199"/>
        <v>0</v>
      </c>
      <c r="L302" s="37">
        <f t="shared" si="200"/>
        <v>0</v>
      </c>
      <c r="T302" s="56"/>
      <c r="U302" s="82"/>
      <c r="V302" s="84"/>
      <c r="W302" s="200"/>
      <c r="X302" s="17"/>
    </row>
    <row r="305" spans="17:17" x14ac:dyDescent="0.25">
      <c r="Q305" s="21"/>
    </row>
    <row r="306" spans="17:17" x14ac:dyDescent="0.25">
      <c r="Q306" s="21"/>
    </row>
    <row r="307" spans="17:17" x14ac:dyDescent="0.25">
      <c r="Q307" s="21"/>
    </row>
    <row r="308" spans="17:17" x14ac:dyDescent="0.25">
      <c r="Q308" s="21"/>
    </row>
    <row r="309" spans="17:17" x14ac:dyDescent="0.25">
      <c r="Q309" s="21"/>
    </row>
    <row r="310" spans="17:17" x14ac:dyDescent="0.25">
      <c r="Q310" s="21"/>
    </row>
    <row r="311" spans="17:17" x14ac:dyDescent="0.25">
      <c r="Q311" s="21"/>
    </row>
    <row r="312" spans="17:17" x14ac:dyDescent="0.25">
      <c r="Q312" s="21"/>
    </row>
    <row r="313" spans="17:17" x14ac:dyDescent="0.25">
      <c r="Q313" s="21"/>
    </row>
    <row r="314" spans="17:17" x14ac:dyDescent="0.25">
      <c r="Q314" s="21"/>
    </row>
    <row r="315" spans="17:17" x14ac:dyDescent="0.25">
      <c r="Q315" s="21"/>
    </row>
    <row r="316" spans="17:17" x14ac:dyDescent="0.25">
      <c r="Q316" s="21"/>
    </row>
    <row r="317" spans="17:17" x14ac:dyDescent="0.25">
      <c r="Q317" s="21"/>
    </row>
    <row r="318" spans="17:17" x14ac:dyDescent="0.25">
      <c r="Q318" s="21"/>
    </row>
  </sheetData>
  <mergeCells count="15">
    <mergeCell ref="AA21:AA26"/>
    <mergeCell ref="AA27:AA32"/>
    <mergeCell ref="AA1:AR1"/>
    <mergeCell ref="AA2:AB2"/>
    <mergeCell ref="AA3:AA8"/>
    <mergeCell ref="AA9:AA14"/>
    <mergeCell ref="AA15:AA20"/>
    <mergeCell ref="AA69:AA74"/>
    <mergeCell ref="AA75:AB75"/>
    <mergeCell ref="AA33:AA38"/>
    <mergeCell ref="AA39:AA44"/>
    <mergeCell ref="AA45:AA50"/>
    <mergeCell ref="AA51:AA56"/>
    <mergeCell ref="AA57:AA62"/>
    <mergeCell ref="AA63:AA68"/>
  </mergeCells>
  <phoneticPr fontId="5" type="noConversion"/>
  <conditionalFormatting sqref="U1:U1048576">
    <cfRule type="cellIs" dxfId="7" priority="3" operator="equal">
      <formula>"마케팅"</formula>
    </cfRule>
  </conditionalFormatting>
  <conditionalFormatting sqref="W1:W1048576">
    <cfRule type="cellIs" dxfId="6" priority="1" operator="equal">
      <formula>"마케팅"</formula>
    </cfRule>
  </conditionalFormatting>
  <dataValidations count="7">
    <dataValidation type="list" allowBlank="1" showInputMessage="1" showErrorMessage="1" sqref="S3:S285" xr:uid="{00000000-0002-0000-0C00-000000000000}">
      <formula1>"(주)그랜드썬기술단, (주)그랜드썬,지에스피,유지에스"</formula1>
    </dataValidation>
    <dataValidation type="list" allowBlank="1" showInputMessage="1" showErrorMessage="1" sqref="U3:U285" xr:uid="{00000000-0002-0000-0C00-000001000000}">
      <formula1>"소개,그 외"</formula1>
    </dataValidation>
    <dataValidation type="list" allowBlank="1" showInputMessage="1" showErrorMessage="1" sqref="D3:D302" xr:uid="{00000000-0002-0000-0C00-000002000000}">
      <formula1>"기존시설물(A),일반부지(B),수면(C)"</formula1>
    </dataValidation>
    <dataValidation type="list" allowBlank="1" showInputMessage="1" showErrorMessage="1" sqref="C3:C302" xr:uid="{00000000-0002-0000-0C00-000003000000}">
      <formula1>"직영(가),외주(나),입찰(다),검토(라)"</formula1>
    </dataValidation>
    <dataValidation type="list" allowBlank="1" showInputMessage="1" showErrorMessage="1" sqref="W3:W302" xr:uid="{00000000-0002-0000-0C00-000004000000}">
      <formula1>"산단,공장,창고,축사,근생,자원순환,토지,업무시설"</formula1>
    </dataValidation>
    <dataValidation type="list" allowBlank="1" showInputMessage="1" showErrorMessage="1" sqref="X3:X302" xr:uid="{00000000-0002-0000-0C00-000005000000}">
      <formula1>"유지,보류,취소"</formula1>
    </dataValidation>
    <dataValidation type="list" allowBlank="1" showInputMessage="1" showErrorMessage="1" sqref="Q3:Q318" xr:uid="{24221368-1442-4221-A51C-91E94DC2BAF0}">
      <formula1>"경기,강원,충남,충북,서울,인천,대전,세종,경남,경북,전남,전북,부산,대구,울산,제주,광주"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V318"/>
  <sheetViews>
    <sheetView zoomScale="85" zoomScaleNormal="85" workbookViewId="0">
      <pane ySplit="2" topLeftCell="A3" activePane="bottomLeft" state="frozen"/>
      <selection activeCell="O33" sqref="O33"/>
      <selection pane="bottomLeft" activeCell="O24" sqref="O24"/>
    </sheetView>
  </sheetViews>
  <sheetFormatPr defaultRowHeight="13.5" x14ac:dyDescent="0.25"/>
  <cols>
    <col min="1" max="1" width="3.7109375" customWidth="1"/>
    <col min="2" max="4" width="10.7109375" customWidth="1"/>
    <col min="5" max="5" width="10.7109375" style="75" customWidth="1"/>
    <col min="6" max="6" width="12.7109375" style="19" customWidth="1"/>
    <col min="7" max="8" width="10.7109375" customWidth="1"/>
    <col min="9" max="9" width="11.85546875" customWidth="1"/>
    <col min="10" max="11" width="15.7109375" style="6" customWidth="1"/>
    <col min="12" max="12" width="15.7109375" style="38" customWidth="1"/>
    <col min="13" max="13" width="15.7109375" style="6" customWidth="1"/>
    <col min="14" max="14" width="15.7109375" customWidth="1"/>
    <col min="15" max="15" width="21.42578125" customWidth="1"/>
    <col min="16" max="17" width="6" customWidth="1"/>
    <col min="18" max="18" width="38.42578125" style="22" customWidth="1"/>
    <col min="19" max="19" width="20.7109375" customWidth="1"/>
    <col min="20" max="20" width="13.42578125" customWidth="1"/>
    <col min="21" max="21" width="9.140625" style="34"/>
    <col min="22" max="22" width="47" style="7" customWidth="1"/>
    <col min="23" max="23" width="9.140625" style="34"/>
    <col min="29" max="29" width="11.140625" customWidth="1"/>
    <col min="30" max="34" width="11.7109375" customWidth="1"/>
    <col min="35" max="39" width="11.7109375" style="129" customWidth="1"/>
    <col min="40" max="44" width="11.7109375" customWidth="1"/>
  </cols>
  <sheetData>
    <row r="1" spans="2:48" ht="27" thickBot="1" x14ac:dyDescent="0.3">
      <c r="B1" s="33"/>
      <c r="C1" s="33"/>
      <c r="D1" s="33"/>
      <c r="E1" s="73"/>
      <c r="G1" s="8"/>
      <c r="H1" s="8"/>
      <c r="I1" s="24"/>
      <c r="J1" s="9"/>
      <c r="K1" s="9"/>
      <c r="L1" s="35"/>
      <c r="M1" s="9"/>
      <c r="U1" s="45"/>
      <c r="W1" s="45"/>
      <c r="AA1" s="423" t="s">
        <v>3</v>
      </c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5"/>
    </row>
    <row r="2" spans="2:48" ht="43.5" customHeight="1" thickTop="1" thickBot="1" x14ac:dyDescent="0.3">
      <c r="B2" s="16" t="s">
        <v>0</v>
      </c>
      <c r="C2" s="71" t="s">
        <v>90</v>
      </c>
      <c r="D2" s="71" t="s">
        <v>91</v>
      </c>
      <c r="E2" s="74" t="s">
        <v>92</v>
      </c>
      <c r="F2" s="20" t="s">
        <v>1</v>
      </c>
      <c r="G2" s="12" t="s">
        <v>22</v>
      </c>
      <c r="H2" s="12" t="s">
        <v>21</v>
      </c>
      <c r="I2" s="13" t="s">
        <v>2</v>
      </c>
      <c r="J2" s="14" t="s">
        <v>20</v>
      </c>
      <c r="K2" s="14" t="s">
        <v>4</v>
      </c>
      <c r="L2" s="36" t="s">
        <v>50</v>
      </c>
      <c r="M2" s="14" t="s">
        <v>29</v>
      </c>
      <c r="N2" s="12" t="s">
        <v>26</v>
      </c>
      <c r="O2" s="12" t="s">
        <v>28</v>
      </c>
      <c r="P2" s="12" t="s">
        <v>48</v>
      </c>
      <c r="Q2" s="12" t="s">
        <v>2158</v>
      </c>
      <c r="R2" s="12" t="s">
        <v>27</v>
      </c>
      <c r="S2" s="15" t="s">
        <v>5</v>
      </c>
      <c r="T2" s="25" t="s">
        <v>38</v>
      </c>
      <c r="U2" s="206" t="s">
        <v>54</v>
      </c>
      <c r="V2" s="16" t="s">
        <v>37</v>
      </c>
      <c r="W2" s="205" t="s">
        <v>256</v>
      </c>
      <c r="X2" s="108" t="s">
        <v>271</v>
      </c>
      <c r="AA2" s="420" t="s">
        <v>132</v>
      </c>
      <c r="AB2" s="421"/>
      <c r="AC2" s="111" t="s">
        <v>1</v>
      </c>
      <c r="AD2" s="112" t="s">
        <v>133</v>
      </c>
      <c r="AE2" s="113" t="s">
        <v>102</v>
      </c>
      <c r="AF2" s="113" t="s">
        <v>101</v>
      </c>
      <c r="AG2" s="113" t="s">
        <v>103</v>
      </c>
      <c r="AH2" s="114" t="s">
        <v>104</v>
      </c>
      <c r="AI2" s="117" t="s">
        <v>134</v>
      </c>
      <c r="AJ2" s="118" t="s">
        <v>102</v>
      </c>
      <c r="AK2" s="118" t="s">
        <v>101</v>
      </c>
      <c r="AL2" s="118" t="s">
        <v>103</v>
      </c>
      <c r="AM2" s="119" t="s">
        <v>104</v>
      </c>
      <c r="AN2" s="115" t="s">
        <v>135</v>
      </c>
      <c r="AO2" s="116" t="s">
        <v>102</v>
      </c>
      <c r="AP2" s="116" t="s">
        <v>101</v>
      </c>
      <c r="AQ2" s="116" t="s">
        <v>103</v>
      </c>
      <c r="AR2" s="116" t="s">
        <v>104</v>
      </c>
      <c r="AT2" s="151"/>
      <c r="AU2" s="152" t="s">
        <v>148</v>
      </c>
      <c r="AV2" s="153"/>
    </row>
    <row r="3" spans="2:48" s="10" customFormat="1" ht="13.5" customHeight="1" x14ac:dyDescent="0.25">
      <c r="B3" s="17">
        <v>1</v>
      </c>
      <c r="C3" s="10" t="s">
        <v>137</v>
      </c>
      <c r="D3" s="7" t="s">
        <v>140</v>
      </c>
      <c r="E3" s="72" t="s">
        <v>141</v>
      </c>
      <c r="F3" s="18" t="s">
        <v>768</v>
      </c>
      <c r="G3" s="10">
        <v>6</v>
      </c>
      <c r="H3" s="10">
        <v>4</v>
      </c>
      <c r="I3" s="10">
        <v>69</v>
      </c>
      <c r="J3" s="11">
        <f>K3/1.1</f>
        <v>106209090.90909091</v>
      </c>
      <c r="K3" s="11">
        <v>116830000</v>
      </c>
      <c r="L3" s="37">
        <f t="shared" ref="L3" si="0">J3*0.00000001</f>
        <v>1.0620909090909092</v>
      </c>
      <c r="M3" s="3" t="s">
        <v>769</v>
      </c>
      <c r="N3" t="s">
        <v>770</v>
      </c>
      <c r="O3" s="21" t="s">
        <v>771</v>
      </c>
      <c r="P3" s="21">
        <v>76</v>
      </c>
      <c r="Q3" s="21" t="s">
        <v>2149</v>
      </c>
      <c r="R3" s="23" t="s">
        <v>772</v>
      </c>
      <c r="S3" s="50" t="s">
        <v>81</v>
      </c>
      <c r="T3" s="48" t="s">
        <v>774</v>
      </c>
      <c r="U3" s="82" t="s">
        <v>773</v>
      </c>
      <c r="V3" s="26" t="s">
        <v>775</v>
      </c>
      <c r="W3" s="200" t="s">
        <v>261</v>
      </c>
      <c r="X3" s="17" t="s">
        <v>279</v>
      </c>
      <c r="Z3">
        <v>1</v>
      </c>
      <c r="AA3" s="415">
        <v>1</v>
      </c>
      <c r="AB3" s="94">
        <v>1</v>
      </c>
      <c r="AC3" s="100" t="s">
        <v>105</v>
      </c>
      <c r="AD3" s="41">
        <f>SUM(AE3:AH3)</f>
        <v>0</v>
      </c>
      <c r="AE3" s="70">
        <f>SUMIFS($I:$I,$C:$C, $AE$2,$G:$G,$Z3,$H:$H,$AB3)</f>
        <v>0</v>
      </c>
      <c r="AF3" s="70">
        <f>SUMIFS($I:$I,$C:$C, $AF$2,$G:$G,$Z3,$H:$H,$AB3)</f>
        <v>0</v>
      </c>
      <c r="AG3" s="70">
        <f>SUMIFS($I:$I,$C:$C, $AG$2,$G:$G,$Z3,$H:$H,$AB3)</f>
        <v>0</v>
      </c>
      <c r="AH3" s="109">
        <f>SUMIFS($I:$I,$C:$C, $AH$2,$G:$G,$Z3,$H:$H,$AB3)</f>
        <v>0</v>
      </c>
      <c r="AI3" s="120">
        <f>SUM(AJ3:AM3)</f>
        <v>0</v>
      </c>
      <c r="AJ3" s="121">
        <f>COUNTIFS($C:$C, $AJ$2,$G:$G,$Z3,$H:$H,$AB3)</f>
        <v>0</v>
      </c>
      <c r="AK3" s="121">
        <f>COUNTIFS($C:$C, $AK$2,$G:$G,$Z3,$H:$H,$AB3)</f>
        <v>0</v>
      </c>
      <c r="AL3" s="121">
        <f>COUNTIFS($C:$C, $AL$2,$G:$G,$Z3,$H:$H,$AB3)</f>
        <v>0</v>
      </c>
      <c r="AM3" s="122">
        <f>COUNTIFS($C:$C, $AM$2,$G:$G,$Z3,$H:$H,$AB3)</f>
        <v>0</v>
      </c>
      <c r="AN3" s="41">
        <f>SUM(AO3:AR3)</f>
        <v>0</v>
      </c>
      <c r="AO3" s="70">
        <f>SUMIFS($L:$L,$C:$C, $AO$2,$G:$G,$Z3,$H:$H,$AB3)</f>
        <v>0</v>
      </c>
      <c r="AP3" s="70">
        <f>SUMIFS($L:$L,$C:$C, $AP$2,$G:$G,$Z3,$H:$H,$AB3)</f>
        <v>0</v>
      </c>
      <c r="AQ3" s="70">
        <f>SUMIFS($L:$L,$C:$C, $AQ$2,$G:$G,$Z3,$H:$H,$AB3)</f>
        <v>0</v>
      </c>
      <c r="AR3" s="70">
        <f>SUMIFS($L:$L,$C:$C, $AR$2,$G:$G,$Z3,$H:$H,$AB3)</f>
        <v>0</v>
      </c>
      <c r="AT3" s="154" t="s">
        <v>149</v>
      </c>
      <c r="AU3" s="155" t="s">
        <v>150</v>
      </c>
      <c r="AV3" s="156" t="s">
        <v>151</v>
      </c>
    </row>
    <row r="4" spans="2:48" s="10" customFormat="1" ht="13.5" customHeight="1" x14ac:dyDescent="0.25">
      <c r="B4" s="17">
        <v>2</v>
      </c>
      <c r="E4" s="72"/>
      <c r="F4" s="18"/>
      <c r="J4" s="11"/>
      <c r="K4" s="11">
        <f t="shared" ref="K4:K5" si="1">J4*1.1</f>
        <v>0</v>
      </c>
      <c r="L4" s="37">
        <f t="shared" ref="L4:L5" si="2">J4*0.00000001</f>
        <v>0</v>
      </c>
      <c r="M4" s="11"/>
      <c r="O4" s="21"/>
      <c r="P4" s="21"/>
      <c r="Q4" s="21"/>
      <c r="R4" s="23"/>
      <c r="S4" s="50"/>
      <c r="T4" s="48"/>
      <c r="U4" s="81"/>
      <c r="V4" s="26"/>
      <c r="W4" s="200"/>
      <c r="X4" s="17"/>
      <c r="Z4">
        <v>1</v>
      </c>
      <c r="AA4" s="416"/>
      <c r="AB4" s="95">
        <v>2</v>
      </c>
      <c r="AC4" s="101" t="s">
        <v>61</v>
      </c>
      <c r="AD4" s="41">
        <f t="shared" ref="AD4:AD67" si="3">SUM(AE4:AH4)</f>
        <v>0</v>
      </c>
      <c r="AE4" s="70">
        <f t="shared" ref="AE4:AE67" si="4">SUMIFS($I:$I,$C:$C, $AE$2,$G:$G,$Z4,$H:$H,$AB4)</f>
        <v>0</v>
      </c>
      <c r="AF4" s="70">
        <f t="shared" ref="AF4:AF67" si="5">SUMIFS($I:$I,$C:$C, $AF$2,$G:$G,$Z4,$H:$H,$AB4)</f>
        <v>0</v>
      </c>
      <c r="AG4" s="70">
        <f t="shared" ref="AG4:AG67" si="6">SUMIFS($I:$I,$C:$C, $AG$2,$G:$G,$Z4,$H:$H,$AB4)</f>
        <v>0</v>
      </c>
      <c r="AH4" s="109">
        <f t="shared" ref="AH4:AH67" si="7">SUMIFS($I:$I,$C:$C, $AH$2,$G:$G,$Z4,$H:$H,$AB4)</f>
        <v>0</v>
      </c>
      <c r="AI4" s="120">
        <f t="shared" ref="AI4:AI67" si="8">SUM(AJ4:AM4)</f>
        <v>0</v>
      </c>
      <c r="AJ4" s="121">
        <f t="shared" ref="AJ4:AJ67" si="9">COUNTIFS($C:$C, $AJ$2,$G:$G,$Z4,$H:$H,$AB4)</f>
        <v>0</v>
      </c>
      <c r="AK4" s="121">
        <f t="shared" ref="AK4:AK67" si="10">COUNTIFS($C:$C, $AK$2,$G:$G,$Z4,$H:$H,$AB4)</f>
        <v>0</v>
      </c>
      <c r="AL4" s="121">
        <f t="shared" ref="AL4:AL67" si="11">COUNTIFS($C:$C, $AL$2,$G:$G,$Z4,$H:$H,$AB4)</f>
        <v>0</v>
      </c>
      <c r="AM4" s="122">
        <f t="shared" ref="AM4:AM67" si="12">COUNTIFS($C:$C, $AM$2,$G:$G,$Z4,$H:$H,$AB4)</f>
        <v>0</v>
      </c>
      <c r="AN4" s="41">
        <f t="shared" ref="AN4:AN67" si="13">SUM(AO4:AR4)</f>
        <v>0</v>
      </c>
      <c r="AO4" s="70">
        <f t="shared" ref="AO4:AO67" si="14">SUMIFS($L:$L,$C:$C, $AO$2,$G:$G,$Z4,$H:$H,$AB4)</f>
        <v>0</v>
      </c>
      <c r="AP4" s="70">
        <f t="shared" ref="AP4:AP67" si="15">SUMIFS($L:$L,$C:$C, $AP$2,$G:$G,$Z4,$H:$H,$AB4)</f>
        <v>0</v>
      </c>
      <c r="AQ4" s="70">
        <f t="shared" ref="AQ4:AQ67" si="16">SUMIFS($L:$L,$C:$C, $AQ$2,$G:$G,$Z4,$H:$H,$AB4)</f>
        <v>0</v>
      </c>
      <c r="AR4" s="70">
        <f t="shared" ref="AR4:AR67" si="17">SUMIFS($L:$L,$C:$C, $AR$2,$G:$G,$Z4,$H:$H,$AB4)</f>
        <v>0</v>
      </c>
      <c r="AT4" s="157">
        <v>1</v>
      </c>
      <c r="AU4" s="158">
        <f>COUNTIFS($U:$U,$AU$3,$G:$G,$AT4)</f>
        <v>0</v>
      </c>
      <c r="AV4" s="159">
        <f>COUNTIFS($U:$U,$AV$3,$G:$G,$AT4)</f>
        <v>0</v>
      </c>
    </row>
    <row r="5" spans="2:48" s="10" customFormat="1" ht="13.5" customHeight="1" x14ac:dyDescent="0.25">
      <c r="B5" s="17">
        <v>3</v>
      </c>
      <c r="E5" s="72"/>
      <c r="F5" s="18"/>
      <c r="J5" s="11"/>
      <c r="K5" s="11">
        <f t="shared" si="1"/>
        <v>0</v>
      </c>
      <c r="L5" s="37">
        <f t="shared" si="2"/>
        <v>0</v>
      </c>
      <c r="M5" s="11"/>
      <c r="O5" s="21"/>
      <c r="P5" s="21"/>
      <c r="Q5" s="21"/>
      <c r="R5" s="23"/>
      <c r="S5" s="50"/>
      <c r="T5" s="48"/>
      <c r="U5" s="81"/>
      <c r="V5" s="26"/>
      <c r="W5" s="200"/>
      <c r="X5" s="17"/>
      <c r="Z5">
        <v>1</v>
      </c>
      <c r="AA5" s="416"/>
      <c r="AB5" s="95">
        <v>3</v>
      </c>
      <c r="AC5" s="102" t="s">
        <v>62</v>
      </c>
      <c r="AD5" s="41">
        <f t="shared" si="3"/>
        <v>0</v>
      </c>
      <c r="AE5" s="70">
        <f t="shared" si="4"/>
        <v>0</v>
      </c>
      <c r="AF5" s="70">
        <f t="shared" si="5"/>
        <v>0</v>
      </c>
      <c r="AG5" s="70">
        <f t="shared" si="6"/>
        <v>0</v>
      </c>
      <c r="AH5" s="109">
        <f t="shared" si="7"/>
        <v>0</v>
      </c>
      <c r="AI5" s="120">
        <f t="shared" si="8"/>
        <v>0</v>
      </c>
      <c r="AJ5" s="121">
        <f t="shared" si="9"/>
        <v>0</v>
      </c>
      <c r="AK5" s="121">
        <f t="shared" si="10"/>
        <v>0</v>
      </c>
      <c r="AL5" s="121">
        <f t="shared" si="11"/>
        <v>0</v>
      </c>
      <c r="AM5" s="122">
        <f t="shared" si="12"/>
        <v>0</v>
      </c>
      <c r="AN5" s="41">
        <f t="shared" si="13"/>
        <v>0</v>
      </c>
      <c r="AO5" s="70">
        <f t="shared" si="14"/>
        <v>0</v>
      </c>
      <c r="AP5" s="70">
        <f t="shared" si="15"/>
        <v>0</v>
      </c>
      <c r="AQ5" s="70">
        <f t="shared" si="16"/>
        <v>0</v>
      </c>
      <c r="AR5" s="70">
        <f t="shared" si="17"/>
        <v>0</v>
      </c>
      <c r="AT5" s="157">
        <v>2</v>
      </c>
      <c r="AU5" s="158">
        <f t="shared" ref="AU5:AU15" si="18">COUNTIFS($U:$U,$AU$3,$G:$G,$AT5)</f>
        <v>0</v>
      </c>
      <c r="AV5" s="159">
        <f t="shared" ref="AV5:AV15" si="19">COUNTIFS($U:$U,$AV$3,$G:$G,$AT5)</f>
        <v>0</v>
      </c>
    </row>
    <row r="6" spans="2:48" s="10" customFormat="1" ht="13.5" customHeight="1" x14ac:dyDescent="0.25">
      <c r="B6" s="17">
        <v>4</v>
      </c>
      <c r="E6" s="72"/>
      <c r="F6" s="18"/>
      <c r="J6" s="11"/>
      <c r="K6" s="11">
        <f t="shared" ref="K6:K67" si="20">J6*1.1</f>
        <v>0</v>
      </c>
      <c r="L6" s="37">
        <f t="shared" ref="L6:L67" si="21">J6*0.00000001</f>
        <v>0</v>
      </c>
      <c r="M6" s="11"/>
      <c r="O6" s="21"/>
      <c r="P6" s="21"/>
      <c r="Q6" s="21"/>
      <c r="R6" s="23"/>
      <c r="S6" s="50"/>
      <c r="T6" s="48"/>
      <c r="U6" s="81"/>
      <c r="V6" s="26"/>
      <c r="W6" s="200"/>
      <c r="X6" s="17"/>
      <c r="Z6">
        <v>1</v>
      </c>
      <c r="AA6" s="416"/>
      <c r="AB6" s="95">
        <v>4</v>
      </c>
      <c r="AC6" s="102" t="s">
        <v>63</v>
      </c>
      <c r="AD6" s="41">
        <f t="shared" si="3"/>
        <v>0</v>
      </c>
      <c r="AE6" s="70">
        <f t="shared" si="4"/>
        <v>0</v>
      </c>
      <c r="AF6" s="70">
        <f t="shared" si="5"/>
        <v>0</v>
      </c>
      <c r="AG6" s="70">
        <f t="shared" si="6"/>
        <v>0</v>
      </c>
      <c r="AH6" s="109">
        <f t="shared" si="7"/>
        <v>0</v>
      </c>
      <c r="AI6" s="120">
        <f t="shared" si="8"/>
        <v>0</v>
      </c>
      <c r="AJ6" s="121">
        <f t="shared" si="9"/>
        <v>0</v>
      </c>
      <c r="AK6" s="121">
        <f t="shared" si="10"/>
        <v>0</v>
      </c>
      <c r="AL6" s="121">
        <f t="shared" si="11"/>
        <v>0</v>
      </c>
      <c r="AM6" s="122">
        <f t="shared" si="12"/>
        <v>0</v>
      </c>
      <c r="AN6" s="41">
        <f t="shared" si="13"/>
        <v>0</v>
      </c>
      <c r="AO6" s="70">
        <f t="shared" si="14"/>
        <v>0</v>
      </c>
      <c r="AP6" s="70">
        <f t="shared" si="15"/>
        <v>0</v>
      </c>
      <c r="AQ6" s="70">
        <f t="shared" si="16"/>
        <v>0</v>
      </c>
      <c r="AR6" s="70">
        <f t="shared" si="17"/>
        <v>0</v>
      </c>
      <c r="AT6" s="157">
        <v>3</v>
      </c>
      <c r="AU6" s="158">
        <f t="shared" si="18"/>
        <v>0</v>
      </c>
      <c r="AV6" s="159">
        <f t="shared" si="19"/>
        <v>0</v>
      </c>
    </row>
    <row r="7" spans="2:48" s="10" customFormat="1" ht="13.5" customHeight="1" x14ac:dyDescent="0.25">
      <c r="B7" s="17">
        <v>5</v>
      </c>
      <c r="E7" s="72"/>
      <c r="F7" s="18"/>
      <c r="J7" s="11"/>
      <c r="K7" s="11">
        <f t="shared" si="20"/>
        <v>0</v>
      </c>
      <c r="L7" s="37">
        <f t="shared" si="21"/>
        <v>0</v>
      </c>
      <c r="M7" s="11"/>
      <c r="O7" s="21"/>
      <c r="P7" s="21"/>
      <c r="Q7" s="21"/>
      <c r="R7" s="23"/>
      <c r="S7" s="50"/>
      <c r="T7" s="48"/>
      <c r="U7" s="81"/>
      <c r="V7" s="26"/>
      <c r="W7" s="200"/>
      <c r="X7" s="17"/>
      <c r="Z7">
        <v>1</v>
      </c>
      <c r="AA7" s="416"/>
      <c r="AB7" s="96">
        <v>5</v>
      </c>
      <c r="AC7" s="102" t="s">
        <v>64</v>
      </c>
      <c r="AD7" s="41">
        <f t="shared" si="3"/>
        <v>0</v>
      </c>
      <c r="AE7" s="70">
        <f t="shared" si="4"/>
        <v>0</v>
      </c>
      <c r="AF7" s="70">
        <f t="shared" si="5"/>
        <v>0</v>
      </c>
      <c r="AG7" s="70">
        <f t="shared" si="6"/>
        <v>0</v>
      </c>
      <c r="AH7" s="109">
        <f t="shared" si="7"/>
        <v>0</v>
      </c>
      <c r="AI7" s="120">
        <f t="shared" si="8"/>
        <v>0</v>
      </c>
      <c r="AJ7" s="121">
        <f t="shared" si="9"/>
        <v>0</v>
      </c>
      <c r="AK7" s="121">
        <f t="shared" si="10"/>
        <v>0</v>
      </c>
      <c r="AL7" s="121">
        <f t="shared" si="11"/>
        <v>0</v>
      </c>
      <c r="AM7" s="122">
        <f t="shared" si="12"/>
        <v>0</v>
      </c>
      <c r="AN7" s="41">
        <f t="shared" si="13"/>
        <v>0</v>
      </c>
      <c r="AO7" s="70">
        <f t="shared" si="14"/>
        <v>0</v>
      </c>
      <c r="AP7" s="70">
        <f t="shared" si="15"/>
        <v>0</v>
      </c>
      <c r="AQ7" s="70">
        <f t="shared" si="16"/>
        <v>0</v>
      </c>
      <c r="AR7" s="70">
        <f t="shared" si="17"/>
        <v>0</v>
      </c>
      <c r="AT7" s="157">
        <v>4</v>
      </c>
      <c r="AU7" s="158">
        <f t="shared" si="18"/>
        <v>0</v>
      </c>
      <c r="AV7" s="159">
        <f t="shared" si="19"/>
        <v>0</v>
      </c>
    </row>
    <row r="8" spans="2:48" s="10" customFormat="1" ht="13.5" customHeight="1" thickBot="1" x14ac:dyDescent="0.3">
      <c r="B8" s="17">
        <v>6</v>
      </c>
      <c r="E8" s="72"/>
      <c r="F8" s="18"/>
      <c r="J8" s="11"/>
      <c r="K8" s="11">
        <f t="shared" si="20"/>
        <v>0</v>
      </c>
      <c r="L8" s="37">
        <f t="shared" si="21"/>
        <v>0</v>
      </c>
      <c r="M8" s="11"/>
      <c r="O8" s="21"/>
      <c r="P8" s="21"/>
      <c r="Q8" s="21"/>
      <c r="R8" s="23"/>
      <c r="S8" s="50"/>
      <c r="T8" s="48"/>
      <c r="U8" s="81"/>
      <c r="V8" s="26"/>
      <c r="W8" s="200"/>
      <c r="X8" s="17"/>
      <c r="Z8">
        <v>1</v>
      </c>
      <c r="AA8" s="417"/>
      <c r="AB8" s="97" t="s">
        <v>3</v>
      </c>
      <c r="AC8" s="103"/>
      <c r="AD8" s="99">
        <f>SUM(AD3:AD7)</f>
        <v>0</v>
      </c>
      <c r="AE8" s="99">
        <f t="shared" ref="AE8" si="22">SUM(AE3:AE7)</f>
        <v>0</v>
      </c>
      <c r="AF8" s="99">
        <f t="shared" ref="AF8" si="23">SUM(AF3:AF7)</f>
        <v>0</v>
      </c>
      <c r="AG8" s="99">
        <f t="shared" ref="AG8" si="24">SUM(AG3:AG7)</f>
        <v>0</v>
      </c>
      <c r="AH8" s="110">
        <f t="shared" ref="AH8" si="25">SUM(AH3:AH7)</f>
        <v>0</v>
      </c>
      <c r="AI8" s="123">
        <f t="shared" ref="AI8" si="26">SUM(AI3:AI7)</f>
        <v>0</v>
      </c>
      <c r="AJ8" s="124">
        <f t="shared" ref="AJ8" si="27">SUM(AJ3:AJ7)</f>
        <v>0</v>
      </c>
      <c r="AK8" s="124">
        <f t="shared" ref="AK8" si="28">SUM(AK3:AK7)</f>
        <v>0</v>
      </c>
      <c r="AL8" s="124">
        <f t="shared" ref="AL8" si="29">SUM(AL3:AL7)</f>
        <v>0</v>
      </c>
      <c r="AM8" s="125">
        <f t="shared" ref="AM8" si="30">SUM(AM3:AM7)</f>
        <v>0</v>
      </c>
      <c r="AN8" s="99">
        <f t="shared" ref="AN8" si="31">SUM(AN3:AN7)</f>
        <v>0</v>
      </c>
      <c r="AO8" s="99">
        <f t="shared" ref="AO8" si="32">SUM(AO3:AO7)</f>
        <v>0</v>
      </c>
      <c r="AP8" s="99">
        <f t="shared" ref="AP8" si="33">SUM(AP3:AP7)</f>
        <v>0</v>
      </c>
      <c r="AQ8" s="99">
        <f t="shared" ref="AQ8" si="34">SUM(AQ3:AQ7)</f>
        <v>0</v>
      </c>
      <c r="AR8" s="99">
        <f t="shared" ref="AR8" si="35">SUM(AR3:AR7)</f>
        <v>0</v>
      </c>
      <c r="AT8" s="157">
        <v>5</v>
      </c>
      <c r="AU8" s="158">
        <f t="shared" si="18"/>
        <v>0</v>
      </c>
      <c r="AV8" s="159">
        <f t="shared" si="19"/>
        <v>0</v>
      </c>
    </row>
    <row r="9" spans="2:48" s="10" customFormat="1" ht="13.5" customHeight="1" x14ac:dyDescent="0.25">
      <c r="B9" s="17">
        <v>7</v>
      </c>
      <c r="E9" s="72"/>
      <c r="F9" s="18"/>
      <c r="J9" s="11"/>
      <c r="K9" s="11">
        <f t="shared" si="20"/>
        <v>0</v>
      </c>
      <c r="L9" s="37">
        <f t="shared" si="21"/>
        <v>0</v>
      </c>
      <c r="M9" s="11"/>
      <c r="O9" s="21"/>
      <c r="P9" s="21"/>
      <c r="Q9" s="21"/>
      <c r="R9" s="23"/>
      <c r="S9" s="50"/>
      <c r="T9" s="48"/>
      <c r="U9" s="81"/>
      <c r="V9" s="26"/>
      <c r="W9" s="200"/>
      <c r="X9" s="17"/>
      <c r="Z9">
        <v>2</v>
      </c>
      <c r="AA9" s="415">
        <v>2</v>
      </c>
      <c r="AB9" s="94">
        <v>1</v>
      </c>
      <c r="AC9" s="104" t="s">
        <v>106</v>
      </c>
      <c r="AD9" s="41">
        <f t="shared" si="3"/>
        <v>0</v>
      </c>
      <c r="AE9" s="70">
        <f t="shared" si="4"/>
        <v>0</v>
      </c>
      <c r="AF9" s="70">
        <f t="shared" si="5"/>
        <v>0</v>
      </c>
      <c r="AG9" s="70">
        <f t="shared" si="6"/>
        <v>0</v>
      </c>
      <c r="AH9" s="109">
        <f t="shared" si="7"/>
        <v>0</v>
      </c>
      <c r="AI9" s="120">
        <f t="shared" si="8"/>
        <v>0</v>
      </c>
      <c r="AJ9" s="121">
        <f t="shared" si="9"/>
        <v>0</v>
      </c>
      <c r="AK9" s="121">
        <f t="shared" si="10"/>
        <v>0</v>
      </c>
      <c r="AL9" s="121">
        <f t="shared" si="11"/>
        <v>0</v>
      </c>
      <c r="AM9" s="122">
        <f t="shared" si="12"/>
        <v>0</v>
      </c>
      <c r="AN9" s="41">
        <f t="shared" si="13"/>
        <v>0</v>
      </c>
      <c r="AO9" s="70">
        <f t="shared" si="14"/>
        <v>0</v>
      </c>
      <c r="AP9" s="70">
        <f t="shared" si="15"/>
        <v>0</v>
      </c>
      <c r="AQ9" s="70">
        <f t="shared" si="16"/>
        <v>0</v>
      </c>
      <c r="AR9" s="70">
        <f t="shared" si="17"/>
        <v>0</v>
      </c>
      <c r="AT9" s="157">
        <v>6</v>
      </c>
      <c r="AU9" s="158">
        <f t="shared" si="18"/>
        <v>1</v>
      </c>
      <c r="AV9" s="159">
        <f t="shared" si="19"/>
        <v>0</v>
      </c>
    </row>
    <row r="10" spans="2:48" s="10" customFormat="1" ht="13.5" customHeight="1" x14ac:dyDescent="0.25">
      <c r="B10" s="17">
        <v>8</v>
      </c>
      <c r="E10" s="72"/>
      <c r="F10" s="18"/>
      <c r="J10" s="11"/>
      <c r="K10" s="11">
        <f t="shared" si="20"/>
        <v>0</v>
      </c>
      <c r="L10" s="37">
        <f t="shared" si="21"/>
        <v>0</v>
      </c>
      <c r="M10" s="11"/>
      <c r="O10" s="21"/>
      <c r="P10" s="21"/>
      <c r="Q10" s="21"/>
      <c r="R10" s="23"/>
      <c r="S10" s="50"/>
      <c r="T10" s="48"/>
      <c r="U10" s="81"/>
      <c r="V10" s="26"/>
      <c r="W10" s="200"/>
      <c r="X10" s="17"/>
      <c r="Z10">
        <v>2</v>
      </c>
      <c r="AA10" s="416"/>
      <c r="AB10" s="95">
        <v>2</v>
      </c>
      <c r="AC10" s="102" t="s">
        <v>65</v>
      </c>
      <c r="AD10" s="41">
        <f t="shared" si="3"/>
        <v>0</v>
      </c>
      <c r="AE10" s="70">
        <f t="shared" si="4"/>
        <v>0</v>
      </c>
      <c r="AF10" s="70">
        <f t="shared" si="5"/>
        <v>0</v>
      </c>
      <c r="AG10" s="70">
        <f t="shared" si="6"/>
        <v>0</v>
      </c>
      <c r="AH10" s="109">
        <f t="shared" si="7"/>
        <v>0</v>
      </c>
      <c r="AI10" s="120">
        <f t="shared" si="8"/>
        <v>0</v>
      </c>
      <c r="AJ10" s="121">
        <f t="shared" si="9"/>
        <v>0</v>
      </c>
      <c r="AK10" s="121">
        <f t="shared" si="10"/>
        <v>0</v>
      </c>
      <c r="AL10" s="121">
        <f t="shared" si="11"/>
        <v>0</v>
      </c>
      <c r="AM10" s="122">
        <f t="shared" si="12"/>
        <v>0</v>
      </c>
      <c r="AN10" s="41">
        <f t="shared" si="13"/>
        <v>0</v>
      </c>
      <c r="AO10" s="70">
        <f t="shared" si="14"/>
        <v>0</v>
      </c>
      <c r="AP10" s="70">
        <f t="shared" si="15"/>
        <v>0</v>
      </c>
      <c r="AQ10" s="70">
        <f t="shared" si="16"/>
        <v>0</v>
      </c>
      <c r="AR10" s="70">
        <f t="shared" si="17"/>
        <v>0</v>
      </c>
      <c r="AT10" s="157">
        <v>7</v>
      </c>
      <c r="AU10" s="158">
        <f t="shared" si="18"/>
        <v>0</v>
      </c>
      <c r="AV10" s="159">
        <f t="shared" si="19"/>
        <v>0</v>
      </c>
    </row>
    <row r="11" spans="2:48" s="10" customFormat="1" ht="13.5" customHeight="1" x14ac:dyDescent="0.25">
      <c r="B11" s="17">
        <v>9</v>
      </c>
      <c r="E11" s="72"/>
      <c r="F11" s="18"/>
      <c r="J11" s="11"/>
      <c r="K11" s="11">
        <f t="shared" si="20"/>
        <v>0</v>
      </c>
      <c r="L11" s="37">
        <f t="shared" si="21"/>
        <v>0</v>
      </c>
      <c r="M11" s="11"/>
      <c r="O11" s="21"/>
      <c r="P11" s="21"/>
      <c r="Q11" s="21"/>
      <c r="R11" s="23"/>
      <c r="S11" s="50"/>
      <c r="T11" s="48"/>
      <c r="U11" s="81"/>
      <c r="V11" s="26"/>
      <c r="W11" s="200"/>
      <c r="X11" s="17"/>
      <c r="Z11">
        <v>2</v>
      </c>
      <c r="AA11" s="416"/>
      <c r="AB11" s="95">
        <v>3</v>
      </c>
      <c r="AC11" s="102" t="s">
        <v>66</v>
      </c>
      <c r="AD11" s="41">
        <f t="shared" si="3"/>
        <v>0</v>
      </c>
      <c r="AE11" s="70">
        <f t="shared" si="4"/>
        <v>0</v>
      </c>
      <c r="AF11" s="70">
        <f t="shared" si="5"/>
        <v>0</v>
      </c>
      <c r="AG11" s="70">
        <f t="shared" si="6"/>
        <v>0</v>
      </c>
      <c r="AH11" s="109">
        <f t="shared" si="7"/>
        <v>0</v>
      </c>
      <c r="AI11" s="120">
        <f t="shared" si="8"/>
        <v>0</v>
      </c>
      <c r="AJ11" s="121">
        <f t="shared" si="9"/>
        <v>0</v>
      </c>
      <c r="AK11" s="121">
        <f t="shared" si="10"/>
        <v>0</v>
      </c>
      <c r="AL11" s="121">
        <f t="shared" si="11"/>
        <v>0</v>
      </c>
      <c r="AM11" s="122">
        <f t="shared" si="12"/>
        <v>0</v>
      </c>
      <c r="AN11" s="41">
        <f t="shared" si="13"/>
        <v>0</v>
      </c>
      <c r="AO11" s="70">
        <f t="shared" si="14"/>
        <v>0</v>
      </c>
      <c r="AP11" s="70">
        <f t="shared" si="15"/>
        <v>0</v>
      </c>
      <c r="AQ11" s="70">
        <f t="shared" si="16"/>
        <v>0</v>
      </c>
      <c r="AR11" s="70">
        <f t="shared" si="17"/>
        <v>0</v>
      </c>
      <c r="AT11" s="157">
        <v>8</v>
      </c>
      <c r="AU11" s="158">
        <f t="shared" si="18"/>
        <v>0</v>
      </c>
      <c r="AV11" s="159">
        <f t="shared" si="19"/>
        <v>0</v>
      </c>
    </row>
    <row r="12" spans="2:48" s="10" customFormat="1" ht="13.5" customHeight="1" x14ac:dyDescent="0.25">
      <c r="B12" s="17">
        <v>10</v>
      </c>
      <c r="E12" s="72"/>
      <c r="F12" s="18"/>
      <c r="J12" s="11"/>
      <c r="K12" s="11">
        <f t="shared" si="20"/>
        <v>0</v>
      </c>
      <c r="L12" s="37">
        <f t="shared" si="21"/>
        <v>0</v>
      </c>
      <c r="M12" s="11"/>
      <c r="O12" s="21"/>
      <c r="P12" s="21"/>
      <c r="Q12" s="21"/>
      <c r="R12" s="23"/>
      <c r="S12" s="50"/>
      <c r="T12" s="48"/>
      <c r="U12" s="81"/>
      <c r="V12" s="26"/>
      <c r="W12" s="200"/>
      <c r="X12" s="17"/>
      <c r="Z12">
        <v>2</v>
      </c>
      <c r="AA12" s="416"/>
      <c r="AB12" s="95">
        <v>4</v>
      </c>
      <c r="AC12" s="102" t="s">
        <v>67</v>
      </c>
      <c r="AD12" s="41">
        <f t="shared" si="3"/>
        <v>0</v>
      </c>
      <c r="AE12" s="70">
        <f t="shared" si="4"/>
        <v>0</v>
      </c>
      <c r="AF12" s="70">
        <f t="shared" si="5"/>
        <v>0</v>
      </c>
      <c r="AG12" s="70">
        <f t="shared" si="6"/>
        <v>0</v>
      </c>
      <c r="AH12" s="109">
        <f t="shared" si="7"/>
        <v>0</v>
      </c>
      <c r="AI12" s="120">
        <f t="shared" si="8"/>
        <v>0</v>
      </c>
      <c r="AJ12" s="121">
        <f t="shared" si="9"/>
        <v>0</v>
      </c>
      <c r="AK12" s="121">
        <f t="shared" si="10"/>
        <v>0</v>
      </c>
      <c r="AL12" s="121">
        <f t="shared" si="11"/>
        <v>0</v>
      </c>
      <c r="AM12" s="122">
        <f t="shared" si="12"/>
        <v>0</v>
      </c>
      <c r="AN12" s="41">
        <f t="shared" si="13"/>
        <v>0</v>
      </c>
      <c r="AO12" s="70">
        <f t="shared" si="14"/>
        <v>0</v>
      </c>
      <c r="AP12" s="70">
        <f t="shared" si="15"/>
        <v>0</v>
      </c>
      <c r="AQ12" s="70">
        <f t="shared" si="16"/>
        <v>0</v>
      </c>
      <c r="AR12" s="70">
        <f t="shared" si="17"/>
        <v>0</v>
      </c>
      <c r="AT12" s="157">
        <v>9</v>
      </c>
      <c r="AU12" s="158">
        <f t="shared" si="18"/>
        <v>0</v>
      </c>
      <c r="AV12" s="159">
        <f t="shared" si="19"/>
        <v>0</v>
      </c>
    </row>
    <row r="13" spans="2:48" s="10" customFormat="1" ht="13.5" customHeight="1" x14ac:dyDescent="0.25">
      <c r="B13" s="17">
        <v>11</v>
      </c>
      <c r="E13" s="72"/>
      <c r="F13" s="18"/>
      <c r="J13" s="11"/>
      <c r="K13" s="11">
        <f t="shared" si="20"/>
        <v>0</v>
      </c>
      <c r="L13" s="37">
        <f t="shared" si="21"/>
        <v>0</v>
      </c>
      <c r="M13" s="11"/>
      <c r="O13" s="21"/>
      <c r="P13" s="21"/>
      <c r="Q13" s="21"/>
      <c r="R13" s="23"/>
      <c r="S13" s="50"/>
      <c r="T13" s="48"/>
      <c r="U13" s="81"/>
      <c r="V13" s="26"/>
      <c r="W13" s="200"/>
      <c r="X13" s="17"/>
      <c r="Z13">
        <v>2</v>
      </c>
      <c r="AA13" s="416"/>
      <c r="AB13" s="96">
        <v>5</v>
      </c>
      <c r="AC13" s="102"/>
      <c r="AD13" s="41">
        <f t="shared" si="3"/>
        <v>0</v>
      </c>
      <c r="AE13" s="70">
        <f t="shared" si="4"/>
        <v>0</v>
      </c>
      <c r="AF13" s="70">
        <f t="shared" si="5"/>
        <v>0</v>
      </c>
      <c r="AG13" s="70">
        <f t="shared" si="6"/>
        <v>0</v>
      </c>
      <c r="AH13" s="109">
        <f t="shared" si="7"/>
        <v>0</v>
      </c>
      <c r="AI13" s="120">
        <f t="shared" si="8"/>
        <v>0</v>
      </c>
      <c r="AJ13" s="121">
        <f t="shared" si="9"/>
        <v>0</v>
      </c>
      <c r="AK13" s="121">
        <f t="shared" si="10"/>
        <v>0</v>
      </c>
      <c r="AL13" s="121">
        <f t="shared" si="11"/>
        <v>0</v>
      </c>
      <c r="AM13" s="122">
        <f t="shared" si="12"/>
        <v>0</v>
      </c>
      <c r="AN13" s="41">
        <f t="shared" si="13"/>
        <v>0</v>
      </c>
      <c r="AO13" s="70">
        <f t="shared" si="14"/>
        <v>0</v>
      </c>
      <c r="AP13" s="70">
        <f t="shared" si="15"/>
        <v>0</v>
      </c>
      <c r="AQ13" s="70">
        <f t="shared" si="16"/>
        <v>0</v>
      </c>
      <c r="AR13" s="70">
        <f t="shared" si="17"/>
        <v>0</v>
      </c>
      <c r="AT13" s="157">
        <v>10</v>
      </c>
      <c r="AU13" s="158">
        <f t="shared" si="18"/>
        <v>0</v>
      </c>
      <c r="AV13" s="159">
        <f t="shared" si="19"/>
        <v>0</v>
      </c>
    </row>
    <row r="14" spans="2:48" s="10" customFormat="1" ht="13.5" customHeight="1" thickBot="1" x14ac:dyDescent="0.3">
      <c r="B14" s="17">
        <v>12</v>
      </c>
      <c r="E14" s="72"/>
      <c r="F14" s="18"/>
      <c r="J14" s="11"/>
      <c r="K14" s="11">
        <f t="shared" si="20"/>
        <v>0</v>
      </c>
      <c r="L14" s="37">
        <f t="shared" si="21"/>
        <v>0</v>
      </c>
      <c r="M14" s="11"/>
      <c r="O14" s="21"/>
      <c r="P14" s="21"/>
      <c r="Q14" s="21"/>
      <c r="R14" s="23"/>
      <c r="S14" s="50"/>
      <c r="T14" s="48"/>
      <c r="U14" s="81"/>
      <c r="V14" s="31"/>
      <c r="W14" s="200"/>
      <c r="X14" s="17"/>
      <c r="Z14">
        <v>2</v>
      </c>
      <c r="AA14" s="417"/>
      <c r="AB14" s="97" t="s">
        <v>3</v>
      </c>
      <c r="AC14" s="103"/>
      <c r="AD14" s="99">
        <f>SUM(AD9:AD13)</f>
        <v>0</v>
      </c>
      <c r="AE14" s="99">
        <f t="shared" ref="AE14" si="36">SUM(AE9:AE13)</f>
        <v>0</v>
      </c>
      <c r="AF14" s="99">
        <f t="shared" ref="AF14" si="37">SUM(AF9:AF13)</f>
        <v>0</v>
      </c>
      <c r="AG14" s="99">
        <f t="shared" ref="AG14" si="38">SUM(AG9:AG13)</f>
        <v>0</v>
      </c>
      <c r="AH14" s="110">
        <f t="shared" ref="AH14" si="39">SUM(AH9:AH13)</f>
        <v>0</v>
      </c>
      <c r="AI14" s="123">
        <f t="shared" ref="AI14" si="40">SUM(AI9:AI13)</f>
        <v>0</v>
      </c>
      <c r="AJ14" s="124">
        <f t="shared" ref="AJ14" si="41">SUM(AJ9:AJ13)</f>
        <v>0</v>
      </c>
      <c r="AK14" s="124">
        <f t="shared" ref="AK14" si="42">SUM(AK9:AK13)</f>
        <v>0</v>
      </c>
      <c r="AL14" s="124">
        <f t="shared" ref="AL14" si="43">SUM(AL9:AL13)</f>
        <v>0</v>
      </c>
      <c r="AM14" s="125">
        <f t="shared" ref="AM14" si="44">SUM(AM9:AM13)</f>
        <v>0</v>
      </c>
      <c r="AN14" s="99">
        <f t="shared" ref="AN14" si="45">SUM(AN9:AN13)</f>
        <v>0</v>
      </c>
      <c r="AO14" s="99">
        <f t="shared" ref="AO14" si="46">SUM(AO9:AO13)</f>
        <v>0</v>
      </c>
      <c r="AP14" s="99">
        <f t="shared" ref="AP14" si="47">SUM(AP9:AP13)</f>
        <v>0</v>
      </c>
      <c r="AQ14" s="99">
        <f t="shared" ref="AQ14" si="48">SUM(AQ9:AQ13)</f>
        <v>0</v>
      </c>
      <c r="AR14" s="99">
        <f t="shared" ref="AR14" si="49">SUM(AR9:AR13)</f>
        <v>0</v>
      </c>
      <c r="AT14" s="157">
        <v>11</v>
      </c>
      <c r="AU14" s="158">
        <f t="shared" si="18"/>
        <v>0</v>
      </c>
      <c r="AV14" s="159">
        <f t="shared" si="19"/>
        <v>0</v>
      </c>
    </row>
    <row r="15" spans="2:48" s="10" customFormat="1" ht="13.5" customHeight="1" thickBot="1" x14ac:dyDescent="0.3">
      <c r="B15" s="17">
        <v>13</v>
      </c>
      <c r="E15" s="72"/>
      <c r="F15" s="18"/>
      <c r="J15" s="11"/>
      <c r="K15" s="11">
        <f t="shared" si="20"/>
        <v>0</v>
      </c>
      <c r="L15" s="37">
        <f t="shared" si="21"/>
        <v>0</v>
      </c>
      <c r="M15" s="11"/>
      <c r="O15" s="21"/>
      <c r="P15" s="21"/>
      <c r="Q15" s="21"/>
      <c r="R15" s="23"/>
      <c r="S15" s="50"/>
      <c r="T15" s="48"/>
      <c r="U15" s="81"/>
      <c r="V15" s="32"/>
      <c r="W15" s="200"/>
      <c r="X15" s="17"/>
      <c r="Z15">
        <v>3</v>
      </c>
      <c r="AA15" s="415">
        <v>3</v>
      </c>
      <c r="AB15" s="94">
        <v>1</v>
      </c>
      <c r="AC15" s="100" t="s">
        <v>107</v>
      </c>
      <c r="AD15" s="41">
        <f t="shared" si="3"/>
        <v>0</v>
      </c>
      <c r="AE15" s="70">
        <f t="shared" si="4"/>
        <v>0</v>
      </c>
      <c r="AF15" s="70">
        <f t="shared" si="5"/>
        <v>0</v>
      </c>
      <c r="AG15" s="70">
        <f t="shared" si="6"/>
        <v>0</v>
      </c>
      <c r="AH15" s="109">
        <f t="shared" si="7"/>
        <v>0</v>
      </c>
      <c r="AI15" s="120">
        <f t="shared" si="8"/>
        <v>0</v>
      </c>
      <c r="AJ15" s="121">
        <f t="shared" si="9"/>
        <v>0</v>
      </c>
      <c r="AK15" s="121">
        <f t="shared" si="10"/>
        <v>0</v>
      </c>
      <c r="AL15" s="121">
        <f t="shared" si="11"/>
        <v>0</v>
      </c>
      <c r="AM15" s="122">
        <f t="shared" si="12"/>
        <v>0</v>
      </c>
      <c r="AN15" s="41">
        <f t="shared" si="13"/>
        <v>0</v>
      </c>
      <c r="AO15" s="70">
        <f t="shared" si="14"/>
        <v>0</v>
      </c>
      <c r="AP15" s="70">
        <f t="shared" si="15"/>
        <v>0</v>
      </c>
      <c r="AQ15" s="70">
        <f t="shared" si="16"/>
        <v>0</v>
      </c>
      <c r="AR15" s="70">
        <f t="shared" si="17"/>
        <v>0</v>
      </c>
      <c r="AT15" s="160">
        <v>12</v>
      </c>
      <c r="AU15" s="158">
        <f t="shared" si="18"/>
        <v>0</v>
      </c>
      <c r="AV15" s="159">
        <f t="shared" si="19"/>
        <v>0</v>
      </c>
    </row>
    <row r="16" spans="2:48" s="10" customFormat="1" ht="13.5" customHeight="1" thickBot="1" x14ac:dyDescent="0.3">
      <c r="B16" s="17">
        <v>14</v>
      </c>
      <c r="E16" s="72"/>
      <c r="F16" s="18"/>
      <c r="J16" s="11"/>
      <c r="K16" s="11">
        <f t="shared" si="20"/>
        <v>0</v>
      </c>
      <c r="L16" s="37">
        <f t="shared" si="21"/>
        <v>0</v>
      </c>
      <c r="M16" s="11"/>
      <c r="O16" s="21"/>
      <c r="P16" s="21"/>
      <c r="Q16" s="21"/>
      <c r="R16" s="23"/>
      <c r="S16" s="50"/>
      <c r="T16" s="48"/>
      <c r="U16" s="81"/>
      <c r="V16" s="32"/>
      <c r="W16" s="200"/>
      <c r="X16" s="17"/>
      <c r="Z16">
        <v>3</v>
      </c>
      <c r="AA16" s="416"/>
      <c r="AB16" s="95">
        <v>2</v>
      </c>
      <c r="AC16" s="101" t="s">
        <v>65</v>
      </c>
      <c r="AD16" s="41">
        <f t="shared" si="3"/>
        <v>0</v>
      </c>
      <c r="AE16" s="70">
        <f t="shared" si="4"/>
        <v>0</v>
      </c>
      <c r="AF16" s="70">
        <f t="shared" si="5"/>
        <v>0</v>
      </c>
      <c r="AG16" s="70">
        <f t="shared" si="6"/>
        <v>0</v>
      </c>
      <c r="AH16" s="109">
        <f t="shared" si="7"/>
        <v>0</v>
      </c>
      <c r="AI16" s="120">
        <f t="shared" si="8"/>
        <v>0</v>
      </c>
      <c r="AJ16" s="121">
        <f t="shared" si="9"/>
        <v>0</v>
      </c>
      <c r="AK16" s="121">
        <f t="shared" si="10"/>
        <v>0</v>
      </c>
      <c r="AL16" s="121">
        <f t="shared" si="11"/>
        <v>0</v>
      </c>
      <c r="AM16" s="122">
        <f t="shared" si="12"/>
        <v>0</v>
      </c>
      <c r="AN16" s="41">
        <f t="shared" si="13"/>
        <v>0</v>
      </c>
      <c r="AO16" s="70">
        <f t="shared" si="14"/>
        <v>0</v>
      </c>
      <c r="AP16" s="70">
        <f t="shared" si="15"/>
        <v>0</v>
      </c>
      <c r="AQ16" s="70">
        <f t="shared" si="16"/>
        <v>0</v>
      </c>
      <c r="AR16" s="70">
        <f t="shared" si="17"/>
        <v>0</v>
      </c>
      <c r="AT16" s="161" t="s">
        <v>3</v>
      </c>
      <c r="AU16" s="162">
        <f>SUM(AU4:AU15)</f>
        <v>1</v>
      </c>
      <c r="AV16" s="162">
        <f>SUM(AV4:AV15)</f>
        <v>0</v>
      </c>
    </row>
    <row r="17" spans="2:48" s="10" customFormat="1" ht="13.5" customHeight="1" thickBot="1" x14ac:dyDescent="0.3">
      <c r="B17" s="17">
        <v>15</v>
      </c>
      <c r="E17" s="72"/>
      <c r="F17" s="18"/>
      <c r="J17" s="11"/>
      <c r="K17" s="11">
        <f t="shared" si="20"/>
        <v>0</v>
      </c>
      <c r="L17" s="37">
        <f t="shared" si="21"/>
        <v>0</v>
      </c>
      <c r="M17" s="11"/>
      <c r="O17" s="21"/>
      <c r="P17" s="21"/>
      <c r="Q17" s="21"/>
      <c r="R17" s="23"/>
      <c r="S17" s="50"/>
      <c r="T17" s="48"/>
      <c r="U17" s="81"/>
      <c r="V17" s="32"/>
      <c r="W17" s="200"/>
      <c r="X17" s="17"/>
      <c r="Z17">
        <v>3</v>
      </c>
      <c r="AA17" s="416"/>
      <c r="AB17" s="95">
        <v>3</v>
      </c>
      <c r="AC17" s="102" t="s">
        <v>66</v>
      </c>
      <c r="AD17" s="41">
        <f t="shared" si="3"/>
        <v>0</v>
      </c>
      <c r="AE17" s="70">
        <f t="shared" si="4"/>
        <v>0</v>
      </c>
      <c r="AF17" s="70">
        <f t="shared" si="5"/>
        <v>0</v>
      </c>
      <c r="AG17" s="70">
        <f t="shared" si="6"/>
        <v>0</v>
      </c>
      <c r="AH17" s="109">
        <f t="shared" si="7"/>
        <v>0</v>
      </c>
      <c r="AI17" s="120">
        <f t="shared" si="8"/>
        <v>0</v>
      </c>
      <c r="AJ17" s="121">
        <f t="shared" si="9"/>
        <v>0</v>
      </c>
      <c r="AK17" s="121">
        <f t="shared" si="10"/>
        <v>0</v>
      </c>
      <c r="AL17" s="121">
        <f t="shared" si="11"/>
        <v>0</v>
      </c>
      <c r="AM17" s="122">
        <f t="shared" si="12"/>
        <v>0</v>
      </c>
      <c r="AN17" s="41">
        <f t="shared" si="13"/>
        <v>0</v>
      </c>
      <c r="AO17" s="70">
        <f t="shared" si="14"/>
        <v>0</v>
      </c>
      <c r="AP17" s="70">
        <f t="shared" si="15"/>
        <v>0</v>
      </c>
      <c r="AQ17" s="70">
        <f t="shared" si="16"/>
        <v>0</v>
      </c>
      <c r="AR17" s="70">
        <f t="shared" si="17"/>
        <v>0</v>
      </c>
      <c r="AT17" s="161" t="s">
        <v>152</v>
      </c>
      <c r="AU17" s="163">
        <f>AU16/($AU$16+$AV$16)</f>
        <v>1</v>
      </c>
      <c r="AV17" s="164">
        <f>AV16/($AV$16+$AU$16)</f>
        <v>0</v>
      </c>
    </row>
    <row r="18" spans="2:48" s="10" customFormat="1" ht="13.5" customHeight="1" x14ac:dyDescent="0.25">
      <c r="B18" s="17">
        <v>16</v>
      </c>
      <c r="E18" s="72"/>
      <c r="F18" s="18"/>
      <c r="J18" s="11"/>
      <c r="K18" s="11">
        <f t="shared" si="20"/>
        <v>0</v>
      </c>
      <c r="L18" s="37">
        <f t="shared" si="21"/>
        <v>0</v>
      </c>
      <c r="M18" s="11"/>
      <c r="O18" s="21"/>
      <c r="P18" s="21"/>
      <c r="Q18" s="21"/>
      <c r="R18" s="23"/>
      <c r="S18" s="50"/>
      <c r="T18" s="48"/>
      <c r="U18" s="81"/>
      <c r="V18" s="26"/>
      <c r="W18" s="200"/>
      <c r="X18" s="17"/>
      <c r="Z18">
        <v>3</v>
      </c>
      <c r="AA18" s="416"/>
      <c r="AB18" s="95">
        <v>4</v>
      </c>
      <c r="AC18" s="102" t="s">
        <v>67</v>
      </c>
      <c r="AD18" s="41">
        <f t="shared" si="3"/>
        <v>0</v>
      </c>
      <c r="AE18" s="70">
        <f t="shared" si="4"/>
        <v>0</v>
      </c>
      <c r="AF18" s="70">
        <f t="shared" si="5"/>
        <v>0</v>
      </c>
      <c r="AG18" s="70">
        <f t="shared" si="6"/>
        <v>0</v>
      </c>
      <c r="AH18" s="109">
        <f t="shared" si="7"/>
        <v>0</v>
      </c>
      <c r="AI18" s="120">
        <f t="shared" si="8"/>
        <v>0</v>
      </c>
      <c r="AJ18" s="121">
        <f t="shared" si="9"/>
        <v>0</v>
      </c>
      <c r="AK18" s="121">
        <f t="shared" si="10"/>
        <v>0</v>
      </c>
      <c r="AL18" s="121">
        <f t="shared" si="11"/>
        <v>0</v>
      </c>
      <c r="AM18" s="122">
        <f t="shared" si="12"/>
        <v>0</v>
      </c>
      <c r="AN18" s="41">
        <f t="shared" si="13"/>
        <v>0</v>
      </c>
      <c r="AO18" s="70">
        <f t="shared" si="14"/>
        <v>0</v>
      </c>
      <c r="AP18" s="70">
        <f t="shared" si="15"/>
        <v>0</v>
      </c>
      <c r="AQ18" s="70">
        <f t="shared" si="16"/>
        <v>0</v>
      </c>
      <c r="AR18" s="70">
        <f t="shared" si="17"/>
        <v>0</v>
      </c>
    </row>
    <row r="19" spans="2:48" s="10" customFormat="1" ht="13.5" customHeight="1" x14ac:dyDescent="0.25">
      <c r="B19" s="17">
        <v>17</v>
      </c>
      <c r="E19" s="72"/>
      <c r="F19" s="18"/>
      <c r="J19" s="11"/>
      <c r="K19" s="11">
        <f t="shared" si="20"/>
        <v>0</v>
      </c>
      <c r="L19" s="37">
        <f t="shared" si="21"/>
        <v>0</v>
      </c>
      <c r="M19" s="11"/>
      <c r="O19" s="21"/>
      <c r="P19" s="21"/>
      <c r="Q19" s="21"/>
      <c r="R19" s="23"/>
      <c r="S19" s="50"/>
      <c r="T19" s="48"/>
      <c r="U19" s="81"/>
      <c r="V19" s="26"/>
      <c r="W19" s="200"/>
      <c r="X19" s="17"/>
      <c r="Z19">
        <v>3</v>
      </c>
      <c r="AA19" s="416"/>
      <c r="AB19" s="96">
        <v>5</v>
      </c>
      <c r="AC19" s="102"/>
      <c r="AD19" s="41">
        <f t="shared" si="3"/>
        <v>0</v>
      </c>
      <c r="AE19" s="70">
        <f t="shared" si="4"/>
        <v>0</v>
      </c>
      <c r="AF19" s="70">
        <f t="shared" si="5"/>
        <v>0</v>
      </c>
      <c r="AG19" s="70">
        <f t="shared" si="6"/>
        <v>0</v>
      </c>
      <c r="AH19" s="109">
        <f t="shared" si="7"/>
        <v>0</v>
      </c>
      <c r="AI19" s="120">
        <f t="shared" si="8"/>
        <v>0</v>
      </c>
      <c r="AJ19" s="121">
        <f t="shared" si="9"/>
        <v>0</v>
      </c>
      <c r="AK19" s="121">
        <f t="shared" si="10"/>
        <v>0</v>
      </c>
      <c r="AL19" s="121">
        <f t="shared" si="11"/>
        <v>0</v>
      </c>
      <c r="AM19" s="122">
        <f t="shared" si="12"/>
        <v>0</v>
      </c>
      <c r="AN19" s="41">
        <f t="shared" si="13"/>
        <v>0</v>
      </c>
      <c r="AO19" s="70">
        <f t="shared" si="14"/>
        <v>0</v>
      </c>
      <c r="AP19" s="70">
        <f t="shared" si="15"/>
        <v>0</v>
      </c>
      <c r="AQ19" s="70">
        <f t="shared" si="16"/>
        <v>0</v>
      </c>
      <c r="AR19" s="70">
        <f t="shared" si="17"/>
        <v>0</v>
      </c>
    </row>
    <row r="20" spans="2:48" s="10" customFormat="1" ht="13.5" customHeight="1" thickBot="1" x14ac:dyDescent="0.3">
      <c r="B20" s="17">
        <v>18</v>
      </c>
      <c r="E20" s="72"/>
      <c r="F20" s="18"/>
      <c r="J20" s="11"/>
      <c r="K20" s="11">
        <f t="shared" si="20"/>
        <v>0</v>
      </c>
      <c r="L20" s="37">
        <f t="shared" si="21"/>
        <v>0</v>
      </c>
      <c r="M20" s="11"/>
      <c r="O20" s="21"/>
      <c r="P20" s="21"/>
      <c r="Q20" s="21"/>
      <c r="R20" s="23"/>
      <c r="S20" s="50"/>
      <c r="T20" s="48"/>
      <c r="U20" s="81"/>
      <c r="V20" s="26"/>
      <c r="W20" s="200"/>
      <c r="X20" s="17"/>
      <c r="Z20">
        <v>3</v>
      </c>
      <c r="AA20" s="417"/>
      <c r="AB20" s="97" t="s">
        <v>3</v>
      </c>
      <c r="AC20" s="103"/>
      <c r="AD20" s="99">
        <f>SUM(AD15:AD19)</f>
        <v>0</v>
      </c>
      <c r="AE20" s="99">
        <f t="shared" ref="AE20" si="50">SUM(AE15:AE19)</f>
        <v>0</v>
      </c>
      <c r="AF20" s="99">
        <f t="shared" ref="AF20" si="51">SUM(AF15:AF19)</f>
        <v>0</v>
      </c>
      <c r="AG20" s="99">
        <f t="shared" ref="AG20" si="52">SUM(AG15:AG19)</f>
        <v>0</v>
      </c>
      <c r="AH20" s="110">
        <f t="shared" ref="AH20" si="53">SUM(AH15:AH19)</f>
        <v>0</v>
      </c>
      <c r="AI20" s="123">
        <f t="shared" ref="AI20" si="54">SUM(AI15:AI19)</f>
        <v>0</v>
      </c>
      <c r="AJ20" s="124">
        <f t="shared" ref="AJ20" si="55">SUM(AJ15:AJ19)</f>
        <v>0</v>
      </c>
      <c r="AK20" s="124">
        <f t="shared" ref="AK20" si="56">SUM(AK15:AK19)</f>
        <v>0</v>
      </c>
      <c r="AL20" s="124">
        <f t="shared" ref="AL20" si="57">SUM(AL15:AL19)</f>
        <v>0</v>
      </c>
      <c r="AM20" s="125">
        <f t="shared" ref="AM20" si="58">SUM(AM15:AM19)</f>
        <v>0</v>
      </c>
      <c r="AN20" s="99">
        <f t="shared" ref="AN20" si="59">SUM(AN15:AN19)</f>
        <v>0</v>
      </c>
      <c r="AO20" s="99">
        <f t="shared" ref="AO20" si="60">SUM(AO15:AO19)</f>
        <v>0</v>
      </c>
      <c r="AP20" s="99">
        <f t="shared" ref="AP20" si="61">SUM(AP15:AP19)</f>
        <v>0</v>
      </c>
      <c r="AQ20" s="99">
        <f t="shared" ref="AQ20" si="62">SUM(AQ15:AQ19)</f>
        <v>0</v>
      </c>
      <c r="AR20" s="99">
        <f t="shared" ref="AR20" si="63">SUM(AR15:AR19)</f>
        <v>0</v>
      </c>
    </row>
    <row r="21" spans="2:48" s="10" customFormat="1" ht="13.5" customHeight="1" x14ac:dyDescent="0.25">
      <c r="B21" s="17">
        <v>19</v>
      </c>
      <c r="E21" s="72"/>
      <c r="F21" s="18"/>
      <c r="J21" s="11"/>
      <c r="K21" s="11">
        <f t="shared" si="20"/>
        <v>0</v>
      </c>
      <c r="L21" s="37">
        <f t="shared" si="21"/>
        <v>0</v>
      </c>
      <c r="M21" s="11"/>
      <c r="O21" s="21"/>
      <c r="P21" s="21"/>
      <c r="Q21" s="21"/>
      <c r="R21" s="23"/>
      <c r="S21" s="50"/>
      <c r="T21" s="48"/>
      <c r="U21" s="81"/>
      <c r="V21" s="26"/>
      <c r="W21" s="200"/>
      <c r="X21" s="17"/>
      <c r="Z21">
        <v>4</v>
      </c>
      <c r="AA21" s="415">
        <v>4</v>
      </c>
      <c r="AB21" s="94">
        <v>1</v>
      </c>
      <c r="AC21" s="100" t="s">
        <v>108</v>
      </c>
      <c r="AD21" s="41">
        <f t="shared" si="3"/>
        <v>0</v>
      </c>
      <c r="AE21" s="70">
        <f t="shared" si="4"/>
        <v>0</v>
      </c>
      <c r="AF21" s="70">
        <f t="shared" si="5"/>
        <v>0</v>
      </c>
      <c r="AG21" s="70">
        <f t="shared" si="6"/>
        <v>0</v>
      </c>
      <c r="AH21" s="109">
        <f t="shared" si="7"/>
        <v>0</v>
      </c>
      <c r="AI21" s="120">
        <f t="shared" si="8"/>
        <v>0</v>
      </c>
      <c r="AJ21" s="121">
        <f t="shared" si="9"/>
        <v>0</v>
      </c>
      <c r="AK21" s="121">
        <f t="shared" si="10"/>
        <v>0</v>
      </c>
      <c r="AL21" s="121">
        <f t="shared" si="11"/>
        <v>0</v>
      </c>
      <c r="AM21" s="122">
        <f t="shared" si="12"/>
        <v>0</v>
      </c>
      <c r="AN21" s="41">
        <f t="shared" si="13"/>
        <v>0</v>
      </c>
      <c r="AO21" s="70">
        <f t="shared" si="14"/>
        <v>0</v>
      </c>
      <c r="AP21" s="70">
        <f t="shared" si="15"/>
        <v>0</v>
      </c>
      <c r="AQ21" s="70">
        <f t="shared" si="16"/>
        <v>0</v>
      </c>
      <c r="AR21" s="70">
        <f t="shared" si="17"/>
        <v>0</v>
      </c>
    </row>
    <row r="22" spans="2:48" s="10" customFormat="1" ht="13.5" customHeight="1" x14ac:dyDescent="0.25">
      <c r="B22" s="17">
        <v>20</v>
      </c>
      <c r="E22" s="72"/>
      <c r="F22" s="18"/>
      <c r="J22" s="11"/>
      <c r="K22" s="11">
        <f t="shared" si="20"/>
        <v>0</v>
      </c>
      <c r="L22" s="37">
        <f t="shared" si="21"/>
        <v>0</v>
      </c>
      <c r="M22" s="11"/>
      <c r="O22" s="21"/>
      <c r="P22" s="21"/>
      <c r="Q22" s="21"/>
      <c r="R22" s="23"/>
      <c r="S22" s="50"/>
      <c r="T22" s="48"/>
      <c r="U22" s="81"/>
      <c r="V22" s="26"/>
      <c r="W22" s="200"/>
      <c r="X22" s="17"/>
      <c r="Z22">
        <v>4</v>
      </c>
      <c r="AA22" s="416"/>
      <c r="AB22" s="95">
        <v>2</v>
      </c>
      <c r="AC22" s="102" t="s">
        <v>68</v>
      </c>
      <c r="AD22" s="41">
        <f t="shared" si="3"/>
        <v>0</v>
      </c>
      <c r="AE22" s="70">
        <f t="shared" si="4"/>
        <v>0</v>
      </c>
      <c r="AF22" s="70">
        <f t="shared" si="5"/>
        <v>0</v>
      </c>
      <c r="AG22" s="70">
        <f t="shared" si="6"/>
        <v>0</v>
      </c>
      <c r="AH22" s="109">
        <f t="shared" si="7"/>
        <v>0</v>
      </c>
      <c r="AI22" s="120">
        <f t="shared" si="8"/>
        <v>0</v>
      </c>
      <c r="AJ22" s="121">
        <f t="shared" si="9"/>
        <v>0</v>
      </c>
      <c r="AK22" s="121">
        <f t="shared" si="10"/>
        <v>0</v>
      </c>
      <c r="AL22" s="121">
        <f t="shared" si="11"/>
        <v>0</v>
      </c>
      <c r="AM22" s="122">
        <f t="shared" si="12"/>
        <v>0</v>
      </c>
      <c r="AN22" s="41">
        <f t="shared" si="13"/>
        <v>0</v>
      </c>
      <c r="AO22" s="70">
        <f t="shared" si="14"/>
        <v>0</v>
      </c>
      <c r="AP22" s="70">
        <f t="shared" si="15"/>
        <v>0</v>
      </c>
      <c r="AQ22" s="70">
        <f t="shared" si="16"/>
        <v>0</v>
      </c>
      <c r="AR22" s="70">
        <f t="shared" si="17"/>
        <v>0</v>
      </c>
    </row>
    <row r="23" spans="2:48" s="10" customFormat="1" ht="13.5" customHeight="1" x14ac:dyDescent="0.25">
      <c r="B23" s="17">
        <v>21</v>
      </c>
      <c r="E23" s="72"/>
      <c r="F23" s="18"/>
      <c r="J23" s="11"/>
      <c r="K23" s="11">
        <f t="shared" si="20"/>
        <v>0</v>
      </c>
      <c r="L23" s="37">
        <f t="shared" si="21"/>
        <v>0</v>
      </c>
      <c r="M23" s="11"/>
      <c r="O23" s="21"/>
      <c r="P23" s="21"/>
      <c r="Q23" s="21"/>
      <c r="R23" s="23"/>
      <c r="S23" s="50"/>
      <c r="T23" s="48"/>
      <c r="U23" s="81"/>
      <c r="V23" s="26"/>
      <c r="W23" s="200"/>
      <c r="X23" s="17"/>
      <c r="Z23">
        <v>4</v>
      </c>
      <c r="AA23" s="416"/>
      <c r="AB23" s="95">
        <v>3</v>
      </c>
      <c r="AC23" s="102" t="s">
        <v>69</v>
      </c>
      <c r="AD23" s="41">
        <f t="shared" si="3"/>
        <v>0</v>
      </c>
      <c r="AE23" s="70">
        <f t="shared" si="4"/>
        <v>0</v>
      </c>
      <c r="AF23" s="70">
        <f t="shared" si="5"/>
        <v>0</v>
      </c>
      <c r="AG23" s="70">
        <f t="shared" si="6"/>
        <v>0</v>
      </c>
      <c r="AH23" s="109">
        <f t="shared" si="7"/>
        <v>0</v>
      </c>
      <c r="AI23" s="120">
        <f t="shared" si="8"/>
        <v>0</v>
      </c>
      <c r="AJ23" s="121">
        <f t="shared" si="9"/>
        <v>0</v>
      </c>
      <c r="AK23" s="121">
        <f t="shared" si="10"/>
        <v>0</v>
      </c>
      <c r="AL23" s="121">
        <f t="shared" si="11"/>
        <v>0</v>
      </c>
      <c r="AM23" s="122">
        <f t="shared" si="12"/>
        <v>0</v>
      </c>
      <c r="AN23" s="41">
        <f t="shared" si="13"/>
        <v>0</v>
      </c>
      <c r="AO23" s="70">
        <f t="shared" si="14"/>
        <v>0</v>
      </c>
      <c r="AP23" s="70">
        <f t="shared" si="15"/>
        <v>0</v>
      </c>
      <c r="AQ23" s="70">
        <f t="shared" si="16"/>
        <v>0</v>
      </c>
      <c r="AR23" s="70">
        <f t="shared" si="17"/>
        <v>0</v>
      </c>
    </row>
    <row r="24" spans="2:48" s="10" customFormat="1" ht="13.5" customHeight="1" x14ac:dyDescent="0.25">
      <c r="B24" s="17">
        <v>22</v>
      </c>
      <c r="E24" s="72"/>
      <c r="F24" s="18"/>
      <c r="J24" s="11"/>
      <c r="K24" s="11">
        <f t="shared" si="20"/>
        <v>0</v>
      </c>
      <c r="L24" s="37">
        <f t="shared" si="21"/>
        <v>0</v>
      </c>
      <c r="M24" s="11"/>
      <c r="O24" s="21"/>
      <c r="P24" s="21"/>
      <c r="Q24" s="21"/>
      <c r="R24" s="23"/>
      <c r="S24" s="50"/>
      <c r="T24" s="48"/>
      <c r="U24" s="81"/>
      <c r="V24" s="26"/>
      <c r="W24" s="200"/>
      <c r="X24" s="17"/>
      <c r="Z24">
        <v>4</v>
      </c>
      <c r="AA24" s="416"/>
      <c r="AB24" s="95">
        <v>4</v>
      </c>
      <c r="AC24" s="102" t="s">
        <v>70</v>
      </c>
      <c r="AD24" s="41">
        <f t="shared" si="3"/>
        <v>0</v>
      </c>
      <c r="AE24" s="70">
        <f t="shared" si="4"/>
        <v>0</v>
      </c>
      <c r="AF24" s="70">
        <f t="shared" si="5"/>
        <v>0</v>
      </c>
      <c r="AG24" s="70">
        <f t="shared" si="6"/>
        <v>0</v>
      </c>
      <c r="AH24" s="109">
        <f t="shared" si="7"/>
        <v>0</v>
      </c>
      <c r="AI24" s="120">
        <f t="shared" si="8"/>
        <v>0</v>
      </c>
      <c r="AJ24" s="121">
        <f t="shared" si="9"/>
        <v>0</v>
      </c>
      <c r="AK24" s="121">
        <f t="shared" si="10"/>
        <v>0</v>
      </c>
      <c r="AL24" s="121">
        <f t="shared" si="11"/>
        <v>0</v>
      </c>
      <c r="AM24" s="122">
        <f t="shared" si="12"/>
        <v>0</v>
      </c>
      <c r="AN24" s="41">
        <f t="shared" si="13"/>
        <v>0</v>
      </c>
      <c r="AO24" s="70">
        <f t="shared" si="14"/>
        <v>0</v>
      </c>
      <c r="AP24" s="70">
        <f t="shared" si="15"/>
        <v>0</v>
      </c>
      <c r="AQ24" s="70">
        <f t="shared" si="16"/>
        <v>0</v>
      </c>
      <c r="AR24" s="70">
        <f t="shared" si="17"/>
        <v>0</v>
      </c>
      <c r="AT24" s="201" t="s">
        <v>256</v>
      </c>
      <c r="AU24" s="201" t="s">
        <v>257</v>
      </c>
      <c r="AV24" s="201" t="s">
        <v>152</v>
      </c>
    </row>
    <row r="25" spans="2:48" s="10" customFormat="1" ht="13.5" customHeight="1" x14ac:dyDescent="0.25">
      <c r="B25" s="17">
        <v>23</v>
      </c>
      <c r="E25" s="72"/>
      <c r="F25" s="18"/>
      <c r="J25" s="11"/>
      <c r="K25" s="11">
        <f t="shared" si="20"/>
        <v>0</v>
      </c>
      <c r="L25" s="37">
        <f t="shared" si="21"/>
        <v>0</v>
      </c>
      <c r="M25" s="11"/>
      <c r="O25" s="21"/>
      <c r="P25" s="21"/>
      <c r="Q25" s="21"/>
      <c r="R25" s="23"/>
      <c r="S25" s="50"/>
      <c r="T25" s="48"/>
      <c r="U25" s="81"/>
      <c r="V25" s="26"/>
      <c r="W25" s="200"/>
      <c r="X25" s="17"/>
      <c r="Z25">
        <v>4</v>
      </c>
      <c r="AA25" s="416"/>
      <c r="AB25" s="96">
        <v>5</v>
      </c>
      <c r="AC25" s="102" t="s">
        <v>109</v>
      </c>
      <c r="AD25" s="41">
        <f t="shared" si="3"/>
        <v>0</v>
      </c>
      <c r="AE25" s="70">
        <f t="shared" si="4"/>
        <v>0</v>
      </c>
      <c r="AF25" s="70">
        <f t="shared" si="5"/>
        <v>0</v>
      </c>
      <c r="AG25" s="70">
        <f t="shared" si="6"/>
        <v>0</v>
      </c>
      <c r="AH25" s="109">
        <f t="shared" si="7"/>
        <v>0</v>
      </c>
      <c r="AI25" s="120">
        <f t="shared" si="8"/>
        <v>0</v>
      </c>
      <c r="AJ25" s="121">
        <f t="shared" si="9"/>
        <v>0</v>
      </c>
      <c r="AK25" s="121">
        <f t="shared" si="10"/>
        <v>0</v>
      </c>
      <c r="AL25" s="121">
        <f t="shared" si="11"/>
        <v>0</v>
      </c>
      <c r="AM25" s="122">
        <f t="shared" si="12"/>
        <v>0</v>
      </c>
      <c r="AN25" s="41">
        <f t="shared" si="13"/>
        <v>0</v>
      </c>
      <c r="AO25" s="70">
        <f t="shared" si="14"/>
        <v>0</v>
      </c>
      <c r="AP25" s="70">
        <f t="shared" si="15"/>
        <v>0</v>
      </c>
      <c r="AQ25" s="70">
        <f t="shared" si="16"/>
        <v>0</v>
      </c>
      <c r="AR25" s="70">
        <f t="shared" si="17"/>
        <v>0</v>
      </c>
      <c r="AT25" s="202" t="s">
        <v>270</v>
      </c>
      <c r="AU25" s="202">
        <f>COUNTIF($W:$W, AT25)</f>
        <v>0</v>
      </c>
      <c r="AV25" s="203">
        <f>AU25/$AU$33</f>
        <v>0</v>
      </c>
    </row>
    <row r="26" spans="2:48" s="10" customFormat="1" ht="13.5" customHeight="1" thickBot="1" x14ac:dyDescent="0.3">
      <c r="B26" s="17">
        <v>24</v>
      </c>
      <c r="E26" s="72"/>
      <c r="F26" s="18"/>
      <c r="J26" s="11"/>
      <c r="K26" s="11">
        <f t="shared" si="20"/>
        <v>0</v>
      </c>
      <c r="L26" s="37">
        <f t="shared" si="21"/>
        <v>0</v>
      </c>
      <c r="M26" s="11"/>
      <c r="O26" s="21"/>
      <c r="P26" s="21"/>
      <c r="Q26" s="21"/>
      <c r="R26" s="23"/>
      <c r="S26" s="50"/>
      <c r="T26" s="48"/>
      <c r="U26" s="81"/>
      <c r="V26" s="26"/>
      <c r="W26" s="200"/>
      <c r="X26" s="17"/>
      <c r="Z26">
        <v>4</v>
      </c>
      <c r="AA26" s="417"/>
      <c r="AB26" s="97" t="s">
        <v>3</v>
      </c>
      <c r="AC26" s="103"/>
      <c r="AD26" s="99">
        <f>SUM(AD21:AD25)</f>
        <v>0</v>
      </c>
      <c r="AE26" s="99">
        <f t="shared" ref="AE26" si="64">SUM(AE21:AE25)</f>
        <v>0</v>
      </c>
      <c r="AF26" s="99">
        <f t="shared" ref="AF26" si="65">SUM(AF21:AF25)</f>
        <v>0</v>
      </c>
      <c r="AG26" s="99">
        <f t="shared" ref="AG26" si="66">SUM(AG21:AG25)</f>
        <v>0</v>
      </c>
      <c r="AH26" s="110">
        <f t="shared" ref="AH26" si="67">SUM(AH21:AH25)</f>
        <v>0</v>
      </c>
      <c r="AI26" s="123">
        <f t="shared" ref="AI26" si="68">SUM(AI21:AI25)</f>
        <v>0</v>
      </c>
      <c r="AJ26" s="124">
        <f t="shared" ref="AJ26" si="69">SUM(AJ21:AJ25)</f>
        <v>0</v>
      </c>
      <c r="AK26" s="124">
        <f t="shared" ref="AK26" si="70">SUM(AK21:AK25)</f>
        <v>0</v>
      </c>
      <c r="AL26" s="124">
        <f t="shared" ref="AL26" si="71">SUM(AL21:AL25)</f>
        <v>0</v>
      </c>
      <c r="AM26" s="125">
        <f t="shared" ref="AM26" si="72">SUM(AM21:AM25)</f>
        <v>0</v>
      </c>
      <c r="AN26" s="99">
        <f t="shared" ref="AN26" si="73">SUM(AN21:AN25)</f>
        <v>0</v>
      </c>
      <c r="AO26" s="99">
        <f t="shared" ref="AO26" si="74">SUM(AO21:AO25)</f>
        <v>0</v>
      </c>
      <c r="AP26" s="99">
        <f t="shared" ref="AP26" si="75">SUM(AP21:AP25)</f>
        <v>0</v>
      </c>
      <c r="AQ26" s="99">
        <f t="shared" ref="AQ26" si="76">SUM(AQ21:AQ25)</f>
        <v>0</v>
      </c>
      <c r="AR26" s="99">
        <f t="shared" ref="AR26" si="77">SUM(AR21:AR25)</f>
        <v>0</v>
      </c>
      <c r="AT26" s="202" t="s">
        <v>259</v>
      </c>
      <c r="AU26" s="202">
        <f t="shared" ref="AU26:AU32" si="78">COUNTIF($W:$W, AT26)</f>
        <v>0</v>
      </c>
      <c r="AV26" s="203">
        <f t="shared" ref="AV26:AV33" si="79">AU26/$AU$33</f>
        <v>0</v>
      </c>
    </row>
    <row r="27" spans="2:48" s="10" customFormat="1" ht="13.5" customHeight="1" x14ac:dyDescent="0.25">
      <c r="B27" s="17">
        <v>25</v>
      </c>
      <c r="E27" s="72"/>
      <c r="F27" s="18"/>
      <c r="J27" s="11"/>
      <c r="K27" s="11">
        <f t="shared" si="20"/>
        <v>0</v>
      </c>
      <c r="L27" s="37">
        <f t="shared" si="21"/>
        <v>0</v>
      </c>
      <c r="M27" s="11"/>
      <c r="O27" s="21"/>
      <c r="P27" s="21"/>
      <c r="Q27" s="21"/>
      <c r="R27" s="23"/>
      <c r="S27" s="50"/>
      <c r="T27" s="48"/>
      <c r="U27" s="81"/>
      <c r="V27" s="26"/>
      <c r="W27" s="200"/>
      <c r="X27" s="17"/>
      <c r="Z27">
        <v>5</v>
      </c>
      <c r="AA27" s="415">
        <v>5</v>
      </c>
      <c r="AB27" s="94">
        <v>1</v>
      </c>
      <c r="AC27" s="100" t="s">
        <v>110</v>
      </c>
      <c r="AD27" s="41">
        <f t="shared" si="3"/>
        <v>0</v>
      </c>
      <c r="AE27" s="70">
        <f t="shared" si="4"/>
        <v>0</v>
      </c>
      <c r="AF27" s="70">
        <f t="shared" si="5"/>
        <v>0</v>
      </c>
      <c r="AG27" s="70">
        <f t="shared" si="6"/>
        <v>0</v>
      </c>
      <c r="AH27" s="109">
        <f t="shared" si="7"/>
        <v>0</v>
      </c>
      <c r="AI27" s="120">
        <f t="shared" si="8"/>
        <v>0</v>
      </c>
      <c r="AJ27" s="121">
        <f t="shared" si="9"/>
        <v>0</v>
      </c>
      <c r="AK27" s="121">
        <f t="shared" si="10"/>
        <v>0</v>
      </c>
      <c r="AL27" s="121">
        <f t="shared" si="11"/>
        <v>0</v>
      </c>
      <c r="AM27" s="122">
        <f t="shared" si="12"/>
        <v>0</v>
      </c>
      <c r="AN27" s="41">
        <f t="shared" si="13"/>
        <v>0</v>
      </c>
      <c r="AO27" s="70">
        <f t="shared" si="14"/>
        <v>0</v>
      </c>
      <c r="AP27" s="70">
        <f t="shared" si="15"/>
        <v>0</v>
      </c>
      <c r="AQ27" s="70">
        <f t="shared" si="16"/>
        <v>0</v>
      </c>
      <c r="AR27" s="70">
        <f t="shared" si="17"/>
        <v>0</v>
      </c>
      <c r="AT27" s="202" t="s">
        <v>260</v>
      </c>
      <c r="AU27" s="202">
        <f t="shared" si="78"/>
        <v>0</v>
      </c>
      <c r="AV27" s="203">
        <f t="shared" si="79"/>
        <v>0</v>
      </c>
    </row>
    <row r="28" spans="2:48" s="10" customFormat="1" ht="13.5" customHeight="1" x14ac:dyDescent="0.25">
      <c r="B28" s="17">
        <v>26</v>
      </c>
      <c r="E28" s="72"/>
      <c r="F28" s="18"/>
      <c r="J28" s="11"/>
      <c r="K28" s="11">
        <f t="shared" si="20"/>
        <v>0</v>
      </c>
      <c r="L28" s="37">
        <f t="shared" si="21"/>
        <v>0</v>
      </c>
      <c r="M28" s="11"/>
      <c r="O28" s="21"/>
      <c r="P28" s="21"/>
      <c r="Q28" s="21"/>
      <c r="R28" s="23"/>
      <c r="S28" s="50"/>
      <c r="T28" s="48"/>
      <c r="U28" s="81"/>
      <c r="V28" s="26"/>
      <c r="W28" s="200"/>
      <c r="X28" s="17"/>
      <c r="Z28">
        <v>5</v>
      </c>
      <c r="AA28" s="416"/>
      <c r="AB28" s="95">
        <v>2</v>
      </c>
      <c r="AC28" s="102" t="s">
        <v>111</v>
      </c>
      <c r="AD28" s="41">
        <f t="shared" si="3"/>
        <v>0</v>
      </c>
      <c r="AE28" s="70">
        <f t="shared" si="4"/>
        <v>0</v>
      </c>
      <c r="AF28" s="70">
        <f t="shared" si="5"/>
        <v>0</v>
      </c>
      <c r="AG28" s="70">
        <f t="shared" si="6"/>
        <v>0</v>
      </c>
      <c r="AH28" s="109">
        <f t="shared" si="7"/>
        <v>0</v>
      </c>
      <c r="AI28" s="120">
        <f t="shared" si="8"/>
        <v>0</v>
      </c>
      <c r="AJ28" s="121">
        <f t="shared" si="9"/>
        <v>0</v>
      </c>
      <c r="AK28" s="121">
        <f t="shared" si="10"/>
        <v>0</v>
      </c>
      <c r="AL28" s="121">
        <f t="shared" si="11"/>
        <v>0</v>
      </c>
      <c r="AM28" s="122">
        <f t="shared" si="12"/>
        <v>0</v>
      </c>
      <c r="AN28" s="41">
        <f t="shared" si="13"/>
        <v>0</v>
      </c>
      <c r="AO28" s="70">
        <f t="shared" si="14"/>
        <v>0</v>
      </c>
      <c r="AP28" s="70">
        <f t="shared" si="15"/>
        <v>0</v>
      </c>
      <c r="AQ28" s="70">
        <f t="shared" si="16"/>
        <v>0</v>
      </c>
      <c r="AR28" s="70">
        <f t="shared" si="17"/>
        <v>0</v>
      </c>
      <c r="AT28" s="202" t="s">
        <v>261</v>
      </c>
      <c r="AU28" s="202">
        <f t="shared" si="78"/>
        <v>1</v>
      </c>
      <c r="AV28" s="203">
        <f t="shared" si="79"/>
        <v>1</v>
      </c>
    </row>
    <row r="29" spans="2:48" s="10" customFormat="1" ht="13.5" customHeight="1" x14ac:dyDescent="0.25">
      <c r="B29" s="17">
        <v>27</v>
      </c>
      <c r="E29" s="72"/>
      <c r="F29" s="18"/>
      <c r="J29" s="11"/>
      <c r="K29" s="11">
        <f t="shared" si="20"/>
        <v>0</v>
      </c>
      <c r="L29" s="37">
        <f t="shared" si="21"/>
        <v>0</v>
      </c>
      <c r="M29" s="11"/>
      <c r="O29" s="21"/>
      <c r="P29" s="21"/>
      <c r="Q29" s="21"/>
      <c r="R29" s="23"/>
      <c r="S29" s="50"/>
      <c r="T29" s="48"/>
      <c r="U29" s="81"/>
      <c r="V29" s="26"/>
      <c r="W29" s="200"/>
      <c r="X29" s="17"/>
      <c r="Z29">
        <v>5</v>
      </c>
      <c r="AA29" s="416"/>
      <c r="AB29" s="95">
        <v>3</v>
      </c>
      <c r="AC29" s="102" t="s">
        <v>112</v>
      </c>
      <c r="AD29" s="41">
        <f t="shared" si="3"/>
        <v>0</v>
      </c>
      <c r="AE29" s="70">
        <f t="shared" si="4"/>
        <v>0</v>
      </c>
      <c r="AF29" s="70">
        <f t="shared" si="5"/>
        <v>0</v>
      </c>
      <c r="AG29" s="70">
        <f t="shared" si="6"/>
        <v>0</v>
      </c>
      <c r="AH29" s="109">
        <f t="shared" si="7"/>
        <v>0</v>
      </c>
      <c r="AI29" s="120">
        <f t="shared" si="8"/>
        <v>0</v>
      </c>
      <c r="AJ29" s="121">
        <f t="shared" si="9"/>
        <v>0</v>
      </c>
      <c r="AK29" s="121">
        <f t="shared" si="10"/>
        <v>0</v>
      </c>
      <c r="AL29" s="121">
        <f t="shared" si="11"/>
        <v>0</v>
      </c>
      <c r="AM29" s="122">
        <f t="shared" si="12"/>
        <v>0</v>
      </c>
      <c r="AN29" s="41">
        <f t="shared" si="13"/>
        <v>0</v>
      </c>
      <c r="AO29" s="70">
        <f t="shared" si="14"/>
        <v>0</v>
      </c>
      <c r="AP29" s="70">
        <f t="shared" si="15"/>
        <v>0</v>
      </c>
      <c r="AQ29" s="70">
        <f t="shared" si="16"/>
        <v>0</v>
      </c>
      <c r="AR29" s="70">
        <f t="shared" si="17"/>
        <v>0</v>
      </c>
      <c r="AT29" s="202" t="s">
        <v>262</v>
      </c>
      <c r="AU29" s="202">
        <f t="shared" si="78"/>
        <v>0</v>
      </c>
      <c r="AV29" s="203">
        <f t="shared" si="79"/>
        <v>0</v>
      </c>
    </row>
    <row r="30" spans="2:48" s="10" customFormat="1" ht="13.5" customHeight="1" x14ac:dyDescent="0.25">
      <c r="B30" s="17">
        <v>28</v>
      </c>
      <c r="E30" s="72"/>
      <c r="F30" s="18"/>
      <c r="J30" s="11"/>
      <c r="K30" s="11">
        <f t="shared" si="20"/>
        <v>0</v>
      </c>
      <c r="L30" s="37">
        <f t="shared" si="21"/>
        <v>0</v>
      </c>
      <c r="M30" s="11"/>
      <c r="O30" s="21"/>
      <c r="P30" s="21"/>
      <c r="Q30" s="21"/>
      <c r="R30" s="23"/>
      <c r="S30" s="50"/>
      <c r="T30" s="48"/>
      <c r="U30" s="81"/>
      <c r="V30" s="26"/>
      <c r="W30" s="200"/>
      <c r="X30" s="17"/>
      <c r="Z30">
        <v>5</v>
      </c>
      <c r="AA30" s="416"/>
      <c r="AB30" s="95">
        <v>4</v>
      </c>
      <c r="AC30" s="102" t="s">
        <v>113</v>
      </c>
      <c r="AD30" s="41">
        <f t="shared" si="3"/>
        <v>0</v>
      </c>
      <c r="AE30" s="70">
        <f t="shared" si="4"/>
        <v>0</v>
      </c>
      <c r="AF30" s="70">
        <f t="shared" si="5"/>
        <v>0</v>
      </c>
      <c r="AG30" s="70">
        <f t="shared" si="6"/>
        <v>0</v>
      </c>
      <c r="AH30" s="109">
        <f t="shared" si="7"/>
        <v>0</v>
      </c>
      <c r="AI30" s="120">
        <f t="shared" si="8"/>
        <v>0</v>
      </c>
      <c r="AJ30" s="121">
        <f t="shared" si="9"/>
        <v>0</v>
      </c>
      <c r="AK30" s="121">
        <f t="shared" si="10"/>
        <v>0</v>
      </c>
      <c r="AL30" s="121">
        <f t="shared" si="11"/>
        <v>0</v>
      </c>
      <c r="AM30" s="122">
        <f t="shared" si="12"/>
        <v>0</v>
      </c>
      <c r="AN30" s="41">
        <f t="shared" si="13"/>
        <v>0</v>
      </c>
      <c r="AO30" s="70">
        <f t="shared" si="14"/>
        <v>0</v>
      </c>
      <c r="AP30" s="70">
        <f t="shared" si="15"/>
        <v>0</v>
      </c>
      <c r="AQ30" s="70">
        <f t="shared" si="16"/>
        <v>0</v>
      </c>
      <c r="AR30" s="70">
        <f t="shared" si="17"/>
        <v>0</v>
      </c>
      <c r="AT30" s="202" t="s">
        <v>263</v>
      </c>
      <c r="AU30" s="202">
        <f t="shared" si="78"/>
        <v>0</v>
      </c>
      <c r="AV30" s="203">
        <f t="shared" si="79"/>
        <v>0</v>
      </c>
    </row>
    <row r="31" spans="2:48" s="10" customFormat="1" ht="13.5" customHeight="1" x14ac:dyDescent="0.25">
      <c r="B31" s="17">
        <v>29</v>
      </c>
      <c r="E31" s="72"/>
      <c r="F31" s="18"/>
      <c r="J31" s="11"/>
      <c r="K31" s="11">
        <f t="shared" si="20"/>
        <v>0</v>
      </c>
      <c r="L31" s="37">
        <f t="shared" si="21"/>
        <v>0</v>
      </c>
      <c r="M31" s="11"/>
      <c r="O31" s="21"/>
      <c r="P31" s="21"/>
      <c r="Q31" s="21"/>
      <c r="R31" s="23"/>
      <c r="S31" s="50"/>
      <c r="T31" s="48"/>
      <c r="U31" s="81"/>
      <c r="V31" s="26"/>
      <c r="W31" s="200"/>
      <c r="X31" s="17"/>
      <c r="Z31">
        <v>5</v>
      </c>
      <c r="AA31" s="416"/>
      <c r="AB31" s="96">
        <v>5</v>
      </c>
      <c r="AC31" s="102"/>
      <c r="AD31" s="41">
        <f t="shared" si="3"/>
        <v>0</v>
      </c>
      <c r="AE31" s="70">
        <f t="shared" si="4"/>
        <v>0</v>
      </c>
      <c r="AF31" s="70">
        <f t="shared" si="5"/>
        <v>0</v>
      </c>
      <c r="AG31" s="70">
        <f t="shared" si="6"/>
        <v>0</v>
      </c>
      <c r="AH31" s="109">
        <f t="shared" si="7"/>
        <v>0</v>
      </c>
      <c r="AI31" s="120">
        <f t="shared" si="8"/>
        <v>0</v>
      </c>
      <c r="AJ31" s="121">
        <f t="shared" si="9"/>
        <v>0</v>
      </c>
      <c r="AK31" s="121">
        <f t="shared" si="10"/>
        <v>0</v>
      </c>
      <c r="AL31" s="121">
        <f t="shared" si="11"/>
        <v>0</v>
      </c>
      <c r="AM31" s="122">
        <f t="shared" si="12"/>
        <v>0</v>
      </c>
      <c r="AN31" s="41">
        <f t="shared" si="13"/>
        <v>0</v>
      </c>
      <c r="AO31" s="70">
        <f t="shared" si="14"/>
        <v>0</v>
      </c>
      <c r="AP31" s="70">
        <f t="shared" si="15"/>
        <v>0</v>
      </c>
      <c r="AQ31" s="70">
        <f t="shared" si="16"/>
        <v>0</v>
      </c>
      <c r="AR31" s="70">
        <f t="shared" si="17"/>
        <v>0</v>
      </c>
      <c r="AT31" s="202" t="s">
        <v>264</v>
      </c>
      <c r="AU31" s="202">
        <f t="shared" si="78"/>
        <v>0</v>
      </c>
      <c r="AV31" s="203">
        <f t="shared" si="79"/>
        <v>0</v>
      </c>
    </row>
    <row r="32" spans="2:48" s="10" customFormat="1" ht="13.5" customHeight="1" thickBot="1" x14ac:dyDescent="0.3">
      <c r="B32" s="17">
        <v>30</v>
      </c>
      <c r="E32" s="72"/>
      <c r="F32" s="18"/>
      <c r="J32" s="11"/>
      <c r="K32" s="11">
        <f t="shared" si="20"/>
        <v>0</v>
      </c>
      <c r="L32" s="37">
        <f t="shared" si="21"/>
        <v>0</v>
      </c>
      <c r="M32" s="11"/>
      <c r="O32" s="21"/>
      <c r="P32" s="21"/>
      <c r="Q32" s="21"/>
      <c r="R32" s="23"/>
      <c r="S32" s="50"/>
      <c r="T32" s="48"/>
      <c r="U32" s="81"/>
      <c r="V32" s="26"/>
      <c r="W32" s="200"/>
      <c r="X32" s="17"/>
      <c r="Z32">
        <v>5</v>
      </c>
      <c r="AA32" s="417"/>
      <c r="AB32" s="97" t="s">
        <v>3</v>
      </c>
      <c r="AC32" s="103"/>
      <c r="AD32" s="99">
        <f>SUM(AD27:AD31)</f>
        <v>0</v>
      </c>
      <c r="AE32" s="99">
        <f t="shared" ref="AE32" si="80">SUM(AE27:AE31)</f>
        <v>0</v>
      </c>
      <c r="AF32" s="99">
        <f t="shared" ref="AF32" si="81">SUM(AF27:AF31)</f>
        <v>0</v>
      </c>
      <c r="AG32" s="99">
        <f t="shared" ref="AG32" si="82">SUM(AG27:AG31)</f>
        <v>0</v>
      </c>
      <c r="AH32" s="110">
        <f t="shared" ref="AH32" si="83">SUM(AH27:AH31)</f>
        <v>0</v>
      </c>
      <c r="AI32" s="123">
        <f t="shared" ref="AI32" si="84">SUM(AI27:AI31)</f>
        <v>0</v>
      </c>
      <c r="AJ32" s="124">
        <f t="shared" ref="AJ32" si="85">SUM(AJ27:AJ31)</f>
        <v>0</v>
      </c>
      <c r="AK32" s="124">
        <f t="shared" ref="AK32" si="86">SUM(AK27:AK31)</f>
        <v>0</v>
      </c>
      <c r="AL32" s="124">
        <f t="shared" ref="AL32" si="87">SUM(AL27:AL31)</f>
        <v>0</v>
      </c>
      <c r="AM32" s="125">
        <f t="shared" ref="AM32" si="88">SUM(AM27:AM31)</f>
        <v>0</v>
      </c>
      <c r="AN32" s="99">
        <f t="shared" ref="AN32" si="89">SUM(AN27:AN31)</f>
        <v>0</v>
      </c>
      <c r="AO32" s="99">
        <f t="shared" ref="AO32" si="90">SUM(AO27:AO31)</f>
        <v>0</v>
      </c>
      <c r="AP32" s="99">
        <f t="shared" ref="AP32" si="91">SUM(AP27:AP31)</f>
        <v>0</v>
      </c>
      <c r="AQ32" s="99">
        <f t="shared" ref="AQ32" si="92">SUM(AQ27:AQ31)</f>
        <v>0</v>
      </c>
      <c r="AR32" s="99">
        <f t="shared" ref="AR32" si="93">SUM(AR27:AR31)</f>
        <v>0</v>
      </c>
      <c r="AT32" s="202" t="s">
        <v>265</v>
      </c>
      <c r="AU32" s="202">
        <f t="shared" si="78"/>
        <v>0</v>
      </c>
      <c r="AV32" s="203">
        <f t="shared" si="79"/>
        <v>0</v>
      </c>
    </row>
    <row r="33" spans="2:48" s="10" customFormat="1" ht="13.5" customHeight="1" x14ac:dyDescent="0.25">
      <c r="B33" s="17">
        <v>31</v>
      </c>
      <c r="E33" s="72"/>
      <c r="F33" s="18"/>
      <c r="J33" s="11"/>
      <c r="K33" s="11">
        <f t="shared" si="20"/>
        <v>0</v>
      </c>
      <c r="L33" s="37">
        <f t="shared" si="21"/>
        <v>0</v>
      </c>
      <c r="M33" s="11"/>
      <c r="O33" s="21"/>
      <c r="P33" s="21"/>
      <c r="Q33" s="21"/>
      <c r="R33" s="23"/>
      <c r="S33" s="50"/>
      <c r="T33" s="48"/>
      <c r="U33" s="81"/>
      <c r="V33" s="26"/>
      <c r="W33" s="200"/>
      <c r="X33" s="17"/>
      <c r="Z33">
        <v>6</v>
      </c>
      <c r="AA33" s="415">
        <v>6</v>
      </c>
      <c r="AB33" s="94">
        <v>1</v>
      </c>
      <c r="AC33" s="100" t="s">
        <v>114</v>
      </c>
      <c r="AD33" s="41">
        <f t="shared" si="3"/>
        <v>0</v>
      </c>
      <c r="AE33" s="70">
        <f t="shared" si="4"/>
        <v>0</v>
      </c>
      <c r="AF33" s="70">
        <f t="shared" si="5"/>
        <v>0</v>
      </c>
      <c r="AG33" s="70">
        <f t="shared" si="6"/>
        <v>0</v>
      </c>
      <c r="AH33" s="109">
        <f t="shared" si="7"/>
        <v>0</v>
      </c>
      <c r="AI33" s="120">
        <f t="shared" si="8"/>
        <v>0</v>
      </c>
      <c r="AJ33" s="121">
        <f t="shared" si="9"/>
        <v>0</v>
      </c>
      <c r="AK33" s="121">
        <f t="shared" si="10"/>
        <v>0</v>
      </c>
      <c r="AL33" s="121">
        <f t="shared" si="11"/>
        <v>0</v>
      </c>
      <c r="AM33" s="122">
        <f t="shared" si="12"/>
        <v>0</v>
      </c>
      <c r="AN33" s="41">
        <f t="shared" si="13"/>
        <v>0</v>
      </c>
      <c r="AO33" s="70">
        <f t="shared" si="14"/>
        <v>0</v>
      </c>
      <c r="AP33" s="70">
        <f t="shared" si="15"/>
        <v>0</v>
      </c>
      <c r="AQ33" s="70">
        <f t="shared" si="16"/>
        <v>0</v>
      </c>
      <c r="AR33" s="70">
        <f t="shared" si="17"/>
        <v>0</v>
      </c>
      <c r="AT33" s="201" t="s">
        <v>266</v>
      </c>
      <c r="AU33" s="201">
        <f>SUM(AU25:AU32)</f>
        <v>1</v>
      </c>
      <c r="AV33" s="204">
        <f t="shared" si="79"/>
        <v>1</v>
      </c>
    </row>
    <row r="34" spans="2:48" s="10" customFormat="1" ht="13.5" customHeight="1" x14ac:dyDescent="0.25">
      <c r="B34" s="17">
        <v>32</v>
      </c>
      <c r="E34" s="72"/>
      <c r="F34" s="18"/>
      <c r="J34" s="11"/>
      <c r="K34" s="11">
        <f t="shared" si="20"/>
        <v>0</v>
      </c>
      <c r="L34" s="37">
        <f t="shared" si="21"/>
        <v>0</v>
      </c>
      <c r="M34" s="11"/>
      <c r="O34" s="21"/>
      <c r="P34" s="21"/>
      <c r="Q34" s="21"/>
      <c r="R34" s="23"/>
      <c r="S34" s="50"/>
      <c r="T34" s="48"/>
      <c r="U34" s="81"/>
      <c r="V34" s="26"/>
      <c r="W34" s="200"/>
      <c r="X34" s="17"/>
      <c r="Z34">
        <v>6</v>
      </c>
      <c r="AA34" s="416"/>
      <c r="AB34" s="95">
        <v>2</v>
      </c>
      <c r="AC34" s="102" t="s">
        <v>115</v>
      </c>
      <c r="AD34" s="41">
        <f t="shared" si="3"/>
        <v>0</v>
      </c>
      <c r="AE34" s="70">
        <f t="shared" si="4"/>
        <v>0</v>
      </c>
      <c r="AF34" s="70">
        <f t="shared" si="5"/>
        <v>0</v>
      </c>
      <c r="AG34" s="70">
        <f t="shared" si="6"/>
        <v>0</v>
      </c>
      <c r="AH34" s="109">
        <f t="shared" si="7"/>
        <v>0</v>
      </c>
      <c r="AI34" s="120">
        <f t="shared" si="8"/>
        <v>0</v>
      </c>
      <c r="AJ34" s="121">
        <f t="shared" si="9"/>
        <v>0</v>
      </c>
      <c r="AK34" s="121">
        <f t="shared" si="10"/>
        <v>0</v>
      </c>
      <c r="AL34" s="121">
        <f t="shared" si="11"/>
        <v>0</v>
      </c>
      <c r="AM34" s="122">
        <f t="shared" si="12"/>
        <v>0</v>
      </c>
      <c r="AN34" s="41">
        <f t="shared" si="13"/>
        <v>0</v>
      </c>
      <c r="AO34" s="70">
        <f t="shared" si="14"/>
        <v>0</v>
      </c>
      <c r="AP34" s="70">
        <f t="shared" si="15"/>
        <v>0</v>
      </c>
      <c r="AQ34" s="70">
        <f t="shared" si="16"/>
        <v>0</v>
      </c>
      <c r="AR34" s="70">
        <f t="shared" si="17"/>
        <v>0</v>
      </c>
    </row>
    <row r="35" spans="2:48" s="10" customFormat="1" ht="13.5" customHeight="1" x14ac:dyDescent="0.25">
      <c r="B35" s="17">
        <v>33</v>
      </c>
      <c r="E35" s="72"/>
      <c r="F35" s="18"/>
      <c r="J35" s="11"/>
      <c r="K35" s="11">
        <f t="shared" si="20"/>
        <v>0</v>
      </c>
      <c r="L35" s="37">
        <f t="shared" si="21"/>
        <v>0</v>
      </c>
      <c r="M35" s="11"/>
      <c r="O35" s="21"/>
      <c r="P35" s="21"/>
      <c r="Q35" s="21"/>
      <c r="R35" s="23"/>
      <c r="S35" s="50"/>
      <c r="T35" s="48"/>
      <c r="U35" s="81"/>
      <c r="V35" s="26"/>
      <c r="W35" s="200"/>
      <c r="X35" s="17"/>
      <c r="Z35">
        <v>6</v>
      </c>
      <c r="AA35" s="416"/>
      <c r="AB35" s="95">
        <v>3</v>
      </c>
      <c r="AC35" s="102" t="s">
        <v>116</v>
      </c>
      <c r="AD35" s="41">
        <f t="shared" si="3"/>
        <v>0</v>
      </c>
      <c r="AE35" s="70">
        <f t="shared" si="4"/>
        <v>0</v>
      </c>
      <c r="AF35" s="70">
        <f t="shared" si="5"/>
        <v>0</v>
      </c>
      <c r="AG35" s="70">
        <f t="shared" si="6"/>
        <v>0</v>
      </c>
      <c r="AH35" s="109">
        <f t="shared" si="7"/>
        <v>0</v>
      </c>
      <c r="AI35" s="120">
        <f t="shared" si="8"/>
        <v>0</v>
      </c>
      <c r="AJ35" s="121">
        <f t="shared" si="9"/>
        <v>0</v>
      </c>
      <c r="AK35" s="121">
        <f t="shared" si="10"/>
        <v>0</v>
      </c>
      <c r="AL35" s="121">
        <f t="shared" si="11"/>
        <v>0</v>
      </c>
      <c r="AM35" s="122">
        <f t="shared" si="12"/>
        <v>0</v>
      </c>
      <c r="AN35" s="41">
        <f t="shared" si="13"/>
        <v>0</v>
      </c>
      <c r="AO35" s="70">
        <f t="shared" si="14"/>
        <v>0</v>
      </c>
      <c r="AP35" s="70">
        <f t="shared" si="15"/>
        <v>0</v>
      </c>
      <c r="AQ35" s="70">
        <f t="shared" si="16"/>
        <v>0</v>
      </c>
      <c r="AR35" s="70">
        <f t="shared" si="17"/>
        <v>0</v>
      </c>
    </row>
    <row r="36" spans="2:48" s="10" customFormat="1" ht="13.5" customHeight="1" x14ac:dyDescent="0.25">
      <c r="B36" s="17">
        <v>34</v>
      </c>
      <c r="E36" s="72"/>
      <c r="F36" s="18"/>
      <c r="J36" s="11"/>
      <c r="K36" s="11">
        <f t="shared" si="20"/>
        <v>0</v>
      </c>
      <c r="L36" s="37">
        <f t="shared" si="21"/>
        <v>0</v>
      </c>
      <c r="M36" s="11"/>
      <c r="O36" s="21"/>
      <c r="P36" s="21"/>
      <c r="Q36" s="21"/>
      <c r="R36" s="23"/>
      <c r="S36" s="50"/>
      <c r="T36" s="48"/>
      <c r="U36" s="81"/>
      <c r="V36" s="32"/>
      <c r="W36" s="200"/>
      <c r="X36" s="17"/>
      <c r="Z36">
        <v>6</v>
      </c>
      <c r="AA36" s="416"/>
      <c r="AB36" s="95">
        <v>4</v>
      </c>
      <c r="AC36" s="102" t="s">
        <v>117</v>
      </c>
      <c r="AD36" s="41">
        <f t="shared" si="3"/>
        <v>69</v>
      </c>
      <c r="AE36" s="70">
        <f t="shared" si="4"/>
        <v>0</v>
      </c>
      <c r="AF36" s="70">
        <f t="shared" si="5"/>
        <v>69</v>
      </c>
      <c r="AG36" s="70">
        <f t="shared" si="6"/>
        <v>0</v>
      </c>
      <c r="AH36" s="109">
        <f t="shared" si="7"/>
        <v>0</v>
      </c>
      <c r="AI36" s="120">
        <f t="shared" si="8"/>
        <v>1</v>
      </c>
      <c r="AJ36" s="121">
        <f t="shared" si="9"/>
        <v>0</v>
      </c>
      <c r="AK36" s="121">
        <f t="shared" si="10"/>
        <v>1</v>
      </c>
      <c r="AL36" s="121">
        <f t="shared" si="11"/>
        <v>0</v>
      </c>
      <c r="AM36" s="122">
        <f t="shared" si="12"/>
        <v>0</v>
      </c>
      <c r="AN36" s="41">
        <f t="shared" si="13"/>
        <v>1.0620909090909092</v>
      </c>
      <c r="AO36" s="70">
        <f t="shared" si="14"/>
        <v>0</v>
      </c>
      <c r="AP36" s="70">
        <f t="shared" si="15"/>
        <v>1.0620909090909092</v>
      </c>
      <c r="AQ36" s="70">
        <f t="shared" si="16"/>
        <v>0</v>
      </c>
      <c r="AR36" s="70">
        <f t="shared" si="17"/>
        <v>0</v>
      </c>
    </row>
    <row r="37" spans="2:48" s="10" customFormat="1" ht="13.5" customHeight="1" x14ac:dyDescent="0.25">
      <c r="B37" s="17">
        <v>35</v>
      </c>
      <c r="E37" s="72"/>
      <c r="F37" s="18"/>
      <c r="J37" s="11"/>
      <c r="K37" s="11">
        <f t="shared" si="20"/>
        <v>0</v>
      </c>
      <c r="L37" s="37">
        <f t="shared" si="21"/>
        <v>0</v>
      </c>
      <c r="M37" s="11"/>
      <c r="O37" s="21"/>
      <c r="P37" s="21"/>
      <c r="Q37" s="21"/>
      <c r="R37" s="23"/>
      <c r="S37" s="50"/>
      <c r="T37" s="48"/>
      <c r="U37" s="81"/>
      <c r="V37" s="32"/>
      <c r="W37" s="200"/>
      <c r="X37" s="17"/>
      <c r="Z37">
        <v>6</v>
      </c>
      <c r="AA37" s="416"/>
      <c r="AB37" s="96">
        <v>5</v>
      </c>
      <c r="AC37" s="102"/>
      <c r="AD37" s="41">
        <f t="shared" si="3"/>
        <v>0</v>
      </c>
      <c r="AE37" s="70">
        <f t="shared" si="4"/>
        <v>0</v>
      </c>
      <c r="AF37" s="70">
        <f t="shared" si="5"/>
        <v>0</v>
      </c>
      <c r="AG37" s="70">
        <f t="shared" si="6"/>
        <v>0</v>
      </c>
      <c r="AH37" s="109">
        <f t="shared" si="7"/>
        <v>0</v>
      </c>
      <c r="AI37" s="120">
        <f t="shared" si="8"/>
        <v>0</v>
      </c>
      <c r="AJ37" s="121">
        <f t="shared" si="9"/>
        <v>0</v>
      </c>
      <c r="AK37" s="121">
        <f t="shared" si="10"/>
        <v>0</v>
      </c>
      <c r="AL37" s="121">
        <f t="shared" si="11"/>
        <v>0</v>
      </c>
      <c r="AM37" s="122">
        <f t="shared" si="12"/>
        <v>0</v>
      </c>
      <c r="AN37" s="41">
        <f t="shared" si="13"/>
        <v>0</v>
      </c>
      <c r="AO37" s="70">
        <f t="shared" si="14"/>
        <v>0</v>
      </c>
      <c r="AP37" s="70">
        <f t="shared" si="15"/>
        <v>0</v>
      </c>
      <c r="AQ37" s="70">
        <f t="shared" si="16"/>
        <v>0</v>
      </c>
      <c r="AR37" s="70">
        <f t="shared" si="17"/>
        <v>0</v>
      </c>
    </row>
    <row r="38" spans="2:48" s="10" customFormat="1" ht="13.5" customHeight="1" thickBot="1" x14ac:dyDescent="0.3">
      <c r="B38" s="17">
        <v>36</v>
      </c>
      <c r="E38" s="72"/>
      <c r="F38" s="18"/>
      <c r="J38" s="11"/>
      <c r="K38" s="11">
        <f t="shared" si="20"/>
        <v>0</v>
      </c>
      <c r="L38" s="37">
        <f t="shared" si="21"/>
        <v>0</v>
      </c>
      <c r="M38" s="11"/>
      <c r="O38" s="21"/>
      <c r="P38" s="21"/>
      <c r="Q38" s="21"/>
      <c r="R38" s="23"/>
      <c r="S38" s="50"/>
      <c r="T38" s="48"/>
      <c r="U38" s="81"/>
      <c r="V38" s="26"/>
      <c r="W38" s="200"/>
      <c r="X38" s="17"/>
      <c r="Z38">
        <v>6</v>
      </c>
      <c r="AA38" s="417"/>
      <c r="AB38" s="97" t="s">
        <v>3</v>
      </c>
      <c r="AC38" s="103"/>
      <c r="AD38" s="99">
        <f>SUM(AD33:AD37)</f>
        <v>69</v>
      </c>
      <c r="AE38" s="99">
        <f t="shared" ref="AE38" si="94">SUM(AE33:AE37)</f>
        <v>0</v>
      </c>
      <c r="AF38" s="99">
        <f t="shared" ref="AF38" si="95">SUM(AF33:AF37)</f>
        <v>69</v>
      </c>
      <c r="AG38" s="99">
        <f t="shared" ref="AG38" si="96">SUM(AG33:AG37)</f>
        <v>0</v>
      </c>
      <c r="AH38" s="110">
        <f t="shared" ref="AH38" si="97">SUM(AH33:AH37)</f>
        <v>0</v>
      </c>
      <c r="AI38" s="123">
        <f t="shared" ref="AI38" si="98">SUM(AI33:AI37)</f>
        <v>1</v>
      </c>
      <c r="AJ38" s="124">
        <f t="shared" ref="AJ38" si="99">SUM(AJ33:AJ37)</f>
        <v>0</v>
      </c>
      <c r="AK38" s="124">
        <f t="shared" ref="AK38" si="100">SUM(AK33:AK37)</f>
        <v>1</v>
      </c>
      <c r="AL38" s="124">
        <f t="shared" ref="AL38" si="101">SUM(AL33:AL37)</f>
        <v>0</v>
      </c>
      <c r="AM38" s="125">
        <f t="shared" ref="AM38" si="102">SUM(AM33:AM37)</f>
        <v>0</v>
      </c>
      <c r="AN38" s="99">
        <f t="shared" ref="AN38" si="103">SUM(AN33:AN37)</f>
        <v>1.0620909090909092</v>
      </c>
      <c r="AO38" s="99">
        <f t="shared" ref="AO38" si="104">SUM(AO33:AO37)</f>
        <v>0</v>
      </c>
      <c r="AP38" s="99">
        <f t="shared" ref="AP38" si="105">SUM(AP33:AP37)</f>
        <v>1.0620909090909092</v>
      </c>
      <c r="AQ38" s="99">
        <f t="shared" ref="AQ38" si="106">SUM(AQ33:AQ37)</f>
        <v>0</v>
      </c>
      <c r="AR38" s="99">
        <f t="shared" ref="AR38" si="107">SUM(AR33:AR37)</f>
        <v>0</v>
      </c>
    </row>
    <row r="39" spans="2:48" s="10" customFormat="1" ht="13.5" customHeight="1" x14ac:dyDescent="0.25">
      <c r="B39" s="17">
        <v>37</v>
      </c>
      <c r="E39" s="72"/>
      <c r="F39" s="18"/>
      <c r="J39" s="11"/>
      <c r="K39" s="11">
        <f t="shared" si="20"/>
        <v>0</v>
      </c>
      <c r="L39" s="37">
        <f t="shared" si="21"/>
        <v>0</v>
      </c>
      <c r="M39" s="11"/>
      <c r="O39" s="21"/>
      <c r="P39" s="21"/>
      <c r="Q39" s="21"/>
      <c r="R39" s="23"/>
      <c r="S39" s="50"/>
      <c r="T39" s="48"/>
      <c r="U39" s="81"/>
      <c r="V39" s="26"/>
      <c r="W39" s="200"/>
      <c r="X39" s="17"/>
      <c r="Z39">
        <v>7</v>
      </c>
      <c r="AA39" s="415">
        <v>7</v>
      </c>
      <c r="AB39" s="94">
        <v>1</v>
      </c>
      <c r="AC39" s="100" t="s">
        <v>118</v>
      </c>
      <c r="AD39" s="41">
        <f t="shared" si="3"/>
        <v>0</v>
      </c>
      <c r="AE39" s="70">
        <f t="shared" si="4"/>
        <v>0</v>
      </c>
      <c r="AF39" s="70">
        <f t="shared" si="5"/>
        <v>0</v>
      </c>
      <c r="AG39" s="70">
        <f t="shared" si="6"/>
        <v>0</v>
      </c>
      <c r="AH39" s="109">
        <f t="shared" si="7"/>
        <v>0</v>
      </c>
      <c r="AI39" s="120">
        <f t="shared" si="8"/>
        <v>0</v>
      </c>
      <c r="AJ39" s="121">
        <f t="shared" si="9"/>
        <v>0</v>
      </c>
      <c r="AK39" s="121">
        <f t="shared" si="10"/>
        <v>0</v>
      </c>
      <c r="AL39" s="121">
        <f t="shared" si="11"/>
        <v>0</v>
      </c>
      <c r="AM39" s="122">
        <f t="shared" si="12"/>
        <v>0</v>
      </c>
      <c r="AN39" s="41">
        <f t="shared" si="13"/>
        <v>0</v>
      </c>
      <c r="AO39" s="70">
        <f t="shared" si="14"/>
        <v>0</v>
      </c>
      <c r="AP39" s="70">
        <f t="shared" si="15"/>
        <v>0</v>
      </c>
      <c r="AQ39" s="70">
        <f t="shared" si="16"/>
        <v>0</v>
      </c>
      <c r="AR39" s="70">
        <f t="shared" si="17"/>
        <v>0</v>
      </c>
    </row>
    <row r="40" spans="2:48" s="10" customFormat="1" ht="13.5" customHeight="1" x14ac:dyDescent="0.25">
      <c r="B40" s="17">
        <v>38</v>
      </c>
      <c r="E40" s="72"/>
      <c r="F40" s="18"/>
      <c r="J40" s="11"/>
      <c r="K40" s="11">
        <f t="shared" si="20"/>
        <v>0</v>
      </c>
      <c r="L40" s="37">
        <f t="shared" si="21"/>
        <v>0</v>
      </c>
      <c r="M40" s="11"/>
      <c r="O40" s="21"/>
      <c r="P40" s="21"/>
      <c r="Q40" s="21"/>
      <c r="R40" s="23"/>
      <c r="S40" s="50"/>
      <c r="T40" s="48"/>
      <c r="U40" s="81"/>
      <c r="V40" s="26"/>
      <c r="W40" s="200"/>
      <c r="X40" s="17"/>
      <c r="Z40">
        <v>7</v>
      </c>
      <c r="AA40" s="416"/>
      <c r="AB40" s="95">
        <v>2</v>
      </c>
      <c r="AC40" s="102" t="s">
        <v>68</v>
      </c>
      <c r="AD40" s="41">
        <f t="shared" si="3"/>
        <v>0</v>
      </c>
      <c r="AE40" s="70">
        <f t="shared" si="4"/>
        <v>0</v>
      </c>
      <c r="AF40" s="70">
        <f t="shared" si="5"/>
        <v>0</v>
      </c>
      <c r="AG40" s="70">
        <f t="shared" si="6"/>
        <v>0</v>
      </c>
      <c r="AH40" s="109">
        <f t="shared" si="7"/>
        <v>0</v>
      </c>
      <c r="AI40" s="120">
        <f t="shared" si="8"/>
        <v>0</v>
      </c>
      <c r="AJ40" s="121">
        <f t="shared" si="9"/>
        <v>0</v>
      </c>
      <c r="AK40" s="121">
        <f t="shared" si="10"/>
        <v>0</v>
      </c>
      <c r="AL40" s="121">
        <f t="shared" si="11"/>
        <v>0</v>
      </c>
      <c r="AM40" s="122">
        <f t="shared" si="12"/>
        <v>0</v>
      </c>
      <c r="AN40" s="41">
        <f t="shared" si="13"/>
        <v>0</v>
      </c>
      <c r="AO40" s="70">
        <f t="shared" si="14"/>
        <v>0</v>
      </c>
      <c r="AP40" s="70">
        <f t="shared" si="15"/>
        <v>0</v>
      </c>
      <c r="AQ40" s="70">
        <f t="shared" si="16"/>
        <v>0</v>
      </c>
      <c r="AR40" s="70">
        <f t="shared" si="17"/>
        <v>0</v>
      </c>
    </row>
    <row r="41" spans="2:48" s="10" customFormat="1" ht="13.5" customHeight="1" x14ac:dyDescent="0.25">
      <c r="B41" s="17">
        <v>39</v>
      </c>
      <c r="E41" s="72"/>
      <c r="F41" s="18"/>
      <c r="J41" s="11"/>
      <c r="K41" s="11">
        <f t="shared" si="20"/>
        <v>0</v>
      </c>
      <c r="L41" s="37">
        <f t="shared" si="21"/>
        <v>0</v>
      </c>
      <c r="M41" s="11"/>
      <c r="O41" s="21"/>
      <c r="P41" s="21"/>
      <c r="Q41" s="21"/>
      <c r="R41" s="23"/>
      <c r="S41" s="50"/>
      <c r="T41" s="48"/>
      <c r="U41" s="81"/>
      <c r="V41" s="26"/>
      <c r="W41" s="200"/>
      <c r="X41" s="17"/>
      <c r="Z41">
        <v>7</v>
      </c>
      <c r="AA41" s="416"/>
      <c r="AB41" s="95">
        <v>3</v>
      </c>
      <c r="AC41" s="102" t="s">
        <v>69</v>
      </c>
      <c r="AD41" s="41">
        <f t="shared" si="3"/>
        <v>0</v>
      </c>
      <c r="AE41" s="70">
        <f t="shared" si="4"/>
        <v>0</v>
      </c>
      <c r="AF41" s="70">
        <f t="shared" si="5"/>
        <v>0</v>
      </c>
      <c r="AG41" s="70">
        <f t="shared" si="6"/>
        <v>0</v>
      </c>
      <c r="AH41" s="109">
        <f t="shared" si="7"/>
        <v>0</v>
      </c>
      <c r="AI41" s="120">
        <f t="shared" si="8"/>
        <v>0</v>
      </c>
      <c r="AJ41" s="121">
        <f t="shared" si="9"/>
        <v>0</v>
      </c>
      <c r="AK41" s="121">
        <f t="shared" si="10"/>
        <v>0</v>
      </c>
      <c r="AL41" s="121">
        <f t="shared" si="11"/>
        <v>0</v>
      </c>
      <c r="AM41" s="122">
        <f t="shared" si="12"/>
        <v>0</v>
      </c>
      <c r="AN41" s="41">
        <f t="shared" si="13"/>
        <v>0</v>
      </c>
      <c r="AO41" s="70">
        <f t="shared" si="14"/>
        <v>0</v>
      </c>
      <c r="AP41" s="70">
        <f t="shared" si="15"/>
        <v>0</v>
      </c>
      <c r="AQ41" s="70">
        <f t="shared" si="16"/>
        <v>0</v>
      </c>
      <c r="AR41" s="70">
        <f t="shared" si="17"/>
        <v>0</v>
      </c>
    </row>
    <row r="42" spans="2:48" s="10" customFormat="1" ht="13.5" customHeight="1" x14ac:dyDescent="0.25">
      <c r="B42" s="17">
        <v>40</v>
      </c>
      <c r="E42" s="72"/>
      <c r="F42" s="18"/>
      <c r="J42" s="11"/>
      <c r="K42" s="11">
        <f t="shared" si="20"/>
        <v>0</v>
      </c>
      <c r="L42" s="37">
        <f t="shared" si="21"/>
        <v>0</v>
      </c>
      <c r="M42" s="11"/>
      <c r="O42" s="21"/>
      <c r="P42" s="21"/>
      <c r="Q42" s="21"/>
      <c r="R42" s="23"/>
      <c r="S42" s="50"/>
      <c r="T42" s="48"/>
      <c r="U42" s="81"/>
      <c r="V42" s="26"/>
      <c r="W42" s="200"/>
      <c r="X42" s="17"/>
      <c r="Z42">
        <v>7</v>
      </c>
      <c r="AA42" s="416"/>
      <c r="AB42" s="95">
        <v>4</v>
      </c>
      <c r="AC42" s="102" t="s">
        <v>70</v>
      </c>
      <c r="AD42" s="41">
        <f t="shared" si="3"/>
        <v>0</v>
      </c>
      <c r="AE42" s="70">
        <f t="shared" si="4"/>
        <v>0</v>
      </c>
      <c r="AF42" s="70">
        <f t="shared" si="5"/>
        <v>0</v>
      </c>
      <c r="AG42" s="70">
        <f t="shared" si="6"/>
        <v>0</v>
      </c>
      <c r="AH42" s="109">
        <f t="shared" si="7"/>
        <v>0</v>
      </c>
      <c r="AI42" s="120">
        <f t="shared" si="8"/>
        <v>0</v>
      </c>
      <c r="AJ42" s="121">
        <f t="shared" si="9"/>
        <v>0</v>
      </c>
      <c r="AK42" s="121">
        <f t="shared" si="10"/>
        <v>0</v>
      </c>
      <c r="AL42" s="121">
        <f t="shared" si="11"/>
        <v>0</v>
      </c>
      <c r="AM42" s="122">
        <f t="shared" si="12"/>
        <v>0</v>
      </c>
      <c r="AN42" s="41">
        <f t="shared" si="13"/>
        <v>0</v>
      </c>
      <c r="AO42" s="70">
        <f t="shared" si="14"/>
        <v>0</v>
      </c>
      <c r="AP42" s="70">
        <f t="shared" si="15"/>
        <v>0</v>
      </c>
      <c r="AQ42" s="70">
        <f t="shared" si="16"/>
        <v>0</v>
      </c>
      <c r="AR42" s="70">
        <f t="shared" si="17"/>
        <v>0</v>
      </c>
    </row>
    <row r="43" spans="2:48" x14ac:dyDescent="0.25">
      <c r="B43" s="17">
        <v>41</v>
      </c>
      <c r="C43" s="10"/>
      <c r="D43" s="10"/>
      <c r="E43" s="72"/>
      <c r="F43" s="18"/>
      <c r="G43" s="10"/>
      <c r="H43" s="10"/>
      <c r="I43" s="10"/>
      <c r="J43" s="11"/>
      <c r="K43" s="11">
        <f t="shared" si="20"/>
        <v>0</v>
      </c>
      <c r="L43" s="37">
        <f t="shared" si="21"/>
        <v>0</v>
      </c>
      <c r="M43" s="11"/>
      <c r="N43" s="10"/>
      <c r="O43" s="21"/>
      <c r="P43" s="21"/>
      <c r="Q43" s="21"/>
      <c r="R43" s="23"/>
      <c r="S43" s="50"/>
      <c r="T43" s="48"/>
      <c r="U43" s="82"/>
      <c r="V43" s="32"/>
      <c r="W43" s="200"/>
      <c r="X43" s="17"/>
      <c r="Z43">
        <v>7</v>
      </c>
      <c r="AA43" s="416"/>
      <c r="AB43" s="96">
        <v>5</v>
      </c>
      <c r="AC43" s="105" t="s">
        <v>119</v>
      </c>
      <c r="AD43" s="41">
        <f t="shared" si="3"/>
        <v>0</v>
      </c>
      <c r="AE43" s="70">
        <f t="shared" si="4"/>
        <v>0</v>
      </c>
      <c r="AF43" s="70">
        <f t="shared" si="5"/>
        <v>0</v>
      </c>
      <c r="AG43" s="70">
        <f t="shared" si="6"/>
        <v>0</v>
      </c>
      <c r="AH43" s="109">
        <f t="shared" si="7"/>
        <v>0</v>
      </c>
      <c r="AI43" s="120">
        <f t="shared" si="8"/>
        <v>0</v>
      </c>
      <c r="AJ43" s="121">
        <f t="shared" si="9"/>
        <v>0</v>
      </c>
      <c r="AK43" s="121">
        <f t="shared" si="10"/>
        <v>0</v>
      </c>
      <c r="AL43" s="121">
        <f t="shared" si="11"/>
        <v>0</v>
      </c>
      <c r="AM43" s="122">
        <f t="shared" si="12"/>
        <v>0</v>
      </c>
      <c r="AN43" s="41">
        <f t="shared" si="13"/>
        <v>0</v>
      </c>
      <c r="AO43" s="70">
        <f t="shared" si="14"/>
        <v>0</v>
      </c>
      <c r="AP43" s="70">
        <f t="shared" si="15"/>
        <v>0</v>
      </c>
      <c r="AQ43" s="70">
        <f t="shared" si="16"/>
        <v>0</v>
      </c>
      <c r="AR43" s="70">
        <f t="shared" si="17"/>
        <v>0</v>
      </c>
    </row>
    <row r="44" spans="2:48" ht="14.25" thickBot="1" x14ac:dyDescent="0.3">
      <c r="B44" s="17">
        <v>42</v>
      </c>
      <c r="C44" s="10"/>
      <c r="D44" s="10"/>
      <c r="E44" s="72"/>
      <c r="F44" s="18"/>
      <c r="G44" s="10"/>
      <c r="H44" s="10"/>
      <c r="I44" s="10"/>
      <c r="J44" s="11"/>
      <c r="K44" s="11">
        <f t="shared" si="20"/>
        <v>0</v>
      </c>
      <c r="L44" s="37">
        <f t="shared" si="21"/>
        <v>0</v>
      </c>
      <c r="M44" s="11"/>
      <c r="N44" s="10"/>
      <c r="O44" s="21"/>
      <c r="P44" s="21"/>
      <c r="Q44" s="21"/>
      <c r="R44" s="23"/>
      <c r="S44" s="50"/>
      <c r="T44" s="48"/>
      <c r="U44" s="82"/>
      <c r="V44" s="32"/>
      <c r="W44" s="200"/>
      <c r="X44" s="17"/>
      <c r="Z44">
        <v>7</v>
      </c>
      <c r="AA44" s="417"/>
      <c r="AB44" s="97" t="s">
        <v>3</v>
      </c>
      <c r="AC44" s="106"/>
      <c r="AD44" s="99">
        <f>SUM(AD39:AD43)</f>
        <v>0</v>
      </c>
      <c r="AE44" s="99">
        <f t="shared" ref="AE44" si="108">SUM(AE39:AE43)</f>
        <v>0</v>
      </c>
      <c r="AF44" s="99">
        <f t="shared" ref="AF44" si="109">SUM(AF39:AF43)</f>
        <v>0</v>
      </c>
      <c r="AG44" s="99">
        <f t="shared" ref="AG44" si="110">SUM(AG39:AG43)</f>
        <v>0</v>
      </c>
      <c r="AH44" s="110">
        <f t="shared" ref="AH44" si="111">SUM(AH39:AH43)</f>
        <v>0</v>
      </c>
      <c r="AI44" s="123">
        <f t="shared" ref="AI44" si="112">SUM(AI39:AI43)</f>
        <v>0</v>
      </c>
      <c r="AJ44" s="124">
        <f t="shared" ref="AJ44" si="113">SUM(AJ39:AJ43)</f>
        <v>0</v>
      </c>
      <c r="AK44" s="124">
        <f t="shared" ref="AK44" si="114">SUM(AK39:AK43)</f>
        <v>0</v>
      </c>
      <c r="AL44" s="124">
        <f t="shared" ref="AL44" si="115">SUM(AL39:AL43)</f>
        <v>0</v>
      </c>
      <c r="AM44" s="125">
        <f t="shared" ref="AM44" si="116">SUM(AM39:AM43)</f>
        <v>0</v>
      </c>
      <c r="AN44" s="99">
        <f t="shared" ref="AN44" si="117">SUM(AN39:AN43)</f>
        <v>0</v>
      </c>
      <c r="AO44" s="99">
        <f t="shared" ref="AO44" si="118">SUM(AO39:AO43)</f>
        <v>0</v>
      </c>
      <c r="AP44" s="99">
        <f t="shared" ref="AP44" si="119">SUM(AP39:AP43)</f>
        <v>0</v>
      </c>
      <c r="AQ44" s="99">
        <f t="shared" ref="AQ44" si="120">SUM(AQ39:AQ43)</f>
        <v>0</v>
      </c>
      <c r="AR44" s="99">
        <f t="shared" ref="AR44" si="121">SUM(AR39:AR43)</f>
        <v>0</v>
      </c>
    </row>
    <row r="45" spans="2:48" x14ac:dyDescent="0.25">
      <c r="B45" s="17">
        <v>43</v>
      </c>
      <c r="C45" s="10"/>
      <c r="D45" s="10"/>
      <c r="E45" s="72"/>
      <c r="F45" s="18"/>
      <c r="G45" s="10"/>
      <c r="H45" s="10"/>
      <c r="I45" s="10"/>
      <c r="J45" s="11"/>
      <c r="K45" s="11">
        <f t="shared" si="20"/>
        <v>0</v>
      </c>
      <c r="L45" s="37">
        <f t="shared" si="21"/>
        <v>0</v>
      </c>
      <c r="M45" s="11"/>
      <c r="N45" s="10"/>
      <c r="O45" s="21"/>
      <c r="P45" s="21"/>
      <c r="Q45" s="21"/>
      <c r="R45" s="23"/>
      <c r="S45" s="50"/>
      <c r="T45" s="48"/>
      <c r="U45" s="82"/>
      <c r="V45" s="26"/>
      <c r="W45" s="200"/>
      <c r="X45" s="17"/>
      <c r="Z45">
        <v>8</v>
      </c>
      <c r="AA45" s="415">
        <v>8</v>
      </c>
      <c r="AB45" s="94">
        <v>1</v>
      </c>
      <c r="AC45" s="100" t="s">
        <v>120</v>
      </c>
      <c r="AD45" s="41">
        <f t="shared" si="3"/>
        <v>0</v>
      </c>
      <c r="AE45" s="70">
        <f t="shared" si="4"/>
        <v>0</v>
      </c>
      <c r="AF45" s="70">
        <f t="shared" si="5"/>
        <v>0</v>
      </c>
      <c r="AG45" s="70">
        <f t="shared" si="6"/>
        <v>0</v>
      </c>
      <c r="AH45" s="109">
        <f t="shared" si="7"/>
        <v>0</v>
      </c>
      <c r="AI45" s="120">
        <f t="shared" si="8"/>
        <v>0</v>
      </c>
      <c r="AJ45" s="121">
        <f t="shared" si="9"/>
        <v>0</v>
      </c>
      <c r="AK45" s="121">
        <f t="shared" si="10"/>
        <v>0</v>
      </c>
      <c r="AL45" s="121">
        <f t="shared" si="11"/>
        <v>0</v>
      </c>
      <c r="AM45" s="122">
        <f t="shared" si="12"/>
        <v>0</v>
      </c>
      <c r="AN45" s="41">
        <f t="shared" si="13"/>
        <v>0</v>
      </c>
      <c r="AO45" s="70">
        <f t="shared" si="14"/>
        <v>0</v>
      </c>
      <c r="AP45" s="70">
        <f t="shared" si="15"/>
        <v>0</v>
      </c>
      <c r="AQ45" s="70">
        <f t="shared" si="16"/>
        <v>0</v>
      </c>
      <c r="AR45" s="70">
        <f t="shared" si="17"/>
        <v>0</v>
      </c>
    </row>
    <row r="46" spans="2:48" x14ac:dyDescent="0.25">
      <c r="B46" s="17">
        <v>44</v>
      </c>
      <c r="C46" s="10"/>
      <c r="D46" s="10"/>
      <c r="E46" s="72"/>
      <c r="F46" s="18"/>
      <c r="G46" s="10"/>
      <c r="H46" s="10"/>
      <c r="I46" s="10"/>
      <c r="J46" s="11"/>
      <c r="K46" s="11">
        <f t="shared" si="20"/>
        <v>0</v>
      </c>
      <c r="L46" s="37">
        <f t="shared" si="21"/>
        <v>0</v>
      </c>
      <c r="M46" s="11"/>
      <c r="N46" s="10"/>
      <c r="O46" s="21"/>
      <c r="P46" s="21"/>
      <c r="Q46" s="21"/>
      <c r="R46" s="23"/>
      <c r="S46" s="50"/>
      <c r="T46" s="48"/>
      <c r="U46" s="82"/>
      <c r="V46" s="26"/>
      <c r="W46" s="200"/>
      <c r="X46" s="17"/>
      <c r="Z46">
        <v>8</v>
      </c>
      <c r="AA46" s="416"/>
      <c r="AB46" s="95">
        <v>2</v>
      </c>
      <c r="AC46" s="102" t="s">
        <v>121</v>
      </c>
      <c r="AD46" s="41">
        <f t="shared" si="3"/>
        <v>0</v>
      </c>
      <c r="AE46" s="70">
        <f t="shared" si="4"/>
        <v>0</v>
      </c>
      <c r="AF46" s="70">
        <f t="shared" si="5"/>
        <v>0</v>
      </c>
      <c r="AG46" s="70">
        <f t="shared" si="6"/>
        <v>0</v>
      </c>
      <c r="AH46" s="109">
        <f t="shared" si="7"/>
        <v>0</v>
      </c>
      <c r="AI46" s="120">
        <f t="shared" si="8"/>
        <v>0</v>
      </c>
      <c r="AJ46" s="121">
        <f t="shared" si="9"/>
        <v>0</v>
      </c>
      <c r="AK46" s="121">
        <f t="shared" si="10"/>
        <v>0</v>
      </c>
      <c r="AL46" s="121">
        <f t="shared" si="11"/>
        <v>0</v>
      </c>
      <c r="AM46" s="122">
        <f t="shared" si="12"/>
        <v>0</v>
      </c>
      <c r="AN46" s="41">
        <f t="shared" si="13"/>
        <v>0</v>
      </c>
      <c r="AO46" s="70">
        <f t="shared" si="14"/>
        <v>0</v>
      </c>
      <c r="AP46" s="70">
        <f t="shared" si="15"/>
        <v>0</v>
      </c>
      <c r="AQ46" s="70">
        <f t="shared" si="16"/>
        <v>0</v>
      </c>
      <c r="AR46" s="70">
        <f t="shared" si="17"/>
        <v>0</v>
      </c>
    </row>
    <row r="47" spans="2:48" x14ac:dyDescent="0.25">
      <c r="B47" s="17">
        <v>45</v>
      </c>
      <c r="C47" s="10"/>
      <c r="D47" s="10"/>
      <c r="E47" s="72"/>
      <c r="F47" s="18"/>
      <c r="G47" s="10"/>
      <c r="H47" s="10"/>
      <c r="I47" s="10"/>
      <c r="J47" s="11"/>
      <c r="K47" s="11">
        <f t="shared" si="20"/>
        <v>0</v>
      </c>
      <c r="L47" s="37">
        <f t="shared" si="21"/>
        <v>0</v>
      </c>
      <c r="M47" s="11"/>
      <c r="N47" s="10"/>
      <c r="O47" s="21"/>
      <c r="P47" s="21"/>
      <c r="Q47" s="21"/>
      <c r="R47" s="23"/>
      <c r="S47" s="50"/>
      <c r="T47" s="48"/>
      <c r="U47" s="82"/>
      <c r="V47" s="26"/>
      <c r="W47" s="200"/>
      <c r="X47" s="17"/>
      <c r="Z47">
        <v>8</v>
      </c>
      <c r="AA47" s="416"/>
      <c r="AB47" s="95">
        <v>3</v>
      </c>
      <c r="AC47" s="102" t="s">
        <v>122</v>
      </c>
      <c r="AD47" s="41">
        <f t="shared" si="3"/>
        <v>0</v>
      </c>
      <c r="AE47" s="70">
        <f t="shared" si="4"/>
        <v>0</v>
      </c>
      <c r="AF47" s="70">
        <f t="shared" si="5"/>
        <v>0</v>
      </c>
      <c r="AG47" s="70">
        <f t="shared" si="6"/>
        <v>0</v>
      </c>
      <c r="AH47" s="109">
        <f t="shared" si="7"/>
        <v>0</v>
      </c>
      <c r="AI47" s="120">
        <f t="shared" si="8"/>
        <v>0</v>
      </c>
      <c r="AJ47" s="121">
        <f t="shared" si="9"/>
        <v>0</v>
      </c>
      <c r="AK47" s="121">
        <f t="shared" si="10"/>
        <v>0</v>
      </c>
      <c r="AL47" s="121">
        <f t="shared" si="11"/>
        <v>0</v>
      </c>
      <c r="AM47" s="122">
        <f t="shared" si="12"/>
        <v>0</v>
      </c>
      <c r="AN47" s="41">
        <f t="shared" si="13"/>
        <v>0</v>
      </c>
      <c r="AO47" s="70">
        <f t="shared" si="14"/>
        <v>0</v>
      </c>
      <c r="AP47" s="70">
        <f t="shared" si="15"/>
        <v>0</v>
      </c>
      <c r="AQ47" s="70">
        <f t="shared" si="16"/>
        <v>0</v>
      </c>
      <c r="AR47" s="70">
        <f t="shared" si="17"/>
        <v>0</v>
      </c>
    </row>
    <row r="48" spans="2:48" x14ac:dyDescent="0.25">
      <c r="B48" s="17">
        <v>46</v>
      </c>
      <c r="C48" s="10"/>
      <c r="D48" s="10"/>
      <c r="E48" s="72"/>
      <c r="F48" s="18"/>
      <c r="G48" s="10"/>
      <c r="H48" s="10"/>
      <c r="I48" s="10"/>
      <c r="J48" s="11"/>
      <c r="K48" s="11">
        <f t="shared" si="20"/>
        <v>0</v>
      </c>
      <c r="L48" s="37">
        <f t="shared" si="21"/>
        <v>0</v>
      </c>
      <c r="M48" s="11"/>
      <c r="N48" s="10"/>
      <c r="O48" s="21"/>
      <c r="P48" s="21"/>
      <c r="Q48" s="21"/>
      <c r="R48" s="23"/>
      <c r="S48" s="50"/>
      <c r="T48" s="48"/>
      <c r="U48" s="82"/>
      <c r="V48" s="26"/>
      <c r="W48" s="200"/>
      <c r="X48" s="17"/>
      <c r="Z48">
        <v>8</v>
      </c>
      <c r="AA48" s="416"/>
      <c r="AB48" s="95">
        <v>4</v>
      </c>
      <c r="AC48" s="102" t="s">
        <v>123</v>
      </c>
      <c r="AD48" s="41">
        <f t="shared" si="3"/>
        <v>0</v>
      </c>
      <c r="AE48" s="70">
        <f t="shared" si="4"/>
        <v>0</v>
      </c>
      <c r="AF48" s="70">
        <f t="shared" si="5"/>
        <v>0</v>
      </c>
      <c r="AG48" s="70">
        <f t="shared" si="6"/>
        <v>0</v>
      </c>
      <c r="AH48" s="109">
        <f t="shared" si="7"/>
        <v>0</v>
      </c>
      <c r="AI48" s="120">
        <f t="shared" si="8"/>
        <v>0</v>
      </c>
      <c r="AJ48" s="121">
        <f t="shared" si="9"/>
        <v>0</v>
      </c>
      <c r="AK48" s="121">
        <f t="shared" si="10"/>
        <v>0</v>
      </c>
      <c r="AL48" s="121">
        <f t="shared" si="11"/>
        <v>0</v>
      </c>
      <c r="AM48" s="122">
        <f t="shared" si="12"/>
        <v>0</v>
      </c>
      <c r="AN48" s="41">
        <f t="shared" si="13"/>
        <v>0</v>
      </c>
      <c r="AO48" s="70">
        <f t="shared" si="14"/>
        <v>0</v>
      </c>
      <c r="AP48" s="70">
        <f t="shared" si="15"/>
        <v>0</v>
      </c>
      <c r="AQ48" s="70">
        <f t="shared" si="16"/>
        <v>0</v>
      </c>
      <c r="AR48" s="70">
        <f t="shared" si="17"/>
        <v>0</v>
      </c>
    </row>
    <row r="49" spans="2:44" x14ac:dyDescent="0.25">
      <c r="B49" s="17">
        <v>47</v>
      </c>
      <c r="C49" s="10"/>
      <c r="D49" s="10"/>
      <c r="E49" s="72"/>
      <c r="F49" s="18"/>
      <c r="G49" s="10"/>
      <c r="H49" s="10"/>
      <c r="I49" s="10"/>
      <c r="J49" s="11"/>
      <c r="K49" s="11">
        <f t="shared" si="20"/>
        <v>0</v>
      </c>
      <c r="L49" s="37">
        <f t="shared" si="21"/>
        <v>0</v>
      </c>
      <c r="M49" s="11"/>
      <c r="N49" s="10"/>
      <c r="O49" s="21"/>
      <c r="P49" s="21"/>
      <c r="Q49" s="21"/>
      <c r="R49" s="23"/>
      <c r="S49" s="50"/>
      <c r="T49" s="48"/>
      <c r="U49" s="82"/>
      <c r="V49" s="26"/>
      <c r="W49" s="200"/>
      <c r="X49" s="17"/>
      <c r="Z49">
        <v>8</v>
      </c>
      <c r="AA49" s="416"/>
      <c r="AB49" s="96">
        <v>5</v>
      </c>
      <c r="AC49" s="105"/>
      <c r="AD49" s="41">
        <f t="shared" si="3"/>
        <v>0</v>
      </c>
      <c r="AE49" s="70">
        <f t="shared" si="4"/>
        <v>0</v>
      </c>
      <c r="AF49" s="70">
        <f t="shared" si="5"/>
        <v>0</v>
      </c>
      <c r="AG49" s="70">
        <f t="shared" si="6"/>
        <v>0</v>
      </c>
      <c r="AH49" s="109">
        <f t="shared" si="7"/>
        <v>0</v>
      </c>
      <c r="AI49" s="120">
        <f t="shared" si="8"/>
        <v>0</v>
      </c>
      <c r="AJ49" s="121">
        <f t="shared" si="9"/>
        <v>0</v>
      </c>
      <c r="AK49" s="121">
        <f t="shared" si="10"/>
        <v>0</v>
      </c>
      <c r="AL49" s="121">
        <f t="shared" si="11"/>
        <v>0</v>
      </c>
      <c r="AM49" s="122">
        <f t="shared" si="12"/>
        <v>0</v>
      </c>
      <c r="AN49" s="41">
        <f t="shared" si="13"/>
        <v>0</v>
      </c>
      <c r="AO49" s="70">
        <f t="shared" si="14"/>
        <v>0</v>
      </c>
      <c r="AP49" s="70">
        <f t="shared" si="15"/>
        <v>0</v>
      </c>
      <c r="AQ49" s="70">
        <f t="shared" si="16"/>
        <v>0</v>
      </c>
      <c r="AR49" s="70">
        <f t="shared" si="17"/>
        <v>0</v>
      </c>
    </row>
    <row r="50" spans="2:44" ht="14.25" thickBot="1" x14ac:dyDescent="0.3">
      <c r="B50" s="17">
        <v>48</v>
      </c>
      <c r="C50" s="10"/>
      <c r="D50" s="10"/>
      <c r="E50" s="72"/>
      <c r="F50" s="18"/>
      <c r="G50" s="10"/>
      <c r="H50" s="10"/>
      <c r="I50" s="10"/>
      <c r="J50" s="11"/>
      <c r="K50" s="11">
        <f t="shared" si="20"/>
        <v>0</v>
      </c>
      <c r="L50" s="37">
        <f t="shared" si="21"/>
        <v>0</v>
      </c>
      <c r="M50" s="11"/>
      <c r="N50" s="10"/>
      <c r="O50" s="21"/>
      <c r="P50" s="21"/>
      <c r="Q50" s="21"/>
      <c r="R50" s="23"/>
      <c r="S50" s="50"/>
      <c r="T50" s="48"/>
      <c r="U50" s="82"/>
      <c r="V50" s="32"/>
      <c r="W50" s="200"/>
      <c r="X50" s="17"/>
      <c r="Z50">
        <v>8</v>
      </c>
      <c r="AA50" s="417"/>
      <c r="AB50" s="97" t="s">
        <v>3</v>
      </c>
      <c r="AC50" s="106"/>
      <c r="AD50" s="99">
        <f>SUM(AD45:AD49)</f>
        <v>0</v>
      </c>
      <c r="AE50" s="99">
        <f t="shared" ref="AE50" si="122">SUM(AE45:AE49)</f>
        <v>0</v>
      </c>
      <c r="AF50" s="99">
        <f t="shared" ref="AF50" si="123">SUM(AF45:AF49)</f>
        <v>0</v>
      </c>
      <c r="AG50" s="99">
        <f t="shared" ref="AG50" si="124">SUM(AG45:AG49)</f>
        <v>0</v>
      </c>
      <c r="AH50" s="110">
        <f t="shared" ref="AH50" si="125">SUM(AH45:AH49)</f>
        <v>0</v>
      </c>
      <c r="AI50" s="123">
        <f t="shared" ref="AI50" si="126">SUM(AI45:AI49)</f>
        <v>0</v>
      </c>
      <c r="AJ50" s="124">
        <f t="shared" ref="AJ50" si="127">SUM(AJ45:AJ49)</f>
        <v>0</v>
      </c>
      <c r="AK50" s="124">
        <f t="shared" ref="AK50" si="128">SUM(AK45:AK49)</f>
        <v>0</v>
      </c>
      <c r="AL50" s="124">
        <f t="shared" ref="AL50" si="129">SUM(AL45:AL49)</f>
        <v>0</v>
      </c>
      <c r="AM50" s="125">
        <f t="shared" ref="AM50" si="130">SUM(AM45:AM49)</f>
        <v>0</v>
      </c>
      <c r="AN50" s="99">
        <f t="shared" ref="AN50" si="131">SUM(AN45:AN49)</f>
        <v>0</v>
      </c>
      <c r="AO50" s="99">
        <f t="shared" ref="AO50" si="132">SUM(AO45:AO49)</f>
        <v>0</v>
      </c>
      <c r="AP50" s="99">
        <f t="shared" ref="AP50" si="133">SUM(AP45:AP49)</f>
        <v>0</v>
      </c>
      <c r="AQ50" s="99">
        <f t="shared" ref="AQ50" si="134">SUM(AQ45:AQ49)</f>
        <v>0</v>
      </c>
      <c r="AR50" s="99">
        <f t="shared" ref="AR50" si="135">SUM(AR45:AR49)</f>
        <v>0</v>
      </c>
    </row>
    <row r="51" spans="2:44" x14ac:dyDescent="0.25">
      <c r="B51" s="17">
        <v>49</v>
      </c>
      <c r="C51" s="10"/>
      <c r="D51" s="10"/>
      <c r="E51" s="72"/>
      <c r="F51" s="18"/>
      <c r="G51" s="10"/>
      <c r="H51" s="10"/>
      <c r="I51" s="10"/>
      <c r="J51" s="11"/>
      <c r="K51" s="11">
        <f t="shared" si="20"/>
        <v>0</v>
      </c>
      <c r="L51" s="37">
        <f t="shared" si="21"/>
        <v>0</v>
      </c>
      <c r="M51" s="11"/>
      <c r="N51" s="10"/>
      <c r="O51" s="21"/>
      <c r="P51" s="21"/>
      <c r="Q51" s="21"/>
      <c r="R51" s="23"/>
      <c r="S51" s="50"/>
      <c r="T51" s="48"/>
      <c r="U51" s="82"/>
      <c r="V51" s="32"/>
      <c r="W51" s="200"/>
      <c r="X51" s="17"/>
      <c r="Z51">
        <v>9</v>
      </c>
      <c r="AA51" s="415">
        <v>9</v>
      </c>
      <c r="AB51" s="94">
        <v>1</v>
      </c>
      <c r="AC51" s="100" t="s">
        <v>124</v>
      </c>
      <c r="AD51" s="41">
        <f t="shared" si="3"/>
        <v>0</v>
      </c>
      <c r="AE51" s="70">
        <f t="shared" si="4"/>
        <v>0</v>
      </c>
      <c r="AF51" s="70">
        <f t="shared" si="5"/>
        <v>0</v>
      </c>
      <c r="AG51" s="70">
        <f t="shared" si="6"/>
        <v>0</v>
      </c>
      <c r="AH51" s="109">
        <f t="shared" si="7"/>
        <v>0</v>
      </c>
      <c r="AI51" s="120">
        <f t="shared" si="8"/>
        <v>0</v>
      </c>
      <c r="AJ51" s="121">
        <f t="shared" si="9"/>
        <v>0</v>
      </c>
      <c r="AK51" s="121">
        <f t="shared" si="10"/>
        <v>0</v>
      </c>
      <c r="AL51" s="121">
        <f t="shared" si="11"/>
        <v>0</v>
      </c>
      <c r="AM51" s="122">
        <f t="shared" si="12"/>
        <v>0</v>
      </c>
      <c r="AN51" s="41">
        <f t="shared" si="13"/>
        <v>0</v>
      </c>
      <c r="AO51" s="70">
        <f t="shared" si="14"/>
        <v>0</v>
      </c>
      <c r="AP51" s="70">
        <f t="shared" si="15"/>
        <v>0</v>
      </c>
      <c r="AQ51" s="70">
        <f t="shared" si="16"/>
        <v>0</v>
      </c>
      <c r="AR51" s="70">
        <f t="shared" si="17"/>
        <v>0</v>
      </c>
    </row>
    <row r="52" spans="2:44" x14ac:dyDescent="0.25">
      <c r="B52" s="17">
        <v>50</v>
      </c>
      <c r="C52" s="10"/>
      <c r="D52" s="10"/>
      <c r="E52" s="72"/>
      <c r="F52" s="18"/>
      <c r="G52" s="10"/>
      <c r="H52" s="10"/>
      <c r="I52" s="10"/>
      <c r="J52" s="11"/>
      <c r="K52" s="11">
        <f t="shared" si="20"/>
        <v>0</v>
      </c>
      <c r="L52" s="37">
        <f t="shared" si="21"/>
        <v>0</v>
      </c>
      <c r="M52" s="11"/>
      <c r="N52" s="10"/>
      <c r="O52" s="21"/>
      <c r="P52" s="21"/>
      <c r="Q52" s="21"/>
      <c r="R52" s="23"/>
      <c r="S52" s="50"/>
      <c r="T52" s="48"/>
      <c r="U52" s="82"/>
      <c r="V52" s="32"/>
      <c r="W52" s="200"/>
      <c r="X52" s="17"/>
      <c r="Z52">
        <v>9</v>
      </c>
      <c r="AA52" s="416"/>
      <c r="AB52" s="95">
        <v>2</v>
      </c>
      <c r="AC52" s="102" t="s">
        <v>125</v>
      </c>
      <c r="AD52" s="41">
        <f t="shared" si="3"/>
        <v>0</v>
      </c>
      <c r="AE52" s="70">
        <f t="shared" si="4"/>
        <v>0</v>
      </c>
      <c r="AF52" s="70">
        <f t="shared" si="5"/>
        <v>0</v>
      </c>
      <c r="AG52" s="70">
        <f t="shared" si="6"/>
        <v>0</v>
      </c>
      <c r="AH52" s="109">
        <f t="shared" si="7"/>
        <v>0</v>
      </c>
      <c r="AI52" s="120">
        <f t="shared" si="8"/>
        <v>0</v>
      </c>
      <c r="AJ52" s="121">
        <f t="shared" si="9"/>
        <v>0</v>
      </c>
      <c r="AK52" s="121">
        <f t="shared" si="10"/>
        <v>0</v>
      </c>
      <c r="AL52" s="121">
        <f t="shared" si="11"/>
        <v>0</v>
      </c>
      <c r="AM52" s="122">
        <f t="shared" si="12"/>
        <v>0</v>
      </c>
      <c r="AN52" s="41">
        <f t="shared" si="13"/>
        <v>0</v>
      </c>
      <c r="AO52" s="70">
        <f t="shared" si="14"/>
        <v>0</v>
      </c>
      <c r="AP52" s="70">
        <f t="shared" si="15"/>
        <v>0</v>
      </c>
      <c r="AQ52" s="70">
        <f t="shared" si="16"/>
        <v>0</v>
      </c>
      <c r="AR52" s="70">
        <f t="shared" si="17"/>
        <v>0</v>
      </c>
    </row>
    <row r="53" spans="2:44" x14ac:dyDescent="0.25">
      <c r="B53" s="17">
        <v>51</v>
      </c>
      <c r="C53" s="10"/>
      <c r="D53" s="10"/>
      <c r="E53" s="72"/>
      <c r="F53" s="18"/>
      <c r="G53" s="10"/>
      <c r="H53" s="10"/>
      <c r="I53" s="10"/>
      <c r="J53" s="11"/>
      <c r="K53" s="11">
        <f t="shared" si="20"/>
        <v>0</v>
      </c>
      <c r="L53" s="37">
        <f t="shared" si="21"/>
        <v>0</v>
      </c>
      <c r="M53" s="11"/>
      <c r="N53" s="10"/>
      <c r="O53" s="21"/>
      <c r="P53" s="21"/>
      <c r="Q53" s="21"/>
      <c r="R53" s="23"/>
      <c r="S53" s="50"/>
      <c r="T53" s="48"/>
      <c r="U53" s="82"/>
      <c r="V53" s="32"/>
      <c r="W53" s="200"/>
      <c r="X53" s="17"/>
      <c r="Z53">
        <v>9</v>
      </c>
      <c r="AA53" s="416"/>
      <c r="AB53" s="95">
        <v>3</v>
      </c>
      <c r="AC53" s="102" t="s">
        <v>126</v>
      </c>
      <c r="AD53" s="41">
        <f t="shared" si="3"/>
        <v>0</v>
      </c>
      <c r="AE53" s="70">
        <f t="shared" si="4"/>
        <v>0</v>
      </c>
      <c r="AF53" s="70">
        <f t="shared" si="5"/>
        <v>0</v>
      </c>
      <c r="AG53" s="70">
        <f t="shared" si="6"/>
        <v>0</v>
      </c>
      <c r="AH53" s="109">
        <f t="shared" si="7"/>
        <v>0</v>
      </c>
      <c r="AI53" s="120">
        <f t="shared" si="8"/>
        <v>0</v>
      </c>
      <c r="AJ53" s="121">
        <f t="shared" si="9"/>
        <v>0</v>
      </c>
      <c r="AK53" s="121">
        <f t="shared" si="10"/>
        <v>0</v>
      </c>
      <c r="AL53" s="121">
        <f t="shared" si="11"/>
        <v>0</v>
      </c>
      <c r="AM53" s="122">
        <f t="shared" si="12"/>
        <v>0</v>
      </c>
      <c r="AN53" s="41">
        <f t="shared" si="13"/>
        <v>0</v>
      </c>
      <c r="AO53" s="70">
        <f t="shared" si="14"/>
        <v>0</v>
      </c>
      <c r="AP53" s="70">
        <f t="shared" si="15"/>
        <v>0</v>
      </c>
      <c r="AQ53" s="70">
        <f t="shared" si="16"/>
        <v>0</v>
      </c>
      <c r="AR53" s="70">
        <f t="shared" si="17"/>
        <v>0</v>
      </c>
    </row>
    <row r="54" spans="2:44" x14ac:dyDescent="0.25">
      <c r="B54" s="17">
        <v>52</v>
      </c>
      <c r="C54" s="10"/>
      <c r="D54" s="10"/>
      <c r="E54" s="72"/>
      <c r="F54" s="18"/>
      <c r="G54" s="10"/>
      <c r="H54" s="10"/>
      <c r="I54" s="10"/>
      <c r="J54" s="11"/>
      <c r="K54" s="11">
        <f t="shared" si="20"/>
        <v>0</v>
      </c>
      <c r="L54" s="37">
        <f t="shared" si="21"/>
        <v>0</v>
      </c>
      <c r="M54" s="11"/>
      <c r="N54" s="10"/>
      <c r="O54" s="21"/>
      <c r="P54" s="21"/>
      <c r="Q54" s="21"/>
      <c r="R54" s="23"/>
      <c r="S54" s="50"/>
      <c r="T54" s="48"/>
      <c r="U54" s="82"/>
      <c r="V54" s="26"/>
      <c r="W54" s="200"/>
      <c r="X54" s="17"/>
      <c r="Z54">
        <v>9</v>
      </c>
      <c r="AA54" s="416"/>
      <c r="AB54" s="95">
        <v>4</v>
      </c>
      <c r="AC54" s="102" t="s">
        <v>127</v>
      </c>
      <c r="AD54" s="41">
        <f t="shared" si="3"/>
        <v>0</v>
      </c>
      <c r="AE54" s="70">
        <f t="shared" si="4"/>
        <v>0</v>
      </c>
      <c r="AF54" s="70">
        <f t="shared" si="5"/>
        <v>0</v>
      </c>
      <c r="AG54" s="70">
        <f t="shared" si="6"/>
        <v>0</v>
      </c>
      <c r="AH54" s="109">
        <f t="shared" si="7"/>
        <v>0</v>
      </c>
      <c r="AI54" s="120">
        <f t="shared" si="8"/>
        <v>0</v>
      </c>
      <c r="AJ54" s="121">
        <f t="shared" si="9"/>
        <v>0</v>
      </c>
      <c r="AK54" s="121">
        <f t="shared" si="10"/>
        <v>0</v>
      </c>
      <c r="AL54" s="121">
        <f t="shared" si="11"/>
        <v>0</v>
      </c>
      <c r="AM54" s="122">
        <f t="shared" si="12"/>
        <v>0</v>
      </c>
      <c r="AN54" s="41">
        <f t="shared" si="13"/>
        <v>0</v>
      </c>
      <c r="AO54" s="70">
        <f t="shared" si="14"/>
        <v>0</v>
      </c>
      <c r="AP54" s="70">
        <f t="shared" si="15"/>
        <v>0</v>
      </c>
      <c r="AQ54" s="70">
        <f t="shared" si="16"/>
        <v>0</v>
      </c>
      <c r="AR54" s="70">
        <f t="shared" si="17"/>
        <v>0</v>
      </c>
    </row>
    <row r="55" spans="2:44" x14ac:dyDescent="0.25">
      <c r="B55" s="17">
        <v>53</v>
      </c>
      <c r="C55" s="10"/>
      <c r="D55" s="10"/>
      <c r="E55" s="72"/>
      <c r="F55" s="18"/>
      <c r="G55" s="10"/>
      <c r="H55" s="10"/>
      <c r="I55" s="10"/>
      <c r="J55" s="11"/>
      <c r="K55" s="11">
        <f t="shared" si="20"/>
        <v>0</v>
      </c>
      <c r="L55" s="37">
        <f t="shared" si="21"/>
        <v>0</v>
      </c>
      <c r="M55" s="11"/>
      <c r="N55" s="10"/>
      <c r="O55" s="21"/>
      <c r="P55" s="21"/>
      <c r="Q55" s="21"/>
      <c r="R55" s="23"/>
      <c r="S55" s="50"/>
      <c r="T55" s="48"/>
      <c r="U55" s="82"/>
      <c r="V55" s="26"/>
      <c r="W55" s="200"/>
      <c r="X55" s="17"/>
      <c r="Z55">
        <v>9</v>
      </c>
      <c r="AA55" s="416"/>
      <c r="AB55" s="96">
        <v>5</v>
      </c>
      <c r="AC55" s="105"/>
      <c r="AD55" s="41">
        <f t="shared" si="3"/>
        <v>0</v>
      </c>
      <c r="AE55" s="70">
        <f t="shared" si="4"/>
        <v>0</v>
      </c>
      <c r="AF55" s="70">
        <f t="shared" si="5"/>
        <v>0</v>
      </c>
      <c r="AG55" s="70">
        <f t="shared" si="6"/>
        <v>0</v>
      </c>
      <c r="AH55" s="109">
        <f t="shared" si="7"/>
        <v>0</v>
      </c>
      <c r="AI55" s="120">
        <f t="shared" si="8"/>
        <v>0</v>
      </c>
      <c r="AJ55" s="121">
        <f t="shared" si="9"/>
        <v>0</v>
      </c>
      <c r="AK55" s="121">
        <f t="shared" si="10"/>
        <v>0</v>
      </c>
      <c r="AL55" s="121">
        <f t="shared" si="11"/>
        <v>0</v>
      </c>
      <c r="AM55" s="122">
        <f t="shared" si="12"/>
        <v>0</v>
      </c>
      <c r="AN55" s="41">
        <f t="shared" si="13"/>
        <v>0</v>
      </c>
      <c r="AO55" s="70">
        <f t="shared" si="14"/>
        <v>0</v>
      </c>
      <c r="AP55" s="70">
        <f t="shared" si="15"/>
        <v>0</v>
      </c>
      <c r="AQ55" s="70">
        <f t="shared" si="16"/>
        <v>0</v>
      </c>
      <c r="AR55" s="70">
        <f t="shared" si="17"/>
        <v>0</v>
      </c>
    </row>
    <row r="56" spans="2:44" ht="14.25" thickBot="1" x14ac:dyDescent="0.3">
      <c r="B56" s="17">
        <v>54</v>
      </c>
      <c r="C56" s="10"/>
      <c r="D56" s="10"/>
      <c r="E56" s="72"/>
      <c r="F56" s="18"/>
      <c r="G56" s="10"/>
      <c r="H56" s="10"/>
      <c r="I56" s="10"/>
      <c r="J56" s="11"/>
      <c r="K56" s="11">
        <f t="shared" si="20"/>
        <v>0</v>
      </c>
      <c r="L56" s="37">
        <f t="shared" si="21"/>
        <v>0</v>
      </c>
      <c r="M56" s="11"/>
      <c r="N56" s="10"/>
      <c r="O56" s="21"/>
      <c r="P56" s="21"/>
      <c r="Q56" s="21"/>
      <c r="R56" s="23"/>
      <c r="S56" s="50"/>
      <c r="T56" s="48"/>
      <c r="U56" s="82"/>
      <c r="V56" s="26"/>
      <c r="W56" s="200"/>
      <c r="X56" s="17"/>
      <c r="Z56">
        <v>9</v>
      </c>
      <c r="AA56" s="417"/>
      <c r="AB56" s="97" t="s">
        <v>3</v>
      </c>
      <c r="AC56" s="106"/>
      <c r="AD56" s="99">
        <f>SUM(AD51:AD55)</f>
        <v>0</v>
      </c>
      <c r="AE56" s="99">
        <f t="shared" ref="AE56" si="136">SUM(AE51:AE55)</f>
        <v>0</v>
      </c>
      <c r="AF56" s="99">
        <f t="shared" ref="AF56" si="137">SUM(AF51:AF55)</f>
        <v>0</v>
      </c>
      <c r="AG56" s="99">
        <f t="shared" ref="AG56" si="138">SUM(AG51:AG55)</f>
        <v>0</v>
      </c>
      <c r="AH56" s="110">
        <f t="shared" ref="AH56" si="139">SUM(AH51:AH55)</f>
        <v>0</v>
      </c>
      <c r="AI56" s="123">
        <f t="shared" ref="AI56" si="140">SUM(AI51:AI55)</f>
        <v>0</v>
      </c>
      <c r="AJ56" s="124">
        <f t="shared" ref="AJ56" si="141">SUM(AJ51:AJ55)</f>
        <v>0</v>
      </c>
      <c r="AK56" s="124">
        <f t="shared" ref="AK56" si="142">SUM(AK51:AK55)</f>
        <v>0</v>
      </c>
      <c r="AL56" s="124">
        <f t="shared" ref="AL56" si="143">SUM(AL51:AL55)</f>
        <v>0</v>
      </c>
      <c r="AM56" s="125">
        <f t="shared" ref="AM56" si="144">SUM(AM51:AM55)</f>
        <v>0</v>
      </c>
      <c r="AN56" s="99">
        <f t="shared" ref="AN56" si="145">SUM(AN51:AN55)</f>
        <v>0</v>
      </c>
      <c r="AO56" s="99">
        <f t="shared" ref="AO56" si="146">SUM(AO51:AO55)</f>
        <v>0</v>
      </c>
      <c r="AP56" s="99">
        <f t="shared" ref="AP56" si="147">SUM(AP51:AP55)</f>
        <v>0</v>
      </c>
      <c r="AQ56" s="99">
        <f t="shared" ref="AQ56" si="148">SUM(AQ51:AQ55)</f>
        <v>0</v>
      </c>
      <c r="AR56" s="99">
        <f t="shared" ref="AR56" si="149">SUM(AR51:AR55)</f>
        <v>0</v>
      </c>
    </row>
    <row r="57" spans="2:44" x14ac:dyDescent="0.25">
      <c r="B57" s="17">
        <v>55</v>
      </c>
      <c r="C57" s="10"/>
      <c r="D57" s="10"/>
      <c r="E57" s="72"/>
      <c r="F57" s="18"/>
      <c r="G57" s="10"/>
      <c r="H57" s="10"/>
      <c r="I57" s="10"/>
      <c r="J57" s="11"/>
      <c r="K57" s="11">
        <f t="shared" si="20"/>
        <v>0</v>
      </c>
      <c r="L57" s="37">
        <f t="shared" si="21"/>
        <v>0</v>
      </c>
      <c r="M57" s="11"/>
      <c r="N57" s="10"/>
      <c r="O57" s="21"/>
      <c r="P57" s="21"/>
      <c r="Q57" s="21"/>
      <c r="R57" s="23"/>
      <c r="S57" s="50"/>
      <c r="T57" s="48"/>
      <c r="U57" s="82"/>
      <c r="V57" s="26"/>
      <c r="W57" s="200"/>
      <c r="X57" s="17"/>
      <c r="Z57">
        <v>10</v>
      </c>
      <c r="AA57" s="415">
        <v>10</v>
      </c>
      <c r="AB57" s="94">
        <v>1</v>
      </c>
      <c r="AC57" s="100" t="s">
        <v>128</v>
      </c>
      <c r="AD57" s="41">
        <f t="shared" si="3"/>
        <v>0</v>
      </c>
      <c r="AE57" s="70">
        <f t="shared" si="4"/>
        <v>0</v>
      </c>
      <c r="AF57" s="70">
        <f t="shared" si="5"/>
        <v>0</v>
      </c>
      <c r="AG57" s="70">
        <f t="shared" si="6"/>
        <v>0</v>
      </c>
      <c r="AH57" s="109">
        <f t="shared" si="7"/>
        <v>0</v>
      </c>
      <c r="AI57" s="120">
        <f t="shared" si="8"/>
        <v>0</v>
      </c>
      <c r="AJ57" s="121">
        <f t="shared" si="9"/>
        <v>0</v>
      </c>
      <c r="AK57" s="121">
        <f t="shared" si="10"/>
        <v>0</v>
      </c>
      <c r="AL57" s="121">
        <f t="shared" si="11"/>
        <v>0</v>
      </c>
      <c r="AM57" s="122">
        <f t="shared" si="12"/>
        <v>0</v>
      </c>
      <c r="AN57" s="41">
        <f t="shared" si="13"/>
        <v>0</v>
      </c>
      <c r="AO57" s="70">
        <f t="shared" si="14"/>
        <v>0</v>
      </c>
      <c r="AP57" s="70">
        <f t="shared" si="15"/>
        <v>0</v>
      </c>
      <c r="AQ57" s="70">
        <f t="shared" si="16"/>
        <v>0</v>
      </c>
      <c r="AR57" s="70">
        <f t="shared" si="17"/>
        <v>0</v>
      </c>
    </row>
    <row r="58" spans="2:44" x14ac:dyDescent="0.25">
      <c r="B58" s="17">
        <v>56</v>
      </c>
      <c r="C58" s="10"/>
      <c r="D58" s="10"/>
      <c r="E58" s="72"/>
      <c r="F58" s="18"/>
      <c r="G58" s="10"/>
      <c r="H58" s="10"/>
      <c r="I58" s="10"/>
      <c r="J58" s="11"/>
      <c r="K58" s="11">
        <f t="shared" si="20"/>
        <v>0</v>
      </c>
      <c r="L58" s="37">
        <f t="shared" si="21"/>
        <v>0</v>
      </c>
      <c r="M58" s="11"/>
      <c r="N58" s="10"/>
      <c r="O58" s="21"/>
      <c r="P58" s="21"/>
      <c r="Q58" s="21"/>
      <c r="R58" s="23"/>
      <c r="S58" s="50"/>
      <c r="T58" s="48"/>
      <c r="U58" s="82"/>
      <c r="V58" s="26"/>
      <c r="W58" s="200"/>
      <c r="X58" s="17"/>
      <c r="Z58">
        <v>10</v>
      </c>
      <c r="AA58" s="416"/>
      <c r="AB58" s="95">
        <v>2</v>
      </c>
      <c r="AC58" s="101" t="s">
        <v>61</v>
      </c>
      <c r="AD58" s="41">
        <f t="shared" si="3"/>
        <v>0</v>
      </c>
      <c r="AE58" s="70">
        <f t="shared" si="4"/>
        <v>0</v>
      </c>
      <c r="AF58" s="70">
        <f t="shared" si="5"/>
        <v>0</v>
      </c>
      <c r="AG58" s="70">
        <f t="shared" si="6"/>
        <v>0</v>
      </c>
      <c r="AH58" s="109">
        <f t="shared" si="7"/>
        <v>0</v>
      </c>
      <c r="AI58" s="120">
        <f t="shared" si="8"/>
        <v>0</v>
      </c>
      <c r="AJ58" s="121">
        <f t="shared" si="9"/>
        <v>0</v>
      </c>
      <c r="AK58" s="121">
        <f t="shared" si="10"/>
        <v>0</v>
      </c>
      <c r="AL58" s="121">
        <f t="shared" si="11"/>
        <v>0</v>
      </c>
      <c r="AM58" s="122">
        <f t="shared" si="12"/>
        <v>0</v>
      </c>
      <c r="AN58" s="41">
        <f t="shared" si="13"/>
        <v>0</v>
      </c>
      <c r="AO58" s="70">
        <f t="shared" si="14"/>
        <v>0</v>
      </c>
      <c r="AP58" s="70">
        <f t="shared" si="15"/>
        <v>0</v>
      </c>
      <c r="AQ58" s="70">
        <f t="shared" si="16"/>
        <v>0</v>
      </c>
      <c r="AR58" s="70">
        <f t="shared" si="17"/>
        <v>0</v>
      </c>
    </row>
    <row r="59" spans="2:44" x14ac:dyDescent="0.25">
      <c r="B59" s="17">
        <v>57</v>
      </c>
      <c r="C59" s="10"/>
      <c r="D59" s="10"/>
      <c r="E59" s="72"/>
      <c r="F59" s="18"/>
      <c r="G59" s="10"/>
      <c r="H59" s="10"/>
      <c r="I59" s="10"/>
      <c r="J59" s="11"/>
      <c r="K59" s="11">
        <f t="shared" si="20"/>
        <v>0</v>
      </c>
      <c r="L59" s="37">
        <f t="shared" si="21"/>
        <v>0</v>
      </c>
      <c r="M59" s="11"/>
      <c r="N59" s="10"/>
      <c r="O59" s="21"/>
      <c r="P59" s="21"/>
      <c r="Q59" s="21"/>
      <c r="R59" s="23"/>
      <c r="S59" s="50"/>
      <c r="T59" s="48"/>
      <c r="U59" s="82"/>
      <c r="V59" s="32"/>
      <c r="W59" s="200"/>
      <c r="X59" s="17"/>
      <c r="Z59">
        <v>10</v>
      </c>
      <c r="AA59" s="416"/>
      <c r="AB59" s="95">
        <v>3</v>
      </c>
      <c r="AC59" s="102" t="s">
        <v>62</v>
      </c>
      <c r="AD59" s="41">
        <f t="shared" si="3"/>
        <v>0</v>
      </c>
      <c r="AE59" s="70">
        <f t="shared" si="4"/>
        <v>0</v>
      </c>
      <c r="AF59" s="70">
        <f t="shared" si="5"/>
        <v>0</v>
      </c>
      <c r="AG59" s="70">
        <f t="shared" si="6"/>
        <v>0</v>
      </c>
      <c r="AH59" s="109">
        <f t="shared" si="7"/>
        <v>0</v>
      </c>
      <c r="AI59" s="120">
        <f t="shared" si="8"/>
        <v>0</v>
      </c>
      <c r="AJ59" s="121">
        <f t="shared" si="9"/>
        <v>0</v>
      </c>
      <c r="AK59" s="121">
        <f t="shared" si="10"/>
        <v>0</v>
      </c>
      <c r="AL59" s="121">
        <f t="shared" si="11"/>
        <v>0</v>
      </c>
      <c r="AM59" s="122">
        <f t="shared" si="12"/>
        <v>0</v>
      </c>
      <c r="AN59" s="41">
        <f t="shared" si="13"/>
        <v>0</v>
      </c>
      <c r="AO59" s="70">
        <f t="shared" si="14"/>
        <v>0</v>
      </c>
      <c r="AP59" s="70">
        <f t="shared" si="15"/>
        <v>0</v>
      </c>
      <c r="AQ59" s="70">
        <f t="shared" si="16"/>
        <v>0</v>
      </c>
      <c r="AR59" s="70">
        <f t="shared" si="17"/>
        <v>0</v>
      </c>
    </row>
    <row r="60" spans="2:44" x14ac:dyDescent="0.25">
      <c r="B60" s="17">
        <v>58</v>
      </c>
      <c r="C60" s="10"/>
      <c r="D60" s="10"/>
      <c r="E60" s="72"/>
      <c r="F60" s="18"/>
      <c r="G60" s="10"/>
      <c r="H60" s="10"/>
      <c r="I60" s="10"/>
      <c r="J60" s="11"/>
      <c r="K60" s="11">
        <f t="shared" si="20"/>
        <v>0</v>
      </c>
      <c r="L60" s="37">
        <f t="shared" si="21"/>
        <v>0</v>
      </c>
      <c r="M60" s="11"/>
      <c r="N60" s="10"/>
      <c r="O60" s="21"/>
      <c r="P60" s="21"/>
      <c r="Q60" s="21"/>
      <c r="R60" s="23"/>
      <c r="S60" s="50"/>
      <c r="T60" s="48"/>
      <c r="U60" s="82"/>
      <c r="V60" s="32"/>
      <c r="W60" s="200"/>
      <c r="X60" s="17"/>
      <c r="Z60">
        <v>10</v>
      </c>
      <c r="AA60" s="416"/>
      <c r="AB60" s="95">
        <v>4</v>
      </c>
      <c r="AC60" s="102" t="s">
        <v>63</v>
      </c>
      <c r="AD60" s="41">
        <f t="shared" si="3"/>
        <v>0</v>
      </c>
      <c r="AE60" s="70">
        <f t="shared" si="4"/>
        <v>0</v>
      </c>
      <c r="AF60" s="70">
        <f t="shared" si="5"/>
        <v>0</v>
      </c>
      <c r="AG60" s="70">
        <f t="shared" si="6"/>
        <v>0</v>
      </c>
      <c r="AH60" s="109">
        <f t="shared" si="7"/>
        <v>0</v>
      </c>
      <c r="AI60" s="120">
        <f t="shared" si="8"/>
        <v>0</v>
      </c>
      <c r="AJ60" s="121">
        <f t="shared" si="9"/>
        <v>0</v>
      </c>
      <c r="AK60" s="121">
        <f t="shared" si="10"/>
        <v>0</v>
      </c>
      <c r="AL60" s="121">
        <f t="shared" si="11"/>
        <v>0</v>
      </c>
      <c r="AM60" s="122">
        <f t="shared" si="12"/>
        <v>0</v>
      </c>
      <c r="AN60" s="41">
        <f t="shared" si="13"/>
        <v>0</v>
      </c>
      <c r="AO60" s="70">
        <f t="shared" si="14"/>
        <v>0</v>
      </c>
      <c r="AP60" s="70">
        <f t="shared" si="15"/>
        <v>0</v>
      </c>
      <c r="AQ60" s="70">
        <f t="shared" si="16"/>
        <v>0</v>
      </c>
      <c r="AR60" s="70">
        <f t="shared" si="17"/>
        <v>0</v>
      </c>
    </row>
    <row r="61" spans="2:44" x14ac:dyDescent="0.25">
      <c r="B61" s="17">
        <v>59</v>
      </c>
      <c r="C61" s="10"/>
      <c r="D61" s="10"/>
      <c r="E61" s="72"/>
      <c r="F61" s="18"/>
      <c r="G61" s="10"/>
      <c r="H61" s="10"/>
      <c r="I61" s="10"/>
      <c r="J61" s="11"/>
      <c r="K61" s="11">
        <f t="shared" si="20"/>
        <v>0</v>
      </c>
      <c r="L61" s="37">
        <f t="shared" si="21"/>
        <v>0</v>
      </c>
      <c r="M61" s="11"/>
      <c r="N61" s="10"/>
      <c r="O61" s="21"/>
      <c r="P61" s="21"/>
      <c r="Q61" s="21"/>
      <c r="R61" s="23"/>
      <c r="S61" s="50"/>
      <c r="T61" s="48"/>
      <c r="U61" s="82"/>
      <c r="V61" s="26"/>
      <c r="W61" s="200"/>
      <c r="X61" s="17"/>
      <c r="Z61">
        <v>10</v>
      </c>
      <c r="AA61" s="416"/>
      <c r="AB61" s="96">
        <v>5</v>
      </c>
      <c r="AC61" s="56" t="s">
        <v>64</v>
      </c>
      <c r="AD61" s="41">
        <f t="shared" si="3"/>
        <v>0</v>
      </c>
      <c r="AE61" s="70">
        <f t="shared" si="4"/>
        <v>0</v>
      </c>
      <c r="AF61" s="70">
        <f t="shared" si="5"/>
        <v>0</v>
      </c>
      <c r="AG61" s="70">
        <f t="shared" si="6"/>
        <v>0</v>
      </c>
      <c r="AH61" s="109">
        <f t="shared" si="7"/>
        <v>0</v>
      </c>
      <c r="AI61" s="120">
        <f t="shared" si="8"/>
        <v>0</v>
      </c>
      <c r="AJ61" s="121">
        <f t="shared" si="9"/>
        <v>0</v>
      </c>
      <c r="AK61" s="121">
        <f t="shared" si="10"/>
        <v>0</v>
      </c>
      <c r="AL61" s="121">
        <f t="shared" si="11"/>
        <v>0</v>
      </c>
      <c r="AM61" s="122">
        <f t="shared" si="12"/>
        <v>0</v>
      </c>
      <c r="AN61" s="41">
        <f t="shared" si="13"/>
        <v>0</v>
      </c>
      <c r="AO61" s="70">
        <f t="shared" si="14"/>
        <v>0</v>
      </c>
      <c r="AP61" s="70">
        <f t="shared" si="15"/>
        <v>0</v>
      </c>
      <c r="AQ61" s="70">
        <f t="shared" si="16"/>
        <v>0</v>
      </c>
      <c r="AR61" s="70">
        <f t="shared" si="17"/>
        <v>0</v>
      </c>
    </row>
    <row r="62" spans="2:44" ht="14.25" thickBot="1" x14ac:dyDescent="0.3">
      <c r="B62" s="17">
        <v>60</v>
      </c>
      <c r="C62" s="10"/>
      <c r="D62" s="10"/>
      <c r="E62" s="72"/>
      <c r="F62" s="18"/>
      <c r="G62" s="10"/>
      <c r="H62" s="10"/>
      <c r="I62" s="10"/>
      <c r="J62" s="11"/>
      <c r="K62" s="11">
        <f t="shared" si="20"/>
        <v>0</v>
      </c>
      <c r="L62" s="37">
        <f t="shared" si="21"/>
        <v>0</v>
      </c>
      <c r="M62" s="11"/>
      <c r="N62" s="10"/>
      <c r="O62" s="21"/>
      <c r="P62" s="21"/>
      <c r="Q62" s="21"/>
      <c r="R62" s="23"/>
      <c r="S62" s="50"/>
      <c r="T62" s="48"/>
      <c r="U62" s="82"/>
      <c r="V62" s="26"/>
      <c r="W62" s="200"/>
      <c r="X62" s="17"/>
      <c r="Z62">
        <v>10</v>
      </c>
      <c r="AA62" s="417"/>
      <c r="AB62" s="97" t="s">
        <v>3</v>
      </c>
      <c r="AC62" s="106"/>
      <c r="AD62" s="99">
        <f>SUM(AD57:AD61)</f>
        <v>0</v>
      </c>
      <c r="AE62" s="99">
        <f t="shared" ref="AE62" si="150">SUM(AE57:AE61)</f>
        <v>0</v>
      </c>
      <c r="AF62" s="99">
        <f t="shared" ref="AF62" si="151">SUM(AF57:AF61)</f>
        <v>0</v>
      </c>
      <c r="AG62" s="99">
        <f t="shared" ref="AG62" si="152">SUM(AG57:AG61)</f>
        <v>0</v>
      </c>
      <c r="AH62" s="110">
        <f t="shared" ref="AH62" si="153">SUM(AH57:AH61)</f>
        <v>0</v>
      </c>
      <c r="AI62" s="123">
        <f t="shared" ref="AI62" si="154">SUM(AI57:AI61)</f>
        <v>0</v>
      </c>
      <c r="AJ62" s="124">
        <f t="shared" ref="AJ62" si="155">SUM(AJ57:AJ61)</f>
        <v>0</v>
      </c>
      <c r="AK62" s="124">
        <f t="shared" ref="AK62" si="156">SUM(AK57:AK61)</f>
        <v>0</v>
      </c>
      <c r="AL62" s="124">
        <f t="shared" ref="AL62" si="157">SUM(AL57:AL61)</f>
        <v>0</v>
      </c>
      <c r="AM62" s="125">
        <f t="shared" ref="AM62" si="158">SUM(AM57:AM61)</f>
        <v>0</v>
      </c>
      <c r="AN62" s="99">
        <f t="shared" ref="AN62" si="159">SUM(AN57:AN61)</f>
        <v>0</v>
      </c>
      <c r="AO62" s="99">
        <f t="shared" ref="AO62" si="160">SUM(AO57:AO61)</f>
        <v>0</v>
      </c>
      <c r="AP62" s="99">
        <f t="shared" ref="AP62" si="161">SUM(AP57:AP61)</f>
        <v>0</v>
      </c>
      <c r="AQ62" s="99">
        <f t="shared" ref="AQ62" si="162">SUM(AQ57:AQ61)</f>
        <v>0</v>
      </c>
      <c r="AR62" s="99">
        <f t="shared" ref="AR62" si="163">SUM(AR57:AR61)</f>
        <v>0</v>
      </c>
    </row>
    <row r="63" spans="2:44" x14ac:dyDescent="0.25">
      <c r="B63" s="17">
        <v>61</v>
      </c>
      <c r="C63" s="10"/>
      <c r="D63" s="10"/>
      <c r="E63" s="72"/>
      <c r="F63" s="18"/>
      <c r="G63" s="10"/>
      <c r="H63" s="10"/>
      <c r="I63" s="10"/>
      <c r="J63" s="11"/>
      <c r="K63" s="11">
        <f t="shared" si="20"/>
        <v>0</v>
      </c>
      <c r="L63" s="37">
        <f t="shared" si="21"/>
        <v>0</v>
      </c>
      <c r="M63" s="11"/>
      <c r="N63" s="10"/>
      <c r="O63" s="21"/>
      <c r="P63" s="21"/>
      <c r="Q63" s="21"/>
      <c r="R63" s="23"/>
      <c r="S63" s="50"/>
      <c r="T63" s="48"/>
      <c r="U63" s="82"/>
      <c r="V63" s="26"/>
      <c r="W63" s="200"/>
      <c r="X63" s="17"/>
      <c r="Z63">
        <v>11</v>
      </c>
      <c r="AA63" s="415">
        <v>11</v>
      </c>
      <c r="AB63" s="94">
        <v>1</v>
      </c>
      <c r="AC63" s="100" t="s">
        <v>129</v>
      </c>
      <c r="AD63" s="41">
        <f t="shared" si="3"/>
        <v>0</v>
      </c>
      <c r="AE63" s="70">
        <f t="shared" si="4"/>
        <v>0</v>
      </c>
      <c r="AF63" s="70">
        <f t="shared" si="5"/>
        <v>0</v>
      </c>
      <c r="AG63" s="70">
        <f t="shared" si="6"/>
        <v>0</v>
      </c>
      <c r="AH63" s="109">
        <f t="shared" si="7"/>
        <v>0</v>
      </c>
      <c r="AI63" s="120">
        <f t="shared" si="8"/>
        <v>0</v>
      </c>
      <c r="AJ63" s="121">
        <f t="shared" si="9"/>
        <v>0</v>
      </c>
      <c r="AK63" s="121">
        <f t="shared" si="10"/>
        <v>0</v>
      </c>
      <c r="AL63" s="121">
        <f t="shared" si="11"/>
        <v>0</v>
      </c>
      <c r="AM63" s="122">
        <f t="shared" si="12"/>
        <v>0</v>
      </c>
      <c r="AN63" s="41">
        <f t="shared" si="13"/>
        <v>0</v>
      </c>
      <c r="AO63" s="70">
        <f t="shared" si="14"/>
        <v>0</v>
      </c>
      <c r="AP63" s="70">
        <f t="shared" si="15"/>
        <v>0</v>
      </c>
      <c r="AQ63" s="70">
        <f t="shared" si="16"/>
        <v>0</v>
      </c>
      <c r="AR63" s="70">
        <f t="shared" si="17"/>
        <v>0</v>
      </c>
    </row>
    <row r="64" spans="2:44" x14ac:dyDescent="0.25">
      <c r="B64" s="17">
        <v>62</v>
      </c>
      <c r="C64" s="10"/>
      <c r="D64" s="10"/>
      <c r="E64" s="72"/>
      <c r="F64" s="18"/>
      <c r="G64" s="10"/>
      <c r="H64" s="10"/>
      <c r="I64" s="10"/>
      <c r="J64" s="11"/>
      <c r="K64" s="11">
        <f t="shared" si="20"/>
        <v>0</v>
      </c>
      <c r="L64" s="37">
        <f t="shared" si="21"/>
        <v>0</v>
      </c>
      <c r="M64" s="11"/>
      <c r="N64" s="10"/>
      <c r="O64" s="21"/>
      <c r="P64" s="21"/>
      <c r="Q64" s="21"/>
      <c r="R64" s="23"/>
      <c r="S64" s="50"/>
      <c r="T64" s="48"/>
      <c r="U64" s="82"/>
      <c r="V64" s="26"/>
      <c r="W64" s="200"/>
      <c r="X64" s="17"/>
      <c r="Z64">
        <v>11</v>
      </c>
      <c r="AA64" s="416"/>
      <c r="AB64" s="95">
        <v>2</v>
      </c>
      <c r="AC64" s="102" t="s">
        <v>65</v>
      </c>
      <c r="AD64" s="41">
        <f t="shared" si="3"/>
        <v>0</v>
      </c>
      <c r="AE64" s="70">
        <f t="shared" si="4"/>
        <v>0</v>
      </c>
      <c r="AF64" s="70">
        <f t="shared" si="5"/>
        <v>0</v>
      </c>
      <c r="AG64" s="70">
        <f t="shared" si="6"/>
        <v>0</v>
      </c>
      <c r="AH64" s="109">
        <f t="shared" si="7"/>
        <v>0</v>
      </c>
      <c r="AI64" s="120">
        <f t="shared" si="8"/>
        <v>0</v>
      </c>
      <c r="AJ64" s="121">
        <f t="shared" si="9"/>
        <v>0</v>
      </c>
      <c r="AK64" s="121">
        <f t="shared" si="10"/>
        <v>0</v>
      </c>
      <c r="AL64" s="121">
        <f t="shared" si="11"/>
        <v>0</v>
      </c>
      <c r="AM64" s="122">
        <f t="shared" si="12"/>
        <v>0</v>
      </c>
      <c r="AN64" s="41">
        <f t="shared" si="13"/>
        <v>0</v>
      </c>
      <c r="AO64" s="70">
        <f t="shared" si="14"/>
        <v>0</v>
      </c>
      <c r="AP64" s="70">
        <f t="shared" si="15"/>
        <v>0</v>
      </c>
      <c r="AQ64" s="70">
        <f t="shared" si="16"/>
        <v>0</v>
      </c>
      <c r="AR64" s="70">
        <f t="shared" si="17"/>
        <v>0</v>
      </c>
    </row>
    <row r="65" spans="2:44" x14ac:dyDescent="0.25">
      <c r="B65" s="17">
        <v>63</v>
      </c>
      <c r="C65" s="10"/>
      <c r="D65" s="10"/>
      <c r="E65" s="72"/>
      <c r="F65" s="18"/>
      <c r="G65" s="10"/>
      <c r="H65" s="10"/>
      <c r="I65" s="10"/>
      <c r="J65" s="11"/>
      <c r="K65" s="11">
        <f t="shared" si="20"/>
        <v>0</v>
      </c>
      <c r="L65" s="37">
        <f t="shared" si="21"/>
        <v>0</v>
      </c>
      <c r="M65" s="11"/>
      <c r="N65" s="10"/>
      <c r="O65" s="21"/>
      <c r="P65" s="21"/>
      <c r="Q65" s="21"/>
      <c r="R65" s="23"/>
      <c r="S65" s="50"/>
      <c r="T65" s="48"/>
      <c r="U65" s="82"/>
      <c r="V65" s="26"/>
      <c r="W65" s="200"/>
      <c r="X65" s="17"/>
      <c r="Z65">
        <v>11</v>
      </c>
      <c r="AA65" s="416"/>
      <c r="AB65" s="95">
        <v>3</v>
      </c>
      <c r="AC65" s="102" t="s">
        <v>66</v>
      </c>
      <c r="AD65" s="41">
        <f t="shared" si="3"/>
        <v>0</v>
      </c>
      <c r="AE65" s="70">
        <f t="shared" si="4"/>
        <v>0</v>
      </c>
      <c r="AF65" s="70">
        <f t="shared" si="5"/>
        <v>0</v>
      </c>
      <c r="AG65" s="70">
        <f t="shared" si="6"/>
        <v>0</v>
      </c>
      <c r="AH65" s="109">
        <f t="shared" si="7"/>
        <v>0</v>
      </c>
      <c r="AI65" s="120">
        <f t="shared" si="8"/>
        <v>0</v>
      </c>
      <c r="AJ65" s="121">
        <f t="shared" si="9"/>
        <v>0</v>
      </c>
      <c r="AK65" s="121">
        <f t="shared" si="10"/>
        <v>0</v>
      </c>
      <c r="AL65" s="121">
        <f t="shared" si="11"/>
        <v>0</v>
      </c>
      <c r="AM65" s="122">
        <f t="shared" si="12"/>
        <v>0</v>
      </c>
      <c r="AN65" s="41">
        <f t="shared" si="13"/>
        <v>0</v>
      </c>
      <c r="AO65" s="70">
        <f t="shared" si="14"/>
        <v>0</v>
      </c>
      <c r="AP65" s="70">
        <f t="shared" si="15"/>
        <v>0</v>
      </c>
      <c r="AQ65" s="70">
        <f t="shared" si="16"/>
        <v>0</v>
      </c>
      <c r="AR65" s="70">
        <f t="shared" si="17"/>
        <v>0</v>
      </c>
    </row>
    <row r="66" spans="2:44" x14ac:dyDescent="0.25">
      <c r="B66" s="17">
        <v>64</v>
      </c>
      <c r="C66" s="10"/>
      <c r="D66" s="10"/>
      <c r="E66" s="72"/>
      <c r="F66" s="18"/>
      <c r="G66" s="10"/>
      <c r="H66" s="10"/>
      <c r="I66" s="10"/>
      <c r="J66" s="11"/>
      <c r="K66" s="11">
        <f t="shared" si="20"/>
        <v>0</v>
      </c>
      <c r="L66" s="37">
        <f t="shared" si="21"/>
        <v>0</v>
      </c>
      <c r="M66" s="11"/>
      <c r="N66" s="10"/>
      <c r="O66" s="21"/>
      <c r="P66" s="21"/>
      <c r="Q66" s="21"/>
      <c r="R66" s="23"/>
      <c r="S66" s="50"/>
      <c r="T66" s="48"/>
      <c r="U66" s="82"/>
      <c r="V66" s="32"/>
      <c r="W66" s="200"/>
      <c r="X66" s="17"/>
      <c r="Z66">
        <v>11</v>
      </c>
      <c r="AA66" s="416"/>
      <c r="AB66" s="95">
        <v>4</v>
      </c>
      <c r="AC66" s="102" t="s">
        <v>67</v>
      </c>
      <c r="AD66" s="41">
        <f t="shared" si="3"/>
        <v>0</v>
      </c>
      <c r="AE66" s="70">
        <f t="shared" si="4"/>
        <v>0</v>
      </c>
      <c r="AF66" s="70">
        <f t="shared" si="5"/>
        <v>0</v>
      </c>
      <c r="AG66" s="70">
        <f t="shared" si="6"/>
        <v>0</v>
      </c>
      <c r="AH66" s="109">
        <f t="shared" si="7"/>
        <v>0</v>
      </c>
      <c r="AI66" s="120">
        <f t="shared" si="8"/>
        <v>0</v>
      </c>
      <c r="AJ66" s="121">
        <f t="shared" si="9"/>
        <v>0</v>
      </c>
      <c r="AK66" s="121">
        <f t="shared" si="10"/>
        <v>0</v>
      </c>
      <c r="AL66" s="121">
        <f t="shared" si="11"/>
        <v>0</v>
      </c>
      <c r="AM66" s="122">
        <f t="shared" si="12"/>
        <v>0</v>
      </c>
      <c r="AN66" s="41">
        <f t="shared" si="13"/>
        <v>0</v>
      </c>
      <c r="AO66" s="70">
        <f t="shared" si="14"/>
        <v>0</v>
      </c>
      <c r="AP66" s="70">
        <f t="shared" si="15"/>
        <v>0</v>
      </c>
      <c r="AQ66" s="70">
        <f t="shared" si="16"/>
        <v>0</v>
      </c>
      <c r="AR66" s="70">
        <f t="shared" si="17"/>
        <v>0</v>
      </c>
    </row>
    <row r="67" spans="2:44" x14ac:dyDescent="0.25">
      <c r="B67" s="17">
        <v>65</v>
      </c>
      <c r="C67" s="10"/>
      <c r="D67" s="10"/>
      <c r="E67" s="72"/>
      <c r="F67" s="18"/>
      <c r="G67" s="10"/>
      <c r="H67" s="10"/>
      <c r="I67" s="10"/>
      <c r="J67" s="11"/>
      <c r="K67" s="11">
        <f t="shared" si="20"/>
        <v>0</v>
      </c>
      <c r="L67" s="37">
        <f t="shared" si="21"/>
        <v>0</v>
      </c>
      <c r="M67" s="11"/>
      <c r="N67" s="10"/>
      <c r="O67" s="21"/>
      <c r="P67" s="21"/>
      <c r="Q67" s="21"/>
      <c r="R67" s="23"/>
      <c r="S67" s="50"/>
      <c r="T67" s="48"/>
      <c r="U67" s="82"/>
      <c r="V67" s="32"/>
      <c r="W67" s="200"/>
      <c r="X67" s="17"/>
      <c r="Z67">
        <v>11</v>
      </c>
      <c r="AA67" s="416"/>
      <c r="AB67" s="96">
        <v>5</v>
      </c>
      <c r="AC67" s="105"/>
      <c r="AD67" s="41">
        <f t="shared" si="3"/>
        <v>0</v>
      </c>
      <c r="AE67" s="70">
        <f t="shared" si="4"/>
        <v>0</v>
      </c>
      <c r="AF67" s="70">
        <f t="shared" si="5"/>
        <v>0</v>
      </c>
      <c r="AG67" s="70">
        <f t="shared" si="6"/>
        <v>0</v>
      </c>
      <c r="AH67" s="109">
        <f t="shared" si="7"/>
        <v>0</v>
      </c>
      <c r="AI67" s="120">
        <f t="shared" si="8"/>
        <v>0</v>
      </c>
      <c r="AJ67" s="121">
        <f t="shared" si="9"/>
        <v>0</v>
      </c>
      <c r="AK67" s="121">
        <f t="shared" si="10"/>
        <v>0</v>
      </c>
      <c r="AL67" s="121">
        <f t="shared" si="11"/>
        <v>0</v>
      </c>
      <c r="AM67" s="122">
        <f t="shared" si="12"/>
        <v>0</v>
      </c>
      <c r="AN67" s="41">
        <f t="shared" si="13"/>
        <v>0</v>
      </c>
      <c r="AO67" s="70">
        <f t="shared" si="14"/>
        <v>0</v>
      </c>
      <c r="AP67" s="70">
        <f t="shared" si="15"/>
        <v>0</v>
      </c>
      <c r="AQ67" s="70">
        <f t="shared" si="16"/>
        <v>0</v>
      </c>
      <c r="AR67" s="70">
        <f t="shared" si="17"/>
        <v>0</v>
      </c>
    </row>
    <row r="68" spans="2:44" ht="14.25" thickBot="1" x14ac:dyDescent="0.3">
      <c r="B68" s="17">
        <v>66</v>
      </c>
      <c r="C68" s="10"/>
      <c r="D68" s="10"/>
      <c r="E68" s="72"/>
      <c r="F68" s="18"/>
      <c r="G68" s="10"/>
      <c r="H68" s="10"/>
      <c r="I68" s="10"/>
      <c r="J68" s="11"/>
      <c r="K68" s="11">
        <f t="shared" ref="K68:K131" si="164">J68*1.1</f>
        <v>0</v>
      </c>
      <c r="L68" s="37">
        <f t="shared" ref="L68:L131" si="165">J68*0.00000001</f>
        <v>0</v>
      </c>
      <c r="M68" s="11"/>
      <c r="N68" s="10"/>
      <c r="O68" s="21"/>
      <c r="P68" s="21"/>
      <c r="Q68" s="21"/>
      <c r="R68" s="23"/>
      <c r="S68" s="50"/>
      <c r="T68" s="48"/>
      <c r="U68" s="82"/>
      <c r="V68" s="32"/>
      <c r="W68" s="200"/>
      <c r="X68" s="17"/>
      <c r="Z68">
        <v>11</v>
      </c>
      <c r="AA68" s="417"/>
      <c r="AB68" s="97" t="s">
        <v>3</v>
      </c>
      <c r="AC68" s="106"/>
      <c r="AD68" s="99">
        <f>SUM(AD63:AD67)</f>
        <v>0</v>
      </c>
      <c r="AE68" s="99">
        <f t="shared" ref="AE68" si="166">SUM(AE63:AE67)</f>
        <v>0</v>
      </c>
      <c r="AF68" s="99">
        <f t="shared" ref="AF68" si="167">SUM(AF63:AF67)</f>
        <v>0</v>
      </c>
      <c r="AG68" s="99">
        <f t="shared" ref="AG68" si="168">SUM(AG63:AG67)</f>
        <v>0</v>
      </c>
      <c r="AH68" s="110">
        <f t="shared" ref="AH68" si="169">SUM(AH63:AH67)</f>
        <v>0</v>
      </c>
      <c r="AI68" s="123">
        <f t="shared" ref="AI68" si="170">SUM(AI63:AI67)</f>
        <v>0</v>
      </c>
      <c r="AJ68" s="124">
        <f t="shared" ref="AJ68" si="171">SUM(AJ63:AJ67)</f>
        <v>0</v>
      </c>
      <c r="AK68" s="124">
        <f t="shared" ref="AK68" si="172">SUM(AK63:AK67)</f>
        <v>0</v>
      </c>
      <c r="AL68" s="124">
        <f t="shared" ref="AL68" si="173">SUM(AL63:AL67)</f>
        <v>0</v>
      </c>
      <c r="AM68" s="125">
        <f t="shared" ref="AM68" si="174">SUM(AM63:AM67)</f>
        <v>0</v>
      </c>
      <c r="AN68" s="99">
        <f t="shared" ref="AN68" si="175">SUM(AN63:AN67)</f>
        <v>0</v>
      </c>
      <c r="AO68" s="99">
        <f t="shared" ref="AO68" si="176">SUM(AO63:AO67)</f>
        <v>0</v>
      </c>
      <c r="AP68" s="99">
        <f t="shared" ref="AP68" si="177">SUM(AP63:AP67)</f>
        <v>0</v>
      </c>
      <c r="AQ68" s="99">
        <f t="shared" ref="AQ68" si="178">SUM(AQ63:AQ67)</f>
        <v>0</v>
      </c>
      <c r="AR68" s="99">
        <f t="shared" ref="AR68" si="179">SUM(AR63:AR67)</f>
        <v>0</v>
      </c>
    </row>
    <row r="69" spans="2:44" x14ac:dyDescent="0.25">
      <c r="B69" s="17">
        <v>67</v>
      </c>
      <c r="C69" s="10"/>
      <c r="D69" s="10"/>
      <c r="E69" s="72"/>
      <c r="F69" s="18"/>
      <c r="G69" s="10"/>
      <c r="H69" s="10"/>
      <c r="I69" s="10"/>
      <c r="J69" s="11"/>
      <c r="K69" s="11">
        <f t="shared" si="164"/>
        <v>0</v>
      </c>
      <c r="L69" s="37">
        <f t="shared" si="165"/>
        <v>0</v>
      </c>
      <c r="M69" s="11"/>
      <c r="N69" s="10"/>
      <c r="O69" s="21"/>
      <c r="P69" s="21"/>
      <c r="Q69" s="21"/>
      <c r="R69" s="23"/>
      <c r="S69" s="50"/>
      <c r="T69" s="48"/>
      <c r="U69" s="82"/>
      <c r="V69" s="32"/>
      <c r="W69" s="200"/>
      <c r="X69" s="17"/>
      <c r="Z69">
        <v>12</v>
      </c>
      <c r="AA69" s="422">
        <v>12</v>
      </c>
      <c r="AB69" s="98">
        <v>1</v>
      </c>
      <c r="AC69" s="107" t="s">
        <v>130</v>
      </c>
      <c r="AD69" s="41">
        <f t="shared" ref="AD69:AD73" si="180">SUM(AE69:AH69)</f>
        <v>0</v>
      </c>
      <c r="AE69" s="70">
        <f t="shared" ref="AE69:AE73" si="181">SUMIFS($I:$I,$C:$C, $AE$2,$G:$G,$Z69,$H:$H,$AB69)</f>
        <v>0</v>
      </c>
      <c r="AF69" s="70">
        <f t="shared" ref="AF69:AF73" si="182">SUMIFS($I:$I,$C:$C, $AF$2,$G:$G,$Z69,$H:$H,$AB69)</f>
        <v>0</v>
      </c>
      <c r="AG69" s="70">
        <f t="shared" ref="AG69:AG73" si="183">SUMIFS($I:$I,$C:$C, $AG$2,$G:$G,$Z69,$H:$H,$AB69)</f>
        <v>0</v>
      </c>
      <c r="AH69" s="109">
        <f t="shared" ref="AH69:AH73" si="184">SUMIFS($I:$I,$C:$C, $AH$2,$G:$G,$Z69,$H:$H,$AB69)</f>
        <v>0</v>
      </c>
      <c r="AI69" s="120">
        <f t="shared" ref="AI69:AI73" si="185">SUM(AJ69:AM69)</f>
        <v>0</v>
      </c>
      <c r="AJ69" s="121">
        <f t="shared" ref="AJ69:AJ73" si="186">COUNTIFS($C:$C, $AJ$2,$G:$G,$Z69,$H:$H,$AB69)</f>
        <v>0</v>
      </c>
      <c r="AK69" s="121">
        <f t="shared" ref="AK69:AK73" si="187">COUNTIFS($C:$C, $AK$2,$G:$G,$Z69,$H:$H,$AB69)</f>
        <v>0</v>
      </c>
      <c r="AL69" s="121">
        <f t="shared" ref="AL69:AL73" si="188">COUNTIFS($C:$C, $AL$2,$G:$G,$Z69,$H:$H,$AB69)</f>
        <v>0</v>
      </c>
      <c r="AM69" s="122">
        <f t="shared" ref="AM69:AM73" si="189">COUNTIFS($C:$C, $AM$2,$G:$G,$Z69,$H:$H,$AB69)</f>
        <v>0</v>
      </c>
      <c r="AN69" s="41">
        <f t="shared" ref="AN69:AN73" si="190">SUM(AO69:AR69)</f>
        <v>0</v>
      </c>
      <c r="AO69" s="70">
        <f t="shared" ref="AO69:AO73" si="191">SUMIFS($L:$L,$C:$C, $AO$2,$G:$G,$Z69,$H:$H,$AB69)</f>
        <v>0</v>
      </c>
      <c r="AP69" s="70">
        <f t="shared" ref="AP69:AP73" si="192">SUMIFS($L:$L,$C:$C, $AP$2,$G:$G,$Z69,$H:$H,$AB69)</f>
        <v>0</v>
      </c>
      <c r="AQ69" s="70">
        <f t="shared" ref="AQ69:AQ73" si="193">SUMIFS($L:$L,$C:$C, $AQ$2,$G:$G,$Z69,$H:$H,$AB69)</f>
        <v>0</v>
      </c>
      <c r="AR69" s="70">
        <f t="shared" ref="AR69:AR73" si="194">SUMIFS($L:$L,$C:$C, $AR$2,$G:$G,$Z69,$H:$H,$AB69)</f>
        <v>0</v>
      </c>
    </row>
    <row r="70" spans="2:44" x14ac:dyDescent="0.25">
      <c r="B70" s="17">
        <v>68</v>
      </c>
      <c r="C70" s="10"/>
      <c r="D70" s="10"/>
      <c r="E70" s="72"/>
      <c r="F70" s="18"/>
      <c r="G70" s="10"/>
      <c r="H70" s="10"/>
      <c r="I70" s="10"/>
      <c r="J70" s="11"/>
      <c r="K70" s="11">
        <f t="shared" si="164"/>
        <v>0</v>
      </c>
      <c r="L70" s="37">
        <f t="shared" si="165"/>
        <v>0</v>
      </c>
      <c r="M70" s="11"/>
      <c r="N70" s="10"/>
      <c r="O70" s="21"/>
      <c r="P70" s="21"/>
      <c r="Q70" s="21"/>
      <c r="R70" s="23"/>
      <c r="S70" s="50"/>
      <c r="T70" s="48"/>
      <c r="U70" s="82"/>
      <c r="V70" s="26"/>
      <c r="W70" s="200"/>
      <c r="X70" s="17"/>
      <c r="Z70">
        <v>12</v>
      </c>
      <c r="AA70" s="416"/>
      <c r="AB70" s="95">
        <v>2</v>
      </c>
      <c r="AC70" s="102" t="s">
        <v>125</v>
      </c>
      <c r="AD70" s="41">
        <f t="shared" si="180"/>
        <v>0</v>
      </c>
      <c r="AE70" s="70">
        <f t="shared" si="181"/>
        <v>0</v>
      </c>
      <c r="AF70" s="70">
        <f t="shared" si="182"/>
        <v>0</v>
      </c>
      <c r="AG70" s="70">
        <f t="shared" si="183"/>
        <v>0</v>
      </c>
      <c r="AH70" s="109">
        <f t="shared" si="184"/>
        <v>0</v>
      </c>
      <c r="AI70" s="120">
        <f t="shared" si="185"/>
        <v>0</v>
      </c>
      <c r="AJ70" s="121">
        <f t="shared" si="186"/>
        <v>0</v>
      </c>
      <c r="AK70" s="121">
        <f t="shared" si="187"/>
        <v>0</v>
      </c>
      <c r="AL70" s="121">
        <f t="shared" si="188"/>
        <v>0</v>
      </c>
      <c r="AM70" s="122">
        <f t="shared" si="189"/>
        <v>0</v>
      </c>
      <c r="AN70" s="41">
        <f t="shared" si="190"/>
        <v>0</v>
      </c>
      <c r="AO70" s="70">
        <f t="shared" si="191"/>
        <v>0</v>
      </c>
      <c r="AP70" s="70">
        <f t="shared" si="192"/>
        <v>0</v>
      </c>
      <c r="AQ70" s="70">
        <f t="shared" si="193"/>
        <v>0</v>
      </c>
      <c r="AR70" s="70">
        <f t="shared" si="194"/>
        <v>0</v>
      </c>
    </row>
    <row r="71" spans="2:44" x14ac:dyDescent="0.25">
      <c r="B71" s="17">
        <v>69</v>
      </c>
      <c r="C71" s="10"/>
      <c r="D71" s="10"/>
      <c r="E71" s="72"/>
      <c r="F71" s="18"/>
      <c r="G71" s="10"/>
      <c r="H71" s="10"/>
      <c r="I71" s="10"/>
      <c r="J71" s="11"/>
      <c r="K71" s="11">
        <f t="shared" si="164"/>
        <v>0</v>
      </c>
      <c r="L71" s="37">
        <f t="shared" si="165"/>
        <v>0</v>
      </c>
      <c r="M71" s="11"/>
      <c r="N71" s="10"/>
      <c r="O71" s="21"/>
      <c r="P71" s="21"/>
      <c r="Q71" s="21"/>
      <c r="R71" s="23"/>
      <c r="S71" s="50"/>
      <c r="T71" s="48"/>
      <c r="U71" s="82"/>
      <c r="V71" s="26"/>
      <c r="W71" s="200"/>
      <c r="X71" s="17"/>
      <c r="Z71">
        <v>12</v>
      </c>
      <c r="AA71" s="416"/>
      <c r="AB71" s="95">
        <v>3</v>
      </c>
      <c r="AC71" s="102" t="s">
        <v>126</v>
      </c>
      <c r="AD71" s="41">
        <f t="shared" si="180"/>
        <v>0</v>
      </c>
      <c r="AE71" s="70">
        <f t="shared" si="181"/>
        <v>0</v>
      </c>
      <c r="AF71" s="70">
        <f t="shared" si="182"/>
        <v>0</v>
      </c>
      <c r="AG71" s="70">
        <f t="shared" si="183"/>
        <v>0</v>
      </c>
      <c r="AH71" s="109">
        <f t="shared" si="184"/>
        <v>0</v>
      </c>
      <c r="AI71" s="120">
        <f t="shared" si="185"/>
        <v>0</v>
      </c>
      <c r="AJ71" s="121">
        <f t="shared" si="186"/>
        <v>0</v>
      </c>
      <c r="AK71" s="121">
        <f t="shared" si="187"/>
        <v>0</v>
      </c>
      <c r="AL71" s="121">
        <f t="shared" si="188"/>
        <v>0</v>
      </c>
      <c r="AM71" s="122">
        <f t="shared" si="189"/>
        <v>0</v>
      </c>
      <c r="AN71" s="41">
        <f t="shared" si="190"/>
        <v>0</v>
      </c>
      <c r="AO71" s="70">
        <f t="shared" si="191"/>
        <v>0</v>
      </c>
      <c r="AP71" s="70">
        <f t="shared" si="192"/>
        <v>0</v>
      </c>
      <c r="AQ71" s="70">
        <f t="shared" si="193"/>
        <v>0</v>
      </c>
      <c r="AR71" s="70">
        <f t="shared" si="194"/>
        <v>0</v>
      </c>
    </row>
    <row r="72" spans="2:44" x14ac:dyDescent="0.25">
      <c r="B72" s="17">
        <v>70</v>
      </c>
      <c r="C72" s="10"/>
      <c r="D72" s="10"/>
      <c r="E72" s="72"/>
      <c r="F72" s="18"/>
      <c r="G72" s="10"/>
      <c r="H72" s="10"/>
      <c r="I72" s="10"/>
      <c r="J72" s="11"/>
      <c r="K72" s="11">
        <f t="shared" si="164"/>
        <v>0</v>
      </c>
      <c r="L72" s="37">
        <f t="shared" si="165"/>
        <v>0</v>
      </c>
      <c r="M72" s="11"/>
      <c r="N72" s="10"/>
      <c r="O72" s="21"/>
      <c r="P72" s="21"/>
      <c r="Q72" s="21"/>
      <c r="R72" s="23"/>
      <c r="S72" s="50"/>
      <c r="T72" s="48"/>
      <c r="U72" s="82"/>
      <c r="V72" s="26"/>
      <c r="W72" s="200"/>
      <c r="X72" s="17"/>
      <c r="Z72">
        <v>12</v>
      </c>
      <c r="AA72" s="416"/>
      <c r="AB72" s="95">
        <v>4</v>
      </c>
      <c r="AC72" s="102" t="s">
        <v>127</v>
      </c>
      <c r="AD72" s="41">
        <f t="shared" si="180"/>
        <v>0</v>
      </c>
      <c r="AE72" s="70">
        <f t="shared" si="181"/>
        <v>0</v>
      </c>
      <c r="AF72" s="70">
        <f t="shared" si="182"/>
        <v>0</v>
      </c>
      <c r="AG72" s="70">
        <f t="shared" si="183"/>
        <v>0</v>
      </c>
      <c r="AH72" s="109">
        <f t="shared" si="184"/>
        <v>0</v>
      </c>
      <c r="AI72" s="120">
        <f t="shared" si="185"/>
        <v>0</v>
      </c>
      <c r="AJ72" s="121">
        <f t="shared" si="186"/>
        <v>0</v>
      </c>
      <c r="AK72" s="121">
        <f t="shared" si="187"/>
        <v>0</v>
      </c>
      <c r="AL72" s="121">
        <f t="shared" si="188"/>
        <v>0</v>
      </c>
      <c r="AM72" s="122">
        <f t="shared" si="189"/>
        <v>0</v>
      </c>
      <c r="AN72" s="41">
        <f t="shared" si="190"/>
        <v>0</v>
      </c>
      <c r="AO72" s="70">
        <f t="shared" si="191"/>
        <v>0</v>
      </c>
      <c r="AP72" s="70">
        <f t="shared" si="192"/>
        <v>0</v>
      </c>
      <c r="AQ72" s="70">
        <f t="shared" si="193"/>
        <v>0</v>
      </c>
      <c r="AR72" s="70">
        <f t="shared" si="194"/>
        <v>0</v>
      </c>
    </row>
    <row r="73" spans="2:44" x14ac:dyDescent="0.25">
      <c r="B73" s="17">
        <v>71</v>
      </c>
      <c r="C73" s="10"/>
      <c r="D73" s="10"/>
      <c r="E73" s="72"/>
      <c r="F73" s="18"/>
      <c r="G73" s="10"/>
      <c r="H73" s="10"/>
      <c r="I73" s="10"/>
      <c r="J73" s="11"/>
      <c r="K73" s="11">
        <f t="shared" si="164"/>
        <v>0</v>
      </c>
      <c r="L73" s="37">
        <f t="shared" si="165"/>
        <v>0</v>
      </c>
      <c r="M73" s="11"/>
      <c r="N73" s="10"/>
      <c r="O73" s="21"/>
      <c r="P73" s="21"/>
      <c r="Q73" s="21"/>
      <c r="R73" s="23"/>
      <c r="S73" s="50"/>
      <c r="T73" s="48"/>
      <c r="U73" s="82"/>
      <c r="V73" s="26"/>
      <c r="W73" s="200"/>
      <c r="X73" s="17"/>
      <c r="Z73">
        <v>12</v>
      </c>
      <c r="AA73" s="416"/>
      <c r="AB73" s="96">
        <v>5</v>
      </c>
      <c r="AC73" s="105" t="s">
        <v>131</v>
      </c>
      <c r="AD73" s="41">
        <f t="shared" si="180"/>
        <v>0</v>
      </c>
      <c r="AE73" s="70">
        <f t="shared" si="181"/>
        <v>0</v>
      </c>
      <c r="AF73" s="70">
        <f t="shared" si="182"/>
        <v>0</v>
      </c>
      <c r="AG73" s="70">
        <f t="shared" si="183"/>
        <v>0</v>
      </c>
      <c r="AH73" s="109">
        <f t="shared" si="184"/>
        <v>0</v>
      </c>
      <c r="AI73" s="120">
        <f t="shared" si="185"/>
        <v>0</v>
      </c>
      <c r="AJ73" s="121">
        <f t="shared" si="186"/>
        <v>0</v>
      </c>
      <c r="AK73" s="121">
        <f t="shared" si="187"/>
        <v>0</v>
      </c>
      <c r="AL73" s="121">
        <f t="shared" si="188"/>
        <v>0</v>
      </c>
      <c r="AM73" s="122">
        <f t="shared" si="189"/>
        <v>0</v>
      </c>
      <c r="AN73" s="41">
        <f t="shared" si="190"/>
        <v>0</v>
      </c>
      <c r="AO73" s="70">
        <f t="shared" si="191"/>
        <v>0</v>
      </c>
      <c r="AP73" s="70">
        <f t="shared" si="192"/>
        <v>0</v>
      </c>
      <c r="AQ73" s="70">
        <f t="shared" si="193"/>
        <v>0</v>
      </c>
      <c r="AR73" s="70">
        <f t="shared" si="194"/>
        <v>0</v>
      </c>
    </row>
    <row r="74" spans="2:44" ht="14.25" thickBot="1" x14ac:dyDescent="0.3">
      <c r="B74" s="17">
        <v>72</v>
      </c>
      <c r="C74" s="10"/>
      <c r="D74" s="10"/>
      <c r="E74" s="72"/>
      <c r="F74" s="18"/>
      <c r="G74" s="10"/>
      <c r="H74" s="10"/>
      <c r="I74" s="10"/>
      <c r="J74" s="11"/>
      <c r="K74" s="11">
        <f t="shared" si="164"/>
        <v>0</v>
      </c>
      <c r="L74" s="37">
        <f t="shared" si="165"/>
        <v>0</v>
      </c>
      <c r="M74" s="11"/>
      <c r="N74" s="10"/>
      <c r="O74" s="21"/>
      <c r="P74" s="21"/>
      <c r="Q74" s="21"/>
      <c r="R74" s="23"/>
      <c r="S74" s="50"/>
      <c r="T74" s="48"/>
      <c r="U74" s="82"/>
      <c r="V74" s="26"/>
      <c r="W74" s="200"/>
      <c r="X74" s="17"/>
      <c r="Z74">
        <v>12</v>
      </c>
      <c r="AA74" s="417"/>
      <c r="AB74" s="97" t="s">
        <v>3</v>
      </c>
      <c r="AC74" s="106"/>
      <c r="AD74" s="99">
        <f>SUM(AD69:AD73)</f>
        <v>0</v>
      </c>
      <c r="AE74" s="99">
        <f t="shared" ref="AE74:AR74" si="195">SUM(AE69:AE73)</f>
        <v>0</v>
      </c>
      <c r="AF74" s="99">
        <f t="shared" si="195"/>
        <v>0</v>
      </c>
      <c r="AG74" s="99">
        <f t="shared" si="195"/>
        <v>0</v>
      </c>
      <c r="AH74" s="110">
        <f t="shared" si="195"/>
        <v>0</v>
      </c>
      <c r="AI74" s="123">
        <f t="shared" si="195"/>
        <v>0</v>
      </c>
      <c r="AJ74" s="124">
        <f t="shared" si="195"/>
        <v>0</v>
      </c>
      <c r="AK74" s="124">
        <f t="shared" si="195"/>
        <v>0</v>
      </c>
      <c r="AL74" s="124">
        <f t="shared" si="195"/>
        <v>0</v>
      </c>
      <c r="AM74" s="125">
        <f t="shared" si="195"/>
        <v>0</v>
      </c>
      <c r="AN74" s="99">
        <f t="shared" si="195"/>
        <v>0</v>
      </c>
      <c r="AO74" s="99">
        <f t="shared" si="195"/>
        <v>0</v>
      </c>
      <c r="AP74" s="99">
        <f t="shared" si="195"/>
        <v>0</v>
      </c>
      <c r="AQ74" s="99">
        <f t="shared" si="195"/>
        <v>0</v>
      </c>
      <c r="AR74" s="99">
        <f t="shared" si="195"/>
        <v>0</v>
      </c>
    </row>
    <row r="75" spans="2:44" ht="17.25" thickBot="1" x14ac:dyDescent="0.3">
      <c r="B75" s="17">
        <v>73</v>
      </c>
      <c r="C75" s="10"/>
      <c r="D75" s="10"/>
      <c r="E75" s="72"/>
      <c r="F75" s="18"/>
      <c r="G75" s="10"/>
      <c r="H75" s="10"/>
      <c r="I75" s="10"/>
      <c r="J75" s="11"/>
      <c r="K75" s="11">
        <f t="shared" si="164"/>
        <v>0</v>
      </c>
      <c r="L75" s="37">
        <f t="shared" si="165"/>
        <v>0</v>
      </c>
      <c r="M75" s="11"/>
      <c r="N75" s="10"/>
      <c r="O75" s="21"/>
      <c r="P75" s="21"/>
      <c r="Q75" s="21"/>
      <c r="R75" s="23"/>
      <c r="S75" s="50"/>
      <c r="T75" s="48"/>
      <c r="U75" s="82"/>
      <c r="V75" s="32"/>
      <c r="W75" s="200"/>
      <c r="X75" s="17"/>
      <c r="AA75" s="418" t="s">
        <v>36</v>
      </c>
      <c r="AB75" s="419"/>
      <c r="AC75" s="108"/>
      <c r="AD75" s="90">
        <f>SUM(AD8,AD14,AD20,AD26,AD32,AD38,AD44,AD50,AD56,AD62,AD68,AD74)</f>
        <v>69</v>
      </c>
      <c r="AE75" s="90"/>
      <c r="AF75" s="90"/>
      <c r="AG75" s="91"/>
      <c r="AH75" s="91"/>
      <c r="AI75" s="126"/>
      <c r="AJ75" s="127"/>
      <c r="AK75" s="127"/>
      <c r="AL75" s="127"/>
      <c r="AM75" s="128"/>
      <c r="AN75" s="92"/>
      <c r="AO75" s="92"/>
      <c r="AP75" s="92"/>
      <c r="AQ75" s="92"/>
      <c r="AR75" s="93"/>
    </row>
    <row r="76" spans="2:44" x14ac:dyDescent="0.25">
      <c r="B76" s="17">
        <v>74</v>
      </c>
      <c r="C76" s="10"/>
      <c r="D76" s="10"/>
      <c r="E76" s="72"/>
      <c r="F76" s="18"/>
      <c r="G76" s="10"/>
      <c r="H76" s="10"/>
      <c r="I76" s="10"/>
      <c r="J76" s="11"/>
      <c r="K76" s="11">
        <f t="shared" si="164"/>
        <v>0</v>
      </c>
      <c r="L76" s="37">
        <f t="shared" si="165"/>
        <v>0</v>
      </c>
      <c r="M76" s="11"/>
      <c r="N76" s="10"/>
      <c r="O76" s="21"/>
      <c r="P76" s="21"/>
      <c r="Q76" s="21"/>
      <c r="R76" s="23"/>
      <c r="S76" s="50"/>
      <c r="T76" s="48"/>
      <c r="U76" s="82"/>
      <c r="V76" s="32"/>
      <c r="W76" s="200"/>
      <c r="X76" s="17"/>
    </row>
    <row r="77" spans="2:44" x14ac:dyDescent="0.25">
      <c r="B77" s="17">
        <v>75</v>
      </c>
      <c r="C77" s="10"/>
      <c r="D77" s="10"/>
      <c r="E77" s="72"/>
      <c r="F77" s="18"/>
      <c r="G77" s="10"/>
      <c r="H77" s="10"/>
      <c r="I77" s="10"/>
      <c r="J77" s="11"/>
      <c r="K77" s="11">
        <f t="shared" si="164"/>
        <v>0</v>
      </c>
      <c r="L77" s="37">
        <f t="shared" si="165"/>
        <v>0</v>
      </c>
      <c r="M77" s="11"/>
      <c r="N77" s="10"/>
      <c r="O77" s="21"/>
      <c r="P77" s="21"/>
      <c r="Q77" s="21"/>
      <c r="R77" s="23"/>
      <c r="S77" s="50"/>
      <c r="T77" s="48"/>
      <c r="U77" s="82"/>
      <c r="V77" s="26"/>
      <c r="W77" s="200"/>
      <c r="X77" s="17"/>
    </row>
    <row r="78" spans="2:44" x14ac:dyDescent="0.25">
      <c r="B78" s="17">
        <v>76</v>
      </c>
      <c r="C78" s="10"/>
      <c r="D78" s="10"/>
      <c r="E78" s="72"/>
      <c r="F78" s="18"/>
      <c r="G78" s="10"/>
      <c r="H78" s="10"/>
      <c r="I78" s="10"/>
      <c r="J78" s="11"/>
      <c r="K78" s="11">
        <f t="shared" si="164"/>
        <v>0</v>
      </c>
      <c r="L78" s="37">
        <f t="shared" si="165"/>
        <v>0</v>
      </c>
      <c r="M78" s="11"/>
      <c r="N78" s="10"/>
      <c r="O78" s="21"/>
      <c r="P78" s="21"/>
      <c r="Q78" s="21"/>
      <c r="R78" s="23"/>
      <c r="S78" s="50"/>
      <c r="T78" s="48"/>
      <c r="U78" s="82"/>
      <c r="V78" s="26"/>
      <c r="W78" s="200"/>
      <c r="X78" s="17"/>
    </row>
    <row r="79" spans="2:44" x14ac:dyDescent="0.25">
      <c r="B79" s="17">
        <v>77</v>
      </c>
      <c r="C79" s="10"/>
      <c r="D79" s="10"/>
      <c r="E79" s="72"/>
      <c r="F79" s="18"/>
      <c r="G79" s="10"/>
      <c r="H79" s="10"/>
      <c r="I79" s="10"/>
      <c r="J79" s="11"/>
      <c r="K79" s="11">
        <f t="shared" si="164"/>
        <v>0</v>
      </c>
      <c r="L79" s="37">
        <f t="shared" si="165"/>
        <v>0</v>
      </c>
      <c r="M79" s="11"/>
      <c r="N79" s="10"/>
      <c r="O79" s="21"/>
      <c r="P79" s="21"/>
      <c r="Q79" s="21"/>
      <c r="R79" s="23"/>
      <c r="S79" s="50"/>
      <c r="T79" s="48"/>
      <c r="U79" s="82"/>
      <c r="V79" s="26"/>
      <c r="W79" s="200"/>
      <c r="X79" s="17"/>
    </row>
    <row r="80" spans="2:44" x14ac:dyDescent="0.25">
      <c r="B80" s="17">
        <v>78</v>
      </c>
      <c r="C80" s="10"/>
      <c r="D80" s="10"/>
      <c r="E80" s="72"/>
      <c r="F80" s="18"/>
      <c r="G80" s="10"/>
      <c r="H80" s="10"/>
      <c r="I80" s="10"/>
      <c r="J80" s="11"/>
      <c r="K80" s="11">
        <f t="shared" si="164"/>
        <v>0</v>
      </c>
      <c r="L80" s="37">
        <f t="shared" si="165"/>
        <v>0</v>
      </c>
      <c r="M80" s="11"/>
      <c r="N80" s="10"/>
      <c r="O80" s="21"/>
      <c r="P80" s="21"/>
      <c r="Q80" s="21"/>
      <c r="R80" s="23"/>
      <c r="S80" s="50"/>
      <c r="T80" s="48"/>
      <c r="U80" s="82"/>
      <c r="V80" s="26"/>
      <c r="W80" s="200"/>
      <c r="X80" s="17"/>
    </row>
    <row r="81" spans="2:24" x14ac:dyDescent="0.25">
      <c r="B81" s="17">
        <v>79</v>
      </c>
      <c r="C81" s="10"/>
      <c r="D81" s="10"/>
      <c r="E81" s="72"/>
      <c r="F81" s="18"/>
      <c r="G81" s="10"/>
      <c r="H81" s="10"/>
      <c r="I81" s="10"/>
      <c r="J81" s="11"/>
      <c r="K81" s="11">
        <f t="shared" si="164"/>
        <v>0</v>
      </c>
      <c r="L81" s="37">
        <f t="shared" si="165"/>
        <v>0</v>
      </c>
      <c r="M81" s="11"/>
      <c r="N81" s="10"/>
      <c r="O81" s="21"/>
      <c r="P81" s="21"/>
      <c r="Q81" s="21"/>
      <c r="R81" s="23"/>
      <c r="S81" s="50"/>
      <c r="T81" s="48"/>
      <c r="U81" s="82"/>
      <c r="V81" s="32"/>
      <c r="W81" s="200"/>
      <c r="X81" s="17"/>
    </row>
    <row r="82" spans="2:24" x14ac:dyDescent="0.25">
      <c r="B82" s="17">
        <v>80</v>
      </c>
      <c r="C82" s="10"/>
      <c r="D82" s="10"/>
      <c r="E82" s="72"/>
      <c r="F82" s="18"/>
      <c r="G82" s="10"/>
      <c r="H82" s="10"/>
      <c r="I82" s="10"/>
      <c r="J82" s="11"/>
      <c r="K82" s="11">
        <f t="shared" si="164"/>
        <v>0</v>
      </c>
      <c r="L82" s="37">
        <f t="shared" si="165"/>
        <v>0</v>
      </c>
      <c r="M82" s="11"/>
      <c r="N82" s="10"/>
      <c r="O82" s="21"/>
      <c r="P82" s="21"/>
      <c r="Q82" s="21"/>
      <c r="R82" s="23"/>
      <c r="S82" s="50"/>
      <c r="T82" s="48"/>
      <c r="U82" s="82"/>
      <c r="V82" s="32"/>
      <c r="W82" s="200"/>
      <c r="X82" s="17"/>
    </row>
    <row r="83" spans="2:24" x14ac:dyDescent="0.25">
      <c r="B83" s="17">
        <v>81</v>
      </c>
      <c r="C83" s="10"/>
      <c r="D83" s="10"/>
      <c r="E83" s="72"/>
      <c r="F83" s="18"/>
      <c r="G83" s="10"/>
      <c r="H83" s="10"/>
      <c r="I83" s="10"/>
      <c r="J83" s="11"/>
      <c r="K83" s="11">
        <f t="shared" si="164"/>
        <v>0</v>
      </c>
      <c r="L83" s="37">
        <f t="shared" si="165"/>
        <v>0</v>
      </c>
      <c r="M83" s="11"/>
      <c r="N83" s="10"/>
      <c r="O83" s="21"/>
      <c r="P83" s="21"/>
      <c r="Q83" s="21"/>
      <c r="R83" s="23"/>
      <c r="S83" s="50"/>
      <c r="T83" s="48"/>
      <c r="U83" s="82"/>
      <c r="V83" s="26"/>
      <c r="W83" s="200"/>
      <c r="X83" s="17"/>
    </row>
    <row r="84" spans="2:24" x14ac:dyDescent="0.25">
      <c r="B84" s="17">
        <v>82</v>
      </c>
      <c r="C84" s="10"/>
      <c r="D84" s="10"/>
      <c r="E84" s="72"/>
      <c r="F84" s="18"/>
      <c r="G84" s="10"/>
      <c r="H84" s="10"/>
      <c r="I84" s="10"/>
      <c r="J84" s="11"/>
      <c r="K84" s="11">
        <f t="shared" si="164"/>
        <v>0</v>
      </c>
      <c r="L84" s="37">
        <f t="shared" si="165"/>
        <v>0</v>
      </c>
      <c r="M84" s="11"/>
      <c r="N84" s="10"/>
      <c r="O84" s="21"/>
      <c r="P84" s="21"/>
      <c r="Q84" s="21"/>
      <c r="R84" s="23"/>
      <c r="S84" s="50"/>
      <c r="T84" s="48"/>
      <c r="U84" s="82"/>
      <c r="V84" s="26"/>
      <c r="W84" s="200"/>
      <c r="X84" s="17"/>
    </row>
    <row r="85" spans="2:24" x14ac:dyDescent="0.25">
      <c r="B85" s="17">
        <v>83</v>
      </c>
      <c r="C85" s="10"/>
      <c r="D85" s="10"/>
      <c r="E85" s="72"/>
      <c r="F85" s="18"/>
      <c r="G85" s="10"/>
      <c r="H85" s="10"/>
      <c r="I85" s="10"/>
      <c r="J85" s="11"/>
      <c r="K85" s="11">
        <f t="shared" si="164"/>
        <v>0</v>
      </c>
      <c r="L85" s="37">
        <f t="shared" si="165"/>
        <v>0</v>
      </c>
      <c r="M85" s="11"/>
      <c r="N85" s="10"/>
      <c r="O85" s="21"/>
      <c r="P85" s="21"/>
      <c r="Q85" s="21"/>
      <c r="R85" s="23"/>
      <c r="S85" s="50"/>
      <c r="T85" s="48"/>
      <c r="U85" s="82"/>
      <c r="V85" s="26"/>
      <c r="W85" s="200"/>
      <c r="X85" s="17"/>
    </row>
    <row r="86" spans="2:24" x14ac:dyDescent="0.25">
      <c r="B86" s="17">
        <v>84</v>
      </c>
      <c r="C86" s="10"/>
      <c r="D86" s="10"/>
      <c r="E86" s="72"/>
      <c r="F86" s="18"/>
      <c r="G86" s="10"/>
      <c r="H86" s="10"/>
      <c r="I86" s="10"/>
      <c r="J86" s="11"/>
      <c r="K86" s="11">
        <f t="shared" si="164"/>
        <v>0</v>
      </c>
      <c r="L86" s="37">
        <f t="shared" si="165"/>
        <v>0</v>
      </c>
      <c r="M86" s="11"/>
      <c r="N86" s="10"/>
      <c r="O86" s="21"/>
      <c r="P86" s="21"/>
      <c r="Q86" s="21"/>
      <c r="R86" s="23"/>
      <c r="S86" s="50"/>
      <c r="T86" s="48"/>
      <c r="U86" s="82"/>
      <c r="V86" s="26"/>
      <c r="W86" s="200"/>
      <c r="X86" s="17"/>
    </row>
    <row r="87" spans="2:24" x14ac:dyDescent="0.25">
      <c r="B87" s="17">
        <v>85</v>
      </c>
      <c r="C87" s="10"/>
      <c r="D87" s="10"/>
      <c r="E87" s="72"/>
      <c r="F87" s="18"/>
      <c r="G87" s="10"/>
      <c r="H87" s="10"/>
      <c r="I87" s="10"/>
      <c r="J87" s="11"/>
      <c r="K87" s="11">
        <f t="shared" si="164"/>
        <v>0</v>
      </c>
      <c r="L87" s="37">
        <f t="shared" si="165"/>
        <v>0</v>
      </c>
      <c r="M87" s="11"/>
      <c r="N87" s="10"/>
      <c r="O87" s="21"/>
      <c r="P87" s="21"/>
      <c r="Q87" s="21"/>
      <c r="R87" s="23"/>
      <c r="S87" s="50"/>
      <c r="T87" s="48"/>
      <c r="U87" s="82"/>
      <c r="V87" s="26"/>
      <c r="W87" s="200"/>
      <c r="X87" s="17"/>
    </row>
    <row r="88" spans="2:24" x14ac:dyDescent="0.25">
      <c r="B88" s="17">
        <v>86</v>
      </c>
      <c r="C88" s="10"/>
      <c r="D88" s="10"/>
      <c r="E88" s="72"/>
      <c r="F88" s="18"/>
      <c r="G88" s="10"/>
      <c r="H88" s="10"/>
      <c r="I88" s="10"/>
      <c r="J88" s="11"/>
      <c r="K88" s="11">
        <f t="shared" si="164"/>
        <v>0</v>
      </c>
      <c r="L88" s="37">
        <f t="shared" si="165"/>
        <v>0</v>
      </c>
      <c r="M88" s="11"/>
      <c r="N88" s="10"/>
      <c r="O88" s="21"/>
      <c r="P88" s="21"/>
      <c r="Q88" s="21"/>
      <c r="R88" s="23"/>
      <c r="S88" s="50"/>
      <c r="T88" s="48"/>
      <c r="U88" s="82"/>
      <c r="V88" s="32"/>
      <c r="W88" s="200"/>
      <c r="X88" s="17"/>
    </row>
    <row r="89" spans="2:24" x14ac:dyDescent="0.25">
      <c r="B89" s="17">
        <v>87</v>
      </c>
      <c r="C89" s="10"/>
      <c r="D89" s="10"/>
      <c r="E89" s="72"/>
      <c r="F89" s="18"/>
      <c r="G89" s="10"/>
      <c r="H89" s="10"/>
      <c r="I89" s="10"/>
      <c r="J89" s="11"/>
      <c r="K89" s="11">
        <f t="shared" si="164"/>
        <v>0</v>
      </c>
      <c r="L89" s="37">
        <f t="shared" si="165"/>
        <v>0</v>
      </c>
      <c r="M89" s="11"/>
      <c r="N89" s="10"/>
      <c r="O89" s="21"/>
      <c r="P89" s="21"/>
      <c r="Q89" s="21"/>
      <c r="R89" s="23"/>
      <c r="S89" s="50"/>
      <c r="T89" s="48"/>
      <c r="U89" s="82"/>
      <c r="V89" s="32"/>
      <c r="W89" s="200"/>
      <c r="X89" s="17"/>
    </row>
    <row r="90" spans="2:24" x14ac:dyDescent="0.25">
      <c r="B90" s="17">
        <v>88</v>
      </c>
      <c r="C90" s="10"/>
      <c r="D90" s="10"/>
      <c r="E90" s="72"/>
      <c r="F90" s="18"/>
      <c r="G90" s="10"/>
      <c r="H90" s="10"/>
      <c r="I90" s="10"/>
      <c r="J90" s="11"/>
      <c r="K90" s="11">
        <f t="shared" si="164"/>
        <v>0</v>
      </c>
      <c r="L90" s="37">
        <f t="shared" si="165"/>
        <v>0</v>
      </c>
      <c r="M90" s="11"/>
      <c r="N90" s="10"/>
      <c r="O90" s="21"/>
      <c r="P90" s="21"/>
      <c r="Q90" s="21"/>
      <c r="R90" s="23"/>
      <c r="S90" s="50"/>
      <c r="T90" s="48"/>
      <c r="U90" s="82"/>
      <c r="V90" s="26"/>
      <c r="W90" s="200"/>
      <c r="X90" s="17"/>
    </row>
    <row r="91" spans="2:24" x14ac:dyDescent="0.25">
      <c r="B91" s="17">
        <v>89</v>
      </c>
      <c r="C91" s="10"/>
      <c r="D91" s="10"/>
      <c r="E91" s="72"/>
      <c r="F91" s="18"/>
      <c r="G91" s="10"/>
      <c r="H91" s="10"/>
      <c r="I91" s="10"/>
      <c r="J91" s="11"/>
      <c r="K91" s="11">
        <f t="shared" si="164"/>
        <v>0</v>
      </c>
      <c r="L91" s="37">
        <f t="shared" si="165"/>
        <v>0</v>
      </c>
      <c r="M91" s="11"/>
      <c r="N91" s="10"/>
      <c r="O91" s="21"/>
      <c r="P91" s="21"/>
      <c r="Q91" s="21"/>
      <c r="R91" s="23"/>
      <c r="S91" s="50"/>
      <c r="T91" s="48"/>
      <c r="U91" s="82"/>
      <c r="V91" s="26"/>
      <c r="W91" s="200"/>
      <c r="X91" s="17"/>
    </row>
    <row r="92" spans="2:24" x14ac:dyDescent="0.25">
      <c r="B92" s="17">
        <v>90</v>
      </c>
      <c r="C92" s="10"/>
      <c r="D92" s="10"/>
      <c r="E92" s="72"/>
      <c r="F92" s="18"/>
      <c r="G92" s="10"/>
      <c r="H92" s="10"/>
      <c r="I92" s="10"/>
      <c r="J92" s="11"/>
      <c r="K92" s="11">
        <f t="shared" si="164"/>
        <v>0</v>
      </c>
      <c r="L92" s="37">
        <f t="shared" si="165"/>
        <v>0</v>
      </c>
      <c r="M92" s="11"/>
      <c r="N92" s="10"/>
      <c r="O92" s="21"/>
      <c r="P92" s="21"/>
      <c r="Q92" s="21"/>
      <c r="R92" s="23"/>
      <c r="S92" s="50"/>
      <c r="T92" s="48"/>
      <c r="U92" s="82"/>
      <c r="V92" s="26"/>
      <c r="W92" s="200"/>
      <c r="X92" s="17"/>
    </row>
    <row r="93" spans="2:24" x14ac:dyDescent="0.25">
      <c r="B93" s="17">
        <v>91</v>
      </c>
      <c r="C93" s="10"/>
      <c r="D93" s="10"/>
      <c r="E93" s="72"/>
      <c r="F93" s="18"/>
      <c r="G93" s="10"/>
      <c r="H93" s="10"/>
      <c r="I93" s="10"/>
      <c r="J93" s="11"/>
      <c r="K93" s="11">
        <f t="shared" si="164"/>
        <v>0</v>
      </c>
      <c r="L93" s="37">
        <f t="shared" si="165"/>
        <v>0</v>
      </c>
      <c r="M93" s="11"/>
      <c r="N93" s="10"/>
      <c r="O93" s="21"/>
      <c r="P93" s="21"/>
      <c r="Q93" s="21"/>
      <c r="R93" s="23"/>
      <c r="S93" s="50"/>
      <c r="T93" s="48"/>
      <c r="U93" s="82"/>
      <c r="V93" s="26"/>
      <c r="W93" s="200"/>
      <c r="X93" s="17"/>
    </row>
    <row r="94" spans="2:24" x14ac:dyDescent="0.25">
      <c r="B94" s="17">
        <v>92</v>
      </c>
      <c r="C94" s="10"/>
      <c r="D94" s="10"/>
      <c r="E94" s="72"/>
      <c r="F94" s="18"/>
      <c r="G94" s="10"/>
      <c r="H94" s="10"/>
      <c r="I94" s="10"/>
      <c r="J94" s="11"/>
      <c r="K94" s="11">
        <f t="shared" si="164"/>
        <v>0</v>
      </c>
      <c r="L94" s="37">
        <f t="shared" si="165"/>
        <v>0</v>
      </c>
      <c r="M94" s="11"/>
      <c r="N94" s="10"/>
      <c r="O94" s="21"/>
      <c r="P94" s="21"/>
      <c r="Q94" s="21"/>
      <c r="R94" s="23"/>
      <c r="S94" s="50"/>
      <c r="T94" s="48"/>
      <c r="U94" s="82"/>
      <c r="V94" s="26"/>
      <c r="W94" s="200"/>
      <c r="X94" s="17"/>
    </row>
    <row r="95" spans="2:24" x14ac:dyDescent="0.25">
      <c r="B95" s="17">
        <v>93</v>
      </c>
      <c r="C95" s="10"/>
      <c r="D95" s="10"/>
      <c r="E95" s="72"/>
      <c r="F95" s="18"/>
      <c r="G95" s="10"/>
      <c r="H95" s="10"/>
      <c r="I95" s="10"/>
      <c r="J95" s="11"/>
      <c r="K95" s="11">
        <f t="shared" si="164"/>
        <v>0</v>
      </c>
      <c r="L95" s="37">
        <f t="shared" si="165"/>
        <v>0</v>
      </c>
      <c r="M95" s="11"/>
      <c r="N95" s="10"/>
      <c r="O95" s="21"/>
      <c r="P95" s="21"/>
      <c r="Q95" s="21"/>
      <c r="R95" s="23"/>
      <c r="S95" s="50"/>
      <c r="T95" s="48"/>
      <c r="U95" s="82"/>
      <c r="V95" s="32"/>
      <c r="W95" s="200"/>
      <c r="X95" s="17"/>
    </row>
    <row r="96" spans="2:24" x14ac:dyDescent="0.25">
      <c r="B96" s="17">
        <v>94</v>
      </c>
      <c r="C96" s="10"/>
      <c r="D96" s="10"/>
      <c r="E96" s="72"/>
      <c r="F96" s="18"/>
      <c r="G96" s="10"/>
      <c r="H96" s="10"/>
      <c r="I96" s="10"/>
      <c r="J96" s="11"/>
      <c r="K96" s="11">
        <f t="shared" si="164"/>
        <v>0</v>
      </c>
      <c r="L96" s="37">
        <f t="shared" si="165"/>
        <v>0</v>
      </c>
      <c r="M96" s="11"/>
      <c r="N96" s="10"/>
      <c r="O96" s="21"/>
      <c r="P96" s="21"/>
      <c r="Q96" s="21"/>
      <c r="R96" s="23"/>
      <c r="S96" s="50"/>
      <c r="T96" s="48"/>
      <c r="U96" s="82"/>
      <c r="V96" s="32"/>
      <c r="W96" s="200"/>
      <c r="X96" s="17"/>
    </row>
    <row r="97" spans="2:24" x14ac:dyDescent="0.25">
      <c r="B97" s="17">
        <v>95</v>
      </c>
      <c r="C97" s="10"/>
      <c r="D97" s="10"/>
      <c r="E97" s="72"/>
      <c r="F97" s="18"/>
      <c r="G97" s="10"/>
      <c r="H97" s="10"/>
      <c r="I97" s="10"/>
      <c r="J97" s="11"/>
      <c r="K97" s="11">
        <f t="shared" si="164"/>
        <v>0</v>
      </c>
      <c r="L97" s="37">
        <f t="shared" si="165"/>
        <v>0</v>
      </c>
      <c r="M97" s="11"/>
      <c r="N97" s="10"/>
      <c r="O97" s="21"/>
      <c r="P97" s="21"/>
      <c r="Q97" s="21"/>
      <c r="R97" s="23"/>
      <c r="S97" s="50"/>
      <c r="T97" s="48"/>
      <c r="U97" s="82"/>
      <c r="V97" s="32"/>
      <c r="W97" s="200"/>
      <c r="X97" s="17"/>
    </row>
    <row r="98" spans="2:24" x14ac:dyDescent="0.25">
      <c r="B98" s="17">
        <v>96</v>
      </c>
      <c r="C98" s="10"/>
      <c r="D98" s="10"/>
      <c r="E98" s="72"/>
      <c r="F98" s="18"/>
      <c r="G98" s="10"/>
      <c r="H98" s="10"/>
      <c r="I98" s="10"/>
      <c r="J98" s="11"/>
      <c r="K98" s="11">
        <f t="shared" si="164"/>
        <v>0</v>
      </c>
      <c r="L98" s="37">
        <f t="shared" si="165"/>
        <v>0</v>
      </c>
      <c r="M98" s="11"/>
      <c r="N98" s="10"/>
      <c r="O98" s="21"/>
      <c r="P98" s="21"/>
      <c r="Q98" s="21"/>
      <c r="R98" s="23"/>
      <c r="S98" s="50"/>
      <c r="T98" s="48"/>
      <c r="U98" s="82"/>
      <c r="V98" s="32"/>
      <c r="W98" s="200"/>
      <c r="X98" s="17"/>
    </row>
    <row r="99" spans="2:24" x14ac:dyDescent="0.25">
      <c r="B99" s="17">
        <v>97</v>
      </c>
      <c r="C99" s="10"/>
      <c r="D99" s="10"/>
      <c r="E99" s="72"/>
      <c r="F99" s="18"/>
      <c r="G99" s="10"/>
      <c r="H99" s="10"/>
      <c r="I99" s="10"/>
      <c r="J99" s="11"/>
      <c r="K99" s="11">
        <f t="shared" si="164"/>
        <v>0</v>
      </c>
      <c r="L99" s="37">
        <f t="shared" si="165"/>
        <v>0</v>
      </c>
      <c r="M99" s="11"/>
      <c r="N99" s="10"/>
      <c r="O99" s="21"/>
      <c r="P99" s="21"/>
      <c r="Q99" s="21"/>
      <c r="R99" s="23"/>
      <c r="S99" s="50"/>
      <c r="T99" s="48"/>
      <c r="U99" s="82"/>
      <c r="V99" s="26"/>
      <c r="W99" s="200"/>
      <c r="X99" s="17"/>
    </row>
    <row r="100" spans="2:24" x14ac:dyDescent="0.25">
      <c r="B100" s="17">
        <v>98</v>
      </c>
      <c r="C100" s="10"/>
      <c r="D100" s="10"/>
      <c r="E100" s="72"/>
      <c r="F100" s="18"/>
      <c r="G100" s="10"/>
      <c r="H100" s="10"/>
      <c r="I100" s="10"/>
      <c r="J100" s="11"/>
      <c r="K100" s="11">
        <f t="shared" si="164"/>
        <v>0</v>
      </c>
      <c r="L100" s="37">
        <f t="shared" si="165"/>
        <v>0</v>
      </c>
      <c r="M100" s="11"/>
      <c r="N100" s="10"/>
      <c r="O100" s="21"/>
      <c r="P100" s="21"/>
      <c r="Q100" s="21"/>
      <c r="R100" s="23"/>
      <c r="S100" s="50"/>
      <c r="T100" s="48"/>
      <c r="U100" s="82"/>
      <c r="V100" s="26"/>
      <c r="W100" s="200"/>
      <c r="X100" s="17"/>
    </row>
    <row r="101" spans="2:24" x14ac:dyDescent="0.25">
      <c r="B101" s="17">
        <v>99</v>
      </c>
      <c r="C101" s="10"/>
      <c r="D101" s="10"/>
      <c r="E101" s="72"/>
      <c r="F101" s="18"/>
      <c r="G101" s="10"/>
      <c r="H101" s="10"/>
      <c r="I101" s="10"/>
      <c r="J101" s="11"/>
      <c r="K101" s="11">
        <f t="shared" si="164"/>
        <v>0</v>
      </c>
      <c r="L101" s="37">
        <f t="shared" si="165"/>
        <v>0</v>
      </c>
      <c r="M101" s="11"/>
      <c r="N101" s="10"/>
      <c r="O101" s="21"/>
      <c r="P101" s="21"/>
      <c r="Q101" s="21"/>
      <c r="R101" s="23"/>
      <c r="S101" s="50"/>
      <c r="T101" s="48"/>
      <c r="U101" s="82"/>
      <c r="V101" s="26"/>
      <c r="W101" s="200"/>
      <c r="X101" s="17"/>
    </row>
    <row r="102" spans="2:24" x14ac:dyDescent="0.25">
      <c r="B102" s="17">
        <v>100</v>
      </c>
      <c r="C102" s="10"/>
      <c r="D102" s="10"/>
      <c r="E102" s="72"/>
      <c r="F102" s="18"/>
      <c r="G102" s="10"/>
      <c r="H102" s="10"/>
      <c r="I102" s="10"/>
      <c r="J102" s="11"/>
      <c r="K102" s="11">
        <f t="shared" si="164"/>
        <v>0</v>
      </c>
      <c r="L102" s="37">
        <f t="shared" si="165"/>
        <v>0</v>
      </c>
      <c r="M102" s="11"/>
      <c r="N102" s="10"/>
      <c r="O102" s="21"/>
      <c r="P102" s="21"/>
      <c r="Q102" s="21"/>
      <c r="R102" s="23"/>
      <c r="S102" s="50"/>
      <c r="T102" s="48"/>
      <c r="U102" s="82"/>
      <c r="V102" s="26"/>
      <c r="W102" s="200"/>
      <c r="X102" s="17"/>
    </row>
    <row r="103" spans="2:24" x14ac:dyDescent="0.25">
      <c r="B103" s="17">
        <v>101</v>
      </c>
      <c r="C103" s="10"/>
      <c r="D103" s="10"/>
      <c r="E103" s="72"/>
      <c r="F103" s="18"/>
      <c r="G103" s="10"/>
      <c r="H103" s="10"/>
      <c r="I103" s="10"/>
      <c r="J103" s="11"/>
      <c r="K103" s="11">
        <f t="shared" si="164"/>
        <v>0</v>
      </c>
      <c r="L103" s="37">
        <f t="shared" si="165"/>
        <v>0</v>
      </c>
      <c r="M103" s="11"/>
      <c r="N103" s="10"/>
      <c r="O103" s="21"/>
      <c r="P103" s="21"/>
      <c r="Q103" s="21"/>
      <c r="R103" s="23"/>
      <c r="S103" s="50"/>
      <c r="T103" s="48"/>
      <c r="U103" s="82"/>
      <c r="V103" s="32"/>
      <c r="W103" s="200"/>
      <c r="X103" s="17"/>
    </row>
    <row r="104" spans="2:24" x14ac:dyDescent="0.25">
      <c r="B104" s="17">
        <v>102</v>
      </c>
      <c r="C104" s="10"/>
      <c r="D104" s="10"/>
      <c r="E104" s="72"/>
      <c r="F104" s="18"/>
      <c r="G104" s="10"/>
      <c r="H104" s="10"/>
      <c r="I104" s="10"/>
      <c r="J104" s="11"/>
      <c r="K104" s="11">
        <f t="shared" si="164"/>
        <v>0</v>
      </c>
      <c r="L104" s="37">
        <f t="shared" si="165"/>
        <v>0</v>
      </c>
      <c r="M104" s="11"/>
      <c r="N104" s="10"/>
      <c r="O104" s="21"/>
      <c r="P104" s="21"/>
      <c r="Q104" s="21"/>
      <c r="R104" s="23"/>
      <c r="S104" s="50"/>
      <c r="T104" s="48"/>
      <c r="U104" s="82"/>
      <c r="V104" s="32"/>
      <c r="W104" s="200"/>
      <c r="X104" s="17"/>
    </row>
    <row r="105" spans="2:24" x14ac:dyDescent="0.25">
      <c r="B105" s="17">
        <v>103</v>
      </c>
      <c r="C105" s="10"/>
      <c r="D105" s="10"/>
      <c r="E105" s="72"/>
      <c r="F105" s="18"/>
      <c r="G105" s="10"/>
      <c r="H105" s="10"/>
      <c r="I105" s="10"/>
      <c r="J105" s="11"/>
      <c r="K105" s="11">
        <f t="shared" si="164"/>
        <v>0</v>
      </c>
      <c r="L105" s="37">
        <f t="shared" si="165"/>
        <v>0</v>
      </c>
      <c r="M105" s="11"/>
      <c r="N105" s="10"/>
      <c r="O105" s="21"/>
      <c r="P105" s="21"/>
      <c r="Q105" s="21"/>
      <c r="R105" s="23"/>
      <c r="S105" s="50"/>
      <c r="T105" s="48"/>
      <c r="U105" s="82"/>
      <c r="V105" s="26"/>
      <c r="W105" s="200"/>
      <c r="X105" s="17"/>
    </row>
    <row r="106" spans="2:24" x14ac:dyDescent="0.25">
      <c r="B106" s="17">
        <v>104</v>
      </c>
      <c r="C106" s="10"/>
      <c r="D106" s="10"/>
      <c r="E106" s="72"/>
      <c r="F106" s="18"/>
      <c r="G106" s="10"/>
      <c r="H106" s="10"/>
      <c r="I106" s="10"/>
      <c r="J106" s="11"/>
      <c r="K106" s="11">
        <f t="shared" si="164"/>
        <v>0</v>
      </c>
      <c r="L106" s="37">
        <f t="shared" si="165"/>
        <v>0</v>
      </c>
      <c r="M106" s="11"/>
      <c r="N106" s="10"/>
      <c r="O106" s="21"/>
      <c r="P106" s="21"/>
      <c r="Q106" s="21"/>
      <c r="R106" s="23"/>
      <c r="S106" s="50"/>
      <c r="T106" s="48"/>
      <c r="U106" s="82"/>
      <c r="V106" s="26"/>
      <c r="W106" s="200"/>
      <c r="X106" s="17"/>
    </row>
    <row r="107" spans="2:24" x14ac:dyDescent="0.25">
      <c r="B107" s="17">
        <v>105</v>
      </c>
      <c r="C107" s="10"/>
      <c r="D107" s="10"/>
      <c r="E107" s="72"/>
      <c r="F107" s="18"/>
      <c r="G107" s="10"/>
      <c r="H107" s="10"/>
      <c r="I107" s="10"/>
      <c r="J107" s="11"/>
      <c r="K107" s="11">
        <f t="shared" si="164"/>
        <v>0</v>
      </c>
      <c r="L107" s="37">
        <f t="shared" si="165"/>
        <v>0</v>
      </c>
      <c r="M107" s="11"/>
      <c r="N107" s="10"/>
      <c r="O107" s="21"/>
      <c r="P107" s="21"/>
      <c r="Q107" s="21"/>
      <c r="R107" s="23"/>
      <c r="S107" s="50"/>
      <c r="T107" s="48"/>
      <c r="U107" s="82"/>
      <c r="V107" s="26"/>
      <c r="W107" s="200"/>
      <c r="X107" s="17"/>
    </row>
    <row r="108" spans="2:24" x14ac:dyDescent="0.25">
      <c r="B108" s="17">
        <v>106</v>
      </c>
      <c r="C108" s="10"/>
      <c r="D108" s="10"/>
      <c r="E108" s="72"/>
      <c r="F108" s="18"/>
      <c r="G108" s="10"/>
      <c r="H108" s="10"/>
      <c r="I108" s="10"/>
      <c r="J108" s="11"/>
      <c r="K108" s="11">
        <f t="shared" si="164"/>
        <v>0</v>
      </c>
      <c r="L108" s="37">
        <f t="shared" si="165"/>
        <v>0</v>
      </c>
      <c r="M108" s="11"/>
      <c r="N108" s="10"/>
      <c r="O108" s="21"/>
      <c r="P108" s="21"/>
      <c r="Q108" s="21"/>
      <c r="R108" s="23"/>
      <c r="S108" s="50"/>
      <c r="T108" s="48"/>
      <c r="U108" s="82"/>
      <c r="V108" s="26"/>
      <c r="W108" s="200"/>
      <c r="X108" s="17"/>
    </row>
    <row r="109" spans="2:24" x14ac:dyDescent="0.25">
      <c r="B109" s="17">
        <v>107</v>
      </c>
      <c r="C109" s="10"/>
      <c r="D109" s="10"/>
      <c r="E109" s="72"/>
      <c r="F109" s="18"/>
      <c r="G109" s="10"/>
      <c r="H109" s="10"/>
      <c r="I109" s="10"/>
      <c r="J109" s="11"/>
      <c r="K109" s="11">
        <f t="shared" si="164"/>
        <v>0</v>
      </c>
      <c r="L109" s="37">
        <f t="shared" si="165"/>
        <v>0</v>
      </c>
      <c r="M109" s="11"/>
      <c r="N109" s="10"/>
      <c r="O109" s="21"/>
      <c r="P109" s="21"/>
      <c r="Q109" s="21"/>
      <c r="R109" s="23"/>
      <c r="S109" s="50"/>
      <c r="T109" s="48"/>
      <c r="U109" s="82"/>
      <c r="V109" s="26"/>
      <c r="W109" s="200"/>
      <c r="X109" s="17"/>
    </row>
    <row r="110" spans="2:24" x14ac:dyDescent="0.25">
      <c r="B110" s="17">
        <v>108</v>
      </c>
      <c r="C110" s="10"/>
      <c r="D110" s="10"/>
      <c r="E110" s="72"/>
      <c r="F110" s="18"/>
      <c r="G110" s="10"/>
      <c r="H110" s="10"/>
      <c r="I110" s="10"/>
      <c r="J110" s="11"/>
      <c r="K110" s="11">
        <f t="shared" si="164"/>
        <v>0</v>
      </c>
      <c r="L110" s="37">
        <f t="shared" si="165"/>
        <v>0</v>
      </c>
      <c r="M110" s="11"/>
      <c r="N110" s="10"/>
      <c r="O110" s="21"/>
      <c r="P110" s="21"/>
      <c r="Q110" s="21"/>
      <c r="R110" s="23"/>
      <c r="S110" s="50"/>
      <c r="T110" s="48"/>
      <c r="U110" s="82"/>
      <c r="V110" s="32"/>
      <c r="W110" s="200"/>
      <c r="X110" s="17"/>
    </row>
    <row r="111" spans="2:24" x14ac:dyDescent="0.25">
      <c r="B111" s="17">
        <v>109</v>
      </c>
      <c r="C111" s="10"/>
      <c r="D111" s="10"/>
      <c r="E111" s="72"/>
      <c r="F111" s="18"/>
      <c r="G111" s="10"/>
      <c r="H111" s="10"/>
      <c r="I111" s="10"/>
      <c r="J111" s="11"/>
      <c r="K111" s="11">
        <f t="shared" si="164"/>
        <v>0</v>
      </c>
      <c r="L111" s="37">
        <f t="shared" si="165"/>
        <v>0</v>
      </c>
      <c r="M111" s="11"/>
      <c r="N111" s="10"/>
      <c r="O111" s="21"/>
      <c r="P111" s="21"/>
      <c r="Q111" s="21"/>
      <c r="R111" s="23"/>
      <c r="S111" s="50"/>
      <c r="T111" s="48"/>
      <c r="U111" s="82"/>
      <c r="V111" s="32"/>
      <c r="W111" s="200"/>
      <c r="X111" s="17"/>
    </row>
    <row r="112" spans="2:24" x14ac:dyDescent="0.25">
      <c r="B112" s="17">
        <v>110</v>
      </c>
      <c r="C112" s="10"/>
      <c r="D112" s="10"/>
      <c r="E112" s="72"/>
      <c r="F112" s="18"/>
      <c r="G112" s="10"/>
      <c r="H112" s="10"/>
      <c r="I112" s="10"/>
      <c r="J112" s="11"/>
      <c r="K112" s="11">
        <f t="shared" si="164"/>
        <v>0</v>
      </c>
      <c r="L112" s="37">
        <f t="shared" si="165"/>
        <v>0</v>
      </c>
      <c r="M112" s="11"/>
      <c r="N112" s="10"/>
      <c r="O112" s="21"/>
      <c r="P112" s="21"/>
      <c r="Q112" s="21"/>
      <c r="R112" s="23"/>
      <c r="S112" s="50"/>
      <c r="T112" s="48"/>
      <c r="U112" s="82"/>
      <c r="V112" s="26"/>
      <c r="W112" s="200"/>
      <c r="X112" s="17"/>
    </row>
    <row r="113" spans="2:24" x14ac:dyDescent="0.25">
      <c r="B113" s="17">
        <v>111</v>
      </c>
      <c r="C113" s="10"/>
      <c r="D113" s="10"/>
      <c r="E113" s="72"/>
      <c r="F113" s="18"/>
      <c r="G113" s="10"/>
      <c r="H113" s="10"/>
      <c r="I113" s="10"/>
      <c r="J113" s="11"/>
      <c r="K113" s="11">
        <f t="shared" si="164"/>
        <v>0</v>
      </c>
      <c r="L113" s="37">
        <f t="shared" si="165"/>
        <v>0</v>
      </c>
      <c r="M113" s="11"/>
      <c r="N113" s="10"/>
      <c r="O113" s="21"/>
      <c r="P113" s="21"/>
      <c r="Q113" s="21"/>
      <c r="R113" s="23"/>
      <c r="S113" s="50"/>
      <c r="T113" s="48"/>
      <c r="U113" s="82"/>
      <c r="V113" s="26"/>
      <c r="W113" s="200"/>
      <c r="X113" s="17"/>
    </row>
    <row r="114" spans="2:24" x14ac:dyDescent="0.25">
      <c r="B114" s="17">
        <v>112</v>
      </c>
      <c r="C114" s="10"/>
      <c r="D114" s="10"/>
      <c r="E114" s="72"/>
      <c r="F114" s="18"/>
      <c r="G114" s="10"/>
      <c r="H114" s="10"/>
      <c r="I114" s="10"/>
      <c r="J114" s="11"/>
      <c r="K114" s="11">
        <f t="shared" si="164"/>
        <v>0</v>
      </c>
      <c r="L114" s="37">
        <f t="shared" si="165"/>
        <v>0</v>
      </c>
      <c r="M114" s="11"/>
      <c r="N114" s="10"/>
      <c r="O114" s="21"/>
      <c r="P114" s="21"/>
      <c r="Q114" s="21"/>
      <c r="R114" s="23"/>
      <c r="S114" s="50"/>
      <c r="T114" s="48"/>
      <c r="U114" s="82"/>
      <c r="V114" s="26"/>
      <c r="W114" s="200"/>
      <c r="X114" s="17"/>
    </row>
    <row r="115" spans="2:24" x14ac:dyDescent="0.25">
      <c r="B115" s="17">
        <v>113</v>
      </c>
      <c r="C115" s="10"/>
      <c r="D115" s="10"/>
      <c r="E115" s="72"/>
      <c r="F115" s="18"/>
      <c r="G115" s="10"/>
      <c r="H115" s="10"/>
      <c r="I115" s="10"/>
      <c r="J115" s="11"/>
      <c r="K115" s="11">
        <f t="shared" si="164"/>
        <v>0</v>
      </c>
      <c r="L115" s="37">
        <f t="shared" si="165"/>
        <v>0</v>
      </c>
      <c r="M115" s="11"/>
      <c r="N115" s="10"/>
      <c r="O115" s="21"/>
      <c r="P115" s="21"/>
      <c r="Q115" s="21"/>
      <c r="R115" s="23"/>
      <c r="S115" s="50"/>
      <c r="T115" s="48"/>
      <c r="U115" s="82"/>
      <c r="V115" s="26"/>
      <c r="W115" s="200"/>
      <c r="X115" s="17"/>
    </row>
    <row r="116" spans="2:24" x14ac:dyDescent="0.25">
      <c r="B116" s="17">
        <v>114</v>
      </c>
      <c r="C116" s="10"/>
      <c r="D116" s="10"/>
      <c r="E116" s="72"/>
      <c r="F116" s="18"/>
      <c r="G116" s="10"/>
      <c r="H116" s="10"/>
      <c r="I116" s="10"/>
      <c r="J116" s="11"/>
      <c r="K116" s="11">
        <f t="shared" si="164"/>
        <v>0</v>
      </c>
      <c r="L116" s="37">
        <f t="shared" si="165"/>
        <v>0</v>
      </c>
      <c r="M116" s="11"/>
      <c r="N116" s="10"/>
      <c r="O116" s="21"/>
      <c r="P116" s="21"/>
      <c r="Q116" s="21"/>
      <c r="R116" s="23"/>
      <c r="S116" s="50"/>
      <c r="T116" s="48"/>
      <c r="U116" s="82"/>
      <c r="V116" s="26"/>
      <c r="W116" s="200"/>
      <c r="X116" s="17"/>
    </row>
    <row r="117" spans="2:24" x14ac:dyDescent="0.25">
      <c r="B117" s="17">
        <v>115</v>
      </c>
      <c r="C117" s="10"/>
      <c r="D117" s="10"/>
      <c r="E117" s="72"/>
      <c r="F117" s="18"/>
      <c r="G117" s="10"/>
      <c r="H117" s="10"/>
      <c r="I117" s="10"/>
      <c r="J117" s="11"/>
      <c r="K117" s="11">
        <f t="shared" si="164"/>
        <v>0</v>
      </c>
      <c r="L117" s="37">
        <f t="shared" si="165"/>
        <v>0</v>
      </c>
      <c r="M117" s="11"/>
      <c r="N117" s="10"/>
      <c r="O117" s="21"/>
      <c r="P117" s="21"/>
      <c r="Q117" s="21"/>
      <c r="R117" s="23"/>
      <c r="S117" s="50"/>
      <c r="T117" s="48"/>
      <c r="U117" s="82"/>
      <c r="V117" s="32"/>
      <c r="W117" s="200"/>
      <c r="X117" s="17"/>
    </row>
    <row r="118" spans="2:24" x14ac:dyDescent="0.25">
      <c r="B118" s="17">
        <v>116</v>
      </c>
      <c r="C118" s="10"/>
      <c r="D118" s="10"/>
      <c r="E118" s="72"/>
      <c r="F118" s="18"/>
      <c r="G118" s="10"/>
      <c r="H118" s="10"/>
      <c r="I118" s="10"/>
      <c r="J118" s="11"/>
      <c r="K118" s="11">
        <f t="shared" si="164"/>
        <v>0</v>
      </c>
      <c r="L118" s="37">
        <f t="shared" si="165"/>
        <v>0</v>
      </c>
      <c r="M118" s="11"/>
      <c r="N118" s="10"/>
      <c r="O118" s="21"/>
      <c r="P118" s="21"/>
      <c r="Q118" s="21"/>
      <c r="R118" s="23"/>
      <c r="S118" s="50"/>
      <c r="T118" s="48"/>
      <c r="U118" s="82"/>
      <c r="V118" s="32"/>
      <c r="W118" s="200"/>
      <c r="X118" s="17"/>
    </row>
    <row r="119" spans="2:24" x14ac:dyDescent="0.25">
      <c r="B119" s="17">
        <v>117</v>
      </c>
      <c r="C119" s="10"/>
      <c r="D119" s="10"/>
      <c r="E119" s="72"/>
      <c r="F119" s="18"/>
      <c r="G119" s="10"/>
      <c r="H119" s="10"/>
      <c r="I119" s="10"/>
      <c r="J119" s="11"/>
      <c r="K119" s="11">
        <f t="shared" si="164"/>
        <v>0</v>
      </c>
      <c r="L119" s="37">
        <f t="shared" si="165"/>
        <v>0</v>
      </c>
      <c r="M119" s="11"/>
      <c r="N119" s="10"/>
      <c r="O119" s="21"/>
      <c r="P119" s="21"/>
      <c r="Q119" s="21"/>
      <c r="R119" s="23"/>
      <c r="S119" s="50"/>
      <c r="T119" s="48"/>
      <c r="U119" s="82"/>
      <c r="V119" s="32"/>
      <c r="W119" s="200"/>
      <c r="X119" s="17"/>
    </row>
    <row r="120" spans="2:24" x14ac:dyDescent="0.25">
      <c r="B120" s="17">
        <v>118</v>
      </c>
      <c r="C120" s="10"/>
      <c r="D120" s="10"/>
      <c r="E120" s="72"/>
      <c r="F120" s="18"/>
      <c r="G120" s="10"/>
      <c r="H120" s="10"/>
      <c r="I120" s="10"/>
      <c r="J120" s="11"/>
      <c r="K120" s="11">
        <f t="shared" si="164"/>
        <v>0</v>
      </c>
      <c r="L120" s="37">
        <f t="shared" si="165"/>
        <v>0</v>
      </c>
      <c r="M120" s="11"/>
      <c r="N120" s="10"/>
      <c r="O120" s="21"/>
      <c r="P120" s="21"/>
      <c r="Q120" s="21"/>
      <c r="R120" s="23"/>
      <c r="S120" s="50"/>
      <c r="T120" s="48"/>
      <c r="U120" s="82"/>
      <c r="V120" s="32"/>
      <c r="W120" s="200"/>
      <c r="X120" s="17"/>
    </row>
    <row r="121" spans="2:24" x14ac:dyDescent="0.25">
      <c r="B121" s="17">
        <v>119</v>
      </c>
      <c r="C121" s="10"/>
      <c r="D121" s="10"/>
      <c r="E121" s="72"/>
      <c r="F121" s="18"/>
      <c r="G121" s="10"/>
      <c r="H121" s="10"/>
      <c r="I121" s="10"/>
      <c r="J121" s="11"/>
      <c r="K121" s="11">
        <f t="shared" si="164"/>
        <v>0</v>
      </c>
      <c r="L121" s="37">
        <f t="shared" si="165"/>
        <v>0</v>
      </c>
      <c r="M121" s="11"/>
      <c r="N121" s="10"/>
      <c r="O121" s="21"/>
      <c r="P121" s="21"/>
      <c r="Q121" s="21"/>
      <c r="R121" s="23"/>
      <c r="S121" s="50"/>
      <c r="T121" s="48"/>
      <c r="U121" s="82"/>
      <c r="V121" s="26"/>
      <c r="W121" s="200"/>
      <c r="X121" s="17"/>
    </row>
    <row r="122" spans="2:24" x14ac:dyDescent="0.25">
      <c r="B122" s="17">
        <v>120</v>
      </c>
      <c r="C122" s="10"/>
      <c r="D122" s="10"/>
      <c r="E122" s="72"/>
      <c r="F122" s="18"/>
      <c r="G122" s="10"/>
      <c r="H122" s="10"/>
      <c r="I122" s="10"/>
      <c r="J122" s="11"/>
      <c r="K122" s="11">
        <f t="shared" si="164"/>
        <v>0</v>
      </c>
      <c r="L122" s="37">
        <f t="shared" si="165"/>
        <v>0</v>
      </c>
      <c r="M122" s="11"/>
      <c r="N122" s="10"/>
      <c r="O122" s="21"/>
      <c r="P122" s="21"/>
      <c r="Q122" s="21"/>
      <c r="R122" s="23"/>
      <c r="S122" s="50"/>
      <c r="T122" s="48"/>
      <c r="U122" s="82"/>
      <c r="V122" s="26"/>
      <c r="W122" s="200"/>
      <c r="X122" s="17"/>
    </row>
    <row r="123" spans="2:24" x14ac:dyDescent="0.25">
      <c r="B123" s="17">
        <v>121</v>
      </c>
      <c r="C123" s="10"/>
      <c r="D123" s="10"/>
      <c r="E123" s="72"/>
      <c r="F123" s="18"/>
      <c r="G123" s="10"/>
      <c r="H123" s="10"/>
      <c r="I123" s="10"/>
      <c r="J123" s="11"/>
      <c r="K123" s="11">
        <f t="shared" si="164"/>
        <v>0</v>
      </c>
      <c r="L123" s="37">
        <f t="shared" si="165"/>
        <v>0</v>
      </c>
      <c r="M123" s="11"/>
      <c r="N123" s="10"/>
      <c r="O123" s="21"/>
      <c r="P123" s="21"/>
      <c r="Q123" s="21"/>
      <c r="R123" s="23"/>
      <c r="S123" s="50"/>
      <c r="T123" s="48"/>
      <c r="U123" s="82"/>
      <c r="V123" s="26"/>
      <c r="W123" s="200"/>
      <c r="X123" s="17"/>
    </row>
    <row r="124" spans="2:24" x14ac:dyDescent="0.25">
      <c r="B124" s="17">
        <v>122</v>
      </c>
      <c r="C124" s="10"/>
      <c r="D124" s="10"/>
      <c r="E124" s="72"/>
      <c r="F124" s="18"/>
      <c r="G124" s="10"/>
      <c r="H124" s="10"/>
      <c r="I124" s="10"/>
      <c r="J124" s="11"/>
      <c r="K124" s="11">
        <f t="shared" si="164"/>
        <v>0</v>
      </c>
      <c r="L124" s="37">
        <f t="shared" si="165"/>
        <v>0</v>
      </c>
      <c r="M124" s="11"/>
      <c r="N124" s="10"/>
      <c r="O124" s="21"/>
      <c r="P124" s="21"/>
      <c r="Q124" s="21"/>
      <c r="R124" s="23"/>
      <c r="S124" s="50"/>
      <c r="T124" s="48"/>
      <c r="U124" s="82"/>
      <c r="V124" s="26"/>
      <c r="W124" s="200"/>
      <c r="X124" s="17"/>
    </row>
    <row r="125" spans="2:24" x14ac:dyDescent="0.25">
      <c r="B125" s="17">
        <v>123</v>
      </c>
      <c r="C125" s="10"/>
      <c r="D125" s="10"/>
      <c r="E125" s="72"/>
      <c r="F125" s="18"/>
      <c r="G125" s="10"/>
      <c r="H125" s="10"/>
      <c r="I125" s="10"/>
      <c r="J125" s="11"/>
      <c r="K125" s="11">
        <f t="shared" si="164"/>
        <v>0</v>
      </c>
      <c r="L125" s="37">
        <f t="shared" si="165"/>
        <v>0</v>
      </c>
      <c r="M125" s="11"/>
      <c r="N125" s="10"/>
      <c r="O125" s="21"/>
      <c r="P125" s="21"/>
      <c r="Q125" s="21"/>
      <c r="R125" s="23"/>
      <c r="S125" s="50"/>
      <c r="T125" s="48"/>
      <c r="U125" s="82"/>
      <c r="V125" s="26"/>
      <c r="W125" s="200"/>
      <c r="X125" s="17"/>
    </row>
    <row r="126" spans="2:24" x14ac:dyDescent="0.25">
      <c r="B126" s="17">
        <v>124</v>
      </c>
      <c r="C126" s="10"/>
      <c r="D126" s="10"/>
      <c r="E126" s="72"/>
      <c r="F126" s="18"/>
      <c r="G126" s="10"/>
      <c r="H126" s="10"/>
      <c r="I126" s="10"/>
      <c r="J126" s="11"/>
      <c r="K126" s="11">
        <f t="shared" si="164"/>
        <v>0</v>
      </c>
      <c r="L126" s="37">
        <f t="shared" si="165"/>
        <v>0</v>
      </c>
      <c r="M126" s="11"/>
      <c r="N126" s="10"/>
      <c r="O126" s="21"/>
      <c r="P126" s="21"/>
      <c r="Q126" s="21"/>
      <c r="R126" s="23"/>
      <c r="S126" s="50"/>
      <c r="T126" s="48"/>
      <c r="U126" s="82"/>
      <c r="V126" s="32"/>
      <c r="W126" s="200"/>
      <c r="X126" s="17"/>
    </row>
    <row r="127" spans="2:24" x14ac:dyDescent="0.25">
      <c r="B127" s="17">
        <v>125</v>
      </c>
      <c r="C127" s="10"/>
      <c r="D127" s="10"/>
      <c r="E127" s="72"/>
      <c r="F127" s="18"/>
      <c r="G127" s="10"/>
      <c r="H127" s="10"/>
      <c r="I127" s="10"/>
      <c r="J127" s="11"/>
      <c r="K127" s="11">
        <f t="shared" si="164"/>
        <v>0</v>
      </c>
      <c r="L127" s="37">
        <f t="shared" si="165"/>
        <v>0</v>
      </c>
      <c r="M127" s="11"/>
      <c r="N127" s="10"/>
      <c r="O127" s="21"/>
      <c r="P127" s="21"/>
      <c r="Q127" s="21"/>
      <c r="R127" s="23"/>
      <c r="S127" s="50"/>
      <c r="T127" s="48"/>
      <c r="U127" s="82"/>
      <c r="V127" s="32"/>
      <c r="W127" s="200"/>
      <c r="X127" s="17"/>
    </row>
    <row r="128" spans="2:24" x14ac:dyDescent="0.25">
      <c r="B128" s="17">
        <v>126</v>
      </c>
      <c r="C128" s="10"/>
      <c r="D128" s="10"/>
      <c r="E128" s="72"/>
      <c r="F128" s="18"/>
      <c r="G128" s="10"/>
      <c r="H128" s="10"/>
      <c r="I128" s="10"/>
      <c r="J128" s="11"/>
      <c r="K128" s="11">
        <f t="shared" si="164"/>
        <v>0</v>
      </c>
      <c r="L128" s="37">
        <f t="shared" si="165"/>
        <v>0</v>
      </c>
      <c r="M128" s="11"/>
      <c r="N128" s="10"/>
      <c r="O128" s="21"/>
      <c r="P128" s="21"/>
      <c r="Q128" s="21"/>
      <c r="R128" s="23"/>
      <c r="S128" s="50"/>
      <c r="T128" s="48"/>
      <c r="U128" s="82"/>
      <c r="V128" s="26"/>
      <c r="W128" s="200"/>
      <c r="X128" s="17"/>
    </row>
    <row r="129" spans="2:24" x14ac:dyDescent="0.25">
      <c r="B129" s="17">
        <v>127</v>
      </c>
      <c r="C129" s="10"/>
      <c r="D129" s="10"/>
      <c r="E129" s="72"/>
      <c r="F129" s="18"/>
      <c r="G129" s="10"/>
      <c r="H129" s="10"/>
      <c r="I129" s="10"/>
      <c r="J129" s="11"/>
      <c r="K129" s="11">
        <f t="shared" si="164"/>
        <v>0</v>
      </c>
      <c r="L129" s="37">
        <f t="shared" si="165"/>
        <v>0</v>
      </c>
      <c r="M129" s="11"/>
      <c r="N129" s="10"/>
      <c r="O129" s="21"/>
      <c r="P129" s="21"/>
      <c r="Q129" s="21"/>
      <c r="R129" s="23"/>
      <c r="S129" s="50"/>
      <c r="T129" s="48"/>
      <c r="U129" s="82"/>
      <c r="V129" s="26"/>
      <c r="W129" s="200"/>
      <c r="X129" s="17"/>
    </row>
    <row r="130" spans="2:24" x14ac:dyDescent="0.25">
      <c r="B130" s="17">
        <v>128</v>
      </c>
      <c r="C130" s="10"/>
      <c r="D130" s="10"/>
      <c r="E130" s="72"/>
      <c r="F130" s="18"/>
      <c r="G130" s="10"/>
      <c r="H130" s="10"/>
      <c r="I130" s="10"/>
      <c r="J130" s="11"/>
      <c r="K130" s="11">
        <f t="shared" si="164"/>
        <v>0</v>
      </c>
      <c r="L130" s="37">
        <f t="shared" si="165"/>
        <v>0</v>
      </c>
      <c r="M130" s="11"/>
      <c r="N130" s="10"/>
      <c r="O130" s="21"/>
      <c r="P130" s="21"/>
      <c r="Q130" s="21"/>
      <c r="R130" s="23"/>
      <c r="S130" s="50"/>
      <c r="T130" s="48"/>
      <c r="U130" s="82"/>
      <c r="V130" s="26"/>
      <c r="W130" s="200"/>
      <c r="X130" s="17"/>
    </row>
    <row r="131" spans="2:24" x14ac:dyDescent="0.25">
      <c r="B131" s="17">
        <v>129</v>
      </c>
      <c r="C131" s="10"/>
      <c r="D131" s="10"/>
      <c r="E131" s="72"/>
      <c r="F131" s="18"/>
      <c r="G131" s="10"/>
      <c r="H131" s="10"/>
      <c r="I131" s="10"/>
      <c r="J131" s="11"/>
      <c r="K131" s="11">
        <f t="shared" si="164"/>
        <v>0</v>
      </c>
      <c r="L131" s="37">
        <f t="shared" si="165"/>
        <v>0</v>
      </c>
      <c r="M131" s="11"/>
      <c r="N131" s="10"/>
      <c r="O131" s="21"/>
      <c r="P131" s="21"/>
      <c r="Q131" s="21"/>
      <c r="R131" s="23"/>
      <c r="S131" s="50"/>
      <c r="T131" s="48"/>
      <c r="U131" s="82"/>
      <c r="V131" s="26"/>
      <c r="W131" s="200"/>
      <c r="X131" s="17"/>
    </row>
    <row r="132" spans="2:24" x14ac:dyDescent="0.25">
      <c r="B132" s="17">
        <v>130</v>
      </c>
      <c r="C132" s="10"/>
      <c r="D132" s="10"/>
      <c r="E132" s="72"/>
      <c r="F132" s="18"/>
      <c r="G132" s="10"/>
      <c r="H132" s="10"/>
      <c r="I132" s="10"/>
      <c r="J132" s="11"/>
      <c r="K132" s="11">
        <f t="shared" ref="K132:K195" si="196">J132*1.1</f>
        <v>0</v>
      </c>
      <c r="L132" s="37">
        <f t="shared" ref="L132:L195" si="197">J132*0.00000001</f>
        <v>0</v>
      </c>
      <c r="M132" s="11"/>
      <c r="N132" s="10"/>
      <c r="O132" s="21"/>
      <c r="P132" s="21"/>
      <c r="Q132" s="21"/>
      <c r="R132" s="23"/>
      <c r="S132" s="50"/>
      <c r="T132" s="48"/>
      <c r="U132" s="82"/>
      <c r="V132" s="26"/>
      <c r="W132" s="200"/>
      <c r="X132" s="17"/>
    </row>
    <row r="133" spans="2:24" x14ac:dyDescent="0.25">
      <c r="B133" s="17">
        <v>131</v>
      </c>
      <c r="C133" s="10"/>
      <c r="D133" s="10"/>
      <c r="E133" s="72"/>
      <c r="F133" s="18"/>
      <c r="G133" s="10"/>
      <c r="H133" s="10"/>
      <c r="I133" s="10"/>
      <c r="J133" s="11"/>
      <c r="K133" s="11">
        <f t="shared" si="196"/>
        <v>0</v>
      </c>
      <c r="L133" s="37">
        <f t="shared" si="197"/>
        <v>0</v>
      </c>
      <c r="M133" s="11"/>
      <c r="N133" s="10"/>
      <c r="O133" s="21"/>
      <c r="P133" s="21"/>
      <c r="Q133" s="21"/>
      <c r="R133" s="23"/>
      <c r="S133" s="50"/>
      <c r="T133" s="48"/>
      <c r="U133" s="82"/>
      <c r="V133" s="32"/>
      <c r="W133" s="200"/>
      <c r="X133" s="17"/>
    </row>
    <row r="134" spans="2:24" x14ac:dyDescent="0.25">
      <c r="B134" s="17">
        <v>132</v>
      </c>
      <c r="C134" s="10"/>
      <c r="D134" s="10"/>
      <c r="E134" s="72"/>
      <c r="F134" s="18"/>
      <c r="G134" s="10"/>
      <c r="H134" s="10"/>
      <c r="I134" s="10"/>
      <c r="J134" s="11"/>
      <c r="K134" s="11">
        <f t="shared" si="196"/>
        <v>0</v>
      </c>
      <c r="L134" s="37">
        <f t="shared" si="197"/>
        <v>0</v>
      </c>
      <c r="M134" s="11"/>
      <c r="N134" s="10"/>
      <c r="O134" s="21"/>
      <c r="P134" s="21"/>
      <c r="Q134" s="21"/>
      <c r="R134" s="23"/>
      <c r="S134" s="50"/>
      <c r="T134" s="48"/>
      <c r="U134" s="82"/>
      <c r="V134" s="32"/>
      <c r="W134" s="200"/>
      <c r="X134" s="17"/>
    </row>
    <row r="135" spans="2:24" x14ac:dyDescent="0.25">
      <c r="B135" s="17">
        <v>133</v>
      </c>
      <c r="C135" s="10"/>
      <c r="D135" s="10"/>
      <c r="E135" s="72"/>
      <c r="F135" s="18"/>
      <c r="G135" s="10"/>
      <c r="H135" s="10"/>
      <c r="I135" s="10"/>
      <c r="J135" s="11"/>
      <c r="K135" s="11">
        <f t="shared" si="196"/>
        <v>0</v>
      </c>
      <c r="L135" s="37">
        <f t="shared" si="197"/>
        <v>0</v>
      </c>
      <c r="M135" s="11"/>
      <c r="N135" s="10"/>
      <c r="O135" s="21"/>
      <c r="P135" s="21"/>
      <c r="Q135" s="21"/>
      <c r="R135" s="23"/>
      <c r="S135" s="50"/>
      <c r="T135" s="48"/>
      <c r="U135" s="82"/>
      <c r="V135" s="32"/>
      <c r="W135" s="200"/>
      <c r="X135" s="17"/>
    </row>
    <row r="136" spans="2:24" x14ac:dyDescent="0.25">
      <c r="B136" s="17">
        <v>134</v>
      </c>
      <c r="C136" s="10"/>
      <c r="D136" s="10"/>
      <c r="E136" s="72"/>
      <c r="F136" s="18"/>
      <c r="G136" s="10"/>
      <c r="H136" s="10"/>
      <c r="I136" s="10"/>
      <c r="J136" s="11"/>
      <c r="K136" s="11">
        <f t="shared" si="196"/>
        <v>0</v>
      </c>
      <c r="L136" s="37">
        <f t="shared" si="197"/>
        <v>0</v>
      </c>
      <c r="M136" s="11"/>
      <c r="N136" s="10"/>
      <c r="O136" s="21"/>
      <c r="P136" s="21"/>
      <c r="Q136" s="21"/>
      <c r="R136" s="23"/>
      <c r="S136" s="50"/>
      <c r="T136" s="48"/>
      <c r="U136" s="82"/>
      <c r="V136" s="32"/>
      <c r="W136" s="200"/>
      <c r="X136" s="17"/>
    </row>
    <row r="137" spans="2:24" x14ac:dyDescent="0.25">
      <c r="B137" s="17">
        <v>135</v>
      </c>
      <c r="C137" s="10"/>
      <c r="D137" s="10"/>
      <c r="E137" s="72"/>
      <c r="F137" s="18"/>
      <c r="G137" s="10"/>
      <c r="H137" s="10"/>
      <c r="I137" s="10"/>
      <c r="J137" s="11"/>
      <c r="K137" s="11">
        <f t="shared" si="196"/>
        <v>0</v>
      </c>
      <c r="L137" s="37">
        <f t="shared" si="197"/>
        <v>0</v>
      </c>
      <c r="M137" s="11"/>
      <c r="N137" s="10"/>
      <c r="O137" s="21"/>
      <c r="P137" s="21"/>
      <c r="Q137" s="21"/>
      <c r="R137" s="23"/>
      <c r="S137" s="50"/>
      <c r="T137" s="48"/>
      <c r="U137" s="82"/>
      <c r="V137" s="26"/>
      <c r="W137" s="200"/>
      <c r="X137" s="17"/>
    </row>
    <row r="138" spans="2:24" x14ac:dyDescent="0.25">
      <c r="B138" s="17">
        <v>136</v>
      </c>
      <c r="C138" s="10"/>
      <c r="D138" s="10"/>
      <c r="E138" s="72"/>
      <c r="F138" s="18"/>
      <c r="G138" s="10"/>
      <c r="H138" s="10"/>
      <c r="I138" s="10"/>
      <c r="J138" s="11"/>
      <c r="K138" s="11">
        <f t="shared" si="196"/>
        <v>0</v>
      </c>
      <c r="L138" s="37">
        <f t="shared" si="197"/>
        <v>0</v>
      </c>
      <c r="M138" s="11"/>
      <c r="N138" s="10"/>
      <c r="O138" s="21"/>
      <c r="P138" s="21"/>
      <c r="Q138" s="21"/>
      <c r="R138" s="23"/>
      <c r="S138" s="50"/>
      <c r="T138" s="48"/>
      <c r="U138" s="82"/>
      <c r="V138" s="26"/>
      <c r="W138" s="200"/>
      <c r="X138" s="17"/>
    </row>
    <row r="139" spans="2:24" x14ac:dyDescent="0.25">
      <c r="B139" s="17">
        <v>137</v>
      </c>
      <c r="C139" s="10"/>
      <c r="D139" s="10"/>
      <c r="E139" s="72"/>
      <c r="F139" s="18"/>
      <c r="G139" s="10"/>
      <c r="H139" s="10"/>
      <c r="I139" s="10"/>
      <c r="J139" s="11"/>
      <c r="K139" s="11">
        <f t="shared" si="196"/>
        <v>0</v>
      </c>
      <c r="L139" s="37">
        <f t="shared" si="197"/>
        <v>0</v>
      </c>
      <c r="M139" s="11"/>
      <c r="N139" s="10"/>
      <c r="O139" s="21"/>
      <c r="P139" s="21"/>
      <c r="Q139" s="21"/>
      <c r="R139" s="23"/>
      <c r="S139" s="50"/>
      <c r="T139" s="48"/>
      <c r="U139" s="82"/>
      <c r="V139" s="26"/>
      <c r="W139" s="200"/>
      <c r="X139" s="17"/>
    </row>
    <row r="140" spans="2:24" x14ac:dyDescent="0.25">
      <c r="B140" s="17">
        <v>138</v>
      </c>
      <c r="C140" s="10"/>
      <c r="D140" s="10"/>
      <c r="E140" s="72"/>
      <c r="F140" s="18"/>
      <c r="G140" s="10"/>
      <c r="H140" s="10"/>
      <c r="I140" s="10"/>
      <c r="J140" s="11"/>
      <c r="K140" s="11">
        <f t="shared" si="196"/>
        <v>0</v>
      </c>
      <c r="L140" s="37">
        <f t="shared" si="197"/>
        <v>0</v>
      </c>
      <c r="M140" s="11"/>
      <c r="N140" s="10"/>
      <c r="O140" s="21"/>
      <c r="P140" s="21"/>
      <c r="Q140" s="21"/>
      <c r="R140" s="23"/>
      <c r="S140" s="50"/>
      <c r="T140" s="48"/>
      <c r="U140" s="82"/>
      <c r="V140" s="26"/>
      <c r="W140" s="200"/>
      <c r="X140" s="17"/>
    </row>
    <row r="141" spans="2:24" x14ac:dyDescent="0.25">
      <c r="B141" s="17">
        <v>139</v>
      </c>
      <c r="C141" s="10"/>
      <c r="D141" s="10"/>
      <c r="E141" s="72"/>
      <c r="F141" s="18"/>
      <c r="G141" s="10"/>
      <c r="H141" s="10"/>
      <c r="I141" s="10"/>
      <c r="J141" s="11"/>
      <c r="K141" s="11">
        <f t="shared" si="196"/>
        <v>0</v>
      </c>
      <c r="L141" s="37">
        <f t="shared" si="197"/>
        <v>0</v>
      </c>
      <c r="M141" s="11"/>
      <c r="N141" s="10"/>
      <c r="O141" s="21"/>
      <c r="P141" s="21"/>
      <c r="Q141" s="21"/>
      <c r="R141" s="23"/>
      <c r="S141" s="50"/>
      <c r="T141" s="48"/>
      <c r="U141" s="82"/>
      <c r="V141" s="26"/>
      <c r="W141" s="200"/>
      <c r="X141" s="17"/>
    </row>
    <row r="142" spans="2:24" x14ac:dyDescent="0.25">
      <c r="B142" s="17">
        <v>140</v>
      </c>
      <c r="C142" s="10"/>
      <c r="D142" s="10"/>
      <c r="E142" s="72"/>
      <c r="F142" s="18"/>
      <c r="G142" s="10"/>
      <c r="H142" s="10"/>
      <c r="I142" s="10"/>
      <c r="J142" s="11"/>
      <c r="K142" s="11">
        <f t="shared" si="196"/>
        <v>0</v>
      </c>
      <c r="L142" s="37">
        <f t="shared" si="197"/>
        <v>0</v>
      </c>
      <c r="M142" s="11"/>
      <c r="N142" s="10"/>
      <c r="O142" s="21"/>
      <c r="P142" s="21"/>
      <c r="Q142" s="21"/>
      <c r="R142" s="23"/>
      <c r="S142" s="50"/>
      <c r="T142" s="48"/>
      <c r="U142" s="82"/>
      <c r="V142" s="32"/>
      <c r="W142" s="200"/>
      <c r="X142" s="17"/>
    </row>
    <row r="143" spans="2:24" x14ac:dyDescent="0.25">
      <c r="B143" s="17">
        <v>141</v>
      </c>
      <c r="C143" s="10"/>
      <c r="D143" s="10"/>
      <c r="E143" s="72"/>
      <c r="F143" s="18"/>
      <c r="G143" s="10"/>
      <c r="H143" s="10"/>
      <c r="I143" s="10"/>
      <c r="J143" s="11"/>
      <c r="K143" s="11">
        <f t="shared" si="196"/>
        <v>0</v>
      </c>
      <c r="L143" s="37">
        <f t="shared" si="197"/>
        <v>0</v>
      </c>
      <c r="M143" s="11"/>
      <c r="N143" s="10"/>
      <c r="O143" s="21"/>
      <c r="P143" s="21"/>
      <c r="Q143" s="21"/>
      <c r="R143" s="23"/>
      <c r="S143" s="50"/>
      <c r="T143" s="48"/>
      <c r="U143" s="82"/>
      <c r="V143" s="32"/>
      <c r="W143" s="200"/>
      <c r="X143" s="17"/>
    </row>
    <row r="144" spans="2:24" x14ac:dyDescent="0.25">
      <c r="B144" s="17">
        <v>142</v>
      </c>
      <c r="C144" s="10"/>
      <c r="D144" s="10"/>
      <c r="E144" s="72"/>
      <c r="F144" s="18"/>
      <c r="G144" s="10"/>
      <c r="H144" s="10"/>
      <c r="I144" s="10"/>
      <c r="J144" s="11"/>
      <c r="K144" s="11">
        <f t="shared" si="196"/>
        <v>0</v>
      </c>
      <c r="L144" s="37">
        <f t="shared" si="197"/>
        <v>0</v>
      </c>
      <c r="M144" s="11"/>
      <c r="N144" s="10"/>
      <c r="O144" s="21"/>
      <c r="P144" s="21"/>
      <c r="Q144" s="21"/>
      <c r="R144" s="23"/>
      <c r="S144" s="50"/>
      <c r="T144" s="48"/>
      <c r="U144" s="82"/>
      <c r="V144" s="26"/>
      <c r="W144" s="200"/>
      <c r="X144" s="17"/>
    </row>
    <row r="145" spans="2:24" x14ac:dyDescent="0.25">
      <c r="B145" s="17">
        <v>143</v>
      </c>
      <c r="C145" s="10"/>
      <c r="D145" s="10"/>
      <c r="E145" s="72"/>
      <c r="F145" s="18"/>
      <c r="G145" s="10"/>
      <c r="H145" s="10"/>
      <c r="I145" s="10"/>
      <c r="J145" s="11"/>
      <c r="K145" s="11">
        <f t="shared" si="196"/>
        <v>0</v>
      </c>
      <c r="L145" s="37">
        <f t="shared" si="197"/>
        <v>0</v>
      </c>
      <c r="M145" s="11"/>
      <c r="N145" s="10"/>
      <c r="O145" s="21"/>
      <c r="P145" s="21"/>
      <c r="Q145" s="21"/>
      <c r="R145" s="23"/>
      <c r="S145" s="50"/>
      <c r="T145" s="48"/>
      <c r="U145" s="82"/>
      <c r="V145" s="26"/>
      <c r="W145" s="200"/>
      <c r="X145" s="17"/>
    </row>
    <row r="146" spans="2:24" x14ac:dyDescent="0.25">
      <c r="B146" s="17">
        <v>144</v>
      </c>
      <c r="C146" s="10"/>
      <c r="D146" s="10"/>
      <c r="E146" s="72"/>
      <c r="F146" s="18"/>
      <c r="G146" s="10"/>
      <c r="H146" s="10"/>
      <c r="I146" s="10"/>
      <c r="J146" s="11"/>
      <c r="K146" s="11">
        <f t="shared" si="196"/>
        <v>0</v>
      </c>
      <c r="L146" s="37">
        <f t="shared" si="197"/>
        <v>0</v>
      </c>
      <c r="M146" s="11"/>
      <c r="N146" s="10"/>
      <c r="O146" s="21"/>
      <c r="P146" s="21"/>
      <c r="Q146" s="21"/>
      <c r="R146" s="23"/>
      <c r="S146" s="50"/>
      <c r="T146" s="48"/>
      <c r="U146" s="82"/>
      <c r="V146" s="26"/>
      <c r="W146" s="200"/>
      <c r="X146" s="17"/>
    </row>
    <row r="147" spans="2:24" x14ac:dyDescent="0.25">
      <c r="B147" s="17">
        <v>145</v>
      </c>
      <c r="C147" s="10"/>
      <c r="D147" s="10"/>
      <c r="E147" s="72"/>
      <c r="F147" s="18"/>
      <c r="G147" s="10"/>
      <c r="H147" s="10"/>
      <c r="I147" s="10"/>
      <c r="J147" s="11"/>
      <c r="K147" s="11">
        <f t="shared" si="196"/>
        <v>0</v>
      </c>
      <c r="L147" s="37">
        <f t="shared" si="197"/>
        <v>0</v>
      </c>
      <c r="M147" s="11"/>
      <c r="N147" s="10"/>
      <c r="O147" s="21"/>
      <c r="P147" s="21"/>
      <c r="Q147" s="21"/>
      <c r="R147" s="23"/>
      <c r="S147" s="50"/>
      <c r="T147" s="48"/>
      <c r="U147" s="82"/>
      <c r="V147" s="26"/>
      <c r="W147" s="200"/>
      <c r="X147" s="17"/>
    </row>
    <row r="148" spans="2:24" x14ac:dyDescent="0.25">
      <c r="B148" s="17">
        <v>146</v>
      </c>
      <c r="C148" s="10"/>
      <c r="D148" s="10"/>
      <c r="E148" s="72"/>
      <c r="F148" s="18"/>
      <c r="G148" s="10"/>
      <c r="H148" s="10"/>
      <c r="I148" s="10"/>
      <c r="J148" s="11"/>
      <c r="K148" s="11">
        <f t="shared" si="196"/>
        <v>0</v>
      </c>
      <c r="L148" s="37">
        <f t="shared" si="197"/>
        <v>0</v>
      </c>
      <c r="M148" s="11"/>
      <c r="N148" s="10"/>
      <c r="O148" s="21"/>
      <c r="P148" s="21"/>
      <c r="Q148" s="21"/>
      <c r="R148" s="23"/>
      <c r="S148" s="50"/>
      <c r="T148" s="48"/>
      <c r="U148" s="82"/>
      <c r="V148" s="32"/>
      <c r="W148" s="200"/>
      <c r="X148" s="17"/>
    </row>
    <row r="149" spans="2:24" x14ac:dyDescent="0.25">
      <c r="B149" s="17">
        <v>147</v>
      </c>
      <c r="C149" s="10"/>
      <c r="D149" s="10"/>
      <c r="E149" s="72"/>
      <c r="F149" s="18"/>
      <c r="G149" s="10"/>
      <c r="H149" s="10"/>
      <c r="I149" s="10"/>
      <c r="J149" s="11"/>
      <c r="K149" s="11">
        <f t="shared" si="196"/>
        <v>0</v>
      </c>
      <c r="L149" s="37">
        <f t="shared" si="197"/>
        <v>0</v>
      </c>
      <c r="M149" s="11"/>
      <c r="N149" s="10"/>
      <c r="O149" s="21"/>
      <c r="P149" s="21"/>
      <c r="Q149" s="21"/>
      <c r="R149" s="23"/>
      <c r="S149" s="50"/>
      <c r="T149" s="48"/>
      <c r="U149" s="82"/>
      <c r="V149" s="32"/>
      <c r="W149" s="200"/>
      <c r="X149" s="17"/>
    </row>
    <row r="150" spans="2:24" x14ac:dyDescent="0.25">
      <c r="B150" s="17">
        <v>148</v>
      </c>
      <c r="C150" s="10"/>
      <c r="D150" s="10"/>
      <c r="E150" s="72"/>
      <c r="F150" s="18"/>
      <c r="G150" s="10"/>
      <c r="H150" s="10"/>
      <c r="I150" s="10"/>
      <c r="J150" s="11"/>
      <c r="K150" s="11">
        <f t="shared" si="196"/>
        <v>0</v>
      </c>
      <c r="L150" s="37">
        <f t="shared" si="197"/>
        <v>0</v>
      </c>
      <c r="M150" s="11"/>
      <c r="N150" s="10"/>
      <c r="O150" s="21"/>
      <c r="P150" s="21"/>
      <c r="Q150" s="21"/>
      <c r="R150" s="23"/>
      <c r="S150" s="50"/>
      <c r="T150" s="48"/>
      <c r="U150" s="82"/>
      <c r="V150" s="26"/>
      <c r="W150" s="200"/>
      <c r="X150" s="17"/>
    </row>
    <row r="151" spans="2:24" x14ac:dyDescent="0.25">
      <c r="B151" s="17">
        <v>149</v>
      </c>
      <c r="C151" s="10"/>
      <c r="D151" s="10"/>
      <c r="E151" s="72"/>
      <c r="F151" s="18"/>
      <c r="G151" s="10"/>
      <c r="H151" s="10"/>
      <c r="I151" s="10"/>
      <c r="J151" s="11"/>
      <c r="K151" s="11">
        <f t="shared" si="196"/>
        <v>0</v>
      </c>
      <c r="L151" s="37">
        <f t="shared" si="197"/>
        <v>0</v>
      </c>
      <c r="M151" s="11"/>
      <c r="N151" s="10"/>
      <c r="O151" s="21"/>
      <c r="P151" s="21"/>
      <c r="Q151" s="21"/>
      <c r="R151" s="23"/>
      <c r="S151" s="50"/>
      <c r="T151" s="48"/>
      <c r="U151" s="82"/>
      <c r="V151" s="26"/>
      <c r="W151" s="200"/>
      <c r="X151" s="17"/>
    </row>
    <row r="152" spans="2:24" x14ac:dyDescent="0.25">
      <c r="B152" s="17">
        <v>150</v>
      </c>
      <c r="C152" s="10"/>
      <c r="D152" s="10"/>
      <c r="E152" s="72"/>
      <c r="F152" s="18"/>
      <c r="G152" s="10"/>
      <c r="H152" s="10"/>
      <c r="I152" s="10"/>
      <c r="J152" s="11"/>
      <c r="K152" s="11">
        <f t="shared" si="196"/>
        <v>0</v>
      </c>
      <c r="L152" s="37">
        <f t="shared" si="197"/>
        <v>0</v>
      </c>
      <c r="M152" s="11"/>
      <c r="N152" s="10"/>
      <c r="O152" s="21"/>
      <c r="P152" s="21"/>
      <c r="Q152" s="21"/>
      <c r="R152" s="23"/>
      <c r="S152" s="50"/>
      <c r="T152" s="48"/>
      <c r="U152" s="82"/>
      <c r="V152" s="26"/>
      <c r="W152" s="200"/>
      <c r="X152" s="17"/>
    </row>
    <row r="153" spans="2:24" x14ac:dyDescent="0.25">
      <c r="B153" s="17">
        <v>151</v>
      </c>
      <c r="C153" s="10"/>
      <c r="D153" s="10"/>
      <c r="E153" s="72"/>
      <c r="F153" s="18"/>
      <c r="G153" s="10"/>
      <c r="H153" s="10"/>
      <c r="I153" s="10"/>
      <c r="J153" s="11"/>
      <c r="K153" s="11">
        <f t="shared" si="196"/>
        <v>0</v>
      </c>
      <c r="L153" s="37">
        <f t="shared" si="197"/>
        <v>0</v>
      </c>
      <c r="M153" s="11"/>
      <c r="N153" s="10"/>
      <c r="O153" s="21"/>
      <c r="P153" s="21"/>
      <c r="Q153" s="21"/>
      <c r="R153" s="23"/>
      <c r="S153" s="50"/>
      <c r="T153" s="48"/>
      <c r="U153" s="82"/>
      <c r="V153" s="26"/>
      <c r="W153" s="200"/>
      <c r="X153" s="17"/>
    </row>
    <row r="154" spans="2:24" x14ac:dyDescent="0.25">
      <c r="B154" s="17">
        <v>152</v>
      </c>
      <c r="C154" s="10"/>
      <c r="D154" s="10"/>
      <c r="E154" s="72"/>
      <c r="F154" s="18"/>
      <c r="G154" s="10"/>
      <c r="H154" s="10"/>
      <c r="I154" s="10"/>
      <c r="J154" s="11"/>
      <c r="K154" s="11">
        <f t="shared" si="196"/>
        <v>0</v>
      </c>
      <c r="L154" s="37">
        <f t="shared" si="197"/>
        <v>0</v>
      </c>
      <c r="M154" s="11"/>
      <c r="N154" s="10"/>
      <c r="O154" s="21"/>
      <c r="P154" s="21"/>
      <c r="Q154" s="21"/>
      <c r="R154" s="23"/>
      <c r="S154" s="50"/>
      <c r="T154" s="48"/>
      <c r="U154" s="82"/>
      <c r="V154" s="26"/>
      <c r="W154" s="200"/>
      <c r="X154" s="17"/>
    </row>
    <row r="155" spans="2:24" x14ac:dyDescent="0.25">
      <c r="B155" s="17">
        <v>153</v>
      </c>
      <c r="C155" s="10"/>
      <c r="D155" s="10"/>
      <c r="E155" s="72"/>
      <c r="F155" s="18"/>
      <c r="G155" s="10"/>
      <c r="H155" s="10"/>
      <c r="I155" s="10"/>
      <c r="J155" s="11"/>
      <c r="K155" s="11">
        <f t="shared" si="196"/>
        <v>0</v>
      </c>
      <c r="L155" s="37">
        <f t="shared" si="197"/>
        <v>0</v>
      </c>
      <c r="M155" s="11"/>
      <c r="N155" s="10"/>
      <c r="O155" s="21"/>
      <c r="P155" s="21"/>
      <c r="Q155" s="21"/>
      <c r="R155" s="23"/>
      <c r="S155" s="50"/>
      <c r="T155" s="48"/>
      <c r="U155" s="82"/>
      <c r="V155" s="32"/>
      <c r="W155" s="200"/>
      <c r="X155" s="17"/>
    </row>
    <row r="156" spans="2:24" x14ac:dyDescent="0.25">
      <c r="B156" s="17">
        <v>154</v>
      </c>
      <c r="C156" s="10"/>
      <c r="D156" s="10"/>
      <c r="E156" s="72"/>
      <c r="F156" s="18"/>
      <c r="G156" s="10"/>
      <c r="H156" s="10"/>
      <c r="I156" s="10"/>
      <c r="J156" s="11"/>
      <c r="K156" s="11">
        <f t="shared" si="196"/>
        <v>0</v>
      </c>
      <c r="L156" s="37">
        <f t="shared" si="197"/>
        <v>0</v>
      </c>
      <c r="M156" s="11"/>
      <c r="N156" s="10"/>
      <c r="O156" s="21"/>
      <c r="P156" s="21"/>
      <c r="Q156" s="21"/>
      <c r="R156" s="23"/>
      <c r="S156" s="50"/>
      <c r="T156" s="48"/>
      <c r="U156" s="82"/>
      <c r="V156" s="32"/>
      <c r="W156" s="200"/>
      <c r="X156" s="17"/>
    </row>
    <row r="157" spans="2:24" x14ac:dyDescent="0.25">
      <c r="B157" s="17">
        <v>155</v>
      </c>
      <c r="C157" s="10"/>
      <c r="D157" s="10"/>
      <c r="E157" s="72"/>
      <c r="F157" s="18"/>
      <c r="G157" s="10"/>
      <c r="H157" s="10"/>
      <c r="I157" s="10"/>
      <c r="J157" s="11"/>
      <c r="K157" s="11">
        <f t="shared" si="196"/>
        <v>0</v>
      </c>
      <c r="L157" s="37">
        <f t="shared" si="197"/>
        <v>0</v>
      </c>
      <c r="M157" s="11"/>
      <c r="N157" s="10"/>
      <c r="O157" s="21"/>
      <c r="P157" s="21"/>
      <c r="Q157" s="21"/>
      <c r="R157" s="23"/>
      <c r="S157" s="50"/>
      <c r="T157" s="48"/>
      <c r="U157" s="82"/>
      <c r="V157" s="26"/>
      <c r="W157" s="200"/>
      <c r="X157" s="17"/>
    </row>
    <row r="158" spans="2:24" x14ac:dyDescent="0.25">
      <c r="B158" s="17">
        <v>156</v>
      </c>
      <c r="C158" s="10"/>
      <c r="D158" s="10"/>
      <c r="E158" s="72"/>
      <c r="F158" s="18"/>
      <c r="G158" s="10"/>
      <c r="H158" s="10"/>
      <c r="I158" s="10"/>
      <c r="J158" s="11"/>
      <c r="K158" s="11">
        <f t="shared" si="196"/>
        <v>0</v>
      </c>
      <c r="L158" s="37">
        <f t="shared" si="197"/>
        <v>0</v>
      </c>
      <c r="M158" s="11"/>
      <c r="N158" s="10"/>
      <c r="O158" s="21"/>
      <c r="P158" s="21"/>
      <c r="Q158" s="21"/>
      <c r="R158" s="23"/>
      <c r="S158" s="50"/>
      <c r="T158" s="48"/>
      <c r="U158" s="82"/>
      <c r="V158" s="26"/>
      <c r="W158" s="200"/>
      <c r="X158" s="17"/>
    </row>
    <row r="159" spans="2:24" x14ac:dyDescent="0.25">
      <c r="B159" s="17">
        <v>157</v>
      </c>
      <c r="C159" s="10"/>
      <c r="D159" s="10"/>
      <c r="E159" s="72"/>
      <c r="F159" s="18"/>
      <c r="G159" s="10"/>
      <c r="H159" s="10"/>
      <c r="I159" s="10"/>
      <c r="J159" s="11"/>
      <c r="K159" s="11">
        <f t="shared" si="196"/>
        <v>0</v>
      </c>
      <c r="L159" s="37">
        <f t="shared" si="197"/>
        <v>0</v>
      </c>
      <c r="M159" s="11"/>
      <c r="N159" s="10"/>
      <c r="O159" s="21"/>
      <c r="P159" s="21"/>
      <c r="Q159" s="21"/>
      <c r="R159" s="23"/>
      <c r="S159" s="50"/>
      <c r="T159" s="48"/>
      <c r="U159" s="82"/>
      <c r="V159" s="26"/>
      <c r="W159" s="200"/>
      <c r="X159" s="17"/>
    </row>
    <row r="160" spans="2:24" x14ac:dyDescent="0.25">
      <c r="B160" s="17">
        <v>158</v>
      </c>
      <c r="C160" s="10"/>
      <c r="D160" s="10"/>
      <c r="E160" s="72"/>
      <c r="F160" s="18"/>
      <c r="G160" s="10"/>
      <c r="H160" s="10"/>
      <c r="I160" s="10"/>
      <c r="J160" s="11"/>
      <c r="K160" s="11">
        <f t="shared" si="196"/>
        <v>0</v>
      </c>
      <c r="L160" s="37">
        <f t="shared" si="197"/>
        <v>0</v>
      </c>
      <c r="M160" s="11"/>
      <c r="N160" s="10"/>
      <c r="O160" s="21"/>
      <c r="P160" s="21"/>
      <c r="Q160" s="21"/>
      <c r="R160" s="23"/>
      <c r="S160" s="50"/>
      <c r="T160" s="48"/>
      <c r="U160" s="82"/>
      <c r="V160" s="26"/>
      <c r="W160" s="200"/>
      <c r="X160" s="17"/>
    </row>
    <row r="161" spans="2:24" x14ac:dyDescent="0.25">
      <c r="B161" s="17">
        <v>159</v>
      </c>
      <c r="C161" s="10"/>
      <c r="D161" s="10"/>
      <c r="E161" s="72"/>
      <c r="F161" s="18"/>
      <c r="G161" s="10"/>
      <c r="H161" s="10"/>
      <c r="I161" s="10"/>
      <c r="J161" s="11"/>
      <c r="K161" s="11">
        <f t="shared" si="196"/>
        <v>0</v>
      </c>
      <c r="L161" s="37">
        <f t="shared" si="197"/>
        <v>0</v>
      </c>
      <c r="M161" s="11"/>
      <c r="N161" s="10"/>
      <c r="O161" s="21"/>
      <c r="P161" s="21"/>
      <c r="Q161" s="21"/>
      <c r="R161" s="23"/>
      <c r="S161" s="50"/>
      <c r="T161" s="48"/>
      <c r="U161" s="82"/>
      <c r="V161" s="26"/>
      <c r="W161" s="200"/>
      <c r="X161" s="17"/>
    </row>
    <row r="162" spans="2:24" x14ac:dyDescent="0.25">
      <c r="B162" s="17">
        <v>160</v>
      </c>
      <c r="C162" s="10"/>
      <c r="D162" s="10"/>
      <c r="E162" s="72"/>
      <c r="F162" s="18"/>
      <c r="G162" s="10"/>
      <c r="H162" s="10"/>
      <c r="I162" s="10"/>
      <c r="J162" s="11"/>
      <c r="K162" s="11">
        <f t="shared" si="196"/>
        <v>0</v>
      </c>
      <c r="L162" s="37">
        <f t="shared" si="197"/>
        <v>0</v>
      </c>
      <c r="M162" s="11"/>
      <c r="N162" s="10"/>
      <c r="O162" s="21"/>
      <c r="P162" s="21"/>
      <c r="Q162" s="21"/>
      <c r="R162" s="23"/>
      <c r="S162" s="50"/>
      <c r="T162" s="48"/>
      <c r="U162" s="82"/>
      <c r="V162" s="32"/>
      <c r="W162" s="200"/>
      <c r="X162" s="17"/>
    </row>
    <row r="163" spans="2:24" x14ac:dyDescent="0.25">
      <c r="B163" s="17">
        <v>161</v>
      </c>
      <c r="C163" s="10"/>
      <c r="D163" s="10"/>
      <c r="E163" s="72"/>
      <c r="F163" s="18"/>
      <c r="G163" s="10"/>
      <c r="H163" s="10"/>
      <c r="I163" s="10"/>
      <c r="J163" s="11"/>
      <c r="K163" s="11">
        <f t="shared" si="196"/>
        <v>0</v>
      </c>
      <c r="L163" s="37">
        <f t="shared" si="197"/>
        <v>0</v>
      </c>
      <c r="M163" s="11"/>
      <c r="N163" s="10"/>
      <c r="O163" s="21"/>
      <c r="P163" s="21"/>
      <c r="Q163" s="21"/>
      <c r="R163" s="23"/>
      <c r="S163" s="50"/>
      <c r="T163" s="48"/>
      <c r="U163" s="82"/>
      <c r="V163" s="32"/>
      <c r="W163" s="200"/>
      <c r="X163" s="17"/>
    </row>
    <row r="164" spans="2:24" x14ac:dyDescent="0.25">
      <c r="B164" s="17">
        <v>162</v>
      </c>
      <c r="C164" s="10"/>
      <c r="D164" s="10"/>
      <c r="E164" s="72"/>
      <c r="F164" s="18"/>
      <c r="G164" s="10"/>
      <c r="H164" s="10"/>
      <c r="I164" s="10"/>
      <c r="J164" s="11"/>
      <c r="K164" s="11">
        <f t="shared" si="196"/>
        <v>0</v>
      </c>
      <c r="L164" s="37">
        <f t="shared" si="197"/>
        <v>0</v>
      </c>
      <c r="M164" s="11"/>
      <c r="N164" s="10"/>
      <c r="O164" s="21"/>
      <c r="P164" s="21"/>
      <c r="Q164" s="21"/>
      <c r="R164" s="23"/>
      <c r="S164" s="50"/>
      <c r="T164" s="48"/>
      <c r="U164" s="82"/>
      <c r="V164" s="32"/>
      <c r="W164" s="200"/>
      <c r="X164" s="17"/>
    </row>
    <row r="165" spans="2:24" x14ac:dyDescent="0.25">
      <c r="B165" s="17">
        <v>163</v>
      </c>
      <c r="C165" s="10"/>
      <c r="D165" s="10"/>
      <c r="E165" s="72"/>
      <c r="F165" s="18"/>
      <c r="G165" s="10"/>
      <c r="H165" s="10"/>
      <c r="I165" s="10"/>
      <c r="J165" s="11"/>
      <c r="K165" s="11">
        <f t="shared" si="196"/>
        <v>0</v>
      </c>
      <c r="L165" s="37">
        <f t="shared" si="197"/>
        <v>0</v>
      </c>
      <c r="M165" s="11"/>
      <c r="N165" s="10"/>
      <c r="O165" s="21"/>
      <c r="P165" s="21"/>
      <c r="Q165" s="21"/>
      <c r="R165" s="23"/>
      <c r="S165" s="50"/>
      <c r="T165" s="48"/>
      <c r="U165" s="82"/>
      <c r="V165" s="32"/>
      <c r="W165" s="200"/>
      <c r="X165" s="17"/>
    </row>
    <row r="166" spans="2:24" x14ac:dyDescent="0.25">
      <c r="B166" s="17">
        <v>164</v>
      </c>
      <c r="C166" s="10"/>
      <c r="D166" s="10"/>
      <c r="E166" s="72"/>
      <c r="F166" s="18"/>
      <c r="G166" s="10"/>
      <c r="H166" s="10"/>
      <c r="I166" s="10"/>
      <c r="J166" s="11"/>
      <c r="K166" s="11">
        <f t="shared" si="196"/>
        <v>0</v>
      </c>
      <c r="L166" s="37">
        <f t="shared" si="197"/>
        <v>0</v>
      </c>
      <c r="M166" s="11"/>
      <c r="N166" s="10"/>
      <c r="O166" s="21"/>
      <c r="P166" s="21"/>
      <c r="Q166" s="21"/>
      <c r="R166" s="23"/>
      <c r="S166" s="50"/>
      <c r="T166" s="48"/>
      <c r="U166" s="82"/>
      <c r="V166" s="26"/>
      <c r="W166" s="200"/>
      <c r="X166" s="17"/>
    </row>
    <row r="167" spans="2:24" x14ac:dyDescent="0.25">
      <c r="B167" s="17">
        <v>165</v>
      </c>
      <c r="C167" s="10"/>
      <c r="D167" s="10"/>
      <c r="E167" s="72"/>
      <c r="F167" s="18"/>
      <c r="G167" s="10"/>
      <c r="H167" s="10"/>
      <c r="I167" s="10"/>
      <c r="J167" s="11"/>
      <c r="K167" s="11">
        <f t="shared" si="196"/>
        <v>0</v>
      </c>
      <c r="L167" s="37">
        <f t="shared" si="197"/>
        <v>0</v>
      </c>
      <c r="M167" s="11"/>
      <c r="N167" s="10"/>
      <c r="O167" s="21"/>
      <c r="P167" s="21"/>
      <c r="Q167" s="21"/>
      <c r="R167" s="23"/>
      <c r="S167" s="50"/>
      <c r="T167" s="48"/>
      <c r="U167" s="82"/>
      <c r="V167" s="26"/>
      <c r="W167" s="200"/>
      <c r="X167" s="17"/>
    </row>
    <row r="168" spans="2:24" x14ac:dyDescent="0.25">
      <c r="B168" s="17">
        <v>166</v>
      </c>
      <c r="C168" s="10"/>
      <c r="D168" s="10"/>
      <c r="E168" s="72"/>
      <c r="F168" s="18"/>
      <c r="G168" s="10"/>
      <c r="H168" s="10"/>
      <c r="I168" s="10"/>
      <c r="J168" s="11"/>
      <c r="K168" s="11">
        <f t="shared" si="196"/>
        <v>0</v>
      </c>
      <c r="L168" s="37">
        <f t="shared" si="197"/>
        <v>0</v>
      </c>
      <c r="M168" s="11"/>
      <c r="N168" s="10"/>
      <c r="O168" s="21"/>
      <c r="P168" s="21"/>
      <c r="Q168" s="21"/>
      <c r="R168" s="23"/>
      <c r="S168" s="50"/>
      <c r="T168" s="48"/>
      <c r="U168" s="82"/>
      <c r="V168" s="26"/>
      <c r="W168" s="200"/>
      <c r="X168" s="17"/>
    </row>
    <row r="169" spans="2:24" x14ac:dyDescent="0.25">
      <c r="B169" s="17">
        <v>167</v>
      </c>
      <c r="C169" s="10"/>
      <c r="D169" s="10"/>
      <c r="E169" s="72"/>
      <c r="F169" s="18"/>
      <c r="G169" s="10"/>
      <c r="H169" s="10"/>
      <c r="I169" s="10"/>
      <c r="J169" s="11"/>
      <c r="K169" s="11">
        <f t="shared" si="196"/>
        <v>0</v>
      </c>
      <c r="L169" s="37">
        <f t="shared" si="197"/>
        <v>0</v>
      </c>
      <c r="M169" s="11"/>
      <c r="N169" s="10"/>
      <c r="O169" s="21"/>
      <c r="P169" s="21"/>
      <c r="Q169" s="21"/>
      <c r="R169" s="23"/>
      <c r="S169" s="50"/>
      <c r="T169" s="48"/>
      <c r="U169" s="82"/>
      <c r="V169" s="26"/>
      <c r="W169" s="200"/>
      <c r="X169" s="17"/>
    </row>
    <row r="170" spans="2:24" x14ac:dyDescent="0.25">
      <c r="B170" s="17">
        <v>168</v>
      </c>
      <c r="C170" s="10"/>
      <c r="D170" s="10"/>
      <c r="E170" s="72"/>
      <c r="F170" s="18"/>
      <c r="G170" s="10"/>
      <c r="H170" s="10"/>
      <c r="I170" s="10"/>
      <c r="J170" s="11"/>
      <c r="K170" s="11">
        <f t="shared" si="196"/>
        <v>0</v>
      </c>
      <c r="L170" s="37">
        <f t="shared" si="197"/>
        <v>0</v>
      </c>
      <c r="M170" s="11"/>
      <c r="N170" s="10"/>
      <c r="O170" s="21"/>
      <c r="P170" s="21"/>
      <c r="Q170" s="21"/>
      <c r="R170" s="23"/>
      <c r="S170" s="50"/>
      <c r="T170" s="48"/>
      <c r="U170" s="82"/>
      <c r="V170" s="32"/>
      <c r="W170" s="200"/>
      <c r="X170" s="17"/>
    </row>
    <row r="171" spans="2:24" x14ac:dyDescent="0.25">
      <c r="B171" s="17">
        <v>169</v>
      </c>
      <c r="C171" s="10"/>
      <c r="D171" s="10"/>
      <c r="E171" s="72"/>
      <c r="F171" s="18"/>
      <c r="G171" s="10"/>
      <c r="H171" s="10"/>
      <c r="I171" s="10"/>
      <c r="J171" s="11"/>
      <c r="K171" s="11">
        <f t="shared" si="196"/>
        <v>0</v>
      </c>
      <c r="L171" s="37">
        <f t="shared" si="197"/>
        <v>0</v>
      </c>
      <c r="M171" s="11"/>
      <c r="N171" s="10"/>
      <c r="O171" s="21"/>
      <c r="P171" s="21"/>
      <c r="Q171" s="21"/>
      <c r="R171" s="23"/>
      <c r="S171" s="50"/>
      <c r="T171" s="48"/>
      <c r="U171" s="82"/>
      <c r="V171" s="32"/>
      <c r="W171" s="200"/>
      <c r="X171" s="17"/>
    </row>
    <row r="172" spans="2:24" x14ac:dyDescent="0.25">
      <c r="B172" s="17">
        <v>170</v>
      </c>
      <c r="C172" s="10"/>
      <c r="D172" s="10"/>
      <c r="E172" s="72"/>
      <c r="F172" s="18"/>
      <c r="G172" s="10"/>
      <c r="H172" s="10"/>
      <c r="I172" s="10"/>
      <c r="J172" s="11"/>
      <c r="K172" s="11">
        <f t="shared" si="196"/>
        <v>0</v>
      </c>
      <c r="L172" s="37">
        <f t="shared" si="197"/>
        <v>0</v>
      </c>
      <c r="M172" s="11"/>
      <c r="N172" s="10"/>
      <c r="O172" s="21"/>
      <c r="P172" s="21"/>
      <c r="Q172" s="21"/>
      <c r="R172" s="23"/>
      <c r="S172" s="50"/>
      <c r="T172" s="48"/>
      <c r="U172" s="82"/>
      <c r="V172" s="26"/>
      <c r="W172" s="200"/>
      <c r="X172" s="17"/>
    </row>
    <row r="173" spans="2:24" x14ac:dyDescent="0.25">
      <c r="B173" s="17">
        <v>171</v>
      </c>
      <c r="C173" s="10"/>
      <c r="D173" s="10"/>
      <c r="E173" s="72"/>
      <c r="F173" s="18"/>
      <c r="G173" s="10"/>
      <c r="H173" s="10"/>
      <c r="I173" s="10"/>
      <c r="J173" s="11"/>
      <c r="K173" s="11">
        <f t="shared" si="196"/>
        <v>0</v>
      </c>
      <c r="L173" s="37">
        <f t="shared" si="197"/>
        <v>0</v>
      </c>
      <c r="M173" s="11"/>
      <c r="N173" s="10"/>
      <c r="O173" s="21"/>
      <c r="P173" s="21"/>
      <c r="Q173" s="21"/>
      <c r="R173" s="23"/>
      <c r="S173" s="50"/>
      <c r="T173" s="48"/>
      <c r="U173" s="82"/>
      <c r="V173" s="26"/>
      <c r="W173" s="200"/>
      <c r="X173" s="17"/>
    </row>
    <row r="174" spans="2:24" x14ac:dyDescent="0.25">
      <c r="B174" s="17">
        <v>172</v>
      </c>
      <c r="C174" s="10"/>
      <c r="D174" s="10"/>
      <c r="E174" s="72"/>
      <c r="F174" s="18"/>
      <c r="G174" s="10"/>
      <c r="H174" s="10"/>
      <c r="I174" s="10"/>
      <c r="J174" s="11"/>
      <c r="K174" s="11">
        <f t="shared" si="196"/>
        <v>0</v>
      </c>
      <c r="L174" s="37">
        <f t="shared" si="197"/>
        <v>0</v>
      </c>
      <c r="M174" s="11"/>
      <c r="N174" s="10"/>
      <c r="O174" s="21"/>
      <c r="P174" s="21"/>
      <c r="Q174" s="21"/>
      <c r="R174" s="23"/>
      <c r="S174" s="50"/>
      <c r="T174" s="48"/>
      <c r="U174" s="82"/>
      <c r="V174" s="26"/>
      <c r="W174" s="200"/>
      <c r="X174" s="17"/>
    </row>
    <row r="175" spans="2:24" x14ac:dyDescent="0.25">
      <c r="B175" s="17">
        <v>173</v>
      </c>
      <c r="C175" s="10"/>
      <c r="D175" s="10"/>
      <c r="E175" s="72"/>
      <c r="F175" s="18"/>
      <c r="G175" s="10"/>
      <c r="H175" s="10"/>
      <c r="I175" s="10"/>
      <c r="J175" s="11"/>
      <c r="K175" s="11">
        <f t="shared" si="196"/>
        <v>0</v>
      </c>
      <c r="L175" s="37">
        <f t="shared" si="197"/>
        <v>0</v>
      </c>
      <c r="M175" s="11"/>
      <c r="N175" s="10"/>
      <c r="O175" s="21"/>
      <c r="P175" s="21"/>
      <c r="Q175" s="21"/>
      <c r="R175" s="23"/>
      <c r="S175" s="50"/>
      <c r="T175" s="48"/>
      <c r="U175" s="82"/>
      <c r="V175" s="26"/>
      <c r="W175" s="200"/>
      <c r="X175" s="17"/>
    </row>
    <row r="176" spans="2:24" x14ac:dyDescent="0.25">
      <c r="B176" s="17">
        <v>174</v>
      </c>
      <c r="C176" s="10"/>
      <c r="D176" s="10"/>
      <c r="E176" s="72"/>
      <c r="F176" s="18"/>
      <c r="G176" s="10"/>
      <c r="H176" s="10"/>
      <c r="I176" s="10"/>
      <c r="J176" s="11"/>
      <c r="K176" s="11">
        <f t="shared" si="196"/>
        <v>0</v>
      </c>
      <c r="L176" s="37">
        <f t="shared" si="197"/>
        <v>0</v>
      </c>
      <c r="M176" s="11"/>
      <c r="N176" s="10"/>
      <c r="O176" s="21"/>
      <c r="P176" s="21"/>
      <c r="Q176" s="21"/>
      <c r="R176" s="23"/>
      <c r="S176" s="50"/>
      <c r="T176" s="48"/>
      <c r="U176" s="82"/>
      <c r="V176" s="26"/>
      <c r="W176" s="200"/>
      <c r="X176" s="17"/>
    </row>
    <row r="177" spans="2:24" x14ac:dyDescent="0.25">
      <c r="B177" s="17">
        <v>175</v>
      </c>
      <c r="C177" s="10"/>
      <c r="D177" s="10"/>
      <c r="E177" s="72"/>
      <c r="F177" s="18"/>
      <c r="G177" s="10"/>
      <c r="H177" s="10"/>
      <c r="I177" s="10"/>
      <c r="J177" s="11"/>
      <c r="K177" s="11">
        <f t="shared" si="196"/>
        <v>0</v>
      </c>
      <c r="L177" s="37">
        <f t="shared" si="197"/>
        <v>0</v>
      </c>
      <c r="M177" s="11"/>
      <c r="N177" s="10"/>
      <c r="O177" s="21"/>
      <c r="P177" s="21"/>
      <c r="Q177" s="21"/>
      <c r="R177" s="23"/>
      <c r="S177" s="50"/>
      <c r="T177" s="48"/>
      <c r="U177" s="82"/>
      <c r="V177" s="32"/>
      <c r="W177" s="200"/>
      <c r="X177" s="17"/>
    </row>
    <row r="178" spans="2:24" x14ac:dyDescent="0.25">
      <c r="B178" s="17">
        <v>176</v>
      </c>
      <c r="C178" s="10"/>
      <c r="D178" s="10"/>
      <c r="E178" s="72"/>
      <c r="F178" s="18"/>
      <c r="G178" s="10"/>
      <c r="H178" s="10"/>
      <c r="I178" s="10"/>
      <c r="J178" s="11"/>
      <c r="K178" s="11">
        <f t="shared" si="196"/>
        <v>0</v>
      </c>
      <c r="L178" s="37">
        <f t="shared" si="197"/>
        <v>0</v>
      </c>
      <c r="M178" s="11"/>
      <c r="N178" s="10"/>
      <c r="O178" s="21"/>
      <c r="P178" s="21"/>
      <c r="Q178" s="21"/>
      <c r="R178" s="23"/>
      <c r="S178" s="50"/>
      <c r="T178" s="48"/>
      <c r="U178" s="82"/>
      <c r="V178" s="32"/>
      <c r="W178" s="200"/>
      <c r="X178" s="17"/>
    </row>
    <row r="179" spans="2:24" x14ac:dyDescent="0.25">
      <c r="B179" s="17">
        <v>177</v>
      </c>
      <c r="C179" s="10"/>
      <c r="D179" s="10"/>
      <c r="E179" s="72"/>
      <c r="F179" s="18"/>
      <c r="G179" s="10"/>
      <c r="H179" s="10"/>
      <c r="I179" s="10"/>
      <c r="J179" s="11"/>
      <c r="K179" s="11">
        <f t="shared" si="196"/>
        <v>0</v>
      </c>
      <c r="L179" s="37">
        <f t="shared" si="197"/>
        <v>0</v>
      </c>
      <c r="M179" s="11"/>
      <c r="N179" s="10"/>
      <c r="O179" s="21"/>
      <c r="P179" s="21"/>
      <c r="Q179" s="21"/>
      <c r="R179" s="23"/>
      <c r="S179" s="50"/>
      <c r="T179" s="48"/>
      <c r="U179" s="82"/>
      <c r="V179" s="26"/>
      <c r="W179" s="200"/>
      <c r="X179" s="17"/>
    </row>
    <row r="180" spans="2:24" x14ac:dyDescent="0.25">
      <c r="B180" s="17">
        <v>178</v>
      </c>
      <c r="C180" s="10"/>
      <c r="D180" s="10"/>
      <c r="E180" s="72"/>
      <c r="F180" s="18"/>
      <c r="G180" s="10"/>
      <c r="H180" s="10"/>
      <c r="I180" s="10"/>
      <c r="J180" s="11"/>
      <c r="K180" s="11">
        <f t="shared" si="196"/>
        <v>0</v>
      </c>
      <c r="L180" s="37">
        <f t="shared" si="197"/>
        <v>0</v>
      </c>
      <c r="M180" s="11"/>
      <c r="N180" s="10"/>
      <c r="O180" s="21"/>
      <c r="P180" s="21"/>
      <c r="Q180" s="21"/>
      <c r="R180" s="23"/>
      <c r="S180" s="50"/>
      <c r="T180" s="48"/>
      <c r="U180" s="82"/>
      <c r="V180" s="26"/>
      <c r="W180" s="200"/>
      <c r="X180" s="17"/>
    </row>
    <row r="181" spans="2:24" x14ac:dyDescent="0.25">
      <c r="B181" s="17">
        <v>179</v>
      </c>
      <c r="C181" s="10"/>
      <c r="D181" s="10"/>
      <c r="E181" s="72"/>
      <c r="F181" s="18"/>
      <c r="G181" s="10"/>
      <c r="H181" s="10"/>
      <c r="I181" s="10"/>
      <c r="J181" s="11"/>
      <c r="K181" s="11">
        <f t="shared" si="196"/>
        <v>0</v>
      </c>
      <c r="L181" s="37">
        <f t="shared" si="197"/>
        <v>0</v>
      </c>
      <c r="M181" s="11"/>
      <c r="N181" s="10"/>
      <c r="O181" s="21"/>
      <c r="P181" s="21"/>
      <c r="Q181" s="21"/>
      <c r="R181" s="23"/>
      <c r="S181" s="50"/>
      <c r="T181" s="48"/>
      <c r="U181" s="82"/>
      <c r="V181" s="26"/>
      <c r="W181" s="200"/>
      <c r="X181" s="17"/>
    </row>
    <row r="182" spans="2:24" x14ac:dyDescent="0.25">
      <c r="B182" s="17">
        <v>180</v>
      </c>
      <c r="C182" s="10"/>
      <c r="D182" s="10"/>
      <c r="E182" s="72"/>
      <c r="F182" s="18"/>
      <c r="G182" s="10"/>
      <c r="H182" s="10"/>
      <c r="I182" s="10"/>
      <c r="J182" s="11"/>
      <c r="K182" s="11">
        <f t="shared" si="196"/>
        <v>0</v>
      </c>
      <c r="L182" s="37">
        <f t="shared" si="197"/>
        <v>0</v>
      </c>
      <c r="M182" s="11"/>
      <c r="N182" s="10"/>
      <c r="O182" s="21"/>
      <c r="P182" s="21"/>
      <c r="Q182" s="21"/>
      <c r="R182" s="23"/>
      <c r="S182" s="50"/>
      <c r="T182" s="48"/>
      <c r="U182" s="82"/>
      <c r="V182" s="26"/>
      <c r="W182" s="200"/>
      <c r="X182" s="17"/>
    </row>
    <row r="183" spans="2:24" x14ac:dyDescent="0.25">
      <c r="B183" s="17">
        <v>181</v>
      </c>
      <c r="C183" s="10"/>
      <c r="D183" s="10"/>
      <c r="E183" s="72"/>
      <c r="F183" s="18"/>
      <c r="G183" s="10"/>
      <c r="H183" s="10"/>
      <c r="I183" s="10"/>
      <c r="J183" s="11"/>
      <c r="K183" s="11">
        <f t="shared" si="196"/>
        <v>0</v>
      </c>
      <c r="L183" s="37">
        <f t="shared" si="197"/>
        <v>0</v>
      </c>
      <c r="M183" s="11"/>
      <c r="N183" s="10"/>
      <c r="O183" s="21"/>
      <c r="P183" s="21"/>
      <c r="Q183" s="21"/>
      <c r="R183" s="23"/>
      <c r="S183" s="50"/>
      <c r="T183" s="48"/>
      <c r="U183" s="82"/>
      <c r="V183" s="26"/>
      <c r="W183" s="200"/>
      <c r="X183" s="17"/>
    </row>
    <row r="184" spans="2:24" x14ac:dyDescent="0.25">
      <c r="B184" s="17">
        <v>182</v>
      </c>
      <c r="C184" s="10"/>
      <c r="D184" s="10"/>
      <c r="E184" s="72"/>
      <c r="F184" s="18"/>
      <c r="G184" s="10"/>
      <c r="H184" s="10"/>
      <c r="I184" s="10"/>
      <c r="J184" s="11"/>
      <c r="K184" s="11">
        <f t="shared" si="196"/>
        <v>0</v>
      </c>
      <c r="L184" s="37">
        <f t="shared" si="197"/>
        <v>0</v>
      </c>
      <c r="M184" s="11"/>
      <c r="N184" s="10"/>
      <c r="O184" s="21"/>
      <c r="P184" s="21"/>
      <c r="Q184" s="21"/>
      <c r="R184" s="23"/>
      <c r="S184" s="50"/>
      <c r="T184" s="48"/>
      <c r="U184" s="82"/>
      <c r="V184" s="32"/>
      <c r="W184" s="200"/>
      <c r="X184" s="17"/>
    </row>
    <row r="185" spans="2:24" x14ac:dyDescent="0.25">
      <c r="B185" s="17">
        <v>183</v>
      </c>
      <c r="C185" s="10"/>
      <c r="D185" s="10"/>
      <c r="E185" s="72"/>
      <c r="F185" s="18"/>
      <c r="G185" s="10"/>
      <c r="H185" s="10"/>
      <c r="I185" s="10"/>
      <c r="J185" s="11"/>
      <c r="K185" s="11">
        <f t="shared" si="196"/>
        <v>0</v>
      </c>
      <c r="L185" s="37">
        <f t="shared" si="197"/>
        <v>0</v>
      </c>
      <c r="M185" s="11"/>
      <c r="N185" s="10"/>
      <c r="O185" s="21"/>
      <c r="P185" s="21"/>
      <c r="Q185" s="21"/>
      <c r="R185" s="23"/>
      <c r="S185" s="50"/>
      <c r="T185" s="48"/>
      <c r="U185" s="82"/>
      <c r="V185" s="32"/>
      <c r="W185" s="200"/>
      <c r="X185" s="17"/>
    </row>
    <row r="186" spans="2:24" x14ac:dyDescent="0.25">
      <c r="B186" s="17">
        <v>184</v>
      </c>
      <c r="C186" s="10"/>
      <c r="D186" s="10"/>
      <c r="E186" s="72"/>
      <c r="F186" s="18"/>
      <c r="G186" s="10"/>
      <c r="H186" s="10"/>
      <c r="I186" s="10"/>
      <c r="J186" s="11"/>
      <c r="K186" s="11">
        <f t="shared" si="196"/>
        <v>0</v>
      </c>
      <c r="L186" s="37">
        <f t="shared" si="197"/>
        <v>0</v>
      </c>
      <c r="M186" s="11"/>
      <c r="N186" s="10"/>
      <c r="O186" s="21"/>
      <c r="P186" s="21"/>
      <c r="Q186" s="21"/>
      <c r="R186" s="23"/>
      <c r="S186" s="50"/>
      <c r="T186" s="48"/>
      <c r="U186" s="82"/>
      <c r="V186" s="32"/>
      <c r="W186" s="200"/>
      <c r="X186" s="17"/>
    </row>
    <row r="187" spans="2:24" x14ac:dyDescent="0.25">
      <c r="B187" s="17">
        <v>185</v>
      </c>
      <c r="C187" s="10"/>
      <c r="D187" s="10"/>
      <c r="E187" s="72"/>
      <c r="F187" s="18"/>
      <c r="G187" s="10"/>
      <c r="H187" s="10"/>
      <c r="I187" s="10"/>
      <c r="J187" s="11"/>
      <c r="K187" s="11">
        <f t="shared" si="196"/>
        <v>0</v>
      </c>
      <c r="L187" s="37">
        <f t="shared" si="197"/>
        <v>0</v>
      </c>
      <c r="M187" s="11"/>
      <c r="N187" s="10"/>
      <c r="O187" s="21"/>
      <c r="P187" s="21"/>
      <c r="Q187" s="21"/>
      <c r="R187" s="23"/>
      <c r="S187" s="50"/>
      <c r="T187" s="48"/>
      <c r="U187" s="82"/>
      <c r="V187" s="32"/>
      <c r="W187" s="200"/>
      <c r="X187" s="17"/>
    </row>
    <row r="188" spans="2:24" x14ac:dyDescent="0.25">
      <c r="B188" s="17">
        <v>186</v>
      </c>
      <c r="C188" s="10"/>
      <c r="D188" s="10"/>
      <c r="E188" s="72"/>
      <c r="F188" s="18"/>
      <c r="G188" s="10"/>
      <c r="H188" s="10"/>
      <c r="I188" s="10"/>
      <c r="J188" s="11"/>
      <c r="K188" s="11">
        <f t="shared" si="196"/>
        <v>0</v>
      </c>
      <c r="L188" s="37">
        <f t="shared" si="197"/>
        <v>0</v>
      </c>
      <c r="M188" s="11"/>
      <c r="N188" s="10"/>
      <c r="O188" s="21"/>
      <c r="P188" s="21"/>
      <c r="Q188" s="21"/>
      <c r="R188" s="23"/>
      <c r="S188" s="50"/>
      <c r="T188" s="48"/>
      <c r="U188" s="82"/>
      <c r="V188" s="26"/>
      <c r="W188" s="200"/>
      <c r="X188" s="17"/>
    </row>
    <row r="189" spans="2:24" x14ac:dyDescent="0.25">
      <c r="B189" s="17">
        <v>187</v>
      </c>
      <c r="C189" s="10"/>
      <c r="D189" s="10"/>
      <c r="E189" s="72"/>
      <c r="F189" s="18"/>
      <c r="G189" s="10"/>
      <c r="H189" s="10"/>
      <c r="I189" s="10"/>
      <c r="J189" s="11"/>
      <c r="K189" s="11">
        <f t="shared" si="196"/>
        <v>0</v>
      </c>
      <c r="L189" s="37">
        <f t="shared" si="197"/>
        <v>0</v>
      </c>
      <c r="M189" s="11"/>
      <c r="N189" s="10"/>
      <c r="O189" s="21"/>
      <c r="P189" s="21"/>
      <c r="Q189" s="21"/>
      <c r="R189" s="23"/>
      <c r="S189" s="50"/>
      <c r="T189" s="48"/>
      <c r="U189" s="82"/>
      <c r="V189" s="26"/>
      <c r="W189" s="200"/>
      <c r="X189" s="17"/>
    </row>
    <row r="190" spans="2:24" x14ac:dyDescent="0.25">
      <c r="B190" s="17">
        <v>188</v>
      </c>
      <c r="C190" s="10"/>
      <c r="D190" s="10"/>
      <c r="E190" s="72"/>
      <c r="F190" s="18"/>
      <c r="G190" s="10"/>
      <c r="H190" s="10"/>
      <c r="I190" s="10"/>
      <c r="J190" s="11"/>
      <c r="K190" s="11">
        <f t="shared" si="196"/>
        <v>0</v>
      </c>
      <c r="L190" s="37">
        <f t="shared" si="197"/>
        <v>0</v>
      </c>
      <c r="M190" s="11"/>
      <c r="N190" s="10"/>
      <c r="O190" s="21"/>
      <c r="P190" s="21"/>
      <c r="Q190" s="21"/>
      <c r="R190" s="23"/>
      <c r="S190" s="50"/>
      <c r="T190" s="48"/>
      <c r="U190" s="82"/>
      <c r="V190" s="26"/>
      <c r="W190" s="200"/>
      <c r="X190" s="17"/>
    </row>
    <row r="191" spans="2:24" x14ac:dyDescent="0.25">
      <c r="B191" s="17">
        <v>189</v>
      </c>
      <c r="C191" s="10"/>
      <c r="D191" s="10"/>
      <c r="E191" s="72"/>
      <c r="F191" s="18"/>
      <c r="G191" s="10"/>
      <c r="H191" s="10"/>
      <c r="I191" s="10"/>
      <c r="J191" s="11"/>
      <c r="K191" s="11">
        <f t="shared" si="196"/>
        <v>0</v>
      </c>
      <c r="L191" s="37">
        <f t="shared" si="197"/>
        <v>0</v>
      </c>
      <c r="M191" s="11"/>
      <c r="N191" s="10"/>
      <c r="O191" s="21"/>
      <c r="P191" s="21"/>
      <c r="Q191" s="21"/>
      <c r="R191" s="23"/>
      <c r="S191" s="50"/>
      <c r="T191" s="48"/>
      <c r="U191" s="82"/>
      <c r="V191" s="26"/>
      <c r="W191" s="200"/>
      <c r="X191" s="17"/>
    </row>
    <row r="192" spans="2:24" x14ac:dyDescent="0.25">
      <c r="B192" s="17">
        <v>190</v>
      </c>
      <c r="C192" s="10"/>
      <c r="D192" s="10"/>
      <c r="E192" s="72"/>
      <c r="F192" s="18"/>
      <c r="G192" s="10"/>
      <c r="H192" s="10"/>
      <c r="I192" s="10"/>
      <c r="J192" s="11"/>
      <c r="K192" s="11">
        <f t="shared" si="196"/>
        <v>0</v>
      </c>
      <c r="L192" s="37">
        <f t="shared" si="197"/>
        <v>0</v>
      </c>
      <c r="M192" s="11"/>
      <c r="N192" s="10"/>
      <c r="O192" s="21"/>
      <c r="P192" s="21"/>
      <c r="Q192" s="21"/>
      <c r="R192" s="23"/>
      <c r="S192" s="50"/>
      <c r="T192" s="48"/>
      <c r="U192" s="82"/>
      <c r="V192" s="26"/>
      <c r="W192" s="200"/>
      <c r="X192" s="17"/>
    </row>
    <row r="193" spans="2:24" x14ac:dyDescent="0.25">
      <c r="B193" s="17">
        <v>191</v>
      </c>
      <c r="C193" s="10"/>
      <c r="D193" s="10"/>
      <c r="E193" s="72"/>
      <c r="F193" s="18"/>
      <c r="G193" s="10"/>
      <c r="H193" s="10"/>
      <c r="I193" s="10"/>
      <c r="J193" s="11"/>
      <c r="K193" s="11">
        <f t="shared" si="196"/>
        <v>0</v>
      </c>
      <c r="L193" s="37">
        <f t="shared" si="197"/>
        <v>0</v>
      </c>
      <c r="M193" s="11"/>
      <c r="N193" s="10"/>
      <c r="O193" s="21"/>
      <c r="P193" s="21"/>
      <c r="Q193" s="21"/>
      <c r="R193" s="23"/>
      <c r="S193" s="50"/>
      <c r="T193" s="48"/>
      <c r="U193" s="82"/>
      <c r="V193" s="32"/>
      <c r="W193" s="200"/>
      <c r="X193" s="17"/>
    </row>
    <row r="194" spans="2:24" x14ac:dyDescent="0.25">
      <c r="B194" s="17">
        <v>192</v>
      </c>
      <c r="C194" s="10"/>
      <c r="D194" s="10"/>
      <c r="E194" s="72"/>
      <c r="F194" s="18"/>
      <c r="G194" s="10"/>
      <c r="H194" s="10"/>
      <c r="I194" s="10"/>
      <c r="J194" s="11"/>
      <c r="K194" s="11">
        <f t="shared" si="196"/>
        <v>0</v>
      </c>
      <c r="L194" s="37">
        <f t="shared" si="197"/>
        <v>0</v>
      </c>
      <c r="M194" s="11"/>
      <c r="N194" s="10"/>
      <c r="O194" s="21"/>
      <c r="P194" s="21"/>
      <c r="Q194" s="21"/>
      <c r="R194" s="23"/>
      <c r="S194" s="50"/>
      <c r="T194" s="48"/>
      <c r="U194" s="82"/>
      <c r="V194" s="32"/>
      <c r="W194" s="200"/>
      <c r="X194" s="17"/>
    </row>
    <row r="195" spans="2:24" x14ac:dyDescent="0.25">
      <c r="B195" s="17">
        <v>193</v>
      </c>
      <c r="C195" s="10"/>
      <c r="D195" s="10"/>
      <c r="E195" s="72"/>
      <c r="F195" s="18"/>
      <c r="G195" s="10"/>
      <c r="H195" s="10"/>
      <c r="I195" s="10"/>
      <c r="J195" s="11"/>
      <c r="K195" s="11">
        <f t="shared" si="196"/>
        <v>0</v>
      </c>
      <c r="L195" s="37">
        <f t="shared" si="197"/>
        <v>0</v>
      </c>
      <c r="M195" s="11"/>
      <c r="N195" s="10"/>
      <c r="O195" s="21"/>
      <c r="P195" s="21"/>
      <c r="Q195" s="21"/>
      <c r="R195" s="23"/>
      <c r="S195" s="50"/>
      <c r="T195" s="48"/>
      <c r="U195" s="82"/>
      <c r="V195" s="26"/>
      <c r="W195" s="200"/>
      <c r="X195" s="17"/>
    </row>
    <row r="196" spans="2:24" x14ac:dyDescent="0.25">
      <c r="B196" s="17">
        <v>194</v>
      </c>
      <c r="C196" s="10"/>
      <c r="D196" s="10"/>
      <c r="E196" s="72"/>
      <c r="F196" s="18"/>
      <c r="G196" s="10"/>
      <c r="H196" s="10"/>
      <c r="I196" s="10"/>
      <c r="J196" s="11"/>
      <c r="K196" s="11">
        <f t="shared" ref="K196:K259" si="198">J196*1.1</f>
        <v>0</v>
      </c>
      <c r="L196" s="37">
        <f t="shared" ref="L196:L259" si="199">J196*0.00000001</f>
        <v>0</v>
      </c>
      <c r="M196" s="11"/>
      <c r="N196" s="10"/>
      <c r="O196" s="21"/>
      <c r="P196" s="21"/>
      <c r="Q196" s="21"/>
      <c r="R196" s="23"/>
      <c r="S196" s="50"/>
      <c r="T196" s="48"/>
      <c r="U196" s="82"/>
      <c r="V196" s="26"/>
      <c r="W196" s="200"/>
      <c r="X196" s="17"/>
    </row>
    <row r="197" spans="2:24" x14ac:dyDescent="0.25">
      <c r="B197" s="17">
        <v>195</v>
      </c>
      <c r="C197" s="10"/>
      <c r="D197" s="10"/>
      <c r="E197" s="72"/>
      <c r="F197" s="18"/>
      <c r="G197" s="10"/>
      <c r="H197" s="10"/>
      <c r="I197" s="10"/>
      <c r="J197" s="11"/>
      <c r="K197" s="11">
        <f t="shared" si="198"/>
        <v>0</v>
      </c>
      <c r="L197" s="37">
        <f t="shared" si="199"/>
        <v>0</v>
      </c>
      <c r="M197" s="11"/>
      <c r="N197" s="10"/>
      <c r="O197" s="21"/>
      <c r="P197" s="21"/>
      <c r="Q197" s="21"/>
      <c r="R197" s="23"/>
      <c r="S197" s="50"/>
      <c r="T197" s="48"/>
      <c r="U197" s="82"/>
      <c r="V197" s="26"/>
      <c r="W197" s="200"/>
      <c r="X197" s="17"/>
    </row>
    <row r="198" spans="2:24" x14ac:dyDescent="0.25">
      <c r="B198" s="17">
        <v>196</v>
      </c>
      <c r="C198" s="10"/>
      <c r="D198" s="10"/>
      <c r="E198" s="72"/>
      <c r="F198" s="18"/>
      <c r="G198" s="10"/>
      <c r="H198" s="10"/>
      <c r="I198" s="10"/>
      <c r="J198" s="11"/>
      <c r="K198" s="11">
        <f t="shared" si="198"/>
        <v>0</v>
      </c>
      <c r="L198" s="37">
        <f t="shared" si="199"/>
        <v>0</v>
      </c>
      <c r="M198" s="11"/>
      <c r="N198" s="10"/>
      <c r="O198" s="21"/>
      <c r="P198" s="21"/>
      <c r="Q198" s="21"/>
      <c r="R198" s="23"/>
      <c r="S198" s="50"/>
      <c r="T198" s="48"/>
      <c r="U198" s="82"/>
      <c r="V198" s="26"/>
      <c r="W198" s="200"/>
      <c r="X198" s="17"/>
    </row>
    <row r="199" spans="2:24" x14ac:dyDescent="0.25">
      <c r="B199" s="17">
        <v>197</v>
      </c>
      <c r="C199" s="10"/>
      <c r="D199" s="10"/>
      <c r="E199" s="72"/>
      <c r="F199" s="18"/>
      <c r="G199" s="10"/>
      <c r="H199" s="10"/>
      <c r="I199" s="10"/>
      <c r="J199" s="11"/>
      <c r="K199" s="11">
        <f t="shared" si="198"/>
        <v>0</v>
      </c>
      <c r="L199" s="37">
        <f t="shared" si="199"/>
        <v>0</v>
      </c>
      <c r="M199" s="11"/>
      <c r="N199" s="10"/>
      <c r="O199" s="21"/>
      <c r="P199" s="21"/>
      <c r="Q199" s="21"/>
      <c r="R199" s="23"/>
      <c r="S199" s="50"/>
      <c r="T199" s="48"/>
      <c r="U199" s="82"/>
      <c r="V199" s="26"/>
      <c r="W199" s="200"/>
      <c r="X199" s="17"/>
    </row>
    <row r="200" spans="2:24" x14ac:dyDescent="0.25">
      <c r="B200" s="17">
        <v>198</v>
      </c>
      <c r="C200" s="10"/>
      <c r="D200" s="10"/>
      <c r="E200" s="72"/>
      <c r="F200" s="18"/>
      <c r="G200" s="10"/>
      <c r="H200" s="10"/>
      <c r="I200" s="10"/>
      <c r="J200" s="11"/>
      <c r="K200" s="11">
        <f t="shared" si="198"/>
        <v>0</v>
      </c>
      <c r="L200" s="37">
        <f t="shared" si="199"/>
        <v>0</v>
      </c>
      <c r="M200" s="11"/>
      <c r="N200" s="10"/>
      <c r="O200" s="21"/>
      <c r="P200" s="21"/>
      <c r="Q200" s="21"/>
      <c r="R200" s="23"/>
      <c r="S200" s="50"/>
      <c r="T200" s="48"/>
      <c r="U200" s="82"/>
      <c r="V200" s="32"/>
      <c r="W200" s="200"/>
      <c r="X200" s="17"/>
    </row>
    <row r="201" spans="2:24" x14ac:dyDescent="0.25">
      <c r="B201" s="17">
        <v>199</v>
      </c>
      <c r="C201" s="10"/>
      <c r="D201" s="10"/>
      <c r="E201" s="72"/>
      <c r="F201" s="18"/>
      <c r="G201" s="10"/>
      <c r="H201" s="10"/>
      <c r="I201" s="10"/>
      <c r="J201" s="11"/>
      <c r="K201" s="11">
        <f t="shared" si="198"/>
        <v>0</v>
      </c>
      <c r="L201" s="37">
        <f t="shared" si="199"/>
        <v>0</v>
      </c>
      <c r="M201" s="11"/>
      <c r="N201" s="10"/>
      <c r="O201" s="21"/>
      <c r="P201" s="21"/>
      <c r="Q201" s="21"/>
      <c r="R201" s="23"/>
      <c r="S201" s="50"/>
      <c r="T201" s="48"/>
      <c r="U201" s="82"/>
      <c r="V201" s="32"/>
      <c r="W201" s="200"/>
      <c r="X201" s="17"/>
    </row>
    <row r="202" spans="2:24" x14ac:dyDescent="0.25">
      <c r="B202" s="17">
        <v>200</v>
      </c>
      <c r="C202" s="10"/>
      <c r="D202" s="10"/>
      <c r="E202" s="72"/>
      <c r="F202" s="18"/>
      <c r="G202" s="10"/>
      <c r="H202" s="10"/>
      <c r="I202" s="10"/>
      <c r="J202" s="11"/>
      <c r="K202" s="11">
        <f t="shared" si="198"/>
        <v>0</v>
      </c>
      <c r="L202" s="37">
        <f t="shared" si="199"/>
        <v>0</v>
      </c>
      <c r="M202" s="11"/>
      <c r="N202" s="10"/>
      <c r="O202" s="21"/>
      <c r="P202" s="21"/>
      <c r="Q202" s="21"/>
      <c r="R202" s="23"/>
      <c r="S202" s="50"/>
      <c r="T202" s="48"/>
      <c r="U202" s="82"/>
      <c r="V202" s="32"/>
      <c r="W202" s="200"/>
      <c r="X202" s="17"/>
    </row>
    <row r="203" spans="2:24" x14ac:dyDescent="0.25">
      <c r="B203" s="17">
        <v>201</v>
      </c>
      <c r="C203" s="10"/>
      <c r="D203" s="10"/>
      <c r="E203" s="72"/>
      <c r="F203" s="18"/>
      <c r="G203" s="10"/>
      <c r="H203" s="10"/>
      <c r="I203" s="10"/>
      <c r="J203" s="11"/>
      <c r="K203" s="11">
        <f t="shared" si="198"/>
        <v>0</v>
      </c>
      <c r="L203" s="37">
        <f t="shared" si="199"/>
        <v>0</v>
      </c>
      <c r="M203" s="11"/>
      <c r="N203" s="10"/>
      <c r="O203" s="21"/>
      <c r="P203" s="21"/>
      <c r="Q203" s="21"/>
      <c r="R203" s="23"/>
      <c r="S203" s="50"/>
      <c r="T203" s="48"/>
      <c r="U203" s="82"/>
      <c r="V203" s="32"/>
      <c r="W203" s="200"/>
      <c r="X203" s="17"/>
    </row>
    <row r="204" spans="2:24" x14ac:dyDescent="0.25">
      <c r="B204" s="17">
        <v>202</v>
      </c>
      <c r="C204" s="10"/>
      <c r="D204" s="10"/>
      <c r="E204" s="72"/>
      <c r="F204" s="18"/>
      <c r="G204" s="10"/>
      <c r="H204" s="10"/>
      <c r="I204" s="10"/>
      <c r="J204" s="11"/>
      <c r="K204" s="11">
        <f t="shared" si="198"/>
        <v>0</v>
      </c>
      <c r="L204" s="37">
        <f t="shared" si="199"/>
        <v>0</v>
      </c>
      <c r="M204" s="11"/>
      <c r="N204" s="10"/>
      <c r="O204" s="21"/>
      <c r="P204" s="21"/>
      <c r="Q204" s="21"/>
      <c r="R204" s="23"/>
      <c r="S204" s="50"/>
      <c r="T204" s="48"/>
      <c r="U204" s="82"/>
      <c r="V204" s="26"/>
      <c r="W204" s="200"/>
      <c r="X204" s="17"/>
    </row>
    <row r="205" spans="2:24" x14ac:dyDescent="0.25">
      <c r="B205" s="17">
        <v>203</v>
      </c>
      <c r="C205" s="10"/>
      <c r="D205" s="10"/>
      <c r="E205" s="72"/>
      <c r="F205" s="18"/>
      <c r="G205" s="10"/>
      <c r="H205" s="10"/>
      <c r="I205" s="10"/>
      <c r="J205" s="11"/>
      <c r="K205" s="11">
        <f t="shared" si="198"/>
        <v>0</v>
      </c>
      <c r="L205" s="37">
        <f t="shared" si="199"/>
        <v>0</v>
      </c>
      <c r="M205" s="11"/>
      <c r="N205" s="10"/>
      <c r="O205" s="21"/>
      <c r="P205" s="21"/>
      <c r="Q205" s="21"/>
      <c r="R205" s="23"/>
      <c r="S205" s="50"/>
      <c r="T205" s="48"/>
      <c r="U205" s="82"/>
      <c r="V205" s="26"/>
      <c r="W205" s="200"/>
      <c r="X205" s="17"/>
    </row>
    <row r="206" spans="2:24" x14ac:dyDescent="0.25">
      <c r="B206" s="17">
        <v>204</v>
      </c>
      <c r="C206" s="10"/>
      <c r="D206" s="10"/>
      <c r="E206" s="72"/>
      <c r="F206" s="18"/>
      <c r="G206" s="10"/>
      <c r="H206" s="10"/>
      <c r="I206" s="10"/>
      <c r="J206" s="11"/>
      <c r="K206" s="11">
        <f t="shared" si="198"/>
        <v>0</v>
      </c>
      <c r="L206" s="37">
        <f t="shared" si="199"/>
        <v>0</v>
      </c>
      <c r="M206" s="11"/>
      <c r="N206" s="10"/>
      <c r="O206" s="21"/>
      <c r="P206" s="21"/>
      <c r="Q206" s="21"/>
      <c r="R206" s="23"/>
      <c r="S206" s="50"/>
      <c r="T206" s="48"/>
      <c r="U206" s="82"/>
      <c r="V206" s="26"/>
      <c r="W206" s="200"/>
      <c r="X206" s="17"/>
    </row>
    <row r="207" spans="2:24" x14ac:dyDescent="0.25">
      <c r="B207" s="17">
        <v>205</v>
      </c>
      <c r="C207" s="10"/>
      <c r="D207" s="10"/>
      <c r="E207" s="72"/>
      <c r="F207" s="18"/>
      <c r="G207" s="10"/>
      <c r="H207" s="10"/>
      <c r="I207" s="10"/>
      <c r="J207" s="11"/>
      <c r="K207" s="11">
        <f t="shared" si="198"/>
        <v>0</v>
      </c>
      <c r="L207" s="37">
        <f t="shared" si="199"/>
        <v>0</v>
      </c>
      <c r="M207" s="11"/>
      <c r="N207" s="10"/>
      <c r="O207" s="21"/>
      <c r="P207" s="21"/>
      <c r="Q207" s="21"/>
      <c r="R207" s="23"/>
      <c r="S207" s="50"/>
      <c r="T207" s="48"/>
      <c r="U207" s="82"/>
      <c r="V207" s="26"/>
      <c r="W207" s="200"/>
      <c r="X207" s="17"/>
    </row>
    <row r="208" spans="2:24" x14ac:dyDescent="0.25">
      <c r="B208" s="17">
        <v>206</v>
      </c>
      <c r="C208" s="10"/>
      <c r="D208" s="10"/>
      <c r="E208" s="72"/>
      <c r="F208" s="18"/>
      <c r="G208" s="10"/>
      <c r="H208" s="10"/>
      <c r="I208" s="10"/>
      <c r="J208" s="11"/>
      <c r="K208" s="11">
        <f t="shared" si="198"/>
        <v>0</v>
      </c>
      <c r="L208" s="37">
        <f t="shared" si="199"/>
        <v>0</v>
      </c>
      <c r="M208" s="11"/>
      <c r="N208" s="10"/>
      <c r="O208" s="21"/>
      <c r="P208" s="21"/>
      <c r="Q208" s="21"/>
      <c r="R208" s="23"/>
      <c r="S208" s="50"/>
      <c r="T208" s="48"/>
      <c r="U208" s="82"/>
      <c r="V208" s="26"/>
      <c r="W208" s="200"/>
      <c r="X208" s="17"/>
    </row>
    <row r="209" spans="2:24" x14ac:dyDescent="0.25">
      <c r="B209" s="17">
        <v>207</v>
      </c>
      <c r="C209" s="10"/>
      <c r="D209" s="10"/>
      <c r="E209" s="72"/>
      <c r="F209" s="18"/>
      <c r="G209" s="10"/>
      <c r="H209" s="10"/>
      <c r="I209" s="10"/>
      <c r="J209" s="11"/>
      <c r="K209" s="11">
        <f t="shared" si="198"/>
        <v>0</v>
      </c>
      <c r="L209" s="37">
        <f t="shared" si="199"/>
        <v>0</v>
      </c>
      <c r="M209" s="11"/>
      <c r="N209" s="10"/>
      <c r="O209" s="21"/>
      <c r="P209" s="21"/>
      <c r="Q209" s="21"/>
      <c r="R209" s="23"/>
      <c r="S209" s="50"/>
      <c r="T209" s="48"/>
      <c r="U209" s="82"/>
      <c r="V209" s="32"/>
      <c r="W209" s="200"/>
      <c r="X209" s="17"/>
    </row>
    <row r="210" spans="2:24" x14ac:dyDescent="0.25">
      <c r="B210" s="17">
        <v>208</v>
      </c>
      <c r="C210" s="10"/>
      <c r="D210" s="10"/>
      <c r="E210" s="72"/>
      <c r="F210" s="18"/>
      <c r="G210" s="10"/>
      <c r="H210" s="10"/>
      <c r="I210" s="10"/>
      <c r="J210" s="11"/>
      <c r="K210" s="11">
        <f t="shared" si="198"/>
        <v>0</v>
      </c>
      <c r="L210" s="37">
        <f t="shared" si="199"/>
        <v>0</v>
      </c>
      <c r="M210" s="11"/>
      <c r="N210" s="10"/>
      <c r="O210" s="21"/>
      <c r="P210" s="21"/>
      <c r="Q210" s="21"/>
      <c r="R210" s="23"/>
      <c r="S210" s="50"/>
      <c r="T210" s="48"/>
      <c r="U210" s="82"/>
      <c r="V210" s="32"/>
      <c r="W210" s="200"/>
      <c r="X210" s="17"/>
    </row>
    <row r="211" spans="2:24" x14ac:dyDescent="0.25">
      <c r="B211" s="17">
        <v>209</v>
      </c>
      <c r="C211" s="10"/>
      <c r="D211" s="10"/>
      <c r="E211" s="72"/>
      <c r="F211" s="18"/>
      <c r="G211" s="10"/>
      <c r="H211" s="10"/>
      <c r="I211" s="10"/>
      <c r="J211" s="11"/>
      <c r="K211" s="11">
        <f t="shared" si="198"/>
        <v>0</v>
      </c>
      <c r="L211" s="37">
        <f t="shared" si="199"/>
        <v>0</v>
      </c>
      <c r="M211" s="11"/>
      <c r="N211" s="10"/>
      <c r="O211" s="21"/>
      <c r="P211" s="21"/>
      <c r="Q211" s="21"/>
      <c r="R211" s="23"/>
      <c r="S211" s="50"/>
      <c r="T211" s="48"/>
      <c r="U211" s="82"/>
      <c r="V211" s="26"/>
      <c r="W211" s="200"/>
      <c r="X211" s="17"/>
    </row>
    <row r="212" spans="2:24" x14ac:dyDescent="0.25">
      <c r="B212" s="17">
        <v>210</v>
      </c>
      <c r="C212" s="10"/>
      <c r="D212" s="10"/>
      <c r="E212" s="72"/>
      <c r="F212" s="18"/>
      <c r="G212" s="10"/>
      <c r="H212" s="10"/>
      <c r="I212" s="10"/>
      <c r="J212" s="11"/>
      <c r="K212" s="11">
        <f t="shared" si="198"/>
        <v>0</v>
      </c>
      <c r="L212" s="37">
        <f t="shared" si="199"/>
        <v>0</v>
      </c>
      <c r="M212" s="11"/>
      <c r="N212" s="10"/>
      <c r="O212" s="21"/>
      <c r="P212" s="21"/>
      <c r="Q212" s="21"/>
      <c r="R212" s="23"/>
      <c r="S212" s="50"/>
      <c r="T212" s="48"/>
      <c r="U212" s="82"/>
      <c r="V212" s="26"/>
      <c r="W212" s="200"/>
      <c r="X212" s="17"/>
    </row>
    <row r="213" spans="2:24" x14ac:dyDescent="0.25">
      <c r="B213" s="17">
        <v>211</v>
      </c>
      <c r="C213" s="10"/>
      <c r="D213" s="10"/>
      <c r="E213" s="72"/>
      <c r="F213" s="18"/>
      <c r="G213" s="10"/>
      <c r="H213" s="10"/>
      <c r="I213" s="10"/>
      <c r="J213" s="11"/>
      <c r="K213" s="11">
        <f t="shared" si="198"/>
        <v>0</v>
      </c>
      <c r="L213" s="37">
        <f t="shared" si="199"/>
        <v>0</v>
      </c>
      <c r="M213" s="11"/>
      <c r="N213" s="10"/>
      <c r="O213" s="21"/>
      <c r="P213" s="21"/>
      <c r="Q213" s="21"/>
      <c r="R213" s="23"/>
      <c r="S213" s="50"/>
      <c r="T213" s="48"/>
      <c r="U213" s="82"/>
      <c r="V213" s="26"/>
      <c r="W213" s="200"/>
      <c r="X213" s="17"/>
    </row>
    <row r="214" spans="2:24" x14ac:dyDescent="0.25">
      <c r="B214" s="17">
        <v>212</v>
      </c>
      <c r="C214" s="10"/>
      <c r="D214" s="10"/>
      <c r="E214" s="72"/>
      <c r="F214" s="18"/>
      <c r="G214" s="10"/>
      <c r="H214" s="10"/>
      <c r="I214" s="10"/>
      <c r="J214" s="11"/>
      <c r="K214" s="11">
        <f t="shared" si="198"/>
        <v>0</v>
      </c>
      <c r="L214" s="37">
        <f t="shared" si="199"/>
        <v>0</v>
      </c>
      <c r="M214" s="11"/>
      <c r="N214" s="10"/>
      <c r="O214" s="21"/>
      <c r="P214" s="21"/>
      <c r="Q214" s="21"/>
      <c r="R214" s="23"/>
      <c r="S214" s="50"/>
      <c r="T214" s="48"/>
      <c r="U214" s="82"/>
      <c r="V214" s="26"/>
      <c r="W214" s="200"/>
      <c r="X214" s="17"/>
    </row>
    <row r="215" spans="2:24" x14ac:dyDescent="0.25">
      <c r="B215" s="17">
        <v>213</v>
      </c>
      <c r="C215" s="10"/>
      <c r="D215" s="10"/>
      <c r="E215" s="72"/>
      <c r="F215" s="18"/>
      <c r="G215" s="10"/>
      <c r="H215" s="10"/>
      <c r="I215" s="10"/>
      <c r="J215" s="11"/>
      <c r="K215" s="11">
        <f t="shared" si="198"/>
        <v>0</v>
      </c>
      <c r="L215" s="37">
        <f t="shared" si="199"/>
        <v>0</v>
      </c>
      <c r="M215" s="11"/>
      <c r="N215" s="10"/>
      <c r="O215" s="21"/>
      <c r="P215" s="21"/>
      <c r="Q215" s="21"/>
      <c r="R215" s="23"/>
      <c r="S215" s="50"/>
      <c r="T215" s="48"/>
      <c r="U215" s="82"/>
      <c r="V215" s="26"/>
      <c r="W215" s="200"/>
      <c r="X215" s="17"/>
    </row>
    <row r="216" spans="2:24" x14ac:dyDescent="0.25">
      <c r="B216" s="17">
        <v>214</v>
      </c>
      <c r="C216" s="10"/>
      <c r="D216" s="10"/>
      <c r="E216" s="72"/>
      <c r="F216" s="18"/>
      <c r="G216" s="10"/>
      <c r="H216" s="10"/>
      <c r="I216" s="10"/>
      <c r="J216" s="11"/>
      <c r="K216" s="11">
        <f t="shared" si="198"/>
        <v>0</v>
      </c>
      <c r="L216" s="37">
        <f t="shared" si="199"/>
        <v>0</v>
      </c>
      <c r="M216" s="11"/>
      <c r="N216" s="10"/>
      <c r="O216" s="21"/>
      <c r="P216" s="21"/>
      <c r="Q216" s="21"/>
      <c r="R216" s="23"/>
      <c r="S216" s="50"/>
      <c r="T216" s="48"/>
      <c r="U216" s="82"/>
      <c r="V216" s="32"/>
      <c r="W216" s="200"/>
      <c r="X216" s="17"/>
    </row>
    <row r="217" spans="2:24" x14ac:dyDescent="0.25">
      <c r="B217" s="17">
        <v>215</v>
      </c>
      <c r="C217" s="10"/>
      <c r="D217" s="10"/>
      <c r="E217" s="72"/>
      <c r="F217" s="18"/>
      <c r="G217" s="10"/>
      <c r="H217" s="10"/>
      <c r="I217" s="10"/>
      <c r="J217" s="11"/>
      <c r="K217" s="11">
        <f t="shared" si="198"/>
        <v>0</v>
      </c>
      <c r="L217" s="37">
        <f t="shared" si="199"/>
        <v>0</v>
      </c>
      <c r="M217" s="11"/>
      <c r="N217" s="10"/>
      <c r="O217" s="21"/>
      <c r="P217" s="21"/>
      <c r="Q217" s="21"/>
      <c r="R217" s="23"/>
      <c r="S217" s="50"/>
      <c r="T217" s="48"/>
      <c r="U217" s="82"/>
      <c r="V217" s="32"/>
      <c r="W217" s="200"/>
      <c r="X217" s="17"/>
    </row>
    <row r="218" spans="2:24" x14ac:dyDescent="0.25">
      <c r="B218" s="17">
        <v>216</v>
      </c>
      <c r="C218" s="10"/>
      <c r="D218" s="10"/>
      <c r="E218" s="72"/>
      <c r="F218" s="18"/>
      <c r="G218" s="10"/>
      <c r="H218" s="10"/>
      <c r="I218" s="10"/>
      <c r="J218" s="11"/>
      <c r="K218" s="11">
        <f t="shared" si="198"/>
        <v>0</v>
      </c>
      <c r="L218" s="37">
        <f t="shared" si="199"/>
        <v>0</v>
      </c>
      <c r="M218" s="11"/>
      <c r="N218" s="10"/>
      <c r="O218" s="21"/>
      <c r="P218" s="21"/>
      <c r="Q218" s="21"/>
      <c r="R218" s="23"/>
      <c r="S218" s="50"/>
      <c r="T218" s="48"/>
      <c r="U218" s="82"/>
      <c r="V218" s="32"/>
      <c r="W218" s="200"/>
      <c r="X218" s="17"/>
    </row>
    <row r="219" spans="2:24" x14ac:dyDescent="0.25">
      <c r="B219" s="17">
        <v>217</v>
      </c>
      <c r="C219" s="10"/>
      <c r="D219" s="10"/>
      <c r="E219" s="72"/>
      <c r="F219" s="18"/>
      <c r="G219" s="10"/>
      <c r="H219" s="10"/>
      <c r="I219" s="10"/>
      <c r="J219" s="11"/>
      <c r="K219" s="11">
        <f t="shared" si="198"/>
        <v>0</v>
      </c>
      <c r="L219" s="37">
        <f t="shared" si="199"/>
        <v>0</v>
      </c>
      <c r="M219" s="11"/>
      <c r="N219" s="10"/>
      <c r="O219" s="21"/>
      <c r="P219" s="21"/>
      <c r="Q219" s="21"/>
      <c r="R219" s="23"/>
      <c r="S219" s="50"/>
      <c r="T219" s="48"/>
      <c r="U219" s="82"/>
      <c r="V219" s="32"/>
      <c r="W219" s="200"/>
      <c r="X219" s="17"/>
    </row>
    <row r="220" spans="2:24" x14ac:dyDescent="0.25">
      <c r="B220" s="17">
        <v>218</v>
      </c>
      <c r="C220" s="10"/>
      <c r="D220" s="10"/>
      <c r="E220" s="72"/>
      <c r="F220" s="18"/>
      <c r="G220" s="10"/>
      <c r="H220" s="10"/>
      <c r="I220" s="10"/>
      <c r="J220" s="11"/>
      <c r="K220" s="11">
        <f t="shared" si="198"/>
        <v>0</v>
      </c>
      <c r="L220" s="37">
        <f t="shared" si="199"/>
        <v>0</v>
      </c>
      <c r="M220" s="11"/>
      <c r="N220" s="10"/>
      <c r="O220" s="21"/>
      <c r="P220" s="21"/>
      <c r="Q220" s="21"/>
      <c r="R220" s="23"/>
      <c r="S220" s="50"/>
      <c r="T220" s="48"/>
      <c r="U220" s="82"/>
      <c r="V220" s="26"/>
      <c r="W220" s="200"/>
      <c r="X220" s="17"/>
    </row>
    <row r="221" spans="2:24" x14ac:dyDescent="0.25">
      <c r="B221" s="17">
        <v>219</v>
      </c>
      <c r="C221" s="10"/>
      <c r="D221" s="10"/>
      <c r="E221" s="72"/>
      <c r="F221" s="18"/>
      <c r="G221" s="10"/>
      <c r="H221" s="10"/>
      <c r="I221" s="10"/>
      <c r="J221" s="11"/>
      <c r="K221" s="11">
        <f t="shared" si="198"/>
        <v>0</v>
      </c>
      <c r="L221" s="37">
        <f t="shared" si="199"/>
        <v>0</v>
      </c>
      <c r="M221" s="11"/>
      <c r="N221" s="10"/>
      <c r="O221" s="21"/>
      <c r="P221" s="21"/>
      <c r="Q221" s="21"/>
      <c r="R221" s="23"/>
      <c r="S221" s="50"/>
      <c r="T221" s="48"/>
      <c r="U221" s="82"/>
      <c r="V221" s="26"/>
      <c r="W221" s="200"/>
      <c r="X221" s="17"/>
    </row>
    <row r="222" spans="2:24" x14ac:dyDescent="0.25">
      <c r="B222" s="17">
        <v>220</v>
      </c>
      <c r="C222" s="10"/>
      <c r="D222" s="10"/>
      <c r="E222" s="72"/>
      <c r="F222" s="18"/>
      <c r="G222" s="10"/>
      <c r="H222" s="10"/>
      <c r="I222" s="10"/>
      <c r="J222" s="11"/>
      <c r="K222" s="11">
        <f t="shared" si="198"/>
        <v>0</v>
      </c>
      <c r="L222" s="37">
        <f t="shared" si="199"/>
        <v>0</v>
      </c>
      <c r="M222" s="11"/>
      <c r="N222" s="10"/>
      <c r="O222" s="21"/>
      <c r="P222" s="21"/>
      <c r="Q222" s="21"/>
      <c r="R222" s="23"/>
      <c r="S222" s="50"/>
      <c r="T222" s="48"/>
      <c r="U222" s="82"/>
      <c r="V222" s="26"/>
      <c r="W222" s="200"/>
      <c r="X222" s="17"/>
    </row>
    <row r="223" spans="2:24" x14ac:dyDescent="0.25">
      <c r="B223" s="17">
        <v>221</v>
      </c>
      <c r="C223" s="10"/>
      <c r="D223" s="10"/>
      <c r="E223" s="72"/>
      <c r="F223" s="18"/>
      <c r="G223" s="10"/>
      <c r="H223" s="10"/>
      <c r="I223" s="10"/>
      <c r="J223" s="11"/>
      <c r="K223" s="11">
        <f t="shared" si="198"/>
        <v>0</v>
      </c>
      <c r="L223" s="37">
        <f t="shared" si="199"/>
        <v>0</v>
      </c>
      <c r="M223" s="11"/>
      <c r="N223" s="10"/>
      <c r="O223" s="21"/>
      <c r="P223" s="21"/>
      <c r="Q223" s="21"/>
      <c r="R223" s="23"/>
      <c r="S223" s="50"/>
      <c r="T223" s="48"/>
      <c r="U223" s="82"/>
      <c r="V223" s="26"/>
      <c r="W223" s="200"/>
      <c r="X223" s="17"/>
    </row>
    <row r="224" spans="2:24" x14ac:dyDescent="0.25">
      <c r="B224" s="17">
        <v>222</v>
      </c>
      <c r="C224" s="10"/>
      <c r="D224" s="10"/>
      <c r="E224" s="72"/>
      <c r="F224" s="18"/>
      <c r="G224" s="10"/>
      <c r="H224" s="10"/>
      <c r="I224" s="10"/>
      <c r="J224" s="11"/>
      <c r="K224" s="11">
        <f t="shared" si="198"/>
        <v>0</v>
      </c>
      <c r="L224" s="37">
        <f t="shared" si="199"/>
        <v>0</v>
      </c>
      <c r="M224" s="11"/>
      <c r="N224" s="10"/>
      <c r="O224" s="21"/>
      <c r="P224" s="21"/>
      <c r="Q224" s="21"/>
      <c r="R224" s="23"/>
      <c r="S224" s="50"/>
      <c r="T224" s="48"/>
      <c r="U224" s="82"/>
      <c r="V224" s="26"/>
      <c r="W224" s="200"/>
      <c r="X224" s="17"/>
    </row>
    <row r="225" spans="2:24" x14ac:dyDescent="0.25">
      <c r="B225" s="17">
        <v>223</v>
      </c>
      <c r="C225" s="10"/>
      <c r="D225" s="10"/>
      <c r="E225" s="72"/>
      <c r="F225" s="18"/>
      <c r="G225" s="10"/>
      <c r="H225" s="10"/>
      <c r="I225" s="10"/>
      <c r="J225" s="11"/>
      <c r="K225" s="11">
        <f t="shared" si="198"/>
        <v>0</v>
      </c>
      <c r="L225" s="37">
        <f t="shared" si="199"/>
        <v>0</v>
      </c>
      <c r="M225" s="11"/>
      <c r="N225" s="10"/>
      <c r="O225" s="21"/>
      <c r="P225" s="21"/>
      <c r="Q225" s="21"/>
      <c r="R225" s="23"/>
      <c r="S225" s="50"/>
      <c r="T225" s="48"/>
      <c r="U225" s="82"/>
      <c r="V225" s="32"/>
      <c r="W225" s="200"/>
      <c r="X225" s="17"/>
    </row>
    <row r="226" spans="2:24" x14ac:dyDescent="0.25">
      <c r="B226" s="17">
        <v>224</v>
      </c>
      <c r="C226" s="10"/>
      <c r="D226" s="10"/>
      <c r="E226" s="72"/>
      <c r="F226" s="18"/>
      <c r="G226" s="10"/>
      <c r="H226" s="10"/>
      <c r="I226" s="10"/>
      <c r="J226" s="11"/>
      <c r="K226" s="11">
        <f t="shared" si="198"/>
        <v>0</v>
      </c>
      <c r="L226" s="37">
        <f t="shared" si="199"/>
        <v>0</v>
      </c>
      <c r="M226" s="11"/>
      <c r="N226" s="10"/>
      <c r="O226" s="21"/>
      <c r="P226" s="21"/>
      <c r="Q226" s="21"/>
      <c r="R226" s="23"/>
      <c r="S226" s="50"/>
      <c r="T226" s="48"/>
      <c r="U226" s="82"/>
      <c r="V226" s="32"/>
      <c r="W226" s="200"/>
      <c r="X226" s="17"/>
    </row>
    <row r="227" spans="2:24" x14ac:dyDescent="0.25">
      <c r="B227" s="17">
        <v>225</v>
      </c>
      <c r="C227" s="10"/>
      <c r="D227" s="10"/>
      <c r="E227" s="72"/>
      <c r="F227" s="18"/>
      <c r="G227" s="10"/>
      <c r="H227" s="10"/>
      <c r="I227" s="10"/>
      <c r="J227" s="11"/>
      <c r="K227" s="11">
        <f t="shared" si="198"/>
        <v>0</v>
      </c>
      <c r="L227" s="37">
        <f t="shared" si="199"/>
        <v>0</v>
      </c>
      <c r="M227" s="11"/>
      <c r="N227" s="10"/>
      <c r="O227" s="21"/>
      <c r="P227" s="21"/>
      <c r="Q227" s="21"/>
      <c r="R227" s="23"/>
      <c r="S227" s="50"/>
      <c r="T227" s="48"/>
      <c r="U227" s="82"/>
      <c r="V227" s="26"/>
      <c r="W227" s="200"/>
      <c r="X227" s="17"/>
    </row>
    <row r="228" spans="2:24" x14ac:dyDescent="0.25">
      <c r="B228" s="17">
        <v>226</v>
      </c>
      <c r="C228" s="10"/>
      <c r="D228" s="10"/>
      <c r="E228" s="72"/>
      <c r="F228" s="18"/>
      <c r="G228" s="10"/>
      <c r="H228" s="10"/>
      <c r="I228" s="10"/>
      <c r="J228" s="11"/>
      <c r="K228" s="11">
        <f t="shared" si="198"/>
        <v>0</v>
      </c>
      <c r="L228" s="37">
        <f t="shared" si="199"/>
        <v>0</v>
      </c>
      <c r="M228" s="11"/>
      <c r="N228" s="10"/>
      <c r="O228" s="21"/>
      <c r="P228" s="21"/>
      <c r="Q228" s="21"/>
      <c r="R228" s="23"/>
      <c r="S228" s="50"/>
      <c r="T228" s="48"/>
      <c r="U228" s="82"/>
      <c r="V228" s="26"/>
      <c r="W228" s="200"/>
      <c r="X228" s="17"/>
    </row>
    <row r="229" spans="2:24" x14ac:dyDescent="0.25">
      <c r="B229" s="17">
        <v>227</v>
      </c>
      <c r="C229" s="10"/>
      <c r="D229" s="10"/>
      <c r="E229" s="72"/>
      <c r="F229" s="18"/>
      <c r="G229" s="10"/>
      <c r="H229" s="10"/>
      <c r="I229" s="10"/>
      <c r="J229" s="11"/>
      <c r="K229" s="11">
        <f t="shared" si="198"/>
        <v>0</v>
      </c>
      <c r="L229" s="37">
        <f t="shared" si="199"/>
        <v>0</v>
      </c>
      <c r="M229" s="11"/>
      <c r="N229" s="10"/>
      <c r="O229" s="21"/>
      <c r="P229" s="21"/>
      <c r="Q229" s="21"/>
      <c r="R229" s="23"/>
      <c r="S229" s="50"/>
      <c r="T229" s="48"/>
      <c r="U229" s="82"/>
      <c r="V229" s="26"/>
      <c r="W229" s="200"/>
      <c r="X229" s="17"/>
    </row>
    <row r="230" spans="2:24" x14ac:dyDescent="0.25">
      <c r="B230" s="17">
        <v>228</v>
      </c>
      <c r="C230" s="10"/>
      <c r="D230" s="10"/>
      <c r="E230" s="72"/>
      <c r="F230" s="18"/>
      <c r="G230" s="10"/>
      <c r="H230" s="10"/>
      <c r="I230" s="10"/>
      <c r="J230" s="11"/>
      <c r="K230" s="11">
        <f t="shared" si="198"/>
        <v>0</v>
      </c>
      <c r="L230" s="37">
        <f t="shared" si="199"/>
        <v>0</v>
      </c>
      <c r="M230" s="11"/>
      <c r="N230" s="10"/>
      <c r="O230" s="21"/>
      <c r="P230" s="21"/>
      <c r="Q230" s="21"/>
      <c r="R230" s="23"/>
      <c r="S230" s="50"/>
      <c r="T230" s="48"/>
      <c r="U230" s="82"/>
      <c r="V230" s="26"/>
      <c r="W230" s="200"/>
      <c r="X230" s="17"/>
    </row>
    <row r="231" spans="2:24" x14ac:dyDescent="0.25">
      <c r="B231" s="17">
        <v>229</v>
      </c>
      <c r="C231" s="10"/>
      <c r="D231" s="10"/>
      <c r="E231" s="72"/>
      <c r="F231" s="18"/>
      <c r="G231" s="10"/>
      <c r="H231" s="10"/>
      <c r="I231" s="10"/>
      <c r="J231" s="11"/>
      <c r="K231" s="11">
        <f t="shared" si="198"/>
        <v>0</v>
      </c>
      <c r="L231" s="37">
        <f t="shared" si="199"/>
        <v>0</v>
      </c>
      <c r="M231" s="11"/>
      <c r="N231" s="10"/>
      <c r="O231" s="21"/>
      <c r="P231" s="21"/>
      <c r="Q231" s="21"/>
      <c r="R231" s="23"/>
      <c r="S231" s="50"/>
      <c r="T231" s="48"/>
      <c r="U231" s="82"/>
      <c r="V231" s="32"/>
      <c r="W231" s="200"/>
      <c r="X231" s="17"/>
    </row>
    <row r="232" spans="2:24" x14ac:dyDescent="0.25">
      <c r="B232" s="17">
        <v>230</v>
      </c>
      <c r="C232" s="10"/>
      <c r="D232" s="10"/>
      <c r="E232" s="72"/>
      <c r="F232" s="18"/>
      <c r="G232" s="10"/>
      <c r="H232" s="10"/>
      <c r="I232" s="10"/>
      <c r="J232" s="11"/>
      <c r="K232" s="11">
        <f t="shared" si="198"/>
        <v>0</v>
      </c>
      <c r="L232" s="37">
        <f t="shared" si="199"/>
        <v>0</v>
      </c>
      <c r="M232" s="11"/>
      <c r="N232" s="10"/>
      <c r="O232" s="21"/>
      <c r="P232" s="21"/>
      <c r="Q232" s="21"/>
      <c r="R232" s="23"/>
      <c r="S232" s="50"/>
      <c r="T232" s="48"/>
      <c r="U232" s="82"/>
      <c r="V232" s="32"/>
      <c r="W232" s="200"/>
      <c r="X232" s="17"/>
    </row>
    <row r="233" spans="2:24" x14ac:dyDescent="0.25">
      <c r="B233" s="17">
        <v>231</v>
      </c>
      <c r="C233" s="10"/>
      <c r="D233" s="10"/>
      <c r="E233" s="72"/>
      <c r="F233" s="18"/>
      <c r="G233" s="10"/>
      <c r="H233" s="10"/>
      <c r="I233" s="10"/>
      <c r="J233" s="11"/>
      <c r="K233" s="11">
        <f t="shared" si="198"/>
        <v>0</v>
      </c>
      <c r="L233" s="37">
        <f t="shared" si="199"/>
        <v>0</v>
      </c>
      <c r="M233" s="11"/>
      <c r="N233" s="10"/>
      <c r="O233" s="21"/>
      <c r="P233" s="21"/>
      <c r="Q233" s="21"/>
      <c r="R233" s="23"/>
      <c r="S233" s="50"/>
      <c r="T233" s="48"/>
      <c r="U233" s="82"/>
      <c r="V233" s="26"/>
      <c r="W233" s="200"/>
      <c r="X233" s="17"/>
    </row>
    <row r="234" spans="2:24" x14ac:dyDescent="0.25">
      <c r="B234" s="17">
        <v>232</v>
      </c>
      <c r="C234" s="10"/>
      <c r="D234" s="10"/>
      <c r="E234" s="72"/>
      <c r="F234" s="18"/>
      <c r="G234" s="10"/>
      <c r="H234" s="10"/>
      <c r="I234" s="10"/>
      <c r="J234" s="11"/>
      <c r="K234" s="11">
        <f t="shared" si="198"/>
        <v>0</v>
      </c>
      <c r="L234" s="37">
        <f t="shared" si="199"/>
        <v>0</v>
      </c>
      <c r="M234" s="11"/>
      <c r="N234" s="10"/>
      <c r="O234" s="21"/>
      <c r="P234" s="21"/>
      <c r="Q234" s="21"/>
      <c r="R234" s="23"/>
      <c r="S234" s="50"/>
      <c r="T234" s="48"/>
      <c r="U234" s="82"/>
      <c r="V234" s="26"/>
      <c r="W234" s="200"/>
      <c r="X234" s="17"/>
    </row>
    <row r="235" spans="2:24" x14ac:dyDescent="0.25">
      <c r="B235" s="17">
        <v>233</v>
      </c>
      <c r="C235" s="10"/>
      <c r="D235" s="10"/>
      <c r="E235" s="72"/>
      <c r="F235" s="18"/>
      <c r="G235" s="10"/>
      <c r="H235" s="10"/>
      <c r="I235" s="10"/>
      <c r="J235" s="11"/>
      <c r="K235" s="11">
        <f t="shared" si="198"/>
        <v>0</v>
      </c>
      <c r="L235" s="37">
        <f t="shared" si="199"/>
        <v>0</v>
      </c>
      <c r="M235" s="11"/>
      <c r="N235" s="10"/>
      <c r="O235" s="21"/>
      <c r="P235" s="21"/>
      <c r="Q235" s="21"/>
      <c r="R235" s="23"/>
      <c r="S235" s="50"/>
      <c r="T235" s="48"/>
      <c r="U235" s="82"/>
      <c r="V235" s="26"/>
      <c r="W235" s="200"/>
      <c r="X235" s="17"/>
    </row>
    <row r="236" spans="2:24" x14ac:dyDescent="0.25">
      <c r="B236" s="17">
        <v>234</v>
      </c>
      <c r="C236" s="10"/>
      <c r="D236" s="10"/>
      <c r="E236" s="72"/>
      <c r="F236" s="18"/>
      <c r="G236" s="10"/>
      <c r="H236" s="10"/>
      <c r="I236" s="10"/>
      <c r="J236" s="11"/>
      <c r="K236" s="11">
        <f t="shared" si="198"/>
        <v>0</v>
      </c>
      <c r="L236" s="37">
        <f t="shared" si="199"/>
        <v>0</v>
      </c>
      <c r="M236" s="11"/>
      <c r="N236" s="10"/>
      <c r="O236" s="21"/>
      <c r="P236" s="21"/>
      <c r="Q236" s="21"/>
      <c r="R236" s="23"/>
      <c r="S236" s="50"/>
      <c r="T236" s="48"/>
      <c r="U236" s="82"/>
      <c r="V236" s="26"/>
      <c r="W236" s="200"/>
      <c r="X236" s="17"/>
    </row>
    <row r="237" spans="2:24" x14ac:dyDescent="0.25">
      <c r="B237" s="17">
        <v>235</v>
      </c>
      <c r="C237" s="10"/>
      <c r="D237" s="10"/>
      <c r="E237" s="72"/>
      <c r="F237" s="18"/>
      <c r="G237" s="10"/>
      <c r="H237" s="10"/>
      <c r="I237" s="10"/>
      <c r="J237" s="11"/>
      <c r="K237" s="11">
        <f t="shared" si="198"/>
        <v>0</v>
      </c>
      <c r="L237" s="37">
        <f t="shared" si="199"/>
        <v>0</v>
      </c>
      <c r="M237" s="11"/>
      <c r="N237" s="10"/>
      <c r="O237" s="21"/>
      <c r="P237" s="21"/>
      <c r="Q237" s="21"/>
      <c r="R237" s="23"/>
      <c r="S237" s="50"/>
      <c r="T237" s="48"/>
      <c r="U237" s="82"/>
      <c r="V237" s="26"/>
      <c r="W237" s="200"/>
      <c r="X237" s="17"/>
    </row>
    <row r="238" spans="2:24" x14ac:dyDescent="0.25">
      <c r="B238" s="17">
        <v>236</v>
      </c>
      <c r="C238" s="10"/>
      <c r="D238" s="10"/>
      <c r="E238" s="72"/>
      <c r="F238" s="18"/>
      <c r="G238" s="10"/>
      <c r="H238" s="10"/>
      <c r="I238" s="10"/>
      <c r="J238" s="11"/>
      <c r="K238" s="11">
        <f t="shared" si="198"/>
        <v>0</v>
      </c>
      <c r="L238" s="37">
        <f t="shared" si="199"/>
        <v>0</v>
      </c>
      <c r="M238" s="11"/>
      <c r="N238" s="10"/>
      <c r="O238" s="21"/>
      <c r="P238" s="21"/>
      <c r="Q238" s="21"/>
      <c r="R238" s="23"/>
      <c r="S238" s="50"/>
      <c r="T238" s="48"/>
      <c r="U238" s="82"/>
      <c r="V238" s="32"/>
      <c r="W238" s="200"/>
      <c r="X238" s="17"/>
    </row>
    <row r="239" spans="2:24" x14ac:dyDescent="0.25">
      <c r="B239" s="17">
        <v>237</v>
      </c>
      <c r="C239" s="10"/>
      <c r="D239" s="10"/>
      <c r="E239" s="72"/>
      <c r="F239" s="18"/>
      <c r="G239" s="10"/>
      <c r="H239" s="10"/>
      <c r="I239" s="10"/>
      <c r="J239" s="11"/>
      <c r="K239" s="11">
        <f t="shared" si="198"/>
        <v>0</v>
      </c>
      <c r="L239" s="37">
        <f t="shared" si="199"/>
        <v>0</v>
      </c>
      <c r="M239" s="11"/>
      <c r="N239" s="10"/>
      <c r="O239" s="21"/>
      <c r="P239" s="21"/>
      <c r="Q239" s="21"/>
      <c r="R239" s="23"/>
      <c r="S239" s="50"/>
      <c r="T239" s="48"/>
      <c r="U239" s="82"/>
      <c r="V239" s="32"/>
      <c r="W239" s="200"/>
      <c r="X239" s="17"/>
    </row>
    <row r="240" spans="2:24" x14ac:dyDescent="0.25">
      <c r="B240" s="17">
        <v>238</v>
      </c>
      <c r="C240" s="10"/>
      <c r="D240" s="10"/>
      <c r="E240" s="72"/>
      <c r="F240" s="18"/>
      <c r="G240" s="10"/>
      <c r="H240" s="10"/>
      <c r="I240" s="10"/>
      <c r="J240" s="11"/>
      <c r="K240" s="11">
        <f t="shared" si="198"/>
        <v>0</v>
      </c>
      <c r="L240" s="37">
        <f t="shared" si="199"/>
        <v>0</v>
      </c>
      <c r="M240" s="11"/>
      <c r="N240" s="10"/>
      <c r="O240" s="21"/>
      <c r="P240" s="21"/>
      <c r="Q240" s="21"/>
      <c r="R240" s="23"/>
      <c r="S240" s="50"/>
      <c r="T240" s="48"/>
      <c r="U240" s="82"/>
      <c r="V240" s="26"/>
      <c r="W240" s="200"/>
      <c r="X240" s="17"/>
    </row>
    <row r="241" spans="2:24" x14ac:dyDescent="0.25">
      <c r="B241" s="17">
        <v>239</v>
      </c>
      <c r="C241" s="10"/>
      <c r="D241" s="10"/>
      <c r="E241" s="72"/>
      <c r="F241" s="18"/>
      <c r="G241" s="10"/>
      <c r="H241" s="10"/>
      <c r="I241" s="10"/>
      <c r="J241" s="11"/>
      <c r="K241" s="11">
        <f t="shared" si="198"/>
        <v>0</v>
      </c>
      <c r="L241" s="37">
        <f t="shared" si="199"/>
        <v>0</v>
      </c>
      <c r="M241" s="11"/>
      <c r="N241" s="10"/>
      <c r="O241" s="21"/>
      <c r="P241" s="21"/>
      <c r="Q241" s="21"/>
      <c r="R241" s="23"/>
      <c r="S241" s="50"/>
      <c r="T241" s="48"/>
      <c r="U241" s="82"/>
      <c r="V241" s="26"/>
      <c r="W241" s="200"/>
      <c r="X241" s="17"/>
    </row>
    <row r="242" spans="2:24" x14ac:dyDescent="0.25">
      <c r="B242" s="17">
        <v>240</v>
      </c>
      <c r="C242" s="10"/>
      <c r="D242" s="10"/>
      <c r="E242" s="72"/>
      <c r="F242" s="18"/>
      <c r="G242" s="10"/>
      <c r="H242" s="10"/>
      <c r="I242" s="10"/>
      <c r="J242" s="11"/>
      <c r="K242" s="11">
        <f t="shared" si="198"/>
        <v>0</v>
      </c>
      <c r="L242" s="37">
        <f t="shared" si="199"/>
        <v>0</v>
      </c>
      <c r="M242" s="11"/>
      <c r="N242" s="10"/>
      <c r="O242" s="21"/>
      <c r="P242" s="21"/>
      <c r="Q242" s="21"/>
      <c r="R242" s="23"/>
      <c r="S242" s="50"/>
      <c r="T242" s="48"/>
      <c r="U242" s="82"/>
      <c r="V242" s="26"/>
      <c r="W242" s="200"/>
      <c r="X242" s="17"/>
    </row>
    <row r="243" spans="2:24" x14ac:dyDescent="0.25">
      <c r="B243" s="17">
        <v>241</v>
      </c>
      <c r="C243" s="10"/>
      <c r="D243" s="10"/>
      <c r="E243" s="72"/>
      <c r="F243" s="18"/>
      <c r="G243" s="10"/>
      <c r="H243" s="10"/>
      <c r="I243" s="10"/>
      <c r="J243" s="11"/>
      <c r="K243" s="11">
        <f t="shared" si="198"/>
        <v>0</v>
      </c>
      <c r="L243" s="37">
        <f t="shared" si="199"/>
        <v>0</v>
      </c>
      <c r="M243" s="11"/>
      <c r="N243" s="10"/>
      <c r="O243" s="21"/>
      <c r="P243" s="21"/>
      <c r="Q243" s="21"/>
      <c r="R243" s="23"/>
      <c r="S243" s="50"/>
      <c r="T243" s="48"/>
      <c r="U243" s="82"/>
      <c r="V243" s="26"/>
      <c r="W243" s="200"/>
      <c r="X243" s="17"/>
    </row>
    <row r="244" spans="2:24" x14ac:dyDescent="0.25">
      <c r="B244" s="17">
        <v>242</v>
      </c>
      <c r="C244" s="10"/>
      <c r="D244" s="10"/>
      <c r="E244" s="72"/>
      <c r="F244" s="18"/>
      <c r="G244" s="10"/>
      <c r="H244" s="10"/>
      <c r="I244" s="10"/>
      <c r="J244" s="11"/>
      <c r="K244" s="11">
        <f t="shared" si="198"/>
        <v>0</v>
      </c>
      <c r="L244" s="37">
        <f t="shared" si="199"/>
        <v>0</v>
      </c>
      <c r="M244" s="11"/>
      <c r="N244" s="10"/>
      <c r="O244" s="21"/>
      <c r="P244" s="21"/>
      <c r="Q244" s="21"/>
      <c r="R244" s="23"/>
      <c r="S244" s="50"/>
      <c r="T244" s="48"/>
      <c r="U244" s="82"/>
      <c r="V244" s="26"/>
      <c r="W244" s="200"/>
      <c r="X244" s="17"/>
    </row>
    <row r="245" spans="2:24" x14ac:dyDescent="0.25">
      <c r="B245" s="17">
        <v>243</v>
      </c>
      <c r="C245" s="10"/>
      <c r="D245" s="10"/>
      <c r="E245" s="72"/>
      <c r="F245" s="18"/>
      <c r="G245" s="10"/>
      <c r="H245" s="10"/>
      <c r="I245" s="10"/>
      <c r="J245" s="11"/>
      <c r="K245" s="11">
        <f t="shared" si="198"/>
        <v>0</v>
      </c>
      <c r="L245" s="37">
        <f t="shared" si="199"/>
        <v>0</v>
      </c>
      <c r="M245" s="11"/>
      <c r="N245" s="10"/>
      <c r="O245" s="21"/>
      <c r="P245" s="21"/>
      <c r="Q245" s="21"/>
      <c r="R245" s="23"/>
      <c r="S245" s="50"/>
      <c r="T245" s="48"/>
      <c r="U245" s="82"/>
      <c r="V245" s="32"/>
      <c r="W245" s="200"/>
      <c r="X245" s="17"/>
    </row>
    <row r="246" spans="2:24" x14ac:dyDescent="0.25">
      <c r="B246" s="17">
        <v>244</v>
      </c>
      <c r="C246" s="10"/>
      <c r="D246" s="10"/>
      <c r="E246" s="72"/>
      <c r="F246" s="18"/>
      <c r="G246" s="10"/>
      <c r="H246" s="10"/>
      <c r="I246" s="10"/>
      <c r="J246" s="11"/>
      <c r="K246" s="11">
        <f t="shared" si="198"/>
        <v>0</v>
      </c>
      <c r="L246" s="37">
        <f t="shared" si="199"/>
        <v>0</v>
      </c>
      <c r="M246" s="11"/>
      <c r="N246" s="10"/>
      <c r="O246" s="21"/>
      <c r="P246" s="21"/>
      <c r="Q246" s="21"/>
      <c r="R246" s="23"/>
      <c r="S246" s="50"/>
      <c r="T246" s="48"/>
      <c r="U246" s="82"/>
      <c r="V246" s="32"/>
      <c r="W246" s="200"/>
      <c r="X246" s="17"/>
    </row>
    <row r="247" spans="2:24" x14ac:dyDescent="0.25">
      <c r="B247" s="17">
        <v>245</v>
      </c>
      <c r="C247" s="10"/>
      <c r="D247" s="10"/>
      <c r="E247" s="72"/>
      <c r="F247" s="18"/>
      <c r="G247" s="10"/>
      <c r="H247" s="10"/>
      <c r="I247" s="10"/>
      <c r="J247" s="11"/>
      <c r="K247" s="11">
        <f t="shared" si="198"/>
        <v>0</v>
      </c>
      <c r="L247" s="37">
        <f t="shared" si="199"/>
        <v>0</v>
      </c>
      <c r="M247" s="11"/>
      <c r="N247" s="10"/>
      <c r="O247" s="21"/>
      <c r="P247" s="21"/>
      <c r="Q247" s="21"/>
      <c r="R247" s="23"/>
      <c r="S247" s="50"/>
      <c r="T247" s="48"/>
      <c r="U247" s="82"/>
      <c r="V247" s="32"/>
      <c r="W247" s="200"/>
      <c r="X247" s="17"/>
    </row>
    <row r="248" spans="2:24" x14ac:dyDescent="0.25">
      <c r="B248" s="17">
        <v>246</v>
      </c>
      <c r="C248" s="10"/>
      <c r="D248" s="10"/>
      <c r="E248" s="72"/>
      <c r="F248" s="18"/>
      <c r="G248" s="10"/>
      <c r="H248" s="10"/>
      <c r="I248" s="10"/>
      <c r="J248" s="11"/>
      <c r="K248" s="11">
        <f t="shared" si="198"/>
        <v>0</v>
      </c>
      <c r="L248" s="37">
        <f t="shared" si="199"/>
        <v>0</v>
      </c>
      <c r="M248" s="11"/>
      <c r="N248" s="10"/>
      <c r="O248" s="21"/>
      <c r="P248" s="21"/>
      <c r="Q248" s="21"/>
      <c r="R248" s="23"/>
      <c r="S248" s="50"/>
      <c r="T248" s="48"/>
      <c r="U248" s="82"/>
      <c r="V248" s="32"/>
      <c r="W248" s="200"/>
      <c r="X248" s="17"/>
    </row>
    <row r="249" spans="2:24" x14ac:dyDescent="0.25">
      <c r="B249" s="17">
        <v>247</v>
      </c>
      <c r="C249" s="10"/>
      <c r="D249" s="10"/>
      <c r="E249" s="72"/>
      <c r="F249" s="18"/>
      <c r="G249" s="10"/>
      <c r="H249" s="10"/>
      <c r="I249" s="10"/>
      <c r="J249" s="11"/>
      <c r="K249" s="11">
        <f t="shared" si="198"/>
        <v>0</v>
      </c>
      <c r="L249" s="37">
        <f t="shared" si="199"/>
        <v>0</v>
      </c>
      <c r="M249" s="11"/>
      <c r="N249" s="10"/>
      <c r="O249" s="21"/>
      <c r="P249" s="21"/>
      <c r="Q249" s="21"/>
      <c r="R249" s="23"/>
      <c r="S249" s="50"/>
      <c r="T249" s="48"/>
      <c r="U249" s="82"/>
      <c r="V249" s="26"/>
      <c r="W249" s="200"/>
      <c r="X249" s="17"/>
    </row>
    <row r="250" spans="2:24" x14ac:dyDescent="0.25">
      <c r="B250" s="17">
        <v>248</v>
      </c>
      <c r="C250" s="10"/>
      <c r="D250" s="10"/>
      <c r="E250" s="72"/>
      <c r="F250" s="18"/>
      <c r="G250" s="10"/>
      <c r="H250" s="10"/>
      <c r="I250" s="10"/>
      <c r="J250" s="11"/>
      <c r="K250" s="11">
        <f t="shared" si="198"/>
        <v>0</v>
      </c>
      <c r="L250" s="37">
        <f t="shared" si="199"/>
        <v>0</v>
      </c>
      <c r="M250" s="11"/>
      <c r="N250" s="10"/>
      <c r="O250" s="21"/>
      <c r="P250" s="21"/>
      <c r="Q250" s="21"/>
      <c r="R250" s="23"/>
      <c r="S250" s="50"/>
      <c r="T250" s="48"/>
      <c r="U250" s="82"/>
      <c r="V250" s="26"/>
      <c r="W250" s="200"/>
      <c r="X250" s="17"/>
    </row>
    <row r="251" spans="2:24" x14ac:dyDescent="0.25">
      <c r="B251" s="17">
        <v>249</v>
      </c>
      <c r="C251" s="10"/>
      <c r="D251" s="10"/>
      <c r="E251" s="72"/>
      <c r="F251" s="18"/>
      <c r="G251" s="10"/>
      <c r="H251" s="10"/>
      <c r="I251" s="10"/>
      <c r="J251" s="11"/>
      <c r="K251" s="11">
        <f t="shared" si="198"/>
        <v>0</v>
      </c>
      <c r="L251" s="37">
        <f t="shared" si="199"/>
        <v>0</v>
      </c>
      <c r="M251" s="11"/>
      <c r="N251" s="10"/>
      <c r="O251" s="21"/>
      <c r="P251" s="21"/>
      <c r="Q251" s="21"/>
      <c r="R251" s="23"/>
      <c r="S251" s="50"/>
      <c r="T251" s="48"/>
      <c r="U251" s="82"/>
      <c r="V251" s="26"/>
      <c r="W251" s="200"/>
      <c r="X251" s="17"/>
    </row>
    <row r="252" spans="2:24" x14ac:dyDescent="0.25">
      <c r="B252" s="17">
        <v>250</v>
      </c>
      <c r="C252" s="10"/>
      <c r="D252" s="10"/>
      <c r="E252" s="72"/>
      <c r="F252" s="18"/>
      <c r="G252" s="10"/>
      <c r="H252" s="10"/>
      <c r="I252" s="10"/>
      <c r="J252" s="11"/>
      <c r="K252" s="11">
        <f t="shared" si="198"/>
        <v>0</v>
      </c>
      <c r="L252" s="37">
        <f t="shared" si="199"/>
        <v>0</v>
      </c>
      <c r="M252" s="11"/>
      <c r="N252" s="10"/>
      <c r="O252" s="21"/>
      <c r="P252" s="21"/>
      <c r="Q252" s="21"/>
      <c r="R252" s="23"/>
      <c r="S252" s="50"/>
      <c r="T252" s="48"/>
      <c r="U252" s="82"/>
      <c r="V252" s="26"/>
      <c r="W252" s="200"/>
      <c r="X252" s="17"/>
    </row>
    <row r="253" spans="2:24" x14ac:dyDescent="0.25">
      <c r="B253" s="17">
        <v>251</v>
      </c>
      <c r="C253" s="10"/>
      <c r="D253" s="10"/>
      <c r="E253" s="72"/>
      <c r="F253" s="18"/>
      <c r="G253" s="10"/>
      <c r="H253" s="10"/>
      <c r="I253" s="10"/>
      <c r="J253" s="11"/>
      <c r="K253" s="11">
        <f t="shared" si="198"/>
        <v>0</v>
      </c>
      <c r="L253" s="37">
        <f t="shared" si="199"/>
        <v>0</v>
      </c>
      <c r="M253" s="11"/>
      <c r="N253" s="10"/>
      <c r="O253" s="21"/>
      <c r="P253" s="21"/>
      <c r="Q253" s="21"/>
      <c r="R253" s="23"/>
      <c r="S253" s="50"/>
      <c r="T253" s="48"/>
      <c r="U253" s="82"/>
      <c r="V253" s="32"/>
      <c r="W253" s="200"/>
      <c r="X253" s="17"/>
    </row>
    <row r="254" spans="2:24" x14ac:dyDescent="0.25">
      <c r="B254" s="17">
        <v>252</v>
      </c>
      <c r="C254" s="10"/>
      <c r="D254" s="10"/>
      <c r="E254" s="72"/>
      <c r="F254" s="18"/>
      <c r="G254" s="10"/>
      <c r="H254" s="10"/>
      <c r="I254" s="10"/>
      <c r="J254" s="11"/>
      <c r="K254" s="11">
        <f t="shared" si="198"/>
        <v>0</v>
      </c>
      <c r="L254" s="37">
        <f t="shared" si="199"/>
        <v>0</v>
      </c>
      <c r="M254" s="11"/>
      <c r="N254" s="10"/>
      <c r="O254" s="21"/>
      <c r="P254" s="21"/>
      <c r="Q254" s="21"/>
      <c r="R254" s="23"/>
      <c r="S254" s="50"/>
      <c r="T254" s="48"/>
      <c r="U254" s="82"/>
      <c r="V254" s="32"/>
      <c r="W254" s="200"/>
      <c r="X254" s="17"/>
    </row>
    <row r="255" spans="2:24" x14ac:dyDescent="0.25">
      <c r="B255" s="17">
        <v>253</v>
      </c>
      <c r="C255" s="10"/>
      <c r="D255" s="10"/>
      <c r="E255" s="72"/>
      <c r="F255" s="18"/>
      <c r="G255" s="10"/>
      <c r="H255" s="10"/>
      <c r="I255" s="10"/>
      <c r="J255" s="11"/>
      <c r="K255" s="11">
        <f t="shared" si="198"/>
        <v>0</v>
      </c>
      <c r="L255" s="37">
        <f t="shared" si="199"/>
        <v>0</v>
      </c>
      <c r="M255" s="11"/>
      <c r="N255" s="10"/>
      <c r="O255" s="21"/>
      <c r="P255" s="21"/>
      <c r="Q255" s="21"/>
      <c r="R255" s="23"/>
      <c r="S255" s="50"/>
      <c r="T255" s="48"/>
      <c r="U255" s="82"/>
      <c r="V255" s="26"/>
      <c r="W255" s="200"/>
      <c r="X255" s="17"/>
    </row>
    <row r="256" spans="2:24" x14ac:dyDescent="0.25">
      <c r="B256" s="17">
        <v>254</v>
      </c>
      <c r="C256" s="10"/>
      <c r="D256" s="10"/>
      <c r="E256" s="72"/>
      <c r="F256" s="18"/>
      <c r="G256" s="10"/>
      <c r="H256" s="10"/>
      <c r="I256" s="10"/>
      <c r="J256" s="11"/>
      <c r="K256" s="11">
        <f t="shared" si="198"/>
        <v>0</v>
      </c>
      <c r="L256" s="37">
        <f t="shared" si="199"/>
        <v>0</v>
      </c>
      <c r="M256" s="11"/>
      <c r="N256" s="10"/>
      <c r="O256" s="21"/>
      <c r="P256" s="21"/>
      <c r="Q256" s="21"/>
      <c r="R256" s="23"/>
      <c r="S256" s="50"/>
      <c r="T256" s="48"/>
      <c r="U256" s="82"/>
      <c r="V256" s="26"/>
      <c r="W256" s="200"/>
      <c r="X256" s="17"/>
    </row>
    <row r="257" spans="2:24" x14ac:dyDescent="0.25">
      <c r="B257" s="17">
        <v>255</v>
      </c>
      <c r="C257" s="10"/>
      <c r="D257" s="10"/>
      <c r="E257" s="72"/>
      <c r="F257" s="18"/>
      <c r="G257" s="10"/>
      <c r="H257" s="10"/>
      <c r="I257" s="10"/>
      <c r="J257" s="11"/>
      <c r="K257" s="11">
        <f t="shared" si="198"/>
        <v>0</v>
      </c>
      <c r="L257" s="37">
        <f t="shared" si="199"/>
        <v>0</v>
      </c>
      <c r="M257" s="11"/>
      <c r="N257" s="10"/>
      <c r="O257" s="21"/>
      <c r="P257" s="21"/>
      <c r="Q257" s="21"/>
      <c r="R257" s="23"/>
      <c r="S257" s="50"/>
      <c r="T257" s="48"/>
      <c r="U257" s="82"/>
      <c r="V257" s="26"/>
      <c r="W257" s="200"/>
      <c r="X257" s="17"/>
    </row>
    <row r="258" spans="2:24" x14ac:dyDescent="0.25">
      <c r="B258" s="17">
        <v>256</v>
      </c>
      <c r="C258" s="10"/>
      <c r="D258" s="10"/>
      <c r="E258" s="72"/>
      <c r="F258" s="18"/>
      <c r="G258" s="10"/>
      <c r="H258" s="10"/>
      <c r="I258" s="10"/>
      <c r="J258" s="11"/>
      <c r="K258" s="11">
        <f t="shared" si="198"/>
        <v>0</v>
      </c>
      <c r="L258" s="37">
        <f t="shared" si="199"/>
        <v>0</v>
      </c>
      <c r="M258" s="11"/>
      <c r="N258" s="10"/>
      <c r="O258" s="21"/>
      <c r="P258" s="21"/>
      <c r="Q258" s="21"/>
      <c r="R258" s="23"/>
      <c r="S258" s="50"/>
      <c r="T258" s="48"/>
      <c r="U258" s="82"/>
      <c r="V258" s="26"/>
      <c r="W258" s="200"/>
      <c r="X258" s="17"/>
    </row>
    <row r="259" spans="2:24" x14ac:dyDescent="0.25">
      <c r="B259" s="17">
        <v>257</v>
      </c>
      <c r="C259" s="10"/>
      <c r="D259" s="10"/>
      <c r="E259" s="72"/>
      <c r="F259" s="18"/>
      <c r="G259" s="10"/>
      <c r="H259" s="10"/>
      <c r="I259" s="10"/>
      <c r="J259" s="11"/>
      <c r="K259" s="11">
        <f t="shared" si="198"/>
        <v>0</v>
      </c>
      <c r="L259" s="37">
        <f t="shared" si="199"/>
        <v>0</v>
      </c>
      <c r="M259" s="11"/>
      <c r="N259" s="10"/>
      <c r="O259" s="21"/>
      <c r="P259" s="21"/>
      <c r="Q259" s="21"/>
      <c r="R259" s="23"/>
      <c r="S259" s="50"/>
      <c r="T259" s="48"/>
      <c r="U259" s="82"/>
      <c r="V259" s="26"/>
      <c r="W259" s="200"/>
      <c r="X259" s="17"/>
    </row>
    <row r="260" spans="2:24" x14ac:dyDescent="0.25">
      <c r="B260" s="17">
        <v>258</v>
      </c>
      <c r="C260" s="10"/>
      <c r="D260" s="10"/>
      <c r="E260" s="72"/>
      <c r="F260" s="18"/>
      <c r="G260" s="10"/>
      <c r="H260" s="10"/>
      <c r="I260" s="10"/>
      <c r="J260" s="11"/>
      <c r="K260" s="11">
        <f t="shared" ref="K260:K284" si="200">J260*1.1</f>
        <v>0</v>
      </c>
      <c r="L260" s="37">
        <f t="shared" ref="L260:L284" si="201">J260*0.00000001</f>
        <v>0</v>
      </c>
      <c r="M260" s="11"/>
      <c r="N260" s="10"/>
      <c r="O260" s="21"/>
      <c r="P260" s="21"/>
      <c r="Q260" s="21"/>
      <c r="R260" s="23"/>
      <c r="S260" s="50"/>
      <c r="T260" s="48"/>
      <c r="U260" s="82"/>
      <c r="V260" s="32"/>
      <c r="W260" s="200"/>
      <c r="X260" s="17"/>
    </row>
    <row r="261" spans="2:24" x14ac:dyDescent="0.25">
      <c r="B261" s="17">
        <v>259</v>
      </c>
      <c r="C261" s="10"/>
      <c r="D261" s="10"/>
      <c r="E261" s="72"/>
      <c r="F261" s="18"/>
      <c r="G261" s="10"/>
      <c r="H261" s="10"/>
      <c r="I261" s="10"/>
      <c r="J261" s="11"/>
      <c r="K261" s="11">
        <f t="shared" si="200"/>
        <v>0</v>
      </c>
      <c r="L261" s="37">
        <f t="shared" si="201"/>
        <v>0</v>
      </c>
      <c r="M261" s="11"/>
      <c r="N261" s="10"/>
      <c r="O261" s="21"/>
      <c r="P261" s="21"/>
      <c r="Q261" s="21"/>
      <c r="R261" s="23"/>
      <c r="S261" s="50"/>
      <c r="T261" s="48"/>
      <c r="U261" s="82"/>
      <c r="V261" s="32"/>
      <c r="W261" s="200"/>
      <c r="X261" s="17"/>
    </row>
    <row r="262" spans="2:24" x14ac:dyDescent="0.25">
      <c r="B262" s="17">
        <v>260</v>
      </c>
      <c r="C262" s="10"/>
      <c r="D262" s="10"/>
      <c r="E262" s="72"/>
      <c r="F262" s="18"/>
      <c r="G262" s="10"/>
      <c r="H262" s="10"/>
      <c r="I262" s="10"/>
      <c r="J262" s="11"/>
      <c r="K262" s="11">
        <f t="shared" si="200"/>
        <v>0</v>
      </c>
      <c r="L262" s="37">
        <f t="shared" si="201"/>
        <v>0</v>
      </c>
      <c r="M262" s="11"/>
      <c r="N262" s="10"/>
      <c r="O262" s="21"/>
      <c r="P262" s="21"/>
      <c r="Q262" s="21"/>
      <c r="R262" s="23"/>
      <c r="S262" s="50"/>
      <c r="T262" s="48"/>
      <c r="U262" s="82"/>
      <c r="V262" s="26"/>
      <c r="W262" s="200"/>
      <c r="X262" s="17"/>
    </row>
    <row r="263" spans="2:24" x14ac:dyDescent="0.25">
      <c r="B263" s="17">
        <v>261</v>
      </c>
      <c r="C263" s="10"/>
      <c r="D263" s="10"/>
      <c r="E263" s="72"/>
      <c r="F263" s="18"/>
      <c r="G263" s="10"/>
      <c r="H263" s="10"/>
      <c r="I263" s="10"/>
      <c r="J263" s="11"/>
      <c r="K263" s="11">
        <f t="shared" si="200"/>
        <v>0</v>
      </c>
      <c r="L263" s="37">
        <f t="shared" si="201"/>
        <v>0</v>
      </c>
      <c r="M263" s="11"/>
      <c r="N263" s="10"/>
      <c r="O263" s="21"/>
      <c r="P263" s="21"/>
      <c r="Q263" s="21"/>
      <c r="R263" s="23"/>
      <c r="S263" s="50"/>
      <c r="T263" s="48"/>
      <c r="U263" s="82"/>
      <c r="V263" s="26"/>
      <c r="W263" s="200"/>
      <c r="X263" s="17"/>
    </row>
    <row r="264" spans="2:24" x14ac:dyDescent="0.25">
      <c r="B264" s="17">
        <v>262</v>
      </c>
      <c r="C264" s="10"/>
      <c r="D264" s="10"/>
      <c r="E264" s="72"/>
      <c r="F264" s="18"/>
      <c r="G264" s="10"/>
      <c r="H264" s="10"/>
      <c r="I264" s="10"/>
      <c r="J264" s="11"/>
      <c r="K264" s="11">
        <f t="shared" si="200"/>
        <v>0</v>
      </c>
      <c r="L264" s="37">
        <f t="shared" si="201"/>
        <v>0</v>
      </c>
      <c r="M264" s="11"/>
      <c r="N264" s="10"/>
      <c r="O264" s="21"/>
      <c r="P264" s="21"/>
      <c r="Q264" s="21"/>
      <c r="R264" s="23"/>
      <c r="S264" s="50"/>
      <c r="T264" s="48"/>
      <c r="U264" s="82"/>
      <c r="V264" s="26"/>
      <c r="W264" s="200"/>
      <c r="X264" s="17"/>
    </row>
    <row r="265" spans="2:24" x14ac:dyDescent="0.25">
      <c r="B265" s="17">
        <v>263</v>
      </c>
      <c r="C265" s="10"/>
      <c r="D265" s="10"/>
      <c r="E265" s="72"/>
      <c r="F265" s="18"/>
      <c r="G265" s="10"/>
      <c r="H265" s="10"/>
      <c r="I265" s="10"/>
      <c r="J265" s="11"/>
      <c r="K265" s="11">
        <f t="shared" si="200"/>
        <v>0</v>
      </c>
      <c r="L265" s="37">
        <f t="shared" si="201"/>
        <v>0</v>
      </c>
      <c r="M265" s="11"/>
      <c r="N265" s="10"/>
      <c r="O265" s="21"/>
      <c r="P265" s="21"/>
      <c r="Q265" s="21"/>
      <c r="R265" s="23"/>
      <c r="S265" s="50"/>
      <c r="T265" s="48"/>
      <c r="U265" s="82"/>
      <c r="V265" s="26"/>
      <c r="W265" s="200"/>
      <c r="X265" s="17"/>
    </row>
    <row r="266" spans="2:24" x14ac:dyDescent="0.25">
      <c r="B266" s="17">
        <v>264</v>
      </c>
      <c r="C266" s="10"/>
      <c r="D266" s="10"/>
      <c r="E266" s="72"/>
      <c r="F266" s="18"/>
      <c r="G266" s="10"/>
      <c r="H266" s="10"/>
      <c r="I266" s="10"/>
      <c r="J266" s="11"/>
      <c r="K266" s="11">
        <f t="shared" si="200"/>
        <v>0</v>
      </c>
      <c r="L266" s="37">
        <f t="shared" si="201"/>
        <v>0</v>
      </c>
      <c r="M266" s="11"/>
      <c r="N266" s="10"/>
      <c r="O266" s="21"/>
      <c r="P266" s="21"/>
      <c r="Q266" s="21"/>
      <c r="R266" s="23"/>
      <c r="S266" s="50"/>
      <c r="T266" s="48"/>
      <c r="U266" s="82"/>
      <c r="V266" s="26"/>
      <c r="W266" s="200"/>
      <c r="X266" s="17"/>
    </row>
    <row r="267" spans="2:24" x14ac:dyDescent="0.25">
      <c r="B267" s="17">
        <v>265</v>
      </c>
      <c r="C267" s="10"/>
      <c r="D267" s="10"/>
      <c r="E267" s="72"/>
      <c r="F267" s="18"/>
      <c r="G267" s="10"/>
      <c r="H267" s="10"/>
      <c r="I267" s="10"/>
      <c r="J267" s="11"/>
      <c r="K267" s="11">
        <f t="shared" si="200"/>
        <v>0</v>
      </c>
      <c r="L267" s="37">
        <f t="shared" si="201"/>
        <v>0</v>
      </c>
      <c r="M267" s="11"/>
      <c r="N267" s="10"/>
      <c r="O267" s="21"/>
      <c r="P267" s="21"/>
      <c r="Q267" s="21"/>
      <c r="R267" s="23"/>
      <c r="S267" s="50"/>
      <c r="T267" s="48"/>
      <c r="U267" s="82"/>
      <c r="V267" s="32"/>
      <c r="W267" s="200"/>
      <c r="X267" s="17"/>
    </row>
    <row r="268" spans="2:24" x14ac:dyDescent="0.25">
      <c r="B268" s="17">
        <v>266</v>
      </c>
      <c r="C268" s="10"/>
      <c r="D268" s="10"/>
      <c r="E268" s="72"/>
      <c r="F268" s="18"/>
      <c r="G268" s="10"/>
      <c r="H268" s="10"/>
      <c r="I268" s="10"/>
      <c r="J268" s="11"/>
      <c r="K268" s="11">
        <f t="shared" si="200"/>
        <v>0</v>
      </c>
      <c r="L268" s="37">
        <f t="shared" si="201"/>
        <v>0</v>
      </c>
      <c r="M268" s="11"/>
      <c r="N268" s="10"/>
      <c r="O268" s="21"/>
      <c r="P268" s="21"/>
      <c r="Q268" s="21"/>
      <c r="R268" s="23"/>
      <c r="S268" s="50"/>
      <c r="T268" s="48"/>
      <c r="U268" s="82"/>
      <c r="V268" s="32"/>
      <c r="W268" s="200"/>
      <c r="X268" s="17"/>
    </row>
    <row r="269" spans="2:24" x14ac:dyDescent="0.25">
      <c r="B269" s="17">
        <v>267</v>
      </c>
      <c r="C269" s="10"/>
      <c r="D269" s="10"/>
      <c r="E269" s="72"/>
      <c r="F269" s="18"/>
      <c r="G269" s="10"/>
      <c r="H269" s="10"/>
      <c r="I269" s="10"/>
      <c r="J269" s="11"/>
      <c r="K269" s="11">
        <f t="shared" si="200"/>
        <v>0</v>
      </c>
      <c r="L269" s="37">
        <f t="shared" si="201"/>
        <v>0</v>
      </c>
      <c r="M269" s="11"/>
      <c r="N269" s="10"/>
      <c r="O269" s="21"/>
      <c r="P269" s="21"/>
      <c r="Q269" s="21"/>
      <c r="R269" s="23"/>
      <c r="S269" s="50"/>
      <c r="T269" s="48"/>
      <c r="U269" s="82"/>
      <c r="V269" s="32"/>
      <c r="W269" s="200"/>
      <c r="X269" s="17"/>
    </row>
    <row r="270" spans="2:24" x14ac:dyDescent="0.25">
      <c r="B270" s="17">
        <v>268</v>
      </c>
      <c r="C270" s="10"/>
      <c r="D270" s="10"/>
      <c r="E270" s="72"/>
      <c r="F270" s="18"/>
      <c r="G270" s="10"/>
      <c r="H270" s="10"/>
      <c r="I270" s="10"/>
      <c r="J270" s="11"/>
      <c r="K270" s="11">
        <f t="shared" si="200"/>
        <v>0</v>
      </c>
      <c r="L270" s="37">
        <f t="shared" si="201"/>
        <v>0</v>
      </c>
      <c r="M270" s="11"/>
      <c r="N270" s="10"/>
      <c r="O270" s="21"/>
      <c r="P270" s="21"/>
      <c r="Q270" s="21"/>
      <c r="R270" s="23"/>
      <c r="S270" s="50"/>
      <c r="T270" s="48"/>
      <c r="U270" s="82"/>
      <c r="V270" s="32"/>
      <c r="W270" s="200"/>
      <c r="X270" s="17"/>
    </row>
    <row r="271" spans="2:24" x14ac:dyDescent="0.25">
      <c r="B271" s="17">
        <v>269</v>
      </c>
      <c r="C271" s="10"/>
      <c r="D271" s="10"/>
      <c r="E271" s="72"/>
      <c r="F271" s="18"/>
      <c r="G271" s="10"/>
      <c r="H271" s="10"/>
      <c r="I271" s="10"/>
      <c r="J271" s="11"/>
      <c r="K271" s="11">
        <f t="shared" si="200"/>
        <v>0</v>
      </c>
      <c r="L271" s="37">
        <f t="shared" si="201"/>
        <v>0</v>
      </c>
      <c r="M271" s="11"/>
      <c r="N271" s="10"/>
      <c r="O271" s="21"/>
      <c r="P271" s="21"/>
      <c r="Q271" s="21"/>
      <c r="R271" s="23"/>
      <c r="S271" s="50"/>
      <c r="T271" s="48"/>
      <c r="U271" s="82"/>
      <c r="V271" s="26"/>
      <c r="W271" s="200"/>
      <c r="X271" s="17"/>
    </row>
    <row r="272" spans="2:24" x14ac:dyDescent="0.25">
      <c r="B272" s="17">
        <v>270</v>
      </c>
      <c r="C272" s="10"/>
      <c r="D272" s="10"/>
      <c r="E272" s="72"/>
      <c r="F272" s="18"/>
      <c r="G272" s="10"/>
      <c r="H272" s="10"/>
      <c r="I272" s="10"/>
      <c r="J272" s="11"/>
      <c r="K272" s="11">
        <f t="shared" si="200"/>
        <v>0</v>
      </c>
      <c r="L272" s="37">
        <f t="shared" si="201"/>
        <v>0</v>
      </c>
      <c r="M272" s="11"/>
      <c r="N272" s="10"/>
      <c r="O272" s="21"/>
      <c r="P272" s="21"/>
      <c r="Q272" s="21"/>
      <c r="R272" s="23"/>
      <c r="S272" s="50"/>
      <c r="T272" s="48"/>
      <c r="U272" s="82"/>
      <c r="V272" s="26"/>
      <c r="W272" s="200"/>
      <c r="X272" s="17"/>
    </row>
    <row r="273" spans="2:24" x14ac:dyDescent="0.25">
      <c r="B273" s="17">
        <v>271</v>
      </c>
      <c r="C273" s="10"/>
      <c r="D273" s="10"/>
      <c r="E273" s="72"/>
      <c r="F273" s="18"/>
      <c r="G273" s="10"/>
      <c r="H273" s="10"/>
      <c r="I273" s="10"/>
      <c r="J273" s="11"/>
      <c r="K273" s="11">
        <f t="shared" si="200"/>
        <v>0</v>
      </c>
      <c r="L273" s="37">
        <f t="shared" si="201"/>
        <v>0</v>
      </c>
      <c r="M273" s="11"/>
      <c r="N273" s="10"/>
      <c r="O273" s="21"/>
      <c r="P273" s="21"/>
      <c r="Q273" s="21"/>
      <c r="R273" s="23"/>
      <c r="S273" s="50"/>
      <c r="T273" s="48"/>
      <c r="U273" s="82"/>
      <c r="V273" s="26"/>
      <c r="W273" s="200"/>
      <c r="X273" s="17"/>
    </row>
    <row r="274" spans="2:24" x14ac:dyDescent="0.25">
      <c r="B274" s="17">
        <v>272</v>
      </c>
      <c r="C274" s="10"/>
      <c r="D274" s="10"/>
      <c r="E274" s="72"/>
      <c r="F274" s="18"/>
      <c r="G274" s="10"/>
      <c r="H274" s="10"/>
      <c r="I274" s="10"/>
      <c r="J274" s="11"/>
      <c r="K274" s="11">
        <f t="shared" si="200"/>
        <v>0</v>
      </c>
      <c r="L274" s="37">
        <f t="shared" si="201"/>
        <v>0</v>
      </c>
      <c r="M274" s="11"/>
      <c r="N274" s="10"/>
      <c r="O274" s="21"/>
      <c r="P274" s="21"/>
      <c r="Q274" s="21"/>
      <c r="R274" s="23"/>
      <c r="S274" s="50"/>
      <c r="T274" s="48"/>
      <c r="U274" s="82"/>
      <c r="V274" s="26"/>
      <c r="W274" s="200"/>
      <c r="X274" s="17"/>
    </row>
    <row r="275" spans="2:24" x14ac:dyDescent="0.25">
      <c r="B275" s="17">
        <v>273</v>
      </c>
      <c r="C275" s="10"/>
      <c r="D275" s="10"/>
      <c r="E275" s="72"/>
      <c r="F275" s="18"/>
      <c r="G275" s="10"/>
      <c r="H275" s="10"/>
      <c r="I275" s="10"/>
      <c r="J275" s="11"/>
      <c r="K275" s="11">
        <f t="shared" si="200"/>
        <v>0</v>
      </c>
      <c r="L275" s="37">
        <f t="shared" si="201"/>
        <v>0</v>
      </c>
      <c r="M275" s="11"/>
      <c r="N275" s="10"/>
      <c r="O275" s="21"/>
      <c r="P275" s="21"/>
      <c r="Q275" s="21"/>
      <c r="R275" s="23"/>
      <c r="S275" s="50"/>
      <c r="T275" s="48"/>
      <c r="U275" s="82"/>
      <c r="V275" s="26"/>
      <c r="W275" s="200"/>
      <c r="X275" s="17"/>
    </row>
    <row r="276" spans="2:24" x14ac:dyDescent="0.25">
      <c r="B276" s="17">
        <v>274</v>
      </c>
      <c r="C276" s="10"/>
      <c r="D276" s="10"/>
      <c r="E276" s="72"/>
      <c r="F276" s="18"/>
      <c r="G276" s="10"/>
      <c r="H276" s="10"/>
      <c r="I276" s="10"/>
      <c r="J276" s="11"/>
      <c r="K276" s="11">
        <f t="shared" si="200"/>
        <v>0</v>
      </c>
      <c r="L276" s="37">
        <f t="shared" si="201"/>
        <v>0</v>
      </c>
      <c r="M276" s="11"/>
      <c r="N276" s="10"/>
      <c r="O276" s="21"/>
      <c r="P276" s="21"/>
      <c r="Q276" s="21"/>
      <c r="R276" s="23"/>
      <c r="S276" s="50"/>
      <c r="T276" s="48"/>
      <c r="U276" s="82"/>
      <c r="V276" s="32"/>
      <c r="W276" s="200"/>
      <c r="X276" s="17"/>
    </row>
    <row r="277" spans="2:24" x14ac:dyDescent="0.25">
      <c r="B277" s="17">
        <v>275</v>
      </c>
      <c r="C277" s="10"/>
      <c r="D277" s="10"/>
      <c r="E277" s="72"/>
      <c r="F277" s="18"/>
      <c r="G277" s="10"/>
      <c r="H277" s="10"/>
      <c r="I277" s="10"/>
      <c r="J277" s="11"/>
      <c r="K277" s="11">
        <f t="shared" si="200"/>
        <v>0</v>
      </c>
      <c r="L277" s="37">
        <f t="shared" si="201"/>
        <v>0</v>
      </c>
      <c r="M277" s="11"/>
      <c r="N277" s="10"/>
      <c r="O277" s="21"/>
      <c r="P277" s="21"/>
      <c r="Q277" s="21"/>
      <c r="R277" s="23"/>
      <c r="S277" s="50"/>
      <c r="T277" s="48"/>
      <c r="U277" s="82"/>
      <c r="V277" s="32"/>
      <c r="W277" s="200"/>
      <c r="X277" s="17"/>
    </row>
    <row r="278" spans="2:24" x14ac:dyDescent="0.25">
      <c r="B278" s="17">
        <v>276</v>
      </c>
      <c r="C278" s="10"/>
      <c r="D278" s="10"/>
      <c r="E278" s="72"/>
      <c r="F278" s="18"/>
      <c r="G278" s="10"/>
      <c r="H278" s="10"/>
      <c r="I278" s="10"/>
      <c r="J278" s="11"/>
      <c r="K278" s="11">
        <f t="shared" si="200"/>
        <v>0</v>
      </c>
      <c r="L278" s="37">
        <f t="shared" si="201"/>
        <v>0</v>
      </c>
      <c r="M278" s="11"/>
      <c r="N278" s="10"/>
      <c r="O278" s="21"/>
      <c r="P278" s="21"/>
      <c r="Q278" s="21"/>
      <c r="R278" s="23"/>
      <c r="S278" s="50"/>
      <c r="T278" s="48"/>
      <c r="U278" s="82"/>
      <c r="V278" s="26"/>
      <c r="W278" s="200"/>
      <c r="X278" s="17"/>
    </row>
    <row r="279" spans="2:24" x14ac:dyDescent="0.25">
      <c r="B279" s="17">
        <v>277</v>
      </c>
      <c r="C279" s="10"/>
      <c r="D279" s="10"/>
      <c r="E279" s="72"/>
      <c r="F279" s="18"/>
      <c r="G279" s="10"/>
      <c r="H279" s="10"/>
      <c r="I279" s="10"/>
      <c r="J279" s="11"/>
      <c r="K279" s="11">
        <f t="shared" si="200"/>
        <v>0</v>
      </c>
      <c r="L279" s="37">
        <f t="shared" si="201"/>
        <v>0</v>
      </c>
      <c r="M279" s="11"/>
      <c r="N279" s="10"/>
      <c r="O279" s="21"/>
      <c r="P279" s="21"/>
      <c r="Q279" s="21"/>
      <c r="R279" s="23"/>
      <c r="S279" s="50"/>
      <c r="T279" s="48"/>
      <c r="U279" s="82"/>
      <c r="V279" s="26"/>
      <c r="W279" s="200"/>
      <c r="X279" s="17"/>
    </row>
    <row r="280" spans="2:24" x14ac:dyDescent="0.25">
      <c r="B280" s="17">
        <v>278</v>
      </c>
      <c r="C280" s="10"/>
      <c r="D280" s="10"/>
      <c r="E280" s="72"/>
      <c r="F280" s="18"/>
      <c r="G280" s="10"/>
      <c r="H280" s="10"/>
      <c r="I280" s="10"/>
      <c r="J280" s="11"/>
      <c r="K280" s="11">
        <f t="shared" si="200"/>
        <v>0</v>
      </c>
      <c r="L280" s="37">
        <f t="shared" si="201"/>
        <v>0</v>
      </c>
      <c r="M280" s="11"/>
      <c r="N280" s="10"/>
      <c r="O280" s="21"/>
      <c r="P280" s="21"/>
      <c r="Q280" s="21"/>
      <c r="R280" s="23"/>
      <c r="S280" s="50"/>
      <c r="T280" s="48"/>
      <c r="U280" s="82"/>
      <c r="V280" s="26"/>
      <c r="W280" s="200"/>
      <c r="X280" s="17"/>
    </row>
    <row r="281" spans="2:24" x14ac:dyDescent="0.25">
      <c r="B281" s="17">
        <v>279</v>
      </c>
      <c r="C281" s="10"/>
      <c r="D281" s="10"/>
      <c r="E281" s="72"/>
      <c r="F281" s="18"/>
      <c r="G281" s="10"/>
      <c r="H281" s="10"/>
      <c r="I281" s="10"/>
      <c r="J281" s="11"/>
      <c r="K281" s="11">
        <f t="shared" si="200"/>
        <v>0</v>
      </c>
      <c r="L281" s="37">
        <f t="shared" si="201"/>
        <v>0</v>
      </c>
      <c r="M281" s="11"/>
      <c r="N281" s="10"/>
      <c r="O281" s="21"/>
      <c r="P281" s="21"/>
      <c r="Q281" s="21"/>
      <c r="R281" s="23"/>
      <c r="S281" s="50"/>
      <c r="T281" s="48"/>
      <c r="U281" s="82"/>
      <c r="V281" s="26"/>
      <c r="W281" s="200"/>
      <c r="X281" s="17"/>
    </row>
    <row r="282" spans="2:24" x14ac:dyDescent="0.25">
      <c r="B282" s="17">
        <v>280</v>
      </c>
      <c r="C282" s="10"/>
      <c r="D282" s="10"/>
      <c r="E282" s="72"/>
      <c r="F282" s="18"/>
      <c r="G282" s="10"/>
      <c r="H282" s="10"/>
      <c r="I282" s="10"/>
      <c r="J282" s="11"/>
      <c r="K282" s="11">
        <f t="shared" si="200"/>
        <v>0</v>
      </c>
      <c r="L282" s="37">
        <f t="shared" si="201"/>
        <v>0</v>
      </c>
      <c r="M282" s="11"/>
      <c r="N282" s="10"/>
      <c r="O282" s="21"/>
      <c r="P282" s="21"/>
      <c r="Q282" s="21"/>
      <c r="R282" s="23"/>
      <c r="S282" s="50"/>
      <c r="T282" s="48"/>
      <c r="U282" s="82"/>
      <c r="V282" s="26"/>
      <c r="W282" s="200"/>
      <c r="X282" s="17"/>
    </row>
    <row r="283" spans="2:24" x14ac:dyDescent="0.25">
      <c r="B283" s="17">
        <v>281</v>
      </c>
      <c r="C283" s="10"/>
      <c r="D283" s="10"/>
      <c r="E283" s="72"/>
      <c r="F283" s="18"/>
      <c r="G283" s="10"/>
      <c r="H283" s="10"/>
      <c r="I283" s="10"/>
      <c r="J283" s="11"/>
      <c r="K283" s="11">
        <f t="shared" si="200"/>
        <v>0</v>
      </c>
      <c r="L283" s="37">
        <f t="shared" si="201"/>
        <v>0</v>
      </c>
      <c r="M283" s="11"/>
      <c r="N283" s="10"/>
      <c r="O283" s="21"/>
      <c r="P283" s="21"/>
      <c r="Q283" s="21"/>
      <c r="R283" s="23"/>
      <c r="S283" s="50"/>
      <c r="T283" s="48"/>
      <c r="U283" s="82"/>
      <c r="V283" s="32"/>
      <c r="W283" s="200"/>
      <c r="X283" s="17"/>
    </row>
    <row r="284" spans="2:24" x14ac:dyDescent="0.25">
      <c r="B284" s="17">
        <v>282</v>
      </c>
      <c r="C284" s="10"/>
      <c r="D284" s="10"/>
      <c r="E284" s="72"/>
      <c r="F284" s="18"/>
      <c r="G284" s="10"/>
      <c r="H284" s="10"/>
      <c r="I284" s="10"/>
      <c r="J284" s="11"/>
      <c r="K284" s="11">
        <f t="shared" si="200"/>
        <v>0</v>
      </c>
      <c r="L284" s="37">
        <f t="shared" si="201"/>
        <v>0</v>
      </c>
      <c r="M284" s="11"/>
      <c r="N284" s="10"/>
      <c r="O284" s="21"/>
      <c r="P284" s="21"/>
      <c r="Q284" s="21"/>
      <c r="R284" s="23"/>
      <c r="S284" s="50"/>
      <c r="T284" s="48"/>
      <c r="U284" s="82"/>
      <c r="V284" s="32"/>
      <c r="W284" s="200"/>
      <c r="X284" s="17"/>
    </row>
    <row r="285" spans="2:24" x14ac:dyDescent="0.25">
      <c r="B285" s="17">
        <v>283</v>
      </c>
      <c r="C285" s="10"/>
      <c r="D285" s="10"/>
      <c r="E285" s="72"/>
      <c r="F285" s="18"/>
      <c r="G285" s="10"/>
      <c r="H285" s="10"/>
      <c r="I285" s="10"/>
      <c r="J285" s="11"/>
      <c r="K285" s="11">
        <f t="shared" ref="K285:K302" si="202">J285*1.1</f>
        <v>0</v>
      </c>
      <c r="L285" s="37">
        <f t="shared" ref="L285:L302" si="203">J285*0.00000001</f>
        <v>0</v>
      </c>
      <c r="M285" s="11"/>
      <c r="N285" s="10"/>
      <c r="O285" s="21"/>
      <c r="P285" s="21"/>
      <c r="R285" s="23"/>
      <c r="S285" s="50"/>
      <c r="T285" s="48"/>
      <c r="U285" s="82"/>
      <c r="V285" s="32"/>
      <c r="W285" s="200"/>
      <c r="X285" s="17"/>
    </row>
    <row r="286" spans="2:24" x14ac:dyDescent="0.25">
      <c r="B286" s="17">
        <v>284</v>
      </c>
      <c r="C286" s="10"/>
      <c r="D286" s="10"/>
      <c r="K286" s="11">
        <f t="shared" si="202"/>
        <v>0</v>
      </c>
      <c r="L286" s="37">
        <f t="shared" si="203"/>
        <v>0</v>
      </c>
      <c r="T286" s="56"/>
      <c r="U286" s="82"/>
      <c r="V286" s="84"/>
      <c r="W286" s="200"/>
      <c r="X286" s="17"/>
    </row>
    <row r="287" spans="2:24" x14ac:dyDescent="0.25">
      <c r="B287" s="17">
        <v>285</v>
      </c>
      <c r="C287" s="10"/>
      <c r="D287" s="10"/>
      <c r="K287" s="11">
        <f t="shared" si="202"/>
        <v>0</v>
      </c>
      <c r="L287" s="37">
        <f t="shared" si="203"/>
        <v>0</v>
      </c>
      <c r="T287" s="56"/>
      <c r="U287" s="82"/>
      <c r="V287" s="84"/>
      <c r="W287" s="200"/>
      <c r="X287" s="17"/>
    </row>
    <row r="288" spans="2:24" x14ac:dyDescent="0.25">
      <c r="B288" s="17">
        <v>286</v>
      </c>
      <c r="C288" s="10"/>
      <c r="D288" s="10"/>
      <c r="K288" s="11">
        <f t="shared" si="202"/>
        <v>0</v>
      </c>
      <c r="L288" s="37">
        <f t="shared" si="203"/>
        <v>0</v>
      </c>
      <c r="T288" s="56"/>
      <c r="U288" s="82"/>
      <c r="V288" s="84"/>
      <c r="W288" s="200"/>
      <c r="X288" s="17"/>
    </row>
    <row r="289" spans="2:24" x14ac:dyDescent="0.25">
      <c r="B289" s="17">
        <v>287</v>
      </c>
      <c r="C289" s="10"/>
      <c r="D289" s="10"/>
      <c r="K289" s="11">
        <f t="shared" si="202"/>
        <v>0</v>
      </c>
      <c r="L289" s="37">
        <f t="shared" si="203"/>
        <v>0</v>
      </c>
      <c r="T289" s="56"/>
      <c r="U289" s="82"/>
      <c r="V289" s="84"/>
      <c r="W289" s="200"/>
      <c r="X289" s="17"/>
    </row>
    <row r="290" spans="2:24" x14ac:dyDescent="0.25">
      <c r="B290" s="17">
        <v>288</v>
      </c>
      <c r="C290" s="10"/>
      <c r="D290" s="10"/>
      <c r="K290" s="11">
        <f t="shared" si="202"/>
        <v>0</v>
      </c>
      <c r="L290" s="37">
        <f t="shared" si="203"/>
        <v>0</v>
      </c>
      <c r="T290" s="56"/>
      <c r="U290" s="82"/>
      <c r="V290" s="84"/>
      <c r="W290" s="200"/>
      <c r="X290" s="17"/>
    </row>
    <row r="291" spans="2:24" x14ac:dyDescent="0.25">
      <c r="B291" s="17">
        <v>289</v>
      </c>
      <c r="C291" s="10"/>
      <c r="D291" s="10"/>
      <c r="K291" s="11">
        <f t="shared" si="202"/>
        <v>0</v>
      </c>
      <c r="L291" s="37">
        <f t="shared" si="203"/>
        <v>0</v>
      </c>
      <c r="T291" s="56"/>
      <c r="U291" s="82"/>
      <c r="V291" s="84"/>
      <c r="W291" s="200"/>
      <c r="X291" s="17"/>
    </row>
    <row r="292" spans="2:24" x14ac:dyDescent="0.25">
      <c r="B292" s="17">
        <v>290</v>
      </c>
      <c r="C292" s="10"/>
      <c r="D292" s="10"/>
      <c r="K292" s="11">
        <f t="shared" si="202"/>
        <v>0</v>
      </c>
      <c r="L292" s="37">
        <f t="shared" si="203"/>
        <v>0</v>
      </c>
      <c r="T292" s="56"/>
      <c r="U292" s="82"/>
      <c r="V292" s="84"/>
      <c r="W292" s="200"/>
      <c r="X292" s="17"/>
    </row>
    <row r="293" spans="2:24" x14ac:dyDescent="0.25">
      <c r="B293" s="17">
        <v>291</v>
      </c>
      <c r="C293" s="10"/>
      <c r="D293" s="10"/>
      <c r="K293" s="11">
        <f t="shared" si="202"/>
        <v>0</v>
      </c>
      <c r="L293" s="37">
        <f t="shared" si="203"/>
        <v>0</v>
      </c>
      <c r="T293" s="56"/>
      <c r="U293" s="82"/>
      <c r="V293" s="84"/>
      <c r="W293" s="200"/>
      <c r="X293" s="17"/>
    </row>
    <row r="294" spans="2:24" x14ac:dyDescent="0.25">
      <c r="B294" s="17">
        <v>292</v>
      </c>
      <c r="C294" s="10"/>
      <c r="D294" s="10"/>
      <c r="K294" s="11">
        <f t="shared" si="202"/>
        <v>0</v>
      </c>
      <c r="L294" s="37">
        <f t="shared" si="203"/>
        <v>0</v>
      </c>
      <c r="T294" s="56"/>
      <c r="U294" s="82"/>
      <c r="V294" s="84"/>
      <c r="W294" s="200"/>
      <c r="X294" s="17"/>
    </row>
    <row r="295" spans="2:24" x14ac:dyDescent="0.25">
      <c r="B295" s="17">
        <v>293</v>
      </c>
      <c r="C295" s="10"/>
      <c r="D295" s="10"/>
      <c r="K295" s="11">
        <f t="shared" si="202"/>
        <v>0</v>
      </c>
      <c r="L295" s="37">
        <f t="shared" si="203"/>
        <v>0</v>
      </c>
      <c r="T295" s="56"/>
      <c r="U295" s="82"/>
      <c r="V295" s="84"/>
      <c r="W295" s="200"/>
      <c r="X295" s="17"/>
    </row>
    <row r="296" spans="2:24" x14ac:dyDescent="0.25">
      <c r="B296" s="17">
        <v>294</v>
      </c>
      <c r="C296" s="10"/>
      <c r="D296" s="10"/>
      <c r="K296" s="11">
        <f t="shared" si="202"/>
        <v>0</v>
      </c>
      <c r="L296" s="37">
        <f t="shared" si="203"/>
        <v>0</v>
      </c>
      <c r="T296" s="56"/>
      <c r="U296" s="82"/>
      <c r="V296" s="84"/>
      <c r="W296" s="200"/>
      <c r="X296" s="17"/>
    </row>
    <row r="297" spans="2:24" x14ac:dyDescent="0.25">
      <c r="B297" s="17">
        <v>295</v>
      </c>
      <c r="C297" s="10"/>
      <c r="D297" s="10"/>
      <c r="K297" s="11">
        <f t="shared" si="202"/>
        <v>0</v>
      </c>
      <c r="L297" s="37">
        <f t="shared" si="203"/>
        <v>0</v>
      </c>
      <c r="T297" s="56"/>
      <c r="U297" s="82"/>
      <c r="V297" s="84"/>
      <c r="W297" s="200"/>
      <c r="X297" s="17"/>
    </row>
    <row r="298" spans="2:24" x14ac:dyDescent="0.25">
      <c r="B298" s="17">
        <v>296</v>
      </c>
      <c r="C298" s="10"/>
      <c r="D298" s="10"/>
      <c r="K298" s="11">
        <f t="shared" si="202"/>
        <v>0</v>
      </c>
      <c r="L298" s="37">
        <f t="shared" si="203"/>
        <v>0</v>
      </c>
      <c r="T298" s="56"/>
      <c r="U298" s="82"/>
      <c r="V298" s="84"/>
      <c r="W298" s="200"/>
      <c r="X298" s="17"/>
    </row>
    <row r="299" spans="2:24" x14ac:dyDescent="0.25">
      <c r="B299" s="17">
        <v>297</v>
      </c>
      <c r="C299" s="10"/>
      <c r="D299" s="10"/>
      <c r="K299" s="11">
        <f t="shared" si="202"/>
        <v>0</v>
      </c>
      <c r="L299" s="37">
        <f t="shared" si="203"/>
        <v>0</v>
      </c>
      <c r="T299" s="56"/>
      <c r="U299" s="82"/>
      <c r="V299" s="84"/>
      <c r="W299" s="200"/>
      <c r="X299" s="17"/>
    </row>
    <row r="300" spans="2:24" x14ac:dyDescent="0.25">
      <c r="B300" s="17">
        <v>298</v>
      </c>
      <c r="C300" s="10"/>
      <c r="D300" s="10"/>
      <c r="K300" s="11">
        <f t="shared" si="202"/>
        <v>0</v>
      </c>
      <c r="L300" s="37">
        <f t="shared" si="203"/>
        <v>0</v>
      </c>
      <c r="T300" s="56"/>
      <c r="U300" s="82"/>
      <c r="V300" s="84"/>
      <c r="W300" s="200"/>
      <c r="X300" s="17"/>
    </row>
    <row r="301" spans="2:24" x14ac:dyDescent="0.25">
      <c r="B301" s="17">
        <v>299</v>
      </c>
      <c r="C301" s="10"/>
      <c r="D301" s="10"/>
      <c r="K301" s="11">
        <f t="shared" si="202"/>
        <v>0</v>
      </c>
      <c r="L301" s="37">
        <f t="shared" si="203"/>
        <v>0</v>
      </c>
      <c r="T301" s="56"/>
      <c r="U301" s="82"/>
      <c r="V301" s="84"/>
      <c r="W301" s="200"/>
      <c r="X301" s="17"/>
    </row>
    <row r="302" spans="2:24" x14ac:dyDescent="0.25">
      <c r="B302" s="17">
        <v>300</v>
      </c>
      <c r="C302" s="10"/>
      <c r="D302" s="10"/>
      <c r="K302" s="11">
        <f t="shared" si="202"/>
        <v>0</v>
      </c>
      <c r="L302" s="37">
        <f t="shared" si="203"/>
        <v>0</v>
      </c>
      <c r="T302" s="56"/>
      <c r="U302" s="82"/>
      <c r="V302" s="84"/>
      <c r="W302" s="200"/>
      <c r="X302" s="17"/>
    </row>
    <row r="305" spans="17:17" x14ac:dyDescent="0.25">
      <c r="Q305" s="21"/>
    </row>
    <row r="306" spans="17:17" x14ac:dyDescent="0.25">
      <c r="Q306" s="21"/>
    </row>
    <row r="307" spans="17:17" x14ac:dyDescent="0.25">
      <c r="Q307" s="21"/>
    </row>
    <row r="308" spans="17:17" x14ac:dyDescent="0.25">
      <c r="Q308" s="21"/>
    </row>
    <row r="309" spans="17:17" x14ac:dyDescent="0.25">
      <c r="Q309" s="21"/>
    </row>
    <row r="310" spans="17:17" x14ac:dyDescent="0.25">
      <c r="Q310" s="21"/>
    </row>
    <row r="311" spans="17:17" x14ac:dyDescent="0.25">
      <c r="Q311" s="21"/>
    </row>
    <row r="312" spans="17:17" x14ac:dyDescent="0.25">
      <c r="Q312" s="21"/>
    </row>
    <row r="313" spans="17:17" x14ac:dyDescent="0.25">
      <c r="Q313" s="21"/>
    </row>
    <row r="314" spans="17:17" x14ac:dyDescent="0.25">
      <c r="Q314" s="21"/>
    </row>
    <row r="315" spans="17:17" x14ac:dyDescent="0.25">
      <c r="Q315" s="21"/>
    </row>
    <row r="316" spans="17:17" x14ac:dyDescent="0.25">
      <c r="Q316" s="21"/>
    </row>
    <row r="317" spans="17:17" x14ac:dyDescent="0.25">
      <c r="Q317" s="21"/>
    </row>
    <row r="318" spans="17:17" x14ac:dyDescent="0.25">
      <c r="Q318" s="21"/>
    </row>
  </sheetData>
  <mergeCells count="15">
    <mergeCell ref="AA21:AA26"/>
    <mergeCell ref="AA27:AA32"/>
    <mergeCell ref="AA1:AR1"/>
    <mergeCell ref="AA2:AB2"/>
    <mergeCell ref="AA3:AA8"/>
    <mergeCell ref="AA9:AA14"/>
    <mergeCell ref="AA15:AA20"/>
    <mergeCell ref="AA69:AA74"/>
    <mergeCell ref="AA75:AB75"/>
    <mergeCell ref="AA33:AA38"/>
    <mergeCell ref="AA39:AA44"/>
    <mergeCell ref="AA45:AA50"/>
    <mergeCell ref="AA51:AA56"/>
    <mergeCell ref="AA57:AA62"/>
    <mergeCell ref="AA63:AA68"/>
  </mergeCells>
  <phoneticPr fontId="5" type="noConversion"/>
  <conditionalFormatting sqref="U1:U1048576">
    <cfRule type="cellIs" dxfId="5" priority="2" operator="equal">
      <formula>"마케팅"</formula>
    </cfRule>
  </conditionalFormatting>
  <conditionalFormatting sqref="W1:W1048576">
    <cfRule type="cellIs" dxfId="4" priority="1" operator="equal">
      <formula>"마케팅"</formula>
    </cfRule>
  </conditionalFormatting>
  <dataValidations count="7">
    <dataValidation type="list" allowBlank="1" showInputMessage="1" showErrorMessage="1" sqref="S3:S285" xr:uid="{00000000-0002-0000-0D00-000000000000}">
      <formula1>"(주)그랜드썬기술단, (주)그랜드썬,지에스피,유지에스"</formula1>
    </dataValidation>
    <dataValidation type="list" allowBlank="1" showInputMessage="1" showErrorMessage="1" sqref="U3:U285" xr:uid="{00000000-0002-0000-0D00-000001000000}">
      <formula1>"소개,그 외"</formula1>
    </dataValidation>
    <dataValidation type="list" allowBlank="1" showInputMessage="1" showErrorMessage="1" sqref="D3:D302" xr:uid="{00000000-0002-0000-0D00-000002000000}">
      <formula1>"기존시설물(A),일반부지(B),수면(C)"</formula1>
    </dataValidation>
    <dataValidation type="list" allowBlank="1" showInputMessage="1" showErrorMessage="1" sqref="C3:C302" xr:uid="{00000000-0002-0000-0D00-000003000000}">
      <formula1>"직영(가),외주(나),입찰(다),검토(라)"</formula1>
    </dataValidation>
    <dataValidation type="list" allowBlank="1" showInputMessage="1" showErrorMessage="1" sqref="W3:W302" xr:uid="{00000000-0002-0000-0D00-000004000000}">
      <formula1>"산단,공장,창고,축사,근생,자원순환,토지,업무시설"</formula1>
    </dataValidation>
    <dataValidation type="list" allowBlank="1" showInputMessage="1" showErrorMessage="1" sqref="X3:X302" xr:uid="{00000000-0002-0000-0D00-000005000000}">
      <formula1>"유지,보류,취소"</formula1>
    </dataValidation>
    <dataValidation type="list" allowBlank="1" showInputMessage="1" showErrorMessage="1" sqref="Q3:Q318" xr:uid="{33ACAA1D-DD43-45A1-9D52-67F987F977A0}">
      <formula1>"경기,강원,충남,충북,서울,인천,대전,세종,경남,경북,전남,전북,부산,대구,울산,제주,광주"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AV318"/>
  <sheetViews>
    <sheetView topLeftCell="C1" zoomScale="75" zoomScaleNormal="75" workbookViewId="0">
      <pane ySplit="2" topLeftCell="A3" activePane="bottomLeft" state="frozen"/>
      <selection activeCell="O33" sqref="O33"/>
      <selection pane="bottomLeft" activeCell="L49" sqref="L49"/>
    </sheetView>
  </sheetViews>
  <sheetFormatPr defaultRowHeight="13.5" x14ac:dyDescent="0.25"/>
  <cols>
    <col min="1" max="1" width="3.7109375" customWidth="1"/>
    <col min="2" max="4" width="10.7109375" customWidth="1"/>
    <col min="5" max="5" width="10.7109375" style="75" customWidth="1"/>
    <col min="6" max="6" width="12.7109375" style="19" customWidth="1"/>
    <col min="7" max="8" width="10.7109375" customWidth="1"/>
    <col min="9" max="9" width="11.85546875" customWidth="1"/>
    <col min="10" max="11" width="15.7109375" style="6" customWidth="1"/>
    <col min="12" max="12" width="15.7109375" style="38" customWidth="1"/>
    <col min="13" max="13" width="15.7109375" style="6" customWidth="1"/>
    <col min="14" max="14" width="15.7109375" customWidth="1"/>
    <col min="15" max="15" width="21.42578125" customWidth="1"/>
    <col min="16" max="17" width="6" customWidth="1"/>
    <col min="18" max="18" width="38.42578125" style="22" customWidth="1"/>
    <col min="19" max="19" width="20.7109375" customWidth="1"/>
    <col min="20" max="20" width="13.42578125" customWidth="1"/>
    <col min="21" max="21" width="9.140625" style="34"/>
    <col min="22" max="22" width="47" style="7" customWidth="1"/>
    <col min="23" max="23" width="9.140625" style="34"/>
    <col min="29" max="29" width="11.140625" customWidth="1"/>
    <col min="30" max="34" width="11.7109375" customWidth="1"/>
    <col min="35" max="39" width="11.7109375" style="129" customWidth="1"/>
    <col min="40" max="44" width="11.7109375" customWidth="1"/>
  </cols>
  <sheetData>
    <row r="1" spans="2:48" ht="27" thickBot="1" x14ac:dyDescent="0.3">
      <c r="B1" s="33"/>
      <c r="C1" s="33"/>
      <c r="D1" s="33"/>
      <c r="E1" s="73"/>
      <c r="G1" s="8"/>
      <c r="H1" s="8"/>
      <c r="I1" s="24"/>
      <c r="J1" s="9"/>
      <c r="K1" s="9"/>
      <c r="L1" s="35"/>
      <c r="M1" s="9"/>
      <c r="U1" s="45"/>
      <c r="W1" s="45"/>
      <c r="AA1" s="423" t="s">
        <v>3</v>
      </c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5"/>
    </row>
    <row r="2" spans="2:48" ht="43.5" customHeight="1" thickTop="1" thickBot="1" x14ac:dyDescent="0.3">
      <c r="B2" s="16" t="s">
        <v>0</v>
      </c>
      <c r="C2" s="71" t="s">
        <v>90</v>
      </c>
      <c r="D2" s="71" t="s">
        <v>91</v>
      </c>
      <c r="E2" s="74" t="s">
        <v>92</v>
      </c>
      <c r="F2" s="20" t="s">
        <v>1</v>
      </c>
      <c r="G2" s="12" t="s">
        <v>22</v>
      </c>
      <c r="H2" s="12" t="s">
        <v>21</v>
      </c>
      <c r="I2" s="13" t="s">
        <v>2</v>
      </c>
      <c r="J2" s="14" t="s">
        <v>20</v>
      </c>
      <c r="K2" s="14" t="s">
        <v>4</v>
      </c>
      <c r="L2" s="36" t="s">
        <v>50</v>
      </c>
      <c r="M2" s="14" t="s">
        <v>29</v>
      </c>
      <c r="N2" s="12" t="s">
        <v>26</v>
      </c>
      <c r="O2" s="12" t="s">
        <v>28</v>
      </c>
      <c r="P2" s="12" t="s">
        <v>48</v>
      </c>
      <c r="Q2" s="12" t="s">
        <v>2158</v>
      </c>
      <c r="R2" s="12" t="s">
        <v>27</v>
      </c>
      <c r="S2" s="15" t="s">
        <v>44</v>
      </c>
      <c r="T2" s="25" t="s">
        <v>38</v>
      </c>
      <c r="U2" s="206" t="s">
        <v>54</v>
      </c>
      <c r="V2" s="16" t="s">
        <v>37</v>
      </c>
      <c r="W2" s="205" t="s">
        <v>256</v>
      </c>
      <c r="X2" s="108" t="s">
        <v>271</v>
      </c>
      <c r="AA2" s="420" t="s">
        <v>132</v>
      </c>
      <c r="AB2" s="421"/>
      <c r="AC2" s="111" t="s">
        <v>1</v>
      </c>
      <c r="AD2" s="112" t="s">
        <v>133</v>
      </c>
      <c r="AE2" s="113" t="s">
        <v>102</v>
      </c>
      <c r="AF2" s="113" t="s">
        <v>101</v>
      </c>
      <c r="AG2" s="113" t="s">
        <v>103</v>
      </c>
      <c r="AH2" s="114" t="s">
        <v>104</v>
      </c>
      <c r="AI2" s="117" t="s">
        <v>134</v>
      </c>
      <c r="AJ2" s="118" t="s">
        <v>102</v>
      </c>
      <c r="AK2" s="118" t="s">
        <v>101</v>
      </c>
      <c r="AL2" s="118" t="s">
        <v>103</v>
      </c>
      <c r="AM2" s="119" t="s">
        <v>104</v>
      </c>
      <c r="AN2" s="115" t="s">
        <v>135</v>
      </c>
      <c r="AO2" s="116" t="s">
        <v>102</v>
      </c>
      <c r="AP2" s="116" t="s">
        <v>101</v>
      </c>
      <c r="AQ2" s="116" t="s">
        <v>103</v>
      </c>
      <c r="AR2" s="116" t="s">
        <v>104</v>
      </c>
      <c r="AT2" s="151"/>
      <c r="AU2" s="152" t="s">
        <v>148</v>
      </c>
      <c r="AV2" s="153"/>
    </row>
    <row r="3" spans="2:48" s="10" customFormat="1" ht="13.5" customHeight="1" x14ac:dyDescent="0.25">
      <c r="B3" s="17">
        <v>1</v>
      </c>
      <c r="E3" s="72"/>
      <c r="F3" s="18"/>
      <c r="J3" s="11"/>
      <c r="K3" s="11">
        <f t="shared" ref="K3:K21" si="0">J3*1.1</f>
        <v>0</v>
      </c>
      <c r="L3" s="37">
        <f t="shared" ref="L3:L21" si="1">J3*0.00000001</f>
        <v>0</v>
      </c>
      <c r="M3" s="11"/>
      <c r="O3" s="21"/>
      <c r="P3" s="21"/>
      <c r="Q3" s="21"/>
      <c r="R3" s="23"/>
      <c r="S3" s="50"/>
      <c r="T3" s="86"/>
      <c r="U3" s="85"/>
      <c r="V3" s="83"/>
      <c r="W3" s="199"/>
      <c r="X3" s="208"/>
      <c r="Z3">
        <v>1</v>
      </c>
      <c r="AA3" s="415">
        <v>1</v>
      </c>
      <c r="AB3" s="94">
        <v>1</v>
      </c>
      <c r="AC3" s="100" t="s">
        <v>105</v>
      </c>
      <c r="AD3" s="41">
        <f>SUM(AE3:AH3)</f>
        <v>0</v>
      </c>
      <c r="AE3" s="70">
        <f>SUMIFS($I:$I,$C:$C, $AE$2,$G:$G,$Z3,$H:$H,$AB3)</f>
        <v>0</v>
      </c>
      <c r="AF3" s="70">
        <f>SUMIFS($I:$I,$C:$C, $AF$2,$G:$G,$Z3,$H:$H,$AB3)</f>
        <v>0</v>
      </c>
      <c r="AG3" s="70">
        <f>SUMIFS($I:$I,$C:$C, $AG$2,$G:$G,$Z3,$H:$H,$AB3)</f>
        <v>0</v>
      </c>
      <c r="AH3" s="109">
        <f>SUMIFS($I:$I,$C:$C, $AH$2,$G:$G,$Z3,$H:$H,$AB3)</f>
        <v>0</v>
      </c>
      <c r="AI3" s="120">
        <f>SUM(AJ3:AM3)</f>
        <v>0</v>
      </c>
      <c r="AJ3" s="121">
        <f>COUNTIFS($C:$C, $AJ$2,$G:$G,$Z3,$H:$H,$AB3)</f>
        <v>0</v>
      </c>
      <c r="AK3" s="121">
        <f>COUNTIFS($C:$C, $AK$2,$G:$G,$Z3,$H:$H,$AB3)</f>
        <v>0</v>
      </c>
      <c r="AL3" s="121">
        <f>COUNTIFS($C:$C, $AL$2,$G:$G,$Z3,$H:$H,$AB3)</f>
        <v>0</v>
      </c>
      <c r="AM3" s="122">
        <f>COUNTIFS($C:$C, $AM$2,$G:$G,$Z3,$H:$H,$AB3)</f>
        <v>0</v>
      </c>
      <c r="AN3" s="41">
        <f>SUM(AO3:AR3)</f>
        <v>0</v>
      </c>
      <c r="AO3" s="70">
        <f>SUMIFS($L:$L,$C:$C, $AO$2,$G:$G,$Z3,$H:$H,$AB3)</f>
        <v>0</v>
      </c>
      <c r="AP3" s="70">
        <f>SUMIFS($L:$L,$C:$C, $AP$2,$G:$G,$Z3,$H:$H,$AB3)</f>
        <v>0</v>
      </c>
      <c r="AQ3" s="70">
        <f>SUMIFS($L:$L,$C:$C, $AQ$2,$G:$G,$Z3,$H:$H,$AB3)</f>
        <v>0</v>
      </c>
      <c r="AR3" s="70">
        <f>SUMIFS($L:$L,$C:$C, $AR$2,$G:$G,$Z3,$H:$H,$AB3)</f>
        <v>0</v>
      </c>
      <c r="AT3" s="154" t="s">
        <v>149</v>
      </c>
      <c r="AU3" s="155" t="s">
        <v>150</v>
      </c>
      <c r="AV3" s="156" t="s">
        <v>151</v>
      </c>
    </row>
    <row r="4" spans="2:48" s="10" customFormat="1" ht="13.5" customHeight="1" x14ac:dyDescent="0.25">
      <c r="B4" s="17">
        <v>2</v>
      </c>
      <c r="E4" s="72"/>
      <c r="F4" s="18"/>
      <c r="J4" s="11"/>
      <c r="K4" s="11">
        <f t="shared" si="0"/>
        <v>0</v>
      </c>
      <c r="L4" s="37">
        <f t="shared" si="1"/>
        <v>0</v>
      </c>
      <c r="M4" s="11"/>
      <c r="O4" s="21"/>
      <c r="P4" s="21"/>
      <c r="Q4" s="21"/>
      <c r="R4" s="23"/>
      <c r="S4" s="50"/>
      <c r="T4" s="48"/>
      <c r="U4" s="81"/>
      <c r="V4" s="26"/>
      <c r="W4" s="200"/>
      <c r="X4" s="17"/>
      <c r="Z4">
        <v>1</v>
      </c>
      <c r="AA4" s="416"/>
      <c r="AB4" s="95">
        <v>2</v>
      </c>
      <c r="AC4" s="101" t="s">
        <v>61</v>
      </c>
      <c r="AD4" s="41">
        <f t="shared" ref="AD4:AD67" si="2">SUM(AE4:AH4)</f>
        <v>0</v>
      </c>
      <c r="AE4" s="70">
        <f t="shared" ref="AE4:AE67" si="3">SUMIFS($I:$I,$C:$C, $AE$2,$G:$G,$Z4,$H:$H,$AB4)</f>
        <v>0</v>
      </c>
      <c r="AF4" s="70">
        <f t="shared" ref="AF4:AF67" si="4">SUMIFS($I:$I,$C:$C, $AF$2,$G:$G,$Z4,$H:$H,$AB4)</f>
        <v>0</v>
      </c>
      <c r="AG4" s="70">
        <f t="shared" ref="AG4:AG67" si="5">SUMIFS($I:$I,$C:$C, $AG$2,$G:$G,$Z4,$H:$H,$AB4)</f>
        <v>0</v>
      </c>
      <c r="AH4" s="109">
        <f t="shared" ref="AH4:AH67" si="6">SUMIFS($I:$I,$C:$C, $AH$2,$G:$G,$Z4,$H:$H,$AB4)</f>
        <v>0</v>
      </c>
      <c r="AI4" s="120">
        <f t="shared" ref="AI4:AI67" si="7">SUM(AJ4:AM4)</f>
        <v>0</v>
      </c>
      <c r="AJ4" s="121">
        <f t="shared" ref="AJ4:AJ67" si="8">COUNTIFS($C:$C, $AJ$2,$G:$G,$Z4,$H:$H,$AB4)</f>
        <v>0</v>
      </c>
      <c r="AK4" s="121">
        <f t="shared" ref="AK4:AK67" si="9">COUNTIFS($C:$C, $AK$2,$G:$G,$Z4,$H:$H,$AB4)</f>
        <v>0</v>
      </c>
      <c r="AL4" s="121">
        <f t="shared" ref="AL4:AL67" si="10">COUNTIFS($C:$C, $AL$2,$G:$G,$Z4,$H:$H,$AB4)</f>
        <v>0</v>
      </c>
      <c r="AM4" s="122">
        <f t="shared" ref="AM4:AM67" si="11">COUNTIFS($C:$C, $AM$2,$G:$G,$Z4,$H:$H,$AB4)</f>
        <v>0</v>
      </c>
      <c r="AN4" s="41">
        <f t="shared" ref="AN4:AN67" si="12">SUM(AO4:AR4)</f>
        <v>0</v>
      </c>
      <c r="AO4" s="70">
        <f t="shared" ref="AO4:AO67" si="13">SUMIFS($L:$L,$C:$C, $AO$2,$G:$G,$Z4,$H:$H,$AB4)</f>
        <v>0</v>
      </c>
      <c r="AP4" s="70">
        <f t="shared" ref="AP4:AP67" si="14">SUMIFS($L:$L,$C:$C, $AP$2,$G:$G,$Z4,$H:$H,$AB4)</f>
        <v>0</v>
      </c>
      <c r="AQ4" s="70">
        <f t="shared" ref="AQ4:AQ67" si="15">SUMIFS($L:$L,$C:$C, $AQ$2,$G:$G,$Z4,$H:$H,$AB4)</f>
        <v>0</v>
      </c>
      <c r="AR4" s="70">
        <f t="shared" ref="AR4:AR67" si="16">SUMIFS($L:$L,$C:$C, $AR$2,$G:$G,$Z4,$H:$H,$AB4)</f>
        <v>0</v>
      </c>
      <c r="AT4" s="157">
        <v>1</v>
      </c>
      <c r="AU4" s="158">
        <f>COUNTIFS($U:$U,$AU$3,$G:$G,$AT4)</f>
        <v>0</v>
      </c>
      <c r="AV4" s="159">
        <f>COUNTIFS($U:$U,$AV$3,$G:$G,$AT4)</f>
        <v>0</v>
      </c>
    </row>
    <row r="5" spans="2:48" s="10" customFormat="1" ht="13.5" customHeight="1" x14ac:dyDescent="0.25">
      <c r="B5" s="17">
        <v>3</v>
      </c>
      <c r="E5" s="72"/>
      <c r="F5" s="18"/>
      <c r="J5" s="11"/>
      <c r="K5" s="11">
        <f t="shared" si="0"/>
        <v>0</v>
      </c>
      <c r="L5" s="37">
        <f t="shared" si="1"/>
        <v>0</v>
      </c>
      <c r="M5" s="11"/>
      <c r="O5" s="21"/>
      <c r="P5" s="21"/>
      <c r="Q5" s="21"/>
      <c r="R5" s="23"/>
      <c r="S5" s="50"/>
      <c r="T5" s="48"/>
      <c r="U5" s="81"/>
      <c r="V5" s="26"/>
      <c r="W5" s="200"/>
      <c r="X5" s="17"/>
      <c r="Z5">
        <v>1</v>
      </c>
      <c r="AA5" s="416"/>
      <c r="AB5" s="95">
        <v>3</v>
      </c>
      <c r="AC5" s="102" t="s">
        <v>62</v>
      </c>
      <c r="AD5" s="41">
        <f t="shared" si="2"/>
        <v>0</v>
      </c>
      <c r="AE5" s="70">
        <f t="shared" si="3"/>
        <v>0</v>
      </c>
      <c r="AF5" s="70">
        <f t="shared" si="4"/>
        <v>0</v>
      </c>
      <c r="AG5" s="70">
        <f t="shared" si="5"/>
        <v>0</v>
      </c>
      <c r="AH5" s="109">
        <f t="shared" si="6"/>
        <v>0</v>
      </c>
      <c r="AI5" s="120">
        <f t="shared" si="7"/>
        <v>0</v>
      </c>
      <c r="AJ5" s="121">
        <f t="shared" si="8"/>
        <v>0</v>
      </c>
      <c r="AK5" s="121">
        <f t="shared" si="9"/>
        <v>0</v>
      </c>
      <c r="AL5" s="121">
        <f t="shared" si="10"/>
        <v>0</v>
      </c>
      <c r="AM5" s="122">
        <f t="shared" si="11"/>
        <v>0</v>
      </c>
      <c r="AN5" s="41">
        <f t="shared" si="12"/>
        <v>0</v>
      </c>
      <c r="AO5" s="70">
        <f t="shared" si="13"/>
        <v>0</v>
      </c>
      <c r="AP5" s="70">
        <f t="shared" si="14"/>
        <v>0</v>
      </c>
      <c r="AQ5" s="70">
        <f t="shared" si="15"/>
        <v>0</v>
      </c>
      <c r="AR5" s="70">
        <f t="shared" si="16"/>
        <v>0</v>
      </c>
      <c r="AT5" s="157">
        <v>2</v>
      </c>
      <c r="AU5" s="158">
        <f t="shared" ref="AU5:AU15" si="17">COUNTIFS($U:$U,$AU$3,$G:$G,$AT5)</f>
        <v>0</v>
      </c>
      <c r="AV5" s="159">
        <f t="shared" ref="AV5:AV15" si="18">COUNTIFS($U:$U,$AV$3,$G:$G,$AT5)</f>
        <v>0</v>
      </c>
    </row>
    <row r="6" spans="2:48" s="10" customFormat="1" ht="13.5" customHeight="1" x14ac:dyDescent="0.25">
      <c r="B6" s="17">
        <v>4</v>
      </c>
      <c r="E6" s="72"/>
      <c r="F6" s="18"/>
      <c r="J6" s="11"/>
      <c r="K6" s="11">
        <f t="shared" si="0"/>
        <v>0</v>
      </c>
      <c r="L6" s="37">
        <f t="shared" si="1"/>
        <v>0</v>
      </c>
      <c r="M6" s="11"/>
      <c r="O6" s="21"/>
      <c r="P6" s="21"/>
      <c r="Q6" s="21"/>
      <c r="R6" s="23"/>
      <c r="S6" s="50"/>
      <c r="T6" s="48"/>
      <c r="U6" s="81"/>
      <c r="V6" s="26"/>
      <c r="W6" s="200"/>
      <c r="X6" s="17"/>
      <c r="Z6">
        <v>1</v>
      </c>
      <c r="AA6" s="416"/>
      <c r="AB6" s="95">
        <v>4</v>
      </c>
      <c r="AC6" s="102" t="s">
        <v>63</v>
      </c>
      <c r="AD6" s="41">
        <f t="shared" si="2"/>
        <v>0</v>
      </c>
      <c r="AE6" s="70">
        <f t="shared" si="3"/>
        <v>0</v>
      </c>
      <c r="AF6" s="70">
        <f t="shared" si="4"/>
        <v>0</v>
      </c>
      <c r="AG6" s="70">
        <f t="shared" si="5"/>
        <v>0</v>
      </c>
      <c r="AH6" s="109">
        <f t="shared" si="6"/>
        <v>0</v>
      </c>
      <c r="AI6" s="120">
        <f t="shared" si="7"/>
        <v>0</v>
      </c>
      <c r="AJ6" s="121">
        <f t="shared" si="8"/>
        <v>0</v>
      </c>
      <c r="AK6" s="121">
        <f t="shared" si="9"/>
        <v>0</v>
      </c>
      <c r="AL6" s="121">
        <f t="shared" si="10"/>
        <v>0</v>
      </c>
      <c r="AM6" s="122">
        <f t="shared" si="11"/>
        <v>0</v>
      </c>
      <c r="AN6" s="41">
        <f t="shared" si="12"/>
        <v>0</v>
      </c>
      <c r="AO6" s="70">
        <f t="shared" si="13"/>
        <v>0</v>
      </c>
      <c r="AP6" s="70">
        <f t="shared" si="14"/>
        <v>0</v>
      </c>
      <c r="AQ6" s="70">
        <f t="shared" si="15"/>
        <v>0</v>
      </c>
      <c r="AR6" s="70">
        <f t="shared" si="16"/>
        <v>0</v>
      </c>
      <c r="AT6" s="157">
        <v>3</v>
      </c>
      <c r="AU6" s="158">
        <f t="shared" si="17"/>
        <v>0</v>
      </c>
      <c r="AV6" s="159">
        <f t="shared" si="18"/>
        <v>0</v>
      </c>
    </row>
    <row r="7" spans="2:48" s="10" customFormat="1" ht="13.5" customHeight="1" x14ac:dyDescent="0.25">
      <c r="B7" s="17">
        <v>5</v>
      </c>
      <c r="E7" s="72"/>
      <c r="F7" s="18"/>
      <c r="J7" s="11"/>
      <c r="K7" s="11">
        <f t="shared" si="0"/>
        <v>0</v>
      </c>
      <c r="L7" s="37">
        <f t="shared" si="1"/>
        <v>0</v>
      </c>
      <c r="M7" s="11"/>
      <c r="O7" s="21"/>
      <c r="P7" s="21"/>
      <c r="Q7" s="21"/>
      <c r="R7" s="23"/>
      <c r="S7" s="50"/>
      <c r="T7" s="48"/>
      <c r="U7" s="81"/>
      <c r="V7" s="26"/>
      <c r="W7" s="200"/>
      <c r="X7" s="17"/>
      <c r="Z7">
        <v>1</v>
      </c>
      <c r="AA7" s="416"/>
      <c r="AB7" s="96">
        <v>5</v>
      </c>
      <c r="AC7" s="102" t="s">
        <v>64</v>
      </c>
      <c r="AD7" s="41">
        <f t="shared" si="2"/>
        <v>0</v>
      </c>
      <c r="AE7" s="70">
        <f t="shared" si="3"/>
        <v>0</v>
      </c>
      <c r="AF7" s="70">
        <f t="shared" si="4"/>
        <v>0</v>
      </c>
      <c r="AG7" s="70">
        <f t="shared" si="5"/>
        <v>0</v>
      </c>
      <c r="AH7" s="109">
        <f t="shared" si="6"/>
        <v>0</v>
      </c>
      <c r="AI7" s="120">
        <f t="shared" si="7"/>
        <v>0</v>
      </c>
      <c r="AJ7" s="121">
        <f t="shared" si="8"/>
        <v>0</v>
      </c>
      <c r="AK7" s="121">
        <f t="shared" si="9"/>
        <v>0</v>
      </c>
      <c r="AL7" s="121">
        <f t="shared" si="10"/>
        <v>0</v>
      </c>
      <c r="AM7" s="122">
        <f t="shared" si="11"/>
        <v>0</v>
      </c>
      <c r="AN7" s="41">
        <f t="shared" si="12"/>
        <v>0</v>
      </c>
      <c r="AO7" s="70">
        <f t="shared" si="13"/>
        <v>0</v>
      </c>
      <c r="AP7" s="70">
        <f t="shared" si="14"/>
        <v>0</v>
      </c>
      <c r="AQ7" s="70">
        <f t="shared" si="15"/>
        <v>0</v>
      </c>
      <c r="AR7" s="70">
        <f t="shared" si="16"/>
        <v>0</v>
      </c>
      <c r="AT7" s="157">
        <v>4</v>
      </c>
      <c r="AU7" s="158">
        <f t="shared" si="17"/>
        <v>0</v>
      </c>
      <c r="AV7" s="159">
        <f t="shared" si="18"/>
        <v>0</v>
      </c>
    </row>
    <row r="8" spans="2:48" s="10" customFormat="1" ht="13.5" customHeight="1" thickBot="1" x14ac:dyDescent="0.3">
      <c r="B8" s="17">
        <v>6</v>
      </c>
      <c r="E8" s="72"/>
      <c r="F8" s="18"/>
      <c r="J8" s="11"/>
      <c r="K8" s="11">
        <f t="shared" si="0"/>
        <v>0</v>
      </c>
      <c r="L8" s="37">
        <f t="shared" si="1"/>
        <v>0</v>
      </c>
      <c r="M8" s="11"/>
      <c r="O8" s="21"/>
      <c r="P8" s="21"/>
      <c r="Q8" s="21"/>
      <c r="R8" s="23"/>
      <c r="S8" s="50"/>
      <c r="T8" s="48"/>
      <c r="U8" s="81"/>
      <c r="V8" s="26"/>
      <c r="W8" s="200"/>
      <c r="X8" s="17"/>
      <c r="Z8">
        <v>1</v>
      </c>
      <c r="AA8" s="417"/>
      <c r="AB8" s="97" t="s">
        <v>3</v>
      </c>
      <c r="AC8" s="103"/>
      <c r="AD8" s="99">
        <f>SUM(AD3:AD7)</f>
        <v>0</v>
      </c>
      <c r="AE8" s="99">
        <f t="shared" ref="AE8" si="19">SUM(AE3:AE7)</f>
        <v>0</v>
      </c>
      <c r="AF8" s="99">
        <f t="shared" ref="AF8" si="20">SUM(AF3:AF7)</f>
        <v>0</v>
      </c>
      <c r="AG8" s="99">
        <f t="shared" ref="AG8" si="21">SUM(AG3:AG7)</f>
        <v>0</v>
      </c>
      <c r="AH8" s="110">
        <f t="shared" ref="AH8" si="22">SUM(AH3:AH7)</f>
        <v>0</v>
      </c>
      <c r="AI8" s="123">
        <f t="shared" ref="AI8" si="23">SUM(AI3:AI7)</f>
        <v>0</v>
      </c>
      <c r="AJ8" s="124">
        <f t="shared" ref="AJ8" si="24">SUM(AJ3:AJ7)</f>
        <v>0</v>
      </c>
      <c r="AK8" s="124">
        <f t="shared" ref="AK8" si="25">SUM(AK3:AK7)</f>
        <v>0</v>
      </c>
      <c r="AL8" s="124">
        <f t="shared" ref="AL8" si="26">SUM(AL3:AL7)</f>
        <v>0</v>
      </c>
      <c r="AM8" s="125">
        <f t="shared" ref="AM8" si="27">SUM(AM3:AM7)</f>
        <v>0</v>
      </c>
      <c r="AN8" s="99">
        <f t="shared" ref="AN8" si="28">SUM(AN3:AN7)</f>
        <v>0</v>
      </c>
      <c r="AO8" s="99">
        <f t="shared" ref="AO8" si="29">SUM(AO3:AO7)</f>
        <v>0</v>
      </c>
      <c r="AP8" s="99">
        <f t="shared" ref="AP8" si="30">SUM(AP3:AP7)</f>
        <v>0</v>
      </c>
      <c r="AQ8" s="99">
        <f t="shared" ref="AQ8" si="31">SUM(AQ3:AQ7)</f>
        <v>0</v>
      </c>
      <c r="AR8" s="99">
        <f t="shared" ref="AR8" si="32">SUM(AR3:AR7)</f>
        <v>0</v>
      </c>
      <c r="AT8" s="157">
        <v>5</v>
      </c>
      <c r="AU8" s="158">
        <f t="shared" si="17"/>
        <v>0</v>
      </c>
      <c r="AV8" s="159">
        <f t="shared" si="18"/>
        <v>0</v>
      </c>
    </row>
    <row r="9" spans="2:48" s="10" customFormat="1" ht="13.5" customHeight="1" x14ac:dyDescent="0.25">
      <c r="B9" s="17">
        <v>7</v>
      </c>
      <c r="E9" s="72"/>
      <c r="J9" s="11"/>
      <c r="K9" s="11">
        <f t="shared" si="0"/>
        <v>0</v>
      </c>
      <c r="L9" s="37">
        <f t="shared" si="1"/>
        <v>0</v>
      </c>
      <c r="M9" s="11"/>
      <c r="Q9" s="21"/>
      <c r="R9" s="51"/>
      <c r="S9" s="50"/>
      <c r="T9" s="48"/>
      <c r="U9" s="81"/>
      <c r="V9" s="26"/>
      <c r="W9" s="200"/>
      <c r="X9" s="17"/>
      <c r="Z9">
        <v>2</v>
      </c>
      <c r="AA9" s="415">
        <v>2</v>
      </c>
      <c r="AB9" s="94">
        <v>1</v>
      </c>
      <c r="AC9" s="104" t="s">
        <v>106</v>
      </c>
      <c r="AD9" s="41">
        <f t="shared" si="2"/>
        <v>0</v>
      </c>
      <c r="AE9" s="70">
        <f t="shared" si="3"/>
        <v>0</v>
      </c>
      <c r="AF9" s="70">
        <f t="shared" si="4"/>
        <v>0</v>
      </c>
      <c r="AG9" s="70">
        <f t="shared" si="5"/>
        <v>0</v>
      </c>
      <c r="AH9" s="109">
        <f t="shared" si="6"/>
        <v>0</v>
      </c>
      <c r="AI9" s="120">
        <f t="shared" si="7"/>
        <v>0</v>
      </c>
      <c r="AJ9" s="121">
        <f t="shared" si="8"/>
        <v>0</v>
      </c>
      <c r="AK9" s="121">
        <f t="shared" si="9"/>
        <v>0</v>
      </c>
      <c r="AL9" s="121">
        <f t="shared" si="10"/>
        <v>0</v>
      </c>
      <c r="AM9" s="122">
        <f t="shared" si="11"/>
        <v>0</v>
      </c>
      <c r="AN9" s="41">
        <f t="shared" si="12"/>
        <v>0</v>
      </c>
      <c r="AO9" s="70">
        <f t="shared" si="13"/>
        <v>0</v>
      </c>
      <c r="AP9" s="70">
        <f t="shared" si="14"/>
        <v>0</v>
      </c>
      <c r="AQ9" s="70">
        <f t="shared" si="15"/>
        <v>0</v>
      </c>
      <c r="AR9" s="70">
        <f t="shared" si="16"/>
        <v>0</v>
      </c>
      <c r="AT9" s="157">
        <v>6</v>
      </c>
      <c r="AU9" s="158">
        <f t="shared" si="17"/>
        <v>0</v>
      </c>
      <c r="AV9" s="159">
        <f t="shared" si="18"/>
        <v>0</v>
      </c>
    </row>
    <row r="10" spans="2:48" s="10" customFormat="1" ht="13.5" customHeight="1" x14ac:dyDescent="0.25">
      <c r="B10" s="17">
        <v>8</v>
      </c>
      <c r="E10" s="72"/>
      <c r="J10" s="11"/>
      <c r="K10" s="11">
        <f t="shared" si="0"/>
        <v>0</v>
      </c>
      <c r="L10" s="37">
        <f t="shared" si="1"/>
        <v>0</v>
      </c>
      <c r="M10" s="11"/>
      <c r="Q10" s="21"/>
      <c r="R10" s="51"/>
      <c r="S10" s="50"/>
      <c r="T10" s="48"/>
      <c r="U10" s="81"/>
      <c r="V10" s="26"/>
      <c r="W10" s="200"/>
      <c r="X10" s="17"/>
      <c r="Z10">
        <v>2</v>
      </c>
      <c r="AA10" s="416"/>
      <c r="AB10" s="95">
        <v>2</v>
      </c>
      <c r="AC10" s="102" t="s">
        <v>65</v>
      </c>
      <c r="AD10" s="41">
        <f t="shared" si="2"/>
        <v>0</v>
      </c>
      <c r="AE10" s="70">
        <f t="shared" si="3"/>
        <v>0</v>
      </c>
      <c r="AF10" s="70">
        <f t="shared" si="4"/>
        <v>0</v>
      </c>
      <c r="AG10" s="70">
        <f t="shared" si="5"/>
        <v>0</v>
      </c>
      <c r="AH10" s="109">
        <f t="shared" si="6"/>
        <v>0</v>
      </c>
      <c r="AI10" s="120">
        <f t="shared" si="7"/>
        <v>0</v>
      </c>
      <c r="AJ10" s="121">
        <f t="shared" si="8"/>
        <v>0</v>
      </c>
      <c r="AK10" s="121">
        <f t="shared" si="9"/>
        <v>0</v>
      </c>
      <c r="AL10" s="121">
        <f t="shared" si="10"/>
        <v>0</v>
      </c>
      <c r="AM10" s="122">
        <f t="shared" si="11"/>
        <v>0</v>
      </c>
      <c r="AN10" s="41">
        <f t="shared" si="12"/>
        <v>0</v>
      </c>
      <c r="AO10" s="70">
        <f t="shared" si="13"/>
        <v>0</v>
      </c>
      <c r="AP10" s="70">
        <f t="shared" si="14"/>
        <v>0</v>
      </c>
      <c r="AQ10" s="70">
        <f t="shared" si="15"/>
        <v>0</v>
      </c>
      <c r="AR10" s="70">
        <f t="shared" si="16"/>
        <v>0</v>
      </c>
      <c r="AT10" s="157">
        <v>7</v>
      </c>
      <c r="AU10" s="158">
        <f t="shared" si="17"/>
        <v>0</v>
      </c>
      <c r="AV10" s="159">
        <f t="shared" si="18"/>
        <v>0</v>
      </c>
    </row>
    <row r="11" spans="2:48" s="10" customFormat="1" ht="13.5" customHeight="1" x14ac:dyDescent="0.25">
      <c r="B11" s="17">
        <v>9</v>
      </c>
      <c r="E11" s="72"/>
      <c r="J11" s="11"/>
      <c r="K11" s="11">
        <f t="shared" si="0"/>
        <v>0</v>
      </c>
      <c r="L11" s="37">
        <f t="shared" si="1"/>
        <v>0</v>
      </c>
      <c r="M11" s="11"/>
      <c r="Q11" s="21"/>
      <c r="R11" s="51"/>
      <c r="S11" s="50"/>
      <c r="T11" s="48"/>
      <c r="U11" s="81"/>
      <c r="V11" s="26"/>
      <c r="W11" s="200"/>
      <c r="X11" s="17"/>
      <c r="Z11">
        <v>2</v>
      </c>
      <c r="AA11" s="416"/>
      <c r="AB11" s="95">
        <v>3</v>
      </c>
      <c r="AC11" s="102" t="s">
        <v>66</v>
      </c>
      <c r="AD11" s="41">
        <f t="shared" si="2"/>
        <v>0</v>
      </c>
      <c r="AE11" s="70">
        <f t="shared" si="3"/>
        <v>0</v>
      </c>
      <c r="AF11" s="70">
        <f t="shared" si="4"/>
        <v>0</v>
      </c>
      <c r="AG11" s="70">
        <f t="shared" si="5"/>
        <v>0</v>
      </c>
      <c r="AH11" s="109">
        <f t="shared" si="6"/>
        <v>0</v>
      </c>
      <c r="AI11" s="120">
        <f t="shared" si="7"/>
        <v>0</v>
      </c>
      <c r="AJ11" s="121">
        <f t="shared" si="8"/>
        <v>0</v>
      </c>
      <c r="AK11" s="121">
        <f t="shared" si="9"/>
        <v>0</v>
      </c>
      <c r="AL11" s="121">
        <f t="shared" si="10"/>
        <v>0</v>
      </c>
      <c r="AM11" s="122">
        <f t="shared" si="11"/>
        <v>0</v>
      </c>
      <c r="AN11" s="41">
        <f t="shared" si="12"/>
        <v>0</v>
      </c>
      <c r="AO11" s="70">
        <f t="shared" si="13"/>
        <v>0</v>
      </c>
      <c r="AP11" s="70">
        <f t="shared" si="14"/>
        <v>0</v>
      </c>
      <c r="AQ11" s="70">
        <f t="shared" si="15"/>
        <v>0</v>
      </c>
      <c r="AR11" s="70">
        <f t="shared" si="16"/>
        <v>0</v>
      </c>
      <c r="AT11" s="157">
        <v>8</v>
      </c>
      <c r="AU11" s="158">
        <f t="shared" si="17"/>
        <v>0</v>
      </c>
      <c r="AV11" s="159">
        <f t="shared" si="18"/>
        <v>0</v>
      </c>
    </row>
    <row r="12" spans="2:48" s="10" customFormat="1" ht="13.5" customHeight="1" x14ac:dyDescent="0.25">
      <c r="B12" s="17">
        <v>10</v>
      </c>
      <c r="E12" s="72"/>
      <c r="F12" s="18"/>
      <c r="J12" s="11"/>
      <c r="K12" s="11">
        <f t="shared" si="0"/>
        <v>0</v>
      </c>
      <c r="L12" s="37">
        <f t="shared" si="1"/>
        <v>0</v>
      </c>
      <c r="M12" s="11"/>
      <c r="Q12" s="21"/>
      <c r="R12" s="51"/>
      <c r="S12" s="50"/>
      <c r="T12" s="48"/>
      <c r="U12" s="81"/>
      <c r="V12" s="26"/>
      <c r="W12" s="200"/>
      <c r="X12" s="17"/>
      <c r="Z12">
        <v>2</v>
      </c>
      <c r="AA12" s="416"/>
      <c r="AB12" s="95">
        <v>4</v>
      </c>
      <c r="AC12" s="102" t="s">
        <v>67</v>
      </c>
      <c r="AD12" s="41">
        <f t="shared" si="2"/>
        <v>0</v>
      </c>
      <c r="AE12" s="70">
        <f t="shared" si="3"/>
        <v>0</v>
      </c>
      <c r="AF12" s="70">
        <f t="shared" si="4"/>
        <v>0</v>
      </c>
      <c r="AG12" s="70">
        <f t="shared" si="5"/>
        <v>0</v>
      </c>
      <c r="AH12" s="109">
        <f t="shared" si="6"/>
        <v>0</v>
      </c>
      <c r="AI12" s="120">
        <f t="shared" si="7"/>
        <v>0</v>
      </c>
      <c r="AJ12" s="121">
        <f t="shared" si="8"/>
        <v>0</v>
      </c>
      <c r="AK12" s="121">
        <f t="shared" si="9"/>
        <v>0</v>
      </c>
      <c r="AL12" s="121">
        <f t="shared" si="10"/>
        <v>0</v>
      </c>
      <c r="AM12" s="122">
        <f t="shared" si="11"/>
        <v>0</v>
      </c>
      <c r="AN12" s="41">
        <f t="shared" si="12"/>
        <v>0</v>
      </c>
      <c r="AO12" s="70">
        <f t="shared" si="13"/>
        <v>0</v>
      </c>
      <c r="AP12" s="70">
        <f t="shared" si="14"/>
        <v>0</v>
      </c>
      <c r="AQ12" s="70">
        <f t="shared" si="15"/>
        <v>0</v>
      </c>
      <c r="AR12" s="70">
        <f t="shared" si="16"/>
        <v>0</v>
      </c>
      <c r="AT12" s="157">
        <v>9</v>
      </c>
      <c r="AU12" s="158">
        <f t="shared" si="17"/>
        <v>0</v>
      </c>
      <c r="AV12" s="159">
        <f t="shared" si="18"/>
        <v>0</v>
      </c>
    </row>
    <row r="13" spans="2:48" s="10" customFormat="1" ht="13.5" customHeight="1" x14ac:dyDescent="0.25">
      <c r="B13" s="17">
        <v>11</v>
      </c>
      <c r="E13" s="72"/>
      <c r="F13" s="18"/>
      <c r="J13" s="11"/>
      <c r="K13" s="11">
        <f t="shared" si="0"/>
        <v>0</v>
      </c>
      <c r="L13" s="37">
        <f t="shared" si="1"/>
        <v>0</v>
      </c>
      <c r="M13" s="11"/>
      <c r="O13" s="21"/>
      <c r="P13" s="21"/>
      <c r="Q13" s="21"/>
      <c r="R13" s="51"/>
      <c r="S13" s="50"/>
      <c r="T13" s="48"/>
      <c r="U13" s="81"/>
      <c r="V13" s="26"/>
      <c r="W13" s="200"/>
      <c r="X13" s="17"/>
      <c r="Z13">
        <v>2</v>
      </c>
      <c r="AA13" s="416"/>
      <c r="AB13" s="96">
        <v>5</v>
      </c>
      <c r="AC13" s="102"/>
      <c r="AD13" s="41">
        <f t="shared" si="2"/>
        <v>0</v>
      </c>
      <c r="AE13" s="70">
        <f t="shared" si="3"/>
        <v>0</v>
      </c>
      <c r="AF13" s="70">
        <f t="shared" si="4"/>
        <v>0</v>
      </c>
      <c r="AG13" s="70">
        <f t="shared" si="5"/>
        <v>0</v>
      </c>
      <c r="AH13" s="109">
        <f t="shared" si="6"/>
        <v>0</v>
      </c>
      <c r="AI13" s="120">
        <f t="shared" si="7"/>
        <v>0</v>
      </c>
      <c r="AJ13" s="121">
        <f t="shared" si="8"/>
        <v>0</v>
      </c>
      <c r="AK13" s="121">
        <f t="shared" si="9"/>
        <v>0</v>
      </c>
      <c r="AL13" s="121">
        <f t="shared" si="10"/>
        <v>0</v>
      </c>
      <c r="AM13" s="122">
        <f t="shared" si="11"/>
        <v>0</v>
      </c>
      <c r="AN13" s="41">
        <f t="shared" si="12"/>
        <v>0</v>
      </c>
      <c r="AO13" s="70">
        <f t="shared" si="13"/>
        <v>0</v>
      </c>
      <c r="AP13" s="70">
        <f t="shared" si="14"/>
        <v>0</v>
      </c>
      <c r="AQ13" s="70">
        <f t="shared" si="15"/>
        <v>0</v>
      </c>
      <c r="AR13" s="70">
        <f t="shared" si="16"/>
        <v>0</v>
      </c>
      <c r="AT13" s="157">
        <v>10</v>
      </c>
      <c r="AU13" s="158">
        <f t="shared" si="17"/>
        <v>0</v>
      </c>
      <c r="AV13" s="159">
        <f t="shared" si="18"/>
        <v>0</v>
      </c>
    </row>
    <row r="14" spans="2:48" s="10" customFormat="1" ht="13.5" customHeight="1" thickBot="1" x14ac:dyDescent="0.3">
      <c r="B14" s="17">
        <v>12</v>
      </c>
      <c r="E14" s="72"/>
      <c r="F14" s="18"/>
      <c r="J14" s="11"/>
      <c r="K14" s="11">
        <f t="shared" si="0"/>
        <v>0</v>
      </c>
      <c r="L14" s="37">
        <f t="shared" si="1"/>
        <v>0</v>
      </c>
      <c r="M14" s="11"/>
      <c r="O14" s="21"/>
      <c r="P14" s="21"/>
      <c r="Q14" s="21"/>
      <c r="R14" s="50"/>
      <c r="S14" s="50"/>
      <c r="T14" s="48"/>
      <c r="U14" s="81"/>
      <c r="V14" s="31"/>
      <c r="W14" s="200"/>
      <c r="X14" s="17"/>
      <c r="Z14">
        <v>2</v>
      </c>
      <c r="AA14" s="417"/>
      <c r="AB14" s="97" t="s">
        <v>3</v>
      </c>
      <c r="AC14" s="103"/>
      <c r="AD14" s="99">
        <f>SUM(AD9:AD13)</f>
        <v>0</v>
      </c>
      <c r="AE14" s="99">
        <f t="shared" ref="AE14" si="33">SUM(AE9:AE13)</f>
        <v>0</v>
      </c>
      <c r="AF14" s="99">
        <f t="shared" ref="AF14" si="34">SUM(AF9:AF13)</f>
        <v>0</v>
      </c>
      <c r="AG14" s="99">
        <f t="shared" ref="AG14" si="35">SUM(AG9:AG13)</f>
        <v>0</v>
      </c>
      <c r="AH14" s="110">
        <f t="shared" ref="AH14" si="36">SUM(AH9:AH13)</f>
        <v>0</v>
      </c>
      <c r="AI14" s="123">
        <f t="shared" ref="AI14" si="37">SUM(AI9:AI13)</f>
        <v>0</v>
      </c>
      <c r="AJ14" s="124">
        <f t="shared" ref="AJ14" si="38">SUM(AJ9:AJ13)</f>
        <v>0</v>
      </c>
      <c r="AK14" s="124">
        <f t="shared" ref="AK14" si="39">SUM(AK9:AK13)</f>
        <v>0</v>
      </c>
      <c r="AL14" s="124">
        <f t="shared" ref="AL14" si="40">SUM(AL9:AL13)</f>
        <v>0</v>
      </c>
      <c r="AM14" s="125">
        <f t="shared" ref="AM14" si="41">SUM(AM9:AM13)</f>
        <v>0</v>
      </c>
      <c r="AN14" s="99">
        <f t="shared" ref="AN14" si="42">SUM(AN9:AN13)</f>
        <v>0</v>
      </c>
      <c r="AO14" s="99">
        <f t="shared" ref="AO14" si="43">SUM(AO9:AO13)</f>
        <v>0</v>
      </c>
      <c r="AP14" s="99">
        <f t="shared" ref="AP14" si="44">SUM(AP9:AP13)</f>
        <v>0</v>
      </c>
      <c r="AQ14" s="99">
        <f t="shared" ref="AQ14" si="45">SUM(AQ9:AQ13)</f>
        <v>0</v>
      </c>
      <c r="AR14" s="99">
        <f t="shared" ref="AR14" si="46">SUM(AR9:AR13)</f>
        <v>0</v>
      </c>
      <c r="AT14" s="157">
        <v>11</v>
      </c>
      <c r="AU14" s="158">
        <f t="shared" si="17"/>
        <v>0</v>
      </c>
      <c r="AV14" s="159">
        <f t="shared" si="18"/>
        <v>0</v>
      </c>
    </row>
    <row r="15" spans="2:48" s="10" customFormat="1" ht="13.5" customHeight="1" thickBot="1" x14ac:dyDescent="0.3">
      <c r="B15" s="17">
        <v>13</v>
      </c>
      <c r="E15" s="72"/>
      <c r="F15" s="18"/>
      <c r="J15" s="11"/>
      <c r="K15" s="11">
        <f t="shared" si="0"/>
        <v>0</v>
      </c>
      <c r="L15" s="37">
        <f t="shared" si="1"/>
        <v>0</v>
      </c>
      <c r="M15" s="11"/>
      <c r="O15" s="21"/>
      <c r="P15" s="21"/>
      <c r="Q15" s="21"/>
      <c r="R15" s="50"/>
      <c r="S15" s="50"/>
      <c r="T15" s="48"/>
      <c r="U15" s="81"/>
      <c r="V15" s="32"/>
      <c r="W15" s="200"/>
      <c r="X15" s="17"/>
      <c r="Z15">
        <v>3</v>
      </c>
      <c r="AA15" s="415">
        <v>3</v>
      </c>
      <c r="AB15" s="94">
        <v>1</v>
      </c>
      <c r="AC15" s="100" t="s">
        <v>107</v>
      </c>
      <c r="AD15" s="41">
        <f t="shared" si="2"/>
        <v>0</v>
      </c>
      <c r="AE15" s="70">
        <f t="shared" si="3"/>
        <v>0</v>
      </c>
      <c r="AF15" s="70">
        <f t="shared" si="4"/>
        <v>0</v>
      </c>
      <c r="AG15" s="70">
        <f t="shared" si="5"/>
        <v>0</v>
      </c>
      <c r="AH15" s="109">
        <f t="shared" si="6"/>
        <v>0</v>
      </c>
      <c r="AI15" s="120">
        <f t="shared" si="7"/>
        <v>0</v>
      </c>
      <c r="AJ15" s="121">
        <f t="shared" si="8"/>
        <v>0</v>
      </c>
      <c r="AK15" s="121">
        <f t="shared" si="9"/>
        <v>0</v>
      </c>
      <c r="AL15" s="121">
        <f t="shared" si="10"/>
        <v>0</v>
      </c>
      <c r="AM15" s="122">
        <f t="shared" si="11"/>
        <v>0</v>
      </c>
      <c r="AN15" s="41">
        <f t="shared" si="12"/>
        <v>0</v>
      </c>
      <c r="AO15" s="70">
        <f t="shared" si="13"/>
        <v>0</v>
      </c>
      <c r="AP15" s="70">
        <f t="shared" si="14"/>
        <v>0</v>
      </c>
      <c r="AQ15" s="70">
        <f t="shared" si="15"/>
        <v>0</v>
      </c>
      <c r="AR15" s="70">
        <f t="shared" si="16"/>
        <v>0</v>
      </c>
      <c r="AT15" s="160">
        <v>12</v>
      </c>
      <c r="AU15" s="158">
        <f t="shared" si="17"/>
        <v>0</v>
      </c>
      <c r="AV15" s="159">
        <f t="shared" si="18"/>
        <v>0</v>
      </c>
    </row>
    <row r="16" spans="2:48" s="10" customFormat="1" ht="13.5" customHeight="1" thickBot="1" x14ac:dyDescent="0.3">
      <c r="B16" s="17">
        <v>14</v>
      </c>
      <c r="E16" s="72"/>
      <c r="F16" s="18"/>
      <c r="J16" s="11"/>
      <c r="K16" s="11">
        <f t="shared" si="0"/>
        <v>0</v>
      </c>
      <c r="L16" s="37">
        <f t="shared" si="1"/>
        <v>0</v>
      </c>
      <c r="M16" s="11"/>
      <c r="Q16" s="21"/>
      <c r="R16" s="51"/>
      <c r="S16" s="50"/>
      <c r="T16" s="48"/>
      <c r="U16" s="81"/>
      <c r="V16" s="32"/>
      <c r="W16" s="200"/>
      <c r="X16" s="17"/>
      <c r="Z16">
        <v>3</v>
      </c>
      <c r="AA16" s="416"/>
      <c r="AB16" s="95">
        <v>2</v>
      </c>
      <c r="AC16" s="101" t="s">
        <v>65</v>
      </c>
      <c r="AD16" s="41">
        <f t="shared" si="2"/>
        <v>0</v>
      </c>
      <c r="AE16" s="70">
        <f t="shared" si="3"/>
        <v>0</v>
      </c>
      <c r="AF16" s="70">
        <f t="shared" si="4"/>
        <v>0</v>
      </c>
      <c r="AG16" s="70">
        <f t="shared" si="5"/>
        <v>0</v>
      </c>
      <c r="AH16" s="109">
        <f t="shared" si="6"/>
        <v>0</v>
      </c>
      <c r="AI16" s="120">
        <f t="shared" si="7"/>
        <v>0</v>
      </c>
      <c r="AJ16" s="121">
        <f t="shared" si="8"/>
        <v>0</v>
      </c>
      <c r="AK16" s="121">
        <f t="shared" si="9"/>
        <v>0</v>
      </c>
      <c r="AL16" s="121">
        <f t="shared" si="10"/>
        <v>0</v>
      </c>
      <c r="AM16" s="122">
        <f t="shared" si="11"/>
        <v>0</v>
      </c>
      <c r="AN16" s="41">
        <f t="shared" si="12"/>
        <v>0</v>
      </c>
      <c r="AO16" s="70">
        <f t="shared" si="13"/>
        <v>0</v>
      </c>
      <c r="AP16" s="70">
        <f t="shared" si="14"/>
        <v>0</v>
      </c>
      <c r="AQ16" s="70">
        <f t="shared" si="15"/>
        <v>0</v>
      </c>
      <c r="AR16" s="70">
        <f t="shared" si="16"/>
        <v>0</v>
      </c>
      <c r="AT16" s="161" t="s">
        <v>3</v>
      </c>
      <c r="AU16" s="162">
        <f>SUM(AU4:AU15)</f>
        <v>0</v>
      </c>
      <c r="AV16" s="162">
        <f>SUM(AV4:AV15)</f>
        <v>0</v>
      </c>
    </row>
    <row r="17" spans="2:48" s="10" customFormat="1" ht="13.5" customHeight="1" thickBot="1" x14ac:dyDescent="0.3">
      <c r="B17" s="17">
        <v>15</v>
      </c>
      <c r="E17" s="72"/>
      <c r="F17" s="18"/>
      <c r="J17" s="11"/>
      <c r="K17" s="11">
        <f t="shared" si="0"/>
        <v>0</v>
      </c>
      <c r="L17" s="37">
        <f t="shared" si="1"/>
        <v>0</v>
      </c>
      <c r="M17" s="11"/>
      <c r="O17" s="21"/>
      <c r="P17" s="21"/>
      <c r="Q17" s="21"/>
      <c r="R17" s="23"/>
      <c r="S17" s="50"/>
      <c r="T17" s="48"/>
      <c r="U17" s="81"/>
      <c r="V17" s="32"/>
      <c r="W17" s="200"/>
      <c r="X17" s="17"/>
      <c r="Z17">
        <v>3</v>
      </c>
      <c r="AA17" s="416"/>
      <c r="AB17" s="95">
        <v>3</v>
      </c>
      <c r="AC17" s="102" t="s">
        <v>66</v>
      </c>
      <c r="AD17" s="41">
        <f t="shared" si="2"/>
        <v>0</v>
      </c>
      <c r="AE17" s="70">
        <f t="shared" si="3"/>
        <v>0</v>
      </c>
      <c r="AF17" s="70">
        <f t="shared" si="4"/>
        <v>0</v>
      </c>
      <c r="AG17" s="70">
        <f t="shared" si="5"/>
        <v>0</v>
      </c>
      <c r="AH17" s="109">
        <f t="shared" si="6"/>
        <v>0</v>
      </c>
      <c r="AI17" s="120">
        <f t="shared" si="7"/>
        <v>0</v>
      </c>
      <c r="AJ17" s="121">
        <f t="shared" si="8"/>
        <v>0</v>
      </c>
      <c r="AK17" s="121">
        <f t="shared" si="9"/>
        <v>0</v>
      </c>
      <c r="AL17" s="121">
        <f t="shared" si="10"/>
        <v>0</v>
      </c>
      <c r="AM17" s="122">
        <f t="shared" si="11"/>
        <v>0</v>
      </c>
      <c r="AN17" s="41">
        <f t="shared" si="12"/>
        <v>0</v>
      </c>
      <c r="AO17" s="70">
        <f t="shared" si="13"/>
        <v>0</v>
      </c>
      <c r="AP17" s="70">
        <f t="shared" si="14"/>
        <v>0</v>
      </c>
      <c r="AQ17" s="70">
        <f t="shared" si="15"/>
        <v>0</v>
      </c>
      <c r="AR17" s="70">
        <f t="shared" si="16"/>
        <v>0</v>
      </c>
      <c r="AT17" s="161" t="s">
        <v>152</v>
      </c>
      <c r="AU17" s="163" t="e">
        <f>AU16/($AU$16+$AV$16)</f>
        <v>#DIV/0!</v>
      </c>
      <c r="AV17" s="164" t="e">
        <f>AV16/($AV$16+$AU$16)</f>
        <v>#DIV/0!</v>
      </c>
    </row>
    <row r="18" spans="2:48" s="10" customFormat="1" ht="13.5" customHeight="1" x14ac:dyDescent="0.25">
      <c r="B18" s="17">
        <v>16</v>
      </c>
      <c r="E18" s="72"/>
      <c r="F18" s="18"/>
      <c r="J18" s="11"/>
      <c r="K18" s="11">
        <f t="shared" si="0"/>
        <v>0</v>
      </c>
      <c r="L18" s="37">
        <f t="shared" si="1"/>
        <v>0</v>
      </c>
      <c r="M18" s="11"/>
      <c r="O18" s="21"/>
      <c r="P18" s="21"/>
      <c r="Q18" s="21"/>
      <c r="R18" s="23"/>
      <c r="S18" s="50"/>
      <c r="T18" s="48"/>
      <c r="U18" s="81"/>
      <c r="V18" s="26"/>
      <c r="W18" s="200"/>
      <c r="X18" s="17"/>
      <c r="Z18">
        <v>3</v>
      </c>
      <c r="AA18" s="416"/>
      <c r="AB18" s="95">
        <v>4</v>
      </c>
      <c r="AC18" s="102" t="s">
        <v>67</v>
      </c>
      <c r="AD18" s="41">
        <f t="shared" si="2"/>
        <v>0</v>
      </c>
      <c r="AE18" s="70">
        <f t="shared" si="3"/>
        <v>0</v>
      </c>
      <c r="AF18" s="70">
        <f t="shared" si="4"/>
        <v>0</v>
      </c>
      <c r="AG18" s="70">
        <f t="shared" si="5"/>
        <v>0</v>
      </c>
      <c r="AH18" s="109">
        <f t="shared" si="6"/>
        <v>0</v>
      </c>
      <c r="AI18" s="120">
        <f t="shared" si="7"/>
        <v>0</v>
      </c>
      <c r="AJ18" s="121">
        <f t="shared" si="8"/>
        <v>0</v>
      </c>
      <c r="AK18" s="121">
        <f t="shared" si="9"/>
        <v>0</v>
      </c>
      <c r="AL18" s="121">
        <f t="shared" si="10"/>
        <v>0</v>
      </c>
      <c r="AM18" s="122">
        <f t="shared" si="11"/>
        <v>0</v>
      </c>
      <c r="AN18" s="41">
        <f t="shared" si="12"/>
        <v>0</v>
      </c>
      <c r="AO18" s="70">
        <f t="shared" si="13"/>
        <v>0</v>
      </c>
      <c r="AP18" s="70">
        <f t="shared" si="14"/>
        <v>0</v>
      </c>
      <c r="AQ18" s="70">
        <f t="shared" si="15"/>
        <v>0</v>
      </c>
      <c r="AR18" s="70">
        <f t="shared" si="16"/>
        <v>0</v>
      </c>
    </row>
    <row r="19" spans="2:48" s="10" customFormat="1" ht="13.5" customHeight="1" x14ac:dyDescent="0.25">
      <c r="B19" s="17">
        <v>17</v>
      </c>
      <c r="E19" s="72"/>
      <c r="F19" s="18"/>
      <c r="J19" s="11"/>
      <c r="K19" s="11">
        <f t="shared" si="0"/>
        <v>0</v>
      </c>
      <c r="L19" s="37">
        <f t="shared" si="1"/>
        <v>0</v>
      </c>
      <c r="M19" s="11"/>
      <c r="O19" s="21"/>
      <c r="P19" s="21"/>
      <c r="Q19" s="21"/>
      <c r="R19" s="23"/>
      <c r="S19" s="50"/>
      <c r="T19" s="48"/>
      <c r="U19" s="81"/>
      <c r="V19" s="26"/>
      <c r="W19" s="200"/>
      <c r="X19" s="17"/>
      <c r="Z19">
        <v>3</v>
      </c>
      <c r="AA19" s="416"/>
      <c r="AB19" s="96">
        <v>5</v>
      </c>
      <c r="AC19" s="102"/>
      <c r="AD19" s="41">
        <f t="shared" si="2"/>
        <v>0</v>
      </c>
      <c r="AE19" s="70">
        <f t="shared" si="3"/>
        <v>0</v>
      </c>
      <c r="AF19" s="70">
        <f t="shared" si="4"/>
        <v>0</v>
      </c>
      <c r="AG19" s="70">
        <f t="shared" si="5"/>
        <v>0</v>
      </c>
      <c r="AH19" s="109">
        <f t="shared" si="6"/>
        <v>0</v>
      </c>
      <c r="AI19" s="120">
        <f t="shared" si="7"/>
        <v>0</v>
      </c>
      <c r="AJ19" s="121">
        <f t="shared" si="8"/>
        <v>0</v>
      </c>
      <c r="AK19" s="121">
        <f t="shared" si="9"/>
        <v>0</v>
      </c>
      <c r="AL19" s="121">
        <f t="shared" si="10"/>
        <v>0</v>
      </c>
      <c r="AM19" s="122">
        <f t="shared" si="11"/>
        <v>0</v>
      </c>
      <c r="AN19" s="41">
        <f t="shared" si="12"/>
        <v>0</v>
      </c>
      <c r="AO19" s="70">
        <f t="shared" si="13"/>
        <v>0</v>
      </c>
      <c r="AP19" s="70">
        <f t="shared" si="14"/>
        <v>0</v>
      </c>
      <c r="AQ19" s="70">
        <f t="shared" si="15"/>
        <v>0</v>
      </c>
      <c r="AR19" s="70">
        <f t="shared" si="16"/>
        <v>0</v>
      </c>
    </row>
    <row r="20" spans="2:48" s="10" customFormat="1" ht="13.5" customHeight="1" thickBot="1" x14ac:dyDescent="0.3">
      <c r="B20" s="17">
        <v>18</v>
      </c>
      <c r="E20" s="72"/>
      <c r="F20" s="18"/>
      <c r="J20" s="11"/>
      <c r="K20" s="11">
        <f t="shared" si="0"/>
        <v>0</v>
      </c>
      <c r="L20" s="37">
        <f t="shared" si="1"/>
        <v>0</v>
      </c>
      <c r="M20" s="11"/>
      <c r="O20" s="21"/>
      <c r="P20" s="21"/>
      <c r="Q20" s="21"/>
      <c r="R20" s="23"/>
      <c r="S20" s="50"/>
      <c r="T20" s="48"/>
      <c r="U20" s="81"/>
      <c r="V20" s="26"/>
      <c r="W20" s="200"/>
      <c r="X20" s="17"/>
      <c r="Z20">
        <v>3</v>
      </c>
      <c r="AA20" s="417"/>
      <c r="AB20" s="97" t="s">
        <v>3</v>
      </c>
      <c r="AC20" s="103"/>
      <c r="AD20" s="99">
        <f>SUM(AD15:AD19)</f>
        <v>0</v>
      </c>
      <c r="AE20" s="99">
        <f t="shared" ref="AE20" si="47">SUM(AE15:AE19)</f>
        <v>0</v>
      </c>
      <c r="AF20" s="99">
        <f t="shared" ref="AF20" si="48">SUM(AF15:AF19)</f>
        <v>0</v>
      </c>
      <c r="AG20" s="99">
        <f t="shared" ref="AG20" si="49">SUM(AG15:AG19)</f>
        <v>0</v>
      </c>
      <c r="AH20" s="110">
        <f t="shared" ref="AH20" si="50">SUM(AH15:AH19)</f>
        <v>0</v>
      </c>
      <c r="AI20" s="123">
        <f t="shared" ref="AI20" si="51">SUM(AI15:AI19)</f>
        <v>0</v>
      </c>
      <c r="AJ20" s="124">
        <f t="shared" ref="AJ20" si="52">SUM(AJ15:AJ19)</f>
        <v>0</v>
      </c>
      <c r="AK20" s="124">
        <f t="shared" ref="AK20" si="53">SUM(AK15:AK19)</f>
        <v>0</v>
      </c>
      <c r="AL20" s="124">
        <f t="shared" ref="AL20" si="54">SUM(AL15:AL19)</f>
        <v>0</v>
      </c>
      <c r="AM20" s="125">
        <f t="shared" ref="AM20" si="55">SUM(AM15:AM19)</f>
        <v>0</v>
      </c>
      <c r="AN20" s="99">
        <f t="shared" ref="AN20" si="56">SUM(AN15:AN19)</f>
        <v>0</v>
      </c>
      <c r="AO20" s="99">
        <f t="shared" ref="AO20" si="57">SUM(AO15:AO19)</f>
        <v>0</v>
      </c>
      <c r="AP20" s="99">
        <f t="shared" ref="AP20" si="58">SUM(AP15:AP19)</f>
        <v>0</v>
      </c>
      <c r="AQ20" s="99">
        <f t="shared" ref="AQ20" si="59">SUM(AQ15:AQ19)</f>
        <v>0</v>
      </c>
      <c r="AR20" s="99">
        <f t="shared" ref="AR20" si="60">SUM(AR15:AR19)</f>
        <v>0</v>
      </c>
    </row>
    <row r="21" spans="2:48" s="10" customFormat="1" ht="13.5" customHeight="1" x14ac:dyDescent="0.25">
      <c r="B21" s="17">
        <v>19</v>
      </c>
      <c r="E21" s="72"/>
      <c r="F21" s="18"/>
      <c r="J21" s="11"/>
      <c r="K21" s="11">
        <f t="shared" si="0"/>
        <v>0</v>
      </c>
      <c r="L21" s="37">
        <f t="shared" si="1"/>
        <v>0</v>
      </c>
      <c r="M21" s="11"/>
      <c r="O21" s="21"/>
      <c r="P21" s="21"/>
      <c r="Q21" s="21"/>
      <c r="R21" s="23"/>
      <c r="S21" s="50"/>
      <c r="T21" s="48"/>
      <c r="U21" s="81"/>
      <c r="V21" s="26"/>
      <c r="W21" s="200"/>
      <c r="X21" s="17"/>
      <c r="Z21">
        <v>4</v>
      </c>
      <c r="AA21" s="415">
        <v>4</v>
      </c>
      <c r="AB21" s="94">
        <v>1</v>
      </c>
      <c r="AC21" s="100" t="s">
        <v>108</v>
      </c>
      <c r="AD21" s="41">
        <f t="shared" si="2"/>
        <v>0</v>
      </c>
      <c r="AE21" s="70">
        <f t="shared" si="3"/>
        <v>0</v>
      </c>
      <c r="AF21" s="70">
        <f t="shared" si="4"/>
        <v>0</v>
      </c>
      <c r="AG21" s="70">
        <f t="shared" si="5"/>
        <v>0</v>
      </c>
      <c r="AH21" s="109">
        <f t="shared" si="6"/>
        <v>0</v>
      </c>
      <c r="AI21" s="120">
        <f t="shared" si="7"/>
        <v>0</v>
      </c>
      <c r="AJ21" s="121">
        <f t="shared" si="8"/>
        <v>0</v>
      </c>
      <c r="AK21" s="121">
        <f t="shared" si="9"/>
        <v>0</v>
      </c>
      <c r="AL21" s="121">
        <f t="shared" si="10"/>
        <v>0</v>
      </c>
      <c r="AM21" s="122">
        <f t="shared" si="11"/>
        <v>0</v>
      </c>
      <c r="AN21" s="41">
        <f t="shared" si="12"/>
        <v>0</v>
      </c>
      <c r="AO21" s="70">
        <f t="shared" si="13"/>
        <v>0</v>
      </c>
      <c r="AP21" s="70">
        <f t="shared" si="14"/>
        <v>0</v>
      </c>
      <c r="AQ21" s="70">
        <f t="shared" si="15"/>
        <v>0</v>
      </c>
      <c r="AR21" s="70">
        <f t="shared" si="16"/>
        <v>0</v>
      </c>
    </row>
    <row r="22" spans="2:48" s="10" customFormat="1" ht="13.5" customHeight="1" x14ac:dyDescent="0.25">
      <c r="B22" s="17">
        <v>20</v>
      </c>
      <c r="E22" s="72"/>
      <c r="F22" s="18"/>
      <c r="J22" s="11"/>
      <c r="K22" s="11">
        <f t="shared" ref="K22:K67" si="61">J22*1.1</f>
        <v>0</v>
      </c>
      <c r="L22" s="37">
        <f t="shared" ref="L22:L67" si="62">J22*0.00000001</f>
        <v>0</v>
      </c>
      <c r="M22" s="11"/>
      <c r="O22" s="21"/>
      <c r="P22" s="21"/>
      <c r="Q22" s="21"/>
      <c r="R22" s="23"/>
      <c r="S22" s="50"/>
      <c r="T22" s="48"/>
      <c r="U22" s="81"/>
      <c r="V22" s="26"/>
      <c r="W22" s="200"/>
      <c r="X22" s="17"/>
      <c r="Z22">
        <v>4</v>
      </c>
      <c r="AA22" s="416"/>
      <c r="AB22" s="95">
        <v>2</v>
      </c>
      <c r="AC22" s="102" t="s">
        <v>68</v>
      </c>
      <c r="AD22" s="41">
        <f t="shared" si="2"/>
        <v>0</v>
      </c>
      <c r="AE22" s="70">
        <f t="shared" si="3"/>
        <v>0</v>
      </c>
      <c r="AF22" s="70">
        <f t="shared" si="4"/>
        <v>0</v>
      </c>
      <c r="AG22" s="70">
        <f t="shared" si="5"/>
        <v>0</v>
      </c>
      <c r="AH22" s="109">
        <f t="shared" si="6"/>
        <v>0</v>
      </c>
      <c r="AI22" s="120">
        <f t="shared" si="7"/>
        <v>0</v>
      </c>
      <c r="AJ22" s="121">
        <f t="shared" si="8"/>
        <v>0</v>
      </c>
      <c r="AK22" s="121">
        <f t="shared" si="9"/>
        <v>0</v>
      </c>
      <c r="AL22" s="121">
        <f t="shared" si="10"/>
        <v>0</v>
      </c>
      <c r="AM22" s="122">
        <f t="shared" si="11"/>
        <v>0</v>
      </c>
      <c r="AN22" s="41">
        <f t="shared" si="12"/>
        <v>0</v>
      </c>
      <c r="AO22" s="70">
        <f t="shared" si="13"/>
        <v>0</v>
      </c>
      <c r="AP22" s="70">
        <f t="shared" si="14"/>
        <v>0</v>
      </c>
      <c r="AQ22" s="70">
        <f t="shared" si="15"/>
        <v>0</v>
      </c>
      <c r="AR22" s="70">
        <f t="shared" si="16"/>
        <v>0</v>
      </c>
    </row>
    <row r="23" spans="2:48" s="10" customFormat="1" ht="13.5" customHeight="1" x14ac:dyDescent="0.25">
      <c r="B23" s="17">
        <v>21</v>
      </c>
      <c r="E23" s="72"/>
      <c r="F23" s="18"/>
      <c r="J23" s="11"/>
      <c r="K23" s="11">
        <f t="shared" si="61"/>
        <v>0</v>
      </c>
      <c r="L23" s="37">
        <f t="shared" si="62"/>
        <v>0</v>
      </c>
      <c r="M23" s="11"/>
      <c r="O23" s="21"/>
      <c r="P23" s="21"/>
      <c r="Q23" s="21"/>
      <c r="R23" s="23"/>
      <c r="S23" s="50"/>
      <c r="T23" s="48"/>
      <c r="U23" s="81"/>
      <c r="V23" s="26"/>
      <c r="W23" s="200"/>
      <c r="X23" s="17"/>
      <c r="Z23">
        <v>4</v>
      </c>
      <c r="AA23" s="416"/>
      <c r="AB23" s="95">
        <v>3</v>
      </c>
      <c r="AC23" s="102" t="s">
        <v>69</v>
      </c>
      <c r="AD23" s="41">
        <f t="shared" si="2"/>
        <v>0</v>
      </c>
      <c r="AE23" s="70">
        <f t="shared" si="3"/>
        <v>0</v>
      </c>
      <c r="AF23" s="70">
        <f t="shared" si="4"/>
        <v>0</v>
      </c>
      <c r="AG23" s="70">
        <f t="shared" si="5"/>
        <v>0</v>
      </c>
      <c r="AH23" s="109">
        <f t="shared" si="6"/>
        <v>0</v>
      </c>
      <c r="AI23" s="120">
        <f t="shared" si="7"/>
        <v>0</v>
      </c>
      <c r="AJ23" s="121">
        <f t="shared" si="8"/>
        <v>0</v>
      </c>
      <c r="AK23" s="121">
        <f t="shared" si="9"/>
        <v>0</v>
      </c>
      <c r="AL23" s="121">
        <f t="shared" si="10"/>
        <v>0</v>
      </c>
      <c r="AM23" s="122">
        <f t="shared" si="11"/>
        <v>0</v>
      </c>
      <c r="AN23" s="41">
        <f t="shared" si="12"/>
        <v>0</v>
      </c>
      <c r="AO23" s="70">
        <f t="shared" si="13"/>
        <v>0</v>
      </c>
      <c r="AP23" s="70">
        <f t="shared" si="14"/>
        <v>0</v>
      </c>
      <c r="AQ23" s="70">
        <f t="shared" si="15"/>
        <v>0</v>
      </c>
      <c r="AR23" s="70">
        <f t="shared" si="16"/>
        <v>0</v>
      </c>
    </row>
    <row r="24" spans="2:48" s="10" customFormat="1" ht="13.5" customHeight="1" x14ac:dyDescent="0.25">
      <c r="B24" s="17">
        <v>22</v>
      </c>
      <c r="E24" s="72"/>
      <c r="F24" s="18"/>
      <c r="J24" s="11"/>
      <c r="K24" s="11">
        <f t="shared" si="61"/>
        <v>0</v>
      </c>
      <c r="L24" s="37">
        <f t="shared" si="62"/>
        <v>0</v>
      </c>
      <c r="M24" s="11"/>
      <c r="O24" s="21"/>
      <c r="P24" s="21"/>
      <c r="Q24" s="21"/>
      <c r="R24" s="23"/>
      <c r="S24" s="50"/>
      <c r="T24" s="48"/>
      <c r="U24" s="81"/>
      <c r="V24" s="26"/>
      <c r="W24" s="200"/>
      <c r="X24" s="17"/>
      <c r="Z24">
        <v>4</v>
      </c>
      <c r="AA24" s="416"/>
      <c r="AB24" s="95">
        <v>4</v>
      </c>
      <c r="AC24" s="102" t="s">
        <v>70</v>
      </c>
      <c r="AD24" s="41">
        <f t="shared" si="2"/>
        <v>0</v>
      </c>
      <c r="AE24" s="70">
        <f t="shared" si="3"/>
        <v>0</v>
      </c>
      <c r="AF24" s="70">
        <f t="shared" si="4"/>
        <v>0</v>
      </c>
      <c r="AG24" s="70">
        <f t="shared" si="5"/>
        <v>0</v>
      </c>
      <c r="AH24" s="109">
        <f t="shared" si="6"/>
        <v>0</v>
      </c>
      <c r="AI24" s="120">
        <f t="shared" si="7"/>
        <v>0</v>
      </c>
      <c r="AJ24" s="121">
        <f t="shared" si="8"/>
        <v>0</v>
      </c>
      <c r="AK24" s="121">
        <f t="shared" si="9"/>
        <v>0</v>
      </c>
      <c r="AL24" s="121">
        <f t="shared" si="10"/>
        <v>0</v>
      </c>
      <c r="AM24" s="122">
        <f t="shared" si="11"/>
        <v>0</v>
      </c>
      <c r="AN24" s="41">
        <f t="shared" si="12"/>
        <v>0</v>
      </c>
      <c r="AO24" s="70">
        <f t="shared" si="13"/>
        <v>0</v>
      </c>
      <c r="AP24" s="70">
        <f t="shared" si="14"/>
        <v>0</v>
      </c>
      <c r="AQ24" s="70">
        <f t="shared" si="15"/>
        <v>0</v>
      </c>
      <c r="AR24" s="70">
        <f t="shared" si="16"/>
        <v>0</v>
      </c>
      <c r="AT24" s="201" t="s">
        <v>256</v>
      </c>
      <c r="AU24" s="201" t="s">
        <v>257</v>
      </c>
      <c r="AV24" s="201" t="s">
        <v>152</v>
      </c>
    </row>
    <row r="25" spans="2:48" s="10" customFormat="1" ht="13.5" customHeight="1" x14ac:dyDescent="0.25">
      <c r="B25" s="17">
        <v>23</v>
      </c>
      <c r="E25" s="72"/>
      <c r="F25" s="18"/>
      <c r="J25" s="11"/>
      <c r="K25" s="11">
        <f t="shared" si="61"/>
        <v>0</v>
      </c>
      <c r="L25" s="37">
        <f t="shared" si="62"/>
        <v>0</v>
      </c>
      <c r="M25" s="11"/>
      <c r="O25" s="21"/>
      <c r="P25" s="21"/>
      <c r="Q25" s="21"/>
      <c r="R25" s="23"/>
      <c r="S25" s="50"/>
      <c r="T25" s="48"/>
      <c r="U25" s="81"/>
      <c r="V25" s="26"/>
      <c r="W25" s="200"/>
      <c r="X25" s="17"/>
      <c r="Z25">
        <v>4</v>
      </c>
      <c r="AA25" s="416"/>
      <c r="AB25" s="96">
        <v>5</v>
      </c>
      <c r="AC25" s="102" t="s">
        <v>109</v>
      </c>
      <c r="AD25" s="41">
        <f t="shared" si="2"/>
        <v>0</v>
      </c>
      <c r="AE25" s="70">
        <f t="shared" si="3"/>
        <v>0</v>
      </c>
      <c r="AF25" s="70">
        <f t="shared" si="4"/>
        <v>0</v>
      </c>
      <c r="AG25" s="70">
        <f t="shared" si="5"/>
        <v>0</v>
      </c>
      <c r="AH25" s="109">
        <f t="shared" si="6"/>
        <v>0</v>
      </c>
      <c r="AI25" s="120">
        <f t="shared" si="7"/>
        <v>0</v>
      </c>
      <c r="AJ25" s="121">
        <f t="shared" si="8"/>
        <v>0</v>
      </c>
      <c r="AK25" s="121">
        <f t="shared" si="9"/>
        <v>0</v>
      </c>
      <c r="AL25" s="121">
        <f t="shared" si="10"/>
        <v>0</v>
      </c>
      <c r="AM25" s="122">
        <f t="shared" si="11"/>
        <v>0</v>
      </c>
      <c r="AN25" s="41">
        <f t="shared" si="12"/>
        <v>0</v>
      </c>
      <c r="AO25" s="70">
        <f t="shared" si="13"/>
        <v>0</v>
      </c>
      <c r="AP25" s="70">
        <f t="shared" si="14"/>
        <v>0</v>
      </c>
      <c r="AQ25" s="70">
        <f t="shared" si="15"/>
        <v>0</v>
      </c>
      <c r="AR25" s="70">
        <f t="shared" si="16"/>
        <v>0</v>
      </c>
      <c r="AT25" s="202" t="s">
        <v>270</v>
      </c>
      <c r="AU25" s="202">
        <f>COUNTIF($W:$W, AT25)</f>
        <v>0</v>
      </c>
      <c r="AV25" s="203" t="e">
        <f>AU25/$AU$33</f>
        <v>#DIV/0!</v>
      </c>
    </row>
    <row r="26" spans="2:48" s="10" customFormat="1" ht="13.5" customHeight="1" thickBot="1" x14ac:dyDescent="0.3">
      <c r="B26" s="17">
        <v>24</v>
      </c>
      <c r="E26" s="72"/>
      <c r="F26" s="18"/>
      <c r="J26" s="11"/>
      <c r="K26" s="11">
        <f t="shared" si="61"/>
        <v>0</v>
      </c>
      <c r="L26" s="37">
        <f t="shared" si="62"/>
        <v>0</v>
      </c>
      <c r="M26" s="11"/>
      <c r="O26" s="21"/>
      <c r="P26" s="21"/>
      <c r="Q26" s="21"/>
      <c r="R26" s="23"/>
      <c r="S26" s="50"/>
      <c r="T26" s="48"/>
      <c r="U26" s="81"/>
      <c r="V26" s="26"/>
      <c r="W26" s="200"/>
      <c r="X26" s="17"/>
      <c r="Z26">
        <v>4</v>
      </c>
      <c r="AA26" s="417"/>
      <c r="AB26" s="97" t="s">
        <v>3</v>
      </c>
      <c r="AC26" s="103"/>
      <c r="AD26" s="99">
        <f>SUM(AD21:AD25)</f>
        <v>0</v>
      </c>
      <c r="AE26" s="99">
        <f t="shared" ref="AE26" si="63">SUM(AE21:AE25)</f>
        <v>0</v>
      </c>
      <c r="AF26" s="99">
        <f t="shared" ref="AF26" si="64">SUM(AF21:AF25)</f>
        <v>0</v>
      </c>
      <c r="AG26" s="99">
        <f t="shared" ref="AG26" si="65">SUM(AG21:AG25)</f>
        <v>0</v>
      </c>
      <c r="AH26" s="110">
        <f t="shared" ref="AH26" si="66">SUM(AH21:AH25)</f>
        <v>0</v>
      </c>
      <c r="AI26" s="123">
        <f t="shared" ref="AI26" si="67">SUM(AI21:AI25)</f>
        <v>0</v>
      </c>
      <c r="AJ26" s="124">
        <f t="shared" ref="AJ26" si="68">SUM(AJ21:AJ25)</f>
        <v>0</v>
      </c>
      <c r="AK26" s="124">
        <f t="shared" ref="AK26" si="69">SUM(AK21:AK25)</f>
        <v>0</v>
      </c>
      <c r="AL26" s="124">
        <f t="shared" ref="AL26" si="70">SUM(AL21:AL25)</f>
        <v>0</v>
      </c>
      <c r="AM26" s="125">
        <f t="shared" ref="AM26" si="71">SUM(AM21:AM25)</f>
        <v>0</v>
      </c>
      <c r="AN26" s="99">
        <f t="shared" ref="AN26" si="72">SUM(AN21:AN25)</f>
        <v>0</v>
      </c>
      <c r="AO26" s="99">
        <f t="shared" ref="AO26" si="73">SUM(AO21:AO25)</f>
        <v>0</v>
      </c>
      <c r="AP26" s="99">
        <f t="shared" ref="AP26" si="74">SUM(AP21:AP25)</f>
        <v>0</v>
      </c>
      <c r="AQ26" s="99">
        <f t="shared" ref="AQ26" si="75">SUM(AQ21:AQ25)</f>
        <v>0</v>
      </c>
      <c r="AR26" s="99">
        <f t="shared" ref="AR26" si="76">SUM(AR21:AR25)</f>
        <v>0</v>
      </c>
      <c r="AT26" s="202" t="s">
        <v>259</v>
      </c>
      <c r="AU26" s="202">
        <f t="shared" ref="AU26:AU32" si="77">COUNTIF($W:$W, AT26)</f>
        <v>0</v>
      </c>
      <c r="AV26" s="203" t="e">
        <f t="shared" ref="AV26:AV33" si="78">AU26/$AU$33</f>
        <v>#DIV/0!</v>
      </c>
    </row>
    <row r="27" spans="2:48" s="10" customFormat="1" ht="13.5" customHeight="1" x14ac:dyDescent="0.25">
      <c r="B27" s="17">
        <v>25</v>
      </c>
      <c r="E27" s="72"/>
      <c r="F27" s="18"/>
      <c r="J27" s="11"/>
      <c r="K27" s="11">
        <f t="shared" si="61"/>
        <v>0</v>
      </c>
      <c r="L27" s="37">
        <f t="shared" si="62"/>
        <v>0</v>
      </c>
      <c r="M27" s="11"/>
      <c r="O27" s="21"/>
      <c r="P27" s="21"/>
      <c r="Q27" s="21"/>
      <c r="R27" s="23"/>
      <c r="S27" s="50"/>
      <c r="T27" s="48"/>
      <c r="U27" s="81"/>
      <c r="V27" s="26"/>
      <c r="W27" s="200"/>
      <c r="X27" s="17"/>
      <c r="Z27">
        <v>5</v>
      </c>
      <c r="AA27" s="415">
        <v>5</v>
      </c>
      <c r="AB27" s="94">
        <v>1</v>
      </c>
      <c r="AC27" s="100" t="s">
        <v>110</v>
      </c>
      <c r="AD27" s="41">
        <f t="shared" si="2"/>
        <v>0</v>
      </c>
      <c r="AE27" s="70">
        <f t="shared" si="3"/>
        <v>0</v>
      </c>
      <c r="AF27" s="70">
        <f t="shared" si="4"/>
        <v>0</v>
      </c>
      <c r="AG27" s="70">
        <f t="shared" si="5"/>
        <v>0</v>
      </c>
      <c r="AH27" s="109">
        <f t="shared" si="6"/>
        <v>0</v>
      </c>
      <c r="AI27" s="120">
        <f t="shared" si="7"/>
        <v>0</v>
      </c>
      <c r="AJ27" s="121">
        <f t="shared" si="8"/>
        <v>0</v>
      </c>
      <c r="AK27" s="121">
        <f t="shared" si="9"/>
        <v>0</v>
      </c>
      <c r="AL27" s="121">
        <f t="shared" si="10"/>
        <v>0</v>
      </c>
      <c r="AM27" s="122">
        <f t="shared" si="11"/>
        <v>0</v>
      </c>
      <c r="AN27" s="41">
        <f t="shared" si="12"/>
        <v>0</v>
      </c>
      <c r="AO27" s="70">
        <f t="shared" si="13"/>
        <v>0</v>
      </c>
      <c r="AP27" s="70">
        <f t="shared" si="14"/>
        <v>0</v>
      </c>
      <c r="AQ27" s="70">
        <f t="shared" si="15"/>
        <v>0</v>
      </c>
      <c r="AR27" s="70">
        <f t="shared" si="16"/>
        <v>0</v>
      </c>
      <c r="AT27" s="202" t="s">
        <v>260</v>
      </c>
      <c r="AU27" s="202">
        <f t="shared" si="77"/>
        <v>0</v>
      </c>
      <c r="AV27" s="203" t="e">
        <f t="shared" si="78"/>
        <v>#DIV/0!</v>
      </c>
    </row>
    <row r="28" spans="2:48" s="10" customFormat="1" ht="13.5" customHeight="1" x14ac:dyDescent="0.25">
      <c r="B28" s="17">
        <v>26</v>
      </c>
      <c r="E28" s="72"/>
      <c r="F28" s="18"/>
      <c r="J28" s="11"/>
      <c r="K28" s="11">
        <f t="shared" si="61"/>
        <v>0</v>
      </c>
      <c r="L28" s="37">
        <f t="shared" si="62"/>
        <v>0</v>
      </c>
      <c r="M28" s="11"/>
      <c r="O28" s="21"/>
      <c r="P28" s="21"/>
      <c r="Q28" s="21"/>
      <c r="R28" s="23"/>
      <c r="S28" s="50"/>
      <c r="T28" s="48"/>
      <c r="U28" s="81"/>
      <c r="V28" s="26"/>
      <c r="W28" s="200"/>
      <c r="X28" s="17"/>
      <c r="Z28">
        <v>5</v>
      </c>
      <c r="AA28" s="416"/>
      <c r="AB28" s="95">
        <v>2</v>
      </c>
      <c r="AC28" s="102" t="s">
        <v>111</v>
      </c>
      <c r="AD28" s="41">
        <f t="shared" si="2"/>
        <v>0</v>
      </c>
      <c r="AE28" s="70">
        <f t="shared" si="3"/>
        <v>0</v>
      </c>
      <c r="AF28" s="70">
        <f t="shared" si="4"/>
        <v>0</v>
      </c>
      <c r="AG28" s="70">
        <f t="shared" si="5"/>
        <v>0</v>
      </c>
      <c r="AH28" s="109">
        <f t="shared" si="6"/>
        <v>0</v>
      </c>
      <c r="AI28" s="120">
        <f t="shared" si="7"/>
        <v>0</v>
      </c>
      <c r="AJ28" s="121">
        <f t="shared" si="8"/>
        <v>0</v>
      </c>
      <c r="AK28" s="121">
        <f t="shared" si="9"/>
        <v>0</v>
      </c>
      <c r="AL28" s="121">
        <f t="shared" si="10"/>
        <v>0</v>
      </c>
      <c r="AM28" s="122">
        <f t="shared" si="11"/>
        <v>0</v>
      </c>
      <c r="AN28" s="41">
        <f t="shared" si="12"/>
        <v>0</v>
      </c>
      <c r="AO28" s="70">
        <f t="shared" si="13"/>
        <v>0</v>
      </c>
      <c r="AP28" s="70">
        <f t="shared" si="14"/>
        <v>0</v>
      </c>
      <c r="AQ28" s="70">
        <f t="shared" si="15"/>
        <v>0</v>
      </c>
      <c r="AR28" s="70">
        <f t="shared" si="16"/>
        <v>0</v>
      </c>
      <c r="AT28" s="202" t="s">
        <v>261</v>
      </c>
      <c r="AU28" s="202">
        <f t="shared" si="77"/>
        <v>0</v>
      </c>
      <c r="AV28" s="203" t="e">
        <f t="shared" si="78"/>
        <v>#DIV/0!</v>
      </c>
    </row>
    <row r="29" spans="2:48" s="10" customFormat="1" ht="13.5" customHeight="1" x14ac:dyDescent="0.25">
      <c r="B29" s="17">
        <v>27</v>
      </c>
      <c r="E29" s="72"/>
      <c r="F29" s="18"/>
      <c r="J29" s="11"/>
      <c r="K29" s="11">
        <f t="shared" si="61"/>
        <v>0</v>
      </c>
      <c r="L29" s="37">
        <f t="shared" si="62"/>
        <v>0</v>
      </c>
      <c r="M29" s="11"/>
      <c r="O29" s="21"/>
      <c r="P29" s="21"/>
      <c r="Q29" s="21"/>
      <c r="R29" s="23"/>
      <c r="S29" s="50"/>
      <c r="T29" s="48"/>
      <c r="U29" s="81"/>
      <c r="V29" s="26"/>
      <c r="W29" s="200"/>
      <c r="X29" s="17"/>
      <c r="Z29">
        <v>5</v>
      </c>
      <c r="AA29" s="416"/>
      <c r="AB29" s="95">
        <v>3</v>
      </c>
      <c r="AC29" s="102" t="s">
        <v>112</v>
      </c>
      <c r="AD29" s="41">
        <f t="shared" si="2"/>
        <v>0</v>
      </c>
      <c r="AE29" s="70">
        <f t="shared" si="3"/>
        <v>0</v>
      </c>
      <c r="AF29" s="70">
        <f t="shared" si="4"/>
        <v>0</v>
      </c>
      <c r="AG29" s="70">
        <f t="shared" si="5"/>
        <v>0</v>
      </c>
      <c r="AH29" s="109">
        <f t="shared" si="6"/>
        <v>0</v>
      </c>
      <c r="AI29" s="120">
        <f t="shared" si="7"/>
        <v>0</v>
      </c>
      <c r="AJ29" s="121">
        <f t="shared" si="8"/>
        <v>0</v>
      </c>
      <c r="AK29" s="121">
        <f t="shared" si="9"/>
        <v>0</v>
      </c>
      <c r="AL29" s="121">
        <f t="shared" si="10"/>
        <v>0</v>
      </c>
      <c r="AM29" s="122">
        <f t="shared" si="11"/>
        <v>0</v>
      </c>
      <c r="AN29" s="41">
        <f t="shared" si="12"/>
        <v>0</v>
      </c>
      <c r="AO29" s="70">
        <f t="shared" si="13"/>
        <v>0</v>
      </c>
      <c r="AP29" s="70">
        <f t="shared" si="14"/>
        <v>0</v>
      </c>
      <c r="AQ29" s="70">
        <f t="shared" si="15"/>
        <v>0</v>
      </c>
      <c r="AR29" s="70">
        <f t="shared" si="16"/>
        <v>0</v>
      </c>
      <c r="AT29" s="202" t="s">
        <v>262</v>
      </c>
      <c r="AU29" s="202">
        <f t="shared" si="77"/>
        <v>0</v>
      </c>
      <c r="AV29" s="203" t="e">
        <f t="shared" si="78"/>
        <v>#DIV/0!</v>
      </c>
    </row>
    <row r="30" spans="2:48" s="10" customFormat="1" ht="13.5" customHeight="1" x14ac:dyDescent="0.25">
      <c r="B30" s="17">
        <v>28</v>
      </c>
      <c r="E30" s="72"/>
      <c r="F30" s="18"/>
      <c r="J30" s="11"/>
      <c r="K30" s="11">
        <f t="shared" si="61"/>
        <v>0</v>
      </c>
      <c r="L30" s="37">
        <f t="shared" si="62"/>
        <v>0</v>
      </c>
      <c r="M30" s="11"/>
      <c r="O30" s="21"/>
      <c r="P30" s="21"/>
      <c r="Q30" s="21"/>
      <c r="R30" s="23"/>
      <c r="S30" s="50"/>
      <c r="T30" s="48"/>
      <c r="U30" s="81"/>
      <c r="V30" s="26"/>
      <c r="W30" s="200"/>
      <c r="X30" s="17"/>
      <c r="Z30">
        <v>5</v>
      </c>
      <c r="AA30" s="416"/>
      <c r="AB30" s="95">
        <v>4</v>
      </c>
      <c r="AC30" s="102" t="s">
        <v>113</v>
      </c>
      <c r="AD30" s="41">
        <f t="shared" si="2"/>
        <v>0</v>
      </c>
      <c r="AE30" s="70">
        <f t="shared" si="3"/>
        <v>0</v>
      </c>
      <c r="AF30" s="70">
        <f t="shared" si="4"/>
        <v>0</v>
      </c>
      <c r="AG30" s="70">
        <f t="shared" si="5"/>
        <v>0</v>
      </c>
      <c r="AH30" s="109">
        <f t="shared" si="6"/>
        <v>0</v>
      </c>
      <c r="AI30" s="120">
        <f t="shared" si="7"/>
        <v>0</v>
      </c>
      <c r="AJ30" s="121">
        <f t="shared" si="8"/>
        <v>0</v>
      </c>
      <c r="AK30" s="121">
        <f t="shared" si="9"/>
        <v>0</v>
      </c>
      <c r="AL30" s="121">
        <f t="shared" si="10"/>
        <v>0</v>
      </c>
      <c r="AM30" s="122">
        <f t="shared" si="11"/>
        <v>0</v>
      </c>
      <c r="AN30" s="41">
        <f t="shared" si="12"/>
        <v>0</v>
      </c>
      <c r="AO30" s="70">
        <f t="shared" si="13"/>
        <v>0</v>
      </c>
      <c r="AP30" s="70">
        <f t="shared" si="14"/>
        <v>0</v>
      </c>
      <c r="AQ30" s="70">
        <f t="shared" si="15"/>
        <v>0</v>
      </c>
      <c r="AR30" s="70">
        <f t="shared" si="16"/>
        <v>0</v>
      </c>
      <c r="AT30" s="202" t="s">
        <v>263</v>
      </c>
      <c r="AU30" s="202">
        <f t="shared" si="77"/>
        <v>0</v>
      </c>
      <c r="AV30" s="203" t="e">
        <f t="shared" si="78"/>
        <v>#DIV/0!</v>
      </c>
    </row>
    <row r="31" spans="2:48" s="10" customFormat="1" ht="13.5" customHeight="1" x14ac:dyDescent="0.25">
      <c r="B31" s="17">
        <v>29</v>
      </c>
      <c r="E31" s="72"/>
      <c r="F31" s="18"/>
      <c r="J31" s="11"/>
      <c r="K31" s="11">
        <f t="shared" si="61"/>
        <v>0</v>
      </c>
      <c r="L31" s="37">
        <f t="shared" si="62"/>
        <v>0</v>
      </c>
      <c r="M31" s="11"/>
      <c r="O31" s="21"/>
      <c r="P31" s="21"/>
      <c r="Q31" s="21"/>
      <c r="R31" s="23"/>
      <c r="S31" s="50"/>
      <c r="T31" s="48"/>
      <c r="U31" s="81"/>
      <c r="V31" s="26"/>
      <c r="W31" s="200"/>
      <c r="X31" s="17"/>
      <c r="Z31">
        <v>5</v>
      </c>
      <c r="AA31" s="416"/>
      <c r="AB31" s="96">
        <v>5</v>
      </c>
      <c r="AC31" s="102"/>
      <c r="AD31" s="41">
        <f t="shared" si="2"/>
        <v>0</v>
      </c>
      <c r="AE31" s="70">
        <f t="shared" si="3"/>
        <v>0</v>
      </c>
      <c r="AF31" s="70">
        <f t="shared" si="4"/>
        <v>0</v>
      </c>
      <c r="AG31" s="70">
        <f t="shared" si="5"/>
        <v>0</v>
      </c>
      <c r="AH31" s="109">
        <f t="shared" si="6"/>
        <v>0</v>
      </c>
      <c r="AI31" s="120">
        <f t="shared" si="7"/>
        <v>0</v>
      </c>
      <c r="AJ31" s="121">
        <f t="shared" si="8"/>
        <v>0</v>
      </c>
      <c r="AK31" s="121">
        <f t="shared" si="9"/>
        <v>0</v>
      </c>
      <c r="AL31" s="121">
        <f t="shared" si="10"/>
        <v>0</v>
      </c>
      <c r="AM31" s="122">
        <f t="shared" si="11"/>
        <v>0</v>
      </c>
      <c r="AN31" s="41">
        <f t="shared" si="12"/>
        <v>0</v>
      </c>
      <c r="AO31" s="70">
        <f t="shared" si="13"/>
        <v>0</v>
      </c>
      <c r="AP31" s="70">
        <f t="shared" si="14"/>
        <v>0</v>
      </c>
      <c r="AQ31" s="70">
        <f t="shared" si="15"/>
        <v>0</v>
      </c>
      <c r="AR31" s="70">
        <f t="shared" si="16"/>
        <v>0</v>
      </c>
      <c r="AT31" s="202" t="s">
        <v>264</v>
      </c>
      <c r="AU31" s="202">
        <f t="shared" si="77"/>
        <v>0</v>
      </c>
      <c r="AV31" s="203" t="e">
        <f t="shared" si="78"/>
        <v>#DIV/0!</v>
      </c>
    </row>
    <row r="32" spans="2:48" s="10" customFormat="1" ht="13.5" customHeight="1" thickBot="1" x14ac:dyDescent="0.3">
      <c r="B32" s="17">
        <v>30</v>
      </c>
      <c r="E32" s="72"/>
      <c r="F32" s="18"/>
      <c r="J32" s="11"/>
      <c r="K32" s="11">
        <f t="shared" si="61"/>
        <v>0</v>
      </c>
      <c r="L32" s="37">
        <f t="shared" si="62"/>
        <v>0</v>
      </c>
      <c r="M32" s="11"/>
      <c r="O32" s="21"/>
      <c r="P32" s="21"/>
      <c r="Q32" s="21"/>
      <c r="R32" s="23"/>
      <c r="S32" s="50"/>
      <c r="T32" s="48"/>
      <c r="U32" s="81"/>
      <c r="V32" s="26"/>
      <c r="W32" s="200"/>
      <c r="X32" s="17"/>
      <c r="Z32">
        <v>5</v>
      </c>
      <c r="AA32" s="417"/>
      <c r="AB32" s="97" t="s">
        <v>3</v>
      </c>
      <c r="AC32" s="103"/>
      <c r="AD32" s="99">
        <f>SUM(AD27:AD31)</f>
        <v>0</v>
      </c>
      <c r="AE32" s="99">
        <f t="shared" ref="AE32" si="79">SUM(AE27:AE31)</f>
        <v>0</v>
      </c>
      <c r="AF32" s="99">
        <f t="shared" ref="AF32" si="80">SUM(AF27:AF31)</f>
        <v>0</v>
      </c>
      <c r="AG32" s="99">
        <f t="shared" ref="AG32" si="81">SUM(AG27:AG31)</f>
        <v>0</v>
      </c>
      <c r="AH32" s="110">
        <f t="shared" ref="AH32" si="82">SUM(AH27:AH31)</f>
        <v>0</v>
      </c>
      <c r="AI32" s="123">
        <f t="shared" ref="AI32" si="83">SUM(AI27:AI31)</f>
        <v>0</v>
      </c>
      <c r="AJ32" s="124">
        <f t="shared" ref="AJ32" si="84">SUM(AJ27:AJ31)</f>
        <v>0</v>
      </c>
      <c r="AK32" s="124">
        <f t="shared" ref="AK32" si="85">SUM(AK27:AK31)</f>
        <v>0</v>
      </c>
      <c r="AL32" s="124">
        <f t="shared" ref="AL32" si="86">SUM(AL27:AL31)</f>
        <v>0</v>
      </c>
      <c r="AM32" s="125">
        <f t="shared" ref="AM32" si="87">SUM(AM27:AM31)</f>
        <v>0</v>
      </c>
      <c r="AN32" s="99">
        <f t="shared" ref="AN32" si="88">SUM(AN27:AN31)</f>
        <v>0</v>
      </c>
      <c r="AO32" s="99">
        <f t="shared" ref="AO32" si="89">SUM(AO27:AO31)</f>
        <v>0</v>
      </c>
      <c r="AP32" s="99">
        <f t="shared" ref="AP32" si="90">SUM(AP27:AP31)</f>
        <v>0</v>
      </c>
      <c r="AQ32" s="99">
        <f t="shared" ref="AQ32" si="91">SUM(AQ27:AQ31)</f>
        <v>0</v>
      </c>
      <c r="AR32" s="99">
        <f t="shared" ref="AR32" si="92">SUM(AR27:AR31)</f>
        <v>0</v>
      </c>
      <c r="AT32" s="202" t="s">
        <v>265</v>
      </c>
      <c r="AU32" s="202">
        <f t="shared" si="77"/>
        <v>0</v>
      </c>
      <c r="AV32" s="203" t="e">
        <f t="shared" si="78"/>
        <v>#DIV/0!</v>
      </c>
    </row>
    <row r="33" spans="2:48" s="10" customFormat="1" ht="13.5" customHeight="1" x14ac:dyDescent="0.25">
      <c r="B33" s="17">
        <v>31</v>
      </c>
      <c r="E33" s="72"/>
      <c r="F33" s="18"/>
      <c r="J33" s="11"/>
      <c r="K33" s="11">
        <f t="shared" si="61"/>
        <v>0</v>
      </c>
      <c r="L33" s="37">
        <f t="shared" si="62"/>
        <v>0</v>
      </c>
      <c r="M33" s="11"/>
      <c r="O33" s="21"/>
      <c r="P33" s="21"/>
      <c r="Q33" s="21"/>
      <c r="R33" s="23"/>
      <c r="S33" s="50"/>
      <c r="T33" s="48"/>
      <c r="U33" s="81"/>
      <c r="V33" s="26"/>
      <c r="W33" s="200"/>
      <c r="X33" s="17"/>
      <c r="Z33">
        <v>6</v>
      </c>
      <c r="AA33" s="415">
        <v>6</v>
      </c>
      <c r="AB33" s="94">
        <v>1</v>
      </c>
      <c r="AC33" s="100" t="s">
        <v>114</v>
      </c>
      <c r="AD33" s="41">
        <f t="shared" si="2"/>
        <v>0</v>
      </c>
      <c r="AE33" s="70">
        <f t="shared" si="3"/>
        <v>0</v>
      </c>
      <c r="AF33" s="70">
        <f t="shared" si="4"/>
        <v>0</v>
      </c>
      <c r="AG33" s="70">
        <f t="shared" si="5"/>
        <v>0</v>
      </c>
      <c r="AH33" s="109">
        <f t="shared" si="6"/>
        <v>0</v>
      </c>
      <c r="AI33" s="120">
        <f t="shared" si="7"/>
        <v>0</v>
      </c>
      <c r="AJ33" s="121">
        <f t="shared" si="8"/>
        <v>0</v>
      </c>
      <c r="AK33" s="121">
        <f t="shared" si="9"/>
        <v>0</v>
      </c>
      <c r="AL33" s="121">
        <f t="shared" si="10"/>
        <v>0</v>
      </c>
      <c r="AM33" s="122">
        <f t="shared" si="11"/>
        <v>0</v>
      </c>
      <c r="AN33" s="41">
        <f t="shared" si="12"/>
        <v>0</v>
      </c>
      <c r="AO33" s="70">
        <f t="shared" si="13"/>
        <v>0</v>
      </c>
      <c r="AP33" s="70">
        <f t="shared" si="14"/>
        <v>0</v>
      </c>
      <c r="AQ33" s="70">
        <f t="shared" si="15"/>
        <v>0</v>
      </c>
      <c r="AR33" s="70">
        <f t="shared" si="16"/>
        <v>0</v>
      </c>
      <c r="AT33" s="201" t="s">
        <v>266</v>
      </c>
      <c r="AU33" s="201">
        <f>SUM(AU25:AU32)</f>
        <v>0</v>
      </c>
      <c r="AV33" s="204" t="e">
        <f t="shared" si="78"/>
        <v>#DIV/0!</v>
      </c>
    </row>
    <row r="34" spans="2:48" s="10" customFormat="1" ht="13.5" customHeight="1" x14ac:dyDescent="0.25">
      <c r="B34" s="17">
        <v>32</v>
      </c>
      <c r="E34" s="72"/>
      <c r="F34" s="18"/>
      <c r="J34" s="11"/>
      <c r="K34" s="11">
        <f t="shared" si="61"/>
        <v>0</v>
      </c>
      <c r="L34" s="37">
        <f t="shared" si="62"/>
        <v>0</v>
      </c>
      <c r="M34" s="11"/>
      <c r="O34" s="21"/>
      <c r="P34" s="21"/>
      <c r="Q34" s="21"/>
      <c r="R34" s="23"/>
      <c r="S34" s="50"/>
      <c r="T34" s="48"/>
      <c r="U34" s="81"/>
      <c r="V34" s="26"/>
      <c r="W34" s="200"/>
      <c r="X34" s="17"/>
      <c r="Z34">
        <v>6</v>
      </c>
      <c r="AA34" s="416"/>
      <c r="AB34" s="95">
        <v>2</v>
      </c>
      <c r="AC34" s="102" t="s">
        <v>115</v>
      </c>
      <c r="AD34" s="41">
        <f t="shared" si="2"/>
        <v>0</v>
      </c>
      <c r="AE34" s="70">
        <f t="shared" si="3"/>
        <v>0</v>
      </c>
      <c r="AF34" s="70">
        <f t="shared" si="4"/>
        <v>0</v>
      </c>
      <c r="AG34" s="70">
        <f t="shared" si="5"/>
        <v>0</v>
      </c>
      <c r="AH34" s="109">
        <f t="shared" si="6"/>
        <v>0</v>
      </c>
      <c r="AI34" s="120">
        <f t="shared" si="7"/>
        <v>0</v>
      </c>
      <c r="AJ34" s="121">
        <f t="shared" si="8"/>
        <v>0</v>
      </c>
      <c r="AK34" s="121">
        <f t="shared" si="9"/>
        <v>0</v>
      </c>
      <c r="AL34" s="121">
        <f t="shared" si="10"/>
        <v>0</v>
      </c>
      <c r="AM34" s="122">
        <f t="shared" si="11"/>
        <v>0</v>
      </c>
      <c r="AN34" s="41">
        <f t="shared" si="12"/>
        <v>0</v>
      </c>
      <c r="AO34" s="70">
        <f t="shared" si="13"/>
        <v>0</v>
      </c>
      <c r="AP34" s="70">
        <f t="shared" si="14"/>
        <v>0</v>
      </c>
      <c r="AQ34" s="70">
        <f t="shared" si="15"/>
        <v>0</v>
      </c>
      <c r="AR34" s="70">
        <f t="shared" si="16"/>
        <v>0</v>
      </c>
    </row>
    <row r="35" spans="2:48" s="10" customFormat="1" ht="13.5" customHeight="1" x14ac:dyDescent="0.25">
      <c r="B35" s="17">
        <v>33</v>
      </c>
      <c r="E35" s="72"/>
      <c r="F35" s="18"/>
      <c r="J35" s="11"/>
      <c r="K35" s="11">
        <f t="shared" si="61"/>
        <v>0</v>
      </c>
      <c r="L35" s="37">
        <f t="shared" si="62"/>
        <v>0</v>
      </c>
      <c r="M35" s="11"/>
      <c r="O35" s="21"/>
      <c r="P35" s="21"/>
      <c r="Q35" s="21"/>
      <c r="R35" s="23"/>
      <c r="S35" s="50"/>
      <c r="T35" s="48"/>
      <c r="U35" s="81"/>
      <c r="V35" s="26"/>
      <c r="W35" s="200"/>
      <c r="X35" s="17"/>
      <c r="Z35">
        <v>6</v>
      </c>
      <c r="AA35" s="416"/>
      <c r="AB35" s="95">
        <v>3</v>
      </c>
      <c r="AC35" s="102" t="s">
        <v>116</v>
      </c>
      <c r="AD35" s="41">
        <f t="shared" si="2"/>
        <v>0</v>
      </c>
      <c r="AE35" s="70">
        <f t="shared" si="3"/>
        <v>0</v>
      </c>
      <c r="AF35" s="70">
        <f t="shared" si="4"/>
        <v>0</v>
      </c>
      <c r="AG35" s="70">
        <f t="shared" si="5"/>
        <v>0</v>
      </c>
      <c r="AH35" s="109">
        <f t="shared" si="6"/>
        <v>0</v>
      </c>
      <c r="AI35" s="120">
        <f t="shared" si="7"/>
        <v>0</v>
      </c>
      <c r="AJ35" s="121">
        <f t="shared" si="8"/>
        <v>0</v>
      </c>
      <c r="AK35" s="121">
        <f t="shared" si="9"/>
        <v>0</v>
      </c>
      <c r="AL35" s="121">
        <f t="shared" si="10"/>
        <v>0</v>
      </c>
      <c r="AM35" s="122">
        <f t="shared" si="11"/>
        <v>0</v>
      </c>
      <c r="AN35" s="41">
        <f t="shared" si="12"/>
        <v>0</v>
      </c>
      <c r="AO35" s="70">
        <f t="shared" si="13"/>
        <v>0</v>
      </c>
      <c r="AP35" s="70">
        <f t="shared" si="14"/>
        <v>0</v>
      </c>
      <c r="AQ35" s="70">
        <f t="shared" si="15"/>
        <v>0</v>
      </c>
      <c r="AR35" s="70">
        <f t="shared" si="16"/>
        <v>0</v>
      </c>
    </row>
    <row r="36" spans="2:48" s="10" customFormat="1" ht="13.5" customHeight="1" x14ac:dyDescent="0.25">
      <c r="B36" s="17">
        <v>34</v>
      </c>
      <c r="E36" s="72"/>
      <c r="F36" s="18"/>
      <c r="J36" s="11"/>
      <c r="K36" s="11">
        <f t="shared" si="61"/>
        <v>0</v>
      </c>
      <c r="L36" s="37">
        <f t="shared" si="62"/>
        <v>0</v>
      </c>
      <c r="M36" s="11"/>
      <c r="O36" s="21"/>
      <c r="P36" s="21"/>
      <c r="Q36" s="21"/>
      <c r="R36" s="23"/>
      <c r="S36" s="50"/>
      <c r="T36" s="48"/>
      <c r="U36" s="81"/>
      <c r="V36" s="32"/>
      <c r="W36" s="200"/>
      <c r="X36" s="17"/>
      <c r="Z36">
        <v>6</v>
      </c>
      <c r="AA36" s="416"/>
      <c r="AB36" s="95">
        <v>4</v>
      </c>
      <c r="AC36" s="102" t="s">
        <v>117</v>
      </c>
      <c r="AD36" s="41">
        <f t="shared" si="2"/>
        <v>0</v>
      </c>
      <c r="AE36" s="70">
        <f t="shared" si="3"/>
        <v>0</v>
      </c>
      <c r="AF36" s="70">
        <f t="shared" si="4"/>
        <v>0</v>
      </c>
      <c r="AG36" s="70">
        <f t="shared" si="5"/>
        <v>0</v>
      </c>
      <c r="AH36" s="109">
        <f t="shared" si="6"/>
        <v>0</v>
      </c>
      <c r="AI36" s="120">
        <f t="shared" si="7"/>
        <v>0</v>
      </c>
      <c r="AJ36" s="121">
        <f t="shared" si="8"/>
        <v>0</v>
      </c>
      <c r="AK36" s="121">
        <f t="shared" si="9"/>
        <v>0</v>
      </c>
      <c r="AL36" s="121">
        <f t="shared" si="10"/>
        <v>0</v>
      </c>
      <c r="AM36" s="122">
        <f t="shared" si="11"/>
        <v>0</v>
      </c>
      <c r="AN36" s="41">
        <f t="shared" si="12"/>
        <v>0</v>
      </c>
      <c r="AO36" s="70">
        <f t="shared" si="13"/>
        <v>0</v>
      </c>
      <c r="AP36" s="70">
        <f t="shared" si="14"/>
        <v>0</v>
      </c>
      <c r="AQ36" s="70">
        <f t="shared" si="15"/>
        <v>0</v>
      </c>
      <c r="AR36" s="70">
        <f t="shared" si="16"/>
        <v>0</v>
      </c>
    </row>
    <row r="37" spans="2:48" s="10" customFormat="1" ht="13.5" customHeight="1" x14ac:dyDescent="0.25">
      <c r="B37" s="17">
        <v>35</v>
      </c>
      <c r="E37" s="72"/>
      <c r="F37" s="18"/>
      <c r="J37" s="11"/>
      <c r="K37" s="11">
        <f t="shared" si="61"/>
        <v>0</v>
      </c>
      <c r="L37" s="37">
        <f t="shared" si="62"/>
        <v>0</v>
      </c>
      <c r="M37" s="11"/>
      <c r="O37" s="21"/>
      <c r="P37" s="21"/>
      <c r="Q37" s="21"/>
      <c r="R37" s="23"/>
      <c r="S37" s="50"/>
      <c r="T37" s="48"/>
      <c r="U37" s="81"/>
      <c r="V37" s="32"/>
      <c r="W37" s="200"/>
      <c r="X37" s="17"/>
      <c r="Z37">
        <v>6</v>
      </c>
      <c r="AA37" s="416"/>
      <c r="AB37" s="96">
        <v>5</v>
      </c>
      <c r="AC37" s="102"/>
      <c r="AD37" s="41">
        <f t="shared" si="2"/>
        <v>0</v>
      </c>
      <c r="AE37" s="70">
        <f t="shared" si="3"/>
        <v>0</v>
      </c>
      <c r="AF37" s="70">
        <f t="shared" si="4"/>
        <v>0</v>
      </c>
      <c r="AG37" s="70">
        <f t="shared" si="5"/>
        <v>0</v>
      </c>
      <c r="AH37" s="109">
        <f t="shared" si="6"/>
        <v>0</v>
      </c>
      <c r="AI37" s="120">
        <f t="shared" si="7"/>
        <v>0</v>
      </c>
      <c r="AJ37" s="121">
        <f t="shared" si="8"/>
        <v>0</v>
      </c>
      <c r="AK37" s="121">
        <f t="shared" si="9"/>
        <v>0</v>
      </c>
      <c r="AL37" s="121">
        <f t="shared" si="10"/>
        <v>0</v>
      </c>
      <c r="AM37" s="122">
        <f t="shared" si="11"/>
        <v>0</v>
      </c>
      <c r="AN37" s="41">
        <f t="shared" si="12"/>
        <v>0</v>
      </c>
      <c r="AO37" s="70">
        <f t="shared" si="13"/>
        <v>0</v>
      </c>
      <c r="AP37" s="70">
        <f t="shared" si="14"/>
        <v>0</v>
      </c>
      <c r="AQ37" s="70">
        <f t="shared" si="15"/>
        <v>0</v>
      </c>
      <c r="AR37" s="70">
        <f t="shared" si="16"/>
        <v>0</v>
      </c>
    </row>
    <row r="38" spans="2:48" s="10" customFormat="1" ht="13.5" customHeight="1" thickBot="1" x14ac:dyDescent="0.3">
      <c r="B38" s="17">
        <v>36</v>
      </c>
      <c r="E38" s="72"/>
      <c r="F38" s="18"/>
      <c r="J38" s="11"/>
      <c r="K38" s="11">
        <f t="shared" si="61"/>
        <v>0</v>
      </c>
      <c r="L38" s="37">
        <f t="shared" si="62"/>
        <v>0</v>
      </c>
      <c r="M38" s="11"/>
      <c r="O38" s="21"/>
      <c r="P38" s="21"/>
      <c r="Q38" s="21"/>
      <c r="R38" s="23"/>
      <c r="S38" s="50"/>
      <c r="T38" s="48"/>
      <c r="U38" s="81"/>
      <c r="V38" s="26"/>
      <c r="W38" s="200"/>
      <c r="X38" s="17"/>
      <c r="Z38">
        <v>6</v>
      </c>
      <c r="AA38" s="417"/>
      <c r="AB38" s="97" t="s">
        <v>3</v>
      </c>
      <c r="AC38" s="103"/>
      <c r="AD38" s="99">
        <f>SUM(AD33:AD37)</f>
        <v>0</v>
      </c>
      <c r="AE38" s="99">
        <f t="shared" ref="AE38" si="93">SUM(AE33:AE37)</f>
        <v>0</v>
      </c>
      <c r="AF38" s="99">
        <f t="shared" ref="AF38" si="94">SUM(AF33:AF37)</f>
        <v>0</v>
      </c>
      <c r="AG38" s="99">
        <f t="shared" ref="AG38" si="95">SUM(AG33:AG37)</f>
        <v>0</v>
      </c>
      <c r="AH38" s="110">
        <f t="shared" ref="AH38" si="96">SUM(AH33:AH37)</f>
        <v>0</v>
      </c>
      <c r="AI38" s="123">
        <f t="shared" ref="AI38" si="97">SUM(AI33:AI37)</f>
        <v>0</v>
      </c>
      <c r="AJ38" s="124">
        <f t="shared" ref="AJ38" si="98">SUM(AJ33:AJ37)</f>
        <v>0</v>
      </c>
      <c r="AK38" s="124">
        <f t="shared" ref="AK38" si="99">SUM(AK33:AK37)</f>
        <v>0</v>
      </c>
      <c r="AL38" s="124">
        <f t="shared" ref="AL38" si="100">SUM(AL33:AL37)</f>
        <v>0</v>
      </c>
      <c r="AM38" s="125">
        <f t="shared" ref="AM38" si="101">SUM(AM33:AM37)</f>
        <v>0</v>
      </c>
      <c r="AN38" s="99">
        <f t="shared" ref="AN38" si="102">SUM(AN33:AN37)</f>
        <v>0</v>
      </c>
      <c r="AO38" s="99">
        <f t="shared" ref="AO38" si="103">SUM(AO33:AO37)</f>
        <v>0</v>
      </c>
      <c r="AP38" s="99">
        <f t="shared" ref="AP38" si="104">SUM(AP33:AP37)</f>
        <v>0</v>
      </c>
      <c r="AQ38" s="99">
        <f t="shared" ref="AQ38" si="105">SUM(AQ33:AQ37)</f>
        <v>0</v>
      </c>
      <c r="AR38" s="99">
        <f t="shared" ref="AR38" si="106">SUM(AR33:AR37)</f>
        <v>0</v>
      </c>
    </row>
    <row r="39" spans="2:48" s="10" customFormat="1" ht="13.5" customHeight="1" x14ac:dyDescent="0.25">
      <c r="B39" s="17">
        <v>37</v>
      </c>
      <c r="E39" s="72"/>
      <c r="F39" s="18"/>
      <c r="J39" s="11"/>
      <c r="K39" s="11">
        <f t="shared" si="61"/>
        <v>0</v>
      </c>
      <c r="L39" s="37">
        <f t="shared" si="62"/>
        <v>0</v>
      </c>
      <c r="M39" s="11"/>
      <c r="O39" s="21"/>
      <c r="P39" s="21"/>
      <c r="Q39" s="21"/>
      <c r="R39" s="23"/>
      <c r="S39" s="50"/>
      <c r="T39" s="48"/>
      <c r="U39" s="81"/>
      <c r="V39" s="26"/>
      <c r="W39" s="200"/>
      <c r="X39" s="17"/>
      <c r="Z39">
        <v>7</v>
      </c>
      <c r="AA39" s="415">
        <v>7</v>
      </c>
      <c r="AB39" s="94">
        <v>1</v>
      </c>
      <c r="AC39" s="100" t="s">
        <v>118</v>
      </c>
      <c r="AD39" s="41">
        <f t="shared" si="2"/>
        <v>0</v>
      </c>
      <c r="AE39" s="70">
        <f t="shared" si="3"/>
        <v>0</v>
      </c>
      <c r="AF39" s="70">
        <f t="shared" si="4"/>
        <v>0</v>
      </c>
      <c r="AG39" s="70">
        <f t="shared" si="5"/>
        <v>0</v>
      </c>
      <c r="AH39" s="109">
        <f t="shared" si="6"/>
        <v>0</v>
      </c>
      <c r="AI39" s="120">
        <f t="shared" si="7"/>
        <v>0</v>
      </c>
      <c r="AJ39" s="121">
        <f t="shared" si="8"/>
        <v>0</v>
      </c>
      <c r="AK39" s="121">
        <f t="shared" si="9"/>
        <v>0</v>
      </c>
      <c r="AL39" s="121">
        <f t="shared" si="10"/>
        <v>0</v>
      </c>
      <c r="AM39" s="122">
        <f t="shared" si="11"/>
        <v>0</v>
      </c>
      <c r="AN39" s="41">
        <f t="shared" si="12"/>
        <v>0</v>
      </c>
      <c r="AO39" s="70">
        <f t="shared" si="13"/>
        <v>0</v>
      </c>
      <c r="AP39" s="70">
        <f t="shared" si="14"/>
        <v>0</v>
      </c>
      <c r="AQ39" s="70">
        <f t="shared" si="15"/>
        <v>0</v>
      </c>
      <c r="AR39" s="70">
        <f t="shared" si="16"/>
        <v>0</v>
      </c>
    </row>
    <row r="40" spans="2:48" s="10" customFormat="1" ht="13.5" customHeight="1" x14ac:dyDescent="0.25">
      <c r="B40" s="17">
        <v>38</v>
      </c>
      <c r="E40" s="72"/>
      <c r="F40" s="18"/>
      <c r="J40" s="11"/>
      <c r="K40" s="11">
        <f t="shared" si="61"/>
        <v>0</v>
      </c>
      <c r="L40" s="37">
        <f t="shared" si="62"/>
        <v>0</v>
      </c>
      <c r="M40" s="11"/>
      <c r="O40" s="21"/>
      <c r="P40" s="21"/>
      <c r="Q40" s="21"/>
      <c r="R40" s="23"/>
      <c r="S40" s="50"/>
      <c r="T40" s="48"/>
      <c r="U40" s="81"/>
      <c r="V40" s="26"/>
      <c r="W40" s="200"/>
      <c r="X40" s="17"/>
      <c r="Z40">
        <v>7</v>
      </c>
      <c r="AA40" s="416"/>
      <c r="AB40" s="95">
        <v>2</v>
      </c>
      <c r="AC40" s="102" t="s">
        <v>68</v>
      </c>
      <c r="AD40" s="41">
        <f t="shared" si="2"/>
        <v>0</v>
      </c>
      <c r="AE40" s="70">
        <f t="shared" si="3"/>
        <v>0</v>
      </c>
      <c r="AF40" s="70">
        <f t="shared" si="4"/>
        <v>0</v>
      </c>
      <c r="AG40" s="70">
        <f t="shared" si="5"/>
        <v>0</v>
      </c>
      <c r="AH40" s="109">
        <f t="shared" si="6"/>
        <v>0</v>
      </c>
      <c r="AI40" s="120">
        <f t="shared" si="7"/>
        <v>0</v>
      </c>
      <c r="AJ40" s="121">
        <f t="shared" si="8"/>
        <v>0</v>
      </c>
      <c r="AK40" s="121">
        <f t="shared" si="9"/>
        <v>0</v>
      </c>
      <c r="AL40" s="121">
        <f t="shared" si="10"/>
        <v>0</v>
      </c>
      <c r="AM40" s="122">
        <f t="shared" si="11"/>
        <v>0</v>
      </c>
      <c r="AN40" s="41">
        <f t="shared" si="12"/>
        <v>0</v>
      </c>
      <c r="AO40" s="70">
        <f t="shared" si="13"/>
        <v>0</v>
      </c>
      <c r="AP40" s="70">
        <f t="shared" si="14"/>
        <v>0</v>
      </c>
      <c r="AQ40" s="70">
        <f t="shared" si="15"/>
        <v>0</v>
      </c>
      <c r="AR40" s="70">
        <f t="shared" si="16"/>
        <v>0</v>
      </c>
    </row>
    <row r="41" spans="2:48" s="10" customFormat="1" ht="13.5" customHeight="1" x14ac:dyDescent="0.25">
      <c r="B41" s="17">
        <v>39</v>
      </c>
      <c r="E41" s="72"/>
      <c r="F41" s="18"/>
      <c r="J41" s="11"/>
      <c r="K41" s="11">
        <f t="shared" si="61"/>
        <v>0</v>
      </c>
      <c r="L41" s="37">
        <f t="shared" si="62"/>
        <v>0</v>
      </c>
      <c r="M41" s="11"/>
      <c r="O41" s="21"/>
      <c r="P41" s="21"/>
      <c r="Q41" s="21"/>
      <c r="R41" s="23"/>
      <c r="S41" s="50"/>
      <c r="T41" s="48"/>
      <c r="U41" s="81"/>
      <c r="V41" s="26"/>
      <c r="W41" s="200"/>
      <c r="X41" s="17"/>
      <c r="Z41">
        <v>7</v>
      </c>
      <c r="AA41" s="416"/>
      <c r="AB41" s="95">
        <v>3</v>
      </c>
      <c r="AC41" s="102" t="s">
        <v>69</v>
      </c>
      <c r="AD41" s="41">
        <f t="shared" si="2"/>
        <v>0</v>
      </c>
      <c r="AE41" s="70">
        <f t="shared" si="3"/>
        <v>0</v>
      </c>
      <c r="AF41" s="70">
        <f t="shared" si="4"/>
        <v>0</v>
      </c>
      <c r="AG41" s="70">
        <f t="shared" si="5"/>
        <v>0</v>
      </c>
      <c r="AH41" s="109">
        <f t="shared" si="6"/>
        <v>0</v>
      </c>
      <c r="AI41" s="120">
        <f t="shared" si="7"/>
        <v>0</v>
      </c>
      <c r="AJ41" s="121">
        <f t="shared" si="8"/>
        <v>0</v>
      </c>
      <c r="AK41" s="121">
        <f t="shared" si="9"/>
        <v>0</v>
      </c>
      <c r="AL41" s="121">
        <f t="shared" si="10"/>
        <v>0</v>
      </c>
      <c r="AM41" s="122">
        <f t="shared" si="11"/>
        <v>0</v>
      </c>
      <c r="AN41" s="41">
        <f t="shared" si="12"/>
        <v>0</v>
      </c>
      <c r="AO41" s="70">
        <f t="shared" si="13"/>
        <v>0</v>
      </c>
      <c r="AP41" s="70">
        <f t="shared" si="14"/>
        <v>0</v>
      </c>
      <c r="AQ41" s="70">
        <f t="shared" si="15"/>
        <v>0</v>
      </c>
      <c r="AR41" s="70">
        <f t="shared" si="16"/>
        <v>0</v>
      </c>
    </row>
    <row r="42" spans="2:48" s="10" customFormat="1" ht="13.5" customHeight="1" x14ac:dyDescent="0.25">
      <c r="B42" s="17">
        <v>40</v>
      </c>
      <c r="E42" s="72"/>
      <c r="F42" s="18"/>
      <c r="J42" s="11"/>
      <c r="K42" s="11">
        <f t="shared" si="61"/>
        <v>0</v>
      </c>
      <c r="L42" s="37">
        <f t="shared" si="62"/>
        <v>0</v>
      </c>
      <c r="M42" s="11"/>
      <c r="O42" s="21"/>
      <c r="P42" s="21"/>
      <c r="Q42" s="21"/>
      <c r="R42" s="23"/>
      <c r="S42" s="50"/>
      <c r="T42" s="48"/>
      <c r="U42" s="81"/>
      <c r="V42" s="26"/>
      <c r="W42" s="200"/>
      <c r="X42" s="17"/>
      <c r="Z42">
        <v>7</v>
      </c>
      <c r="AA42" s="416"/>
      <c r="AB42" s="95">
        <v>4</v>
      </c>
      <c r="AC42" s="102" t="s">
        <v>70</v>
      </c>
      <c r="AD42" s="41">
        <f t="shared" si="2"/>
        <v>0</v>
      </c>
      <c r="AE42" s="70">
        <f t="shared" si="3"/>
        <v>0</v>
      </c>
      <c r="AF42" s="70">
        <f t="shared" si="4"/>
        <v>0</v>
      </c>
      <c r="AG42" s="70">
        <f t="shared" si="5"/>
        <v>0</v>
      </c>
      <c r="AH42" s="109">
        <f t="shared" si="6"/>
        <v>0</v>
      </c>
      <c r="AI42" s="120">
        <f t="shared" si="7"/>
        <v>0</v>
      </c>
      <c r="AJ42" s="121">
        <f t="shared" si="8"/>
        <v>0</v>
      </c>
      <c r="AK42" s="121">
        <f t="shared" si="9"/>
        <v>0</v>
      </c>
      <c r="AL42" s="121">
        <f t="shared" si="10"/>
        <v>0</v>
      </c>
      <c r="AM42" s="122">
        <f t="shared" si="11"/>
        <v>0</v>
      </c>
      <c r="AN42" s="41">
        <f t="shared" si="12"/>
        <v>0</v>
      </c>
      <c r="AO42" s="70">
        <f t="shared" si="13"/>
        <v>0</v>
      </c>
      <c r="AP42" s="70">
        <f t="shared" si="14"/>
        <v>0</v>
      </c>
      <c r="AQ42" s="70">
        <f t="shared" si="15"/>
        <v>0</v>
      </c>
      <c r="AR42" s="70">
        <f t="shared" si="16"/>
        <v>0</v>
      </c>
    </row>
    <row r="43" spans="2:48" x14ac:dyDescent="0.25">
      <c r="B43" s="17">
        <v>41</v>
      </c>
      <c r="C43" s="10"/>
      <c r="D43" s="10"/>
      <c r="E43" s="72"/>
      <c r="F43" s="18"/>
      <c r="G43" s="10"/>
      <c r="H43" s="10"/>
      <c r="I43" s="10"/>
      <c r="J43" s="11"/>
      <c r="K43" s="11">
        <f t="shared" si="61"/>
        <v>0</v>
      </c>
      <c r="L43" s="37">
        <f t="shared" si="62"/>
        <v>0</v>
      </c>
      <c r="M43" s="11"/>
      <c r="N43" s="10"/>
      <c r="O43" s="21"/>
      <c r="P43" s="21"/>
      <c r="Q43" s="21"/>
      <c r="R43" s="23"/>
      <c r="S43" s="50"/>
      <c r="T43" s="48"/>
      <c r="U43" s="82"/>
      <c r="V43" s="32"/>
      <c r="W43" s="200"/>
      <c r="X43" s="17"/>
      <c r="Z43">
        <v>7</v>
      </c>
      <c r="AA43" s="416"/>
      <c r="AB43" s="96">
        <v>5</v>
      </c>
      <c r="AC43" s="105" t="s">
        <v>119</v>
      </c>
      <c r="AD43" s="41">
        <f t="shared" si="2"/>
        <v>0</v>
      </c>
      <c r="AE43" s="70">
        <f t="shared" si="3"/>
        <v>0</v>
      </c>
      <c r="AF43" s="70">
        <f t="shared" si="4"/>
        <v>0</v>
      </c>
      <c r="AG43" s="70">
        <f t="shared" si="5"/>
        <v>0</v>
      </c>
      <c r="AH43" s="109">
        <f t="shared" si="6"/>
        <v>0</v>
      </c>
      <c r="AI43" s="120">
        <f t="shared" si="7"/>
        <v>0</v>
      </c>
      <c r="AJ43" s="121">
        <f t="shared" si="8"/>
        <v>0</v>
      </c>
      <c r="AK43" s="121">
        <f t="shared" si="9"/>
        <v>0</v>
      </c>
      <c r="AL43" s="121">
        <f t="shared" si="10"/>
        <v>0</v>
      </c>
      <c r="AM43" s="122">
        <f t="shared" si="11"/>
        <v>0</v>
      </c>
      <c r="AN43" s="41">
        <f t="shared" si="12"/>
        <v>0</v>
      </c>
      <c r="AO43" s="70">
        <f t="shared" si="13"/>
        <v>0</v>
      </c>
      <c r="AP43" s="70">
        <f t="shared" si="14"/>
        <v>0</v>
      </c>
      <c r="AQ43" s="70">
        <f t="shared" si="15"/>
        <v>0</v>
      </c>
      <c r="AR43" s="70">
        <f t="shared" si="16"/>
        <v>0</v>
      </c>
    </row>
    <row r="44" spans="2:48" ht="14.25" thickBot="1" x14ac:dyDescent="0.3">
      <c r="B44" s="17">
        <v>42</v>
      </c>
      <c r="C44" s="10"/>
      <c r="D44" s="10"/>
      <c r="E44" s="72"/>
      <c r="F44" s="18"/>
      <c r="G44" s="10"/>
      <c r="H44" s="10"/>
      <c r="I44" s="10"/>
      <c r="J44" s="11"/>
      <c r="K44" s="11">
        <f t="shared" si="61"/>
        <v>0</v>
      </c>
      <c r="L44" s="37">
        <f t="shared" si="62"/>
        <v>0</v>
      </c>
      <c r="M44" s="11"/>
      <c r="N44" s="10"/>
      <c r="O44" s="21"/>
      <c r="P44" s="21"/>
      <c r="Q44" s="21"/>
      <c r="R44" s="23"/>
      <c r="S44" s="50"/>
      <c r="T44" s="48"/>
      <c r="U44" s="82"/>
      <c r="V44" s="32"/>
      <c r="W44" s="200"/>
      <c r="X44" s="17"/>
      <c r="Z44">
        <v>7</v>
      </c>
      <c r="AA44" s="417"/>
      <c r="AB44" s="97" t="s">
        <v>3</v>
      </c>
      <c r="AC44" s="106"/>
      <c r="AD44" s="99">
        <f>SUM(AD39:AD43)</f>
        <v>0</v>
      </c>
      <c r="AE44" s="99">
        <f t="shared" ref="AE44" si="107">SUM(AE39:AE43)</f>
        <v>0</v>
      </c>
      <c r="AF44" s="99">
        <f t="shared" ref="AF44" si="108">SUM(AF39:AF43)</f>
        <v>0</v>
      </c>
      <c r="AG44" s="99">
        <f t="shared" ref="AG44" si="109">SUM(AG39:AG43)</f>
        <v>0</v>
      </c>
      <c r="AH44" s="110">
        <f t="shared" ref="AH44" si="110">SUM(AH39:AH43)</f>
        <v>0</v>
      </c>
      <c r="AI44" s="123">
        <f t="shared" ref="AI44" si="111">SUM(AI39:AI43)</f>
        <v>0</v>
      </c>
      <c r="AJ44" s="124">
        <f t="shared" ref="AJ44" si="112">SUM(AJ39:AJ43)</f>
        <v>0</v>
      </c>
      <c r="AK44" s="124">
        <f t="shared" ref="AK44" si="113">SUM(AK39:AK43)</f>
        <v>0</v>
      </c>
      <c r="AL44" s="124">
        <f t="shared" ref="AL44" si="114">SUM(AL39:AL43)</f>
        <v>0</v>
      </c>
      <c r="AM44" s="125">
        <f t="shared" ref="AM44" si="115">SUM(AM39:AM43)</f>
        <v>0</v>
      </c>
      <c r="AN44" s="99">
        <f t="shared" ref="AN44" si="116">SUM(AN39:AN43)</f>
        <v>0</v>
      </c>
      <c r="AO44" s="99">
        <f t="shared" ref="AO44" si="117">SUM(AO39:AO43)</f>
        <v>0</v>
      </c>
      <c r="AP44" s="99">
        <f t="shared" ref="AP44" si="118">SUM(AP39:AP43)</f>
        <v>0</v>
      </c>
      <c r="AQ44" s="99">
        <f t="shared" ref="AQ44" si="119">SUM(AQ39:AQ43)</f>
        <v>0</v>
      </c>
      <c r="AR44" s="99">
        <f t="shared" ref="AR44" si="120">SUM(AR39:AR43)</f>
        <v>0</v>
      </c>
    </row>
    <row r="45" spans="2:48" x14ac:dyDescent="0.25">
      <c r="B45" s="17">
        <v>43</v>
      </c>
      <c r="C45" s="10"/>
      <c r="D45" s="10"/>
      <c r="E45" s="72"/>
      <c r="F45" s="18"/>
      <c r="G45" s="10"/>
      <c r="H45" s="10"/>
      <c r="I45" s="10"/>
      <c r="J45" s="11"/>
      <c r="K45" s="11">
        <f t="shared" si="61"/>
        <v>0</v>
      </c>
      <c r="L45" s="37">
        <f t="shared" si="62"/>
        <v>0</v>
      </c>
      <c r="M45" s="11"/>
      <c r="N45" s="10"/>
      <c r="O45" s="21"/>
      <c r="P45" s="21"/>
      <c r="Q45" s="21"/>
      <c r="R45" s="23"/>
      <c r="S45" s="50"/>
      <c r="T45" s="48"/>
      <c r="U45" s="82"/>
      <c r="V45" s="26"/>
      <c r="W45" s="200"/>
      <c r="X45" s="17"/>
      <c r="Z45">
        <v>8</v>
      </c>
      <c r="AA45" s="415">
        <v>8</v>
      </c>
      <c r="AB45" s="94">
        <v>1</v>
      </c>
      <c r="AC45" s="100" t="s">
        <v>120</v>
      </c>
      <c r="AD45" s="41">
        <f t="shared" si="2"/>
        <v>0</v>
      </c>
      <c r="AE45" s="70">
        <f t="shared" si="3"/>
        <v>0</v>
      </c>
      <c r="AF45" s="70">
        <f t="shared" si="4"/>
        <v>0</v>
      </c>
      <c r="AG45" s="70">
        <f t="shared" si="5"/>
        <v>0</v>
      </c>
      <c r="AH45" s="109">
        <f t="shared" si="6"/>
        <v>0</v>
      </c>
      <c r="AI45" s="120">
        <f t="shared" si="7"/>
        <v>0</v>
      </c>
      <c r="AJ45" s="121">
        <f t="shared" si="8"/>
        <v>0</v>
      </c>
      <c r="AK45" s="121">
        <f t="shared" si="9"/>
        <v>0</v>
      </c>
      <c r="AL45" s="121">
        <f t="shared" si="10"/>
        <v>0</v>
      </c>
      <c r="AM45" s="122">
        <f t="shared" si="11"/>
        <v>0</v>
      </c>
      <c r="AN45" s="41">
        <f t="shared" si="12"/>
        <v>0</v>
      </c>
      <c r="AO45" s="70">
        <f t="shared" si="13"/>
        <v>0</v>
      </c>
      <c r="AP45" s="70">
        <f t="shared" si="14"/>
        <v>0</v>
      </c>
      <c r="AQ45" s="70">
        <f t="shared" si="15"/>
        <v>0</v>
      </c>
      <c r="AR45" s="70">
        <f t="shared" si="16"/>
        <v>0</v>
      </c>
    </row>
    <row r="46" spans="2:48" x14ac:dyDescent="0.25">
      <c r="B46" s="17">
        <v>44</v>
      </c>
      <c r="C46" s="10"/>
      <c r="D46" s="10"/>
      <c r="E46" s="72"/>
      <c r="F46" s="18"/>
      <c r="G46" s="10"/>
      <c r="H46" s="10"/>
      <c r="I46" s="10"/>
      <c r="J46" s="11"/>
      <c r="K46" s="11">
        <f t="shared" si="61"/>
        <v>0</v>
      </c>
      <c r="L46" s="37">
        <f t="shared" si="62"/>
        <v>0</v>
      </c>
      <c r="M46" s="11"/>
      <c r="N46" s="10"/>
      <c r="O46" s="21"/>
      <c r="P46" s="21"/>
      <c r="Q46" s="21"/>
      <c r="R46" s="23"/>
      <c r="S46" s="50"/>
      <c r="T46" s="48"/>
      <c r="U46" s="82"/>
      <c r="V46" s="26"/>
      <c r="W46" s="200"/>
      <c r="X46" s="17"/>
      <c r="Z46">
        <v>8</v>
      </c>
      <c r="AA46" s="416"/>
      <c r="AB46" s="95">
        <v>2</v>
      </c>
      <c r="AC46" s="102" t="s">
        <v>121</v>
      </c>
      <c r="AD46" s="41">
        <f t="shared" si="2"/>
        <v>0</v>
      </c>
      <c r="AE46" s="70">
        <f t="shared" si="3"/>
        <v>0</v>
      </c>
      <c r="AF46" s="70">
        <f t="shared" si="4"/>
        <v>0</v>
      </c>
      <c r="AG46" s="70">
        <f t="shared" si="5"/>
        <v>0</v>
      </c>
      <c r="AH46" s="109">
        <f t="shared" si="6"/>
        <v>0</v>
      </c>
      <c r="AI46" s="120">
        <f t="shared" si="7"/>
        <v>0</v>
      </c>
      <c r="AJ46" s="121">
        <f t="shared" si="8"/>
        <v>0</v>
      </c>
      <c r="AK46" s="121">
        <f t="shared" si="9"/>
        <v>0</v>
      </c>
      <c r="AL46" s="121">
        <f t="shared" si="10"/>
        <v>0</v>
      </c>
      <c r="AM46" s="122">
        <f t="shared" si="11"/>
        <v>0</v>
      </c>
      <c r="AN46" s="41">
        <f t="shared" si="12"/>
        <v>0</v>
      </c>
      <c r="AO46" s="70">
        <f t="shared" si="13"/>
        <v>0</v>
      </c>
      <c r="AP46" s="70">
        <f t="shared" si="14"/>
        <v>0</v>
      </c>
      <c r="AQ46" s="70">
        <f t="shared" si="15"/>
        <v>0</v>
      </c>
      <c r="AR46" s="70">
        <f t="shared" si="16"/>
        <v>0</v>
      </c>
    </row>
    <row r="47" spans="2:48" x14ac:dyDescent="0.25">
      <c r="B47" s="17">
        <v>45</v>
      </c>
      <c r="C47" s="10"/>
      <c r="D47" s="10"/>
      <c r="E47" s="72"/>
      <c r="F47" s="18"/>
      <c r="G47" s="10"/>
      <c r="H47" s="10"/>
      <c r="I47" s="10"/>
      <c r="J47" s="11"/>
      <c r="K47" s="11">
        <f t="shared" si="61"/>
        <v>0</v>
      </c>
      <c r="L47" s="37">
        <f t="shared" si="62"/>
        <v>0</v>
      </c>
      <c r="M47" s="11"/>
      <c r="N47" s="10"/>
      <c r="O47" s="21"/>
      <c r="P47" s="21"/>
      <c r="Q47" s="21"/>
      <c r="R47" s="23"/>
      <c r="S47" s="50"/>
      <c r="T47" s="48"/>
      <c r="U47" s="82"/>
      <c r="V47" s="26"/>
      <c r="W47" s="200"/>
      <c r="X47" s="17"/>
      <c r="Z47">
        <v>8</v>
      </c>
      <c r="AA47" s="416"/>
      <c r="AB47" s="95">
        <v>3</v>
      </c>
      <c r="AC47" s="102" t="s">
        <v>122</v>
      </c>
      <c r="AD47" s="41">
        <f t="shared" si="2"/>
        <v>0</v>
      </c>
      <c r="AE47" s="70">
        <f t="shared" si="3"/>
        <v>0</v>
      </c>
      <c r="AF47" s="70">
        <f t="shared" si="4"/>
        <v>0</v>
      </c>
      <c r="AG47" s="70">
        <f t="shared" si="5"/>
        <v>0</v>
      </c>
      <c r="AH47" s="109">
        <f t="shared" si="6"/>
        <v>0</v>
      </c>
      <c r="AI47" s="120">
        <f t="shared" si="7"/>
        <v>0</v>
      </c>
      <c r="AJ47" s="121">
        <f t="shared" si="8"/>
        <v>0</v>
      </c>
      <c r="AK47" s="121">
        <f t="shared" si="9"/>
        <v>0</v>
      </c>
      <c r="AL47" s="121">
        <f t="shared" si="10"/>
        <v>0</v>
      </c>
      <c r="AM47" s="122">
        <f t="shared" si="11"/>
        <v>0</v>
      </c>
      <c r="AN47" s="41">
        <f t="shared" si="12"/>
        <v>0</v>
      </c>
      <c r="AO47" s="70">
        <f t="shared" si="13"/>
        <v>0</v>
      </c>
      <c r="AP47" s="70">
        <f t="shared" si="14"/>
        <v>0</v>
      </c>
      <c r="AQ47" s="70">
        <f t="shared" si="15"/>
        <v>0</v>
      </c>
      <c r="AR47" s="70">
        <f t="shared" si="16"/>
        <v>0</v>
      </c>
    </row>
    <row r="48" spans="2:48" x14ac:dyDescent="0.25">
      <c r="B48" s="17">
        <v>46</v>
      </c>
      <c r="C48" s="10"/>
      <c r="D48" s="10"/>
      <c r="E48" s="72"/>
      <c r="F48" s="18"/>
      <c r="G48" s="10"/>
      <c r="H48" s="10"/>
      <c r="I48" s="10"/>
      <c r="J48" s="11"/>
      <c r="K48" s="11">
        <f t="shared" si="61"/>
        <v>0</v>
      </c>
      <c r="L48" s="37">
        <f t="shared" si="62"/>
        <v>0</v>
      </c>
      <c r="M48" s="11"/>
      <c r="N48" s="10"/>
      <c r="O48" s="21"/>
      <c r="P48" s="21"/>
      <c r="Q48" s="21"/>
      <c r="R48" s="23"/>
      <c r="S48" s="50"/>
      <c r="T48" s="48"/>
      <c r="U48" s="82"/>
      <c r="V48" s="26"/>
      <c r="W48" s="200"/>
      <c r="X48" s="17"/>
      <c r="Z48">
        <v>8</v>
      </c>
      <c r="AA48" s="416"/>
      <c r="AB48" s="95">
        <v>4</v>
      </c>
      <c r="AC48" s="102" t="s">
        <v>123</v>
      </c>
      <c r="AD48" s="41">
        <f t="shared" si="2"/>
        <v>0</v>
      </c>
      <c r="AE48" s="70">
        <f t="shared" si="3"/>
        <v>0</v>
      </c>
      <c r="AF48" s="70">
        <f t="shared" si="4"/>
        <v>0</v>
      </c>
      <c r="AG48" s="70">
        <f t="shared" si="5"/>
        <v>0</v>
      </c>
      <c r="AH48" s="109">
        <f t="shared" si="6"/>
        <v>0</v>
      </c>
      <c r="AI48" s="120">
        <f t="shared" si="7"/>
        <v>0</v>
      </c>
      <c r="AJ48" s="121">
        <f t="shared" si="8"/>
        <v>0</v>
      </c>
      <c r="AK48" s="121">
        <f t="shared" si="9"/>
        <v>0</v>
      </c>
      <c r="AL48" s="121">
        <f t="shared" si="10"/>
        <v>0</v>
      </c>
      <c r="AM48" s="122">
        <f t="shared" si="11"/>
        <v>0</v>
      </c>
      <c r="AN48" s="41">
        <f t="shared" si="12"/>
        <v>0</v>
      </c>
      <c r="AO48" s="70">
        <f t="shared" si="13"/>
        <v>0</v>
      </c>
      <c r="AP48" s="70">
        <f t="shared" si="14"/>
        <v>0</v>
      </c>
      <c r="AQ48" s="70">
        <f t="shared" si="15"/>
        <v>0</v>
      </c>
      <c r="AR48" s="70">
        <f t="shared" si="16"/>
        <v>0</v>
      </c>
    </row>
    <row r="49" spans="2:44" x14ac:dyDescent="0.25">
      <c r="B49" s="17">
        <v>47</v>
      </c>
      <c r="C49" s="10"/>
      <c r="D49" s="10"/>
      <c r="E49" s="72"/>
      <c r="F49" s="18"/>
      <c r="G49" s="10"/>
      <c r="H49" s="10"/>
      <c r="I49" s="10"/>
      <c r="J49" s="11"/>
      <c r="K49" s="11">
        <f t="shared" si="61"/>
        <v>0</v>
      </c>
      <c r="L49" s="37">
        <f t="shared" si="62"/>
        <v>0</v>
      </c>
      <c r="M49" s="11"/>
      <c r="N49" s="10"/>
      <c r="O49" s="21"/>
      <c r="P49" s="21"/>
      <c r="Q49" s="21"/>
      <c r="R49" s="23"/>
      <c r="S49" s="50"/>
      <c r="T49" s="48"/>
      <c r="U49" s="82"/>
      <c r="V49" s="26"/>
      <c r="W49" s="200"/>
      <c r="X49" s="17"/>
      <c r="Z49">
        <v>8</v>
      </c>
      <c r="AA49" s="416"/>
      <c r="AB49" s="96">
        <v>5</v>
      </c>
      <c r="AC49" s="105"/>
      <c r="AD49" s="41">
        <f t="shared" si="2"/>
        <v>0</v>
      </c>
      <c r="AE49" s="70">
        <f t="shared" si="3"/>
        <v>0</v>
      </c>
      <c r="AF49" s="70">
        <f t="shared" si="4"/>
        <v>0</v>
      </c>
      <c r="AG49" s="70">
        <f t="shared" si="5"/>
        <v>0</v>
      </c>
      <c r="AH49" s="109">
        <f t="shared" si="6"/>
        <v>0</v>
      </c>
      <c r="AI49" s="120">
        <f t="shared" si="7"/>
        <v>0</v>
      </c>
      <c r="AJ49" s="121">
        <f t="shared" si="8"/>
        <v>0</v>
      </c>
      <c r="AK49" s="121">
        <f t="shared" si="9"/>
        <v>0</v>
      </c>
      <c r="AL49" s="121">
        <f t="shared" si="10"/>
        <v>0</v>
      </c>
      <c r="AM49" s="122">
        <f t="shared" si="11"/>
        <v>0</v>
      </c>
      <c r="AN49" s="41">
        <f t="shared" si="12"/>
        <v>0</v>
      </c>
      <c r="AO49" s="70">
        <f t="shared" si="13"/>
        <v>0</v>
      </c>
      <c r="AP49" s="70">
        <f t="shared" si="14"/>
        <v>0</v>
      </c>
      <c r="AQ49" s="70">
        <f t="shared" si="15"/>
        <v>0</v>
      </c>
      <c r="AR49" s="70">
        <f t="shared" si="16"/>
        <v>0</v>
      </c>
    </row>
    <row r="50" spans="2:44" ht="14.25" thickBot="1" x14ac:dyDescent="0.3">
      <c r="B50" s="17">
        <v>48</v>
      </c>
      <c r="C50" s="10"/>
      <c r="D50" s="10"/>
      <c r="E50" s="72"/>
      <c r="F50" s="18"/>
      <c r="G50" s="10"/>
      <c r="H50" s="10"/>
      <c r="I50" s="10"/>
      <c r="J50" s="11"/>
      <c r="K50" s="11">
        <f t="shared" si="61"/>
        <v>0</v>
      </c>
      <c r="L50" s="37">
        <f t="shared" si="62"/>
        <v>0</v>
      </c>
      <c r="M50" s="11"/>
      <c r="N50" s="10"/>
      <c r="O50" s="21"/>
      <c r="P50" s="21"/>
      <c r="Q50" s="21"/>
      <c r="R50" s="23"/>
      <c r="S50" s="50"/>
      <c r="T50" s="48"/>
      <c r="U50" s="82"/>
      <c r="V50" s="32"/>
      <c r="W50" s="200"/>
      <c r="X50" s="17"/>
      <c r="Z50">
        <v>8</v>
      </c>
      <c r="AA50" s="417"/>
      <c r="AB50" s="97" t="s">
        <v>3</v>
      </c>
      <c r="AC50" s="106"/>
      <c r="AD50" s="99">
        <f>SUM(AD45:AD49)</f>
        <v>0</v>
      </c>
      <c r="AE50" s="99">
        <f t="shared" ref="AE50" si="121">SUM(AE45:AE49)</f>
        <v>0</v>
      </c>
      <c r="AF50" s="99">
        <f t="shared" ref="AF50" si="122">SUM(AF45:AF49)</f>
        <v>0</v>
      </c>
      <c r="AG50" s="99">
        <f t="shared" ref="AG50" si="123">SUM(AG45:AG49)</f>
        <v>0</v>
      </c>
      <c r="AH50" s="110">
        <f t="shared" ref="AH50" si="124">SUM(AH45:AH49)</f>
        <v>0</v>
      </c>
      <c r="AI50" s="123">
        <f t="shared" ref="AI50" si="125">SUM(AI45:AI49)</f>
        <v>0</v>
      </c>
      <c r="AJ50" s="124">
        <f t="shared" ref="AJ50" si="126">SUM(AJ45:AJ49)</f>
        <v>0</v>
      </c>
      <c r="AK50" s="124">
        <f t="shared" ref="AK50" si="127">SUM(AK45:AK49)</f>
        <v>0</v>
      </c>
      <c r="AL50" s="124">
        <f t="shared" ref="AL50" si="128">SUM(AL45:AL49)</f>
        <v>0</v>
      </c>
      <c r="AM50" s="125">
        <f t="shared" ref="AM50" si="129">SUM(AM45:AM49)</f>
        <v>0</v>
      </c>
      <c r="AN50" s="99">
        <f t="shared" ref="AN50" si="130">SUM(AN45:AN49)</f>
        <v>0</v>
      </c>
      <c r="AO50" s="99">
        <f t="shared" ref="AO50" si="131">SUM(AO45:AO49)</f>
        <v>0</v>
      </c>
      <c r="AP50" s="99">
        <f t="shared" ref="AP50" si="132">SUM(AP45:AP49)</f>
        <v>0</v>
      </c>
      <c r="AQ50" s="99">
        <f t="shared" ref="AQ50" si="133">SUM(AQ45:AQ49)</f>
        <v>0</v>
      </c>
      <c r="AR50" s="99">
        <f t="shared" ref="AR50" si="134">SUM(AR45:AR49)</f>
        <v>0</v>
      </c>
    </row>
    <row r="51" spans="2:44" x14ac:dyDescent="0.25">
      <c r="B51" s="17">
        <v>49</v>
      </c>
      <c r="C51" s="10"/>
      <c r="D51" s="10"/>
      <c r="E51" s="72"/>
      <c r="F51" s="18"/>
      <c r="G51" s="10"/>
      <c r="H51" s="10"/>
      <c r="I51" s="10"/>
      <c r="J51" s="11"/>
      <c r="K51" s="11">
        <f t="shared" si="61"/>
        <v>0</v>
      </c>
      <c r="L51" s="37">
        <f t="shared" si="62"/>
        <v>0</v>
      </c>
      <c r="M51" s="11"/>
      <c r="N51" s="10"/>
      <c r="O51" s="21"/>
      <c r="P51" s="21"/>
      <c r="Q51" s="21"/>
      <c r="R51" s="23"/>
      <c r="S51" s="50"/>
      <c r="T51" s="48"/>
      <c r="U51" s="82"/>
      <c r="V51" s="32"/>
      <c r="W51" s="200"/>
      <c r="X51" s="17"/>
      <c r="Z51">
        <v>9</v>
      </c>
      <c r="AA51" s="415">
        <v>9</v>
      </c>
      <c r="AB51" s="94">
        <v>1</v>
      </c>
      <c r="AC51" s="100" t="s">
        <v>124</v>
      </c>
      <c r="AD51" s="41">
        <f t="shared" si="2"/>
        <v>0</v>
      </c>
      <c r="AE51" s="70">
        <f t="shared" si="3"/>
        <v>0</v>
      </c>
      <c r="AF51" s="70">
        <f t="shared" si="4"/>
        <v>0</v>
      </c>
      <c r="AG51" s="70">
        <f t="shared" si="5"/>
        <v>0</v>
      </c>
      <c r="AH51" s="109">
        <f t="shared" si="6"/>
        <v>0</v>
      </c>
      <c r="AI51" s="120">
        <f t="shared" si="7"/>
        <v>0</v>
      </c>
      <c r="AJ51" s="121">
        <f t="shared" si="8"/>
        <v>0</v>
      </c>
      <c r="AK51" s="121">
        <f t="shared" si="9"/>
        <v>0</v>
      </c>
      <c r="AL51" s="121">
        <f t="shared" si="10"/>
        <v>0</v>
      </c>
      <c r="AM51" s="122">
        <f t="shared" si="11"/>
        <v>0</v>
      </c>
      <c r="AN51" s="41">
        <f t="shared" si="12"/>
        <v>0</v>
      </c>
      <c r="AO51" s="70">
        <f t="shared" si="13"/>
        <v>0</v>
      </c>
      <c r="AP51" s="70">
        <f t="shared" si="14"/>
        <v>0</v>
      </c>
      <c r="AQ51" s="70">
        <f t="shared" si="15"/>
        <v>0</v>
      </c>
      <c r="AR51" s="70">
        <f t="shared" si="16"/>
        <v>0</v>
      </c>
    </row>
    <row r="52" spans="2:44" x14ac:dyDescent="0.25">
      <c r="B52" s="17">
        <v>50</v>
      </c>
      <c r="C52" s="10"/>
      <c r="D52" s="10"/>
      <c r="E52" s="72"/>
      <c r="F52" s="18"/>
      <c r="G52" s="10"/>
      <c r="H52" s="10"/>
      <c r="I52" s="10"/>
      <c r="J52" s="11"/>
      <c r="K52" s="11">
        <f t="shared" si="61"/>
        <v>0</v>
      </c>
      <c r="L52" s="37">
        <f t="shared" si="62"/>
        <v>0</v>
      </c>
      <c r="M52" s="11"/>
      <c r="N52" s="10"/>
      <c r="O52" s="21"/>
      <c r="P52" s="21"/>
      <c r="Q52" s="21"/>
      <c r="R52" s="23"/>
      <c r="S52" s="50"/>
      <c r="T52" s="48"/>
      <c r="U52" s="82"/>
      <c r="V52" s="32"/>
      <c r="W52" s="200"/>
      <c r="X52" s="17"/>
      <c r="Z52">
        <v>9</v>
      </c>
      <c r="AA52" s="416"/>
      <c r="AB52" s="95">
        <v>2</v>
      </c>
      <c r="AC52" s="102" t="s">
        <v>125</v>
      </c>
      <c r="AD52" s="41">
        <f t="shared" si="2"/>
        <v>0</v>
      </c>
      <c r="AE52" s="70">
        <f t="shared" si="3"/>
        <v>0</v>
      </c>
      <c r="AF52" s="70">
        <f t="shared" si="4"/>
        <v>0</v>
      </c>
      <c r="AG52" s="70">
        <f t="shared" si="5"/>
        <v>0</v>
      </c>
      <c r="AH52" s="109">
        <f t="shared" si="6"/>
        <v>0</v>
      </c>
      <c r="AI52" s="120">
        <f t="shared" si="7"/>
        <v>0</v>
      </c>
      <c r="AJ52" s="121">
        <f t="shared" si="8"/>
        <v>0</v>
      </c>
      <c r="AK52" s="121">
        <f t="shared" si="9"/>
        <v>0</v>
      </c>
      <c r="AL52" s="121">
        <f t="shared" si="10"/>
        <v>0</v>
      </c>
      <c r="AM52" s="122">
        <f t="shared" si="11"/>
        <v>0</v>
      </c>
      <c r="AN52" s="41">
        <f t="shared" si="12"/>
        <v>0</v>
      </c>
      <c r="AO52" s="70">
        <f t="shared" si="13"/>
        <v>0</v>
      </c>
      <c r="AP52" s="70">
        <f t="shared" si="14"/>
        <v>0</v>
      </c>
      <c r="AQ52" s="70">
        <f t="shared" si="15"/>
        <v>0</v>
      </c>
      <c r="AR52" s="70">
        <f t="shared" si="16"/>
        <v>0</v>
      </c>
    </row>
    <row r="53" spans="2:44" x14ac:dyDescent="0.25">
      <c r="B53" s="17">
        <v>51</v>
      </c>
      <c r="C53" s="10"/>
      <c r="D53" s="10"/>
      <c r="E53" s="72"/>
      <c r="F53" s="18"/>
      <c r="G53" s="10"/>
      <c r="H53" s="10"/>
      <c r="I53" s="10"/>
      <c r="J53" s="11"/>
      <c r="K53" s="11">
        <f t="shared" si="61"/>
        <v>0</v>
      </c>
      <c r="L53" s="37">
        <f t="shared" si="62"/>
        <v>0</v>
      </c>
      <c r="M53" s="11"/>
      <c r="N53" s="10"/>
      <c r="O53" s="21"/>
      <c r="P53" s="21"/>
      <c r="Q53" s="21"/>
      <c r="R53" s="23"/>
      <c r="S53" s="50"/>
      <c r="T53" s="48"/>
      <c r="U53" s="82"/>
      <c r="V53" s="32"/>
      <c r="W53" s="200"/>
      <c r="X53" s="17"/>
      <c r="Z53">
        <v>9</v>
      </c>
      <c r="AA53" s="416"/>
      <c r="AB53" s="95">
        <v>3</v>
      </c>
      <c r="AC53" s="102" t="s">
        <v>126</v>
      </c>
      <c r="AD53" s="41">
        <f t="shared" si="2"/>
        <v>0</v>
      </c>
      <c r="AE53" s="70">
        <f t="shared" si="3"/>
        <v>0</v>
      </c>
      <c r="AF53" s="70">
        <f t="shared" si="4"/>
        <v>0</v>
      </c>
      <c r="AG53" s="70">
        <f t="shared" si="5"/>
        <v>0</v>
      </c>
      <c r="AH53" s="109">
        <f t="shared" si="6"/>
        <v>0</v>
      </c>
      <c r="AI53" s="120">
        <f t="shared" si="7"/>
        <v>0</v>
      </c>
      <c r="AJ53" s="121">
        <f t="shared" si="8"/>
        <v>0</v>
      </c>
      <c r="AK53" s="121">
        <f t="shared" si="9"/>
        <v>0</v>
      </c>
      <c r="AL53" s="121">
        <f t="shared" si="10"/>
        <v>0</v>
      </c>
      <c r="AM53" s="122">
        <f t="shared" si="11"/>
        <v>0</v>
      </c>
      <c r="AN53" s="41">
        <f t="shared" si="12"/>
        <v>0</v>
      </c>
      <c r="AO53" s="70">
        <f t="shared" si="13"/>
        <v>0</v>
      </c>
      <c r="AP53" s="70">
        <f t="shared" si="14"/>
        <v>0</v>
      </c>
      <c r="AQ53" s="70">
        <f t="shared" si="15"/>
        <v>0</v>
      </c>
      <c r="AR53" s="70">
        <f t="shared" si="16"/>
        <v>0</v>
      </c>
    </row>
    <row r="54" spans="2:44" x14ac:dyDescent="0.25">
      <c r="B54" s="17">
        <v>52</v>
      </c>
      <c r="C54" s="10"/>
      <c r="D54" s="10"/>
      <c r="E54" s="72"/>
      <c r="F54" s="18"/>
      <c r="G54" s="10"/>
      <c r="H54" s="10"/>
      <c r="I54" s="10"/>
      <c r="J54" s="11"/>
      <c r="K54" s="11">
        <f t="shared" si="61"/>
        <v>0</v>
      </c>
      <c r="L54" s="37">
        <f t="shared" si="62"/>
        <v>0</v>
      </c>
      <c r="M54" s="11"/>
      <c r="N54" s="10"/>
      <c r="O54" s="21"/>
      <c r="P54" s="21"/>
      <c r="Q54" s="21"/>
      <c r="R54" s="23"/>
      <c r="S54" s="50"/>
      <c r="T54" s="48"/>
      <c r="U54" s="82"/>
      <c r="V54" s="26"/>
      <c r="W54" s="200"/>
      <c r="X54" s="17"/>
      <c r="Z54">
        <v>9</v>
      </c>
      <c r="AA54" s="416"/>
      <c r="AB54" s="95">
        <v>4</v>
      </c>
      <c r="AC54" s="102" t="s">
        <v>127</v>
      </c>
      <c r="AD54" s="41">
        <f t="shared" si="2"/>
        <v>0</v>
      </c>
      <c r="AE54" s="70">
        <f t="shared" si="3"/>
        <v>0</v>
      </c>
      <c r="AF54" s="70">
        <f t="shared" si="4"/>
        <v>0</v>
      </c>
      <c r="AG54" s="70">
        <f t="shared" si="5"/>
        <v>0</v>
      </c>
      <c r="AH54" s="109">
        <f t="shared" si="6"/>
        <v>0</v>
      </c>
      <c r="AI54" s="120">
        <f t="shared" si="7"/>
        <v>0</v>
      </c>
      <c r="AJ54" s="121">
        <f t="shared" si="8"/>
        <v>0</v>
      </c>
      <c r="AK54" s="121">
        <f t="shared" si="9"/>
        <v>0</v>
      </c>
      <c r="AL54" s="121">
        <f t="shared" si="10"/>
        <v>0</v>
      </c>
      <c r="AM54" s="122">
        <f t="shared" si="11"/>
        <v>0</v>
      </c>
      <c r="AN54" s="41">
        <f t="shared" si="12"/>
        <v>0</v>
      </c>
      <c r="AO54" s="70">
        <f t="shared" si="13"/>
        <v>0</v>
      </c>
      <c r="AP54" s="70">
        <f t="shared" si="14"/>
        <v>0</v>
      </c>
      <c r="AQ54" s="70">
        <f t="shared" si="15"/>
        <v>0</v>
      </c>
      <c r="AR54" s="70">
        <f t="shared" si="16"/>
        <v>0</v>
      </c>
    </row>
    <row r="55" spans="2:44" x14ac:dyDescent="0.25">
      <c r="B55" s="17">
        <v>53</v>
      </c>
      <c r="C55" s="10"/>
      <c r="D55" s="10"/>
      <c r="E55" s="72"/>
      <c r="F55" s="18"/>
      <c r="G55" s="10"/>
      <c r="H55" s="10"/>
      <c r="I55" s="10"/>
      <c r="J55" s="11"/>
      <c r="K55" s="11">
        <f t="shared" si="61"/>
        <v>0</v>
      </c>
      <c r="L55" s="37">
        <f t="shared" si="62"/>
        <v>0</v>
      </c>
      <c r="M55" s="11"/>
      <c r="N55" s="10"/>
      <c r="O55" s="21"/>
      <c r="P55" s="21"/>
      <c r="Q55" s="21"/>
      <c r="R55" s="23"/>
      <c r="S55" s="50"/>
      <c r="T55" s="48"/>
      <c r="U55" s="82"/>
      <c r="V55" s="26"/>
      <c r="W55" s="200"/>
      <c r="X55" s="17"/>
      <c r="Z55">
        <v>9</v>
      </c>
      <c r="AA55" s="416"/>
      <c r="AB55" s="96">
        <v>5</v>
      </c>
      <c r="AC55" s="105"/>
      <c r="AD55" s="41">
        <f t="shared" si="2"/>
        <v>0</v>
      </c>
      <c r="AE55" s="70">
        <f t="shared" si="3"/>
        <v>0</v>
      </c>
      <c r="AF55" s="70">
        <f t="shared" si="4"/>
        <v>0</v>
      </c>
      <c r="AG55" s="70">
        <f t="shared" si="5"/>
        <v>0</v>
      </c>
      <c r="AH55" s="109">
        <f t="shared" si="6"/>
        <v>0</v>
      </c>
      <c r="AI55" s="120">
        <f t="shared" si="7"/>
        <v>0</v>
      </c>
      <c r="AJ55" s="121">
        <f t="shared" si="8"/>
        <v>0</v>
      </c>
      <c r="AK55" s="121">
        <f t="shared" si="9"/>
        <v>0</v>
      </c>
      <c r="AL55" s="121">
        <f t="shared" si="10"/>
        <v>0</v>
      </c>
      <c r="AM55" s="122">
        <f t="shared" si="11"/>
        <v>0</v>
      </c>
      <c r="AN55" s="41">
        <f t="shared" si="12"/>
        <v>0</v>
      </c>
      <c r="AO55" s="70">
        <f t="shared" si="13"/>
        <v>0</v>
      </c>
      <c r="AP55" s="70">
        <f t="shared" si="14"/>
        <v>0</v>
      </c>
      <c r="AQ55" s="70">
        <f t="shared" si="15"/>
        <v>0</v>
      </c>
      <c r="AR55" s="70">
        <f t="shared" si="16"/>
        <v>0</v>
      </c>
    </row>
    <row r="56" spans="2:44" ht="14.25" thickBot="1" x14ac:dyDescent="0.3">
      <c r="B56" s="17">
        <v>54</v>
      </c>
      <c r="C56" s="10"/>
      <c r="D56" s="10"/>
      <c r="E56" s="72"/>
      <c r="F56" s="18"/>
      <c r="G56" s="10"/>
      <c r="H56" s="10"/>
      <c r="I56" s="10"/>
      <c r="J56" s="11"/>
      <c r="K56" s="11">
        <f t="shared" si="61"/>
        <v>0</v>
      </c>
      <c r="L56" s="37">
        <f t="shared" si="62"/>
        <v>0</v>
      </c>
      <c r="M56" s="11"/>
      <c r="N56" s="10"/>
      <c r="O56" s="21"/>
      <c r="P56" s="21"/>
      <c r="Q56" s="21"/>
      <c r="R56" s="23"/>
      <c r="S56" s="50"/>
      <c r="T56" s="48"/>
      <c r="U56" s="82"/>
      <c r="V56" s="26"/>
      <c r="W56" s="200"/>
      <c r="X56" s="17"/>
      <c r="Z56">
        <v>9</v>
      </c>
      <c r="AA56" s="417"/>
      <c r="AB56" s="97" t="s">
        <v>3</v>
      </c>
      <c r="AC56" s="106"/>
      <c r="AD56" s="99">
        <f>SUM(AD51:AD55)</f>
        <v>0</v>
      </c>
      <c r="AE56" s="99">
        <f t="shared" ref="AE56" si="135">SUM(AE51:AE55)</f>
        <v>0</v>
      </c>
      <c r="AF56" s="99">
        <f t="shared" ref="AF56" si="136">SUM(AF51:AF55)</f>
        <v>0</v>
      </c>
      <c r="AG56" s="99">
        <f t="shared" ref="AG56" si="137">SUM(AG51:AG55)</f>
        <v>0</v>
      </c>
      <c r="AH56" s="110">
        <f t="shared" ref="AH56" si="138">SUM(AH51:AH55)</f>
        <v>0</v>
      </c>
      <c r="AI56" s="123">
        <f t="shared" ref="AI56" si="139">SUM(AI51:AI55)</f>
        <v>0</v>
      </c>
      <c r="AJ56" s="124">
        <f t="shared" ref="AJ56" si="140">SUM(AJ51:AJ55)</f>
        <v>0</v>
      </c>
      <c r="AK56" s="124">
        <f t="shared" ref="AK56" si="141">SUM(AK51:AK55)</f>
        <v>0</v>
      </c>
      <c r="AL56" s="124">
        <f t="shared" ref="AL56" si="142">SUM(AL51:AL55)</f>
        <v>0</v>
      </c>
      <c r="AM56" s="125">
        <f t="shared" ref="AM56" si="143">SUM(AM51:AM55)</f>
        <v>0</v>
      </c>
      <c r="AN56" s="99">
        <f t="shared" ref="AN56" si="144">SUM(AN51:AN55)</f>
        <v>0</v>
      </c>
      <c r="AO56" s="99">
        <f t="shared" ref="AO56" si="145">SUM(AO51:AO55)</f>
        <v>0</v>
      </c>
      <c r="AP56" s="99">
        <f t="shared" ref="AP56" si="146">SUM(AP51:AP55)</f>
        <v>0</v>
      </c>
      <c r="AQ56" s="99">
        <f t="shared" ref="AQ56" si="147">SUM(AQ51:AQ55)</f>
        <v>0</v>
      </c>
      <c r="AR56" s="99">
        <f t="shared" ref="AR56" si="148">SUM(AR51:AR55)</f>
        <v>0</v>
      </c>
    </row>
    <row r="57" spans="2:44" x14ac:dyDescent="0.25">
      <c r="B57" s="17">
        <v>55</v>
      </c>
      <c r="C57" s="10"/>
      <c r="D57" s="10"/>
      <c r="E57" s="72"/>
      <c r="F57" s="18"/>
      <c r="G57" s="10"/>
      <c r="H57" s="10"/>
      <c r="I57" s="10"/>
      <c r="J57" s="11"/>
      <c r="K57" s="11">
        <f t="shared" si="61"/>
        <v>0</v>
      </c>
      <c r="L57" s="37">
        <f t="shared" si="62"/>
        <v>0</v>
      </c>
      <c r="M57" s="11"/>
      <c r="N57" s="10"/>
      <c r="O57" s="21"/>
      <c r="P57" s="21"/>
      <c r="Q57" s="21"/>
      <c r="R57" s="23"/>
      <c r="S57" s="50"/>
      <c r="T57" s="48"/>
      <c r="U57" s="82"/>
      <c r="V57" s="26"/>
      <c r="W57" s="200"/>
      <c r="X57" s="17"/>
      <c r="Z57">
        <v>10</v>
      </c>
      <c r="AA57" s="415">
        <v>10</v>
      </c>
      <c r="AB57" s="94">
        <v>1</v>
      </c>
      <c r="AC57" s="100" t="s">
        <v>128</v>
      </c>
      <c r="AD57" s="41">
        <f t="shared" si="2"/>
        <v>0</v>
      </c>
      <c r="AE57" s="70">
        <f t="shared" si="3"/>
        <v>0</v>
      </c>
      <c r="AF57" s="70">
        <f t="shared" si="4"/>
        <v>0</v>
      </c>
      <c r="AG57" s="70">
        <f t="shared" si="5"/>
        <v>0</v>
      </c>
      <c r="AH57" s="109">
        <f t="shared" si="6"/>
        <v>0</v>
      </c>
      <c r="AI57" s="120">
        <f t="shared" si="7"/>
        <v>0</v>
      </c>
      <c r="AJ57" s="121">
        <f t="shared" si="8"/>
        <v>0</v>
      </c>
      <c r="AK57" s="121">
        <f t="shared" si="9"/>
        <v>0</v>
      </c>
      <c r="AL57" s="121">
        <f t="shared" si="10"/>
        <v>0</v>
      </c>
      <c r="AM57" s="122">
        <f t="shared" si="11"/>
        <v>0</v>
      </c>
      <c r="AN57" s="41">
        <f t="shared" si="12"/>
        <v>0</v>
      </c>
      <c r="AO57" s="70">
        <f t="shared" si="13"/>
        <v>0</v>
      </c>
      <c r="AP57" s="70">
        <f t="shared" si="14"/>
        <v>0</v>
      </c>
      <c r="AQ57" s="70">
        <f t="shared" si="15"/>
        <v>0</v>
      </c>
      <c r="AR57" s="70">
        <f t="shared" si="16"/>
        <v>0</v>
      </c>
    </row>
    <row r="58" spans="2:44" x14ac:dyDescent="0.25">
      <c r="B58" s="17">
        <v>56</v>
      </c>
      <c r="C58" s="10"/>
      <c r="D58" s="10"/>
      <c r="E58" s="72"/>
      <c r="F58" s="18"/>
      <c r="G58" s="10"/>
      <c r="H58" s="10"/>
      <c r="I58" s="10"/>
      <c r="J58" s="11"/>
      <c r="K58" s="11">
        <f t="shared" si="61"/>
        <v>0</v>
      </c>
      <c r="L58" s="37">
        <f t="shared" si="62"/>
        <v>0</v>
      </c>
      <c r="M58" s="11"/>
      <c r="N58" s="10"/>
      <c r="O58" s="21"/>
      <c r="P58" s="21"/>
      <c r="Q58" s="21"/>
      <c r="R58" s="23"/>
      <c r="S58" s="50"/>
      <c r="T58" s="48"/>
      <c r="U58" s="82"/>
      <c r="V58" s="26"/>
      <c r="W58" s="200"/>
      <c r="X58" s="17"/>
      <c r="Z58">
        <v>10</v>
      </c>
      <c r="AA58" s="416"/>
      <c r="AB58" s="95">
        <v>2</v>
      </c>
      <c r="AC58" s="101" t="s">
        <v>61</v>
      </c>
      <c r="AD58" s="41">
        <f t="shared" si="2"/>
        <v>0</v>
      </c>
      <c r="AE58" s="70">
        <f t="shared" si="3"/>
        <v>0</v>
      </c>
      <c r="AF58" s="70">
        <f t="shared" si="4"/>
        <v>0</v>
      </c>
      <c r="AG58" s="70">
        <f t="shared" si="5"/>
        <v>0</v>
      </c>
      <c r="AH58" s="109">
        <f t="shared" si="6"/>
        <v>0</v>
      </c>
      <c r="AI58" s="120">
        <f t="shared" si="7"/>
        <v>0</v>
      </c>
      <c r="AJ58" s="121">
        <f t="shared" si="8"/>
        <v>0</v>
      </c>
      <c r="AK58" s="121">
        <f t="shared" si="9"/>
        <v>0</v>
      </c>
      <c r="AL58" s="121">
        <f t="shared" si="10"/>
        <v>0</v>
      </c>
      <c r="AM58" s="122">
        <f t="shared" si="11"/>
        <v>0</v>
      </c>
      <c r="AN58" s="41">
        <f t="shared" si="12"/>
        <v>0</v>
      </c>
      <c r="AO58" s="70">
        <f t="shared" si="13"/>
        <v>0</v>
      </c>
      <c r="AP58" s="70">
        <f t="shared" si="14"/>
        <v>0</v>
      </c>
      <c r="AQ58" s="70">
        <f t="shared" si="15"/>
        <v>0</v>
      </c>
      <c r="AR58" s="70">
        <f t="shared" si="16"/>
        <v>0</v>
      </c>
    </row>
    <row r="59" spans="2:44" x14ac:dyDescent="0.25">
      <c r="B59" s="17">
        <v>57</v>
      </c>
      <c r="C59" s="10"/>
      <c r="D59" s="10"/>
      <c r="E59" s="72"/>
      <c r="F59" s="18"/>
      <c r="G59" s="10"/>
      <c r="H59" s="10"/>
      <c r="I59" s="10"/>
      <c r="J59" s="11"/>
      <c r="K59" s="11">
        <f t="shared" si="61"/>
        <v>0</v>
      </c>
      <c r="L59" s="37">
        <f t="shared" si="62"/>
        <v>0</v>
      </c>
      <c r="M59" s="11"/>
      <c r="N59" s="10"/>
      <c r="O59" s="21"/>
      <c r="P59" s="21"/>
      <c r="Q59" s="21"/>
      <c r="R59" s="23"/>
      <c r="S59" s="50"/>
      <c r="T59" s="48"/>
      <c r="U59" s="82"/>
      <c r="V59" s="32"/>
      <c r="W59" s="200"/>
      <c r="X59" s="17"/>
      <c r="Z59">
        <v>10</v>
      </c>
      <c r="AA59" s="416"/>
      <c r="AB59" s="95">
        <v>3</v>
      </c>
      <c r="AC59" s="102" t="s">
        <v>62</v>
      </c>
      <c r="AD59" s="41">
        <f t="shared" si="2"/>
        <v>0</v>
      </c>
      <c r="AE59" s="70">
        <f t="shared" si="3"/>
        <v>0</v>
      </c>
      <c r="AF59" s="70">
        <f t="shared" si="4"/>
        <v>0</v>
      </c>
      <c r="AG59" s="70">
        <f t="shared" si="5"/>
        <v>0</v>
      </c>
      <c r="AH59" s="109">
        <f t="shared" si="6"/>
        <v>0</v>
      </c>
      <c r="AI59" s="120">
        <f t="shared" si="7"/>
        <v>0</v>
      </c>
      <c r="AJ59" s="121">
        <f t="shared" si="8"/>
        <v>0</v>
      </c>
      <c r="AK59" s="121">
        <f t="shared" si="9"/>
        <v>0</v>
      </c>
      <c r="AL59" s="121">
        <f t="shared" si="10"/>
        <v>0</v>
      </c>
      <c r="AM59" s="122">
        <f t="shared" si="11"/>
        <v>0</v>
      </c>
      <c r="AN59" s="41">
        <f t="shared" si="12"/>
        <v>0</v>
      </c>
      <c r="AO59" s="70">
        <f t="shared" si="13"/>
        <v>0</v>
      </c>
      <c r="AP59" s="70">
        <f t="shared" si="14"/>
        <v>0</v>
      </c>
      <c r="AQ59" s="70">
        <f t="shared" si="15"/>
        <v>0</v>
      </c>
      <c r="AR59" s="70">
        <f t="shared" si="16"/>
        <v>0</v>
      </c>
    </row>
    <row r="60" spans="2:44" x14ac:dyDescent="0.25">
      <c r="B60" s="17">
        <v>58</v>
      </c>
      <c r="C60" s="10"/>
      <c r="D60" s="10"/>
      <c r="E60" s="72"/>
      <c r="F60" s="18"/>
      <c r="G60" s="10"/>
      <c r="H60" s="10"/>
      <c r="I60" s="10"/>
      <c r="J60" s="11"/>
      <c r="K60" s="11">
        <f t="shared" si="61"/>
        <v>0</v>
      </c>
      <c r="L60" s="37">
        <f t="shared" si="62"/>
        <v>0</v>
      </c>
      <c r="M60" s="11"/>
      <c r="N60" s="10"/>
      <c r="O60" s="21"/>
      <c r="P60" s="21"/>
      <c r="Q60" s="21"/>
      <c r="R60" s="23"/>
      <c r="S60" s="50"/>
      <c r="T60" s="48"/>
      <c r="U60" s="82"/>
      <c r="V60" s="32"/>
      <c r="W60" s="200"/>
      <c r="X60" s="17"/>
      <c r="Z60">
        <v>10</v>
      </c>
      <c r="AA60" s="416"/>
      <c r="AB60" s="95">
        <v>4</v>
      </c>
      <c r="AC60" s="102" t="s">
        <v>63</v>
      </c>
      <c r="AD60" s="41">
        <f t="shared" si="2"/>
        <v>0</v>
      </c>
      <c r="AE60" s="70">
        <f t="shared" si="3"/>
        <v>0</v>
      </c>
      <c r="AF60" s="70">
        <f t="shared" si="4"/>
        <v>0</v>
      </c>
      <c r="AG60" s="70">
        <f t="shared" si="5"/>
        <v>0</v>
      </c>
      <c r="AH60" s="109">
        <f t="shared" si="6"/>
        <v>0</v>
      </c>
      <c r="AI60" s="120">
        <f t="shared" si="7"/>
        <v>0</v>
      </c>
      <c r="AJ60" s="121">
        <f t="shared" si="8"/>
        <v>0</v>
      </c>
      <c r="AK60" s="121">
        <f t="shared" si="9"/>
        <v>0</v>
      </c>
      <c r="AL60" s="121">
        <f t="shared" si="10"/>
        <v>0</v>
      </c>
      <c r="AM60" s="122">
        <f t="shared" si="11"/>
        <v>0</v>
      </c>
      <c r="AN60" s="41">
        <f t="shared" si="12"/>
        <v>0</v>
      </c>
      <c r="AO60" s="70">
        <f t="shared" si="13"/>
        <v>0</v>
      </c>
      <c r="AP60" s="70">
        <f t="shared" si="14"/>
        <v>0</v>
      </c>
      <c r="AQ60" s="70">
        <f t="shared" si="15"/>
        <v>0</v>
      </c>
      <c r="AR60" s="70">
        <f t="shared" si="16"/>
        <v>0</v>
      </c>
    </row>
    <row r="61" spans="2:44" x14ac:dyDescent="0.25">
      <c r="B61" s="17">
        <v>59</v>
      </c>
      <c r="C61" s="10"/>
      <c r="D61" s="10"/>
      <c r="E61" s="72"/>
      <c r="F61" s="18"/>
      <c r="G61" s="10"/>
      <c r="H61" s="10"/>
      <c r="I61" s="10"/>
      <c r="J61" s="11"/>
      <c r="K61" s="11">
        <f t="shared" si="61"/>
        <v>0</v>
      </c>
      <c r="L61" s="37">
        <f t="shared" si="62"/>
        <v>0</v>
      </c>
      <c r="M61" s="11"/>
      <c r="N61" s="10"/>
      <c r="O61" s="21"/>
      <c r="P61" s="21"/>
      <c r="Q61" s="21"/>
      <c r="R61" s="23"/>
      <c r="S61" s="50"/>
      <c r="T61" s="48"/>
      <c r="U61" s="82"/>
      <c r="V61" s="26"/>
      <c r="W61" s="200"/>
      <c r="X61" s="17"/>
      <c r="Z61">
        <v>10</v>
      </c>
      <c r="AA61" s="416"/>
      <c r="AB61" s="96">
        <v>5</v>
      </c>
      <c r="AC61" s="56" t="s">
        <v>64</v>
      </c>
      <c r="AD61" s="41">
        <f t="shared" si="2"/>
        <v>0</v>
      </c>
      <c r="AE61" s="70">
        <f t="shared" si="3"/>
        <v>0</v>
      </c>
      <c r="AF61" s="70">
        <f t="shared" si="4"/>
        <v>0</v>
      </c>
      <c r="AG61" s="70">
        <f t="shared" si="5"/>
        <v>0</v>
      </c>
      <c r="AH61" s="109">
        <f t="shared" si="6"/>
        <v>0</v>
      </c>
      <c r="AI61" s="120">
        <f t="shared" si="7"/>
        <v>0</v>
      </c>
      <c r="AJ61" s="121">
        <f t="shared" si="8"/>
        <v>0</v>
      </c>
      <c r="AK61" s="121">
        <f t="shared" si="9"/>
        <v>0</v>
      </c>
      <c r="AL61" s="121">
        <f t="shared" si="10"/>
        <v>0</v>
      </c>
      <c r="AM61" s="122">
        <f t="shared" si="11"/>
        <v>0</v>
      </c>
      <c r="AN61" s="41">
        <f t="shared" si="12"/>
        <v>0</v>
      </c>
      <c r="AO61" s="70">
        <f t="shared" si="13"/>
        <v>0</v>
      </c>
      <c r="AP61" s="70">
        <f t="shared" si="14"/>
        <v>0</v>
      </c>
      <c r="AQ61" s="70">
        <f t="shared" si="15"/>
        <v>0</v>
      </c>
      <c r="AR61" s="70">
        <f t="shared" si="16"/>
        <v>0</v>
      </c>
    </row>
    <row r="62" spans="2:44" ht="14.25" thickBot="1" x14ac:dyDescent="0.3">
      <c r="B62" s="17">
        <v>60</v>
      </c>
      <c r="C62" s="10"/>
      <c r="D62" s="10"/>
      <c r="E62" s="72"/>
      <c r="F62" s="18"/>
      <c r="G62" s="10"/>
      <c r="H62" s="10"/>
      <c r="I62" s="10"/>
      <c r="J62" s="11"/>
      <c r="K62" s="11">
        <f t="shared" si="61"/>
        <v>0</v>
      </c>
      <c r="L62" s="37">
        <f t="shared" si="62"/>
        <v>0</v>
      </c>
      <c r="M62" s="11"/>
      <c r="N62" s="10"/>
      <c r="O62" s="21"/>
      <c r="P62" s="21"/>
      <c r="Q62" s="21"/>
      <c r="R62" s="23"/>
      <c r="S62" s="50"/>
      <c r="T62" s="48"/>
      <c r="U62" s="82"/>
      <c r="V62" s="26"/>
      <c r="W62" s="200"/>
      <c r="X62" s="17"/>
      <c r="Z62">
        <v>10</v>
      </c>
      <c r="AA62" s="417"/>
      <c r="AB62" s="97" t="s">
        <v>3</v>
      </c>
      <c r="AC62" s="106"/>
      <c r="AD62" s="99">
        <f>SUM(AD57:AD61)</f>
        <v>0</v>
      </c>
      <c r="AE62" s="99">
        <f t="shared" ref="AE62" si="149">SUM(AE57:AE61)</f>
        <v>0</v>
      </c>
      <c r="AF62" s="99">
        <f t="shared" ref="AF62" si="150">SUM(AF57:AF61)</f>
        <v>0</v>
      </c>
      <c r="AG62" s="99">
        <f t="shared" ref="AG62" si="151">SUM(AG57:AG61)</f>
        <v>0</v>
      </c>
      <c r="AH62" s="110">
        <f t="shared" ref="AH62" si="152">SUM(AH57:AH61)</f>
        <v>0</v>
      </c>
      <c r="AI62" s="123">
        <f t="shared" ref="AI62" si="153">SUM(AI57:AI61)</f>
        <v>0</v>
      </c>
      <c r="AJ62" s="124">
        <f t="shared" ref="AJ62" si="154">SUM(AJ57:AJ61)</f>
        <v>0</v>
      </c>
      <c r="AK62" s="124">
        <f t="shared" ref="AK62" si="155">SUM(AK57:AK61)</f>
        <v>0</v>
      </c>
      <c r="AL62" s="124">
        <f t="shared" ref="AL62" si="156">SUM(AL57:AL61)</f>
        <v>0</v>
      </c>
      <c r="AM62" s="125">
        <f t="shared" ref="AM62" si="157">SUM(AM57:AM61)</f>
        <v>0</v>
      </c>
      <c r="AN62" s="99">
        <f t="shared" ref="AN62" si="158">SUM(AN57:AN61)</f>
        <v>0</v>
      </c>
      <c r="AO62" s="99">
        <f t="shared" ref="AO62" si="159">SUM(AO57:AO61)</f>
        <v>0</v>
      </c>
      <c r="AP62" s="99">
        <f t="shared" ref="AP62" si="160">SUM(AP57:AP61)</f>
        <v>0</v>
      </c>
      <c r="AQ62" s="99">
        <f t="shared" ref="AQ62" si="161">SUM(AQ57:AQ61)</f>
        <v>0</v>
      </c>
      <c r="AR62" s="99">
        <f t="shared" ref="AR62" si="162">SUM(AR57:AR61)</f>
        <v>0</v>
      </c>
    </row>
    <row r="63" spans="2:44" x14ac:dyDescent="0.25">
      <c r="B63" s="17">
        <v>61</v>
      </c>
      <c r="C63" s="10"/>
      <c r="D63" s="10"/>
      <c r="E63" s="72"/>
      <c r="F63" s="18"/>
      <c r="G63" s="10"/>
      <c r="H63" s="10"/>
      <c r="I63" s="10"/>
      <c r="J63" s="11"/>
      <c r="K63" s="11">
        <f t="shared" si="61"/>
        <v>0</v>
      </c>
      <c r="L63" s="37">
        <f t="shared" si="62"/>
        <v>0</v>
      </c>
      <c r="M63" s="11"/>
      <c r="N63" s="10"/>
      <c r="O63" s="21"/>
      <c r="P63" s="21"/>
      <c r="Q63" s="21"/>
      <c r="R63" s="23"/>
      <c r="S63" s="50"/>
      <c r="T63" s="48"/>
      <c r="U63" s="82"/>
      <c r="V63" s="26"/>
      <c r="W63" s="200"/>
      <c r="X63" s="17"/>
      <c r="Z63">
        <v>11</v>
      </c>
      <c r="AA63" s="415">
        <v>11</v>
      </c>
      <c r="AB63" s="94">
        <v>1</v>
      </c>
      <c r="AC63" s="100" t="s">
        <v>129</v>
      </c>
      <c r="AD63" s="41">
        <f t="shared" si="2"/>
        <v>0</v>
      </c>
      <c r="AE63" s="70">
        <f t="shared" si="3"/>
        <v>0</v>
      </c>
      <c r="AF63" s="70">
        <f t="shared" si="4"/>
        <v>0</v>
      </c>
      <c r="AG63" s="70">
        <f t="shared" si="5"/>
        <v>0</v>
      </c>
      <c r="AH63" s="109">
        <f t="shared" si="6"/>
        <v>0</v>
      </c>
      <c r="AI63" s="120">
        <f t="shared" si="7"/>
        <v>0</v>
      </c>
      <c r="AJ63" s="121">
        <f t="shared" si="8"/>
        <v>0</v>
      </c>
      <c r="AK63" s="121">
        <f t="shared" si="9"/>
        <v>0</v>
      </c>
      <c r="AL63" s="121">
        <f t="shared" si="10"/>
        <v>0</v>
      </c>
      <c r="AM63" s="122">
        <f t="shared" si="11"/>
        <v>0</v>
      </c>
      <c r="AN63" s="41">
        <f t="shared" si="12"/>
        <v>0</v>
      </c>
      <c r="AO63" s="70">
        <f t="shared" si="13"/>
        <v>0</v>
      </c>
      <c r="AP63" s="70">
        <f t="shared" si="14"/>
        <v>0</v>
      </c>
      <c r="AQ63" s="70">
        <f t="shared" si="15"/>
        <v>0</v>
      </c>
      <c r="AR63" s="70">
        <f t="shared" si="16"/>
        <v>0</v>
      </c>
    </row>
    <row r="64" spans="2:44" x14ac:dyDescent="0.25">
      <c r="B64" s="17">
        <v>62</v>
      </c>
      <c r="C64" s="10"/>
      <c r="D64" s="10"/>
      <c r="E64" s="72"/>
      <c r="F64" s="18"/>
      <c r="G64" s="10"/>
      <c r="H64" s="10"/>
      <c r="I64" s="10"/>
      <c r="J64" s="11"/>
      <c r="K64" s="11">
        <f t="shared" si="61"/>
        <v>0</v>
      </c>
      <c r="L64" s="37">
        <f t="shared" si="62"/>
        <v>0</v>
      </c>
      <c r="M64" s="11"/>
      <c r="N64" s="10"/>
      <c r="O64" s="21"/>
      <c r="P64" s="21"/>
      <c r="Q64" s="21"/>
      <c r="R64" s="23"/>
      <c r="S64" s="50"/>
      <c r="T64" s="48"/>
      <c r="U64" s="82"/>
      <c r="V64" s="26"/>
      <c r="W64" s="200"/>
      <c r="X64" s="17"/>
      <c r="Z64">
        <v>11</v>
      </c>
      <c r="AA64" s="416"/>
      <c r="AB64" s="95">
        <v>2</v>
      </c>
      <c r="AC64" s="102" t="s">
        <v>65</v>
      </c>
      <c r="AD64" s="41">
        <f t="shared" si="2"/>
        <v>0</v>
      </c>
      <c r="AE64" s="70">
        <f t="shared" si="3"/>
        <v>0</v>
      </c>
      <c r="AF64" s="70">
        <f t="shared" si="4"/>
        <v>0</v>
      </c>
      <c r="AG64" s="70">
        <f t="shared" si="5"/>
        <v>0</v>
      </c>
      <c r="AH64" s="109">
        <f t="shared" si="6"/>
        <v>0</v>
      </c>
      <c r="AI64" s="120">
        <f t="shared" si="7"/>
        <v>0</v>
      </c>
      <c r="AJ64" s="121">
        <f t="shared" si="8"/>
        <v>0</v>
      </c>
      <c r="AK64" s="121">
        <f t="shared" si="9"/>
        <v>0</v>
      </c>
      <c r="AL64" s="121">
        <f t="shared" si="10"/>
        <v>0</v>
      </c>
      <c r="AM64" s="122">
        <f t="shared" si="11"/>
        <v>0</v>
      </c>
      <c r="AN64" s="41">
        <f t="shared" si="12"/>
        <v>0</v>
      </c>
      <c r="AO64" s="70">
        <f t="shared" si="13"/>
        <v>0</v>
      </c>
      <c r="AP64" s="70">
        <f t="shared" si="14"/>
        <v>0</v>
      </c>
      <c r="AQ64" s="70">
        <f t="shared" si="15"/>
        <v>0</v>
      </c>
      <c r="AR64" s="70">
        <f t="shared" si="16"/>
        <v>0</v>
      </c>
    </row>
    <row r="65" spans="2:44" x14ac:dyDescent="0.25">
      <c r="B65" s="17">
        <v>63</v>
      </c>
      <c r="C65" s="10"/>
      <c r="D65" s="10"/>
      <c r="E65" s="72"/>
      <c r="F65" s="18"/>
      <c r="G65" s="10"/>
      <c r="H65" s="10"/>
      <c r="I65" s="10"/>
      <c r="J65" s="11"/>
      <c r="K65" s="11">
        <f t="shared" si="61"/>
        <v>0</v>
      </c>
      <c r="L65" s="37">
        <f t="shared" si="62"/>
        <v>0</v>
      </c>
      <c r="M65" s="11"/>
      <c r="N65" s="10"/>
      <c r="O65" s="21"/>
      <c r="P65" s="21"/>
      <c r="Q65" s="21"/>
      <c r="R65" s="23"/>
      <c r="S65" s="50"/>
      <c r="T65" s="48"/>
      <c r="U65" s="82"/>
      <c r="V65" s="26"/>
      <c r="W65" s="200"/>
      <c r="X65" s="17"/>
      <c r="Z65">
        <v>11</v>
      </c>
      <c r="AA65" s="416"/>
      <c r="AB65" s="95">
        <v>3</v>
      </c>
      <c r="AC65" s="102" t="s">
        <v>66</v>
      </c>
      <c r="AD65" s="41">
        <f t="shared" si="2"/>
        <v>0</v>
      </c>
      <c r="AE65" s="70">
        <f t="shared" si="3"/>
        <v>0</v>
      </c>
      <c r="AF65" s="70">
        <f t="shared" si="4"/>
        <v>0</v>
      </c>
      <c r="AG65" s="70">
        <f t="shared" si="5"/>
        <v>0</v>
      </c>
      <c r="AH65" s="109">
        <f t="shared" si="6"/>
        <v>0</v>
      </c>
      <c r="AI65" s="120">
        <f t="shared" si="7"/>
        <v>0</v>
      </c>
      <c r="AJ65" s="121">
        <f t="shared" si="8"/>
        <v>0</v>
      </c>
      <c r="AK65" s="121">
        <f t="shared" si="9"/>
        <v>0</v>
      </c>
      <c r="AL65" s="121">
        <f t="shared" si="10"/>
        <v>0</v>
      </c>
      <c r="AM65" s="122">
        <f t="shared" si="11"/>
        <v>0</v>
      </c>
      <c r="AN65" s="41">
        <f t="shared" si="12"/>
        <v>0</v>
      </c>
      <c r="AO65" s="70">
        <f t="shared" si="13"/>
        <v>0</v>
      </c>
      <c r="AP65" s="70">
        <f t="shared" si="14"/>
        <v>0</v>
      </c>
      <c r="AQ65" s="70">
        <f t="shared" si="15"/>
        <v>0</v>
      </c>
      <c r="AR65" s="70">
        <f t="shared" si="16"/>
        <v>0</v>
      </c>
    </row>
    <row r="66" spans="2:44" x14ac:dyDescent="0.25">
      <c r="B66" s="17">
        <v>64</v>
      </c>
      <c r="C66" s="10"/>
      <c r="D66" s="10"/>
      <c r="E66" s="72"/>
      <c r="F66" s="18"/>
      <c r="G66" s="10"/>
      <c r="H66" s="10"/>
      <c r="I66" s="10"/>
      <c r="J66" s="11"/>
      <c r="K66" s="11">
        <f t="shared" si="61"/>
        <v>0</v>
      </c>
      <c r="L66" s="37">
        <f t="shared" si="62"/>
        <v>0</v>
      </c>
      <c r="M66" s="11"/>
      <c r="N66" s="10"/>
      <c r="O66" s="21"/>
      <c r="P66" s="21"/>
      <c r="Q66" s="21"/>
      <c r="R66" s="23"/>
      <c r="S66" s="50"/>
      <c r="T66" s="48"/>
      <c r="U66" s="82"/>
      <c r="V66" s="32"/>
      <c r="W66" s="200"/>
      <c r="X66" s="17"/>
      <c r="Z66">
        <v>11</v>
      </c>
      <c r="AA66" s="416"/>
      <c r="AB66" s="95">
        <v>4</v>
      </c>
      <c r="AC66" s="102" t="s">
        <v>67</v>
      </c>
      <c r="AD66" s="41">
        <f t="shared" si="2"/>
        <v>0</v>
      </c>
      <c r="AE66" s="70">
        <f t="shared" si="3"/>
        <v>0</v>
      </c>
      <c r="AF66" s="70">
        <f t="shared" si="4"/>
        <v>0</v>
      </c>
      <c r="AG66" s="70">
        <f t="shared" si="5"/>
        <v>0</v>
      </c>
      <c r="AH66" s="109">
        <f t="shared" si="6"/>
        <v>0</v>
      </c>
      <c r="AI66" s="120">
        <f t="shared" si="7"/>
        <v>0</v>
      </c>
      <c r="AJ66" s="121">
        <f t="shared" si="8"/>
        <v>0</v>
      </c>
      <c r="AK66" s="121">
        <f t="shared" si="9"/>
        <v>0</v>
      </c>
      <c r="AL66" s="121">
        <f t="shared" si="10"/>
        <v>0</v>
      </c>
      <c r="AM66" s="122">
        <f t="shared" si="11"/>
        <v>0</v>
      </c>
      <c r="AN66" s="41">
        <f t="shared" si="12"/>
        <v>0</v>
      </c>
      <c r="AO66" s="70">
        <f t="shared" si="13"/>
        <v>0</v>
      </c>
      <c r="AP66" s="70">
        <f t="shared" si="14"/>
        <v>0</v>
      </c>
      <c r="AQ66" s="70">
        <f t="shared" si="15"/>
        <v>0</v>
      </c>
      <c r="AR66" s="70">
        <f t="shared" si="16"/>
        <v>0</v>
      </c>
    </row>
    <row r="67" spans="2:44" x14ac:dyDescent="0.25">
      <c r="B67" s="17">
        <v>65</v>
      </c>
      <c r="C67" s="10"/>
      <c r="D67" s="10"/>
      <c r="E67" s="72"/>
      <c r="F67" s="18"/>
      <c r="G67" s="10"/>
      <c r="H67" s="10"/>
      <c r="I67" s="10"/>
      <c r="J67" s="11"/>
      <c r="K67" s="11">
        <f t="shared" si="61"/>
        <v>0</v>
      </c>
      <c r="L67" s="37">
        <f t="shared" si="62"/>
        <v>0</v>
      </c>
      <c r="M67" s="11"/>
      <c r="N67" s="10"/>
      <c r="O67" s="21"/>
      <c r="P67" s="21"/>
      <c r="Q67" s="21"/>
      <c r="R67" s="23"/>
      <c r="S67" s="50"/>
      <c r="T67" s="48"/>
      <c r="U67" s="82"/>
      <c r="V67" s="32"/>
      <c r="W67" s="200"/>
      <c r="X67" s="17"/>
      <c r="Z67">
        <v>11</v>
      </c>
      <c r="AA67" s="416"/>
      <c r="AB67" s="96">
        <v>5</v>
      </c>
      <c r="AC67" s="105"/>
      <c r="AD67" s="41">
        <f t="shared" si="2"/>
        <v>0</v>
      </c>
      <c r="AE67" s="70">
        <f t="shared" si="3"/>
        <v>0</v>
      </c>
      <c r="AF67" s="70">
        <f t="shared" si="4"/>
        <v>0</v>
      </c>
      <c r="AG67" s="70">
        <f t="shared" si="5"/>
        <v>0</v>
      </c>
      <c r="AH67" s="109">
        <f t="shared" si="6"/>
        <v>0</v>
      </c>
      <c r="AI67" s="120">
        <f t="shared" si="7"/>
        <v>0</v>
      </c>
      <c r="AJ67" s="121">
        <f t="shared" si="8"/>
        <v>0</v>
      </c>
      <c r="AK67" s="121">
        <f t="shared" si="9"/>
        <v>0</v>
      </c>
      <c r="AL67" s="121">
        <f t="shared" si="10"/>
        <v>0</v>
      </c>
      <c r="AM67" s="122">
        <f t="shared" si="11"/>
        <v>0</v>
      </c>
      <c r="AN67" s="41">
        <f t="shared" si="12"/>
        <v>0</v>
      </c>
      <c r="AO67" s="70">
        <f t="shared" si="13"/>
        <v>0</v>
      </c>
      <c r="AP67" s="70">
        <f t="shared" si="14"/>
        <v>0</v>
      </c>
      <c r="AQ67" s="70">
        <f t="shared" si="15"/>
        <v>0</v>
      </c>
      <c r="AR67" s="70">
        <f t="shared" si="16"/>
        <v>0</v>
      </c>
    </row>
    <row r="68" spans="2:44" ht="14.25" thickBot="1" x14ac:dyDescent="0.3">
      <c r="B68" s="17">
        <v>66</v>
      </c>
      <c r="C68" s="10"/>
      <c r="D68" s="10"/>
      <c r="E68" s="72"/>
      <c r="F68" s="18"/>
      <c r="G68" s="10"/>
      <c r="H68" s="10"/>
      <c r="I68" s="10"/>
      <c r="J68" s="11"/>
      <c r="K68" s="11">
        <f t="shared" ref="K68:K131" si="163">J68*1.1</f>
        <v>0</v>
      </c>
      <c r="L68" s="37">
        <f t="shared" ref="L68:L131" si="164">J68*0.00000001</f>
        <v>0</v>
      </c>
      <c r="M68" s="11"/>
      <c r="N68" s="10"/>
      <c r="O68" s="21"/>
      <c r="P68" s="21"/>
      <c r="Q68" s="21"/>
      <c r="R68" s="23"/>
      <c r="S68" s="50"/>
      <c r="T68" s="48"/>
      <c r="U68" s="82"/>
      <c r="V68" s="32"/>
      <c r="W68" s="200"/>
      <c r="X68" s="17"/>
      <c r="Z68">
        <v>11</v>
      </c>
      <c r="AA68" s="417"/>
      <c r="AB68" s="97" t="s">
        <v>3</v>
      </c>
      <c r="AC68" s="106"/>
      <c r="AD68" s="99">
        <f>SUM(AD63:AD67)</f>
        <v>0</v>
      </c>
      <c r="AE68" s="99">
        <f t="shared" ref="AE68" si="165">SUM(AE63:AE67)</f>
        <v>0</v>
      </c>
      <c r="AF68" s="99">
        <f t="shared" ref="AF68" si="166">SUM(AF63:AF67)</f>
        <v>0</v>
      </c>
      <c r="AG68" s="99">
        <f t="shared" ref="AG68" si="167">SUM(AG63:AG67)</f>
        <v>0</v>
      </c>
      <c r="AH68" s="110">
        <f t="shared" ref="AH68" si="168">SUM(AH63:AH67)</f>
        <v>0</v>
      </c>
      <c r="AI68" s="123">
        <f t="shared" ref="AI68" si="169">SUM(AI63:AI67)</f>
        <v>0</v>
      </c>
      <c r="AJ68" s="124">
        <f t="shared" ref="AJ68" si="170">SUM(AJ63:AJ67)</f>
        <v>0</v>
      </c>
      <c r="AK68" s="124">
        <f t="shared" ref="AK68" si="171">SUM(AK63:AK67)</f>
        <v>0</v>
      </c>
      <c r="AL68" s="124">
        <f t="shared" ref="AL68" si="172">SUM(AL63:AL67)</f>
        <v>0</v>
      </c>
      <c r="AM68" s="125">
        <f t="shared" ref="AM68" si="173">SUM(AM63:AM67)</f>
        <v>0</v>
      </c>
      <c r="AN68" s="99">
        <f t="shared" ref="AN68" si="174">SUM(AN63:AN67)</f>
        <v>0</v>
      </c>
      <c r="AO68" s="99">
        <f t="shared" ref="AO68" si="175">SUM(AO63:AO67)</f>
        <v>0</v>
      </c>
      <c r="AP68" s="99">
        <f t="shared" ref="AP68" si="176">SUM(AP63:AP67)</f>
        <v>0</v>
      </c>
      <c r="AQ68" s="99">
        <f t="shared" ref="AQ68" si="177">SUM(AQ63:AQ67)</f>
        <v>0</v>
      </c>
      <c r="AR68" s="99">
        <f t="shared" ref="AR68" si="178">SUM(AR63:AR67)</f>
        <v>0</v>
      </c>
    </row>
    <row r="69" spans="2:44" x14ac:dyDescent="0.25">
      <c r="B69" s="17">
        <v>67</v>
      </c>
      <c r="C69" s="10"/>
      <c r="D69" s="10"/>
      <c r="E69" s="72"/>
      <c r="F69" s="18"/>
      <c r="G69" s="10"/>
      <c r="H69" s="10"/>
      <c r="I69" s="10"/>
      <c r="J69" s="11"/>
      <c r="K69" s="11">
        <f t="shared" si="163"/>
        <v>0</v>
      </c>
      <c r="L69" s="37">
        <f t="shared" si="164"/>
        <v>0</v>
      </c>
      <c r="M69" s="11"/>
      <c r="N69" s="10"/>
      <c r="O69" s="21"/>
      <c r="P69" s="21"/>
      <c r="Q69" s="21"/>
      <c r="R69" s="23"/>
      <c r="S69" s="50"/>
      <c r="T69" s="48"/>
      <c r="U69" s="82"/>
      <c r="V69" s="32"/>
      <c r="W69" s="200"/>
      <c r="X69" s="17"/>
      <c r="Z69">
        <v>12</v>
      </c>
      <c r="AA69" s="422">
        <v>12</v>
      </c>
      <c r="AB69" s="98">
        <v>1</v>
      </c>
      <c r="AC69" s="107" t="s">
        <v>130</v>
      </c>
      <c r="AD69" s="41">
        <f t="shared" ref="AD69:AD73" si="179">SUM(AE69:AH69)</f>
        <v>0</v>
      </c>
      <c r="AE69" s="70">
        <f t="shared" ref="AE69:AE73" si="180">SUMIFS($I:$I,$C:$C, $AE$2,$G:$G,$Z69,$H:$H,$AB69)</f>
        <v>0</v>
      </c>
      <c r="AF69" s="70">
        <f t="shared" ref="AF69:AF73" si="181">SUMIFS($I:$I,$C:$C, $AF$2,$G:$G,$Z69,$H:$H,$AB69)</f>
        <v>0</v>
      </c>
      <c r="AG69" s="70">
        <f t="shared" ref="AG69:AG73" si="182">SUMIFS($I:$I,$C:$C, $AG$2,$G:$G,$Z69,$H:$H,$AB69)</f>
        <v>0</v>
      </c>
      <c r="AH69" s="109">
        <f t="shared" ref="AH69:AH73" si="183">SUMIFS($I:$I,$C:$C, $AH$2,$G:$G,$Z69,$H:$H,$AB69)</f>
        <v>0</v>
      </c>
      <c r="AI69" s="120">
        <f t="shared" ref="AI69:AI73" si="184">SUM(AJ69:AM69)</f>
        <v>0</v>
      </c>
      <c r="AJ69" s="121">
        <f t="shared" ref="AJ69:AJ73" si="185">COUNTIFS($C:$C, $AJ$2,$G:$G,$Z69,$H:$H,$AB69)</f>
        <v>0</v>
      </c>
      <c r="AK69" s="121">
        <f t="shared" ref="AK69:AK73" si="186">COUNTIFS($C:$C, $AK$2,$G:$G,$Z69,$H:$H,$AB69)</f>
        <v>0</v>
      </c>
      <c r="AL69" s="121">
        <f t="shared" ref="AL69:AL73" si="187">COUNTIFS($C:$C, $AL$2,$G:$G,$Z69,$H:$H,$AB69)</f>
        <v>0</v>
      </c>
      <c r="AM69" s="122">
        <f t="shared" ref="AM69:AM73" si="188">COUNTIFS($C:$C, $AM$2,$G:$G,$Z69,$H:$H,$AB69)</f>
        <v>0</v>
      </c>
      <c r="AN69" s="41">
        <f t="shared" ref="AN69:AN73" si="189">SUM(AO69:AR69)</f>
        <v>0</v>
      </c>
      <c r="AO69" s="70">
        <f t="shared" ref="AO69:AO73" si="190">SUMIFS($L:$L,$C:$C, $AO$2,$G:$G,$Z69,$H:$H,$AB69)</f>
        <v>0</v>
      </c>
      <c r="AP69" s="70">
        <f t="shared" ref="AP69:AP73" si="191">SUMIFS($L:$L,$C:$C, $AP$2,$G:$G,$Z69,$H:$H,$AB69)</f>
        <v>0</v>
      </c>
      <c r="AQ69" s="70">
        <f t="shared" ref="AQ69:AQ73" si="192">SUMIFS($L:$L,$C:$C, $AQ$2,$G:$G,$Z69,$H:$H,$AB69)</f>
        <v>0</v>
      </c>
      <c r="AR69" s="70">
        <f t="shared" ref="AR69:AR73" si="193">SUMIFS($L:$L,$C:$C, $AR$2,$G:$G,$Z69,$H:$H,$AB69)</f>
        <v>0</v>
      </c>
    </row>
    <row r="70" spans="2:44" x14ac:dyDescent="0.25">
      <c r="B70" s="17">
        <v>68</v>
      </c>
      <c r="C70" s="10"/>
      <c r="D70" s="10"/>
      <c r="E70" s="72"/>
      <c r="F70" s="18"/>
      <c r="G70" s="10"/>
      <c r="H70" s="10"/>
      <c r="I70" s="10"/>
      <c r="J70" s="11"/>
      <c r="K70" s="11">
        <f t="shared" si="163"/>
        <v>0</v>
      </c>
      <c r="L70" s="37">
        <f t="shared" si="164"/>
        <v>0</v>
      </c>
      <c r="M70" s="11"/>
      <c r="N70" s="10"/>
      <c r="O70" s="21"/>
      <c r="P70" s="21"/>
      <c r="Q70" s="21"/>
      <c r="R70" s="23"/>
      <c r="S70" s="50"/>
      <c r="T70" s="48"/>
      <c r="U70" s="82"/>
      <c r="V70" s="26"/>
      <c r="W70" s="200"/>
      <c r="X70" s="17"/>
      <c r="Z70">
        <v>12</v>
      </c>
      <c r="AA70" s="416"/>
      <c r="AB70" s="95">
        <v>2</v>
      </c>
      <c r="AC70" s="102" t="s">
        <v>125</v>
      </c>
      <c r="AD70" s="41">
        <f t="shared" si="179"/>
        <v>0</v>
      </c>
      <c r="AE70" s="70">
        <f t="shared" si="180"/>
        <v>0</v>
      </c>
      <c r="AF70" s="70">
        <f t="shared" si="181"/>
        <v>0</v>
      </c>
      <c r="AG70" s="70">
        <f t="shared" si="182"/>
        <v>0</v>
      </c>
      <c r="AH70" s="109">
        <f t="shared" si="183"/>
        <v>0</v>
      </c>
      <c r="AI70" s="120">
        <f t="shared" si="184"/>
        <v>0</v>
      </c>
      <c r="AJ70" s="121">
        <f t="shared" si="185"/>
        <v>0</v>
      </c>
      <c r="AK70" s="121">
        <f t="shared" si="186"/>
        <v>0</v>
      </c>
      <c r="AL70" s="121">
        <f t="shared" si="187"/>
        <v>0</v>
      </c>
      <c r="AM70" s="122">
        <f t="shared" si="188"/>
        <v>0</v>
      </c>
      <c r="AN70" s="41">
        <f t="shared" si="189"/>
        <v>0</v>
      </c>
      <c r="AO70" s="70">
        <f t="shared" si="190"/>
        <v>0</v>
      </c>
      <c r="AP70" s="70">
        <f t="shared" si="191"/>
        <v>0</v>
      </c>
      <c r="AQ70" s="70">
        <f t="shared" si="192"/>
        <v>0</v>
      </c>
      <c r="AR70" s="70">
        <f t="shared" si="193"/>
        <v>0</v>
      </c>
    </row>
    <row r="71" spans="2:44" x14ac:dyDescent="0.25">
      <c r="B71" s="17">
        <v>69</v>
      </c>
      <c r="C71" s="10"/>
      <c r="D71" s="10"/>
      <c r="E71" s="72"/>
      <c r="F71" s="18"/>
      <c r="G71" s="10"/>
      <c r="H71" s="10"/>
      <c r="I71" s="10"/>
      <c r="J71" s="11"/>
      <c r="K71" s="11">
        <f t="shared" si="163"/>
        <v>0</v>
      </c>
      <c r="L71" s="37">
        <f t="shared" si="164"/>
        <v>0</v>
      </c>
      <c r="M71" s="11"/>
      <c r="N71" s="10"/>
      <c r="O71" s="21"/>
      <c r="P71" s="21"/>
      <c r="Q71" s="21"/>
      <c r="R71" s="23"/>
      <c r="S71" s="50"/>
      <c r="T71" s="48"/>
      <c r="U71" s="82"/>
      <c r="V71" s="26"/>
      <c r="W71" s="200"/>
      <c r="X71" s="17"/>
      <c r="Z71">
        <v>12</v>
      </c>
      <c r="AA71" s="416"/>
      <c r="AB71" s="95">
        <v>3</v>
      </c>
      <c r="AC71" s="102" t="s">
        <v>126</v>
      </c>
      <c r="AD71" s="41">
        <f t="shared" si="179"/>
        <v>0</v>
      </c>
      <c r="AE71" s="70">
        <f t="shared" si="180"/>
        <v>0</v>
      </c>
      <c r="AF71" s="70">
        <f t="shared" si="181"/>
        <v>0</v>
      </c>
      <c r="AG71" s="70">
        <f t="shared" si="182"/>
        <v>0</v>
      </c>
      <c r="AH71" s="109">
        <f t="shared" si="183"/>
        <v>0</v>
      </c>
      <c r="AI71" s="120">
        <f t="shared" si="184"/>
        <v>0</v>
      </c>
      <c r="AJ71" s="121">
        <f t="shared" si="185"/>
        <v>0</v>
      </c>
      <c r="AK71" s="121">
        <f t="shared" si="186"/>
        <v>0</v>
      </c>
      <c r="AL71" s="121">
        <f t="shared" si="187"/>
        <v>0</v>
      </c>
      <c r="AM71" s="122">
        <f t="shared" si="188"/>
        <v>0</v>
      </c>
      <c r="AN71" s="41">
        <f t="shared" si="189"/>
        <v>0</v>
      </c>
      <c r="AO71" s="70">
        <f t="shared" si="190"/>
        <v>0</v>
      </c>
      <c r="AP71" s="70">
        <f t="shared" si="191"/>
        <v>0</v>
      </c>
      <c r="AQ71" s="70">
        <f t="shared" si="192"/>
        <v>0</v>
      </c>
      <c r="AR71" s="70">
        <f t="shared" si="193"/>
        <v>0</v>
      </c>
    </row>
    <row r="72" spans="2:44" x14ac:dyDescent="0.25">
      <c r="B72" s="17">
        <v>70</v>
      </c>
      <c r="C72" s="10"/>
      <c r="D72" s="10"/>
      <c r="E72" s="72"/>
      <c r="F72" s="18"/>
      <c r="G72" s="10"/>
      <c r="H72" s="10"/>
      <c r="I72" s="10"/>
      <c r="J72" s="11"/>
      <c r="K72" s="11">
        <f t="shared" si="163"/>
        <v>0</v>
      </c>
      <c r="L72" s="37">
        <f t="shared" si="164"/>
        <v>0</v>
      </c>
      <c r="M72" s="11"/>
      <c r="N72" s="10"/>
      <c r="O72" s="21"/>
      <c r="P72" s="21"/>
      <c r="Q72" s="21"/>
      <c r="R72" s="23"/>
      <c r="S72" s="50"/>
      <c r="T72" s="48"/>
      <c r="U72" s="82"/>
      <c r="V72" s="26"/>
      <c r="W72" s="200"/>
      <c r="X72" s="17"/>
      <c r="Z72">
        <v>12</v>
      </c>
      <c r="AA72" s="416"/>
      <c r="AB72" s="95">
        <v>4</v>
      </c>
      <c r="AC72" s="102" t="s">
        <v>127</v>
      </c>
      <c r="AD72" s="41">
        <f t="shared" si="179"/>
        <v>0</v>
      </c>
      <c r="AE72" s="70">
        <f t="shared" si="180"/>
        <v>0</v>
      </c>
      <c r="AF72" s="70">
        <f t="shared" si="181"/>
        <v>0</v>
      </c>
      <c r="AG72" s="70">
        <f t="shared" si="182"/>
        <v>0</v>
      </c>
      <c r="AH72" s="109">
        <f t="shared" si="183"/>
        <v>0</v>
      </c>
      <c r="AI72" s="120">
        <f t="shared" si="184"/>
        <v>0</v>
      </c>
      <c r="AJ72" s="121">
        <f t="shared" si="185"/>
        <v>0</v>
      </c>
      <c r="AK72" s="121">
        <f t="shared" si="186"/>
        <v>0</v>
      </c>
      <c r="AL72" s="121">
        <f t="shared" si="187"/>
        <v>0</v>
      </c>
      <c r="AM72" s="122">
        <f t="shared" si="188"/>
        <v>0</v>
      </c>
      <c r="AN72" s="41">
        <f t="shared" si="189"/>
        <v>0</v>
      </c>
      <c r="AO72" s="70">
        <f t="shared" si="190"/>
        <v>0</v>
      </c>
      <c r="AP72" s="70">
        <f t="shared" si="191"/>
        <v>0</v>
      </c>
      <c r="AQ72" s="70">
        <f t="shared" si="192"/>
        <v>0</v>
      </c>
      <c r="AR72" s="70">
        <f t="shared" si="193"/>
        <v>0</v>
      </c>
    </row>
    <row r="73" spans="2:44" x14ac:dyDescent="0.25">
      <c r="B73" s="17">
        <v>71</v>
      </c>
      <c r="C73" s="10"/>
      <c r="D73" s="10"/>
      <c r="E73" s="72"/>
      <c r="F73" s="18"/>
      <c r="G73" s="10"/>
      <c r="H73" s="10"/>
      <c r="I73" s="10"/>
      <c r="J73" s="11"/>
      <c r="K73" s="11">
        <f t="shared" si="163"/>
        <v>0</v>
      </c>
      <c r="L73" s="37">
        <f t="shared" si="164"/>
        <v>0</v>
      </c>
      <c r="M73" s="11"/>
      <c r="N73" s="10"/>
      <c r="O73" s="21"/>
      <c r="P73" s="21"/>
      <c r="Q73" s="21"/>
      <c r="R73" s="23"/>
      <c r="S73" s="50"/>
      <c r="T73" s="48"/>
      <c r="U73" s="82"/>
      <c r="V73" s="26"/>
      <c r="W73" s="200"/>
      <c r="X73" s="17"/>
      <c r="Z73">
        <v>12</v>
      </c>
      <c r="AA73" s="416"/>
      <c r="AB73" s="96">
        <v>5</v>
      </c>
      <c r="AC73" s="105" t="s">
        <v>131</v>
      </c>
      <c r="AD73" s="41">
        <f t="shared" si="179"/>
        <v>0</v>
      </c>
      <c r="AE73" s="70">
        <f t="shared" si="180"/>
        <v>0</v>
      </c>
      <c r="AF73" s="70">
        <f t="shared" si="181"/>
        <v>0</v>
      </c>
      <c r="AG73" s="70">
        <f t="shared" si="182"/>
        <v>0</v>
      </c>
      <c r="AH73" s="109">
        <f t="shared" si="183"/>
        <v>0</v>
      </c>
      <c r="AI73" s="120">
        <f t="shared" si="184"/>
        <v>0</v>
      </c>
      <c r="AJ73" s="121">
        <f t="shared" si="185"/>
        <v>0</v>
      </c>
      <c r="AK73" s="121">
        <f t="shared" si="186"/>
        <v>0</v>
      </c>
      <c r="AL73" s="121">
        <f t="shared" si="187"/>
        <v>0</v>
      </c>
      <c r="AM73" s="122">
        <f t="shared" si="188"/>
        <v>0</v>
      </c>
      <c r="AN73" s="41">
        <f t="shared" si="189"/>
        <v>0</v>
      </c>
      <c r="AO73" s="70">
        <f t="shared" si="190"/>
        <v>0</v>
      </c>
      <c r="AP73" s="70">
        <f t="shared" si="191"/>
        <v>0</v>
      </c>
      <c r="AQ73" s="70">
        <f t="shared" si="192"/>
        <v>0</v>
      </c>
      <c r="AR73" s="70">
        <f t="shared" si="193"/>
        <v>0</v>
      </c>
    </row>
    <row r="74" spans="2:44" ht="14.25" thickBot="1" x14ac:dyDescent="0.3">
      <c r="B74" s="17">
        <v>72</v>
      </c>
      <c r="C74" s="10"/>
      <c r="D74" s="10"/>
      <c r="E74" s="72"/>
      <c r="F74" s="18"/>
      <c r="G74" s="10"/>
      <c r="H74" s="10"/>
      <c r="I74" s="10"/>
      <c r="J74" s="11"/>
      <c r="K74" s="11">
        <f t="shared" si="163"/>
        <v>0</v>
      </c>
      <c r="L74" s="37">
        <f t="shared" si="164"/>
        <v>0</v>
      </c>
      <c r="M74" s="11"/>
      <c r="N74" s="10"/>
      <c r="O74" s="21"/>
      <c r="P74" s="21"/>
      <c r="Q74" s="21"/>
      <c r="R74" s="23"/>
      <c r="S74" s="50"/>
      <c r="T74" s="48"/>
      <c r="U74" s="82"/>
      <c r="V74" s="26"/>
      <c r="W74" s="200"/>
      <c r="X74" s="17"/>
      <c r="Z74">
        <v>12</v>
      </c>
      <c r="AA74" s="417"/>
      <c r="AB74" s="97" t="s">
        <v>3</v>
      </c>
      <c r="AC74" s="106"/>
      <c r="AD74" s="99">
        <f>SUM(AD69:AD73)</f>
        <v>0</v>
      </c>
      <c r="AE74" s="99">
        <f t="shared" ref="AE74:AR74" si="194">SUM(AE69:AE73)</f>
        <v>0</v>
      </c>
      <c r="AF74" s="99">
        <f t="shared" si="194"/>
        <v>0</v>
      </c>
      <c r="AG74" s="99">
        <f t="shared" si="194"/>
        <v>0</v>
      </c>
      <c r="AH74" s="110">
        <f t="shared" si="194"/>
        <v>0</v>
      </c>
      <c r="AI74" s="123">
        <f t="shared" si="194"/>
        <v>0</v>
      </c>
      <c r="AJ74" s="124">
        <f t="shared" si="194"/>
        <v>0</v>
      </c>
      <c r="AK74" s="124">
        <f t="shared" si="194"/>
        <v>0</v>
      </c>
      <c r="AL74" s="124">
        <f t="shared" si="194"/>
        <v>0</v>
      </c>
      <c r="AM74" s="125">
        <f t="shared" si="194"/>
        <v>0</v>
      </c>
      <c r="AN74" s="99">
        <f t="shared" si="194"/>
        <v>0</v>
      </c>
      <c r="AO74" s="99">
        <f t="shared" si="194"/>
        <v>0</v>
      </c>
      <c r="AP74" s="99">
        <f t="shared" si="194"/>
        <v>0</v>
      </c>
      <c r="AQ74" s="99">
        <f t="shared" si="194"/>
        <v>0</v>
      </c>
      <c r="AR74" s="99">
        <f t="shared" si="194"/>
        <v>0</v>
      </c>
    </row>
    <row r="75" spans="2:44" ht="17.25" thickBot="1" x14ac:dyDescent="0.3">
      <c r="B75" s="17">
        <v>73</v>
      </c>
      <c r="C75" s="10"/>
      <c r="D75" s="10"/>
      <c r="E75" s="72"/>
      <c r="F75" s="18"/>
      <c r="G75" s="10"/>
      <c r="H75" s="10"/>
      <c r="I75" s="10"/>
      <c r="J75" s="11"/>
      <c r="K75" s="11">
        <f t="shared" si="163"/>
        <v>0</v>
      </c>
      <c r="L75" s="37">
        <f t="shared" si="164"/>
        <v>0</v>
      </c>
      <c r="M75" s="11"/>
      <c r="N75" s="10"/>
      <c r="O75" s="21"/>
      <c r="P75" s="21"/>
      <c r="Q75" s="21"/>
      <c r="R75" s="23"/>
      <c r="S75" s="50"/>
      <c r="T75" s="48"/>
      <c r="U75" s="82"/>
      <c r="V75" s="32"/>
      <c r="W75" s="200"/>
      <c r="X75" s="17"/>
      <c r="AA75" s="418" t="s">
        <v>36</v>
      </c>
      <c r="AB75" s="419"/>
      <c r="AC75" s="108"/>
      <c r="AD75" s="90">
        <f>SUM(AD8,AD14,AD20,AD26,AD32,AD38,AD44,AD50,AD56,AD62,AD68,AD74)</f>
        <v>0</v>
      </c>
      <c r="AE75" s="90"/>
      <c r="AF75" s="90"/>
      <c r="AG75" s="91"/>
      <c r="AH75" s="91"/>
      <c r="AI75" s="126"/>
      <c r="AJ75" s="127"/>
      <c r="AK75" s="127"/>
      <c r="AL75" s="127"/>
      <c r="AM75" s="128"/>
      <c r="AN75" s="92"/>
      <c r="AO75" s="92"/>
      <c r="AP75" s="92"/>
      <c r="AQ75" s="92"/>
      <c r="AR75" s="93"/>
    </row>
    <row r="76" spans="2:44" x14ac:dyDescent="0.25">
      <c r="B76" s="17">
        <v>74</v>
      </c>
      <c r="C76" s="10"/>
      <c r="D76" s="10"/>
      <c r="E76" s="72"/>
      <c r="F76" s="18"/>
      <c r="G76" s="10"/>
      <c r="H76" s="10"/>
      <c r="I76" s="10"/>
      <c r="J76" s="11"/>
      <c r="K76" s="11">
        <f t="shared" si="163"/>
        <v>0</v>
      </c>
      <c r="L76" s="37">
        <f t="shared" si="164"/>
        <v>0</v>
      </c>
      <c r="M76" s="11"/>
      <c r="N76" s="10"/>
      <c r="O76" s="21"/>
      <c r="P76" s="21"/>
      <c r="Q76" s="21"/>
      <c r="R76" s="23"/>
      <c r="S76" s="50"/>
      <c r="T76" s="48"/>
      <c r="U76" s="82"/>
      <c r="V76" s="32"/>
      <c r="W76" s="200"/>
      <c r="X76" s="17"/>
    </row>
    <row r="77" spans="2:44" x14ac:dyDescent="0.25">
      <c r="B77" s="17">
        <v>75</v>
      </c>
      <c r="C77" s="10"/>
      <c r="D77" s="10"/>
      <c r="E77" s="72"/>
      <c r="F77" s="18"/>
      <c r="G77" s="10"/>
      <c r="H77" s="10"/>
      <c r="I77" s="10"/>
      <c r="J77" s="11"/>
      <c r="K77" s="11">
        <f t="shared" si="163"/>
        <v>0</v>
      </c>
      <c r="L77" s="37">
        <f t="shared" si="164"/>
        <v>0</v>
      </c>
      <c r="M77" s="11"/>
      <c r="N77" s="10"/>
      <c r="O77" s="21"/>
      <c r="P77" s="21"/>
      <c r="Q77" s="21"/>
      <c r="R77" s="23"/>
      <c r="S77" s="50"/>
      <c r="T77" s="48"/>
      <c r="U77" s="82"/>
      <c r="V77" s="26"/>
      <c r="W77" s="200"/>
      <c r="X77" s="17"/>
    </row>
    <row r="78" spans="2:44" x14ac:dyDescent="0.25">
      <c r="B78" s="17">
        <v>76</v>
      </c>
      <c r="C78" s="10"/>
      <c r="D78" s="10"/>
      <c r="E78" s="72"/>
      <c r="F78" s="18"/>
      <c r="G78" s="10"/>
      <c r="H78" s="10"/>
      <c r="I78" s="10"/>
      <c r="J78" s="11"/>
      <c r="K78" s="11">
        <f t="shared" si="163"/>
        <v>0</v>
      </c>
      <c r="L78" s="37">
        <f t="shared" si="164"/>
        <v>0</v>
      </c>
      <c r="M78" s="11"/>
      <c r="N78" s="10"/>
      <c r="O78" s="21"/>
      <c r="P78" s="21"/>
      <c r="Q78" s="21"/>
      <c r="R78" s="23"/>
      <c r="S78" s="50"/>
      <c r="T78" s="48"/>
      <c r="U78" s="82"/>
      <c r="V78" s="26"/>
      <c r="W78" s="200"/>
      <c r="X78" s="17"/>
    </row>
    <row r="79" spans="2:44" x14ac:dyDescent="0.25">
      <c r="B79" s="17">
        <v>77</v>
      </c>
      <c r="C79" s="10"/>
      <c r="D79" s="10"/>
      <c r="E79" s="72"/>
      <c r="F79" s="18"/>
      <c r="G79" s="10"/>
      <c r="H79" s="10"/>
      <c r="I79" s="10"/>
      <c r="J79" s="11"/>
      <c r="K79" s="11">
        <f t="shared" si="163"/>
        <v>0</v>
      </c>
      <c r="L79" s="37">
        <f t="shared" si="164"/>
        <v>0</v>
      </c>
      <c r="M79" s="11"/>
      <c r="N79" s="10"/>
      <c r="O79" s="21"/>
      <c r="P79" s="21"/>
      <c r="Q79" s="21"/>
      <c r="R79" s="23"/>
      <c r="S79" s="50"/>
      <c r="T79" s="48"/>
      <c r="U79" s="82"/>
      <c r="V79" s="26"/>
      <c r="W79" s="200"/>
      <c r="X79" s="17"/>
    </row>
    <row r="80" spans="2:44" x14ac:dyDescent="0.25">
      <c r="B80" s="17">
        <v>78</v>
      </c>
      <c r="C80" s="10"/>
      <c r="D80" s="10"/>
      <c r="E80" s="72"/>
      <c r="F80" s="18"/>
      <c r="G80" s="10"/>
      <c r="H80" s="10"/>
      <c r="I80" s="10"/>
      <c r="J80" s="11"/>
      <c r="K80" s="11">
        <f t="shared" si="163"/>
        <v>0</v>
      </c>
      <c r="L80" s="37">
        <f t="shared" si="164"/>
        <v>0</v>
      </c>
      <c r="M80" s="11"/>
      <c r="N80" s="10"/>
      <c r="O80" s="21"/>
      <c r="P80" s="21"/>
      <c r="Q80" s="21"/>
      <c r="R80" s="23"/>
      <c r="S80" s="50"/>
      <c r="T80" s="48"/>
      <c r="U80" s="82"/>
      <c r="V80" s="26"/>
      <c r="W80" s="200"/>
      <c r="X80" s="17"/>
    </row>
    <row r="81" spans="2:24" x14ac:dyDescent="0.25">
      <c r="B81" s="17">
        <v>79</v>
      </c>
      <c r="C81" s="10"/>
      <c r="D81" s="10"/>
      <c r="E81" s="72"/>
      <c r="F81" s="18"/>
      <c r="G81" s="10"/>
      <c r="H81" s="10"/>
      <c r="I81" s="10"/>
      <c r="J81" s="11"/>
      <c r="K81" s="11">
        <f t="shared" si="163"/>
        <v>0</v>
      </c>
      <c r="L81" s="37">
        <f t="shared" si="164"/>
        <v>0</v>
      </c>
      <c r="M81" s="11"/>
      <c r="N81" s="10"/>
      <c r="O81" s="21"/>
      <c r="P81" s="21"/>
      <c r="Q81" s="21"/>
      <c r="R81" s="23"/>
      <c r="S81" s="50"/>
      <c r="T81" s="48"/>
      <c r="U81" s="82"/>
      <c r="V81" s="32"/>
      <c r="W81" s="200"/>
      <c r="X81" s="17"/>
    </row>
    <row r="82" spans="2:24" x14ac:dyDescent="0.25">
      <c r="B82" s="17">
        <v>80</v>
      </c>
      <c r="C82" s="10"/>
      <c r="D82" s="10"/>
      <c r="E82" s="72"/>
      <c r="F82" s="18"/>
      <c r="G82" s="10"/>
      <c r="H82" s="10"/>
      <c r="I82" s="10"/>
      <c r="J82" s="11"/>
      <c r="K82" s="11">
        <f t="shared" si="163"/>
        <v>0</v>
      </c>
      <c r="L82" s="37">
        <f t="shared" si="164"/>
        <v>0</v>
      </c>
      <c r="M82" s="11"/>
      <c r="N82" s="10"/>
      <c r="O82" s="21"/>
      <c r="P82" s="21"/>
      <c r="Q82" s="21"/>
      <c r="R82" s="23"/>
      <c r="S82" s="50"/>
      <c r="T82" s="48"/>
      <c r="U82" s="82"/>
      <c r="V82" s="32"/>
      <c r="W82" s="200"/>
      <c r="X82" s="17"/>
    </row>
    <row r="83" spans="2:24" x14ac:dyDescent="0.25">
      <c r="B83" s="17">
        <v>81</v>
      </c>
      <c r="C83" s="10"/>
      <c r="D83" s="10"/>
      <c r="E83" s="72"/>
      <c r="F83" s="18"/>
      <c r="G83" s="10"/>
      <c r="H83" s="10"/>
      <c r="I83" s="10"/>
      <c r="J83" s="11"/>
      <c r="K83" s="11">
        <f t="shared" si="163"/>
        <v>0</v>
      </c>
      <c r="L83" s="37">
        <f t="shared" si="164"/>
        <v>0</v>
      </c>
      <c r="M83" s="11"/>
      <c r="N83" s="10"/>
      <c r="O83" s="21"/>
      <c r="P83" s="21"/>
      <c r="Q83" s="21"/>
      <c r="R83" s="23"/>
      <c r="S83" s="50"/>
      <c r="T83" s="48"/>
      <c r="U83" s="82"/>
      <c r="V83" s="26"/>
      <c r="W83" s="200"/>
      <c r="X83" s="17"/>
    </row>
    <row r="84" spans="2:24" x14ac:dyDescent="0.25">
      <c r="B84" s="17">
        <v>82</v>
      </c>
      <c r="C84" s="10"/>
      <c r="D84" s="10"/>
      <c r="E84" s="72"/>
      <c r="F84" s="18"/>
      <c r="G84" s="10"/>
      <c r="H84" s="10"/>
      <c r="I84" s="10"/>
      <c r="J84" s="11"/>
      <c r="K84" s="11">
        <f t="shared" si="163"/>
        <v>0</v>
      </c>
      <c r="L84" s="37">
        <f t="shared" si="164"/>
        <v>0</v>
      </c>
      <c r="M84" s="11"/>
      <c r="N84" s="10"/>
      <c r="O84" s="21"/>
      <c r="P84" s="21"/>
      <c r="Q84" s="21"/>
      <c r="R84" s="23"/>
      <c r="S84" s="50"/>
      <c r="T84" s="48"/>
      <c r="U84" s="82"/>
      <c r="V84" s="26"/>
      <c r="W84" s="200"/>
      <c r="X84" s="17"/>
    </row>
    <row r="85" spans="2:24" x14ac:dyDescent="0.25">
      <c r="B85" s="17">
        <v>83</v>
      </c>
      <c r="C85" s="10"/>
      <c r="D85" s="10"/>
      <c r="E85" s="72"/>
      <c r="F85" s="18"/>
      <c r="G85" s="10"/>
      <c r="H85" s="10"/>
      <c r="I85" s="10"/>
      <c r="J85" s="11"/>
      <c r="K85" s="11">
        <f t="shared" si="163"/>
        <v>0</v>
      </c>
      <c r="L85" s="37">
        <f t="shared" si="164"/>
        <v>0</v>
      </c>
      <c r="M85" s="11"/>
      <c r="N85" s="10"/>
      <c r="O85" s="21"/>
      <c r="P85" s="21"/>
      <c r="Q85" s="21"/>
      <c r="R85" s="23"/>
      <c r="S85" s="50"/>
      <c r="T85" s="48"/>
      <c r="U85" s="82"/>
      <c r="V85" s="26"/>
      <c r="W85" s="200"/>
      <c r="X85" s="17"/>
    </row>
    <row r="86" spans="2:24" x14ac:dyDescent="0.25">
      <c r="B86" s="17">
        <v>84</v>
      </c>
      <c r="C86" s="10"/>
      <c r="D86" s="10"/>
      <c r="E86" s="72"/>
      <c r="F86" s="18"/>
      <c r="G86" s="10"/>
      <c r="H86" s="10"/>
      <c r="I86" s="10"/>
      <c r="J86" s="11"/>
      <c r="K86" s="11">
        <f t="shared" si="163"/>
        <v>0</v>
      </c>
      <c r="L86" s="37">
        <f t="shared" si="164"/>
        <v>0</v>
      </c>
      <c r="M86" s="11"/>
      <c r="N86" s="10"/>
      <c r="O86" s="21"/>
      <c r="P86" s="21"/>
      <c r="Q86" s="21"/>
      <c r="R86" s="23"/>
      <c r="S86" s="50"/>
      <c r="T86" s="48"/>
      <c r="U86" s="82"/>
      <c r="V86" s="26"/>
      <c r="W86" s="200"/>
      <c r="X86" s="17"/>
    </row>
    <row r="87" spans="2:24" x14ac:dyDescent="0.25">
      <c r="B87" s="17">
        <v>85</v>
      </c>
      <c r="C87" s="10"/>
      <c r="D87" s="10"/>
      <c r="E87" s="72"/>
      <c r="F87" s="18"/>
      <c r="G87" s="10"/>
      <c r="H87" s="10"/>
      <c r="I87" s="10"/>
      <c r="J87" s="11"/>
      <c r="K87" s="11">
        <f t="shared" si="163"/>
        <v>0</v>
      </c>
      <c r="L87" s="37">
        <f t="shared" si="164"/>
        <v>0</v>
      </c>
      <c r="M87" s="11"/>
      <c r="N87" s="10"/>
      <c r="O87" s="21"/>
      <c r="P87" s="21"/>
      <c r="Q87" s="21"/>
      <c r="R87" s="23"/>
      <c r="S87" s="50"/>
      <c r="T87" s="48"/>
      <c r="U87" s="82"/>
      <c r="V87" s="26"/>
      <c r="W87" s="200"/>
      <c r="X87" s="17"/>
    </row>
    <row r="88" spans="2:24" x14ac:dyDescent="0.25">
      <c r="B88" s="17">
        <v>86</v>
      </c>
      <c r="C88" s="10"/>
      <c r="D88" s="10"/>
      <c r="E88" s="72"/>
      <c r="F88" s="18"/>
      <c r="G88" s="10"/>
      <c r="H88" s="10"/>
      <c r="I88" s="10"/>
      <c r="J88" s="11"/>
      <c r="K88" s="11">
        <f t="shared" si="163"/>
        <v>0</v>
      </c>
      <c r="L88" s="37">
        <f t="shared" si="164"/>
        <v>0</v>
      </c>
      <c r="M88" s="11"/>
      <c r="N88" s="10"/>
      <c r="O88" s="21"/>
      <c r="P88" s="21"/>
      <c r="Q88" s="21"/>
      <c r="R88" s="23"/>
      <c r="S88" s="50"/>
      <c r="T88" s="48"/>
      <c r="U88" s="82"/>
      <c r="V88" s="32"/>
      <c r="W88" s="200"/>
      <c r="X88" s="17"/>
    </row>
    <row r="89" spans="2:24" x14ac:dyDescent="0.25">
      <c r="B89" s="17">
        <v>87</v>
      </c>
      <c r="C89" s="10"/>
      <c r="D89" s="10"/>
      <c r="E89" s="72"/>
      <c r="F89" s="18"/>
      <c r="G89" s="10"/>
      <c r="H89" s="10"/>
      <c r="I89" s="10"/>
      <c r="J89" s="11"/>
      <c r="K89" s="11">
        <f t="shared" si="163"/>
        <v>0</v>
      </c>
      <c r="L89" s="37">
        <f t="shared" si="164"/>
        <v>0</v>
      </c>
      <c r="M89" s="11"/>
      <c r="N89" s="10"/>
      <c r="O89" s="21"/>
      <c r="P89" s="21"/>
      <c r="Q89" s="21"/>
      <c r="R89" s="23"/>
      <c r="S89" s="50"/>
      <c r="T89" s="48"/>
      <c r="U89" s="82"/>
      <c r="V89" s="32"/>
      <c r="W89" s="200"/>
      <c r="X89" s="17"/>
    </row>
    <row r="90" spans="2:24" x14ac:dyDescent="0.25">
      <c r="B90" s="17">
        <v>88</v>
      </c>
      <c r="C90" s="10"/>
      <c r="D90" s="10"/>
      <c r="E90" s="72"/>
      <c r="F90" s="18"/>
      <c r="G90" s="10"/>
      <c r="H90" s="10"/>
      <c r="I90" s="10"/>
      <c r="J90" s="11"/>
      <c r="K90" s="11">
        <f t="shared" si="163"/>
        <v>0</v>
      </c>
      <c r="L90" s="37">
        <f t="shared" si="164"/>
        <v>0</v>
      </c>
      <c r="M90" s="11"/>
      <c r="N90" s="10"/>
      <c r="O90" s="21"/>
      <c r="P90" s="21"/>
      <c r="Q90" s="21"/>
      <c r="R90" s="23"/>
      <c r="S90" s="50"/>
      <c r="T90" s="48"/>
      <c r="U90" s="82"/>
      <c r="V90" s="26"/>
      <c r="W90" s="200"/>
      <c r="X90" s="17"/>
    </row>
    <row r="91" spans="2:24" x14ac:dyDescent="0.25">
      <c r="B91" s="17">
        <v>89</v>
      </c>
      <c r="C91" s="10"/>
      <c r="D91" s="10"/>
      <c r="E91" s="72"/>
      <c r="F91" s="18"/>
      <c r="G91" s="10"/>
      <c r="H91" s="10"/>
      <c r="I91" s="10"/>
      <c r="J91" s="11"/>
      <c r="K91" s="11">
        <f t="shared" si="163"/>
        <v>0</v>
      </c>
      <c r="L91" s="37">
        <f t="shared" si="164"/>
        <v>0</v>
      </c>
      <c r="M91" s="11"/>
      <c r="N91" s="10"/>
      <c r="O91" s="21"/>
      <c r="P91" s="21"/>
      <c r="Q91" s="21"/>
      <c r="R91" s="23"/>
      <c r="S91" s="50"/>
      <c r="T91" s="48"/>
      <c r="U91" s="82"/>
      <c r="V91" s="26"/>
      <c r="W91" s="200"/>
      <c r="X91" s="17"/>
    </row>
    <row r="92" spans="2:24" x14ac:dyDescent="0.25">
      <c r="B92" s="17">
        <v>90</v>
      </c>
      <c r="C92" s="10"/>
      <c r="D92" s="10"/>
      <c r="E92" s="72"/>
      <c r="F92" s="18"/>
      <c r="G92" s="10"/>
      <c r="H92" s="10"/>
      <c r="I92" s="10"/>
      <c r="J92" s="11"/>
      <c r="K92" s="11">
        <f t="shared" si="163"/>
        <v>0</v>
      </c>
      <c r="L92" s="37">
        <f t="shared" si="164"/>
        <v>0</v>
      </c>
      <c r="M92" s="11"/>
      <c r="N92" s="10"/>
      <c r="O92" s="21"/>
      <c r="P92" s="21"/>
      <c r="Q92" s="21"/>
      <c r="R92" s="23"/>
      <c r="S92" s="50"/>
      <c r="T92" s="48"/>
      <c r="U92" s="82"/>
      <c r="V92" s="26"/>
      <c r="W92" s="200"/>
      <c r="X92" s="17"/>
    </row>
    <row r="93" spans="2:24" x14ac:dyDescent="0.25">
      <c r="B93" s="17">
        <v>91</v>
      </c>
      <c r="C93" s="10"/>
      <c r="D93" s="10"/>
      <c r="E93" s="72"/>
      <c r="F93" s="18"/>
      <c r="G93" s="10"/>
      <c r="H93" s="10"/>
      <c r="I93" s="10"/>
      <c r="J93" s="11"/>
      <c r="K93" s="11">
        <f t="shared" si="163"/>
        <v>0</v>
      </c>
      <c r="L93" s="37">
        <f t="shared" si="164"/>
        <v>0</v>
      </c>
      <c r="M93" s="11"/>
      <c r="N93" s="10"/>
      <c r="O93" s="21"/>
      <c r="P93" s="21"/>
      <c r="Q93" s="21"/>
      <c r="R93" s="23"/>
      <c r="S93" s="50"/>
      <c r="T93" s="48"/>
      <c r="U93" s="82"/>
      <c r="V93" s="26"/>
      <c r="W93" s="200"/>
      <c r="X93" s="17"/>
    </row>
    <row r="94" spans="2:24" x14ac:dyDescent="0.25">
      <c r="B94" s="17">
        <v>92</v>
      </c>
      <c r="C94" s="10"/>
      <c r="D94" s="10"/>
      <c r="E94" s="72"/>
      <c r="F94" s="18"/>
      <c r="G94" s="10"/>
      <c r="H94" s="10"/>
      <c r="I94" s="10"/>
      <c r="J94" s="11"/>
      <c r="K94" s="11">
        <f t="shared" si="163"/>
        <v>0</v>
      </c>
      <c r="L94" s="37">
        <f t="shared" si="164"/>
        <v>0</v>
      </c>
      <c r="M94" s="11"/>
      <c r="N94" s="10"/>
      <c r="O94" s="21"/>
      <c r="P94" s="21"/>
      <c r="Q94" s="21"/>
      <c r="R94" s="23"/>
      <c r="S94" s="50"/>
      <c r="T94" s="48"/>
      <c r="U94" s="82"/>
      <c r="V94" s="26"/>
      <c r="W94" s="200"/>
      <c r="X94" s="17"/>
    </row>
    <row r="95" spans="2:24" x14ac:dyDescent="0.25">
      <c r="B95" s="17">
        <v>93</v>
      </c>
      <c r="C95" s="10"/>
      <c r="D95" s="10"/>
      <c r="E95" s="72"/>
      <c r="F95" s="18"/>
      <c r="G95" s="10"/>
      <c r="H95" s="10"/>
      <c r="I95" s="10"/>
      <c r="J95" s="11"/>
      <c r="K95" s="11">
        <f t="shared" si="163"/>
        <v>0</v>
      </c>
      <c r="L95" s="37">
        <f t="shared" si="164"/>
        <v>0</v>
      </c>
      <c r="M95" s="11"/>
      <c r="N95" s="10"/>
      <c r="O95" s="21"/>
      <c r="P95" s="21"/>
      <c r="Q95" s="21"/>
      <c r="R95" s="23"/>
      <c r="S95" s="50"/>
      <c r="T95" s="48"/>
      <c r="U95" s="82"/>
      <c r="V95" s="32"/>
      <c r="W95" s="200"/>
      <c r="X95" s="17"/>
    </row>
    <row r="96" spans="2:24" x14ac:dyDescent="0.25">
      <c r="B96" s="17">
        <v>94</v>
      </c>
      <c r="C96" s="10"/>
      <c r="D96" s="10"/>
      <c r="E96" s="72"/>
      <c r="F96" s="18"/>
      <c r="G96" s="10"/>
      <c r="H96" s="10"/>
      <c r="I96" s="10"/>
      <c r="J96" s="11"/>
      <c r="K96" s="11">
        <f t="shared" si="163"/>
        <v>0</v>
      </c>
      <c r="L96" s="37">
        <f t="shared" si="164"/>
        <v>0</v>
      </c>
      <c r="M96" s="11"/>
      <c r="N96" s="10"/>
      <c r="O96" s="21"/>
      <c r="P96" s="21"/>
      <c r="Q96" s="21"/>
      <c r="R96" s="23"/>
      <c r="S96" s="50"/>
      <c r="T96" s="48"/>
      <c r="U96" s="82"/>
      <c r="V96" s="32"/>
      <c r="W96" s="200"/>
      <c r="X96" s="17"/>
    </row>
    <row r="97" spans="2:24" x14ac:dyDescent="0.25">
      <c r="B97" s="17">
        <v>95</v>
      </c>
      <c r="C97" s="10"/>
      <c r="D97" s="10"/>
      <c r="E97" s="72"/>
      <c r="F97" s="18"/>
      <c r="G97" s="10"/>
      <c r="H97" s="10"/>
      <c r="I97" s="10"/>
      <c r="J97" s="11"/>
      <c r="K97" s="11">
        <f t="shared" si="163"/>
        <v>0</v>
      </c>
      <c r="L97" s="37">
        <f t="shared" si="164"/>
        <v>0</v>
      </c>
      <c r="M97" s="11"/>
      <c r="N97" s="10"/>
      <c r="O97" s="21"/>
      <c r="P97" s="21"/>
      <c r="Q97" s="21"/>
      <c r="R97" s="23"/>
      <c r="S97" s="50"/>
      <c r="T97" s="48"/>
      <c r="U97" s="82"/>
      <c r="V97" s="32"/>
      <c r="W97" s="200"/>
      <c r="X97" s="17"/>
    </row>
    <row r="98" spans="2:24" x14ac:dyDescent="0.25">
      <c r="B98" s="17">
        <v>96</v>
      </c>
      <c r="C98" s="10"/>
      <c r="D98" s="10"/>
      <c r="E98" s="72"/>
      <c r="F98" s="18"/>
      <c r="G98" s="10"/>
      <c r="H98" s="10"/>
      <c r="I98" s="10"/>
      <c r="J98" s="11"/>
      <c r="K98" s="11">
        <f t="shared" si="163"/>
        <v>0</v>
      </c>
      <c r="L98" s="37">
        <f t="shared" si="164"/>
        <v>0</v>
      </c>
      <c r="M98" s="11"/>
      <c r="N98" s="10"/>
      <c r="O98" s="21"/>
      <c r="P98" s="21"/>
      <c r="Q98" s="21"/>
      <c r="R98" s="23"/>
      <c r="S98" s="50"/>
      <c r="T98" s="48"/>
      <c r="U98" s="82"/>
      <c r="V98" s="32"/>
      <c r="W98" s="200"/>
      <c r="X98" s="17"/>
    </row>
    <row r="99" spans="2:24" x14ac:dyDescent="0.25">
      <c r="B99" s="17">
        <v>97</v>
      </c>
      <c r="C99" s="10"/>
      <c r="D99" s="10"/>
      <c r="E99" s="72"/>
      <c r="F99" s="18"/>
      <c r="G99" s="10"/>
      <c r="H99" s="10"/>
      <c r="I99" s="10"/>
      <c r="J99" s="11"/>
      <c r="K99" s="11">
        <f t="shared" si="163"/>
        <v>0</v>
      </c>
      <c r="L99" s="37">
        <f t="shared" si="164"/>
        <v>0</v>
      </c>
      <c r="M99" s="11"/>
      <c r="N99" s="10"/>
      <c r="O99" s="21"/>
      <c r="P99" s="21"/>
      <c r="Q99" s="21"/>
      <c r="R99" s="23"/>
      <c r="S99" s="50"/>
      <c r="T99" s="48"/>
      <c r="U99" s="82"/>
      <c r="V99" s="26"/>
      <c r="W99" s="200"/>
      <c r="X99" s="17"/>
    </row>
    <row r="100" spans="2:24" x14ac:dyDescent="0.25">
      <c r="B100" s="17">
        <v>98</v>
      </c>
      <c r="C100" s="10"/>
      <c r="D100" s="10"/>
      <c r="E100" s="72"/>
      <c r="F100" s="18"/>
      <c r="G100" s="10"/>
      <c r="H100" s="10"/>
      <c r="I100" s="10"/>
      <c r="J100" s="11"/>
      <c r="K100" s="11">
        <f t="shared" si="163"/>
        <v>0</v>
      </c>
      <c r="L100" s="37">
        <f t="shared" si="164"/>
        <v>0</v>
      </c>
      <c r="M100" s="11"/>
      <c r="N100" s="10"/>
      <c r="O100" s="21"/>
      <c r="P100" s="21"/>
      <c r="Q100" s="21"/>
      <c r="R100" s="23"/>
      <c r="S100" s="50"/>
      <c r="T100" s="48"/>
      <c r="U100" s="82"/>
      <c r="V100" s="26"/>
      <c r="W100" s="200"/>
      <c r="X100" s="17"/>
    </row>
    <row r="101" spans="2:24" x14ac:dyDescent="0.25">
      <c r="B101" s="17">
        <v>99</v>
      </c>
      <c r="C101" s="10"/>
      <c r="D101" s="10"/>
      <c r="E101" s="72"/>
      <c r="F101" s="18"/>
      <c r="G101" s="10"/>
      <c r="H101" s="10"/>
      <c r="I101" s="10"/>
      <c r="J101" s="11"/>
      <c r="K101" s="11">
        <f t="shared" si="163"/>
        <v>0</v>
      </c>
      <c r="L101" s="37">
        <f t="shared" si="164"/>
        <v>0</v>
      </c>
      <c r="M101" s="11"/>
      <c r="N101" s="10"/>
      <c r="O101" s="21"/>
      <c r="P101" s="21"/>
      <c r="Q101" s="21"/>
      <c r="R101" s="23"/>
      <c r="S101" s="50"/>
      <c r="T101" s="48"/>
      <c r="U101" s="82"/>
      <c r="V101" s="26"/>
      <c r="W101" s="200"/>
      <c r="X101" s="17"/>
    </row>
    <row r="102" spans="2:24" x14ac:dyDescent="0.25">
      <c r="B102" s="17">
        <v>100</v>
      </c>
      <c r="C102" s="10"/>
      <c r="D102" s="10"/>
      <c r="E102" s="72"/>
      <c r="F102" s="18"/>
      <c r="G102" s="10"/>
      <c r="H102" s="10"/>
      <c r="I102" s="10"/>
      <c r="J102" s="11"/>
      <c r="K102" s="11">
        <f t="shared" si="163"/>
        <v>0</v>
      </c>
      <c r="L102" s="37">
        <f t="shared" si="164"/>
        <v>0</v>
      </c>
      <c r="M102" s="11"/>
      <c r="N102" s="10"/>
      <c r="O102" s="21"/>
      <c r="P102" s="21"/>
      <c r="Q102" s="21"/>
      <c r="R102" s="23"/>
      <c r="S102" s="50"/>
      <c r="T102" s="48"/>
      <c r="U102" s="82"/>
      <c r="V102" s="26"/>
      <c r="W102" s="200"/>
      <c r="X102" s="17"/>
    </row>
    <row r="103" spans="2:24" x14ac:dyDescent="0.25">
      <c r="B103" s="17">
        <v>101</v>
      </c>
      <c r="C103" s="10"/>
      <c r="D103" s="10"/>
      <c r="E103" s="72"/>
      <c r="F103" s="18"/>
      <c r="G103" s="10"/>
      <c r="H103" s="10"/>
      <c r="I103" s="10"/>
      <c r="J103" s="11"/>
      <c r="K103" s="11">
        <f t="shared" si="163"/>
        <v>0</v>
      </c>
      <c r="L103" s="37">
        <f t="shared" si="164"/>
        <v>0</v>
      </c>
      <c r="M103" s="11"/>
      <c r="N103" s="10"/>
      <c r="O103" s="21"/>
      <c r="P103" s="21"/>
      <c r="Q103" s="21"/>
      <c r="R103" s="23"/>
      <c r="S103" s="50"/>
      <c r="T103" s="48"/>
      <c r="U103" s="82"/>
      <c r="V103" s="32"/>
      <c r="W103" s="200"/>
      <c r="X103" s="17"/>
    </row>
    <row r="104" spans="2:24" x14ac:dyDescent="0.25">
      <c r="B104" s="17">
        <v>102</v>
      </c>
      <c r="C104" s="10"/>
      <c r="D104" s="10"/>
      <c r="E104" s="72"/>
      <c r="F104" s="18"/>
      <c r="G104" s="10"/>
      <c r="H104" s="10"/>
      <c r="I104" s="10"/>
      <c r="J104" s="11"/>
      <c r="K104" s="11">
        <f t="shared" si="163"/>
        <v>0</v>
      </c>
      <c r="L104" s="37">
        <f t="shared" si="164"/>
        <v>0</v>
      </c>
      <c r="M104" s="11"/>
      <c r="N104" s="10"/>
      <c r="O104" s="21"/>
      <c r="P104" s="21"/>
      <c r="Q104" s="21"/>
      <c r="R104" s="23"/>
      <c r="S104" s="50"/>
      <c r="T104" s="48"/>
      <c r="U104" s="82"/>
      <c r="V104" s="32"/>
      <c r="W104" s="200"/>
      <c r="X104" s="17"/>
    </row>
    <row r="105" spans="2:24" x14ac:dyDescent="0.25">
      <c r="B105" s="17">
        <v>103</v>
      </c>
      <c r="C105" s="10"/>
      <c r="D105" s="10"/>
      <c r="E105" s="72"/>
      <c r="F105" s="18"/>
      <c r="G105" s="10"/>
      <c r="H105" s="10"/>
      <c r="I105" s="10"/>
      <c r="J105" s="11"/>
      <c r="K105" s="11">
        <f t="shared" si="163"/>
        <v>0</v>
      </c>
      <c r="L105" s="37">
        <f t="shared" si="164"/>
        <v>0</v>
      </c>
      <c r="M105" s="11"/>
      <c r="N105" s="10"/>
      <c r="O105" s="21"/>
      <c r="P105" s="21"/>
      <c r="Q105" s="21"/>
      <c r="R105" s="23"/>
      <c r="S105" s="50"/>
      <c r="T105" s="48"/>
      <c r="U105" s="82"/>
      <c r="V105" s="26"/>
      <c r="W105" s="200"/>
      <c r="X105" s="17"/>
    </row>
    <row r="106" spans="2:24" x14ac:dyDescent="0.25">
      <c r="B106" s="17">
        <v>104</v>
      </c>
      <c r="C106" s="10"/>
      <c r="D106" s="10"/>
      <c r="E106" s="72"/>
      <c r="F106" s="18"/>
      <c r="G106" s="10"/>
      <c r="H106" s="10"/>
      <c r="I106" s="10"/>
      <c r="J106" s="11"/>
      <c r="K106" s="11">
        <f t="shared" si="163"/>
        <v>0</v>
      </c>
      <c r="L106" s="37">
        <f t="shared" si="164"/>
        <v>0</v>
      </c>
      <c r="M106" s="11"/>
      <c r="N106" s="10"/>
      <c r="O106" s="21"/>
      <c r="P106" s="21"/>
      <c r="Q106" s="21"/>
      <c r="R106" s="23"/>
      <c r="S106" s="50"/>
      <c r="T106" s="48"/>
      <c r="U106" s="82"/>
      <c r="V106" s="26"/>
      <c r="W106" s="200"/>
      <c r="X106" s="17"/>
    </row>
    <row r="107" spans="2:24" x14ac:dyDescent="0.25">
      <c r="B107" s="17">
        <v>105</v>
      </c>
      <c r="C107" s="10"/>
      <c r="D107" s="10"/>
      <c r="E107" s="72"/>
      <c r="F107" s="18"/>
      <c r="G107" s="10"/>
      <c r="H107" s="10"/>
      <c r="I107" s="10"/>
      <c r="J107" s="11"/>
      <c r="K107" s="11">
        <f t="shared" si="163"/>
        <v>0</v>
      </c>
      <c r="L107" s="37">
        <f t="shared" si="164"/>
        <v>0</v>
      </c>
      <c r="M107" s="11"/>
      <c r="N107" s="10"/>
      <c r="O107" s="21"/>
      <c r="P107" s="21"/>
      <c r="Q107" s="21"/>
      <c r="R107" s="23"/>
      <c r="S107" s="50"/>
      <c r="T107" s="48"/>
      <c r="U107" s="82"/>
      <c r="V107" s="26"/>
      <c r="W107" s="200"/>
      <c r="X107" s="17"/>
    </row>
    <row r="108" spans="2:24" x14ac:dyDescent="0.25">
      <c r="B108" s="17">
        <v>106</v>
      </c>
      <c r="C108" s="10"/>
      <c r="D108" s="10"/>
      <c r="E108" s="72"/>
      <c r="F108" s="18"/>
      <c r="G108" s="10"/>
      <c r="H108" s="10"/>
      <c r="I108" s="10"/>
      <c r="J108" s="11"/>
      <c r="K108" s="11">
        <f t="shared" si="163"/>
        <v>0</v>
      </c>
      <c r="L108" s="37">
        <f t="shared" si="164"/>
        <v>0</v>
      </c>
      <c r="M108" s="11"/>
      <c r="N108" s="10"/>
      <c r="O108" s="21"/>
      <c r="P108" s="21"/>
      <c r="Q108" s="21"/>
      <c r="R108" s="23"/>
      <c r="S108" s="50"/>
      <c r="T108" s="48"/>
      <c r="U108" s="82"/>
      <c r="V108" s="26"/>
      <c r="W108" s="200"/>
      <c r="X108" s="17"/>
    </row>
    <row r="109" spans="2:24" x14ac:dyDescent="0.25">
      <c r="B109" s="17">
        <v>107</v>
      </c>
      <c r="C109" s="10"/>
      <c r="D109" s="10"/>
      <c r="E109" s="72"/>
      <c r="F109" s="18"/>
      <c r="G109" s="10"/>
      <c r="H109" s="10"/>
      <c r="I109" s="10"/>
      <c r="J109" s="11"/>
      <c r="K109" s="11">
        <f t="shared" si="163"/>
        <v>0</v>
      </c>
      <c r="L109" s="37">
        <f t="shared" si="164"/>
        <v>0</v>
      </c>
      <c r="M109" s="11"/>
      <c r="N109" s="10"/>
      <c r="O109" s="21"/>
      <c r="P109" s="21"/>
      <c r="Q109" s="21"/>
      <c r="R109" s="23"/>
      <c r="S109" s="50"/>
      <c r="T109" s="48"/>
      <c r="U109" s="82"/>
      <c r="V109" s="26"/>
      <c r="W109" s="200"/>
      <c r="X109" s="17"/>
    </row>
    <row r="110" spans="2:24" x14ac:dyDescent="0.25">
      <c r="B110" s="17">
        <v>108</v>
      </c>
      <c r="C110" s="10"/>
      <c r="D110" s="10"/>
      <c r="E110" s="72"/>
      <c r="F110" s="18"/>
      <c r="G110" s="10"/>
      <c r="H110" s="10"/>
      <c r="I110" s="10"/>
      <c r="J110" s="11"/>
      <c r="K110" s="11">
        <f t="shared" si="163"/>
        <v>0</v>
      </c>
      <c r="L110" s="37">
        <f t="shared" si="164"/>
        <v>0</v>
      </c>
      <c r="M110" s="11"/>
      <c r="N110" s="10"/>
      <c r="O110" s="21"/>
      <c r="P110" s="21"/>
      <c r="Q110" s="21"/>
      <c r="R110" s="23"/>
      <c r="S110" s="50"/>
      <c r="T110" s="48"/>
      <c r="U110" s="82"/>
      <c r="V110" s="32"/>
      <c r="W110" s="200"/>
      <c r="X110" s="17"/>
    </row>
    <row r="111" spans="2:24" x14ac:dyDescent="0.25">
      <c r="B111" s="17">
        <v>109</v>
      </c>
      <c r="C111" s="10"/>
      <c r="D111" s="10"/>
      <c r="E111" s="72"/>
      <c r="F111" s="18"/>
      <c r="G111" s="10"/>
      <c r="H111" s="10"/>
      <c r="I111" s="10"/>
      <c r="J111" s="11"/>
      <c r="K111" s="11">
        <f t="shared" si="163"/>
        <v>0</v>
      </c>
      <c r="L111" s="37">
        <f t="shared" si="164"/>
        <v>0</v>
      </c>
      <c r="M111" s="11"/>
      <c r="N111" s="10"/>
      <c r="O111" s="21"/>
      <c r="P111" s="21"/>
      <c r="Q111" s="21"/>
      <c r="R111" s="23"/>
      <c r="S111" s="50"/>
      <c r="T111" s="48"/>
      <c r="U111" s="82"/>
      <c r="V111" s="32"/>
      <c r="W111" s="200"/>
      <c r="X111" s="17"/>
    </row>
    <row r="112" spans="2:24" x14ac:dyDescent="0.25">
      <c r="B112" s="17">
        <v>110</v>
      </c>
      <c r="C112" s="10"/>
      <c r="D112" s="10"/>
      <c r="E112" s="72"/>
      <c r="F112" s="18"/>
      <c r="G112" s="10"/>
      <c r="H112" s="10"/>
      <c r="I112" s="10"/>
      <c r="J112" s="11"/>
      <c r="K112" s="11">
        <f t="shared" si="163"/>
        <v>0</v>
      </c>
      <c r="L112" s="37">
        <f t="shared" si="164"/>
        <v>0</v>
      </c>
      <c r="M112" s="11"/>
      <c r="N112" s="10"/>
      <c r="O112" s="21"/>
      <c r="P112" s="21"/>
      <c r="Q112" s="21"/>
      <c r="R112" s="23"/>
      <c r="S112" s="50"/>
      <c r="T112" s="48"/>
      <c r="U112" s="82"/>
      <c r="V112" s="26"/>
      <c r="W112" s="200"/>
      <c r="X112" s="17"/>
    </row>
    <row r="113" spans="2:24" x14ac:dyDescent="0.25">
      <c r="B113" s="17">
        <v>111</v>
      </c>
      <c r="C113" s="10"/>
      <c r="D113" s="10"/>
      <c r="E113" s="72"/>
      <c r="F113" s="18"/>
      <c r="G113" s="10"/>
      <c r="H113" s="10"/>
      <c r="I113" s="10"/>
      <c r="J113" s="11"/>
      <c r="K113" s="11">
        <f t="shared" si="163"/>
        <v>0</v>
      </c>
      <c r="L113" s="37">
        <f t="shared" si="164"/>
        <v>0</v>
      </c>
      <c r="M113" s="11"/>
      <c r="N113" s="10"/>
      <c r="O113" s="21"/>
      <c r="P113" s="21"/>
      <c r="Q113" s="21"/>
      <c r="R113" s="23"/>
      <c r="S113" s="50"/>
      <c r="T113" s="48"/>
      <c r="U113" s="82"/>
      <c r="V113" s="26"/>
      <c r="W113" s="200"/>
      <c r="X113" s="17"/>
    </row>
    <row r="114" spans="2:24" x14ac:dyDescent="0.25">
      <c r="B114" s="17">
        <v>112</v>
      </c>
      <c r="C114" s="10"/>
      <c r="D114" s="10"/>
      <c r="E114" s="72"/>
      <c r="F114" s="18"/>
      <c r="G114" s="10"/>
      <c r="H114" s="10"/>
      <c r="I114" s="10"/>
      <c r="J114" s="11"/>
      <c r="K114" s="11">
        <f t="shared" si="163"/>
        <v>0</v>
      </c>
      <c r="L114" s="37">
        <f t="shared" si="164"/>
        <v>0</v>
      </c>
      <c r="M114" s="11"/>
      <c r="N114" s="10"/>
      <c r="O114" s="21"/>
      <c r="P114" s="21"/>
      <c r="Q114" s="21"/>
      <c r="R114" s="23"/>
      <c r="S114" s="50"/>
      <c r="T114" s="48"/>
      <c r="U114" s="82"/>
      <c r="V114" s="26"/>
      <c r="W114" s="200"/>
      <c r="X114" s="17"/>
    </row>
    <row r="115" spans="2:24" x14ac:dyDescent="0.25">
      <c r="B115" s="17">
        <v>113</v>
      </c>
      <c r="C115" s="10"/>
      <c r="D115" s="10"/>
      <c r="E115" s="72"/>
      <c r="F115" s="18"/>
      <c r="G115" s="10"/>
      <c r="H115" s="10"/>
      <c r="I115" s="10"/>
      <c r="J115" s="11"/>
      <c r="K115" s="11">
        <f t="shared" si="163"/>
        <v>0</v>
      </c>
      <c r="L115" s="37">
        <f t="shared" si="164"/>
        <v>0</v>
      </c>
      <c r="M115" s="11"/>
      <c r="N115" s="10"/>
      <c r="O115" s="21"/>
      <c r="P115" s="21"/>
      <c r="Q115" s="21"/>
      <c r="R115" s="23"/>
      <c r="S115" s="50"/>
      <c r="T115" s="48"/>
      <c r="U115" s="82"/>
      <c r="V115" s="26"/>
      <c r="W115" s="200"/>
      <c r="X115" s="17"/>
    </row>
    <row r="116" spans="2:24" x14ac:dyDescent="0.25">
      <c r="B116" s="17">
        <v>114</v>
      </c>
      <c r="C116" s="10"/>
      <c r="D116" s="10"/>
      <c r="E116" s="72"/>
      <c r="F116" s="18"/>
      <c r="G116" s="10"/>
      <c r="H116" s="10"/>
      <c r="I116" s="10"/>
      <c r="J116" s="11"/>
      <c r="K116" s="11">
        <f t="shared" si="163"/>
        <v>0</v>
      </c>
      <c r="L116" s="37">
        <f t="shared" si="164"/>
        <v>0</v>
      </c>
      <c r="M116" s="11"/>
      <c r="N116" s="10"/>
      <c r="O116" s="21"/>
      <c r="P116" s="21"/>
      <c r="Q116" s="21"/>
      <c r="R116" s="23"/>
      <c r="S116" s="50"/>
      <c r="T116" s="48"/>
      <c r="U116" s="82"/>
      <c r="V116" s="26"/>
      <c r="W116" s="200"/>
      <c r="X116" s="17"/>
    </row>
    <row r="117" spans="2:24" x14ac:dyDescent="0.25">
      <c r="B117" s="17">
        <v>115</v>
      </c>
      <c r="C117" s="10"/>
      <c r="D117" s="10"/>
      <c r="E117" s="72"/>
      <c r="F117" s="18"/>
      <c r="G117" s="10"/>
      <c r="H117" s="10"/>
      <c r="I117" s="10"/>
      <c r="J117" s="11"/>
      <c r="K117" s="11">
        <f t="shared" si="163"/>
        <v>0</v>
      </c>
      <c r="L117" s="37">
        <f t="shared" si="164"/>
        <v>0</v>
      </c>
      <c r="M117" s="11"/>
      <c r="N117" s="10"/>
      <c r="O117" s="21"/>
      <c r="P117" s="21"/>
      <c r="Q117" s="21"/>
      <c r="R117" s="23"/>
      <c r="S117" s="50"/>
      <c r="T117" s="48"/>
      <c r="U117" s="82"/>
      <c r="V117" s="32"/>
      <c r="W117" s="200"/>
      <c r="X117" s="17"/>
    </row>
    <row r="118" spans="2:24" x14ac:dyDescent="0.25">
      <c r="B118" s="17">
        <v>116</v>
      </c>
      <c r="C118" s="10"/>
      <c r="D118" s="10"/>
      <c r="E118" s="72"/>
      <c r="F118" s="18"/>
      <c r="G118" s="10"/>
      <c r="H118" s="10"/>
      <c r="I118" s="10"/>
      <c r="J118" s="11"/>
      <c r="K118" s="11">
        <f t="shared" si="163"/>
        <v>0</v>
      </c>
      <c r="L118" s="37">
        <f t="shared" si="164"/>
        <v>0</v>
      </c>
      <c r="M118" s="11"/>
      <c r="N118" s="10"/>
      <c r="O118" s="21"/>
      <c r="P118" s="21"/>
      <c r="Q118" s="21"/>
      <c r="R118" s="23"/>
      <c r="S118" s="50"/>
      <c r="T118" s="48"/>
      <c r="U118" s="82"/>
      <c r="V118" s="32"/>
      <c r="W118" s="200"/>
      <c r="X118" s="17"/>
    </row>
    <row r="119" spans="2:24" x14ac:dyDescent="0.25">
      <c r="B119" s="17">
        <v>117</v>
      </c>
      <c r="C119" s="10"/>
      <c r="D119" s="10"/>
      <c r="E119" s="72"/>
      <c r="F119" s="18"/>
      <c r="G119" s="10"/>
      <c r="H119" s="10"/>
      <c r="I119" s="10"/>
      <c r="J119" s="11"/>
      <c r="K119" s="11">
        <f t="shared" si="163"/>
        <v>0</v>
      </c>
      <c r="L119" s="37">
        <f t="shared" si="164"/>
        <v>0</v>
      </c>
      <c r="M119" s="11"/>
      <c r="N119" s="10"/>
      <c r="O119" s="21"/>
      <c r="P119" s="21"/>
      <c r="Q119" s="21"/>
      <c r="R119" s="23"/>
      <c r="S119" s="50"/>
      <c r="T119" s="48"/>
      <c r="U119" s="82"/>
      <c r="V119" s="32"/>
      <c r="W119" s="200"/>
      <c r="X119" s="17"/>
    </row>
    <row r="120" spans="2:24" x14ac:dyDescent="0.25">
      <c r="B120" s="17">
        <v>118</v>
      </c>
      <c r="C120" s="10"/>
      <c r="D120" s="10"/>
      <c r="E120" s="72"/>
      <c r="F120" s="18"/>
      <c r="G120" s="10"/>
      <c r="H120" s="10"/>
      <c r="I120" s="10"/>
      <c r="J120" s="11"/>
      <c r="K120" s="11">
        <f t="shared" si="163"/>
        <v>0</v>
      </c>
      <c r="L120" s="37">
        <f t="shared" si="164"/>
        <v>0</v>
      </c>
      <c r="M120" s="11"/>
      <c r="N120" s="10"/>
      <c r="O120" s="21"/>
      <c r="P120" s="21"/>
      <c r="Q120" s="21"/>
      <c r="R120" s="23"/>
      <c r="S120" s="50"/>
      <c r="T120" s="48"/>
      <c r="U120" s="82"/>
      <c r="V120" s="32"/>
      <c r="W120" s="200"/>
      <c r="X120" s="17"/>
    </row>
    <row r="121" spans="2:24" x14ac:dyDescent="0.25">
      <c r="B121" s="17">
        <v>119</v>
      </c>
      <c r="C121" s="10"/>
      <c r="D121" s="10"/>
      <c r="E121" s="72"/>
      <c r="F121" s="18"/>
      <c r="G121" s="10"/>
      <c r="H121" s="10"/>
      <c r="I121" s="10"/>
      <c r="J121" s="11"/>
      <c r="K121" s="11">
        <f t="shared" si="163"/>
        <v>0</v>
      </c>
      <c r="L121" s="37">
        <f t="shared" si="164"/>
        <v>0</v>
      </c>
      <c r="M121" s="11"/>
      <c r="N121" s="10"/>
      <c r="O121" s="21"/>
      <c r="P121" s="21"/>
      <c r="Q121" s="21"/>
      <c r="R121" s="23"/>
      <c r="S121" s="50"/>
      <c r="T121" s="48"/>
      <c r="U121" s="82"/>
      <c r="V121" s="26"/>
      <c r="W121" s="200"/>
      <c r="X121" s="17"/>
    </row>
    <row r="122" spans="2:24" x14ac:dyDescent="0.25">
      <c r="B122" s="17">
        <v>120</v>
      </c>
      <c r="C122" s="10"/>
      <c r="D122" s="10"/>
      <c r="E122" s="72"/>
      <c r="F122" s="18"/>
      <c r="G122" s="10"/>
      <c r="H122" s="10"/>
      <c r="I122" s="10"/>
      <c r="J122" s="11"/>
      <c r="K122" s="11">
        <f t="shared" si="163"/>
        <v>0</v>
      </c>
      <c r="L122" s="37">
        <f t="shared" si="164"/>
        <v>0</v>
      </c>
      <c r="M122" s="11"/>
      <c r="N122" s="10"/>
      <c r="O122" s="21"/>
      <c r="P122" s="21"/>
      <c r="Q122" s="21"/>
      <c r="R122" s="23"/>
      <c r="S122" s="50"/>
      <c r="T122" s="48"/>
      <c r="U122" s="82"/>
      <c r="V122" s="26"/>
      <c r="W122" s="200"/>
      <c r="X122" s="17"/>
    </row>
    <row r="123" spans="2:24" x14ac:dyDescent="0.25">
      <c r="B123" s="17">
        <v>121</v>
      </c>
      <c r="C123" s="10"/>
      <c r="D123" s="10"/>
      <c r="E123" s="72"/>
      <c r="F123" s="18"/>
      <c r="G123" s="10"/>
      <c r="H123" s="10"/>
      <c r="I123" s="10"/>
      <c r="J123" s="11"/>
      <c r="K123" s="11">
        <f t="shared" si="163"/>
        <v>0</v>
      </c>
      <c r="L123" s="37">
        <f t="shared" si="164"/>
        <v>0</v>
      </c>
      <c r="M123" s="11"/>
      <c r="N123" s="10"/>
      <c r="O123" s="21"/>
      <c r="P123" s="21"/>
      <c r="Q123" s="21"/>
      <c r="R123" s="23"/>
      <c r="S123" s="50"/>
      <c r="T123" s="48"/>
      <c r="U123" s="82"/>
      <c r="V123" s="26"/>
      <c r="W123" s="200"/>
      <c r="X123" s="17"/>
    </row>
    <row r="124" spans="2:24" x14ac:dyDescent="0.25">
      <c r="B124" s="17">
        <v>122</v>
      </c>
      <c r="C124" s="10"/>
      <c r="D124" s="10"/>
      <c r="E124" s="72"/>
      <c r="F124" s="18"/>
      <c r="G124" s="10"/>
      <c r="H124" s="10"/>
      <c r="I124" s="10"/>
      <c r="J124" s="11"/>
      <c r="K124" s="11">
        <f t="shared" si="163"/>
        <v>0</v>
      </c>
      <c r="L124" s="37">
        <f t="shared" si="164"/>
        <v>0</v>
      </c>
      <c r="M124" s="11"/>
      <c r="N124" s="10"/>
      <c r="O124" s="21"/>
      <c r="P124" s="21"/>
      <c r="Q124" s="21"/>
      <c r="R124" s="23"/>
      <c r="S124" s="50"/>
      <c r="T124" s="48"/>
      <c r="U124" s="82"/>
      <c r="V124" s="26"/>
      <c r="W124" s="200"/>
      <c r="X124" s="17"/>
    </row>
    <row r="125" spans="2:24" x14ac:dyDescent="0.25">
      <c r="B125" s="17">
        <v>123</v>
      </c>
      <c r="C125" s="10"/>
      <c r="D125" s="10"/>
      <c r="E125" s="72"/>
      <c r="F125" s="18"/>
      <c r="G125" s="10"/>
      <c r="H125" s="10"/>
      <c r="I125" s="10"/>
      <c r="J125" s="11"/>
      <c r="K125" s="11">
        <f t="shared" si="163"/>
        <v>0</v>
      </c>
      <c r="L125" s="37">
        <f t="shared" si="164"/>
        <v>0</v>
      </c>
      <c r="M125" s="11"/>
      <c r="N125" s="10"/>
      <c r="O125" s="21"/>
      <c r="P125" s="21"/>
      <c r="Q125" s="21"/>
      <c r="R125" s="23"/>
      <c r="S125" s="50"/>
      <c r="T125" s="48"/>
      <c r="U125" s="82"/>
      <c r="V125" s="26"/>
      <c r="W125" s="200"/>
      <c r="X125" s="17"/>
    </row>
    <row r="126" spans="2:24" x14ac:dyDescent="0.25">
      <c r="B126" s="17">
        <v>124</v>
      </c>
      <c r="C126" s="10"/>
      <c r="D126" s="10"/>
      <c r="E126" s="72"/>
      <c r="F126" s="18"/>
      <c r="G126" s="10"/>
      <c r="H126" s="10"/>
      <c r="I126" s="10"/>
      <c r="J126" s="11"/>
      <c r="K126" s="11">
        <f t="shared" si="163"/>
        <v>0</v>
      </c>
      <c r="L126" s="37">
        <f t="shared" si="164"/>
        <v>0</v>
      </c>
      <c r="M126" s="11"/>
      <c r="N126" s="10"/>
      <c r="O126" s="21"/>
      <c r="P126" s="21"/>
      <c r="Q126" s="21"/>
      <c r="R126" s="23"/>
      <c r="S126" s="50"/>
      <c r="T126" s="48"/>
      <c r="U126" s="82"/>
      <c r="V126" s="32"/>
      <c r="W126" s="200"/>
      <c r="X126" s="17"/>
    </row>
    <row r="127" spans="2:24" x14ac:dyDescent="0.25">
      <c r="B127" s="17">
        <v>125</v>
      </c>
      <c r="C127" s="10"/>
      <c r="D127" s="10"/>
      <c r="E127" s="72"/>
      <c r="F127" s="18"/>
      <c r="G127" s="10"/>
      <c r="H127" s="10"/>
      <c r="I127" s="10"/>
      <c r="J127" s="11"/>
      <c r="K127" s="11">
        <f t="shared" si="163"/>
        <v>0</v>
      </c>
      <c r="L127" s="37">
        <f t="shared" si="164"/>
        <v>0</v>
      </c>
      <c r="M127" s="11"/>
      <c r="N127" s="10"/>
      <c r="O127" s="21"/>
      <c r="P127" s="21"/>
      <c r="Q127" s="21"/>
      <c r="R127" s="23"/>
      <c r="S127" s="50"/>
      <c r="T127" s="48"/>
      <c r="U127" s="82"/>
      <c r="V127" s="32"/>
      <c r="W127" s="200"/>
      <c r="X127" s="17"/>
    </row>
    <row r="128" spans="2:24" x14ac:dyDescent="0.25">
      <c r="B128" s="17">
        <v>126</v>
      </c>
      <c r="C128" s="10"/>
      <c r="D128" s="10"/>
      <c r="E128" s="72"/>
      <c r="F128" s="18"/>
      <c r="G128" s="10"/>
      <c r="H128" s="10"/>
      <c r="I128" s="10"/>
      <c r="J128" s="11"/>
      <c r="K128" s="11">
        <f t="shared" si="163"/>
        <v>0</v>
      </c>
      <c r="L128" s="37">
        <f t="shared" si="164"/>
        <v>0</v>
      </c>
      <c r="M128" s="11"/>
      <c r="N128" s="10"/>
      <c r="O128" s="21"/>
      <c r="P128" s="21"/>
      <c r="Q128" s="21"/>
      <c r="R128" s="23"/>
      <c r="S128" s="50"/>
      <c r="T128" s="48"/>
      <c r="U128" s="82"/>
      <c r="V128" s="26"/>
      <c r="W128" s="200"/>
      <c r="X128" s="17"/>
    </row>
    <row r="129" spans="2:24" x14ac:dyDescent="0.25">
      <c r="B129" s="17">
        <v>127</v>
      </c>
      <c r="C129" s="10"/>
      <c r="D129" s="10"/>
      <c r="E129" s="72"/>
      <c r="F129" s="18"/>
      <c r="G129" s="10"/>
      <c r="H129" s="10"/>
      <c r="I129" s="10"/>
      <c r="J129" s="11"/>
      <c r="K129" s="11">
        <f t="shared" si="163"/>
        <v>0</v>
      </c>
      <c r="L129" s="37">
        <f t="shared" si="164"/>
        <v>0</v>
      </c>
      <c r="M129" s="11"/>
      <c r="N129" s="10"/>
      <c r="O129" s="21"/>
      <c r="P129" s="21"/>
      <c r="Q129" s="21"/>
      <c r="R129" s="23"/>
      <c r="S129" s="50"/>
      <c r="T129" s="48"/>
      <c r="U129" s="82"/>
      <c r="V129" s="26"/>
      <c r="W129" s="200"/>
      <c r="X129" s="17"/>
    </row>
    <row r="130" spans="2:24" x14ac:dyDescent="0.25">
      <c r="B130" s="17">
        <v>128</v>
      </c>
      <c r="C130" s="10"/>
      <c r="D130" s="10"/>
      <c r="E130" s="72"/>
      <c r="F130" s="18"/>
      <c r="G130" s="10"/>
      <c r="H130" s="10"/>
      <c r="I130" s="10"/>
      <c r="J130" s="11"/>
      <c r="K130" s="11">
        <f t="shared" si="163"/>
        <v>0</v>
      </c>
      <c r="L130" s="37">
        <f t="shared" si="164"/>
        <v>0</v>
      </c>
      <c r="M130" s="11"/>
      <c r="N130" s="10"/>
      <c r="O130" s="21"/>
      <c r="P130" s="21"/>
      <c r="Q130" s="21"/>
      <c r="R130" s="23"/>
      <c r="S130" s="50"/>
      <c r="T130" s="48"/>
      <c r="U130" s="82"/>
      <c r="V130" s="26"/>
      <c r="W130" s="200"/>
      <c r="X130" s="17"/>
    </row>
    <row r="131" spans="2:24" x14ac:dyDescent="0.25">
      <c r="B131" s="17">
        <v>129</v>
      </c>
      <c r="C131" s="10"/>
      <c r="D131" s="10"/>
      <c r="E131" s="72"/>
      <c r="F131" s="18"/>
      <c r="G131" s="10"/>
      <c r="H131" s="10"/>
      <c r="I131" s="10"/>
      <c r="J131" s="11"/>
      <c r="K131" s="11">
        <f t="shared" si="163"/>
        <v>0</v>
      </c>
      <c r="L131" s="37">
        <f t="shared" si="164"/>
        <v>0</v>
      </c>
      <c r="M131" s="11"/>
      <c r="N131" s="10"/>
      <c r="O131" s="21"/>
      <c r="P131" s="21"/>
      <c r="Q131" s="21"/>
      <c r="R131" s="23"/>
      <c r="S131" s="50"/>
      <c r="T131" s="48"/>
      <c r="U131" s="82"/>
      <c r="V131" s="26"/>
      <c r="W131" s="200"/>
      <c r="X131" s="17"/>
    </row>
    <row r="132" spans="2:24" x14ac:dyDescent="0.25">
      <c r="B132" s="17">
        <v>130</v>
      </c>
      <c r="C132" s="10"/>
      <c r="D132" s="10"/>
      <c r="E132" s="72"/>
      <c r="F132" s="18"/>
      <c r="G132" s="10"/>
      <c r="H132" s="10"/>
      <c r="I132" s="10"/>
      <c r="J132" s="11"/>
      <c r="K132" s="11">
        <f t="shared" ref="K132:K195" si="195">J132*1.1</f>
        <v>0</v>
      </c>
      <c r="L132" s="37">
        <f t="shared" ref="L132:L195" si="196">J132*0.00000001</f>
        <v>0</v>
      </c>
      <c r="M132" s="11"/>
      <c r="N132" s="10"/>
      <c r="O132" s="21"/>
      <c r="P132" s="21"/>
      <c r="Q132" s="21"/>
      <c r="R132" s="23"/>
      <c r="S132" s="50"/>
      <c r="T132" s="48"/>
      <c r="U132" s="82"/>
      <c r="V132" s="26"/>
      <c r="W132" s="200"/>
      <c r="X132" s="17"/>
    </row>
    <row r="133" spans="2:24" x14ac:dyDescent="0.25">
      <c r="B133" s="17">
        <v>131</v>
      </c>
      <c r="C133" s="10"/>
      <c r="D133" s="10"/>
      <c r="E133" s="72"/>
      <c r="F133" s="18"/>
      <c r="G133" s="10"/>
      <c r="H133" s="10"/>
      <c r="I133" s="10"/>
      <c r="J133" s="11"/>
      <c r="K133" s="11">
        <f t="shared" si="195"/>
        <v>0</v>
      </c>
      <c r="L133" s="37">
        <f t="shared" si="196"/>
        <v>0</v>
      </c>
      <c r="M133" s="11"/>
      <c r="N133" s="10"/>
      <c r="O133" s="21"/>
      <c r="P133" s="21"/>
      <c r="Q133" s="21"/>
      <c r="R133" s="23"/>
      <c r="S133" s="50"/>
      <c r="T133" s="48"/>
      <c r="U133" s="82"/>
      <c r="V133" s="32"/>
      <c r="W133" s="200"/>
      <c r="X133" s="17"/>
    </row>
    <row r="134" spans="2:24" x14ac:dyDescent="0.25">
      <c r="B134" s="17">
        <v>132</v>
      </c>
      <c r="C134" s="10"/>
      <c r="D134" s="10"/>
      <c r="E134" s="72"/>
      <c r="F134" s="18"/>
      <c r="G134" s="10"/>
      <c r="H134" s="10"/>
      <c r="I134" s="10"/>
      <c r="J134" s="11"/>
      <c r="K134" s="11">
        <f t="shared" si="195"/>
        <v>0</v>
      </c>
      <c r="L134" s="37">
        <f t="shared" si="196"/>
        <v>0</v>
      </c>
      <c r="M134" s="11"/>
      <c r="N134" s="10"/>
      <c r="O134" s="21"/>
      <c r="P134" s="21"/>
      <c r="Q134" s="21"/>
      <c r="R134" s="23"/>
      <c r="S134" s="50"/>
      <c r="T134" s="48"/>
      <c r="U134" s="82"/>
      <c r="V134" s="32"/>
      <c r="W134" s="200"/>
      <c r="X134" s="17"/>
    </row>
    <row r="135" spans="2:24" x14ac:dyDescent="0.25">
      <c r="B135" s="17">
        <v>133</v>
      </c>
      <c r="C135" s="10"/>
      <c r="D135" s="10"/>
      <c r="E135" s="72"/>
      <c r="F135" s="18"/>
      <c r="G135" s="10"/>
      <c r="H135" s="10"/>
      <c r="I135" s="10"/>
      <c r="J135" s="11"/>
      <c r="K135" s="11">
        <f t="shared" si="195"/>
        <v>0</v>
      </c>
      <c r="L135" s="37">
        <f t="shared" si="196"/>
        <v>0</v>
      </c>
      <c r="M135" s="11"/>
      <c r="N135" s="10"/>
      <c r="O135" s="21"/>
      <c r="P135" s="21"/>
      <c r="Q135" s="21"/>
      <c r="R135" s="23"/>
      <c r="S135" s="50"/>
      <c r="T135" s="48"/>
      <c r="U135" s="82"/>
      <c r="V135" s="32"/>
      <c r="W135" s="200"/>
      <c r="X135" s="17"/>
    </row>
    <row r="136" spans="2:24" x14ac:dyDescent="0.25">
      <c r="B136" s="17">
        <v>134</v>
      </c>
      <c r="C136" s="10"/>
      <c r="D136" s="10"/>
      <c r="E136" s="72"/>
      <c r="F136" s="18"/>
      <c r="G136" s="10"/>
      <c r="H136" s="10"/>
      <c r="I136" s="10"/>
      <c r="J136" s="11"/>
      <c r="K136" s="11">
        <f t="shared" si="195"/>
        <v>0</v>
      </c>
      <c r="L136" s="37">
        <f t="shared" si="196"/>
        <v>0</v>
      </c>
      <c r="M136" s="11"/>
      <c r="N136" s="10"/>
      <c r="O136" s="21"/>
      <c r="P136" s="21"/>
      <c r="Q136" s="21"/>
      <c r="R136" s="23"/>
      <c r="S136" s="50"/>
      <c r="T136" s="48"/>
      <c r="U136" s="82"/>
      <c r="V136" s="32"/>
      <c r="W136" s="200"/>
      <c r="X136" s="17"/>
    </row>
    <row r="137" spans="2:24" x14ac:dyDescent="0.25">
      <c r="B137" s="17">
        <v>135</v>
      </c>
      <c r="C137" s="10"/>
      <c r="D137" s="10"/>
      <c r="E137" s="72"/>
      <c r="F137" s="18"/>
      <c r="G137" s="10"/>
      <c r="H137" s="10"/>
      <c r="I137" s="10"/>
      <c r="J137" s="11"/>
      <c r="K137" s="11">
        <f t="shared" si="195"/>
        <v>0</v>
      </c>
      <c r="L137" s="37">
        <f t="shared" si="196"/>
        <v>0</v>
      </c>
      <c r="M137" s="11"/>
      <c r="N137" s="10"/>
      <c r="O137" s="21"/>
      <c r="P137" s="21"/>
      <c r="Q137" s="21"/>
      <c r="R137" s="23"/>
      <c r="S137" s="50"/>
      <c r="T137" s="48"/>
      <c r="U137" s="82"/>
      <c r="V137" s="26"/>
      <c r="W137" s="200"/>
      <c r="X137" s="17"/>
    </row>
    <row r="138" spans="2:24" x14ac:dyDescent="0.25">
      <c r="B138" s="17">
        <v>136</v>
      </c>
      <c r="C138" s="10"/>
      <c r="D138" s="10"/>
      <c r="E138" s="72"/>
      <c r="F138" s="18"/>
      <c r="G138" s="10"/>
      <c r="H138" s="10"/>
      <c r="I138" s="10"/>
      <c r="J138" s="11"/>
      <c r="K138" s="11">
        <f t="shared" si="195"/>
        <v>0</v>
      </c>
      <c r="L138" s="37">
        <f t="shared" si="196"/>
        <v>0</v>
      </c>
      <c r="M138" s="11"/>
      <c r="N138" s="10"/>
      <c r="O138" s="21"/>
      <c r="P138" s="21"/>
      <c r="Q138" s="21"/>
      <c r="R138" s="23"/>
      <c r="S138" s="50"/>
      <c r="T138" s="48"/>
      <c r="U138" s="82"/>
      <c r="V138" s="26"/>
      <c r="W138" s="200"/>
      <c r="X138" s="17"/>
    </row>
    <row r="139" spans="2:24" x14ac:dyDescent="0.25">
      <c r="B139" s="17">
        <v>137</v>
      </c>
      <c r="C139" s="10"/>
      <c r="D139" s="10"/>
      <c r="E139" s="72"/>
      <c r="F139" s="18"/>
      <c r="G139" s="10"/>
      <c r="H139" s="10"/>
      <c r="I139" s="10"/>
      <c r="J139" s="11"/>
      <c r="K139" s="11">
        <f t="shared" si="195"/>
        <v>0</v>
      </c>
      <c r="L139" s="37">
        <f t="shared" si="196"/>
        <v>0</v>
      </c>
      <c r="M139" s="11"/>
      <c r="N139" s="10"/>
      <c r="O139" s="21"/>
      <c r="P139" s="21"/>
      <c r="Q139" s="21"/>
      <c r="R139" s="23"/>
      <c r="S139" s="50"/>
      <c r="T139" s="48"/>
      <c r="U139" s="82"/>
      <c r="V139" s="26"/>
      <c r="W139" s="200"/>
      <c r="X139" s="17"/>
    </row>
    <row r="140" spans="2:24" x14ac:dyDescent="0.25">
      <c r="B140" s="17">
        <v>138</v>
      </c>
      <c r="C140" s="10"/>
      <c r="D140" s="10"/>
      <c r="E140" s="72"/>
      <c r="F140" s="18"/>
      <c r="G140" s="10"/>
      <c r="H140" s="10"/>
      <c r="I140" s="10"/>
      <c r="J140" s="11"/>
      <c r="K140" s="11">
        <f t="shared" si="195"/>
        <v>0</v>
      </c>
      <c r="L140" s="37">
        <f t="shared" si="196"/>
        <v>0</v>
      </c>
      <c r="M140" s="11"/>
      <c r="N140" s="10"/>
      <c r="O140" s="21"/>
      <c r="P140" s="21"/>
      <c r="Q140" s="21"/>
      <c r="R140" s="23"/>
      <c r="S140" s="50"/>
      <c r="T140" s="48"/>
      <c r="U140" s="82"/>
      <c r="V140" s="26"/>
      <c r="W140" s="200"/>
      <c r="X140" s="17"/>
    </row>
    <row r="141" spans="2:24" x14ac:dyDescent="0.25">
      <c r="B141" s="17">
        <v>139</v>
      </c>
      <c r="C141" s="10"/>
      <c r="D141" s="10"/>
      <c r="E141" s="72"/>
      <c r="F141" s="18"/>
      <c r="G141" s="10"/>
      <c r="H141" s="10"/>
      <c r="I141" s="10"/>
      <c r="J141" s="11"/>
      <c r="K141" s="11">
        <f t="shared" si="195"/>
        <v>0</v>
      </c>
      <c r="L141" s="37">
        <f t="shared" si="196"/>
        <v>0</v>
      </c>
      <c r="M141" s="11"/>
      <c r="N141" s="10"/>
      <c r="O141" s="21"/>
      <c r="P141" s="21"/>
      <c r="Q141" s="21"/>
      <c r="R141" s="23"/>
      <c r="S141" s="50"/>
      <c r="T141" s="48"/>
      <c r="U141" s="82"/>
      <c r="V141" s="26"/>
      <c r="W141" s="200"/>
      <c r="X141" s="17"/>
    </row>
    <row r="142" spans="2:24" x14ac:dyDescent="0.25">
      <c r="B142" s="17">
        <v>140</v>
      </c>
      <c r="C142" s="10"/>
      <c r="D142" s="10"/>
      <c r="E142" s="72"/>
      <c r="F142" s="18"/>
      <c r="G142" s="10"/>
      <c r="H142" s="10"/>
      <c r="I142" s="10"/>
      <c r="J142" s="11"/>
      <c r="K142" s="11">
        <f t="shared" si="195"/>
        <v>0</v>
      </c>
      <c r="L142" s="37">
        <f t="shared" si="196"/>
        <v>0</v>
      </c>
      <c r="M142" s="11"/>
      <c r="N142" s="10"/>
      <c r="O142" s="21"/>
      <c r="P142" s="21"/>
      <c r="Q142" s="21"/>
      <c r="R142" s="23"/>
      <c r="S142" s="50"/>
      <c r="T142" s="48"/>
      <c r="U142" s="82"/>
      <c r="V142" s="32"/>
      <c r="W142" s="200"/>
      <c r="X142" s="17"/>
    </row>
    <row r="143" spans="2:24" x14ac:dyDescent="0.25">
      <c r="B143" s="17">
        <v>141</v>
      </c>
      <c r="C143" s="10"/>
      <c r="D143" s="10"/>
      <c r="E143" s="72"/>
      <c r="F143" s="18"/>
      <c r="G143" s="10"/>
      <c r="H143" s="10"/>
      <c r="I143" s="10"/>
      <c r="J143" s="11"/>
      <c r="K143" s="11">
        <f t="shared" si="195"/>
        <v>0</v>
      </c>
      <c r="L143" s="37">
        <f t="shared" si="196"/>
        <v>0</v>
      </c>
      <c r="M143" s="11"/>
      <c r="N143" s="10"/>
      <c r="O143" s="21"/>
      <c r="P143" s="21"/>
      <c r="Q143" s="21"/>
      <c r="R143" s="23"/>
      <c r="S143" s="50"/>
      <c r="T143" s="48"/>
      <c r="U143" s="82"/>
      <c r="V143" s="32"/>
      <c r="W143" s="200"/>
      <c r="X143" s="17"/>
    </row>
    <row r="144" spans="2:24" x14ac:dyDescent="0.25">
      <c r="B144" s="17">
        <v>142</v>
      </c>
      <c r="C144" s="10"/>
      <c r="D144" s="10"/>
      <c r="E144" s="72"/>
      <c r="F144" s="18"/>
      <c r="G144" s="10"/>
      <c r="H144" s="10"/>
      <c r="I144" s="10"/>
      <c r="J144" s="11"/>
      <c r="K144" s="11">
        <f t="shared" si="195"/>
        <v>0</v>
      </c>
      <c r="L144" s="37">
        <f t="shared" si="196"/>
        <v>0</v>
      </c>
      <c r="M144" s="11"/>
      <c r="N144" s="10"/>
      <c r="O144" s="21"/>
      <c r="P144" s="21"/>
      <c r="Q144" s="21"/>
      <c r="R144" s="23"/>
      <c r="S144" s="50"/>
      <c r="T144" s="48"/>
      <c r="U144" s="82"/>
      <c r="V144" s="26"/>
      <c r="W144" s="200"/>
      <c r="X144" s="17"/>
    </row>
    <row r="145" spans="2:24" x14ac:dyDescent="0.25">
      <c r="B145" s="17">
        <v>143</v>
      </c>
      <c r="C145" s="10"/>
      <c r="D145" s="10"/>
      <c r="E145" s="72"/>
      <c r="F145" s="18"/>
      <c r="G145" s="10"/>
      <c r="H145" s="10"/>
      <c r="I145" s="10"/>
      <c r="J145" s="11"/>
      <c r="K145" s="11">
        <f t="shared" si="195"/>
        <v>0</v>
      </c>
      <c r="L145" s="37">
        <f t="shared" si="196"/>
        <v>0</v>
      </c>
      <c r="M145" s="11"/>
      <c r="N145" s="10"/>
      <c r="O145" s="21"/>
      <c r="P145" s="21"/>
      <c r="Q145" s="21"/>
      <c r="R145" s="23"/>
      <c r="S145" s="50"/>
      <c r="T145" s="48"/>
      <c r="U145" s="82"/>
      <c r="V145" s="26"/>
      <c r="W145" s="200"/>
      <c r="X145" s="17"/>
    </row>
    <row r="146" spans="2:24" x14ac:dyDescent="0.25">
      <c r="B146" s="17">
        <v>144</v>
      </c>
      <c r="C146" s="10"/>
      <c r="D146" s="10"/>
      <c r="E146" s="72"/>
      <c r="F146" s="18"/>
      <c r="G146" s="10"/>
      <c r="H146" s="10"/>
      <c r="I146" s="10"/>
      <c r="J146" s="11"/>
      <c r="K146" s="11">
        <f t="shared" si="195"/>
        <v>0</v>
      </c>
      <c r="L146" s="37">
        <f t="shared" si="196"/>
        <v>0</v>
      </c>
      <c r="M146" s="11"/>
      <c r="N146" s="10"/>
      <c r="O146" s="21"/>
      <c r="P146" s="21"/>
      <c r="Q146" s="21"/>
      <c r="R146" s="23"/>
      <c r="S146" s="50"/>
      <c r="T146" s="48"/>
      <c r="U146" s="82"/>
      <c r="V146" s="26"/>
      <c r="W146" s="200"/>
      <c r="X146" s="17"/>
    </row>
    <row r="147" spans="2:24" x14ac:dyDescent="0.25">
      <c r="B147" s="17">
        <v>145</v>
      </c>
      <c r="C147" s="10"/>
      <c r="D147" s="10"/>
      <c r="E147" s="72"/>
      <c r="F147" s="18"/>
      <c r="G147" s="10"/>
      <c r="H147" s="10"/>
      <c r="I147" s="10"/>
      <c r="J147" s="11"/>
      <c r="K147" s="11">
        <f t="shared" si="195"/>
        <v>0</v>
      </c>
      <c r="L147" s="37">
        <f t="shared" si="196"/>
        <v>0</v>
      </c>
      <c r="M147" s="11"/>
      <c r="N147" s="10"/>
      <c r="O147" s="21"/>
      <c r="P147" s="21"/>
      <c r="Q147" s="21"/>
      <c r="R147" s="23"/>
      <c r="S147" s="50"/>
      <c r="T147" s="48"/>
      <c r="U147" s="82"/>
      <c r="V147" s="26"/>
      <c r="W147" s="200"/>
      <c r="X147" s="17"/>
    </row>
    <row r="148" spans="2:24" x14ac:dyDescent="0.25">
      <c r="B148" s="17">
        <v>146</v>
      </c>
      <c r="C148" s="10"/>
      <c r="D148" s="10"/>
      <c r="E148" s="72"/>
      <c r="F148" s="18"/>
      <c r="G148" s="10"/>
      <c r="H148" s="10"/>
      <c r="I148" s="10"/>
      <c r="J148" s="11"/>
      <c r="K148" s="11">
        <f t="shared" si="195"/>
        <v>0</v>
      </c>
      <c r="L148" s="37">
        <f t="shared" si="196"/>
        <v>0</v>
      </c>
      <c r="M148" s="11"/>
      <c r="N148" s="10"/>
      <c r="O148" s="21"/>
      <c r="P148" s="21"/>
      <c r="Q148" s="21"/>
      <c r="R148" s="23"/>
      <c r="S148" s="50"/>
      <c r="T148" s="48"/>
      <c r="U148" s="82"/>
      <c r="V148" s="32"/>
      <c r="W148" s="200"/>
      <c r="X148" s="17"/>
    </row>
    <row r="149" spans="2:24" x14ac:dyDescent="0.25">
      <c r="B149" s="17">
        <v>147</v>
      </c>
      <c r="C149" s="10"/>
      <c r="D149" s="10"/>
      <c r="E149" s="72"/>
      <c r="F149" s="18"/>
      <c r="G149" s="10"/>
      <c r="H149" s="10"/>
      <c r="I149" s="10"/>
      <c r="J149" s="11"/>
      <c r="K149" s="11">
        <f t="shared" si="195"/>
        <v>0</v>
      </c>
      <c r="L149" s="37">
        <f t="shared" si="196"/>
        <v>0</v>
      </c>
      <c r="M149" s="11"/>
      <c r="N149" s="10"/>
      <c r="O149" s="21"/>
      <c r="P149" s="21"/>
      <c r="Q149" s="21"/>
      <c r="R149" s="23"/>
      <c r="S149" s="50"/>
      <c r="T149" s="48"/>
      <c r="U149" s="82"/>
      <c r="V149" s="32"/>
      <c r="W149" s="200"/>
      <c r="X149" s="17"/>
    </row>
    <row r="150" spans="2:24" x14ac:dyDescent="0.25">
      <c r="B150" s="17">
        <v>148</v>
      </c>
      <c r="C150" s="10"/>
      <c r="D150" s="10"/>
      <c r="E150" s="72"/>
      <c r="F150" s="18"/>
      <c r="G150" s="10"/>
      <c r="H150" s="10"/>
      <c r="I150" s="10"/>
      <c r="J150" s="11"/>
      <c r="K150" s="11">
        <f t="shared" si="195"/>
        <v>0</v>
      </c>
      <c r="L150" s="37">
        <f t="shared" si="196"/>
        <v>0</v>
      </c>
      <c r="M150" s="11"/>
      <c r="N150" s="10"/>
      <c r="O150" s="21"/>
      <c r="P150" s="21"/>
      <c r="Q150" s="21"/>
      <c r="R150" s="23"/>
      <c r="S150" s="50"/>
      <c r="T150" s="48"/>
      <c r="U150" s="82"/>
      <c r="V150" s="26"/>
      <c r="W150" s="200"/>
      <c r="X150" s="17"/>
    </row>
    <row r="151" spans="2:24" x14ac:dyDescent="0.25">
      <c r="B151" s="17">
        <v>149</v>
      </c>
      <c r="C151" s="10"/>
      <c r="D151" s="10"/>
      <c r="E151" s="72"/>
      <c r="F151" s="18"/>
      <c r="G151" s="10"/>
      <c r="H151" s="10"/>
      <c r="I151" s="10"/>
      <c r="J151" s="11"/>
      <c r="K151" s="11">
        <f t="shared" si="195"/>
        <v>0</v>
      </c>
      <c r="L151" s="37">
        <f t="shared" si="196"/>
        <v>0</v>
      </c>
      <c r="M151" s="11"/>
      <c r="N151" s="10"/>
      <c r="O151" s="21"/>
      <c r="P151" s="21"/>
      <c r="Q151" s="21"/>
      <c r="R151" s="23"/>
      <c r="S151" s="50"/>
      <c r="T151" s="48"/>
      <c r="U151" s="82"/>
      <c r="V151" s="26"/>
      <c r="W151" s="200"/>
      <c r="X151" s="17"/>
    </row>
    <row r="152" spans="2:24" x14ac:dyDescent="0.25">
      <c r="B152" s="17">
        <v>150</v>
      </c>
      <c r="C152" s="10"/>
      <c r="D152" s="10"/>
      <c r="E152" s="72"/>
      <c r="F152" s="18"/>
      <c r="G152" s="10"/>
      <c r="H152" s="10"/>
      <c r="I152" s="10"/>
      <c r="J152" s="11"/>
      <c r="K152" s="11">
        <f t="shared" si="195"/>
        <v>0</v>
      </c>
      <c r="L152" s="37">
        <f t="shared" si="196"/>
        <v>0</v>
      </c>
      <c r="M152" s="11"/>
      <c r="N152" s="10"/>
      <c r="O152" s="21"/>
      <c r="P152" s="21"/>
      <c r="Q152" s="21"/>
      <c r="R152" s="23"/>
      <c r="S152" s="50"/>
      <c r="T152" s="48"/>
      <c r="U152" s="82"/>
      <c r="V152" s="26"/>
      <c r="W152" s="200"/>
      <c r="X152" s="17"/>
    </row>
    <row r="153" spans="2:24" x14ac:dyDescent="0.25">
      <c r="B153" s="17">
        <v>151</v>
      </c>
      <c r="C153" s="10"/>
      <c r="D153" s="10"/>
      <c r="E153" s="72"/>
      <c r="F153" s="18"/>
      <c r="G153" s="10"/>
      <c r="H153" s="10"/>
      <c r="I153" s="10"/>
      <c r="J153" s="11"/>
      <c r="K153" s="11">
        <f t="shared" si="195"/>
        <v>0</v>
      </c>
      <c r="L153" s="37">
        <f t="shared" si="196"/>
        <v>0</v>
      </c>
      <c r="M153" s="11"/>
      <c r="N153" s="10"/>
      <c r="O153" s="21"/>
      <c r="P153" s="21"/>
      <c r="Q153" s="21"/>
      <c r="R153" s="23"/>
      <c r="S153" s="50"/>
      <c r="T153" s="48"/>
      <c r="U153" s="82"/>
      <c r="V153" s="26"/>
      <c r="W153" s="200"/>
      <c r="X153" s="17"/>
    </row>
    <row r="154" spans="2:24" x14ac:dyDescent="0.25">
      <c r="B154" s="17">
        <v>152</v>
      </c>
      <c r="C154" s="10"/>
      <c r="D154" s="10"/>
      <c r="E154" s="72"/>
      <c r="F154" s="18"/>
      <c r="G154" s="10"/>
      <c r="H154" s="10"/>
      <c r="I154" s="10"/>
      <c r="J154" s="11"/>
      <c r="K154" s="11">
        <f t="shared" si="195"/>
        <v>0</v>
      </c>
      <c r="L154" s="37">
        <f t="shared" si="196"/>
        <v>0</v>
      </c>
      <c r="M154" s="11"/>
      <c r="N154" s="10"/>
      <c r="O154" s="21"/>
      <c r="P154" s="21"/>
      <c r="Q154" s="21"/>
      <c r="R154" s="23"/>
      <c r="S154" s="50"/>
      <c r="T154" s="48"/>
      <c r="U154" s="82"/>
      <c r="V154" s="26"/>
      <c r="W154" s="200"/>
      <c r="X154" s="17"/>
    </row>
    <row r="155" spans="2:24" x14ac:dyDescent="0.25">
      <c r="B155" s="17">
        <v>153</v>
      </c>
      <c r="C155" s="10"/>
      <c r="D155" s="10"/>
      <c r="E155" s="72"/>
      <c r="F155" s="18"/>
      <c r="G155" s="10"/>
      <c r="H155" s="10"/>
      <c r="I155" s="10"/>
      <c r="J155" s="11"/>
      <c r="K155" s="11">
        <f t="shared" si="195"/>
        <v>0</v>
      </c>
      <c r="L155" s="37">
        <f t="shared" si="196"/>
        <v>0</v>
      </c>
      <c r="M155" s="11"/>
      <c r="N155" s="10"/>
      <c r="O155" s="21"/>
      <c r="P155" s="21"/>
      <c r="Q155" s="21"/>
      <c r="R155" s="23"/>
      <c r="S155" s="50"/>
      <c r="T155" s="48"/>
      <c r="U155" s="82"/>
      <c r="V155" s="32"/>
      <c r="W155" s="200"/>
      <c r="X155" s="17"/>
    </row>
    <row r="156" spans="2:24" x14ac:dyDescent="0.25">
      <c r="B156" s="17">
        <v>154</v>
      </c>
      <c r="C156" s="10"/>
      <c r="D156" s="10"/>
      <c r="E156" s="72"/>
      <c r="F156" s="18"/>
      <c r="G156" s="10"/>
      <c r="H156" s="10"/>
      <c r="I156" s="10"/>
      <c r="J156" s="11"/>
      <c r="K156" s="11">
        <f t="shared" si="195"/>
        <v>0</v>
      </c>
      <c r="L156" s="37">
        <f t="shared" si="196"/>
        <v>0</v>
      </c>
      <c r="M156" s="11"/>
      <c r="N156" s="10"/>
      <c r="O156" s="21"/>
      <c r="P156" s="21"/>
      <c r="Q156" s="21"/>
      <c r="R156" s="23"/>
      <c r="S156" s="50"/>
      <c r="T156" s="48"/>
      <c r="U156" s="82"/>
      <c r="V156" s="32"/>
      <c r="W156" s="200"/>
      <c r="X156" s="17"/>
    </row>
    <row r="157" spans="2:24" x14ac:dyDescent="0.25">
      <c r="B157" s="17">
        <v>155</v>
      </c>
      <c r="C157" s="10"/>
      <c r="D157" s="10"/>
      <c r="E157" s="72"/>
      <c r="F157" s="18"/>
      <c r="G157" s="10"/>
      <c r="H157" s="10"/>
      <c r="I157" s="10"/>
      <c r="J157" s="11"/>
      <c r="K157" s="11">
        <f t="shared" si="195"/>
        <v>0</v>
      </c>
      <c r="L157" s="37">
        <f t="shared" si="196"/>
        <v>0</v>
      </c>
      <c r="M157" s="11"/>
      <c r="N157" s="10"/>
      <c r="O157" s="21"/>
      <c r="P157" s="21"/>
      <c r="Q157" s="21"/>
      <c r="R157" s="23"/>
      <c r="S157" s="50"/>
      <c r="T157" s="48"/>
      <c r="U157" s="82"/>
      <c r="V157" s="26"/>
      <c r="W157" s="200"/>
      <c r="X157" s="17"/>
    </row>
    <row r="158" spans="2:24" x14ac:dyDescent="0.25">
      <c r="B158" s="17">
        <v>156</v>
      </c>
      <c r="C158" s="10"/>
      <c r="D158" s="10"/>
      <c r="E158" s="72"/>
      <c r="F158" s="18"/>
      <c r="G158" s="10"/>
      <c r="H158" s="10"/>
      <c r="I158" s="10"/>
      <c r="J158" s="11"/>
      <c r="K158" s="11">
        <f t="shared" si="195"/>
        <v>0</v>
      </c>
      <c r="L158" s="37">
        <f t="shared" si="196"/>
        <v>0</v>
      </c>
      <c r="M158" s="11"/>
      <c r="N158" s="10"/>
      <c r="O158" s="21"/>
      <c r="P158" s="21"/>
      <c r="Q158" s="21"/>
      <c r="R158" s="23"/>
      <c r="S158" s="50"/>
      <c r="T158" s="48"/>
      <c r="U158" s="82"/>
      <c r="V158" s="26"/>
      <c r="W158" s="200"/>
      <c r="X158" s="17"/>
    </row>
    <row r="159" spans="2:24" x14ac:dyDescent="0.25">
      <c r="B159" s="17">
        <v>157</v>
      </c>
      <c r="C159" s="10"/>
      <c r="D159" s="10"/>
      <c r="E159" s="72"/>
      <c r="F159" s="18"/>
      <c r="G159" s="10"/>
      <c r="H159" s="10"/>
      <c r="I159" s="10"/>
      <c r="J159" s="11"/>
      <c r="K159" s="11">
        <f t="shared" si="195"/>
        <v>0</v>
      </c>
      <c r="L159" s="37">
        <f t="shared" si="196"/>
        <v>0</v>
      </c>
      <c r="M159" s="11"/>
      <c r="N159" s="10"/>
      <c r="O159" s="21"/>
      <c r="P159" s="21"/>
      <c r="Q159" s="21"/>
      <c r="R159" s="23"/>
      <c r="S159" s="50"/>
      <c r="T159" s="48"/>
      <c r="U159" s="82"/>
      <c r="V159" s="26"/>
      <c r="W159" s="200"/>
      <c r="X159" s="17"/>
    </row>
    <row r="160" spans="2:24" x14ac:dyDescent="0.25">
      <c r="B160" s="17">
        <v>158</v>
      </c>
      <c r="C160" s="10"/>
      <c r="D160" s="10"/>
      <c r="E160" s="72"/>
      <c r="F160" s="18"/>
      <c r="G160" s="10"/>
      <c r="H160" s="10"/>
      <c r="I160" s="10"/>
      <c r="J160" s="11"/>
      <c r="K160" s="11">
        <f t="shared" si="195"/>
        <v>0</v>
      </c>
      <c r="L160" s="37">
        <f t="shared" si="196"/>
        <v>0</v>
      </c>
      <c r="M160" s="11"/>
      <c r="N160" s="10"/>
      <c r="O160" s="21"/>
      <c r="P160" s="21"/>
      <c r="Q160" s="21"/>
      <c r="R160" s="23"/>
      <c r="S160" s="50"/>
      <c r="T160" s="48"/>
      <c r="U160" s="82"/>
      <c r="V160" s="26"/>
      <c r="W160" s="200"/>
      <c r="X160" s="17"/>
    </row>
    <row r="161" spans="2:24" x14ac:dyDescent="0.25">
      <c r="B161" s="17">
        <v>159</v>
      </c>
      <c r="C161" s="10"/>
      <c r="D161" s="10"/>
      <c r="E161" s="72"/>
      <c r="F161" s="18"/>
      <c r="G161" s="10"/>
      <c r="H161" s="10"/>
      <c r="I161" s="10"/>
      <c r="J161" s="11"/>
      <c r="K161" s="11">
        <f t="shared" si="195"/>
        <v>0</v>
      </c>
      <c r="L161" s="37">
        <f t="shared" si="196"/>
        <v>0</v>
      </c>
      <c r="M161" s="11"/>
      <c r="N161" s="10"/>
      <c r="O161" s="21"/>
      <c r="P161" s="21"/>
      <c r="Q161" s="21"/>
      <c r="R161" s="23"/>
      <c r="S161" s="50"/>
      <c r="T161" s="48"/>
      <c r="U161" s="82"/>
      <c r="V161" s="26"/>
      <c r="W161" s="200"/>
      <c r="X161" s="17"/>
    </row>
    <row r="162" spans="2:24" x14ac:dyDescent="0.25">
      <c r="B162" s="17">
        <v>160</v>
      </c>
      <c r="C162" s="10"/>
      <c r="D162" s="10"/>
      <c r="E162" s="72"/>
      <c r="F162" s="18"/>
      <c r="G162" s="10"/>
      <c r="H162" s="10"/>
      <c r="I162" s="10"/>
      <c r="J162" s="11"/>
      <c r="K162" s="11">
        <f t="shared" si="195"/>
        <v>0</v>
      </c>
      <c r="L162" s="37">
        <f t="shared" si="196"/>
        <v>0</v>
      </c>
      <c r="M162" s="11"/>
      <c r="N162" s="10"/>
      <c r="O162" s="21"/>
      <c r="P162" s="21"/>
      <c r="Q162" s="21"/>
      <c r="R162" s="23"/>
      <c r="S162" s="50"/>
      <c r="T162" s="48"/>
      <c r="U162" s="82"/>
      <c r="V162" s="32"/>
      <c r="W162" s="200"/>
      <c r="X162" s="17"/>
    </row>
    <row r="163" spans="2:24" x14ac:dyDescent="0.25">
      <c r="B163" s="17">
        <v>161</v>
      </c>
      <c r="C163" s="10"/>
      <c r="D163" s="10"/>
      <c r="E163" s="72"/>
      <c r="F163" s="18"/>
      <c r="G163" s="10"/>
      <c r="H163" s="10"/>
      <c r="I163" s="10"/>
      <c r="J163" s="11"/>
      <c r="K163" s="11">
        <f t="shared" si="195"/>
        <v>0</v>
      </c>
      <c r="L163" s="37">
        <f t="shared" si="196"/>
        <v>0</v>
      </c>
      <c r="M163" s="11"/>
      <c r="N163" s="10"/>
      <c r="O163" s="21"/>
      <c r="P163" s="21"/>
      <c r="Q163" s="21"/>
      <c r="R163" s="23"/>
      <c r="S163" s="50"/>
      <c r="T163" s="48"/>
      <c r="U163" s="82"/>
      <c r="V163" s="32"/>
      <c r="W163" s="200"/>
      <c r="X163" s="17"/>
    </row>
    <row r="164" spans="2:24" x14ac:dyDescent="0.25">
      <c r="B164" s="17">
        <v>162</v>
      </c>
      <c r="C164" s="10"/>
      <c r="D164" s="10"/>
      <c r="E164" s="72"/>
      <c r="F164" s="18"/>
      <c r="G164" s="10"/>
      <c r="H164" s="10"/>
      <c r="I164" s="10"/>
      <c r="J164" s="11"/>
      <c r="K164" s="11">
        <f t="shared" si="195"/>
        <v>0</v>
      </c>
      <c r="L164" s="37">
        <f t="shared" si="196"/>
        <v>0</v>
      </c>
      <c r="M164" s="11"/>
      <c r="N164" s="10"/>
      <c r="O164" s="21"/>
      <c r="P164" s="21"/>
      <c r="Q164" s="21"/>
      <c r="R164" s="23"/>
      <c r="S164" s="50"/>
      <c r="T164" s="48"/>
      <c r="U164" s="82"/>
      <c r="V164" s="32"/>
      <c r="W164" s="200"/>
      <c r="X164" s="17"/>
    </row>
    <row r="165" spans="2:24" x14ac:dyDescent="0.25">
      <c r="B165" s="17">
        <v>163</v>
      </c>
      <c r="C165" s="10"/>
      <c r="D165" s="10"/>
      <c r="E165" s="72"/>
      <c r="F165" s="18"/>
      <c r="G165" s="10"/>
      <c r="H165" s="10"/>
      <c r="I165" s="10"/>
      <c r="J165" s="11"/>
      <c r="K165" s="11">
        <f t="shared" si="195"/>
        <v>0</v>
      </c>
      <c r="L165" s="37">
        <f t="shared" si="196"/>
        <v>0</v>
      </c>
      <c r="M165" s="11"/>
      <c r="N165" s="10"/>
      <c r="O165" s="21"/>
      <c r="P165" s="21"/>
      <c r="Q165" s="21"/>
      <c r="R165" s="23"/>
      <c r="S165" s="50"/>
      <c r="T165" s="48"/>
      <c r="U165" s="82"/>
      <c r="V165" s="32"/>
      <c r="W165" s="200"/>
      <c r="X165" s="17"/>
    </row>
    <row r="166" spans="2:24" x14ac:dyDescent="0.25">
      <c r="B166" s="17">
        <v>164</v>
      </c>
      <c r="C166" s="10"/>
      <c r="D166" s="10"/>
      <c r="E166" s="72"/>
      <c r="F166" s="18"/>
      <c r="G166" s="10"/>
      <c r="H166" s="10"/>
      <c r="I166" s="10"/>
      <c r="J166" s="11"/>
      <c r="K166" s="11">
        <f t="shared" si="195"/>
        <v>0</v>
      </c>
      <c r="L166" s="37">
        <f t="shared" si="196"/>
        <v>0</v>
      </c>
      <c r="M166" s="11"/>
      <c r="N166" s="10"/>
      <c r="O166" s="21"/>
      <c r="P166" s="21"/>
      <c r="Q166" s="21"/>
      <c r="R166" s="23"/>
      <c r="S166" s="50"/>
      <c r="T166" s="48"/>
      <c r="U166" s="82"/>
      <c r="V166" s="26"/>
      <c r="W166" s="200"/>
      <c r="X166" s="17"/>
    </row>
    <row r="167" spans="2:24" x14ac:dyDescent="0.25">
      <c r="B167" s="17">
        <v>165</v>
      </c>
      <c r="C167" s="10"/>
      <c r="D167" s="10"/>
      <c r="E167" s="72"/>
      <c r="F167" s="18"/>
      <c r="G167" s="10"/>
      <c r="H167" s="10"/>
      <c r="I167" s="10"/>
      <c r="J167" s="11"/>
      <c r="K167" s="11">
        <f t="shared" si="195"/>
        <v>0</v>
      </c>
      <c r="L167" s="37">
        <f t="shared" si="196"/>
        <v>0</v>
      </c>
      <c r="M167" s="11"/>
      <c r="N167" s="10"/>
      <c r="O167" s="21"/>
      <c r="P167" s="21"/>
      <c r="Q167" s="21"/>
      <c r="R167" s="23"/>
      <c r="S167" s="50"/>
      <c r="T167" s="48"/>
      <c r="U167" s="82"/>
      <c r="V167" s="26"/>
      <c r="W167" s="200"/>
      <c r="X167" s="17"/>
    </row>
    <row r="168" spans="2:24" x14ac:dyDescent="0.25">
      <c r="B168" s="17">
        <v>166</v>
      </c>
      <c r="C168" s="10"/>
      <c r="D168" s="10"/>
      <c r="E168" s="72"/>
      <c r="F168" s="18"/>
      <c r="G168" s="10"/>
      <c r="H168" s="10"/>
      <c r="I168" s="10"/>
      <c r="J168" s="11"/>
      <c r="K168" s="11">
        <f t="shared" si="195"/>
        <v>0</v>
      </c>
      <c r="L168" s="37">
        <f t="shared" si="196"/>
        <v>0</v>
      </c>
      <c r="M168" s="11"/>
      <c r="N168" s="10"/>
      <c r="O168" s="21"/>
      <c r="P168" s="21"/>
      <c r="Q168" s="21"/>
      <c r="R168" s="23"/>
      <c r="S168" s="50"/>
      <c r="T168" s="48"/>
      <c r="U168" s="82"/>
      <c r="V168" s="26"/>
      <c r="W168" s="200"/>
      <c r="X168" s="17"/>
    </row>
    <row r="169" spans="2:24" x14ac:dyDescent="0.25">
      <c r="B169" s="17">
        <v>167</v>
      </c>
      <c r="C169" s="10"/>
      <c r="D169" s="10"/>
      <c r="E169" s="72"/>
      <c r="F169" s="18"/>
      <c r="G169" s="10"/>
      <c r="H169" s="10"/>
      <c r="I169" s="10"/>
      <c r="J169" s="11"/>
      <c r="K169" s="11">
        <f t="shared" si="195"/>
        <v>0</v>
      </c>
      <c r="L169" s="37">
        <f t="shared" si="196"/>
        <v>0</v>
      </c>
      <c r="M169" s="11"/>
      <c r="N169" s="10"/>
      <c r="O169" s="21"/>
      <c r="P169" s="21"/>
      <c r="Q169" s="21"/>
      <c r="R169" s="23"/>
      <c r="S169" s="50"/>
      <c r="T169" s="48"/>
      <c r="U169" s="82"/>
      <c r="V169" s="26"/>
      <c r="W169" s="200"/>
      <c r="X169" s="17"/>
    </row>
    <row r="170" spans="2:24" x14ac:dyDescent="0.25">
      <c r="B170" s="17">
        <v>168</v>
      </c>
      <c r="C170" s="10"/>
      <c r="D170" s="10"/>
      <c r="E170" s="72"/>
      <c r="F170" s="18"/>
      <c r="G170" s="10"/>
      <c r="H170" s="10"/>
      <c r="I170" s="10"/>
      <c r="J170" s="11"/>
      <c r="K170" s="11">
        <f t="shared" si="195"/>
        <v>0</v>
      </c>
      <c r="L170" s="37">
        <f t="shared" si="196"/>
        <v>0</v>
      </c>
      <c r="M170" s="11"/>
      <c r="N170" s="10"/>
      <c r="O170" s="21"/>
      <c r="P170" s="21"/>
      <c r="Q170" s="21"/>
      <c r="R170" s="23"/>
      <c r="S170" s="50"/>
      <c r="T170" s="48"/>
      <c r="U170" s="82"/>
      <c r="V170" s="32"/>
      <c r="W170" s="200"/>
      <c r="X170" s="17"/>
    </row>
    <row r="171" spans="2:24" x14ac:dyDescent="0.25">
      <c r="B171" s="17">
        <v>169</v>
      </c>
      <c r="C171" s="10"/>
      <c r="D171" s="10"/>
      <c r="E171" s="72"/>
      <c r="F171" s="18"/>
      <c r="G171" s="10"/>
      <c r="H171" s="10"/>
      <c r="I171" s="10"/>
      <c r="J171" s="11"/>
      <c r="K171" s="11">
        <f t="shared" si="195"/>
        <v>0</v>
      </c>
      <c r="L171" s="37">
        <f t="shared" si="196"/>
        <v>0</v>
      </c>
      <c r="M171" s="11"/>
      <c r="N171" s="10"/>
      <c r="O171" s="21"/>
      <c r="P171" s="21"/>
      <c r="Q171" s="21"/>
      <c r="R171" s="23"/>
      <c r="S171" s="50"/>
      <c r="T171" s="48"/>
      <c r="U171" s="82"/>
      <c r="V171" s="32"/>
      <c r="W171" s="200"/>
      <c r="X171" s="17"/>
    </row>
    <row r="172" spans="2:24" x14ac:dyDescent="0.25">
      <c r="B172" s="17">
        <v>170</v>
      </c>
      <c r="C172" s="10"/>
      <c r="D172" s="10"/>
      <c r="E172" s="72"/>
      <c r="F172" s="18"/>
      <c r="G172" s="10"/>
      <c r="H172" s="10"/>
      <c r="I172" s="10"/>
      <c r="J172" s="11"/>
      <c r="K172" s="11">
        <f t="shared" si="195"/>
        <v>0</v>
      </c>
      <c r="L172" s="37">
        <f t="shared" si="196"/>
        <v>0</v>
      </c>
      <c r="M172" s="11"/>
      <c r="N172" s="10"/>
      <c r="O172" s="21"/>
      <c r="P172" s="21"/>
      <c r="Q172" s="21"/>
      <c r="R172" s="23"/>
      <c r="S172" s="50"/>
      <c r="T172" s="48"/>
      <c r="U172" s="82"/>
      <c r="V172" s="26"/>
      <c r="W172" s="200"/>
      <c r="X172" s="17"/>
    </row>
    <row r="173" spans="2:24" x14ac:dyDescent="0.25">
      <c r="B173" s="17">
        <v>171</v>
      </c>
      <c r="C173" s="10"/>
      <c r="D173" s="10"/>
      <c r="E173" s="72"/>
      <c r="F173" s="18"/>
      <c r="G173" s="10"/>
      <c r="H173" s="10"/>
      <c r="I173" s="10"/>
      <c r="J173" s="11"/>
      <c r="K173" s="11">
        <f t="shared" si="195"/>
        <v>0</v>
      </c>
      <c r="L173" s="37">
        <f t="shared" si="196"/>
        <v>0</v>
      </c>
      <c r="M173" s="11"/>
      <c r="N173" s="10"/>
      <c r="O173" s="21"/>
      <c r="P173" s="21"/>
      <c r="Q173" s="21"/>
      <c r="R173" s="23"/>
      <c r="S173" s="50"/>
      <c r="T173" s="48"/>
      <c r="U173" s="82"/>
      <c r="V173" s="26"/>
      <c r="W173" s="200"/>
      <c r="X173" s="17"/>
    </row>
    <row r="174" spans="2:24" x14ac:dyDescent="0.25">
      <c r="B174" s="17">
        <v>172</v>
      </c>
      <c r="C174" s="10"/>
      <c r="D174" s="10"/>
      <c r="E174" s="72"/>
      <c r="F174" s="18"/>
      <c r="G174" s="10"/>
      <c r="H174" s="10"/>
      <c r="I174" s="10"/>
      <c r="J174" s="11"/>
      <c r="K174" s="11">
        <f t="shared" si="195"/>
        <v>0</v>
      </c>
      <c r="L174" s="37">
        <f t="shared" si="196"/>
        <v>0</v>
      </c>
      <c r="M174" s="11"/>
      <c r="N174" s="10"/>
      <c r="O174" s="21"/>
      <c r="P174" s="21"/>
      <c r="Q174" s="21"/>
      <c r="R174" s="23"/>
      <c r="S174" s="50"/>
      <c r="T174" s="48"/>
      <c r="U174" s="82"/>
      <c r="V174" s="26"/>
      <c r="W174" s="200"/>
      <c r="X174" s="17"/>
    </row>
    <row r="175" spans="2:24" x14ac:dyDescent="0.25">
      <c r="B175" s="17">
        <v>173</v>
      </c>
      <c r="C175" s="10"/>
      <c r="D175" s="10"/>
      <c r="E175" s="72"/>
      <c r="F175" s="18"/>
      <c r="G175" s="10"/>
      <c r="H175" s="10"/>
      <c r="I175" s="10"/>
      <c r="J175" s="11"/>
      <c r="K175" s="11">
        <f t="shared" si="195"/>
        <v>0</v>
      </c>
      <c r="L175" s="37">
        <f t="shared" si="196"/>
        <v>0</v>
      </c>
      <c r="M175" s="11"/>
      <c r="N175" s="10"/>
      <c r="O175" s="21"/>
      <c r="P175" s="21"/>
      <c r="Q175" s="21"/>
      <c r="R175" s="23"/>
      <c r="S175" s="50"/>
      <c r="T175" s="48"/>
      <c r="U175" s="82"/>
      <c r="V175" s="26"/>
      <c r="W175" s="200"/>
      <c r="X175" s="17"/>
    </row>
    <row r="176" spans="2:24" x14ac:dyDescent="0.25">
      <c r="B176" s="17">
        <v>174</v>
      </c>
      <c r="C176" s="10"/>
      <c r="D176" s="10"/>
      <c r="E176" s="72"/>
      <c r="F176" s="18"/>
      <c r="G176" s="10"/>
      <c r="H176" s="10"/>
      <c r="I176" s="10"/>
      <c r="J176" s="11"/>
      <c r="K176" s="11">
        <f t="shared" si="195"/>
        <v>0</v>
      </c>
      <c r="L176" s="37">
        <f t="shared" si="196"/>
        <v>0</v>
      </c>
      <c r="M176" s="11"/>
      <c r="N176" s="10"/>
      <c r="O176" s="21"/>
      <c r="P176" s="21"/>
      <c r="Q176" s="21"/>
      <c r="R176" s="23"/>
      <c r="S176" s="50"/>
      <c r="T176" s="48"/>
      <c r="U176" s="82"/>
      <c r="V176" s="26"/>
      <c r="W176" s="200"/>
      <c r="X176" s="17"/>
    </row>
    <row r="177" spans="2:24" x14ac:dyDescent="0.25">
      <c r="B177" s="17">
        <v>175</v>
      </c>
      <c r="C177" s="10"/>
      <c r="D177" s="10"/>
      <c r="E177" s="72"/>
      <c r="F177" s="18"/>
      <c r="G177" s="10"/>
      <c r="H177" s="10"/>
      <c r="I177" s="10"/>
      <c r="J177" s="11"/>
      <c r="K177" s="11">
        <f t="shared" si="195"/>
        <v>0</v>
      </c>
      <c r="L177" s="37">
        <f t="shared" si="196"/>
        <v>0</v>
      </c>
      <c r="M177" s="11"/>
      <c r="N177" s="10"/>
      <c r="O177" s="21"/>
      <c r="P177" s="21"/>
      <c r="Q177" s="21"/>
      <c r="R177" s="23"/>
      <c r="S177" s="50"/>
      <c r="T177" s="48"/>
      <c r="U177" s="82"/>
      <c r="V177" s="32"/>
      <c r="W177" s="200"/>
      <c r="X177" s="17"/>
    </row>
    <row r="178" spans="2:24" x14ac:dyDescent="0.25">
      <c r="B178" s="17">
        <v>176</v>
      </c>
      <c r="C178" s="10"/>
      <c r="D178" s="10"/>
      <c r="E178" s="72"/>
      <c r="F178" s="18"/>
      <c r="G178" s="10"/>
      <c r="H178" s="10"/>
      <c r="I178" s="10"/>
      <c r="J178" s="11"/>
      <c r="K178" s="11">
        <f t="shared" si="195"/>
        <v>0</v>
      </c>
      <c r="L178" s="37">
        <f t="shared" si="196"/>
        <v>0</v>
      </c>
      <c r="M178" s="11"/>
      <c r="N178" s="10"/>
      <c r="O178" s="21"/>
      <c r="P178" s="21"/>
      <c r="Q178" s="21"/>
      <c r="R178" s="23"/>
      <c r="S178" s="50"/>
      <c r="T178" s="48"/>
      <c r="U178" s="82"/>
      <c r="V178" s="32"/>
      <c r="W178" s="200"/>
      <c r="X178" s="17"/>
    </row>
    <row r="179" spans="2:24" x14ac:dyDescent="0.25">
      <c r="B179" s="17">
        <v>177</v>
      </c>
      <c r="C179" s="10"/>
      <c r="D179" s="10"/>
      <c r="E179" s="72"/>
      <c r="F179" s="18"/>
      <c r="G179" s="10"/>
      <c r="H179" s="10"/>
      <c r="I179" s="10"/>
      <c r="J179" s="11"/>
      <c r="K179" s="11">
        <f t="shared" si="195"/>
        <v>0</v>
      </c>
      <c r="L179" s="37">
        <f t="shared" si="196"/>
        <v>0</v>
      </c>
      <c r="M179" s="11"/>
      <c r="N179" s="10"/>
      <c r="O179" s="21"/>
      <c r="P179" s="21"/>
      <c r="Q179" s="21"/>
      <c r="R179" s="23"/>
      <c r="S179" s="50"/>
      <c r="T179" s="48"/>
      <c r="U179" s="82"/>
      <c r="V179" s="26"/>
      <c r="W179" s="200"/>
      <c r="X179" s="17"/>
    </row>
    <row r="180" spans="2:24" x14ac:dyDescent="0.25">
      <c r="B180" s="17">
        <v>178</v>
      </c>
      <c r="C180" s="10"/>
      <c r="D180" s="10"/>
      <c r="E180" s="72"/>
      <c r="F180" s="18"/>
      <c r="G180" s="10"/>
      <c r="H180" s="10"/>
      <c r="I180" s="10"/>
      <c r="J180" s="11"/>
      <c r="K180" s="11">
        <f t="shared" si="195"/>
        <v>0</v>
      </c>
      <c r="L180" s="37">
        <f t="shared" si="196"/>
        <v>0</v>
      </c>
      <c r="M180" s="11"/>
      <c r="N180" s="10"/>
      <c r="O180" s="21"/>
      <c r="P180" s="21"/>
      <c r="Q180" s="21"/>
      <c r="R180" s="23"/>
      <c r="S180" s="50"/>
      <c r="T180" s="48"/>
      <c r="U180" s="82"/>
      <c r="V180" s="26"/>
      <c r="W180" s="200"/>
      <c r="X180" s="17"/>
    </row>
    <row r="181" spans="2:24" x14ac:dyDescent="0.25">
      <c r="B181" s="17">
        <v>179</v>
      </c>
      <c r="C181" s="10"/>
      <c r="D181" s="10"/>
      <c r="E181" s="72"/>
      <c r="F181" s="18"/>
      <c r="G181" s="10"/>
      <c r="H181" s="10"/>
      <c r="I181" s="10"/>
      <c r="J181" s="11"/>
      <c r="K181" s="11">
        <f t="shared" si="195"/>
        <v>0</v>
      </c>
      <c r="L181" s="37">
        <f t="shared" si="196"/>
        <v>0</v>
      </c>
      <c r="M181" s="11"/>
      <c r="N181" s="10"/>
      <c r="O181" s="21"/>
      <c r="P181" s="21"/>
      <c r="Q181" s="21"/>
      <c r="R181" s="23"/>
      <c r="S181" s="50"/>
      <c r="T181" s="48"/>
      <c r="U181" s="82"/>
      <c r="V181" s="26"/>
      <c r="W181" s="200"/>
      <c r="X181" s="17"/>
    </row>
    <row r="182" spans="2:24" x14ac:dyDescent="0.25">
      <c r="B182" s="17">
        <v>180</v>
      </c>
      <c r="C182" s="10"/>
      <c r="D182" s="10"/>
      <c r="E182" s="72"/>
      <c r="F182" s="18"/>
      <c r="G182" s="10"/>
      <c r="H182" s="10"/>
      <c r="I182" s="10"/>
      <c r="J182" s="11"/>
      <c r="K182" s="11">
        <f t="shared" si="195"/>
        <v>0</v>
      </c>
      <c r="L182" s="37">
        <f t="shared" si="196"/>
        <v>0</v>
      </c>
      <c r="M182" s="11"/>
      <c r="N182" s="10"/>
      <c r="O182" s="21"/>
      <c r="P182" s="21"/>
      <c r="Q182" s="21"/>
      <c r="R182" s="23"/>
      <c r="S182" s="50"/>
      <c r="T182" s="48"/>
      <c r="U182" s="82"/>
      <c r="V182" s="26"/>
      <c r="W182" s="200"/>
      <c r="X182" s="17"/>
    </row>
    <row r="183" spans="2:24" x14ac:dyDescent="0.25">
      <c r="B183" s="17">
        <v>181</v>
      </c>
      <c r="C183" s="10"/>
      <c r="D183" s="10"/>
      <c r="E183" s="72"/>
      <c r="F183" s="18"/>
      <c r="G183" s="10"/>
      <c r="H183" s="10"/>
      <c r="I183" s="10"/>
      <c r="J183" s="11"/>
      <c r="K183" s="11">
        <f t="shared" si="195"/>
        <v>0</v>
      </c>
      <c r="L183" s="37">
        <f t="shared" si="196"/>
        <v>0</v>
      </c>
      <c r="M183" s="11"/>
      <c r="N183" s="10"/>
      <c r="O183" s="21"/>
      <c r="P183" s="21"/>
      <c r="Q183" s="21"/>
      <c r="R183" s="23"/>
      <c r="S183" s="50"/>
      <c r="T183" s="48"/>
      <c r="U183" s="82"/>
      <c r="V183" s="26"/>
      <c r="W183" s="200"/>
      <c r="X183" s="17"/>
    </row>
    <row r="184" spans="2:24" x14ac:dyDescent="0.25">
      <c r="B184" s="17">
        <v>182</v>
      </c>
      <c r="C184" s="10"/>
      <c r="D184" s="10"/>
      <c r="E184" s="72"/>
      <c r="F184" s="18"/>
      <c r="G184" s="10"/>
      <c r="H184" s="10"/>
      <c r="I184" s="10"/>
      <c r="J184" s="11"/>
      <c r="K184" s="11">
        <f t="shared" si="195"/>
        <v>0</v>
      </c>
      <c r="L184" s="37">
        <f t="shared" si="196"/>
        <v>0</v>
      </c>
      <c r="M184" s="11"/>
      <c r="N184" s="10"/>
      <c r="O184" s="21"/>
      <c r="P184" s="21"/>
      <c r="Q184" s="21"/>
      <c r="R184" s="23"/>
      <c r="S184" s="50"/>
      <c r="T184" s="48"/>
      <c r="U184" s="82"/>
      <c r="V184" s="32"/>
      <c r="W184" s="200"/>
      <c r="X184" s="17"/>
    </row>
    <row r="185" spans="2:24" x14ac:dyDescent="0.25">
      <c r="B185" s="17">
        <v>183</v>
      </c>
      <c r="C185" s="10"/>
      <c r="D185" s="10"/>
      <c r="E185" s="72"/>
      <c r="F185" s="18"/>
      <c r="G185" s="10"/>
      <c r="H185" s="10"/>
      <c r="I185" s="10"/>
      <c r="J185" s="11"/>
      <c r="K185" s="11">
        <f t="shared" si="195"/>
        <v>0</v>
      </c>
      <c r="L185" s="37">
        <f t="shared" si="196"/>
        <v>0</v>
      </c>
      <c r="M185" s="11"/>
      <c r="N185" s="10"/>
      <c r="O185" s="21"/>
      <c r="P185" s="21"/>
      <c r="Q185" s="21"/>
      <c r="R185" s="23"/>
      <c r="S185" s="50"/>
      <c r="T185" s="48"/>
      <c r="U185" s="82"/>
      <c r="V185" s="32"/>
      <c r="W185" s="200"/>
      <c r="X185" s="17"/>
    </row>
    <row r="186" spans="2:24" x14ac:dyDescent="0.25">
      <c r="B186" s="17">
        <v>184</v>
      </c>
      <c r="C186" s="10"/>
      <c r="D186" s="10"/>
      <c r="E186" s="72"/>
      <c r="F186" s="18"/>
      <c r="G186" s="10"/>
      <c r="H186" s="10"/>
      <c r="I186" s="10"/>
      <c r="J186" s="11"/>
      <c r="K186" s="11">
        <f t="shared" si="195"/>
        <v>0</v>
      </c>
      <c r="L186" s="37">
        <f t="shared" si="196"/>
        <v>0</v>
      </c>
      <c r="M186" s="11"/>
      <c r="N186" s="10"/>
      <c r="O186" s="21"/>
      <c r="P186" s="21"/>
      <c r="Q186" s="21"/>
      <c r="R186" s="23"/>
      <c r="S186" s="50"/>
      <c r="T186" s="48"/>
      <c r="U186" s="82"/>
      <c r="V186" s="32"/>
      <c r="W186" s="200"/>
      <c r="X186" s="17"/>
    </row>
    <row r="187" spans="2:24" x14ac:dyDescent="0.25">
      <c r="B187" s="17">
        <v>185</v>
      </c>
      <c r="C187" s="10"/>
      <c r="D187" s="10"/>
      <c r="E187" s="72"/>
      <c r="F187" s="18"/>
      <c r="G187" s="10"/>
      <c r="H187" s="10"/>
      <c r="I187" s="10"/>
      <c r="J187" s="11"/>
      <c r="K187" s="11">
        <f t="shared" si="195"/>
        <v>0</v>
      </c>
      <c r="L187" s="37">
        <f t="shared" si="196"/>
        <v>0</v>
      </c>
      <c r="M187" s="11"/>
      <c r="N187" s="10"/>
      <c r="O187" s="21"/>
      <c r="P187" s="21"/>
      <c r="Q187" s="21"/>
      <c r="R187" s="23"/>
      <c r="S187" s="50"/>
      <c r="T187" s="48"/>
      <c r="U187" s="82"/>
      <c r="V187" s="32"/>
      <c r="W187" s="200"/>
      <c r="X187" s="17"/>
    </row>
    <row r="188" spans="2:24" x14ac:dyDescent="0.25">
      <c r="B188" s="17">
        <v>186</v>
      </c>
      <c r="C188" s="10"/>
      <c r="D188" s="10"/>
      <c r="E188" s="72"/>
      <c r="F188" s="18"/>
      <c r="G188" s="10"/>
      <c r="H188" s="10"/>
      <c r="I188" s="10"/>
      <c r="J188" s="11"/>
      <c r="K188" s="11">
        <f t="shared" si="195"/>
        <v>0</v>
      </c>
      <c r="L188" s="37">
        <f t="shared" si="196"/>
        <v>0</v>
      </c>
      <c r="M188" s="11"/>
      <c r="N188" s="10"/>
      <c r="O188" s="21"/>
      <c r="P188" s="21"/>
      <c r="Q188" s="21"/>
      <c r="R188" s="23"/>
      <c r="S188" s="50"/>
      <c r="T188" s="48"/>
      <c r="U188" s="82"/>
      <c r="V188" s="26"/>
      <c r="W188" s="200"/>
      <c r="X188" s="17"/>
    </row>
    <row r="189" spans="2:24" x14ac:dyDescent="0.25">
      <c r="B189" s="17">
        <v>187</v>
      </c>
      <c r="C189" s="10"/>
      <c r="D189" s="10"/>
      <c r="E189" s="72"/>
      <c r="F189" s="18"/>
      <c r="G189" s="10"/>
      <c r="H189" s="10"/>
      <c r="I189" s="10"/>
      <c r="J189" s="11"/>
      <c r="K189" s="11">
        <f t="shared" si="195"/>
        <v>0</v>
      </c>
      <c r="L189" s="37">
        <f t="shared" si="196"/>
        <v>0</v>
      </c>
      <c r="M189" s="11"/>
      <c r="N189" s="10"/>
      <c r="O189" s="21"/>
      <c r="P189" s="21"/>
      <c r="Q189" s="21"/>
      <c r="R189" s="23"/>
      <c r="S189" s="50"/>
      <c r="T189" s="48"/>
      <c r="U189" s="82"/>
      <c r="V189" s="26"/>
      <c r="W189" s="200"/>
      <c r="X189" s="17"/>
    </row>
    <row r="190" spans="2:24" x14ac:dyDescent="0.25">
      <c r="B190" s="17">
        <v>188</v>
      </c>
      <c r="C190" s="10"/>
      <c r="D190" s="10"/>
      <c r="E190" s="72"/>
      <c r="F190" s="18"/>
      <c r="G190" s="10"/>
      <c r="H190" s="10"/>
      <c r="I190" s="10"/>
      <c r="J190" s="11"/>
      <c r="K190" s="11">
        <f t="shared" si="195"/>
        <v>0</v>
      </c>
      <c r="L190" s="37">
        <f t="shared" si="196"/>
        <v>0</v>
      </c>
      <c r="M190" s="11"/>
      <c r="N190" s="10"/>
      <c r="O190" s="21"/>
      <c r="P190" s="21"/>
      <c r="Q190" s="21"/>
      <c r="R190" s="23"/>
      <c r="S190" s="50"/>
      <c r="T190" s="48"/>
      <c r="U190" s="82"/>
      <c r="V190" s="26"/>
      <c r="W190" s="200"/>
      <c r="X190" s="17"/>
    </row>
    <row r="191" spans="2:24" x14ac:dyDescent="0.25">
      <c r="B191" s="17">
        <v>189</v>
      </c>
      <c r="C191" s="10"/>
      <c r="D191" s="10"/>
      <c r="E191" s="72"/>
      <c r="F191" s="18"/>
      <c r="G191" s="10"/>
      <c r="H191" s="10"/>
      <c r="I191" s="10"/>
      <c r="J191" s="11"/>
      <c r="K191" s="11">
        <f t="shared" si="195"/>
        <v>0</v>
      </c>
      <c r="L191" s="37">
        <f t="shared" si="196"/>
        <v>0</v>
      </c>
      <c r="M191" s="11"/>
      <c r="N191" s="10"/>
      <c r="O191" s="21"/>
      <c r="P191" s="21"/>
      <c r="Q191" s="21"/>
      <c r="R191" s="23"/>
      <c r="S191" s="50"/>
      <c r="T191" s="48"/>
      <c r="U191" s="82"/>
      <c r="V191" s="26"/>
      <c r="W191" s="200"/>
      <c r="X191" s="17"/>
    </row>
    <row r="192" spans="2:24" x14ac:dyDescent="0.25">
      <c r="B192" s="17">
        <v>190</v>
      </c>
      <c r="C192" s="10"/>
      <c r="D192" s="10"/>
      <c r="E192" s="72"/>
      <c r="F192" s="18"/>
      <c r="G192" s="10"/>
      <c r="H192" s="10"/>
      <c r="I192" s="10"/>
      <c r="J192" s="11"/>
      <c r="K192" s="11">
        <f t="shared" si="195"/>
        <v>0</v>
      </c>
      <c r="L192" s="37">
        <f t="shared" si="196"/>
        <v>0</v>
      </c>
      <c r="M192" s="11"/>
      <c r="N192" s="10"/>
      <c r="O192" s="21"/>
      <c r="P192" s="21"/>
      <c r="Q192" s="21"/>
      <c r="R192" s="23"/>
      <c r="S192" s="50"/>
      <c r="T192" s="48"/>
      <c r="U192" s="82"/>
      <c r="V192" s="26"/>
      <c r="W192" s="200"/>
      <c r="X192" s="17"/>
    </row>
    <row r="193" spans="2:24" x14ac:dyDescent="0.25">
      <c r="B193" s="17">
        <v>191</v>
      </c>
      <c r="C193" s="10"/>
      <c r="D193" s="10"/>
      <c r="E193" s="72"/>
      <c r="F193" s="18"/>
      <c r="G193" s="10"/>
      <c r="H193" s="10"/>
      <c r="I193" s="10"/>
      <c r="J193" s="11"/>
      <c r="K193" s="11">
        <f t="shared" si="195"/>
        <v>0</v>
      </c>
      <c r="L193" s="37">
        <f t="shared" si="196"/>
        <v>0</v>
      </c>
      <c r="M193" s="11"/>
      <c r="N193" s="10"/>
      <c r="O193" s="21"/>
      <c r="P193" s="21"/>
      <c r="Q193" s="21"/>
      <c r="R193" s="23"/>
      <c r="S193" s="50"/>
      <c r="T193" s="48"/>
      <c r="U193" s="82"/>
      <c r="V193" s="32"/>
      <c r="W193" s="200"/>
      <c r="X193" s="17"/>
    </row>
    <row r="194" spans="2:24" x14ac:dyDescent="0.25">
      <c r="B194" s="17">
        <v>192</v>
      </c>
      <c r="C194" s="10"/>
      <c r="D194" s="10"/>
      <c r="E194" s="72"/>
      <c r="F194" s="18"/>
      <c r="G194" s="10"/>
      <c r="H194" s="10"/>
      <c r="I194" s="10"/>
      <c r="J194" s="11"/>
      <c r="K194" s="11">
        <f t="shared" si="195"/>
        <v>0</v>
      </c>
      <c r="L194" s="37">
        <f t="shared" si="196"/>
        <v>0</v>
      </c>
      <c r="M194" s="11"/>
      <c r="N194" s="10"/>
      <c r="O194" s="21"/>
      <c r="P194" s="21"/>
      <c r="Q194" s="21"/>
      <c r="R194" s="23"/>
      <c r="S194" s="50"/>
      <c r="T194" s="48"/>
      <c r="U194" s="82"/>
      <c r="V194" s="32"/>
      <c r="W194" s="200"/>
      <c r="X194" s="17"/>
    </row>
    <row r="195" spans="2:24" x14ac:dyDescent="0.25">
      <c r="B195" s="17">
        <v>193</v>
      </c>
      <c r="C195" s="10"/>
      <c r="D195" s="10"/>
      <c r="E195" s="72"/>
      <c r="F195" s="18"/>
      <c r="G195" s="10"/>
      <c r="H195" s="10"/>
      <c r="I195" s="10"/>
      <c r="J195" s="11"/>
      <c r="K195" s="11">
        <f t="shared" si="195"/>
        <v>0</v>
      </c>
      <c r="L195" s="37">
        <f t="shared" si="196"/>
        <v>0</v>
      </c>
      <c r="M195" s="11"/>
      <c r="N195" s="10"/>
      <c r="O195" s="21"/>
      <c r="P195" s="21"/>
      <c r="Q195" s="21"/>
      <c r="R195" s="23"/>
      <c r="S195" s="50"/>
      <c r="T195" s="48"/>
      <c r="U195" s="82"/>
      <c r="V195" s="26"/>
      <c r="W195" s="200"/>
      <c r="X195" s="17"/>
    </row>
    <row r="196" spans="2:24" x14ac:dyDescent="0.25">
      <c r="B196" s="17">
        <v>194</v>
      </c>
      <c r="C196" s="10"/>
      <c r="D196" s="10"/>
      <c r="E196" s="72"/>
      <c r="F196" s="18"/>
      <c r="G196" s="10"/>
      <c r="H196" s="10"/>
      <c r="I196" s="10"/>
      <c r="J196" s="11"/>
      <c r="K196" s="11">
        <f t="shared" ref="K196:K259" si="197">J196*1.1</f>
        <v>0</v>
      </c>
      <c r="L196" s="37">
        <f t="shared" ref="L196:L259" si="198">J196*0.00000001</f>
        <v>0</v>
      </c>
      <c r="M196" s="11"/>
      <c r="N196" s="10"/>
      <c r="O196" s="21"/>
      <c r="P196" s="21"/>
      <c r="Q196" s="21"/>
      <c r="R196" s="23"/>
      <c r="S196" s="50"/>
      <c r="T196" s="48"/>
      <c r="U196" s="82"/>
      <c r="V196" s="26"/>
      <c r="W196" s="200"/>
      <c r="X196" s="17"/>
    </row>
    <row r="197" spans="2:24" x14ac:dyDescent="0.25">
      <c r="B197" s="17">
        <v>195</v>
      </c>
      <c r="C197" s="10"/>
      <c r="D197" s="10"/>
      <c r="E197" s="72"/>
      <c r="F197" s="18"/>
      <c r="G197" s="10"/>
      <c r="H197" s="10"/>
      <c r="I197" s="10"/>
      <c r="J197" s="11"/>
      <c r="K197" s="11">
        <f t="shared" si="197"/>
        <v>0</v>
      </c>
      <c r="L197" s="37">
        <f t="shared" si="198"/>
        <v>0</v>
      </c>
      <c r="M197" s="11"/>
      <c r="N197" s="10"/>
      <c r="O197" s="21"/>
      <c r="P197" s="21"/>
      <c r="Q197" s="21"/>
      <c r="R197" s="23"/>
      <c r="S197" s="50"/>
      <c r="T197" s="48"/>
      <c r="U197" s="82"/>
      <c r="V197" s="26"/>
      <c r="W197" s="200"/>
      <c r="X197" s="17"/>
    </row>
    <row r="198" spans="2:24" x14ac:dyDescent="0.25">
      <c r="B198" s="17">
        <v>196</v>
      </c>
      <c r="C198" s="10"/>
      <c r="D198" s="10"/>
      <c r="E198" s="72"/>
      <c r="F198" s="18"/>
      <c r="G198" s="10"/>
      <c r="H198" s="10"/>
      <c r="I198" s="10"/>
      <c r="J198" s="11"/>
      <c r="K198" s="11">
        <f t="shared" si="197"/>
        <v>0</v>
      </c>
      <c r="L198" s="37">
        <f t="shared" si="198"/>
        <v>0</v>
      </c>
      <c r="M198" s="11"/>
      <c r="N198" s="10"/>
      <c r="O198" s="21"/>
      <c r="P198" s="21"/>
      <c r="Q198" s="21"/>
      <c r="R198" s="23"/>
      <c r="S198" s="50"/>
      <c r="T198" s="48"/>
      <c r="U198" s="82"/>
      <c r="V198" s="26"/>
      <c r="W198" s="200"/>
      <c r="X198" s="17"/>
    </row>
    <row r="199" spans="2:24" x14ac:dyDescent="0.25">
      <c r="B199" s="17">
        <v>197</v>
      </c>
      <c r="C199" s="10"/>
      <c r="D199" s="10"/>
      <c r="E199" s="72"/>
      <c r="F199" s="18"/>
      <c r="G199" s="10"/>
      <c r="H199" s="10"/>
      <c r="I199" s="10"/>
      <c r="J199" s="11"/>
      <c r="K199" s="11">
        <f t="shared" si="197"/>
        <v>0</v>
      </c>
      <c r="L199" s="37">
        <f t="shared" si="198"/>
        <v>0</v>
      </c>
      <c r="M199" s="11"/>
      <c r="N199" s="10"/>
      <c r="O199" s="21"/>
      <c r="P199" s="21"/>
      <c r="Q199" s="21"/>
      <c r="R199" s="23"/>
      <c r="S199" s="50"/>
      <c r="T199" s="48"/>
      <c r="U199" s="82"/>
      <c r="V199" s="26"/>
      <c r="W199" s="200"/>
      <c r="X199" s="17"/>
    </row>
    <row r="200" spans="2:24" x14ac:dyDescent="0.25">
      <c r="B200" s="17">
        <v>198</v>
      </c>
      <c r="C200" s="10"/>
      <c r="D200" s="10"/>
      <c r="E200" s="72"/>
      <c r="F200" s="18"/>
      <c r="G200" s="10"/>
      <c r="H200" s="10"/>
      <c r="I200" s="10"/>
      <c r="J200" s="11"/>
      <c r="K200" s="11">
        <f t="shared" si="197"/>
        <v>0</v>
      </c>
      <c r="L200" s="37">
        <f t="shared" si="198"/>
        <v>0</v>
      </c>
      <c r="M200" s="11"/>
      <c r="N200" s="10"/>
      <c r="O200" s="21"/>
      <c r="P200" s="21"/>
      <c r="Q200" s="21"/>
      <c r="R200" s="23"/>
      <c r="S200" s="50"/>
      <c r="T200" s="48"/>
      <c r="U200" s="82"/>
      <c r="V200" s="32"/>
      <c r="W200" s="200"/>
      <c r="X200" s="17"/>
    </row>
    <row r="201" spans="2:24" x14ac:dyDescent="0.25">
      <c r="B201" s="17">
        <v>199</v>
      </c>
      <c r="C201" s="10"/>
      <c r="D201" s="10"/>
      <c r="E201" s="72"/>
      <c r="F201" s="18"/>
      <c r="G201" s="10"/>
      <c r="H201" s="10"/>
      <c r="I201" s="10"/>
      <c r="J201" s="11"/>
      <c r="K201" s="11">
        <f t="shared" si="197"/>
        <v>0</v>
      </c>
      <c r="L201" s="37">
        <f t="shared" si="198"/>
        <v>0</v>
      </c>
      <c r="M201" s="11"/>
      <c r="N201" s="10"/>
      <c r="O201" s="21"/>
      <c r="P201" s="21"/>
      <c r="Q201" s="21"/>
      <c r="R201" s="23"/>
      <c r="S201" s="50"/>
      <c r="T201" s="48"/>
      <c r="U201" s="82"/>
      <c r="V201" s="32"/>
      <c r="W201" s="200"/>
      <c r="X201" s="17"/>
    </row>
    <row r="202" spans="2:24" x14ac:dyDescent="0.25">
      <c r="B202" s="17">
        <v>200</v>
      </c>
      <c r="C202" s="10"/>
      <c r="D202" s="10"/>
      <c r="E202" s="72"/>
      <c r="F202" s="18"/>
      <c r="G202" s="10"/>
      <c r="H202" s="10"/>
      <c r="I202" s="10"/>
      <c r="J202" s="11"/>
      <c r="K202" s="11">
        <f t="shared" si="197"/>
        <v>0</v>
      </c>
      <c r="L202" s="37">
        <f t="shared" si="198"/>
        <v>0</v>
      </c>
      <c r="M202" s="11"/>
      <c r="N202" s="10"/>
      <c r="O202" s="21"/>
      <c r="P202" s="21"/>
      <c r="Q202" s="21"/>
      <c r="R202" s="23"/>
      <c r="S202" s="50"/>
      <c r="T202" s="48"/>
      <c r="U202" s="82"/>
      <c r="V202" s="32"/>
      <c r="W202" s="200"/>
      <c r="X202" s="17"/>
    </row>
    <row r="203" spans="2:24" x14ac:dyDescent="0.25">
      <c r="B203" s="17">
        <v>201</v>
      </c>
      <c r="C203" s="10"/>
      <c r="D203" s="10"/>
      <c r="E203" s="72"/>
      <c r="F203" s="18"/>
      <c r="G203" s="10"/>
      <c r="H203" s="10"/>
      <c r="I203" s="10"/>
      <c r="J203" s="11"/>
      <c r="K203" s="11">
        <f t="shared" si="197"/>
        <v>0</v>
      </c>
      <c r="L203" s="37">
        <f t="shared" si="198"/>
        <v>0</v>
      </c>
      <c r="M203" s="11"/>
      <c r="N203" s="10"/>
      <c r="O203" s="21"/>
      <c r="P203" s="21"/>
      <c r="Q203" s="21"/>
      <c r="R203" s="23"/>
      <c r="S203" s="50"/>
      <c r="T203" s="48"/>
      <c r="U203" s="82"/>
      <c r="V203" s="32"/>
      <c r="W203" s="200"/>
      <c r="X203" s="17"/>
    </row>
    <row r="204" spans="2:24" x14ac:dyDescent="0.25">
      <c r="B204" s="17">
        <v>202</v>
      </c>
      <c r="C204" s="10"/>
      <c r="D204" s="10"/>
      <c r="E204" s="72"/>
      <c r="F204" s="18"/>
      <c r="G204" s="10"/>
      <c r="H204" s="10"/>
      <c r="I204" s="10"/>
      <c r="J204" s="11"/>
      <c r="K204" s="11">
        <f t="shared" si="197"/>
        <v>0</v>
      </c>
      <c r="L204" s="37">
        <f t="shared" si="198"/>
        <v>0</v>
      </c>
      <c r="M204" s="11"/>
      <c r="N204" s="10"/>
      <c r="O204" s="21"/>
      <c r="P204" s="21"/>
      <c r="Q204" s="21"/>
      <c r="R204" s="23"/>
      <c r="S204" s="50"/>
      <c r="T204" s="48"/>
      <c r="U204" s="82"/>
      <c r="V204" s="26"/>
      <c r="W204" s="200"/>
      <c r="X204" s="17"/>
    </row>
    <row r="205" spans="2:24" x14ac:dyDescent="0.25">
      <c r="B205" s="17">
        <v>203</v>
      </c>
      <c r="C205" s="10"/>
      <c r="D205" s="10"/>
      <c r="E205" s="72"/>
      <c r="F205" s="18"/>
      <c r="G205" s="10"/>
      <c r="H205" s="10"/>
      <c r="I205" s="10"/>
      <c r="J205" s="11"/>
      <c r="K205" s="11">
        <f t="shared" si="197"/>
        <v>0</v>
      </c>
      <c r="L205" s="37">
        <f t="shared" si="198"/>
        <v>0</v>
      </c>
      <c r="M205" s="11"/>
      <c r="N205" s="10"/>
      <c r="O205" s="21"/>
      <c r="P205" s="21"/>
      <c r="Q205" s="21"/>
      <c r="R205" s="23"/>
      <c r="S205" s="50"/>
      <c r="T205" s="48"/>
      <c r="U205" s="82"/>
      <c r="V205" s="26"/>
      <c r="W205" s="200"/>
      <c r="X205" s="17"/>
    </row>
    <row r="206" spans="2:24" x14ac:dyDescent="0.25">
      <c r="B206" s="17">
        <v>204</v>
      </c>
      <c r="C206" s="10"/>
      <c r="D206" s="10"/>
      <c r="E206" s="72"/>
      <c r="F206" s="18"/>
      <c r="G206" s="10"/>
      <c r="H206" s="10"/>
      <c r="I206" s="10"/>
      <c r="J206" s="11"/>
      <c r="K206" s="11">
        <f t="shared" si="197"/>
        <v>0</v>
      </c>
      <c r="L206" s="37">
        <f t="shared" si="198"/>
        <v>0</v>
      </c>
      <c r="M206" s="11"/>
      <c r="N206" s="10"/>
      <c r="O206" s="21"/>
      <c r="P206" s="21"/>
      <c r="Q206" s="21"/>
      <c r="R206" s="23"/>
      <c r="S206" s="50"/>
      <c r="T206" s="48"/>
      <c r="U206" s="82"/>
      <c r="V206" s="26"/>
      <c r="W206" s="200"/>
      <c r="X206" s="17"/>
    </row>
    <row r="207" spans="2:24" x14ac:dyDescent="0.25">
      <c r="B207" s="17">
        <v>205</v>
      </c>
      <c r="C207" s="10"/>
      <c r="D207" s="10"/>
      <c r="E207" s="72"/>
      <c r="F207" s="18"/>
      <c r="G207" s="10"/>
      <c r="H207" s="10"/>
      <c r="I207" s="10"/>
      <c r="J207" s="11"/>
      <c r="K207" s="11">
        <f t="shared" si="197"/>
        <v>0</v>
      </c>
      <c r="L207" s="37">
        <f t="shared" si="198"/>
        <v>0</v>
      </c>
      <c r="M207" s="11"/>
      <c r="N207" s="10"/>
      <c r="O207" s="21"/>
      <c r="P207" s="21"/>
      <c r="Q207" s="21"/>
      <c r="R207" s="23"/>
      <c r="S207" s="50"/>
      <c r="T207" s="48"/>
      <c r="U207" s="82"/>
      <c r="V207" s="26"/>
      <c r="W207" s="200"/>
      <c r="X207" s="17"/>
    </row>
    <row r="208" spans="2:24" x14ac:dyDescent="0.25">
      <c r="B208" s="17">
        <v>206</v>
      </c>
      <c r="C208" s="10"/>
      <c r="D208" s="10"/>
      <c r="E208" s="72"/>
      <c r="F208" s="18"/>
      <c r="G208" s="10"/>
      <c r="H208" s="10"/>
      <c r="I208" s="10"/>
      <c r="J208" s="11"/>
      <c r="K208" s="11">
        <f t="shared" si="197"/>
        <v>0</v>
      </c>
      <c r="L208" s="37">
        <f t="shared" si="198"/>
        <v>0</v>
      </c>
      <c r="M208" s="11"/>
      <c r="N208" s="10"/>
      <c r="O208" s="21"/>
      <c r="P208" s="21"/>
      <c r="Q208" s="21"/>
      <c r="R208" s="23"/>
      <c r="S208" s="50"/>
      <c r="T208" s="48"/>
      <c r="U208" s="82"/>
      <c r="V208" s="26"/>
      <c r="W208" s="200"/>
      <c r="X208" s="17"/>
    </row>
    <row r="209" spans="2:24" x14ac:dyDescent="0.25">
      <c r="B209" s="17">
        <v>207</v>
      </c>
      <c r="C209" s="10"/>
      <c r="D209" s="10"/>
      <c r="E209" s="72"/>
      <c r="F209" s="18"/>
      <c r="G209" s="10"/>
      <c r="H209" s="10"/>
      <c r="I209" s="10"/>
      <c r="J209" s="11"/>
      <c r="K209" s="11">
        <f t="shared" si="197"/>
        <v>0</v>
      </c>
      <c r="L209" s="37">
        <f t="shared" si="198"/>
        <v>0</v>
      </c>
      <c r="M209" s="11"/>
      <c r="N209" s="10"/>
      <c r="O209" s="21"/>
      <c r="P209" s="21"/>
      <c r="Q209" s="21"/>
      <c r="R209" s="23"/>
      <c r="S209" s="50"/>
      <c r="T209" s="48"/>
      <c r="U209" s="82"/>
      <c r="V209" s="32"/>
      <c r="W209" s="200"/>
      <c r="X209" s="17"/>
    </row>
    <row r="210" spans="2:24" x14ac:dyDescent="0.25">
      <c r="B210" s="17">
        <v>208</v>
      </c>
      <c r="C210" s="10"/>
      <c r="D210" s="10"/>
      <c r="E210" s="72"/>
      <c r="F210" s="18"/>
      <c r="G210" s="10"/>
      <c r="H210" s="10"/>
      <c r="I210" s="10"/>
      <c r="J210" s="11"/>
      <c r="K210" s="11">
        <f t="shared" si="197"/>
        <v>0</v>
      </c>
      <c r="L210" s="37">
        <f t="shared" si="198"/>
        <v>0</v>
      </c>
      <c r="M210" s="11"/>
      <c r="N210" s="10"/>
      <c r="O210" s="21"/>
      <c r="P210" s="21"/>
      <c r="Q210" s="21"/>
      <c r="R210" s="23"/>
      <c r="S210" s="50"/>
      <c r="T210" s="48"/>
      <c r="U210" s="82"/>
      <c r="V210" s="32"/>
      <c r="W210" s="200"/>
      <c r="X210" s="17"/>
    </row>
    <row r="211" spans="2:24" x14ac:dyDescent="0.25">
      <c r="B211" s="17">
        <v>209</v>
      </c>
      <c r="C211" s="10"/>
      <c r="D211" s="10"/>
      <c r="E211" s="72"/>
      <c r="F211" s="18"/>
      <c r="G211" s="10"/>
      <c r="H211" s="10"/>
      <c r="I211" s="10"/>
      <c r="J211" s="11"/>
      <c r="K211" s="11">
        <f t="shared" si="197"/>
        <v>0</v>
      </c>
      <c r="L211" s="37">
        <f t="shared" si="198"/>
        <v>0</v>
      </c>
      <c r="M211" s="11"/>
      <c r="N211" s="10"/>
      <c r="O211" s="21"/>
      <c r="P211" s="21"/>
      <c r="Q211" s="21"/>
      <c r="R211" s="23"/>
      <c r="S211" s="50"/>
      <c r="T211" s="48"/>
      <c r="U211" s="82"/>
      <c r="V211" s="26"/>
      <c r="W211" s="200"/>
      <c r="X211" s="17"/>
    </row>
    <row r="212" spans="2:24" x14ac:dyDescent="0.25">
      <c r="B212" s="17">
        <v>210</v>
      </c>
      <c r="C212" s="10"/>
      <c r="D212" s="10"/>
      <c r="E212" s="72"/>
      <c r="F212" s="18"/>
      <c r="G212" s="10"/>
      <c r="H212" s="10"/>
      <c r="I212" s="10"/>
      <c r="J212" s="11"/>
      <c r="K212" s="11">
        <f t="shared" si="197"/>
        <v>0</v>
      </c>
      <c r="L212" s="37">
        <f t="shared" si="198"/>
        <v>0</v>
      </c>
      <c r="M212" s="11"/>
      <c r="N212" s="10"/>
      <c r="O212" s="21"/>
      <c r="P212" s="21"/>
      <c r="Q212" s="21"/>
      <c r="R212" s="23"/>
      <c r="S212" s="50"/>
      <c r="T212" s="48"/>
      <c r="U212" s="82"/>
      <c r="V212" s="26"/>
      <c r="W212" s="200"/>
      <c r="X212" s="17"/>
    </row>
    <row r="213" spans="2:24" x14ac:dyDescent="0.25">
      <c r="B213" s="17">
        <v>211</v>
      </c>
      <c r="C213" s="10"/>
      <c r="D213" s="10"/>
      <c r="E213" s="72"/>
      <c r="F213" s="18"/>
      <c r="G213" s="10"/>
      <c r="H213" s="10"/>
      <c r="I213" s="10"/>
      <c r="J213" s="11"/>
      <c r="K213" s="11">
        <f t="shared" si="197"/>
        <v>0</v>
      </c>
      <c r="L213" s="37">
        <f t="shared" si="198"/>
        <v>0</v>
      </c>
      <c r="M213" s="11"/>
      <c r="N213" s="10"/>
      <c r="O213" s="21"/>
      <c r="P213" s="21"/>
      <c r="Q213" s="21"/>
      <c r="R213" s="23"/>
      <c r="S213" s="50"/>
      <c r="T213" s="48"/>
      <c r="U213" s="82"/>
      <c r="V213" s="26"/>
      <c r="W213" s="200"/>
      <c r="X213" s="17"/>
    </row>
    <row r="214" spans="2:24" x14ac:dyDescent="0.25">
      <c r="B214" s="17">
        <v>212</v>
      </c>
      <c r="C214" s="10"/>
      <c r="D214" s="10"/>
      <c r="E214" s="72"/>
      <c r="F214" s="18"/>
      <c r="G214" s="10"/>
      <c r="H214" s="10"/>
      <c r="I214" s="10"/>
      <c r="J214" s="11"/>
      <c r="K214" s="11">
        <f t="shared" si="197"/>
        <v>0</v>
      </c>
      <c r="L214" s="37">
        <f t="shared" si="198"/>
        <v>0</v>
      </c>
      <c r="M214" s="11"/>
      <c r="N214" s="10"/>
      <c r="O214" s="21"/>
      <c r="P214" s="21"/>
      <c r="Q214" s="21"/>
      <c r="R214" s="23"/>
      <c r="S214" s="50"/>
      <c r="T214" s="48"/>
      <c r="U214" s="82"/>
      <c r="V214" s="26"/>
      <c r="W214" s="200"/>
      <c r="X214" s="17"/>
    </row>
    <row r="215" spans="2:24" x14ac:dyDescent="0.25">
      <c r="B215" s="17">
        <v>213</v>
      </c>
      <c r="C215" s="10"/>
      <c r="D215" s="10"/>
      <c r="E215" s="72"/>
      <c r="F215" s="18"/>
      <c r="G215" s="10"/>
      <c r="H215" s="10"/>
      <c r="I215" s="10"/>
      <c r="J215" s="11"/>
      <c r="K215" s="11">
        <f t="shared" si="197"/>
        <v>0</v>
      </c>
      <c r="L215" s="37">
        <f t="shared" si="198"/>
        <v>0</v>
      </c>
      <c r="M215" s="11"/>
      <c r="N215" s="10"/>
      <c r="O215" s="21"/>
      <c r="P215" s="21"/>
      <c r="Q215" s="21"/>
      <c r="R215" s="23"/>
      <c r="S215" s="50"/>
      <c r="T215" s="48"/>
      <c r="U215" s="82"/>
      <c r="V215" s="26"/>
      <c r="W215" s="200"/>
      <c r="X215" s="17"/>
    </row>
    <row r="216" spans="2:24" x14ac:dyDescent="0.25">
      <c r="B216" s="17">
        <v>214</v>
      </c>
      <c r="C216" s="10"/>
      <c r="D216" s="10"/>
      <c r="E216" s="72"/>
      <c r="F216" s="18"/>
      <c r="G216" s="10"/>
      <c r="H216" s="10"/>
      <c r="I216" s="10"/>
      <c r="J216" s="11"/>
      <c r="K216" s="11">
        <f t="shared" si="197"/>
        <v>0</v>
      </c>
      <c r="L216" s="37">
        <f t="shared" si="198"/>
        <v>0</v>
      </c>
      <c r="M216" s="11"/>
      <c r="N216" s="10"/>
      <c r="O216" s="21"/>
      <c r="P216" s="21"/>
      <c r="Q216" s="21"/>
      <c r="R216" s="23"/>
      <c r="S216" s="50"/>
      <c r="T216" s="48"/>
      <c r="U216" s="82"/>
      <c r="V216" s="32"/>
      <c r="W216" s="200"/>
      <c r="X216" s="17"/>
    </row>
    <row r="217" spans="2:24" x14ac:dyDescent="0.25">
      <c r="B217" s="17">
        <v>215</v>
      </c>
      <c r="C217" s="10"/>
      <c r="D217" s="10"/>
      <c r="E217" s="72"/>
      <c r="F217" s="18"/>
      <c r="G217" s="10"/>
      <c r="H217" s="10"/>
      <c r="I217" s="10"/>
      <c r="J217" s="11"/>
      <c r="K217" s="11">
        <f t="shared" si="197"/>
        <v>0</v>
      </c>
      <c r="L217" s="37">
        <f t="shared" si="198"/>
        <v>0</v>
      </c>
      <c r="M217" s="11"/>
      <c r="N217" s="10"/>
      <c r="O217" s="21"/>
      <c r="P217" s="21"/>
      <c r="Q217" s="21"/>
      <c r="R217" s="23"/>
      <c r="S217" s="50"/>
      <c r="T217" s="48"/>
      <c r="U217" s="82"/>
      <c r="V217" s="32"/>
      <c r="W217" s="200"/>
      <c r="X217" s="17"/>
    </row>
    <row r="218" spans="2:24" x14ac:dyDescent="0.25">
      <c r="B218" s="17">
        <v>216</v>
      </c>
      <c r="C218" s="10"/>
      <c r="D218" s="10"/>
      <c r="E218" s="72"/>
      <c r="F218" s="18"/>
      <c r="G218" s="10"/>
      <c r="H218" s="10"/>
      <c r="I218" s="10"/>
      <c r="J218" s="11"/>
      <c r="K218" s="11">
        <f t="shared" si="197"/>
        <v>0</v>
      </c>
      <c r="L218" s="37">
        <f t="shared" si="198"/>
        <v>0</v>
      </c>
      <c r="M218" s="11"/>
      <c r="N218" s="10"/>
      <c r="O218" s="21"/>
      <c r="P218" s="21"/>
      <c r="Q218" s="21"/>
      <c r="R218" s="23"/>
      <c r="S218" s="50"/>
      <c r="T218" s="48"/>
      <c r="U218" s="82"/>
      <c r="V218" s="32"/>
      <c r="W218" s="200"/>
      <c r="X218" s="17"/>
    </row>
    <row r="219" spans="2:24" x14ac:dyDescent="0.25">
      <c r="B219" s="17">
        <v>217</v>
      </c>
      <c r="C219" s="10"/>
      <c r="D219" s="10"/>
      <c r="E219" s="72"/>
      <c r="F219" s="18"/>
      <c r="G219" s="10"/>
      <c r="H219" s="10"/>
      <c r="I219" s="10"/>
      <c r="J219" s="11"/>
      <c r="K219" s="11">
        <f t="shared" si="197"/>
        <v>0</v>
      </c>
      <c r="L219" s="37">
        <f t="shared" si="198"/>
        <v>0</v>
      </c>
      <c r="M219" s="11"/>
      <c r="N219" s="10"/>
      <c r="O219" s="21"/>
      <c r="P219" s="21"/>
      <c r="Q219" s="21"/>
      <c r="R219" s="23"/>
      <c r="S219" s="50"/>
      <c r="T219" s="48"/>
      <c r="U219" s="82"/>
      <c r="V219" s="32"/>
      <c r="W219" s="200"/>
      <c r="X219" s="17"/>
    </row>
    <row r="220" spans="2:24" x14ac:dyDescent="0.25">
      <c r="B220" s="17">
        <v>218</v>
      </c>
      <c r="C220" s="10"/>
      <c r="D220" s="10"/>
      <c r="E220" s="72"/>
      <c r="F220" s="18"/>
      <c r="G220" s="10"/>
      <c r="H220" s="10"/>
      <c r="I220" s="10"/>
      <c r="J220" s="11"/>
      <c r="K220" s="11">
        <f t="shared" si="197"/>
        <v>0</v>
      </c>
      <c r="L220" s="37">
        <f t="shared" si="198"/>
        <v>0</v>
      </c>
      <c r="M220" s="11"/>
      <c r="N220" s="10"/>
      <c r="O220" s="21"/>
      <c r="P220" s="21"/>
      <c r="Q220" s="21"/>
      <c r="R220" s="23"/>
      <c r="S220" s="50"/>
      <c r="T220" s="48"/>
      <c r="U220" s="82"/>
      <c r="V220" s="26"/>
      <c r="W220" s="200"/>
      <c r="X220" s="17"/>
    </row>
    <row r="221" spans="2:24" x14ac:dyDescent="0.25">
      <c r="B221" s="17">
        <v>219</v>
      </c>
      <c r="C221" s="10"/>
      <c r="D221" s="10"/>
      <c r="E221" s="72"/>
      <c r="F221" s="18"/>
      <c r="G221" s="10"/>
      <c r="H221" s="10"/>
      <c r="I221" s="10"/>
      <c r="J221" s="11"/>
      <c r="K221" s="11">
        <f t="shared" si="197"/>
        <v>0</v>
      </c>
      <c r="L221" s="37">
        <f t="shared" si="198"/>
        <v>0</v>
      </c>
      <c r="M221" s="11"/>
      <c r="N221" s="10"/>
      <c r="O221" s="21"/>
      <c r="P221" s="21"/>
      <c r="Q221" s="21"/>
      <c r="R221" s="23"/>
      <c r="S221" s="50"/>
      <c r="T221" s="48"/>
      <c r="U221" s="82"/>
      <c r="V221" s="26"/>
      <c r="W221" s="200"/>
      <c r="X221" s="17"/>
    </row>
    <row r="222" spans="2:24" x14ac:dyDescent="0.25">
      <c r="B222" s="17">
        <v>220</v>
      </c>
      <c r="C222" s="10"/>
      <c r="D222" s="10"/>
      <c r="E222" s="72"/>
      <c r="F222" s="18"/>
      <c r="G222" s="10"/>
      <c r="H222" s="10"/>
      <c r="I222" s="10"/>
      <c r="J222" s="11"/>
      <c r="K222" s="11">
        <f t="shared" si="197"/>
        <v>0</v>
      </c>
      <c r="L222" s="37">
        <f t="shared" si="198"/>
        <v>0</v>
      </c>
      <c r="M222" s="11"/>
      <c r="N222" s="10"/>
      <c r="O222" s="21"/>
      <c r="P222" s="21"/>
      <c r="Q222" s="21"/>
      <c r="R222" s="23"/>
      <c r="S222" s="50"/>
      <c r="T222" s="48"/>
      <c r="U222" s="82"/>
      <c r="V222" s="26"/>
      <c r="W222" s="200"/>
      <c r="X222" s="17"/>
    </row>
    <row r="223" spans="2:24" x14ac:dyDescent="0.25">
      <c r="B223" s="17">
        <v>221</v>
      </c>
      <c r="C223" s="10"/>
      <c r="D223" s="10"/>
      <c r="E223" s="72"/>
      <c r="F223" s="18"/>
      <c r="G223" s="10"/>
      <c r="H223" s="10"/>
      <c r="I223" s="10"/>
      <c r="J223" s="11"/>
      <c r="K223" s="11">
        <f t="shared" si="197"/>
        <v>0</v>
      </c>
      <c r="L223" s="37">
        <f t="shared" si="198"/>
        <v>0</v>
      </c>
      <c r="M223" s="11"/>
      <c r="N223" s="10"/>
      <c r="O223" s="21"/>
      <c r="P223" s="21"/>
      <c r="Q223" s="21"/>
      <c r="R223" s="23"/>
      <c r="S223" s="50"/>
      <c r="T223" s="48"/>
      <c r="U223" s="82"/>
      <c r="V223" s="26"/>
      <c r="W223" s="200"/>
      <c r="X223" s="17"/>
    </row>
    <row r="224" spans="2:24" x14ac:dyDescent="0.25">
      <c r="B224" s="17">
        <v>222</v>
      </c>
      <c r="C224" s="10"/>
      <c r="D224" s="10"/>
      <c r="E224" s="72"/>
      <c r="F224" s="18"/>
      <c r="G224" s="10"/>
      <c r="H224" s="10"/>
      <c r="I224" s="10"/>
      <c r="J224" s="11"/>
      <c r="K224" s="11">
        <f t="shared" si="197"/>
        <v>0</v>
      </c>
      <c r="L224" s="37">
        <f t="shared" si="198"/>
        <v>0</v>
      </c>
      <c r="M224" s="11"/>
      <c r="N224" s="10"/>
      <c r="O224" s="21"/>
      <c r="P224" s="21"/>
      <c r="Q224" s="21"/>
      <c r="R224" s="23"/>
      <c r="S224" s="50"/>
      <c r="T224" s="48"/>
      <c r="U224" s="82"/>
      <c r="V224" s="26"/>
      <c r="W224" s="200"/>
      <c r="X224" s="17"/>
    </row>
    <row r="225" spans="2:24" x14ac:dyDescent="0.25">
      <c r="B225" s="17">
        <v>223</v>
      </c>
      <c r="C225" s="10"/>
      <c r="D225" s="10"/>
      <c r="E225" s="72"/>
      <c r="F225" s="18"/>
      <c r="G225" s="10"/>
      <c r="H225" s="10"/>
      <c r="I225" s="10"/>
      <c r="J225" s="11"/>
      <c r="K225" s="11">
        <f t="shared" si="197"/>
        <v>0</v>
      </c>
      <c r="L225" s="37">
        <f t="shared" si="198"/>
        <v>0</v>
      </c>
      <c r="M225" s="11"/>
      <c r="N225" s="10"/>
      <c r="O225" s="21"/>
      <c r="P225" s="21"/>
      <c r="Q225" s="21"/>
      <c r="R225" s="23"/>
      <c r="S225" s="50"/>
      <c r="T225" s="48"/>
      <c r="U225" s="82"/>
      <c r="V225" s="32"/>
      <c r="W225" s="200"/>
      <c r="X225" s="17"/>
    </row>
    <row r="226" spans="2:24" x14ac:dyDescent="0.25">
      <c r="B226" s="17">
        <v>224</v>
      </c>
      <c r="C226" s="10"/>
      <c r="D226" s="10"/>
      <c r="E226" s="72"/>
      <c r="F226" s="18"/>
      <c r="G226" s="10"/>
      <c r="H226" s="10"/>
      <c r="I226" s="10"/>
      <c r="J226" s="11"/>
      <c r="K226" s="11">
        <f t="shared" si="197"/>
        <v>0</v>
      </c>
      <c r="L226" s="37">
        <f t="shared" si="198"/>
        <v>0</v>
      </c>
      <c r="M226" s="11"/>
      <c r="N226" s="10"/>
      <c r="O226" s="21"/>
      <c r="P226" s="21"/>
      <c r="Q226" s="21"/>
      <c r="R226" s="23"/>
      <c r="S226" s="50"/>
      <c r="T226" s="48"/>
      <c r="U226" s="82"/>
      <c r="V226" s="32"/>
      <c r="W226" s="200"/>
      <c r="X226" s="17"/>
    </row>
    <row r="227" spans="2:24" x14ac:dyDescent="0.25">
      <c r="B227" s="17">
        <v>225</v>
      </c>
      <c r="C227" s="10"/>
      <c r="D227" s="10"/>
      <c r="E227" s="72"/>
      <c r="F227" s="18"/>
      <c r="G227" s="10"/>
      <c r="H227" s="10"/>
      <c r="I227" s="10"/>
      <c r="J227" s="11"/>
      <c r="K227" s="11">
        <f t="shared" si="197"/>
        <v>0</v>
      </c>
      <c r="L227" s="37">
        <f t="shared" si="198"/>
        <v>0</v>
      </c>
      <c r="M227" s="11"/>
      <c r="N227" s="10"/>
      <c r="O227" s="21"/>
      <c r="P227" s="21"/>
      <c r="Q227" s="21"/>
      <c r="R227" s="23"/>
      <c r="S227" s="50"/>
      <c r="T227" s="48"/>
      <c r="U227" s="82"/>
      <c r="V227" s="26"/>
      <c r="W227" s="200"/>
      <c r="X227" s="17"/>
    </row>
    <row r="228" spans="2:24" x14ac:dyDescent="0.25">
      <c r="B228" s="17">
        <v>226</v>
      </c>
      <c r="C228" s="10"/>
      <c r="D228" s="10"/>
      <c r="E228" s="72"/>
      <c r="F228" s="18"/>
      <c r="G228" s="10"/>
      <c r="H228" s="10"/>
      <c r="I228" s="10"/>
      <c r="J228" s="11"/>
      <c r="K228" s="11">
        <f t="shared" si="197"/>
        <v>0</v>
      </c>
      <c r="L228" s="37">
        <f t="shared" si="198"/>
        <v>0</v>
      </c>
      <c r="M228" s="11"/>
      <c r="N228" s="10"/>
      <c r="O228" s="21"/>
      <c r="P228" s="21"/>
      <c r="Q228" s="21"/>
      <c r="R228" s="23"/>
      <c r="S228" s="50"/>
      <c r="T228" s="48"/>
      <c r="U228" s="82"/>
      <c r="V228" s="26"/>
      <c r="W228" s="200"/>
      <c r="X228" s="17"/>
    </row>
    <row r="229" spans="2:24" x14ac:dyDescent="0.25">
      <c r="B229" s="17">
        <v>227</v>
      </c>
      <c r="C229" s="10"/>
      <c r="D229" s="10"/>
      <c r="E229" s="72"/>
      <c r="F229" s="18"/>
      <c r="G229" s="10"/>
      <c r="H229" s="10"/>
      <c r="I229" s="10"/>
      <c r="J229" s="11"/>
      <c r="K229" s="11">
        <f t="shared" si="197"/>
        <v>0</v>
      </c>
      <c r="L229" s="37">
        <f t="shared" si="198"/>
        <v>0</v>
      </c>
      <c r="M229" s="11"/>
      <c r="N229" s="10"/>
      <c r="O229" s="21"/>
      <c r="P229" s="21"/>
      <c r="Q229" s="21"/>
      <c r="R229" s="23"/>
      <c r="S229" s="50"/>
      <c r="T229" s="48"/>
      <c r="U229" s="82"/>
      <c r="V229" s="26"/>
      <c r="W229" s="200"/>
      <c r="X229" s="17"/>
    </row>
    <row r="230" spans="2:24" x14ac:dyDescent="0.25">
      <c r="B230" s="17">
        <v>228</v>
      </c>
      <c r="C230" s="10"/>
      <c r="D230" s="10"/>
      <c r="E230" s="72"/>
      <c r="F230" s="18"/>
      <c r="G230" s="10"/>
      <c r="H230" s="10"/>
      <c r="I230" s="10"/>
      <c r="J230" s="11"/>
      <c r="K230" s="11">
        <f t="shared" si="197"/>
        <v>0</v>
      </c>
      <c r="L230" s="37">
        <f t="shared" si="198"/>
        <v>0</v>
      </c>
      <c r="M230" s="11"/>
      <c r="N230" s="10"/>
      <c r="O230" s="21"/>
      <c r="P230" s="21"/>
      <c r="Q230" s="21"/>
      <c r="R230" s="23"/>
      <c r="S230" s="50"/>
      <c r="T230" s="48"/>
      <c r="U230" s="82"/>
      <c r="V230" s="26"/>
      <c r="W230" s="200"/>
      <c r="X230" s="17"/>
    </row>
    <row r="231" spans="2:24" x14ac:dyDescent="0.25">
      <c r="B231" s="17">
        <v>229</v>
      </c>
      <c r="C231" s="10"/>
      <c r="D231" s="10"/>
      <c r="E231" s="72"/>
      <c r="F231" s="18"/>
      <c r="G231" s="10"/>
      <c r="H231" s="10"/>
      <c r="I231" s="10"/>
      <c r="J231" s="11"/>
      <c r="K231" s="11">
        <f t="shared" si="197"/>
        <v>0</v>
      </c>
      <c r="L231" s="37">
        <f t="shared" si="198"/>
        <v>0</v>
      </c>
      <c r="M231" s="11"/>
      <c r="N231" s="10"/>
      <c r="O231" s="21"/>
      <c r="P231" s="21"/>
      <c r="Q231" s="21"/>
      <c r="R231" s="23"/>
      <c r="S231" s="50"/>
      <c r="T231" s="48"/>
      <c r="U231" s="82"/>
      <c r="V231" s="32"/>
      <c r="W231" s="200"/>
      <c r="X231" s="17"/>
    </row>
    <row r="232" spans="2:24" x14ac:dyDescent="0.25">
      <c r="B232" s="17">
        <v>230</v>
      </c>
      <c r="C232" s="10"/>
      <c r="D232" s="10"/>
      <c r="E232" s="72"/>
      <c r="F232" s="18"/>
      <c r="G232" s="10"/>
      <c r="H232" s="10"/>
      <c r="I232" s="10"/>
      <c r="J232" s="11"/>
      <c r="K232" s="11">
        <f t="shared" si="197"/>
        <v>0</v>
      </c>
      <c r="L232" s="37">
        <f t="shared" si="198"/>
        <v>0</v>
      </c>
      <c r="M232" s="11"/>
      <c r="N232" s="10"/>
      <c r="O232" s="21"/>
      <c r="P232" s="21"/>
      <c r="Q232" s="21"/>
      <c r="R232" s="23"/>
      <c r="S232" s="50"/>
      <c r="T232" s="48"/>
      <c r="U232" s="82"/>
      <c r="V232" s="32"/>
      <c r="W232" s="200"/>
      <c r="X232" s="17"/>
    </row>
    <row r="233" spans="2:24" x14ac:dyDescent="0.25">
      <c r="B233" s="17">
        <v>231</v>
      </c>
      <c r="C233" s="10"/>
      <c r="D233" s="10"/>
      <c r="E233" s="72"/>
      <c r="F233" s="18"/>
      <c r="G233" s="10"/>
      <c r="H233" s="10"/>
      <c r="I233" s="10"/>
      <c r="J233" s="11"/>
      <c r="K233" s="11">
        <f t="shared" si="197"/>
        <v>0</v>
      </c>
      <c r="L233" s="37">
        <f t="shared" si="198"/>
        <v>0</v>
      </c>
      <c r="M233" s="11"/>
      <c r="N233" s="10"/>
      <c r="O233" s="21"/>
      <c r="P233" s="21"/>
      <c r="Q233" s="21"/>
      <c r="R233" s="23"/>
      <c r="S233" s="50"/>
      <c r="T233" s="48"/>
      <c r="U233" s="82"/>
      <c r="V233" s="26"/>
      <c r="W233" s="200"/>
      <c r="X233" s="17"/>
    </row>
    <row r="234" spans="2:24" x14ac:dyDescent="0.25">
      <c r="B234" s="17">
        <v>232</v>
      </c>
      <c r="C234" s="10"/>
      <c r="D234" s="10"/>
      <c r="E234" s="72"/>
      <c r="F234" s="18"/>
      <c r="G234" s="10"/>
      <c r="H234" s="10"/>
      <c r="I234" s="10"/>
      <c r="J234" s="11"/>
      <c r="K234" s="11">
        <f t="shared" si="197"/>
        <v>0</v>
      </c>
      <c r="L234" s="37">
        <f t="shared" si="198"/>
        <v>0</v>
      </c>
      <c r="M234" s="11"/>
      <c r="N234" s="10"/>
      <c r="O234" s="21"/>
      <c r="P234" s="21"/>
      <c r="Q234" s="21"/>
      <c r="R234" s="23"/>
      <c r="S234" s="50"/>
      <c r="T234" s="48"/>
      <c r="U234" s="82"/>
      <c r="V234" s="26"/>
      <c r="W234" s="200"/>
      <c r="X234" s="17"/>
    </row>
    <row r="235" spans="2:24" x14ac:dyDescent="0.25">
      <c r="B235" s="17">
        <v>233</v>
      </c>
      <c r="C235" s="10"/>
      <c r="D235" s="10"/>
      <c r="E235" s="72"/>
      <c r="F235" s="18"/>
      <c r="G235" s="10"/>
      <c r="H235" s="10"/>
      <c r="I235" s="10"/>
      <c r="J235" s="11"/>
      <c r="K235" s="11">
        <f t="shared" si="197"/>
        <v>0</v>
      </c>
      <c r="L235" s="37">
        <f t="shared" si="198"/>
        <v>0</v>
      </c>
      <c r="M235" s="11"/>
      <c r="N235" s="10"/>
      <c r="O235" s="21"/>
      <c r="P235" s="21"/>
      <c r="Q235" s="21"/>
      <c r="R235" s="23"/>
      <c r="S235" s="50"/>
      <c r="T235" s="48"/>
      <c r="U235" s="82"/>
      <c r="V235" s="26"/>
      <c r="W235" s="200"/>
      <c r="X235" s="17"/>
    </row>
    <row r="236" spans="2:24" x14ac:dyDescent="0.25">
      <c r="B236" s="17">
        <v>234</v>
      </c>
      <c r="C236" s="10"/>
      <c r="D236" s="10"/>
      <c r="E236" s="72"/>
      <c r="F236" s="18"/>
      <c r="G236" s="10"/>
      <c r="H236" s="10"/>
      <c r="I236" s="10"/>
      <c r="J236" s="11"/>
      <c r="K236" s="11">
        <f t="shared" si="197"/>
        <v>0</v>
      </c>
      <c r="L236" s="37">
        <f t="shared" si="198"/>
        <v>0</v>
      </c>
      <c r="M236" s="11"/>
      <c r="N236" s="10"/>
      <c r="O236" s="21"/>
      <c r="P236" s="21"/>
      <c r="Q236" s="21"/>
      <c r="R236" s="23"/>
      <c r="S236" s="50"/>
      <c r="T236" s="48"/>
      <c r="U236" s="82"/>
      <c r="V236" s="26"/>
      <c r="W236" s="200"/>
      <c r="X236" s="17"/>
    </row>
    <row r="237" spans="2:24" x14ac:dyDescent="0.25">
      <c r="B237" s="17">
        <v>235</v>
      </c>
      <c r="C237" s="10"/>
      <c r="D237" s="10"/>
      <c r="E237" s="72"/>
      <c r="F237" s="18"/>
      <c r="G237" s="10"/>
      <c r="H237" s="10"/>
      <c r="I237" s="10"/>
      <c r="J237" s="11"/>
      <c r="K237" s="11">
        <f t="shared" si="197"/>
        <v>0</v>
      </c>
      <c r="L237" s="37">
        <f t="shared" si="198"/>
        <v>0</v>
      </c>
      <c r="M237" s="11"/>
      <c r="N237" s="10"/>
      <c r="O237" s="21"/>
      <c r="P237" s="21"/>
      <c r="Q237" s="21"/>
      <c r="R237" s="23"/>
      <c r="S237" s="50"/>
      <c r="T237" s="48"/>
      <c r="U237" s="82"/>
      <c r="V237" s="26"/>
      <c r="W237" s="200"/>
      <c r="X237" s="17"/>
    </row>
    <row r="238" spans="2:24" x14ac:dyDescent="0.25">
      <c r="B238" s="17">
        <v>236</v>
      </c>
      <c r="C238" s="10"/>
      <c r="D238" s="10"/>
      <c r="E238" s="72"/>
      <c r="F238" s="18"/>
      <c r="G238" s="10"/>
      <c r="H238" s="10"/>
      <c r="I238" s="10"/>
      <c r="J238" s="11"/>
      <c r="K238" s="11">
        <f t="shared" si="197"/>
        <v>0</v>
      </c>
      <c r="L238" s="37">
        <f t="shared" si="198"/>
        <v>0</v>
      </c>
      <c r="M238" s="11"/>
      <c r="N238" s="10"/>
      <c r="O238" s="21"/>
      <c r="P238" s="21"/>
      <c r="Q238" s="21"/>
      <c r="R238" s="23"/>
      <c r="S238" s="50"/>
      <c r="T238" s="48"/>
      <c r="U238" s="82"/>
      <c r="V238" s="32"/>
      <c r="W238" s="200"/>
      <c r="X238" s="17"/>
    </row>
    <row r="239" spans="2:24" x14ac:dyDescent="0.25">
      <c r="B239" s="17">
        <v>237</v>
      </c>
      <c r="C239" s="10"/>
      <c r="D239" s="10"/>
      <c r="E239" s="72"/>
      <c r="F239" s="18"/>
      <c r="G239" s="10"/>
      <c r="H239" s="10"/>
      <c r="I239" s="10"/>
      <c r="J239" s="11"/>
      <c r="K239" s="11">
        <f t="shared" si="197"/>
        <v>0</v>
      </c>
      <c r="L239" s="37">
        <f t="shared" si="198"/>
        <v>0</v>
      </c>
      <c r="M239" s="11"/>
      <c r="N239" s="10"/>
      <c r="O239" s="21"/>
      <c r="P239" s="21"/>
      <c r="Q239" s="21"/>
      <c r="R239" s="23"/>
      <c r="S239" s="50"/>
      <c r="T239" s="48"/>
      <c r="U239" s="82"/>
      <c r="V239" s="32"/>
      <c r="W239" s="200"/>
      <c r="X239" s="17"/>
    </row>
    <row r="240" spans="2:24" x14ac:dyDescent="0.25">
      <c r="B240" s="17">
        <v>238</v>
      </c>
      <c r="C240" s="10"/>
      <c r="D240" s="10"/>
      <c r="E240" s="72"/>
      <c r="F240" s="18"/>
      <c r="G240" s="10"/>
      <c r="H240" s="10"/>
      <c r="I240" s="10"/>
      <c r="J240" s="11"/>
      <c r="K240" s="11">
        <f t="shared" si="197"/>
        <v>0</v>
      </c>
      <c r="L240" s="37">
        <f t="shared" si="198"/>
        <v>0</v>
      </c>
      <c r="M240" s="11"/>
      <c r="N240" s="10"/>
      <c r="O240" s="21"/>
      <c r="P240" s="21"/>
      <c r="Q240" s="21"/>
      <c r="R240" s="23"/>
      <c r="S240" s="50"/>
      <c r="T240" s="48"/>
      <c r="U240" s="82"/>
      <c r="V240" s="26"/>
      <c r="W240" s="200"/>
      <c r="X240" s="17"/>
    </row>
    <row r="241" spans="2:24" x14ac:dyDescent="0.25">
      <c r="B241" s="17">
        <v>239</v>
      </c>
      <c r="C241" s="10"/>
      <c r="D241" s="10"/>
      <c r="E241" s="72"/>
      <c r="F241" s="18"/>
      <c r="G241" s="10"/>
      <c r="H241" s="10"/>
      <c r="I241" s="10"/>
      <c r="J241" s="11"/>
      <c r="K241" s="11">
        <f t="shared" si="197"/>
        <v>0</v>
      </c>
      <c r="L241" s="37">
        <f t="shared" si="198"/>
        <v>0</v>
      </c>
      <c r="M241" s="11"/>
      <c r="N241" s="10"/>
      <c r="O241" s="21"/>
      <c r="P241" s="21"/>
      <c r="Q241" s="21"/>
      <c r="R241" s="23"/>
      <c r="S241" s="50"/>
      <c r="T241" s="48"/>
      <c r="U241" s="82"/>
      <c r="V241" s="26"/>
      <c r="W241" s="200"/>
      <c r="X241" s="17"/>
    </row>
    <row r="242" spans="2:24" x14ac:dyDescent="0.25">
      <c r="B242" s="17">
        <v>240</v>
      </c>
      <c r="C242" s="10"/>
      <c r="D242" s="10"/>
      <c r="E242" s="72"/>
      <c r="F242" s="18"/>
      <c r="G242" s="10"/>
      <c r="H242" s="10"/>
      <c r="I242" s="10"/>
      <c r="J242" s="11"/>
      <c r="K242" s="11">
        <f t="shared" si="197"/>
        <v>0</v>
      </c>
      <c r="L242" s="37">
        <f t="shared" si="198"/>
        <v>0</v>
      </c>
      <c r="M242" s="11"/>
      <c r="N242" s="10"/>
      <c r="O242" s="21"/>
      <c r="P242" s="21"/>
      <c r="Q242" s="21"/>
      <c r="R242" s="23"/>
      <c r="S242" s="50"/>
      <c r="T242" s="48"/>
      <c r="U242" s="82"/>
      <c r="V242" s="26"/>
      <c r="W242" s="200"/>
      <c r="X242" s="17"/>
    </row>
    <row r="243" spans="2:24" x14ac:dyDescent="0.25">
      <c r="B243" s="17">
        <v>241</v>
      </c>
      <c r="C243" s="10"/>
      <c r="D243" s="10"/>
      <c r="E243" s="72"/>
      <c r="F243" s="18"/>
      <c r="G243" s="10"/>
      <c r="H243" s="10"/>
      <c r="I243" s="10"/>
      <c r="J243" s="11"/>
      <c r="K243" s="11">
        <f t="shared" si="197"/>
        <v>0</v>
      </c>
      <c r="L243" s="37">
        <f t="shared" si="198"/>
        <v>0</v>
      </c>
      <c r="M243" s="11"/>
      <c r="N243" s="10"/>
      <c r="O243" s="21"/>
      <c r="P243" s="21"/>
      <c r="Q243" s="21"/>
      <c r="R243" s="23"/>
      <c r="S243" s="50"/>
      <c r="T243" s="48"/>
      <c r="U243" s="82"/>
      <c r="V243" s="26"/>
      <c r="W243" s="200"/>
      <c r="X243" s="17"/>
    </row>
    <row r="244" spans="2:24" x14ac:dyDescent="0.25">
      <c r="B244" s="17">
        <v>242</v>
      </c>
      <c r="C244" s="10"/>
      <c r="D244" s="10"/>
      <c r="E244" s="72"/>
      <c r="F244" s="18"/>
      <c r="G244" s="10"/>
      <c r="H244" s="10"/>
      <c r="I244" s="10"/>
      <c r="J244" s="11"/>
      <c r="K244" s="11">
        <f t="shared" si="197"/>
        <v>0</v>
      </c>
      <c r="L244" s="37">
        <f t="shared" si="198"/>
        <v>0</v>
      </c>
      <c r="M244" s="11"/>
      <c r="N244" s="10"/>
      <c r="O244" s="21"/>
      <c r="P244" s="21"/>
      <c r="Q244" s="21"/>
      <c r="R244" s="23"/>
      <c r="S244" s="50"/>
      <c r="T244" s="48"/>
      <c r="U244" s="82"/>
      <c r="V244" s="26"/>
      <c r="W244" s="200"/>
      <c r="X244" s="17"/>
    </row>
    <row r="245" spans="2:24" x14ac:dyDescent="0.25">
      <c r="B245" s="17">
        <v>243</v>
      </c>
      <c r="C245" s="10"/>
      <c r="D245" s="10"/>
      <c r="E245" s="72"/>
      <c r="F245" s="18"/>
      <c r="G245" s="10"/>
      <c r="H245" s="10"/>
      <c r="I245" s="10"/>
      <c r="J245" s="11"/>
      <c r="K245" s="11">
        <f t="shared" si="197"/>
        <v>0</v>
      </c>
      <c r="L245" s="37">
        <f t="shared" si="198"/>
        <v>0</v>
      </c>
      <c r="M245" s="11"/>
      <c r="N245" s="10"/>
      <c r="O245" s="21"/>
      <c r="P245" s="21"/>
      <c r="Q245" s="21"/>
      <c r="R245" s="23"/>
      <c r="S245" s="50"/>
      <c r="T245" s="48"/>
      <c r="U245" s="82"/>
      <c r="V245" s="32"/>
      <c r="W245" s="200"/>
      <c r="X245" s="17"/>
    </row>
    <row r="246" spans="2:24" x14ac:dyDescent="0.25">
      <c r="B246" s="17">
        <v>244</v>
      </c>
      <c r="C246" s="10"/>
      <c r="D246" s="10"/>
      <c r="E246" s="72"/>
      <c r="F246" s="18"/>
      <c r="G246" s="10"/>
      <c r="H246" s="10"/>
      <c r="I246" s="10"/>
      <c r="J246" s="11"/>
      <c r="K246" s="11">
        <f t="shared" si="197"/>
        <v>0</v>
      </c>
      <c r="L246" s="37">
        <f t="shared" si="198"/>
        <v>0</v>
      </c>
      <c r="M246" s="11"/>
      <c r="N246" s="10"/>
      <c r="O246" s="21"/>
      <c r="P246" s="21"/>
      <c r="Q246" s="21"/>
      <c r="R246" s="23"/>
      <c r="S246" s="50"/>
      <c r="T246" s="48"/>
      <c r="U246" s="82"/>
      <c r="V246" s="32"/>
      <c r="W246" s="200"/>
      <c r="X246" s="17"/>
    </row>
    <row r="247" spans="2:24" x14ac:dyDescent="0.25">
      <c r="B247" s="17">
        <v>245</v>
      </c>
      <c r="C247" s="10"/>
      <c r="D247" s="10"/>
      <c r="E247" s="72"/>
      <c r="F247" s="18"/>
      <c r="G247" s="10"/>
      <c r="H247" s="10"/>
      <c r="I247" s="10"/>
      <c r="J247" s="11"/>
      <c r="K247" s="11">
        <f t="shared" si="197"/>
        <v>0</v>
      </c>
      <c r="L247" s="37">
        <f t="shared" si="198"/>
        <v>0</v>
      </c>
      <c r="M247" s="11"/>
      <c r="N247" s="10"/>
      <c r="O247" s="21"/>
      <c r="P247" s="21"/>
      <c r="Q247" s="21"/>
      <c r="R247" s="23"/>
      <c r="S247" s="50"/>
      <c r="T247" s="48"/>
      <c r="U247" s="82"/>
      <c r="V247" s="32"/>
      <c r="W247" s="200"/>
      <c r="X247" s="17"/>
    </row>
    <row r="248" spans="2:24" x14ac:dyDescent="0.25">
      <c r="B248" s="17">
        <v>246</v>
      </c>
      <c r="C248" s="10"/>
      <c r="D248" s="10"/>
      <c r="E248" s="72"/>
      <c r="F248" s="18"/>
      <c r="G248" s="10"/>
      <c r="H248" s="10"/>
      <c r="I248" s="10"/>
      <c r="J248" s="11"/>
      <c r="K248" s="11">
        <f t="shared" si="197"/>
        <v>0</v>
      </c>
      <c r="L248" s="37">
        <f t="shared" si="198"/>
        <v>0</v>
      </c>
      <c r="M248" s="11"/>
      <c r="N248" s="10"/>
      <c r="O248" s="21"/>
      <c r="P248" s="21"/>
      <c r="Q248" s="21"/>
      <c r="R248" s="23"/>
      <c r="S248" s="50"/>
      <c r="T248" s="48"/>
      <c r="U248" s="82"/>
      <c r="V248" s="32"/>
      <c r="W248" s="200"/>
      <c r="X248" s="17"/>
    </row>
    <row r="249" spans="2:24" x14ac:dyDescent="0.25">
      <c r="B249" s="17">
        <v>247</v>
      </c>
      <c r="C249" s="10"/>
      <c r="D249" s="10"/>
      <c r="E249" s="72"/>
      <c r="F249" s="18"/>
      <c r="G249" s="10"/>
      <c r="H249" s="10"/>
      <c r="I249" s="10"/>
      <c r="J249" s="11"/>
      <c r="K249" s="11">
        <f t="shared" si="197"/>
        <v>0</v>
      </c>
      <c r="L249" s="37">
        <f t="shared" si="198"/>
        <v>0</v>
      </c>
      <c r="M249" s="11"/>
      <c r="N249" s="10"/>
      <c r="O249" s="21"/>
      <c r="P249" s="21"/>
      <c r="Q249" s="21"/>
      <c r="R249" s="23"/>
      <c r="S249" s="50"/>
      <c r="T249" s="48"/>
      <c r="U249" s="82"/>
      <c r="V249" s="26"/>
      <c r="W249" s="200"/>
      <c r="X249" s="17"/>
    </row>
    <row r="250" spans="2:24" x14ac:dyDescent="0.25">
      <c r="B250" s="17">
        <v>248</v>
      </c>
      <c r="C250" s="10"/>
      <c r="D250" s="10"/>
      <c r="E250" s="72"/>
      <c r="F250" s="18"/>
      <c r="G250" s="10"/>
      <c r="H250" s="10"/>
      <c r="I250" s="10"/>
      <c r="J250" s="11"/>
      <c r="K250" s="11">
        <f t="shared" si="197"/>
        <v>0</v>
      </c>
      <c r="L250" s="37">
        <f t="shared" si="198"/>
        <v>0</v>
      </c>
      <c r="M250" s="11"/>
      <c r="N250" s="10"/>
      <c r="O250" s="21"/>
      <c r="P250" s="21"/>
      <c r="Q250" s="21"/>
      <c r="R250" s="23"/>
      <c r="S250" s="50"/>
      <c r="T250" s="48"/>
      <c r="U250" s="82"/>
      <c r="V250" s="26"/>
      <c r="W250" s="200"/>
      <c r="X250" s="17"/>
    </row>
    <row r="251" spans="2:24" x14ac:dyDescent="0.25">
      <c r="B251" s="17">
        <v>249</v>
      </c>
      <c r="C251" s="10"/>
      <c r="D251" s="10"/>
      <c r="E251" s="72"/>
      <c r="F251" s="18"/>
      <c r="G251" s="10"/>
      <c r="H251" s="10"/>
      <c r="I251" s="10"/>
      <c r="J251" s="11"/>
      <c r="K251" s="11">
        <f t="shared" si="197"/>
        <v>0</v>
      </c>
      <c r="L251" s="37">
        <f t="shared" si="198"/>
        <v>0</v>
      </c>
      <c r="M251" s="11"/>
      <c r="N251" s="10"/>
      <c r="O251" s="21"/>
      <c r="P251" s="21"/>
      <c r="Q251" s="21"/>
      <c r="R251" s="23"/>
      <c r="S251" s="50"/>
      <c r="T251" s="48"/>
      <c r="U251" s="82"/>
      <c r="V251" s="26"/>
      <c r="W251" s="200"/>
      <c r="X251" s="17"/>
    </row>
    <row r="252" spans="2:24" x14ac:dyDescent="0.25">
      <c r="B252" s="17">
        <v>250</v>
      </c>
      <c r="C252" s="10"/>
      <c r="D252" s="10"/>
      <c r="E252" s="72"/>
      <c r="F252" s="18"/>
      <c r="G252" s="10"/>
      <c r="H252" s="10"/>
      <c r="I252" s="10"/>
      <c r="J252" s="11"/>
      <c r="K252" s="11">
        <f t="shared" si="197"/>
        <v>0</v>
      </c>
      <c r="L252" s="37">
        <f t="shared" si="198"/>
        <v>0</v>
      </c>
      <c r="M252" s="11"/>
      <c r="N252" s="10"/>
      <c r="O252" s="21"/>
      <c r="P252" s="21"/>
      <c r="Q252" s="21"/>
      <c r="R252" s="23"/>
      <c r="S252" s="50"/>
      <c r="T252" s="48"/>
      <c r="U252" s="82"/>
      <c r="V252" s="26"/>
      <c r="W252" s="200"/>
      <c r="X252" s="17"/>
    </row>
    <row r="253" spans="2:24" x14ac:dyDescent="0.25">
      <c r="B253" s="17">
        <v>251</v>
      </c>
      <c r="C253" s="10"/>
      <c r="D253" s="10"/>
      <c r="E253" s="72"/>
      <c r="F253" s="18"/>
      <c r="G253" s="10"/>
      <c r="H253" s="10"/>
      <c r="I253" s="10"/>
      <c r="J253" s="11"/>
      <c r="K253" s="11">
        <f t="shared" si="197"/>
        <v>0</v>
      </c>
      <c r="L253" s="37">
        <f t="shared" si="198"/>
        <v>0</v>
      </c>
      <c r="M253" s="11"/>
      <c r="N253" s="10"/>
      <c r="O253" s="21"/>
      <c r="P253" s="21"/>
      <c r="Q253" s="21"/>
      <c r="R253" s="23"/>
      <c r="S253" s="50"/>
      <c r="T253" s="48"/>
      <c r="U253" s="82"/>
      <c r="V253" s="32"/>
      <c r="W253" s="200"/>
      <c r="X253" s="17"/>
    </row>
    <row r="254" spans="2:24" x14ac:dyDescent="0.25">
      <c r="B254" s="17">
        <v>252</v>
      </c>
      <c r="C254" s="10"/>
      <c r="D254" s="10"/>
      <c r="E254" s="72"/>
      <c r="F254" s="18"/>
      <c r="G254" s="10"/>
      <c r="H254" s="10"/>
      <c r="I254" s="10"/>
      <c r="J254" s="11"/>
      <c r="K254" s="11">
        <f t="shared" si="197"/>
        <v>0</v>
      </c>
      <c r="L254" s="37">
        <f t="shared" si="198"/>
        <v>0</v>
      </c>
      <c r="M254" s="11"/>
      <c r="N254" s="10"/>
      <c r="O254" s="21"/>
      <c r="P254" s="21"/>
      <c r="Q254" s="21"/>
      <c r="R254" s="23"/>
      <c r="S254" s="50"/>
      <c r="T254" s="48"/>
      <c r="U254" s="82"/>
      <c r="V254" s="32"/>
      <c r="W254" s="200"/>
      <c r="X254" s="17"/>
    </row>
    <row r="255" spans="2:24" x14ac:dyDescent="0.25">
      <c r="B255" s="17">
        <v>253</v>
      </c>
      <c r="C255" s="10"/>
      <c r="D255" s="10"/>
      <c r="E255" s="72"/>
      <c r="F255" s="18"/>
      <c r="G255" s="10"/>
      <c r="H255" s="10"/>
      <c r="I255" s="10"/>
      <c r="J255" s="11"/>
      <c r="K255" s="11">
        <f t="shared" si="197"/>
        <v>0</v>
      </c>
      <c r="L255" s="37">
        <f t="shared" si="198"/>
        <v>0</v>
      </c>
      <c r="M255" s="11"/>
      <c r="N255" s="10"/>
      <c r="O255" s="21"/>
      <c r="P255" s="21"/>
      <c r="Q255" s="21"/>
      <c r="R255" s="23"/>
      <c r="S255" s="50"/>
      <c r="T255" s="48"/>
      <c r="U255" s="82"/>
      <c r="V255" s="26"/>
      <c r="W255" s="200"/>
      <c r="X255" s="17"/>
    </row>
    <row r="256" spans="2:24" x14ac:dyDescent="0.25">
      <c r="B256" s="17">
        <v>254</v>
      </c>
      <c r="C256" s="10"/>
      <c r="D256" s="10"/>
      <c r="E256" s="72"/>
      <c r="F256" s="18"/>
      <c r="G256" s="10"/>
      <c r="H256" s="10"/>
      <c r="I256" s="10"/>
      <c r="J256" s="11"/>
      <c r="K256" s="11">
        <f t="shared" si="197"/>
        <v>0</v>
      </c>
      <c r="L256" s="37">
        <f t="shared" si="198"/>
        <v>0</v>
      </c>
      <c r="M256" s="11"/>
      <c r="N256" s="10"/>
      <c r="O256" s="21"/>
      <c r="P256" s="21"/>
      <c r="Q256" s="21"/>
      <c r="R256" s="23"/>
      <c r="S256" s="50"/>
      <c r="T256" s="48"/>
      <c r="U256" s="82"/>
      <c r="V256" s="26"/>
      <c r="W256" s="200"/>
      <c r="X256" s="17"/>
    </row>
    <row r="257" spans="2:24" x14ac:dyDescent="0.25">
      <c r="B257" s="17">
        <v>255</v>
      </c>
      <c r="C257" s="10"/>
      <c r="D257" s="10"/>
      <c r="E257" s="72"/>
      <c r="F257" s="18"/>
      <c r="G257" s="10"/>
      <c r="H257" s="10"/>
      <c r="I257" s="10"/>
      <c r="J257" s="11"/>
      <c r="K257" s="11">
        <f t="shared" si="197"/>
        <v>0</v>
      </c>
      <c r="L257" s="37">
        <f t="shared" si="198"/>
        <v>0</v>
      </c>
      <c r="M257" s="11"/>
      <c r="N257" s="10"/>
      <c r="O257" s="21"/>
      <c r="P257" s="21"/>
      <c r="Q257" s="21"/>
      <c r="R257" s="23"/>
      <c r="S257" s="50"/>
      <c r="T257" s="48"/>
      <c r="U257" s="82"/>
      <c r="V257" s="26"/>
      <c r="W257" s="200"/>
      <c r="X257" s="17"/>
    </row>
    <row r="258" spans="2:24" x14ac:dyDescent="0.25">
      <c r="B258" s="17">
        <v>256</v>
      </c>
      <c r="C258" s="10"/>
      <c r="D258" s="10"/>
      <c r="E258" s="72"/>
      <c r="F258" s="18"/>
      <c r="G258" s="10"/>
      <c r="H258" s="10"/>
      <c r="I258" s="10"/>
      <c r="J258" s="11"/>
      <c r="K258" s="11">
        <f t="shared" si="197"/>
        <v>0</v>
      </c>
      <c r="L258" s="37">
        <f t="shared" si="198"/>
        <v>0</v>
      </c>
      <c r="M258" s="11"/>
      <c r="N258" s="10"/>
      <c r="O258" s="21"/>
      <c r="P258" s="21"/>
      <c r="Q258" s="21"/>
      <c r="R258" s="23"/>
      <c r="S258" s="50"/>
      <c r="T258" s="48"/>
      <c r="U258" s="82"/>
      <c r="V258" s="26"/>
      <c r="W258" s="200"/>
      <c r="X258" s="17"/>
    </row>
    <row r="259" spans="2:24" x14ac:dyDescent="0.25">
      <c r="B259" s="17">
        <v>257</v>
      </c>
      <c r="C259" s="10"/>
      <c r="D259" s="10"/>
      <c r="E259" s="72"/>
      <c r="F259" s="18"/>
      <c r="G259" s="10"/>
      <c r="H259" s="10"/>
      <c r="I259" s="10"/>
      <c r="J259" s="11"/>
      <c r="K259" s="11">
        <f t="shared" si="197"/>
        <v>0</v>
      </c>
      <c r="L259" s="37">
        <f t="shared" si="198"/>
        <v>0</v>
      </c>
      <c r="M259" s="11"/>
      <c r="N259" s="10"/>
      <c r="O259" s="21"/>
      <c r="P259" s="21"/>
      <c r="Q259" s="21"/>
      <c r="R259" s="23"/>
      <c r="S259" s="50"/>
      <c r="T259" s="48"/>
      <c r="U259" s="82"/>
      <c r="V259" s="26"/>
      <c r="W259" s="200"/>
      <c r="X259" s="17"/>
    </row>
    <row r="260" spans="2:24" x14ac:dyDescent="0.25">
      <c r="B260" s="17">
        <v>258</v>
      </c>
      <c r="C260" s="10"/>
      <c r="D260" s="10"/>
      <c r="E260" s="72"/>
      <c r="F260" s="18"/>
      <c r="G260" s="10"/>
      <c r="H260" s="10"/>
      <c r="I260" s="10"/>
      <c r="J260" s="11"/>
      <c r="K260" s="11">
        <f t="shared" ref="K260:K284" si="199">J260*1.1</f>
        <v>0</v>
      </c>
      <c r="L260" s="37">
        <f t="shared" ref="L260:L284" si="200">J260*0.00000001</f>
        <v>0</v>
      </c>
      <c r="M260" s="11"/>
      <c r="N260" s="10"/>
      <c r="O260" s="21"/>
      <c r="P260" s="21"/>
      <c r="Q260" s="21"/>
      <c r="R260" s="23"/>
      <c r="S260" s="50"/>
      <c r="T260" s="48"/>
      <c r="U260" s="82"/>
      <c r="V260" s="32"/>
      <c r="W260" s="200"/>
      <c r="X260" s="17"/>
    </row>
    <row r="261" spans="2:24" x14ac:dyDescent="0.25">
      <c r="B261" s="17">
        <v>259</v>
      </c>
      <c r="C261" s="10"/>
      <c r="D261" s="10"/>
      <c r="E261" s="72"/>
      <c r="F261" s="18"/>
      <c r="G261" s="10"/>
      <c r="H261" s="10"/>
      <c r="I261" s="10"/>
      <c r="J261" s="11"/>
      <c r="K261" s="11">
        <f t="shared" si="199"/>
        <v>0</v>
      </c>
      <c r="L261" s="37">
        <f t="shared" si="200"/>
        <v>0</v>
      </c>
      <c r="M261" s="11"/>
      <c r="N261" s="10"/>
      <c r="O261" s="21"/>
      <c r="P261" s="21"/>
      <c r="Q261" s="21"/>
      <c r="R261" s="23"/>
      <c r="S261" s="50"/>
      <c r="T261" s="48"/>
      <c r="U261" s="82"/>
      <c r="V261" s="32"/>
      <c r="W261" s="200"/>
      <c r="X261" s="17"/>
    </row>
    <row r="262" spans="2:24" x14ac:dyDescent="0.25">
      <c r="B262" s="17">
        <v>260</v>
      </c>
      <c r="C262" s="10"/>
      <c r="D262" s="10"/>
      <c r="E262" s="72"/>
      <c r="F262" s="18"/>
      <c r="G262" s="10"/>
      <c r="H262" s="10"/>
      <c r="I262" s="10"/>
      <c r="J262" s="11"/>
      <c r="K262" s="11">
        <f t="shared" si="199"/>
        <v>0</v>
      </c>
      <c r="L262" s="37">
        <f t="shared" si="200"/>
        <v>0</v>
      </c>
      <c r="M262" s="11"/>
      <c r="N262" s="10"/>
      <c r="O262" s="21"/>
      <c r="P262" s="21"/>
      <c r="Q262" s="21"/>
      <c r="R262" s="23"/>
      <c r="S262" s="50"/>
      <c r="T262" s="48"/>
      <c r="U262" s="82"/>
      <c r="V262" s="26"/>
      <c r="W262" s="200"/>
      <c r="X262" s="17"/>
    </row>
    <row r="263" spans="2:24" x14ac:dyDescent="0.25">
      <c r="B263" s="17">
        <v>261</v>
      </c>
      <c r="C263" s="10"/>
      <c r="D263" s="10"/>
      <c r="E263" s="72"/>
      <c r="F263" s="18"/>
      <c r="G263" s="10"/>
      <c r="H263" s="10"/>
      <c r="I263" s="10"/>
      <c r="J263" s="11"/>
      <c r="K263" s="11">
        <f t="shared" si="199"/>
        <v>0</v>
      </c>
      <c r="L263" s="37">
        <f t="shared" si="200"/>
        <v>0</v>
      </c>
      <c r="M263" s="11"/>
      <c r="N263" s="10"/>
      <c r="O263" s="21"/>
      <c r="P263" s="21"/>
      <c r="Q263" s="21"/>
      <c r="R263" s="23"/>
      <c r="S263" s="50"/>
      <c r="T263" s="48"/>
      <c r="U263" s="82"/>
      <c r="V263" s="26"/>
      <c r="W263" s="200"/>
      <c r="X263" s="17"/>
    </row>
    <row r="264" spans="2:24" x14ac:dyDescent="0.25">
      <c r="B264" s="17">
        <v>262</v>
      </c>
      <c r="C264" s="10"/>
      <c r="D264" s="10"/>
      <c r="E264" s="72"/>
      <c r="F264" s="18"/>
      <c r="G264" s="10"/>
      <c r="H264" s="10"/>
      <c r="I264" s="10"/>
      <c r="J264" s="11"/>
      <c r="K264" s="11">
        <f t="shared" si="199"/>
        <v>0</v>
      </c>
      <c r="L264" s="37">
        <f t="shared" si="200"/>
        <v>0</v>
      </c>
      <c r="M264" s="11"/>
      <c r="N264" s="10"/>
      <c r="O264" s="21"/>
      <c r="P264" s="21"/>
      <c r="Q264" s="21"/>
      <c r="R264" s="23"/>
      <c r="S264" s="50"/>
      <c r="T264" s="48"/>
      <c r="U264" s="82"/>
      <c r="V264" s="26"/>
      <c r="W264" s="200"/>
      <c r="X264" s="17"/>
    </row>
    <row r="265" spans="2:24" x14ac:dyDescent="0.25">
      <c r="B265" s="17">
        <v>263</v>
      </c>
      <c r="C265" s="10"/>
      <c r="D265" s="10"/>
      <c r="E265" s="72"/>
      <c r="F265" s="18"/>
      <c r="G265" s="10"/>
      <c r="H265" s="10"/>
      <c r="I265" s="10"/>
      <c r="J265" s="11"/>
      <c r="K265" s="11">
        <f t="shared" si="199"/>
        <v>0</v>
      </c>
      <c r="L265" s="37">
        <f t="shared" si="200"/>
        <v>0</v>
      </c>
      <c r="M265" s="11"/>
      <c r="N265" s="10"/>
      <c r="O265" s="21"/>
      <c r="P265" s="21"/>
      <c r="Q265" s="21"/>
      <c r="R265" s="23"/>
      <c r="S265" s="50"/>
      <c r="T265" s="48"/>
      <c r="U265" s="82"/>
      <c r="V265" s="26"/>
      <c r="W265" s="200"/>
      <c r="X265" s="17"/>
    </row>
    <row r="266" spans="2:24" x14ac:dyDescent="0.25">
      <c r="B266" s="17">
        <v>264</v>
      </c>
      <c r="C266" s="10"/>
      <c r="D266" s="10"/>
      <c r="E266" s="72"/>
      <c r="F266" s="18"/>
      <c r="G266" s="10"/>
      <c r="H266" s="10"/>
      <c r="I266" s="10"/>
      <c r="J266" s="11"/>
      <c r="K266" s="11">
        <f t="shared" si="199"/>
        <v>0</v>
      </c>
      <c r="L266" s="37">
        <f t="shared" si="200"/>
        <v>0</v>
      </c>
      <c r="M266" s="11"/>
      <c r="N266" s="10"/>
      <c r="O266" s="21"/>
      <c r="P266" s="21"/>
      <c r="Q266" s="21"/>
      <c r="R266" s="23"/>
      <c r="S266" s="50"/>
      <c r="T266" s="48"/>
      <c r="U266" s="82"/>
      <c r="V266" s="26"/>
      <c r="W266" s="200"/>
      <c r="X266" s="17"/>
    </row>
    <row r="267" spans="2:24" x14ac:dyDescent="0.25">
      <c r="B267" s="17">
        <v>265</v>
      </c>
      <c r="C267" s="10"/>
      <c r="D267" s="10"/>
      <c r="E267" s="72"/>
      <c r="F267" s="18"/>
      <c r="G267" s="10"/>
      <c r="H267" s="10"/>
      <c r="I267" s="10"/>
      <c r="J267" s="11"/>
      <c r="K267" s="11">
        <f t="shared" si="199"/>
        <v>0</v>
      </c>
      <c r="L267" s="37">
        <f t="shared" si="200"/>
        <v>0</v>
      </c>
      <c r="M267" s="11"/>
      <c r="N267" s="10"/>
      <c r="O267" s="21"/>
      <c r="P267" s="21"/>
      <c r="Q267" s="21"/>
      <c r="R267" s="23"/>
      <c r="S267" s="50"/>
      <c r="T267" s="48"/>
      <c r="U267" s="82"/>
      <c r="V267" s="32"/>
      <c r="W267" s="200"/>
      <c r="X267" s="17"/>
    </row>
    <row r="268" spans="2:24" x14ac:dyDescent="0.25">
      <c r="B268" s="17">
        <v>266</v>
      </c>
      <c r="C268" s="10"/>
      <c r="D268" s="10"/>
      <c r="E268" s="72"/>
      <c r="F268" s="18"/>
      <c r="G268" s="10"/>
      <c r="H268" s="10"/>
      <c r="I268" s="10"/>
      <c r="J268" s="11"/>
      <c r="K268" s="11">
        <f t="shared" si="199"/>
        <v>0</v>
      </c>
      <c r="L268" s="37">
        <f t="shared" si="200"/>
        <v>0</v>
      </c>
      <c r="M268" s="11"/>
      <c r="N268" s="10"/>
      <c r="O268" s="21"/>
      <c r="P268" s="21"/>
      <c r="Q268" s="21"/>
      <c r="R268" s="23"/>
      <c r="S268" s="50"/>
      <c r="T268" s="48"/>
      <c r="U268" s="82"/>
      <c r="V268" s="32"/>
      <c r="W268" s="200"/>
      <c r="X268" s="17"/>
    </row>
    <row r="269" spans="2:24" x14ac:dyDescent="0.25">
      <c r="B269" s="17">
        <v>267</v>
      </c>
      <c r="C269" s="10"/>
      <c r="D269" s="10"/>
      <c r="E269" s="72"/>
      <c r="F269" s="18"/>
      <c r="G269" s="10"/>
      <c r="H269" s="10"/>
      <c r="I269" s="10"/>
      <c r="J269" s="11"/>
      <c r="K269" s="11">
        <f t="shared" si="199"/>
        <v>0</v>
      </c>
      <c r="L269" s="37">
        <f t="shared" si="200"/>
        <v>0</v>
      </c>
      <c r="M269" s="11"/>
      <c r="N269" s="10"/>
      <c r="O269" s="21"/>
      <c r="P269" s="21"/>
      <c r="Q269" s="21"/>
      <c r="R269" s="23"/>
      <c r="S269" s="50"/>
      <c r="T269" s="48"/>
      <c r="U269" s="82"/>
      <c r="V269" s="32"/>
      <c r="W269" s="200"/>
      <c r="X269" s="17"/>
    </row>
    <row r="270" spans="2:24" x14ac:dyDescent="0.25">
      <c r="B270" s="17">
        <v>268</v>
      </c>
      <c r="C270" s="10"/>
      <c r="D270" s="10"/>
      <c r="E270" s="72"/>
      <c r="F270" s="18"/>
      <c r="G270" s="10"/>
      <c r="H270" s="10"/>
      <c r="I270" s="10"/>
      <c r="J270" s="11"/>
      <c r="K270" s="11">
        <f t="shared" si="199"/>
        <v>0</v>
      </c>
      <c r="L270" s="37">
        <f t="shared" si="200"/>
        <v>0</v>
      </c>
      <c r="M270" s="11"/>
      <c r="N270" s="10"/>
      <c r="O270" s="21"/>
      <c r="P270" s="21"/>
      <c r="Q270" s="21"/>
      <c r="R270" s="23"/>
      <c r="S270" s="50"/>
      <c r="T270" s="48"/>
      <c r="U270" s="82"/>
      <c r="V270" s="32"/>
      <c r="W270" s="200"/>
      <c r="X270" s="17"/>
    </row>
    <row r="271" spans="2:24" x14ac:dyDescent="0.25">
      <c r="B271" s="17">
        <v>269</v>
      </c>
      <c r="C271" s="10"/>
      <c r="D271" s="10"/>
      <c r="E271" s="72"/>
      <c r="F271" s="18"/>
      <c r="G271" s="10"/>
      <c r="H271" s="10"/>
      <c r="I271" s="10"/>
      <c r="J271" s="11"/>
      <c r="K271" s="11">
        <f t="shared" si="199"/>
        <v>0</v>
      </c>
      <c r="L271" s="37">
        <f t="shared" si="200"/>
        <v>0</v>
      </c>
      <c r="M271" s="11"/>
      <c r="N271" s="10"/>
      <c r="O271" s="21"/>
      <c r="P271" s="21"/>
      <c r="Q271" s="21"/>
      <c r="R271" s="23"/>
      <c r="S271" s="50"/>
      <c r="T271" s="48"/>
      <c r="U271" s="82"/>
      <c r="V271" s="26"/>
      <c r="W271" s="200"/>
      <c r="X271" s="17"/>
    </row>
    <row r="272" spans="2:24" x14ac:dyDescent="0.25">
      <c r="B272" s="17">
        <v>270</v>
      </c>
      <c r="C272" s="10"/>
      <c r="D272" s="10"/>
      <c r="E272" s="72"/>
      <c r="F272" s="18"/>
      <c r="G272" s="10"/>
      <c r="H272" s="10"/>
      <c r="I272" s="10"/>
      <c r="J272" s="11"/>
      <c r="K272" s="11">
        <f t="shared" si="199"/>
        <v>0</v>
      </c>
      <c r="L272" s="37">
        <f t="shared" si="200"/>
        <v>0</v>
      </c>
      <c r="M272" s="11"/>
      <c r="N272" s="10"/>
      <c r="O272" s="21"/>
      <c r="P272" s="21"/>
      <c r="Q272" s="21"/>
      <c r="R272" s="23"/>
      <c r="S272" s="50"/>
      <c r="T272" s="48"/>
      <c r="U272" s="82"/>
      <c r="V272" s="26"/>
      <c r="W272" s="200"/>
      <c r="X272" s="17"/>
    </row>
    <row r="273" spans="2:24" x14ac:dyDescent="0.25">
      <c r="B273" s="17">
        <v>271</v>
      </c>
      <c r="C273" s="10"/>
      <c r="D273" s="10"/>
      <c r="E273" s="72"/>
      <c r="F273" s="18"/>
      <c r="G273" s="10"/>
      <c r="H273" s="10"/>
      <c r="I273" s="10"/>
      <c r="J273" s="11"/>
      <c r="K273" s="11">
        <f t="shared" si="199"/>
        <v>0</v>
      </c>
      <c r="L273" s="37">
        <f t="shared" si="200"/>
        <v>0</v>
      </c>
      <c r="M273" s="11"/>
      <c r="N273" s="10"/>
      <c r="O273" s="21"/>
      <c r="P273" s="21"/>
      <c r="Q273" s="21"/>
      <c r="R273" s="23"/>
      <c r="S273" s="50"/>
      <c r="T273" s="48"/>
      <c r="U273" s="82"/>
      <c r="V273" s="26"/>
      <c r="W273" s="200"/>
      <c r="X273" s="17"/>
    </row>
    <row r="274" spans="2:24" x14ac:dyDescent="0.25">
      <c r="B274" s="17">
        <v>272</v>
      </c>
      <c r="C274" s="10"/>
      <c r="D274" s="10"/>
      <c r="E274" s="72"/>
      <c r="F274" s="18"/>
      <c r="G274" s="10"/>
      <c r="H274" s="10"/>
      <c r="I274" s="10"/>
      <c r="J274" s="11"/>
      <c r="K274" s="11">
        <f t="shared" si="199"/>
        <v>0</v>
      </c>
      <c r="L274" s="37">
        <f t="shared" si="200"/>
        <v>0</v>
      </c>
      <c r="M274" s="11"/>
      <c r="N274" s="10"/>
      <c r="O274" s="21"/>
      <c r="P274" s="21"/>
      <c r="Q274" s="21"/>
      <c r="R274" s="23"/>
      <c r="S274" s="50"/>
      <c r="T274" s="48"/>
      <c r="U274" s="82"/>
      <c r="V274" s="26"/>
      <c r="W274" s="200"/>
      <c r="X274" s="17"/>
    </row>
    <row r="275" spans="2:24" x14ac:dyDescent="0.25">
      <c r="B275" s="17">
        <v>273</v>
      </c>
      <c r="C275" s="10"/>
      <c r="D275" s="10"/>
      <c r="E275" s="72"/>
      <c r="F275" s="18"/>
      <c r="G275" s="10"/>
      <c r="H275" s="10"/>
      <c r="I275" s="10"/>
      <c r="J275" s="11"/>
      <c r="K275" s="11">
        <f t="shared" si="199"/>
        <v>0</v>
      </c>
      <c r="L275" s="37">
        <f t="shared" si="200"/>
        <v>0</v>
      </c>
      <c r="M275" s="11"/>
      <c r="N275" s="10"/>
      <c r="O275" s="21"/>
      <c r="P275" s="21"/>
      <c r="Q275" s="21"/>
      <c r="R275" s="23"/>
      <c r="S275" s="50"/>
      <c r="T275" s="48"/>
      <c r="U275" s="82"/>
      <c r="V275" s="26"/>
      <c r="W275" s="200"/>
      <c r="X275" s="17"/>
    </row>
    <row r="276" spans="2:24" x14ac:dyDescent="0.25">
      <c r="B276" s="17">
        <v>274</v>
      </c>
      <c r="C276" s="10"/>
      <c r="D276" s="10"/>
      <c r="E276" s="72"/>
      <c r="F276" s="18"/>
      <c r="G276" s="10"/>
      <c r="H276" s="10"/>
      <c r="I276" s="10"/>
      <c r="J276" s="11"/>
      <c r="K276" s="11">
        <f t="shared" si="199"/>
        <v>0</v>
      </c>
      <c r="L276" s="37">
        <f t="shared" si="200"/>
        <v>0</v>
      </c>
      <c r="M276" s="11"/>
      <c r="N276" s="10"/>
      <c r="O276" s="21"/>
      <c r="P276" s="21"/>
      <c r="Q276" s="21"/>
      <c r="R276" s="23"/>
      <c r="S276" s="50"/>
      <c r="T276" s="48"/>
      <c r="U276" s="82"/>
      <c r="V276" s="32"/>
      <c r="W276" s="200"/>
      <c r="X276" s="17"/>
    </row>
    <row r="277" spans="2:24" x14ac:dyDescent="0.25">
      <c r="B277" s="17">
        <v>275</v>
      </c>
      <c r="C277" s="10"/>
      <c r="D277" s="10"/>
      <c r="E277" s="72"/>
      <c r="F277" s="18"/>
      <c r="G277" s="10"/>
      <c r="H277" s="10"/>
      <c r="I277" s="10"/>
      <c r="J277" s="11"/>
      <c r="K277" s="11">
        <f t="shared" si="199"/>
        <v>0</v>
      </c>
      <c r="L277" s="37">
        <f t="shared" si="200"/>
        <v>0</v>
      </c>
      <c r="M277" s="11"/>
      <c r="N277" s="10"/>
      <c r="O277" s="21"/>
      <c r="P277" s="21"/>
      <c r="Q277" s="21"/>
      <c r="R277" s="23"/>
      <c r="S277" s="50"/>
      <c r="T277" s="48"/>
      <c r="U277" s="82"/>
      <c r="V277" s="32"/>
      <c r="W277" s="200"/>
      <c r="X277" s="17"/>
    </row>
    <row r="278" spans="2:24" x14ac:dyDescent="0.25">
      <c r="B278" s="17">
        <v>276</v>
      </c>
      <c r="C278" s="10"/>
      <c r="D278" s="10"/>
      <c r="E278" s="72"/>
      <c r="F278" s="18"/>
      <c r="G278" s="10"/>
      <c r="H278" s="10"/>
      <c r="I278" s="10"/>
      <c r="J278" s="11"/>
      <c r="K278" s="11">
        <f t="shared" si="199"/>
        <v>0</v>
      </c>
      <c r="L278" s="37">
        <f t="shared" si="200"/>
        <v>0</v>
      </c>
      <c r="M278" s="11"/>
      <c r="N278" s="10"/>
      <c r="O278" s="21"/>
      <c r="P278" s="21"/>
      <c r="Q278" s="21"/>
      <c r="R278" s="23"/>
      <c r="S278" s="50"/>
      <c r="T278" s="48"/>
      <c r="U278" s="82"/>
      <c r="V278" s="26"/>
      <c r="W278" s="200"/>
      <c r="X278" s="17"/>
    </row>
    <row r="279" spans="2:24" x14ac:dyDescent="0.25">
      <c r="B279" s="17">
        <v>277</v>
      </c>
      <c r="C279" s="10"/>
      <c r="D279" s="10"/>
      <c r="E279" s="72"/>
      <c r="F279" s="18"/>
      <c r="G279" s="10"/>
      <c r="H279" s="10"/>
      <c r="I279" s="10"/>
      <c r="J279" s="11"/>
      <c r="K279" s="11">
        <f t="shared" si="199"/>
        <v>0</v>
      </c>
      <c r="L279" s="37">
        <f t="shared" si="200"/>
        <v>0</v>
      </c>
      <c r="M279" s="11"/>
      <c r="N279" s="10"/>
      <c r="O279" s="21"/>
      <c r="P279" s="21"/>
      <c r="Q279" s="21"/>
      <c r="R279" s="23"/>
      <c r="S279" s="50"/>
      <c r="T279" s="48"/>
      <c r="U279" s="82"/>
      <c r="V279" s="26"/>
      <c r="W279" s="200"/>
      <c r="X279" s="17"/>
    </row>
    <row r="280" spans="2:24" x14ac:dyDescent="0.25">
      <c r="B280" s="17">
        <v>278</v>
      </c>
      <c r="C280" s="10"/>
      <c r="D280" s="10"/>
      <c r="E280" s="72"/>
      <c r="F280" s="18"/>
      <c r="G280" s="10"/>
      <c r="H280" s="10"/>
      <c r="I280" s="10"/>
      <c r="J280" s="11"/>
      <c r="K280" s="11">
        <f t="shared" si="199"/>
        <v>0</v>
      </c>
      <c r="L280" s="37">
        <f t="shared" si="200"/>
        <v>0</v>
      </c>
      <c r="M280" s="11"/>
      <c r="N280" s="10"/>
      <c r="O280" s="21"/>
      <c r="P280" s="21"/>
      <c r="Q280" s="21"/>
      <c r="R280" s="23"/>
      <c r="S280" s="50"/>
      <c r="T280" s="48"/>
      <c r="U280" s="82"/>
      <c r="V280" s="26"/>
      <c r="W280" s="200"/>
      <c r="X280" s="17"/>
    </row>
    <row r="281" spans="2:24" x14ac:dyDescent="0.25">
      <c r="B281" s="17">
        <v>279</v>
      </c>
      <c r="C281" s="10"/>
      <c r="D281" s="10"/>
      <c r="E281" s="72"/>
      <c r="F281" s="18"/>
      <c r="G281" s="10"/>
      <c r="H281" s="10"/>
      <c r="I281" s="10"/>
      <c r="J281" s="11"/>
      <c r="K281" s="11">
        <f t="shared" si="199"/>
        <v>0</v>
      </c>
      <c r="L281" s="37">
        <f t="shared" si="200"/>
        <v>0</v>
      </c>
      <c r="M281" s="11"/>
      <c r="N281" s="10"/>
      <c r="O281" s="21"/>
      <c r="P281" s="21"/>
      <c r="Q281" s="21"/>
      <c r="R281" s="23"/>
      <c r="S281" s="50"/>
      <c r="T281" s="48"/>
      <c r="U281" s="82"/>
      <c r="V281" s="26"/>
      <c r="W281" s="200"/>
      <c r="X281" s="17"/>
    </row>
    <row r="282" spans="2:24" x14ac:dyDescent="0.25">
      <c r="B282" s="17">
        <v>280</v>
      </c>
      <c r="C282" s="10"/>
      <c r="D282" s="10"/>
      <c r="E282" s="72"/>
      <c r="F282" s="18"/>
      <c r="G282" s="10"/>
      <c r="H282" s="10"/>
      <c r="I282" s="10"/>
      <c r="J282" s="11"/>
      <c r="K282" s="11">
        <f t="shared" si="199"/>
        <v>0</v>
      </c>
      <c r="L282" s="37">
        <f t="shared" si="200"/>
        <v>0</v>
      </c>
      <c r="M282" s="11"/>
      <c r="N282" s="10"/>
      <c r="O282" s="21"/>
      <c r="P282" s="21"/>
      <c r="Q282" s="21"/>
      <c r="R282" s="23"/>
      <c r="S282" s="50"/>
      <c r="T282" s="48"/>
      <c r="U282" s="82"/>
      <c r="V282" s="26"/>
      <c r="W282" s="200"/>
      <c r="X282" s="17"/>
    </row>
    <row r="283" spans="2:24" x14ac:dyDescent="0.25">
      <c r="B283" s="17">
        <v>281</v>
      </c>
      <c r="C283" s="10"/>
      <c r="D283" s="10"/>
      <c r="E283" s="72"/>
      <c r="F283" s="18"/>
      <c r="G283" s="10"/>
      <c r="H283" s="10"/>
      <c r="I283" s="10"/>
      <c r="J283" s="11"/>
      <c r="K283" s="11">
        <f t="shared" si="199"/>
        <v>0</v>
      </c>
      <c r="L283" s="37">
        <f t="shared" si="200"/>
        <v>0</v>
      </c>
      <c r="M283" s="11"/>
      <c r="N283" s="10"/>
      <c r="O283" s="21"/>
      <c r="P283" s="21"/>
      <c r="Q283" s="21"/>
      <c r="R283" s="23"/>
      <c r="S283" s="50"/>
      <c r="T283" s="48"/>
      <c r="U283" s="82"/>
      <c r="V283" s="32"/>
      <c r="W283" s="200"/>
      <c r="X283" s="17"/>
    </row>
    <row r="284" spans="2:24" x14ac:dyDescent="0.25">
      <c r="B284" s="17">
        <v>282</v>
      </c>
      <c r="C284" s="10"/>
      <c r="D284" s="10"/>
      <c r="E284" s="72"/>
      <c r="F284" s="18"/>
      <c r="G284" s="10"/>
      <c r="H284" s="10"/>
      <c r="I284" s="10"/>
      <c r="J284" s="11"/>
      <c r="K284" s="11">
        <f t="shared" si="199"/>
        <v>0</v>
      </c>
      <c r="L284" s="37">
        <f t="shared" si="200"/>
        <v>0</v>
      </c>
      <c r="M284" s="11"/>
      <c r="N284" s="10"/>
      <c r="O284" s="21"/>
      <c r="P284" s="21"/>
      <c r="Q284" s="21"/>
      <c r="R284" s="23"/>
      <c r="S284" s="50"/>
      <c r="T284" s="48"/>
      <c r="U284" s="82"/>
      <c r="V284" s="32"/>
      <c r="W284" s="200"/>
      <c r="X284" s="17"/>
    </row>
    <row r="285" spans="2:24" x14ac:dyDescent="0.25">
      <c r="B285" s="17">
        <v>283</v>
      </c>
      <c r="C285" s="10"/>
      <c r="D285" s="10"/>
      <c r="E285" s="72"/>
      <c r="F285" s="18"/>
      <c r="G285" s="10"/>
      <c r="H285" s="10"/>
      <c r="I285" s="10"/>
      <c r="J285" s="11"/>
      <c r="K285" s="11">
        <f t="shared" ref="K285:K302" si="201">J285*1.1</f>
        <v>0</v>
      </c>
      <c r="L285" s="37">
        <f t="shared" ref="L285:L302" si="202">J285*0.00000001</f>
        <v>0</v>
      </c>
      <c r="M285" s="11"/>
      <c r="N285" s="10"/>
      <c r="O285" s="21"/>
      <c r="P285" s="21"/>
      <c r="R285" s="23"/>
      <c r="S285" s="50"/>
      <c r="T285" s="48"/>
      <c r="U285" s="82"/>
      <c r="V285" s="32"/>
      <c r="W285" s="200"/>
      <c r="X285" s="17"/>
    </row>
    <row r="286" spans="2:24" x14ac:dyDescent="0.25">
      <c r="B286" s="17">
        <v>284</v>
      </c>
      <c r="C286" s="10"/>
      <c r="D286" s="10"/>
      <c r="K286" s="11">
        <f t="shared" si="201"/>
        <v>0</v>
      </c>
      <c r="L286" s="37">
        <f t="shared" si="202"/>
        <v>0</v>
      </c>
      <c r="T286" s="56"/>
      <c r="U286" s="82"/>
      <c r="V286" s="84"/>
      <c r="W286" s="200"/>
      <c r="X286" s="17"/>
    </row>
    <row r="287" spans="2:24" x14ac:dyDescent="0.25">
      <c r="B287" s="17">
        <v>285</v>
      </c>
      <c r="C287" s="10"/>
      <c r="D287" s="10"/>
      <c r="K287" s="11">
        <f t="shared" si="201"/>
        <v>0</v>
      </c>
      <c r="L287" s="37">
        <f t="shared" si="202"/>
        <v>0</v>
      </c>
      <c r="T287" s="56"/>
      <c r="U287" s="82"/>
      <c r="V287" s="84"/>
      <c r="W287" s="200"/>
      <c r="X287" s="17"/>
    </row>
    <row r="288" spans="2:24" x14ac:dyDescent="0.25">
      <c r="B288" s="17">
        <v>286</v>
      </c>
      <c r="C288" s="10"/>
      <c r="D288" s="10"/>
      <c r="K288" s="11">
        <f t="shared" si="201"/>
        <v>0</v>
      </c>
      <c r="L288" s="37">
        <f t="shared" si="202"/>
        <v>0</v>
      </c>
      <c r="T288" s="56"/>
      <c r="U288" s="82"/>
      <c r="V288" s="84"/>
      <c r="W288" s="200"/>
      <c r="X288" s="17"/>
    </row>
    <row r="289" spans="2:24" x14ac:dyDescent="0.25">
      <c r="B289" s="17">
        <v>287</v>
      </c>
      <c r="C289" s="10"/>
      <c r="D289" s="10"/>
      <c r="K289" s="11">
        <f t="shared" si="201"/>
        <v>0</v>
      </c>
      <c r="L289" s="37">
        <f t="shared" si="202"/>
        <v>0</v>
      </c>
      <c r="T289" s="56"/>
      <c r="U289" s="82"/>
      <c r="V289" s="84"/>
      <c r="W289" s="200"/>
      <c r="X289" s="17"/>
    </row>
    <row r="290" spans="2:24" x14ac:dyDescent="0.25">
      <c r="B290" s="17">
        <v>288</v>
      </c>
      <c r="C290" s="10"/>
      <c r="D290" s="10"/>
      <c r="K290" s="11">
        <f t="shared" si="201"/>
        <v>0</v>
      </c>
      <c r="L290" s="37">
        <f t="shared" si="202"/>
        <v>0</v>
      </c>
      <c r="T290" s="56"/>
      <c r="U290" s="82"/>
      <c r="V290" s="84"/>
      <c r="W290" s="200"/>
      <c r="X290" s="17"/>
    </row>
    <row r="291" spans="2:24" x14ac:dyDescent="0.25">
      <c r="B291" s="17">
        <v>289</v>
      </c>
      <c r="C291" s="10"/>
      <c r="D291" s="10"/>
      <c r="K291" s="11">
        <f t="shared" si="201"/>
        <v>0</v>
      </c>
      <c r="L291" s="37">
        <f t="shared" si="202"/>
        <v>0</v>
      </c>
      <c r="T291" s="56"/>
      <c r="U291" s="82"/>
      <c r="V291" s="84"/>
      <c r="W291" s="200"/>
      <c r="X291" s="17"/>
    </row>
    <row r="292" spans="2:24" x14ac:dyDescent="0.25">
      <c r="B292" s="17">
        <v>290</v>
      </c>
      <c r="C292" s="10"/>
      <c r="D292" s="10"/>
      <c r="K292" s="11">
        <f t="shared" si="201"/>
        <v>0</v>
      </c>
      <c r="L292" s="37">
        <f t="shared" si="202"/>
        <v>0</v>
      </c>
      <c r="T292" s="56"/>
      <c r="U292" s="82"/>
      <c r="V292" s="84"/>
      <c r="W292" s="200"/>
      <c r="X292" s="17"/>
    </row>
    <row r="293" spans="2:24" x14ac:dyDescent="0.25">
      <c r="B293" s="17">
        <v>291</v>
      </c>
      <c r="C293" s="10"/>
      <c r="D293" s="10"/>
      <c r="K293" s="11">
        <f t="shared" si="201"/>
        <v>0</v>
      </c>
      <c r="L293" s="37">
        <f t="shared" si="202"/>
        <v>0</v>
      </c>
      <c r="T293" s="56"/>
      <c r="U293" s="82"/>
      <c r="V293" s="84"/>
      <c r="W293" s="200"/>
      <c r="X293" s="17"/>
    </row>
    <row r="294" spans="2:24" x14ac:dyDescent="0.25">
      <c r="B294" s="17">
        <v>292</v>
      </c>
      <c r="C294" s="10"/>
      <c r="D294" s="10"/>
      <c r="K294" s="11">
        <f t="shared" si="201"/>
        <v>0</v>
      </c>
      <c r="L294" s="37">
        <f t="shared" si="202"/>
        <v>0</v>
      </c>
      <c r="T294" s="56"/>
      <c r="U294" s="82"/>
      <c r="V294" s="84"/>
      <c r="W294" s="200"/>
      <c r="X294" s="17"/>
    </row>
    <row r="295" spans="2:24" x14ac:dyDescent="0.25">
      <c r="B295" s="17">
        <v>293</v>
      </c>
      <c r="C295" s="10"/>
      <c r="D295" s="10"/>
      <c r="K295" s="11">
        <f t="shared" si="201"/>
        <v>0</v>
      </c>
      <c r="L295" s="37">
        <f t="shared" si="202"/>
        <v>0</v>
      </c>
      <c r="T295" s="56"/>
      <c r="U295" s="82"/>
      <c r="V295" s="84"/>
      <c r="W295" s="200"/>
      <c r="X295" s="17"/>
    </row>
    <row r="296" spans="2:24" x14ac:dyDescent="0.25">
      <c r="B296" s="17">
        <v>294</v>
      </c>
      <c r="C296" s="10"/>
      <c r="D296" s="10"/>
      <c r="K296" s="11">
        <f t="shared" si="201"/>
        <v>0</v>
      </c>
      <c r="L296" s="37">
        <f t="shared" si="202"/>
        <v>0</v>
      </c>
      <c r="T296" s="56"/>
      <c r="U296" s="82"/>
      <c r="V296" s="84"/>
      <c r="W296" s="200"/>
      <c r="X296" s="17"/>
    </row>
    <row r="297" spans="2:24" x14ac:dyDescent="0.25">
      <c r="B297" s="17">
        <v>295</v>
      </c>
      <c r="C297" s="10"/>
      <c r="D297" s="10"/>
      <c r="K297" s="11">
        <f t="shared" si="201"/>
        <v>0</v>
      </c>
      <c r="L297" s="37">
        <f t="shared" si="202"/>
        <v>0</v>
      </c>
      <c r="T297" s="56"/>
      <c r="U297" s="82"/>
      <c r="V297" s="84"/>
      <c r="W297" s="200"/>
      <c r="X297" s="17"/>
    </row>
    <row r="298" spans="2:24" x14ac:dyDescent="0.25">
      <c r="B298" s="17">
        <v>296</v>
      </c>
      <c r="C298" s="10"/>
      <c r="D298" s="10"/>
      <c r="K298" s="11">
        <f t="shared" si="201"/>
        <v>0</v>
      </c>
      <c r="L298" s="37">
        <f t="shared" si="202"/>
        <v>0</v>
      </c>
      <c r="T298" s="56"/>
      <c r="U298" s="82"/>
      <c r="V298" s="84"/>
      <c r="W298" s="200"/>
      <c r="X298" s="17"/>
    </row>
    <row r="299" spans="2:24" x14ac:dyDescent="0.25">
      <c r="B299" s="17">
        <v>297</v>
      </c>
      <c r="C299" s="10"/>
      <c r="D299" s="10"/>
      <c r="K299" s="11">
        <f t="shared" si="201"/>
        <v>0</v>
      </c>
      <c r="L299" s="37">
        <f t="shared" si="202"/>
        <v>0</v>
      </c>
      <c r="T299" s="56"/>
      <c r="U299" s="82"/>
      <c r="V299" s="84"/>
      <c r="W299" s="200"/>
      <c r="X299" s="17"/>
    </row>
    <row r="300" spans="2:24" x14ac:dyDescent="0.25">
      <c r="B300" s="17">
        <v>298</v>
      </c>
      <c r="C300" s="10"/>
      <c r="D300" s="10"/>
      <c r="K300" s="11">
        <f t="shared" si="201"/>
        <v>0</v>
      </c>
      <c r="L300" s="37">
        <f t="shared" si="202"/>
        <v>0</v>
      </c>
      <c r="T300" s="56"/>
      <c r="U300" s="82"/>
      <c r="V300" s="84"/>
      <c r="W300" s="200"/>
      <c r="X300" s="17"/>
    </row>
    <row r="301" spans="2:24" x14ac:dyDescent="0.25">
      <c r="B301" s="17">
        <v>299</v>
      </c>
      <c r="C301" s="10"/>
      <c r="D301" s="10"/>
      <c r="K301" s="11">
        <f t="shared" si="201"/>
        <v>0</v>
      </c>
      <c r="L301" s="37">
        <f t="shared" si="202"/>
        <v>0</v>
      </c>
      <c r="T301" s="56"/>
      <c r="U301" s="82"/>
      <c r="V301" s="84"/>
      <c r="W301" s="200"/>
      <c r="X301" s="17"/>
    </row>
    <row r="302" spans="2:24" x14ac:dyDescent="0.25">
      <c r="B302" s="17">
        <v>300</v>
      </c>
      <c r="C302" s="10"/>
      <c r="D302" s="10"/>
      <c r="K302" s="11">
        <f t="shared" si="201"/>
        <v>0</v>
      </c>
      <c r="L302" s="37">
        <f t="shared" si="202"/>
        <v>0</v>
      </c>
      <c r="T302" s="56"/>
      <c r="U302" s="82"/>
      <c r="V302" s="84"/>
      <c r="W302" s="200"/>
      <c r="X302" s="17"/>
    </row>
    <row r="305" spans="17:17" x14ac:dyDescent="0.25">
      <c r="Q305" s="21"/>
    </row>
    <row r="306" spans="17:17" x14ac:dyDescent="0.25">
      <c r="Q306" s="21"/>
    </row>
    <row r="307" spans="17:17" x14ac:dyDescent="0.25">
      <c r="Q307" s="21"/>
    </row>
    <row r="308" spans="17:17" x14ac:dyDescent="0.25">
      <c r="Q308" s="21"/>
    </row>
    <row r="309" spans="17:17" x14ac:dyDescent="0.25">
      <c r="Q309" s="21"/>
    </row>
    <row r="310" spans="17:17" x14ac:dyDescent="0.25">
      <c r="Q310" s="21"/>
    </row>
    <row r="311" spans="17:17" x14ac:dyDescent="0.25">
      <c r="Q311" s="21"/>
    </row>
    <row r="312" spans="17:17" x14ac:dyDescent="0.25">
      <c r="Q312" s="21"/>
    </row>
    <row r="313" spans="17:17" x14ac:dyDescent="0.25">
      <c r="Q313" s="21"/>
    </row>
    <row r="314" spans="17:17" x14ac:dyDescent="0.25">
      <c r="Q314" s="21"/>
    </row>
    <row r="315" spans="17:17" x14ac:dyDescent="0.25">
      <c r="Q315" s="21"/>
    </row>
    <row r="316" spans="17:17" x14ac:dyDescent="0.25">
      <c r="Q316" s="21"/>
    </row>
    <row r="317" spans="17:17" x14ac:dyDescent="0.25">
      <c r="Q317" s="21"/>
    </row>
    <row r="318" spans="17:17" x14ac:dyDescent="0.25">
      <c r="Q318" s="21"/>
    </row>
  </sheetData>
  <mergeCells count="15">
    <mergeCell ref="AA21:AA26"/>
    <mergeCell ref="AA27:AA32"/>
    <mergeCell ref="AA1:AR1"/>
    <mergeCell ref="AA2:AB2"/>
    <mergeCell ref="AA3:AA8"/>
    <mergeCell ref="AA9:AA14"/>
    <mergeCell ref="AA15:AA20"/>
    <mergeCell ref="AA69:AA74"/>
    <mergeCell ref="AA75:AB75"/>
    <mergeCell ref="AA33:AA38"/>
    <mergeCell ref="AA39:AA44"/>
    <mergeCell ref="AA45:AA50"/>
    <mergeCell ref="AA51:AA56"/>
    <mergeCell ref="AA57:AA62"/>
    <mergeCell ref="AA63:AA68"/>
  </mergeCells>
  <phoneticPr fontId="5" type="noConversion"/>
  <conditionalFormatting sqref="U1:U1048576">
    <cfRule type="cellIs" dxfId="3" priority="3" operator="equal">
      <formula>"마케팅"</formula>
    </cfRule>
  </conditionalFormatting>
  <conditionalFormatting sqref="W1:W1048576">
    <cfRule type="cellIs" dxfId="2" priority="1" operator="equal">
      <formula>"마케팅"</formula>
    </cfRule>
  </conditionalFormatting>
  <dataValidations count="7">
    <dataValidation type="list" allowBlank="1" showInputMessage="1" showErrorMessage="1" sqref="U3:U285" xr:uid="{00000000-0002-0000-0E00-000000000000}">
      <formula1>"소개,그 외"</formula1>
    </dataValidation>
    <dataValidation type="list" allowBlank="1" showInputMessage="1" showErrorMessage="1" sqref="S3:S285" xr:uid="{00000000-0002-0000-0E00-000001000000}">
      <formula1>"(주)그랜드썬기술단, (주)그랜드썬,지에스피,유지에스"</formula1>
    </dataValidation>
    <dataValidation type="list" allowBlank="1" showInputMessage="1" showErrorMessage="1" sqref="D3:D302" xr:uid="{00000000-0002-0000-0E00-000002000000}">
      <formula1>"기존시설물(A),일반부지(B),수면(C)"</formula1>
    </dataValidation>
    <dataValidation type="list" allowBlank="1" showInputMessage="1" showErrorMessage="1" sqref="C3:C302" xr:uid="{00000000-0002-0000-0E00-000003000000}">
      <formula1>"직영(가),외주(나),입찰(다),검토(라)"</formula1>
    </dataValidation>
    <dataValidation type="list" allowBlank="1" showInputMessage="1" showErrorMessage="1" sqref="W3:W302" xr:uid="{00000000-0002-0000-0E00-000004000000}">
      <formula1>"산단,공장,창고,축사,근생,자원순환,토지,업무시설"</formula1>
    </dataValidation>
    <dataValidation type="list" allowBlank="1" showInputMessage="1" showErrorMessage="1" sqref="X3:X302" xr:uid="{00000000-0002-0000-0E00-000005000000}">
      <formula1>"유지,보류,취소"</formula1>
    </dataValidation>
    <dataValidation type="list" allowBlank="1" showInputMessage="1" showErrorMessage="1" sqref="Q3:Q318" xr:uid="{A1BE49D5-AC6A-4B80-A343-361F9803B412}">
      <formula1>"경기,강원,충남,충북,서울,인천,대전,세종,경남,경북,전남,전북,부산,대구,울산,제주,광주"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AV318"/>
  <sheetViews>
    <sheetView zoomScale="75" zoomScaleNormal="75" workbookViewId="0">
      <pane ySplit="2" topLeftCell="A3" activePane="bottomLeft" state="frozen"/>
      <selection activeCell="O33" sqref="O33"/>
      <selection pane="bottomLeft" activeCell="O33" sqref="O33"/>
    </sheetView>
  </sheetViews>
  <sheetFormatPr defaultRowHeight="13.5" x14ac:dyDescent="0.25"/>
  <cols>
    <col min="1" max="1" width="3.7109375" customWidth="1"/>
    <col min="2" max="4" width="10.7109375" customWidth="1"/>
    <col min="5" max="5" width="10.7109375" style="75" customWidth="1"/>
    <col min="6" max="6" width="12.7109375" style="19" customWidth="1"/>
    <col min="7" max="8" width="10.7109375" customWidth="1"/>
    <col min="9" max="9" width="11.85546875" customWidth="1"/>
    <col min="10" max="11" width="15.7109375" style="6" customWidth="1"/>
    <col min="12" max="12" width="15.7109375" style="38" customWidth="1"/>
    <col min="13" max="13" width="15.7109375" style="6" customWidth="1"/>
    <col min="14" max="14" width="15.7109375" customWidth="1"/>
    <col min="15" max="15" width="21.42578125" customWidth="1"/>
    <col min="16" max="17" width="6" customWidth="1"/>
    <col min="18" max="18" width="38.42578125" style="22" customWidth="1"/>
    <col min="19" max="19" width="20.7109375" customWidth="1"/>
    <col min="20" max="20" width="13.42578125" customWidth="1"/>
    <col min="21" max="21" width="9.140625" style="34"/>
    <col min="22" max="22" width="47" style="7" customWidth="1"/>
    <col min="23" max="23" width="9.140625" style="34"/>
    <col min="29" max="29" width="11.140625" customWidth="1"/>
    <col min="30" max="34" width="11.7109375" customWidth="1"/>
    <col min="35" max="39" width="11.7109375" style="129" customWidth="1"/>
    <col min="40" max="44" width="11.7109375" customWidth="1"/>
  </cols>
  <sheetData>
    <row r="1" spans="2:48" ht="27" thickBot="1" x14ac:dyDescent="0.3">
      <c r="B1" s="33"/>
      <c r="C1" s="33"/>
      <c r="D1" s="33"/>
      <c r="E1" s="73"/>
      <c r="G1" s="8"/>
      <c r="H1" s="8"/>
      <c r="I1" s="24"/>
      <c r="J1" s="9"/>
      <c r="K1" s="9"/>
      <c r="L1" s="35"/>
      <c r="M1" s="9"/>
      <c r="U1" s="45"/>
      <c r="W1" s="45"/>
      <c r="AA1" s="423" t="s">
        <v>3</v>
      </c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5"/>
    </row>
    <row r="2" spans="2:48" ht="43.5" customHeight="1" thickTop="1" thickBot="1" x14ac:dyDescent="0.3">
      <c r="B2" s="16" t="s">
        <v>0</v>
      </c>
      <c r="C2" s="71" t="s">
        <v>90</v>
      </c>
      <c r="D2" s="71" t="s">
        <v>91</v>
      </c>
      <c r="E2" s="74" t="s">
        <v>92</v>
      </c>
      <c r="F2" s="20" t="s">
        <v>1</v>
      </c>
      <c r="G2" s="12" t="s">
        <v>22</v>
      </c>
      <c r="H2" s="12" t="s">
        <v>21</v>
      </c>
      <c r="I2" s="13" t="s">
        <v>2</v>
      </c>
      <c r="J2" s="14" t="s">
        <v>20</v>
      </c>
      <c r="K2" s="14" t="s">
        <v>4</v>
      </c>
      <c r="L2" s="36" t="s">
        <v>50</v>
      </c>
      <c r="M2" s="14" t="s">
        <v>29</v>
      </c>
      <c r="N2" s="12" t="s">
        <v>26</v>
      </c>
      <c r="O2" s="12" t="s">
        <v>28</v>
      </c>
      <c r="P2" s="12" t="s">
        <v>48</v>
      </c>
      <c r="Q2" s="12" t="s">
        <v>2158</v>
      </c>
      <c r="R2" s="12" t="s">
        <v>27</v>
      </c>
      <c r="S2" s="15" t="s">
        <v>44</v>
      </c>
      <c r="T2" s="25" t="s">
        <v>38</v>
      </c>
      <c r="U2" s="206" t="s">
        <v>54</v>
      </c>
      <c r="V2" s="16" t="s">
        <v>37</v>
      </c>
      <c r="W2" s="205" t="s">
        <v>256</v>
      </c>
      <c r="X2" s="108" t="s">
        <v>271</v>
      </c>
      <c r="AA2" s="420" t="s">
        <v>132</v>
      </c>
      <c r="AB2" s="421"/>
      <c r="AC2" s="111" t="s">
        <v>1</v>
      </c>
      <c r="AD2" s="112" t="s">
        <v>133</v>
      </c>
      <c r="AE2" s="113" t="s">
        <v>102</v>
      </c>
      <c r="AF2" s="113" t="s">
        <v>101</v>
      </c>
      <c r="AG2" s="113" t="s">
        <v>103</v>
      </c>
      <c r="AH2" s="114" t="s">
        <v>104</v>
      </c>
      <c r="AI2" s="117" t="s">
        <v>134</v>
      </c>
      <c r="AJ2" s="118" t="s">
        <v>102</v>
      </c>
      <c r="AK2" s="118" t="s">
        <v>101</v>
      </c>
      <c r="AL2" s="118" t="s">
        <v>103</v>
      </c>
      <c r="AM2" s="119" t="s">
        <v>104</v>
      </c>
      <c r="AN2" s="115" t="s">
        <v>135</v>
      </c>
      <c r="AO2" s="116" t="s">
        <v>102</v>
      </c>
      <c r="AP2" s="116" t="s">
        <v>101</v>
      </c>
      <c r="AQ2" s="116" t="s">
        <v>103</v>
      </c>
      <c r="AR2" s="116" t="s">
        <v>104</v>
      </c>
      <c r="AT2" s="151"/>
      <c r="AU2" s="152" t="s">
        <v>148</v>
      </c>
      <c r="AV2" s="153"/>
    </row>
    <row r="3" spans="2:48" s="10" customFormat="1" ht="13.5" customHeight="1" x14ac:dyDescent="0.25">
      <c r="B3" s="17">
        <v>1</v>
      </c>
      <c r="E3" s="72"/>
      <c r="F3" s="18"/>
      <c r="J3" s="11"/>
      <c r="K3" s="11">
        <f>J3*1.1</f>
        <v>0</v>
      </c>
      <c r="L3" s="37">
        <f>J3*0.00000001</f>
        <v>0</v>
      </c>
      <c r="M3" s="11"/>
      <c r="O3" s="21"/>
      <c r="P3" s="21"/>
      <c r="Q3" s="21"/>
      <c r="R3" s="23"/>
      <c r="S3" s="50"/>
      <c r="T3" s="86"/>
      <c r="U3" s="85"/>
      <c r="V3" s="83"/>
      <c r="W3" s="199"/>
      <c r="X3" s="208"/>
      <c r="Z3">
        <v>1</v>
      </c>
      <c r="AA3" s="415">
        <v>1</v>
      </c>
      <c r="AB3" s="94">
        <v>1</v>
      </c>
      <c r="AC3" s="100" t="s">
        <v>105</v>
      </c>
      <c r="AD3" s="41">
        <f>SUM(AE3:AH3)</f>
        <v>0</v>
      </c>
      <c r="AE3" s="70">
        <f>SUMIFS($I:$I,$C:$C, $AE$2,$G:$G,$Z3,$H:$H,$AB3)</f>
        <v>0</v>
      </c>
      <c r="AF3" s="70">
        <f>SUMIFS($I:$I,$C:$C, $AF$2,$G:$G,$Z3,$H:$H,$AB3)</f>
        <v>0</v>
      </c>
      <c r="AG3" s="70">
        <f>SUMIFS($I:$I,$C:$C, $AG$2,$G:$G,$Z3,$H:$H,$AB3)</f>
        <v>0</v>
      </c>
      <c r="AH3" s="109">
        <f>SUMIFS($I:$I,$C:$C, $AH$2,$G:$G,$Z3,$H:$H,$AB3)</f>
        <v>0</v>
      </c>
      <c r="AI3" s="120">
        <f>SUM(AJ3:AM3)</f>
        <v>0</v>
      </c>
      <c r="AJ3" s="121">
        <f>COUNTIFS($C:$C, $AJ$2,$G:$G,$Z3,$H:$H,$AB3)</f>
        <v>0</v>
      </c>
      <c r="AK3" s="121">
        <f>COUNTIFS($C:$C, $AK$2,$G:$G,$Z3,$H:$H,$AB3)</f>
        <v>0</v>
      </c>
      <c r="AL3" s="121">
        <f>COUNTIFS($C:$C, $AL$2,$G:$G,$Z3,$H:$H,$AB3)</f>
        <v>0</v>
      </c>
      <c r="AM3" s="122">
        <f>COUNTIFS($C:$C, $AM$2,$G:$G,$Z3,$H:$H,$AB3)</f>
        <v>0</v>
      </c>
      <c r="AN3" s="41">
        <f>SUM(AO3:AR3)</f>
        <v>0</v>
      </c>
      <c r="AO3" s="70">
        <f>SUMIFS($L:$L,$C:$C, $AO$2,$G:$G,$Z3,$H:$H,$AB3)</f>
        <v>0</v>
      </c>
      <c r="AP3" s="70">
        <f>SUMIFS($L:$L,$C:$C, $AP$2,$G:$G,$Z3,$H:$H,$AB3)</f>
        <v>0</v>
      </c>
      <c r="AQ3" s="70">
        <f>SUMIFS($L:$L,$C:$C, $AQ$2,$G:$G,$Z3,$H:$H,$AB3)</f>
        <v>0</v>
      </c>
      <c r="AR3" s="70">
        <f>SUMIFS($L:$L,$C:$C, $AR$2,$G:$G,$Z3,$H:$H,$AB3)</f>
        <v>0</v>
      </c>
      <c r="AT3" s="154" t="s">
        <v>149</v>
      </c>
      <c r="AU3" s="155" t="s">
        <v>150</v>
      </c>
      <c r="AV3" s="156" t="s">
        <v>151</v>
      </c>
    </row>
    <row r="4" spans="2:48" s="10" customFormat="1" ht="13.5" customHeight="1" x14ac:dyDescent="0.25">
      <c r="B4" s="17">
        <v>2</v>
      </c>
      <c r="E4" s="72"/>
      <c r="F4" s="18"/>
      <c r="J4" s="11"/>
      <c r="K4" s="11">
        <f t="shared" ref="K4:K67" si="0">J4*1.1</f>
        <v>0</v>
      </c>
      <c r="L4" s="37">
        <f t="shared" ref="L4:L67" si="1">J4*0.00000001</f>
        <v>0</v>
      </c>
      <c r="M4" s="11"/>
      <c r="O4" s="21"/>
      <c r="P4" s="21"/>
      <c r="Q4" s="21"/>
      <c r="R4" s="23"/>
      <c r="S4" s="50"/>
      <c r="T4" s="48"/>
      <c r="U4" s="81"/>
      <c r="V4" s="26"/>
      <c r="W4" s="200"/>
      <c r="X4" s="17"/>
      <c r="Z4">
        <v>1</v>
      </c>
      <c r="AA4" s="416"/>
      <c r="AB4" s="95">
        <v>2</v>
      </c>
      <c r="AC4" s="101" t="s">
        <v>61</v>
      </c>
      <c r="AD4" s="41">
        <f t="shared" ref="AD4:AD67" si="2">SUM(AE4:AH4)</f>
        <v>0</v>
      </c>
      <c r="AE4" s="70">
        <f t="shared" ref="AE4:AE67" si="3">SUMIFS($I:$I,$C:$C, $AE$2,$G:$G,$Z4,$H:$H,$AB4)</f>
        <v>0</v>
      </c>
      <c r="AF4" s="70">
        <f t="shared" ref="AF4:AF67" si="4">SUMIFS($I:$I,$C:$C, $AF$2,$G:$G,$Z4,$H:$H,$AB4)</f>
        <v>0</v>
      </c>
      <c r="AG4" s="70">
        <f t="shared" ref="AG4:AG67" si="5">SUMIFS($I:$I,$C:$C, $AG$2,$G:$G,$Z4,$H:$H,$AB4)</f>
        <v>0</v>
      </c>
      <c r="AH4" s="109">
        <f t="shared" ref="AH4:AH67" si="6">SUMIFS($I:$I,$C:$C, $AH$2,$G:$G,$Z4,$H:$H,$AB4)</f>
        <v>0</v>
      </c>
      <c r="AI4" s="120">
        <f t="shared" ref="AI4:AI67" si="7">SUM(AJ4:AM4)</f>
        <v>0</v>
      </c>
      <c r="AJ4" s="121">
        <f t="shared" ref="AJ4:AJ67" si="8">COUNTIFS($C:$C, $AJ$2,$G:$G,$Z4,$H:$H,$AB4)</f>
        <v>0</v>
      </c>
      <c r="AK4" s="121">
        <f t="shared" ref="AK4:AK67" si="9">COUNTIFS($C:$C, $AK$2,$G:$G,$Z4,$H:$H,$AB4)</f>
        <v>0</v>
      </c>
      <c r="AL4" s="121">
        <f t="shared" ref="AL4:AL67" si="10">COUNTIFS($C:$C, $AL$2,$G:$G,$Z4,$H:$H,$AB4)</f>
        <v>0</v>
      </c>
      <c r="AM4" s="122">
        <f t="shared" ref="AM4:AM67" si="11">COUNTIFS($C:$C, $AM$2,$G:$G,$Z4,$H:$H,$AB4)</f>
        <v>0</v>
      </c>
      <c r="AN4" s="41">
        <f t="shared" ref="AN4:AN67" si="12">SUM(AO4:AR4)</f>
        <v>0</v>
      </c>
      <c r="AO4" s="70">
        <f t="shared" ref="AO4:AO67" si="13">SUMIFS($L:$L,$C:$C, $AO$2,$G:$G,$Z4,$H:$H,$AB4)</f>
        <v>0</v>
      </c>
      <c r="AP4" s="70">
        <f t="shared" ref="AP4:AP67" si="14">SUMIFS($L:$L,$C:$C, $AP$2,$G:$G,$Z4,$H:$H,$AB4)</f>
        <v>0</v>
      </c>
      <c r="AQ4" s="70">
        <f t="shared" ref="AQ4:AQ67" si="15">SUMIFS($L:$L,$C:$C, $AQ$2,$G:$G,$Z4,$H:$H,$AB4)</f>
        <v>0</v>
      </c>
      <c r="AR4" s="70">
        <f t="shared" ref="AR4:AR67" si="16">SUMIFS($L:$L,$C:$C, $AR$2,$G:$G,$Z4,$H:$H,$AB4)</f>
        <v>0</v>
      </c>
      <c r="AT4" s="157">
        <v>1</v>
      </c>
      <c r="AU4" s="158">
        <f>COUNTIFS($U:$U,$AU$3,$G:$G,$AT4)</f>
        <v>0</v>
      </c>
      <c r="AV4" s="159">
        <f>COUNTIFS($U:$U,$AV$3,$G:$G,$AT4)</f>
        <v>0</v>
      </c>
    </row>
    <row r="5" spans="2:48" s="10" customFormat="1" ht="13.5" customHeight="1" x14ac:dyDescent="0.25">
      <c r="B5" s="17">
        <v>3</v>
      </c>
      <c r="E5" s="72"/>
      <c r="F5" s="18"/>
      <c r="J5" s="11"/>
      <c r="K5" s="11">
        <f t="shared" si="0"/>
        <v>0</v>
      </c>
      <c r="L5" s="37">
        <f t="shared" si="1"/>
        <v>0</v>
      </c>
      <c r="M5" s="11"/>
      <c r="O5" s="21"/>
      <c r="P5" s="21"/>
      <c r="Q5" s="21"/>
      <c r="R5" s="23"/>
      <c r="S5" s="50"/>
      <c r="T5" s="48"/>
      <c r="U5" s="81"/>
      <c r="V5" s="26"/>
      <c r="W5" s="200"/>
      <c r="X5" s="17"/>
      <c r="Z5">
        <v>1</v>
      </c>
      <c r="AA5" s="416"/>
      <c r="AB5" s="95">
        <v>3</v>
      </c>
      <c r="AC5" s="102" t="s">
        <v>62</v>
      </c>
      <c r="AD5" s="41">
        <f t="shared" si="2"/>
        <v>0</v>
      </c>
      <c r="AE5" s="70">
        <f t="shared" si="3"/>
        <v>0</v>
      </c>
      <c r="AF5" s="70">
        <f t="shared" si="4"/>
        <v>0</v>
      </c>
      <c r="AG5" s="70">
        <f t="shared" si="5"/>
        <v>0</v>
      </c>
      <c r="AH5" s="109">
        <f t="shared" si="6"/>
        <v>0</v>
      </c>
      <c r="AI5" s="120">
        <f t="shared" si="7"/>
        <v>0</v>
      </c>
      <c r="AJ5" s="121">
        <f t="shared" si="8"/>
        <v>0</v>
      </c>
      <c r="AK5" s="121">
        <f t="shared" si="9"/>
        <v>0</v>
      </c>
      <c r="AL5" s="121">
        <f t="shared" si="10"/>
        <v>0</v>
      </c>
      <c r="AM5" s="122">
        <f t="shared" si="11"/>
        <v>0</v>
      </c>
      <c r="AN5" s="41">
        <f t="shared" si="12"/>
        <v>0</v>
      </c>
      <c r="AO5" s="70">
        <f t="shared" si="13"/>
        <v>0</v>
      </c>
      <c r="AP5" s="70">
        <f t="shared" si="14"/>
        <v>0</v>
      </c>
      <c r="AQ5" s="70">
        <f t="shared" si="15"/>
        <v>0</v>
      </c>
      <c r="AR5" s="70">
        <f t="shared" si="16"/>
        <v>0</v>
      </c>
      <c r="AT5" s="157">
        <v>2</v>
      </c>
      <c r="AU5" s="158">
        <f t="shared" ref="AU5:AU15" si="17">COUNTIFS($U:$U,$AU$3,$G:$G,$AT5)</f>
        <v>0</v>
      </c>
      <c r="AV5" s="159">
        <f t="shared" ref="AV5:AV15" si="18">COUNTIFS($U:$U,$AV$3,$G:$G,$AT5)</f>
        <v>0</v>
      </c>
    </row>
    <row r="6" spans="2:48" s="10" customFormat="1" ht="13.5" customHeight="1" x14ac:dyDescent="0.25">
      <c r="B6" s="17">
        <v>4</v>
      </c>
      <c r="E6" s="72"/>
      <c r="F6" s="18"/>
      <c r="J6" s="11"/>
      <c r="K6" s="11">
        <f t="shared" si="0"/>
        <v>0</v>
      </c>
      <c r="L6" s="37">
        <f t="shared" si="1"/>
        <v>0</v>
      </c>
      <c r="M6" s="11"/>
      <c r="O6" s="21"/>
      <c r="P6" s="21"/>
      <c r="Q6" s="21"/>
      <c r="R6" s="23"/>
      <c r="S6" s="50"/>
      <c r="T6" s="48"/>
      <c r="U6" s="81"/>
      <c r="V6" s="26"/>
      <c r="W6" s="200"/>
      <c r="X6" s="17"/>
      <c r="Z6">
        <v>1</v>
      </c>
      <c r="AA6" s="416"/>
      <c r="AB6" s="95">
        <v>4</v>
      </c>
      <c r="AC6" s="102" t="s">
        <v>63</v>
      </c>
      <c r="AD6" s="41">
        <f t="shared" si="2"/>
        <v>0</v>
      </c>
      <c r="AE6" s="70">
        <f t="shared" si="3"/>
        <v>0</v>
      </c>
      <c r="AF6" s="70">
        <f t="shared" si="4"/>
        <v>0</v>
      </c>
      <c r="AG6" s="70">
        <f t="shared" si="5"/>
        <v>0</v>
      </c>
      <c r="AH6" s="109">
        <f t="shared" si="6"/>
        <v>0</v>
      </c>
      <c r="AI6" s="120">
        <f t="shared" si="7"/>
        <v>0</v>
      </c>
      <c r="AJ6" s="121">
        <f t="shared" si="8"/>
        <v>0</v>
      </c>
      <c r="AK6" s="121">
        <f t="shared" si="9"/>
        <v>0</v>
      </c>
      <c r="AL6" s="121">
        <f t="shared" si="10"/>
        <v>0</v>
      </c>
      <c r="AM6" s="122">
        <f t="shared" si="11"/>
        <v>0</v>
      </c>
      <c r="AN6" s="41">
        <f t="shared" si="12"/>
        <v>0</v>
      </c>
      <c r="AO6" s="70">
        <f t="shared" si="13"/>
        <v>0</v>
      </c>
      <c r="AP6" s="70">
        <f t="shared" si="14"/>
        <v>0</v>
      </c>
      <c r="AQ6" s="70">
        <f t="shared" si="15"/>
        <v>0</v>
      </c>
      <c r="AR6" s="70">
        <f t="shared" si="16"/>
        <v>0</v>
      </c>
      <c r="AT6" s="157">
        <v>3</v>
      </c>
      <c r="AU6" s="158">
        <f t="shared" si="17"/>
        <v>0</v>
      </c>
      <c r="AV6" s="159">
        <f t="shared" si="18"/>
        <v>0</v>
      </c>
    </row>
    <row r="7" spans="2:48" s="10" customFormat="1" ht="13.5" customHeight="1" x14ac:dyDescent="0.25">
      <c r="B7" s="17">
        <v>5</v>
      </c>
      <c r="E7" s="72"/>
      <c r="F7" s="18"/>
      <c r="J7" s="11"/>
      <c r="K7" s="11">
        <f t="shared" si="0"/>
        <v>0</v>
      </c>
      <c r="L7" s="37">
        <f t="shared" si="1"/>
        <v>0</v>
      </c>
      <c r="M7" s="11"/>
      <c r="O7" s="21"/>
      <c r="P7" s="21"/>
      <c r="Q7" s="21"/>
      <c r="R7" s="23"/>
      <c r="S7" s="50"/>
      <c r="T7" s="48"/>
      <c r="U7" s="81"/>
      <c r="V7" s="26"/>
      <c r="W7" s="200"/>
      <c r="X7" s="17"/>
      <c r="Z7">
        <v>1</v>
      </c>
      <c r="AA7" s="416"/>
      <c r="AB7" s="96">
        <v>5</v>
      </c>
      <c r="AC7" s="102" t="s">
        <v>64</v>
      </c>
      <c r="AD7" s="41">
        <f t="shared" si="2"/>
        <v>0</v>
      </c>
      <c r="AE7" s="70">
        <f t="shared" si="3"/>
        <v>0</v>
      </c>
      <c r="AF7" s="70">
        <f t="shared" si="4"/>
        <v>0</v>
      </c>
      <c r="AG7" s="70">
        <f t="shared" si="5"/>
        <v>0</v>
      </c>
      <c r="AH7" s="109">
        <f t="shared" si="6"/>
        <v>0</v>
      </c>
      <c r="AI7" s="120">
        <f t="shared" si="7"/>
        <v>0</v>
      </c>
      <c r="AJ7" s="121">
        <f t="shared" si="8"/>
        <v>0</v>
      </c>
      <c r="AK7" s="121">
        <f t="shared" si="9"/>
        <v>0</v>
      </c>
      <c r="AL7" s="121">
        <f t="shared" si="10"/>
        <v>0</v>
      </c>
      <c r="AM7" s="122">
        <f t="shared" si="11"/>
        <v>0</v>
      </c>
      <c r="AN7" s="41">
        <f t="shared" si="12"/>
        <v>0</v>
      </c>
      <c r="AO7" s="70">
        <f t="shared" si="13"/>
        <v>0</v>
      </c>
      <c r="AP7" s="70">
        <f t="shared" si="14"/>
        <v>0</v>
      </c>
      <c r="AQ7" s="70">
        <f t="shared" si="15"/>
        <v>0</v>
      </c>
      <c r="AR7" s="70">
        <f t="shared" si="16"/>
        <v>0</v>
      </c>
      <c r="AT7" s="157">
        <v>4</v>
      </c>
      <c r="AU7" s="158">
        <f t="shared" si="17"/>
        <v>0</v>
      </c>
      <c r="AV7" s="159">
        <f t="shared" si="18"/>
        <v>0</v>
      </c>
    </row>
    <row r="8" spans="2:48" s="10" customFormat="1" ht="13.5" customHeight="1" thickBot="1" x14ac:dyDescent="0.3">
      <c r="B8" s="17">
        <v>6</v>
      </c>
      <c r="E8" s="72"/>
      <c r="F8" s="18"/>
      <c r="J8" s="11"/>
      <c r="K8" s="11">
        <f t="shared" si="0"/>
        <v>0</v>
      </c>
      <c r="L8" s="37">
        <f t="shared" si="1"/>
        <v>0</v>
      </c>
      <c r="M8" s="11"/>
      <c r="O8" s="21"/>
      <c r="P8" s="21"/>
      <c r="Q8" s="21"/>
      <c r="R8" s="23"/>
      <c r="S8" s="50"/>
      <c r="T8" s="48"/>
      <c r="U8" s="81"/>
      <c r="V8" s="26"/>
      <c r="W8" s="200"/>
      <c r="X8" s="17"/>
      <c r="Z8">
        <v>1</v>
      </c>
      <c r="AA8" s="417"/>
      <c r="AB8" s="97" t="s">
        <v>3</v>
      </c>
      <c r="AC8" s="103"/>
      <c r="AD8" s="99">
        <f>SUM(AD3:AD7)</f>
        <v>0</v>
      </c>
      <c r="AE8" s="99">
        <f t="shared" ref="AE8" si="19">SUM(AE3:AE7)</f>
        <v>0</v>
      </c>
      <c r="AF8" s="99">
        <f t="shared" ref="AF8" si="20">SUM(AF3:AF7)</f>
        <v>0</v>
      </c>
      <c r="AG8" s="99">
        <f t="shared" ref="AG8" si="21">SUM(AG3:AG7)</f>
        <v>0</v>
      </c>
      <c r="AH8" s="110">
        <f t="shared" ref="AH8" si="22">SUM(AH3:AH7)</f>
        <v>0</v>
      </c>
      <c r="AI8" s="123">
        <f t="shared" ref="AI8" si="23">SUM(AI3:AI7)</f>
        <v>0</v>
      </c>
      <c r="AJ8" s="124">
        <f t="shared" ref="AJ8" si="24">SUM(AJ3:AJ7)</f>
        <v>0</v>
      </c>
      <c r="AK8" s="124">
        <f t="shared" ref="AK8" si="25">SUM(AK3:AK7)</f>
        <v>0</v>
      </c>
      <c r="AL8" s="124">
        <f t="shared" ref="AL8" si="26">SUM(AL3:AL7)</f>
        <v>0</v>
      </c>
      <c r="AM8" s="125">
        <f t="shared" ref="AM8" si="27">SUM(AM3:AM7)</f>
        <v>0</v>
      </c>
      <c r="AN8" s="99">
        <f t="shared" ref="AN8" si="28">SUM(AN3:AN7)</f>
        <v>0</v>
      </c>
      <c r="AO8" s="99">
        <f t="shared" ref="AO8" si="29">SUM(AO3:AO7)</f>
        <v>0</v>
      </c>
      <c r="AP8" s="99">
        <f t="shared" ref="AP8" si="30">SUM(AP3:AP7)</f>
        <v>0</v>
      </c>
      <c r="AQ8" s="99">
        <f t="shared" ref="AQ8" si="31">SUM(AQ3:AQ7)</f>
        <v>0</v>
      </c>
      <c r="AR8" s="99">
        <f t="shared" ref="AR8" si="32">SUM(AR3:AR7)</f>
        <v>0</v>
      </c>
      <c r="AT8" s="157">
        <v>5</v>
      </c>
      <c r="AU8" s="158">
        <f t="shared" si="17"/>
        <v>0</v>
      </c>
      <c r="AV8" s="159">
        <f t="shared" si="18"/>
        <v>0</v>
      </c>
    </row>
    <row r="9" spans="2:48" s="10" customFormat="1" ht="13.5" customHeight="1" x14ac:dyDescent="0.25">
      <c r="B9" s="17">
        <v>7</v>
      </c>
      <c r="E9" s="72"/>
      <c r="F9" s="18"/>
      <c r="J9" s="11"/>
      <c r="K9" s="11">
        <f t="shared" si="0"/>
        <v>0</v>
      </c>
      <c r="L9" s="37">
        <f t="shared" si="1"/>
        <v>0</v>
      </c>
      <c r="M9" s="11"/>
      <c r="O9" s="21"/>
      <c r="P9" s="21"/>
      <c r="Q9" s="21"/>
      <c r="R9" s="23"/>
      <c r="S9" s="50"/>
      <c r="T9" s="48"/>
      <c r="U9" s="81"/>
      <c r="V9" s="26"/>
      <c r="W9" s="200"/>
      <c r="X9" s="17"/>
      <c r="Z9">
        <v>2</v>
      </c>
      <c r="AA9" s="415">
        <v>2</v>
      </c>
      <c r="AB9" s="94">
        <v>1</v>
      </c>
      <c r="AC9" s="104" t="s">
        <v>106</v>
      </c>
      <c r="AD9" s="41">
        <f t="shared" si="2"/>
        <v>0</v>
      </c>
      <c r="AE9" s="70">
        <f t="shared" si="3"/>
        <v>0</v>
      </c>
      <c r="AF9" s="70">
        <f t="shared" si="4"/>
        <v>0</v>
      </c>
      <c r="AG9" s="70">
        <f t="shared" si="5"/>
        <v>0</v>
      </c>
      <c r="AH9" s="109">
        <f t="shared" si="6"/>
        <v>0</v>
      </c>
      <c r="AI9" s="120">
        <f t="shared" si="7"/>
        <v>0</v>
      </c>
      <c r="AJ9" s="121">
        <f t="shared" si="8"/>
        <v>0</v>
      </c>
      <c r="AK9" s="121">
        <f t="shared" si="9"/>
        <v>0</v>
      </c>
      <c r="AL9" s="121">
        <f t="shared" si="10"/>
        <v>0</v>
      </c>
      <c r="AM9" s="122">
        <f t="shared" si="11"/>
        <v>0</v>
      </c>
      <c r="AN9" s="41">
        <f t="shared" si="12"/>
        <v>0</v>
      </c>
      <c r="AO9" s="70">
        <f t="shared" si="13"/>
        <v>0</v>
      </c>
      <c r="AP9" s="70">
        <f t="shared" si="14"/>
        <v>0</v>
      </c>
      <c r="AQ9" s="70">
        <f t="shared" si="15"/>
        <v>0</v>
      </c>
      <c r="AR9" s="70">
        <f t="shared" si="16"/>
        <v>0</v>
      </c>
      <c r="AT9" s="157">
        <v>6</v>
      </c>
      <c r="AU9" s="158">
        <f t="shared" si="17"/>
        <v>0</v>
      </c>
      <c r="AV9" s="159">
        <f t="shared" si="18"/>
        <v>0</v>
      </c>
    </row>
    <row r="10" spans="2:48" s="10" customFormat="1" ht="13.5" customHeight="1" x14ac:dyDescent="0.25">
      <c r="B10" s="17">
        <v>8</v>
      </c>
      <c r="E10" s="72"/>
      <c r="F10" s="18"/>
      <c r="J10" s="11"/>
      <c r="K10" s="11">
        <f t="shared" si="0"/>
        <v>0</v>
      </c>
      <c r="L10" s="37">
        <f t="shared" si="1"/>
        <v>0</v>
      </c>
      <c r="M10" s="11"/>
      <c r="O10" s="21"/>
      <c r="P10" s="21"/>
      <c r="Q10" s="21"/>
      <c r="R10" s="23"/>
      <c r="S10" s="50"/>
      <c r="T10" s="48"/>
      <c r="U10" s="81"/>
      <c r="V10" s="26"/>
      <c r="W10" s="200"/>
      <c r="X10" s="17"/>
      <c r="Z10">
        <v>2</v>
      </c>
      <c r="AA10" s="416"/>
      <c r="AB10" s="95">
        <v>2</v>
      </c>
      <c r="AC10" s="102" t="s">
        <v>65</v>
      </c>
      <c r="AD10" s="41">
        <f t="shared" si="2"/>
        <v>0</v>
      </c>
      <c r="AE10" s="70">
        <f t="shared" si="3"/>
        <v>0</v>
      </c>
      <c r="AF10" s="70">
        <f t="shared" si="4"/>
        <v>0</v>
      </c>
      <c r="AG10" s="70">
        <f t="shared" si="5"/>
        <v>0</v>
      </c>
      <c r="AH10" s="109">
        <f t="shared" si="6"/>
        <v>0</v>
      </c>
      <c r="AI10" s="120">
        <f t="shared" si="7"/>
        <v>0</v>
      </c>
      <c r="AJ10" s="121">
        <f t="shared" si="8"/>
        <v>0</v>
      </c>
      <c r="AK10" s="121">
        <f t="shared" si="9"/>
        <v>0</v>
      </c>
      <c r="AL10" s="121">
        <f t="shared" si="10"/>
        <v>0</v>
      </c>
      <c r="AM10" s="122">
        <f t="shared" si="11"/>
        <v>0</v>
      </c>
      <c r="AN10" s="41">
        <f t="shared" si="12"/>
        <v>0</v>
      </c>
      <c r="AO10" s="70">
        <f t="shared" si="13"/>
        <v>0</v>
      </c>
      <c r="AP10" s="70">
        <f t="shared" si="14"/>
        <v>0</v>
      </c>
      <c r="AQ10" s="70">
        <f t="shared" si="15"/>
        <v>0</v>
      </c>
      <c r="AR10" s="70">
        <f t="shared" si="16"/>
        <v>0</v>
      </c>
      <c r="AT10" s="157">
        <v>7</v>
      </c>
      <c r="AU10" s="158">
        <f t="shared" si="17"/>
        <v>0</v>
      </c>
      <c r="AV10" s="159">
        <f t="shared" si="18"/>
        <v>0</v>
      </c>
    </row>
    <row r="11" spans="2:48" s="10" customFormat="1" ht="13.5" customHeight="1" x14ac:dyDescent="0.25">
      <c r="B11" s="17">
        <v>9</v>
      </c>
      <c r="E11" s="72"/>
      <c r="F11" s="18"/>
      <c r="J11" s="11"/>
      <c r="K11" s="11">
        <f t="shared" si="0"/>
        <v>0</v>
      </c>
      <c r="L11" s="37">
        <f t="shared" si="1"/>
        <v>0</v>
      </c>
      <c r="M11" s="11"/>
      <c r="O11" s="21"/>
      <c r="P11" s="21"/>
      <c r="Q11" s="21"/>
      <c r="R11" s="23"/>
      <c r="S11" s="50"/>
      <c r="T11" s="48"/>
      <c r="U11" s="81"/>
      <c r="V11" s="26"/>
      <c r="W11" s="200"/>
      <c r="X11" s="17"/>
      <c r="Z11">
        <v>2</v>
      </c>
      <c r="AA11" s="416"/>
      <c r="AB11" s="95">
        <v>3</v>
      </c>
      <c r="AC11" s="102" t="s">
        <v>66</v>
      </c>
      <c r="AD11" s="41">
        <f t="shared" si="2"/>
        <v>0</v>
      </c>
      <c r="AE11" s="70">
        <f t="shared" si="3"/>
        <v>0</v>
      </c>
      <c r="AF11" s="70">
        <f t="shared" si="4"/>
        <v>0</v>
      </c>
      <c r="AG11" s="70">
        <f t="shared" si="5"/>
        <v>0</v>
      </c>
      <c r="AH11" s="109">
        <f t="shared" si="6"/>
        <v>0</v>
      </c>
      <c r="AI11" s="120">
        <f t="shared" si="7"/>
        <v>0</v>
      </c>
      <c r="AJ11" s="121">
        <f t="shared" si="8"/>
        <v>0</v>
      </c>
      <c r="AK11" s="121">
        <f t="shared" si="9"/>
        <v>0</v>
      </c>
      <c r="AL11" s="121">
        <f t="shared" si="10"/>
        <v>0</v>
      </c>
      <c r="AM11" s="122">
        <f t="shared" si="11"/>
        <v>0</v>
      </c>
      <c r="AN11" s="41">
        <f t="shared" si="12"/>
        <v>0</v>
      </c>
      <c r="AO11" s="70">
        <f t="shared" si="13"/>
        <v>0</v>
      </c>
      <c r="AP11" s="70">
        <f t="shared" si="14"/>
        <v>0</v>
      </c>
      <c r="AQ11" s="70">
        <f t="shared" si="15"/>
        <v>0</v>
      </c>
      <c r="AR11" s="70">
        <f t="shared" si="16"/>
        <v>0</v>
      </c>
      <c r="AT11" s="157">
        <v>8</v>
      </c>
      <c r="AU11" s="158">
        <f t="shared" si="17"/>
        <v>0</v>
      </c>
      <c r="AV11" s="159">
        <f t="shared" si="18"/>
        <v>0</v>
      </c>
    </row>
    <row r="12" spans="2:48" s="10" customFormat="1" ht="13.5" customHeight="1" x14ac:dyDescent="0.25">
      <c r="B12" s="17">
        <v>10</v>
      </c>
      <c r="E12" s="72"/>
      <c r="F12" s="18"/>
      <c r="J12" s="11"/>
      <c r="K12" s="11">
        <f t="shared" si="0"/>
        <v>0</v>
      </c>
      <c r="L12" s="37">
        <f t="shared" si="1"/>
        <v>0</v>
      </c>
      <c r="M12" s="11"/>
      <c r="O12" s="21"/>
      <c r="P12" s="21"/>
      <c r="Q12" s="21"/>
      <c r="R12" s="23"/>
      <c r="S12" s="50"/>
      <c r="T12" s="48"/>
      <c r="U12" s="81"/>
      <c r="V12" s="26"/>
      <c r="W12" s="200"/>
      <c r="X12" s="17"/>
      <c r="Z12">
        <v>2</v>
      </c>
      <c r="AA12" s="416"/>
      <c r="AB12" s="95">
        <v>4</v>
      </c>
      <c r="AC12" s="102" t="s">
        <v>67</v>
      </c>
      <c r="AD12" s="41">
        <f t="shared" si="2"/>
        <v>0</v>
      </c>
      <c r="AE12" s="70">
        <f t="shared" si="3"/>
        <v>0</v>
      </c>
      <c r="AF12" s="70">
        <f t="shared" si="4"/>
        <v>0</v>
      </c>
      <c r="AG12" s="70">
        <f t="shared" si="5"/>
        <v>0</v>
      </c>
      <c r="AH12" s="109">
        <f t="shared" si="6"/>
        <v>0</v>
      </c>
      <c r="AI12" s="120">
        <f t="shared" si="7"/>
        <v>0</v>
      </c>
      <c r="AJ12" s="121">
        <f t="shared" si="8"/>
        <v>0</v>
      </c>
      <c r="AK12" s="121">
        <f t="shared" si="9"/>
        <v>0</v>
      </c>
      <c r="AL12" s="121">
        <f t="shared" si="10"/>
        <v>0</v>
      </c>
      <c r="AM12" s="122">
        <f t="shared" si="11"/>
        <v>0</v>
      </c>
      <c r="AN12" s="41">
        <f t="shared" si="12"/>
        <v>0</v>
      </c>
      <c r="AO12" s="70">
        <f t="shared" si="13"/>
        <v>0</v>
      </c>
      <c r="AP12" s="70">
        <f t="shared" si="14"/>
        <v>0</v>
      </c>
      <c r="AQ12" s="70">
        <f t="shared" si="15"/>
        <v>0</v>
      </c>
      <c r="AR12" s="70">
        <f t="shared" si="16"/>
        <v>0</v>
      </c>
      <c r="AT12" s="157">
        <v>9</v>
      </c>
      <c r="AU12" s="158">
        <f t="shared" si="17"/>
        <v>0</v>
      </c>
      <c r="AV12" s="159">
        <f t="shared" si="18"/>
        <v>0</v>
      </c>
    </row>
    <row r="13" spans="2:48" s="10" customFormat="1" ht="13.5" customHeight="1" x14ac:dyDescent="0.25">
      <c r="B13" s="17">
        <v>11</v>
      </c>
      <c r="E13" s="72"/>
      <c r="F13" s="18"/>
      <c r="J13" s="11"/>
      <c r="K13" s="11">
        <f t="shared" si="0"/>
        <v>0</v>
      </c>
      <c r="L13" s="37">
        <f t="shared" si="1"/>
        <v>0</v>
      </c>
      <c r="M13" s="11"/>
      <c r="O13" s="21"/>
      <c r="P13" s="21"/>
      <c r="Q13" s="21"/>
      <c r="R13" s="23"/>
      <c r="S13" s="50"/>
      <c r="T13" s="48"/>
      <c r="U13" s="81"/>
      <c r="V13" s="26"/>
      <c r="W13" s="200"/>
      <c r="X13" s="17"/>
      <c r="Z13">
        <v>2</v>
      </c>
      <c r="AA13" s="416"/>
      <c r="AB13" s="96">
        <v>5</v>
      </c>
      <c r="AC13" s="102"/>
      <c r="AD13" s="41">
        <f t="shared" si="2"/>
        <v>0</v>
      </c>
      <c r="AE13" s="70">
        <f t="shared" si="3"/>
        <v>0</v>
      </c>
      <c r="AF13" s="70">
        <f t="shared" si="4"/>
        <v>0</v>
      </c>
      <c r="AG13" s="70">
        <f t="shared" si="5"/>
        <v>0</v>
      </c>
      <c r="AH13" s="109">
        <f t="shared" si="6"/>
        <v>0</v>
      </c>
      <c r="AI13" s="120">
        <f t="shared" si="7"/>
        <v>0</v>
      </c>
      <c r="AJ13" s="121">
        <f t="shared" si="8"/>
        <v>0</v>
      </c>
      <c r="AK13" s="121">
        <f t="shared" si="9"/>
        <v>0</v>
      </c>
      <c r="AL13" s="121">
        <f t="shared" si="10"/>
        <v>0</v>
      </c>
      <c r="AM13" s="122">
        <f t="shared" si="11"/>
        <v>0</v>
      </c>
      <c r="AN13" s="41">
        <f t="shared" si="12"/>
        <v>0</v>
      </c>
      <c r="AO13" s="70">
        <f t="shared" si="13"/>
        <v>0</v>
      </c>
      <c r="AP13" s="70">
        <f t="shared" si="14"/>
        <v>0</v>
      </c>
      <c r="AQ13" s="70">
        <f t="shared" si="15"/>
        <v>0</v>
      </c>
      <c r="AR13" s="70">
        <f t="shared" si="16"/>
        <v>0</v>
      </c>
      <c r="AT13" s="157">
        <v>10</v>
      </c>
      <c r="AU13" s="158">
        <f t="shared" si="17"/>
        <v>0</v>
      </c>
      <c r="AV13" s="159">
        <f t="shared" si="18"/>
        <v>0</v>
      </c>
    </row>
    <row r="14" spans="2:48" s="10" customFormat="1" ht="13.5" customHeight="1" thickBot="1" x14ac:dyDescent="0.3">
      <c r="B14" s="17">
        <v>12</v>
      </c>
      <c r="E14" s="72"/>
      <c r="F14" s="18"/>
      <c r="J14" s="11"/>
      <c r="K14" s="11">
        <f t="shared" si="0"/>
        <v>0</v>
      </c>
      <c r="L14" s="37">
        <f t="shared" si="1"/>
        <v>0</v>
      </c>
      <c r="M14" s="11"/>
      <c r="O14" s="21"/>
      <c r="P14" s="21"/>
      <c r="Q14" s="21"/>
      <c r="R14" s="23"/>
      <c r="S14" s="50"/>
      <c r="T14" s="48"/>
      <c r="U14" s="81"/>
      <c r="V14" s="31"/>
      <c r="W14" s="200"/>
      <c r="X14" s="17"/>
      <c r="Z14">
        <v>2</v>
      </c>
      <c r="AA14" s="417"/>
      <c r="AB14" s="97" t="s">
        <v>3</v>
      </c>
      <c r="AC14" s="103"/>
      <c r="AD14" s="99">
        <f>SUM(AD9:AD13)</f>
        <v>0</v>
      </c>
      <c r="AE14" s="99">
        <f t="shared" ref="AE14" si="33">SUM(AE9:AE13)</f>
        <v>0</v>
      </c>
      <c r="AF14" s="99">
        <f t="shared" ref="AF14" si="34">SUM(AF9:AF13)</f>
        <v>0</v>
      </c>
      <c r="AG14" s="99">
        <f t="shared" ref="AG14" si="35">SUM(AG9:AG13)</f>
        <v>0</v>
      </c>
      <c r="AH14" s="110">
        <f t="shared" ref="AH14" si="36">SUM(AH9:AH13)</f>
        <v>0</v>
      </c>
      <c r="AI14" s="123">
        <f t="shared" ref="AI14" si="37">SUM(AI9:AI13)</f>
        <v>0</v>
      </c>
      <c r="AJ14" s="124">
        <f t="shared" ref="AJ14" si="38">SUM(AJ9:AJ13)</f>
        <v>0</v>
      </c>
      <c r="AK14" s="124">
        <f t="shared" ref="AK14" si="39">SUM(AK9:AK13)</f>
        <v>0</v>
      </c>
      <c r="AL14" s="124">
        <f t="shared" ref="AL14" si="40">SUM(AL9:AL13)</f>
        <v>0</v>
      </c>
      <c r="AM14" s="125">
        <f t="shared" ref="AM14" si="41">SUM(AM9:AM13)</f>
        <v>0</v>
      </c>
      <c r="AN14" s="99">
        <f t="shared" ref="AN14" si="42">SUM(AN9:AN13)</f>
        <v>0</v>
      </c>
      <c r="AO14" s="99">
        <f t="shared" ref="AO14" si="43">SUM(AO9:AO13)</f>
        <v>0</v>
      </c>
      <c r="AP14" s="99">
        <f t="shared" ref="AP14" si="44">SUM(AP9:AP13)</f>
        <v>0</v>
      </c>
      <c r="AQ14" s="99">
        <f t="shared" ref="AQ14" si="45">SUM(AQ9:AQ13)</f>
        <v>0</v>
      </c>
      <c r="AR14" s="99">
        <f t="shared" ref="AR14" si="46">SUM(AR9:AR13)</f>
        <v>0</v>
      </c>
      <c r="AT14" s="157">
        <v>11</v>
      </c>
      <c r="AU14" s="158">
        <f t="shared" si="17"/>
        <v>0</v>
      </c>
      <c r="AV14" s="159">
        <f t="shared" si="18"/>
        <v>0</v>
      </c>
    </row>
    <row r="15" spans="2:48" s="10" customFormat="1" ht="13.5" customHeight="1" thickBot="1" x14ac:dyDescent="0.3">
      <c r="B15" s="17">
        <v>13</v>
      </c>
      <c r="E15" s="72"/>
      <c r="F15" s="18"/>
      <c r="J15" s="11"/>
      <c r="K15" s="11">
        <f t="shared" si="0"/>
        <v>0</v>
      </c>
      <c r="L15" s="37">
        <f t="shared" si="1"/>
        <v>0</v>
      </c>
      <c r="M15" s="11"/>
      <c r="O15" s="21"/>
      <c r="P15" s="21"/>
      <c r="Q15" s="21"/>
      <c r="R15" s="23"/>
      <c r="S15" s="50"/>
      <c r="T15" s="48"/>
      <c r="U15" s="81"/>
      <c r="V15" s="32"/>
      <c r="W15" s="200"/>
      <c r="X15" s="17"/>
      <c r="Z15">
        <v>3</v>
      </c>
      <c r="AA15" s="415">
        <v>3</v>
      </c>
      <c r="AB15" s="94">
        <v>1</v>
      </c>
      <c r="AC15" s="100" t="s">
        <v>107</v>
      </c>
      <c r="AD15" s="41">
        <f t="shared" si="2"/>
        <v>0</v>
      </c>
      <c r="AE15" s="70">
        <f t="shared" si="3"/>
        <v>0</v>
      </c>
      <c r="AF15" s="70">
        <f t="shared" si="4"/>
        <v>0</v>
      </c>
      <c r="AG15" s="70">
        <f t="shared" si="5"/>
        <v>0</v>
      </c>
      <c r="AH15" s="109">
        <f t="shared" si="6"/>
        <v>0</v>
      </c>
      <c r="AI15" s="120">
        <f t="shared" si="7"/>
        <v>0</v>
      </c>
      <c r="AJ15" s="121">
        <f t="shared" si="8"/>
        <v>0</v>
      </c>
      <c r="AK15" s="121">
        <f t="shared" si="9"/>
        <v>0</v>
      </c>
      <c r="AL15" s="121">
        <f t="shared" si="10"/>
        <v>0</v>
      </c>
      <c r="AM15" s="122">
        <f t="shared" si="11"/>
        <v>0</v>
      </c>
      <c r="AN15" s="41">
        <f t="shared" si="12"/>
        <v>0</v>
      </c>
      <c r="AO15" s="70">
        <f t="shared" si="13"/>
        <v>0</v>
      </c>
      <c r="AP15" s="70">
        <f t="shared" si="14"/>
        <v>0</v>
      </c>
      <c r="AQ15" s="70">
        <f t="shared" si="15"/>
        <v>0</v>
      </c>
      <c r="AR15" s="70">
        <f t="shared" si="16"/>
        <v>0</v>
      </c>
      <c r="AT15" s="160">
        <v>12</v>
      </c>
      <c r="AU15" s="158">
        <f t="shared" si="17"/>
        <v>0</v>
      </c>
      <c r="AV15" s="159">
        <f t="shared" si="18"/>
        <v>0</v>
      </c>
    </row>
    <row r="16" spans="2:48" s="10" customFormat="1" ht="13.5" customHeight="1" thickBot="1" x14ac:dyDescent="0.3">
      <c r="B16" s="17">
        <v>14</v>
      </c>
      <c r="E16" s="72"/>
      <c r="F16" s="18"/>
      <c r="J16" s="11"/>
      <c r="K16" s="11">
        <f t="shared" si="0"/>
        <v>0</v>
      </c>
      <c r="L16" s="37">
        <f t="shared" si="1"/>
        <v>0</v>
      </c>
      <c r="M16" s="11"/>
      <c r="O16" s="21"/>
      <c r="P16" s="21"/>
      <c r="Q16" s="21"/>
      <c r="R16" s="23"/>
      <c r="S16" s="50"/>
      <c r="T16" s="48"/>
      <c r="U16" s="81"/>
      <c r="V16" s="32"/>
      <c r="W16" s="200"/>
      <c r="X16" s="17"/>
      <c r="Z16">
        <v>3</v>
      </c>
      <c r="AA16" s="416"/>
      <c r="AB16" s="95">
        <v>2</v>
      </c>
      <c r="AC16" s="101" t="s">
        <v>65</v>
      </c>
      <c r="AD16" s="41">
        <f t="shared" si="2"/>
        <v>0</v>
      </c>
      <c r="AE16" s="70">
        <f t="shared" si="3"/>
        <v>0</v>
      </c>
      <c r="AF16" s="70">
        <f t="shared" si="4"/>
        <v>0</v>
      </c>
      <c r="AG16" s="70">
        <f t="shared" si="5"/>
        <v>0</v>
      </c>
      <c r="AH16" s="109">
        <f t="shared" si="6"/>
        <v>0</v>
      </c>
      <c r="AI16" s="120">
        <f t="shared" si="7"/>
        <v>0</v>
      </c>
      <c r="AJ16" s="121">
        <f t="shared" si="8"/>
        <v>0</v>
      </c>
      <c r="AK16" s="121">
        <f t="shared" si="9"/>
        <v>0</v>
      </c>
      <c r="AL16" s="121">
        <f t="shared" si="10"/>
        <v>0</v>
      </c>
      <c r="AM16" s="122">
        <f t="shared" si="11"/>
        <v>0</v>
      </c>
      <c r="AN16" s="41">
        <f t="shared" si="12"/>
        <v>0</v>
      </c>
      <c r="AO16" s="70">
        <f t="shared" si="13"/>
        <v>0</v>
      </c>
      <c r="AP16" s="70">
        <f t="shared" si="14"/>
        <v>0</v>
      </c>
      <c r="AQ16" s="70">
        <f t="shared" si="15"/>
        <v>0</v>
      </c>
      <c r="AR16" s="70">
        <f t="shared" si="16"/>
        <v>0</v>
      </c>
      <c r="AT16" s="161" t="s">
        <v>3</v>
      </c>
      <c r="AU16" s="162">
        <f>SUM(AU4:AU15)</f>
        <v>0</v>
      </c>
      <c r="AV16" s="162">
        <f>SUM(AV4:AV15)</f>
        <v>0</v>
      </c>
    </row>
    <row r="17" spans="2:48" s="10" customFormat="1" ht="13.5" customHeight="1" thickBot="1" x14ac:dyDescent="0.3">
      <c r="B17" s="17">
        <v>15</v>
      </c>
      <c r="E17" s="72"/>
      <c r="F17" s="18"/>
      <c r="J17" s="11"/>
      <c r="K17" s="11">
        <f t="shared" si="0"/>
        <v>0</v>
      </c>
      <c r="L17" s="37">
        <f t="shared" si="1"/>
        <v>0</v>
      </c>
      <c r="M17" s="11"/>
      <c r="O17" s="21"/>
      <c r="P17" s="21"/>
      <c r="Q17" s="21"/>
      <c r="R17" s="23"/>
      <c r="S17" s="50"/>
      <c r="T17" s="48"/>
      <c r="U17" s="81"/>
      <c r="V17" s="32"/>
      <c r="W17" s="200"/>
      <c r="X17" s="17"/>
      <c r="Z17">
        <v>3</v>
      </c>
      <c r="AA17" s="416"/>
      <c r="AB17" s="95">
        <v>3</v>
      </c>
      <c r="AC17" s="102" t="s">
        <v>66</v>
      </c>
      <c r="AD17" s="41">
        <f t="shared" si="2"/>
        <v>0</v>
      </c>
      <c r="AE17" s="70">
        <f t="shared" si="3"/>
        <v>0</v>
      </c>
      <c r="AF17" s="70">
        <f t="shared" si="4"/>
        <v>0</v>
      </c>
      <c r="AG17" s="70">
        <f t="shared" si="5"/>
        <v>0</v>
      </c>
      <c r="AH17" s="109">
        <f t="shared" si="6"/>
        <v>0</v>
      </c>
      <c r="AI17" s="120">
        <f t="shared" si="7"/>
        <v>0</v>
      </c>
      <c r="AJ17" s="121">
        <f t="shared" si="8"/>
        <v>0</v>
      </c>
      <c r="AK17" s="121">
        <f t="shared" si="9"/>
        <v>0</v>
      </c>
      <c r="AL17" s="121">
        <f t="shared" si="10"/>
        <v>0</v>
      </c>
      <c r="AM17" s="122">
        <f t="shared" si="11"/>
        <v>0</v>
      </c>
      <c r="AN17" s="41">
        <f t="shared" si="12"/>
        <v>0</v>
      </c>
      <c r="AO17" s="70">
        <f t="shared" si="13"/>
        <v>0</v>
      </c>
      <c r="AP17" s="70">
        <f t="shared" si="14"/>
        <v>0</v>
      </c>
      <c r="AQ17" s="70">
        <f t="shared" si="15"/>
        <v>0</v>
      </c>
      <c r="AR17" s="70">
        <f t="shared" si="16"/>
        <v>0</v>
      </c>
      <c r="AT17" s="161" t="s">
        <v>152</v>
      </c>
      <c r="AU17" s="163" t="e">
        <f>AU16/($AU$16+$AV$16)</f>
        <v>#DIV/0!</v>
      </c>
      <c r="AV17" s="164" t="e">
        <f>AV16/($AV$16+$AU$16)</f>
        <v>#DIV/0!</v>
      </c>
    </row>
    <row r="18" spans="2:48" s="10" customFormat="1" ht="13.5" customHeight="1" x14ac:dyDescent="0.25">
      <c r="B18" s="17">
        <v>16</v>
      </c>
      <c r="E18" s="72"/>
      <c r="F18" s="18"/>
      <c r="J18" s="11"/>
      <c r="K18" s="11">
        <f t="shared" si="0"/>
        <v>0</v>
      </c>
      <c r="L18" s="37">
        <f t="shared" si="1"/>
        <v>0</v>
      </c>
      <c r="M18" s="11"/>
      <c r="O18" s="21"/>
      <c r="P18" s="21"/>
      <c r="Q18" s="21"/>
      <c r="R18" s="23"/>
      <c r="S18" s="50"/>
      <c r="T18" s="48"/>
      <c r="U18" s="81"/>
      <c r="V18" s="26"/>
      <c r="W18" s="200"/>
      <c r="X18" s="17"/>
      <c r="Z18">
        <v>3</v>
      </c>
      <c r="AA18" s="416"/>
      <c r="AB18" s="95">
        <v>4</v>
      </c>
      <c r="AC18" s="102" t="s">
        <v>67</v>
      </c>
      <c r="AD18" s="41">
        <f t="shared" si="2"/>
        <v>0</v>
      </c>
      <c r="AE18" s="70">
        <f t="shared" si="3"/>
        <v>0</v>
      </c>
      <c r="AF18" s="70">
        <f t="shared" si="4"/>
        <v>0</v>
      </c>
      <c r="AG18" s="70">
        <f t="shared" si="5"/>
        <v>0</v>
      </c>
      <c r="AH18" s="109">
        <f t="shared" si="6"/>
        <v>0</v>
      </c>
      <c r="AI18" s="120">
        <f t="shared" si="7"/>
        <v>0</v>
      </c>
      <c r="AJ18" s="121">
        <f t="shared" si="8"/>
        <v>0</v>
      </c>
      <c r="AK18" s="121">
        <f t="shared" si="9"/>
        <v>0</v>
      </c>
      <c r="AL18" s="121">
        <f t="shared" si="10"/>
        <v>0</v>
      </c>
      <c r="AM18" s="122">
        <f t="shared" si="11"/>
        <v>0</v>
      </c>
      <c r="AN18" s="41">
        <f t="shared" si="12"/>
        <v>0</v>
      </c>
      <c r="AO18" s="70">
        <f t="shared" si="13"/>
        <v>0</v>
      </c>
      <c r="AP18" s="70">
        <f t="shared" si="14"/>
        <v>0</v>
      </c>
      <c r="AQ18" s="70">
        <f t="shared" si="15"/>
        <v>0</v>
      </c>
      <c r="AR18" s="70">
        <f t="shared" si="16"/>
        <v>0</v>
      </c>
    </row>
    <row r="19" spans="2:48" s="10" customFormat="1" ht="13.5" customHeight="1" x14ac:dyDescent="0.25">
      <c r="B19" s="17">
        <v>17</v>
      </c>
      <c r="E19" s="72"/>
      <c r="F19" s="18"/>
      <c r="J19" s="11"/>
      <c r="K19" s="11">
        <f t="shared" si="0"/>
        <v>0</v>
      </c>
      <c r="L19" s="37">
        <f t="shared" si="1"/>
        <v>0</v>
      </c>
      <c r="M19" s="11"/>
      <c r="O19" s="21"/>
      <c r="P19" s="21"/>
      <c r="Q19" s="21"/>
      <c r="R19" s="23"/>
      <c r="S19" s="50"/>
      <c r="T19" s="48"/>
      <c r="U19" s="81"/>
      <c r="V19" s="26"/>
      <c r="W19" s="200"/>
      <c r="X19" s="17"/>
      <c r="Z19">
        <v>3</v>
      </c>
      <c r="AA19" s="416"/>
      <c r="AB19" s="96">
        <v>5</v>
      </c>
      <c r="AC19" s="102"/>
      <c r="AD19" s="41">
        <f t="shared" si="2"/>
        <v>0</v>
      </c>
      <c r="AE19" s="70">
        <f t="shared" si="3"/>
        <v>0</v>
      </c>
      <c r="AF19" s="70">
        <f t="shared" si="4"/>
        <v>0</v>
      </c>
      <c r="AG19" s="70">
        <f t="shared" si="5"/>
        <v>0</v>
      </c>
      <c r="AH19" s="109">
        <f t="shared" si="6"/>
        <v>0</v>
      </c>
      <c r="AI19" s="120">
        <f t="shared" si="7"/>
        <v>0</v>
      </c>
      <c r="AJ19" s="121">
        <f t="shared" si="8"/>
        <v>0</v>
      </c>
      <c r="AK19" s="121">
        <f t="shared" si="9"/>
        <v>0</v>
      </c>
      <c r="AL19" s="121">
        <f t="shared" si="10"/>
        <v>0</v>
      </c>
      <c r="AM19" s="122">
        <f t="shared" si="11"/>
        <v>0</v>
      </c>
      <c r="AN19" s="41">
        <f t="shared" si="12"/>
        <v>0</v>
      </c>
      <c r="AO19" s="70">
        <f t="shared" si="13"/>
        <v>0</v>
      </c>
      <c r="AP19" s="70">
        <f t="shared" si="14"/>
        <v>0</v>
      </c>
      <c r="AQ19" s="70">
        <f t="shared" si="15"/>
        <v>0</v>
      </c>
      <c r="AR19" s="70">
        <f t="shared" si="16"/>
        <v>0</v>
      </c>
    </row>
    <row r="20" spans="2:48" s="10" customFormat="1" ht="13.5" customHeight="1" thickBot="1" x14ac:dyDescent="0.3">
      <c r="B20" s="17">
        <v>18</v>
      </c>
      <c r="E20" s="72"/>
      <c r="F20" s="18"/>
      <c r="J20" s="11"/>
      <c r="K20" s="11">
        <f t="shared" si="0"/>
        <v>0</v>
      </c>
      <c r="L20" s="37">
        <f t="shared" si="1"/>
        <v>0</v>
      </c>
      <c r="M20" s="11"/>
      <c r="O20" s="21"/>
      <c r="P20" s="21"/>
      <c r="Q20" s="21"/>
      <c r="R20" s="23"/>
      <c r="S20" s="50"/>
      <c r="T20" s="48"/>
      <c r="U20" s="81"/>
      <c r="V20" s="26"/>
      <c r="W20" s="200"/>
      <c r="X20" s="17"/>
      <c r="Z20">
        <v>3</v>
      </c>
      <c r="AA20" s="417"/>
      <c r="AB20" s="97" t="s">
        <v>3</v>
      </c>
      <c r="AC20" s="103"/>
      <c r="AD20" s="99">
        <f>SUM(AD15:AD19)</f>
        <v>0</v>
      </c>
      <c r="AE20" s="99">
        <f t="shared" ref="AE20" si="47">SUM(AE15:AE19)</f>
        <v>0</v>
      </c>
      <c r="AF20" s="99">
        <f t="shared" ref="AF20" si="48">SUM(AF15:AF19)</f>
        <v>0</v>
      </c>
      <c r="AG20" s="99">
        <f t="shared" ref="AG20" si="49">SUM(AG15:AG19)</f>
        <v>0</v>
      </c>
      <c r="AH20" s="110">
        <f t="shared" ref="AH20" si="50">SUM(AH15:AH19)</f>
        <v>0</v>
      </c>
      <c r="AI20" s="123">
        <f t="shared" ref="AI20" si="51">SUM(AI15:AI19)</f>
        <v>0</v>
      </c>
      <c r="AJ20" s="124">
        <f t="shared" ref="AJ20" si="52">SUM(AJ15:AJ19)</f>
        <v>0</v>
      </c>
      <c r="AK20" s="124">
        <f t="shared" ref="AK20" si="53">SUM(AK15:AK19)</f>
        <v>0</v>
      </c>
      <c r="AL20" s="124">
        <f t="shared" ref="AL20" si="54">SUM(AL15:AL19)</f>
        <v>0</v>
      </c>
      <c r="AM20" s="125">
        <f t="shared" ref="AM20" si="55">SUM(AM15:AM19)</f>
        <v>0</v>
      </c>
      <c r="AN20" s="99">
        <f t="shared" ref="AN20" si="56">SUM(AN15:AN19)</f>
        <v>0</v>
      </c>
      <c r="AO20" s="99">
        <f t="shared" ref="AO20" si="57">SUM(AO15:AO19)</f>
        <v>0</v>
      </c>
      <c r="AP20" s="99">
        <f t="shared" ref="AP20" si="58">SUM(AP15:AP19)</f>
        <v>0</v>
      </c>
      <c r="AQ20" s="99">
        <f t="shared" ref="AQ20" si="59">SUM(AQ15:AQ19)</f>
        <v>0</v>
      </c>
      <c r="AR20" s="99">
        <f t="shared" ref="AR20" si="60">SUM(AR15:AR19)</f>
        <v>0</v>
      </c>
    </row>
    <row r="21" spans="2:48" s="10" customFormat="1" ht="13.5" customHeight="1" x14ac:dyDescent="0.25">
      <c r="B21" s="17">
        <v>19</v>
      </c>
      <c r="E21" s="72"/>
      <c r="F21" s="18"/>
      <c r="J21" s="11"/>
      <c r="K21" s="11">
        <f t="shared" si="0"/>
        <v>0</v>
      </c>
      <c r="L21" s="37">
        <f t="shared" si="1"/>
        <v>0</v>
      </c>
      <c r="M21" s="11"/>
      <c r="O21" s="21"/>
      <c r="P21" s="21"/>
      <c r="Q21" s="21"/>
      <c r="R21" s="23"/>
      <c r="S21" s="50"/>
      <c r="T21" s="48"/>
      <c r="U21" s="81"/>
      <c r="V21" s="26"/>
      <c r="W21" s="200"/>
      <c r="X21" s="17"/>
      <c r="Z21">
        <v>4</v>
      </c>
      <c r="AA21" s="415">
        <v>4</v>
      </c>
      <c r="AB21" s="94">
        <v>1</v>
      </c>
      <c r="AC21" s="100" t="s">
        <v>108</v>
      </c>
      <c r="AD21" s="41">
        <f t="shared" si="2"/>
        <v>0</v>
      </c>
      <c r="AE21" s="70">
        <f t="shared" si="3"/>
        <v>0</v>
      </c>
      <c r="AF21" s="70">
        <f t="shared" si="4"/>
        <v>0</v>
      </c>
      <c r="AG21" s="70">
        <f t="shared" si="5"/>
        <v>0</v>
      </c>
      <c r="AH21" s="109">
        <f t="shared" si="6"/>
        <v>0</v>
      </c>
      <c r="AI21" s="120">
        <f t="shared" si="7"/>
        <v>0</v>
      </c>
      <c r="AJ21" s="121">
        <f t="shared" si="8"/>
        <v>0</v>
      </c>
      <c r="AK21" s="121">
        <f t="shared" si="9"/>
        <v>0</v>
      </c>
      <c r="AL21" s="121">
        <f t="shared" si="10"/>
        <v>0</v>
      </c>
      <c r="AM21" s="122">
        <f t="shared" si="11"/>
        <v>0</v>
      </c>
      <c r="AN21" s="41">
        <f t="shared" si="12"/>
        <v>0</v>
      </c>
      <c r="AO21" s="70">
        <f t="shared" si="13"/>
        <v>0</v>
      </c>
      <c r="AP21" s="70">
        <f t="shared" si="14"/>
        <v>0</v>
      </c>
      <c r="AQ21" s="70">
        <f t="shared" si="15"/>
        <v>0</v>
      </c>
      <c r="AR21" s="70">
        <f t="shared" si="16"/>
        <v>0</v>
      </c>
    </row>
    <row r="22" spans="2:48" s="10" customFormat="1" ht="13.5" customHeight="1" x14ac:dyDescent="0.25">
      <c r="B22" s="17">
        <v>20</v>
      </c>
      <c r="E22" s="72"/>
      <c r="F22" s="18"/>
      <c r="J22" s="11"/>
      <c r="K22" s="11">
        <f t="shared" si="0"/>
        <v>0</v>
      </c>
      <c r="L22" s="37">
        <f t="shared" si="1"/>
        <v>0</v>
      </c>
      <c r="M22" s="11"/>
      <c r="O22" s="21"/>
      <c r="P22" s="21"/>
      <c r="Q22" s="21"/>
      <c r="R22" s="23"/>
      <c r="S22" s="50"/>
      <c r="T22" s="48"/>
      <c r="U22" s="81"/>
      <c r="V22" s="26"/>
      <c r="W22" s="200"/>
      <c r="X22" s="17"/>
      <c r="Z22">
        <v>4</v>
      </c>
      <c r="AA22" s="416"/>
      <c r="AB22" s="95">
        <v>2</v>
      </c>
      <c r="AC22" s="102" t="s">
        <v>68</v>
      </c>
      <c r="AD22" s="41">
        <f t="shared" si="2"/>
        <v>0</v>
      </c>
      <c r="AE22" s="70">
        <f t="shared" si="3"/>
        <v>0</v>
      </c>
      <c r="AF22" s="70">
        <f t="shared" si="4"/>
        <v>0</v>
      </c>
      <c r="AG22" s="70">
        <f t="shared" si="5"/>
        <v>0</v>
      </c>
      <c r="AH22" s="109">
        <f t="shared" si="6"/>
        <v>0</v>
      </c>
      <c r="AI22" s="120">
        <f t="shared" si="7"/>
        <v>0</v>
      </c>
      <c r="AJ22" s="121">
        <f t="shared" si="8"/>
        <v>0</v>
      </c>
      <c r="AK22" s="121">
        <f t="shared" si="9"/>
        <v>0</v>
      </c>
      <c r="AL22" s="121">
        <f t="shared" si="10"/>
        <v>0</v>
      </c>
      <c r="AM22" s="122">
        <f t="shared" si="11"/>
        <v>0</v>
      </c>
      <c r="AN22" s="41">
        <f t="shared" si="12"/>
        <v>0</v>
      </c>
      <c r="AO22" s="70">
        <f t="shared" si="13"/>
        <v>0</v>
      </c>
      <c r="AP22" s="70">
        <f t="shared" si="14"/>
        <v>0</v>
      </c>
      <c r="AQ22" s="70">
        <f t="shared" si="15"/>
        <v>0</v>
      </c>
      <c r="AR22" s="70">
        <f t="shared" si="16"/>
        <v>0</v>
      </c>
    </row>
    <row r="23" spans="2:48" s="10" customFormat="1" ht="13.5" customHeight="1" x14ac:dyDescent="0.25">
      <c r="B23" s="17">
        <v>21</v>
      </c>
      <c r="E23" s="72"/>
      <c r="F23" s="18"/>
      <c r="J23" s="11"/>
      <c r="K23" s="11">
        <f t="shared" si="0"/>
        <v>0</v>
      </c>
      <c r="L23" s="37">
        <f t="shared" si="1"/>
        <v>0</v>
      </c>
      <c r="M23" s="11"/>
      <c r="O23" s="21"/>
      <c r="P23" s="21"/>
      <c r="Q23" s="21"/>
      <c r="R23" s="23"/>
      <c r="S23" s="50"/>
      <c r="T23" s="48"/>
      <c r="U23" s="81"/>
      <c r="V23" s="26"/>
      <c r="W23" s="200"/>
      <c r="X23" s="17"/>
      <c r="Z23">
        <v>4</v>
      </c>
      <c r="AA23" s="416"/>
      <c r="AB23" s="95">
        <v>3</v>
      </c>
      <c r="AC23" s="102" t="s">
        <v>69</v>
      </c>
      <c r="AD23" s="41">
        <f t="shared" si="2"/>
        <v>0</v>
      </c>
      <c r="AE23" s="70">
        <f t="shared" si="3"/>
        <v>0</v>
      </c>
      <c r="AF23" s="70">
        <f t="shared" si="4"/>
        <v>0</v>
      </c>
      <c r="AG23" s="70">
        <f t="shared" si="5"/>
        <v>0</v>
      </c>
      <c r="AH23" s="109">
        <f t="shared" si="6"/>
        <v>0</v>
      </c>
      <c r="AI23" s="120">
        <f t="shared" si="7"/>
        <v>0</v>
      </c>
      <c r="AJ23" s="121">
        <f t="shared" si="8"/>
        <v>0</v>
      </c>
      <c r="AK23" s="121">
        <f t="shared" si="9"/>
        <v>0</v>
      </c>
      <c r="AL23" s="121">
        <f t="shared" si="10"/>
        <v>0</v>
      </c>
      <c r="AM23" s="122">
        <f t="shared" si="11"/>
        <v>0</v>
      </c>
      <c r="AN23" s="41">
        <f t="shared" si="12"/>
        <v>0</v>
      </c>
      <c r="AO23" s="70">
        <f t="shared" si="13"/>
        <v>0</v>
      </c>
      <c r="AP23" s="70">
        <f t="shared" si="14"/>
        <v>0</v>
      </c>
      <c r="AQ23" s="70">
        <f t="shared" si="15"/>
        <v>0</v>
      </c>
      <c r="AR23" s="70">
        <f t="shared" si="16"/>
        <v>0</v>
      </c>
    </row>
    <row r="24" spans="2:48" s="10" customFormat="1" ht="13.5" customHeight="1" x14ac:dyDescent="0.25">
      <c r="B24" s="17">
        <v>22</v>
      </c>
      <c r="E24" s="72"/>
      <c r="F24" s="18"/>
      <c r="J24" s="11"/>
      <c r="K24" s="11">
        <f t="shared" si="0"/>
        <v>0</v>
      </c>
      <c r="L24" s="37">
        <f t="shared" si="1"/>
        <v>0</v>
      </c>
      <c r="M24" s="11"/>
      <c r="O24" s="21"/>
      <c r="P24" s="21"/>
      <c r="Q24" s="21"/>
      <c r="R24" s="23"/>
      <c r="S24" s="50"/>
      <c r="T24" s="48"/>
      <c r="U24" s="81"/>
      <c r="V24" s="26"/>
      <c r="W24" s="200"/>
      <c r="X24" s="17"/>
      <c r="Z24">
        <v>4</v>
      </c>
      <c r="AA24" s="416"/>
      <c r="AB24" s="95">
        <v>4</v>
      </c>
      <c r="AC24" s="102" t="s">
        <v>70</v>
      </c>
      <c r="AD24" s="41">
        <f t="shared" si="2"/>
        <v>0</v>
      </c>
      <c r="AE24" s="70">
        <f t="shared" si="3"/>
        <v>0</v>
      </c>
      <c r="AF24" s="70">
        <f t="shared" si="4"/>
        <v>0</v>
      </c>
      <c r="AG24" s="70">
        <f t="shared" si="5"/>
        <v>0</v>
      </c>
      <c r="AH24" s="109">
        <f t="shared" si="6"/>
        <v>0</v>
      </c>
      <c r="AI24" s="120">
        <f t="shared" si="7"/>
        <v>0</v>
      </c>
      <c r="AJ24" s="121">
        <f t="shared" si="8"/>
        <v>0</v>
      </c>
      <c r="AK24" s="121">
        <f t="shared" si="9"/>
        <v>0</v>
      </c>
      <c r="AL24" s="121">
        <f t="shared" si="10"/>
        <v>0</v>
      </c>
      <c r="AM24" s="122">
        <f t="shared" si="11"/>
        <v>0</v>
      </c>
      <c r="AN24" s="41">
        <f t="shared" si="12"/>
        <v>0</v>
      </c>
      <c r="AO24" s="70">
        <f t="shared" si="13"/>
        <v>0</v>
      </c>
      <c r="AP24" s="70">
        <f t="shared" si="14"/>
        <v>0</v>
      </c>
      <c r="AQ24" s="70">
        <f t="shared" si="15"/>
        <v>0</v>
      </c>
      <c r="AR24" s="70">
        <f t="shared" si="16"/>
        <v>0</v>
      </c>
      <c r="AT24" s="201" t="s">
        <v>256</v>
      </c>
      <c r="AU24" s="201" t="s">
        <v>257</v>
      </c>
      <c r="AV24" s="201" t="s">
        <v>152</v>
      </c>
    </row>
    <row r="25" spans="2:48" s="10" customFormat="1" ht="13.5" customHeight="1" x14ac:dyDescent="0.25">
      <c r="B25" s="17">
        <v>23</v>
      </c>
      <c r="E25" s="72"/>
      <c r="F25" s="18"/>
      <c r="J25" s="11"/>
      <c r="K25" s="11">
        <f t="shared" si="0"/>
        <v>0</v>
      </c>
      <c r="L25" s="37">
        <f t="shared" si="1"/>
        <v>0</v>
      </c>
      <c r="M25" s="11"/>
      <c r="O25" s="21"/>
      <c r="P25" s="21"/>
      <c r="Q25" s="21"/>
      <c r="R25" s="23"/>
      <c r="S25" s="50"/>
      <c r="T25" s="48"/>
      <c r="U25" s="81"/>
      <c r="V25" s="26"/>
      <c r="W25" s="200"/>
      <c r="X25" s="17"/>
      <c r="Z25">
        <v>4</v>
      </c>
      <c r="AA25" s="416"/>
      <c r="AB25" s="96">
        <v>5</v>
      </c>
      <c r="AC25" s="102" t="s">
        <v>109</v>
      </c>
      <c r="AD25" s="41">
        <f t="shared" si="2"/>
        <v>0</v>
      </c>
      <c r="AE25" s="70">
        <f t="shared" si="3"/>
        <v>0</v>
      </c>
      <c r="AF25" s="70">
        <f t="shared" si="4"/>
        <v>0</v>
      </c>
      <c r="AG25" s="70">
        <f t="shared" si="5"/>
        <v>0</v>
      </c>
      <c r="AH25" s="109">
        <f t="shared" si="6"/>
        <v>0</v>
      </c>
      <c r="AI25" s="120">
        <f t="shared" si="7"/>
        <v>0</v>
      </c>
      <c r="AJ25" s="121">
        <f t="shared" si="8"/>
        <v>0</v>
      </c>
      <c r="AK25" s="121">
        <f t="shared" si="9"/>
        <v>0</v>
      </c>
      <c r="AL25" s="121">
        <f t="shared" si="10"/>
        <v>0</v>
      </c>
      <c r="AM25" s="122">
        <f t="shared" si="11"/>
        <v>0</v>
      </c>
      <c r="AN25" s="41">
        <f t="shared" si="12"/>
        <v>0</v>
      </c>
      <c r="AO25" s="70">
        <f t="shared" si="13"/>
        <v>0</v>
      </c>
      <c r="AP25" s="70">
        <f t="shared" si="14"/>
        <v>0</v>
      </c>
      <c r="AQ25" s="70">
        <f t="shared" si="15"/>
        <v>0</v>
      </c>
      <c r="AR25" s="70">
        <f t="shared" si="16"/>
        <v>0</v>
      </c>
      <c r="AT25" s="202" t="s">
        <v>270</v>
      </c>
      <c r="AU25" s="202">
        <f>COUNTIF($W:$W, AT25)</f>
        <v>0</v>
      </c>
      <c r="AV25" s="203" t="e">
        <f>AU25/$AU$33</f>
        <v>#DIV/0!</v>
      </c>
    </row>
    <row r="26" spans="2:48" s="10" customFormat="1" ht="13.5" customHeight="1" thickBot="1" x14ac:dyDescent="0.3">
      <c r="B26" s="17">
        <v>24</v>
      </c>
      <c r="E26" s="72"/>
      <c r="F26" s="18"/>
      <c r="J26" s="11"/>
      <c r="K26" s="11">
        <f t="shared" si="0"/>
        <v>0</v>
      </c>
      <c r="L26" s="37">
        <f t="shared" si="1"/>
        <v>0</v>
      </c>
      <c r="M26" s="11"/>
      <c r="O26" s="21"/>
      <c r="P26" s="21"/>
      <c r="Q26" s="21"/>
      <c r="R26" s="23"/>
      <c r="S26" s="50"/>
      <c r="T26" s="48"/>
      <c r="U26" s="81"/>
      <c r="V26" s="26"/>
      <c r="W26" s="200"/>
      <c r="X26" s="17"/>
      <c r="Z26">
        <v>4</v>
      </c>
      <c r="AA26" s="417"/>
      <c r="AB26" s="97" t="s">
        <v>3</v>
      </c>
      <c r="AC26" s="103"/>
      <c r="AD26" s="99">
        <f>SUM(AD21:AD25)</f>
        <v>0</v>
      </c>
      <c r="AE26" s="99">
        <f t="shared" ref="AE26" si="61">SUM(AE21:AE25)</f>
        <v>0</v>
      </c>
      <c r="AF26" s="99">
        <f t="shared" ref="AF26" si="62">SUM(AF21:AF25)</f>
        <v>0</v>
      </c>
      <c r="AG26" s="99">
        <f t="shared" ref="AG26" si="63">SUM(AG21:AG25)</f>
        <v>0</v>
      </c>
      <c r="AH26" s="110">
        <f t="shared" ref="AH26" si="64">SUM(AH21:AH25)</f>
        <v>0</v>
      </c>
      <c r="AI26" s="123">
        <f t="shared" ref="AI26" si="65">SUM(AI21:AI25)</f>
        <v>0</v>
      </c>
      <c r="AJ26" s="124">
        <f t="shared" ref="AJ26" si="66">SUM(AJ21:AJ25)</f>
        <v>0</v>
      </c>
      <c r="AK26" s="124">
        <f t="shared" ref="AK26" si="67">SUM(AK21:AK25)</f>
        <v>0</v>
      </c>
      <c r="AL26" s="124">
        <f t="shared" ref="AL26" si="68">SUM(AL21:AL25)</f>
        <v>0</v>
      </c>
      <c r="AM26" s="125">
        <f t="shared" ref="AM26" si="69">SUM(AM21:AM25)</f>
        <v>0</v>
      </c>
      <c r="AN26" s="99">
        <f t="shared" ref="AN26" si="70">SUM(AN21:AN25)</f>
        <v>0</v>
      </c>
      <c r="AO26" s="99">
        <f t="shared" ref="AO26" si="71">SUM(AO21:AO25)</f>
        <v>0</v>
      </c>
      <c r="AP26" s="99">
        <f t="shared" ref="AP26" si="72">SUM(AP21:AP25)</f>
        <v>0</v>
      </c>
      <c r="AQ26" s="99">
        <f t="shared" ref="AQ26" si="73">SUM(AQ21:AQ25)</f>
        <v>0</v>
      </c>
      <c r="AR26" s="99">
        <f t="shared" ref="AR26" si="74">SUM(AR21:AR25)</f>
        <v>0</v>
      </c>
      <c r="AT26" s="202" t="s">
        <v>259</v>
      </c>
      <c r="AU26" s="202">
        <f t="shared" ref="AU26:AU32" si="75">COUNTIF($W:$W, AT26)</f>
        <v>0</v>
      </c>
      <c r="AV26" s="203" t="e">
        <f t="shared" ref="AV26:AV33" si="76">AU26/$AU$33</f>
        <v>#DIV/0!</v>
      </c>
    </row>
    <row r="27" spans="2:48" s="10" customFormat="1" ht="13.5" customHeight="1" x14ac:dyDescent="0.25">
      <c r="B27" s="17">
        <v>25</v>
      </c>
      <c r="E27" s="72"/>
      <c r="F27" s="18"/>
      <c r="J27" s="11"/>
      <c r="K27" s="11">
        <f t="shared" si="0"/>
        <v>0</v>
      </c>
      <c r="L27" s="37">
        <f t="shared" si="1"/>
        <v>0</v>
      </c>
      <c r="M27" s="11"/>
      <c r="O27" s="21"/>
      <c r="P27" s="21"/>
      <c r="Q27" s="21"/>
      <c r="R27" s="23"/>
      <c r="S27" s="50"/>
      <c r="T27" s="48"/>
      <c r="U27" s="81"/>
      <c r="V27" s="26"/>
      <c r="W27" s="200"/>
      <c r="X27" s="17"/>
      <c r="Z27">
        <v>5</v>
      </c>
      <c r="AA27" s="415">
        <v>5</v>
      </c>
      <c r="AB27" s="94">
        <v>1</v>
      </c>
      <c r="AC27" s="100" t="s">
        <v>110</v>
      </c>
      <c r="AD27" s="41">
        <f t="shared" si="2"/>
        <v>0</v>
      </c>
      <c r="AE27" s="70">
        <f t="shared" si="3"/>
        <v>0</v>
      </c>
      <c r="AF27" s="70">
        <f t="shared" si="4"/>
        <v>0</v>
      </c>
      <c r="AG27" s="70">
        <f t="shared" si="5"/>
        <v>0</v>
      </c>
      <c r="AH27" s="109">
        <f t="shared" si="6"/>
        <v>0</v>
      </c>
      <c r="AI27" s="120">
        <f t="shared" si="7"/>
        <v>0</v>
      </c>
      <c r="AJ27" s="121">
        <f t="shared" si="8"/>
        <v>0</v>
      </c>
      <c r="AK27" s="121">
        <f t="shared" si="9"/>
        <v>0</v>
      </c>
      <c r="AL27" s="121">
        <f t="shared" si="10"/>
        <v>0</v>
      </c>
      <c r="AM27" s="122">
        <f t="shared" si="11"/>
        <v>0</v>
      </c>
      <c r="AN27" s="41">
        <f t="shared" si="12"/>
        <v>0</v>
      </c>
      <c r="AO27" s="70">
        <f t="shared" si="13"/>
        <v>0</v>
      </c>
      <c r="AP27" s="70">
        <f t="shared" si="14"/>
        <v>0</v>
      </c>
      <c r="AQ27" s="70">
        <f t="shared" si="15"/>
        <v>0</v>
      </c>
      <c r="AR27" s="70">
        <f t="shared" si="16"/>
        <v>0</v>
      </c>
      <c r="AT27" s="202" t="s">
        <v>260</v>
      </c>
      <c r="AU27" s="202">
        <f t="shared" si="75"/>
        <v>0</v>
      </c>
      <c r="AV27" s="203" t="e">
        <f t="shared" si="76"/>
        <v>#DIV/0!</v>
      </c>
    </row>
    <row r="28" spans="2:48" s="10" customFormat="1" ht="13.5" customHeight="1" x14ac:dyDescent="0.25">
      <c r="B28" s="17">
        <v>26</v>
      </c>
      <c r="E28" s="72"/>
      <c r="F28" s="18"/>
      <c r="J28" s="11"/>
      <c r="K28" s="11">
        <f t="shared" si="0"/>
        <v>0</v>
      </c>
      <c r="L28" s="37">
        <f t="shared" si="1"/>
        <v>0</v>
      </c>
      <c r="M28" s="11"/>
      <c r="O28" s="21"/>
      <c r="P28" s="21"/>
      <c r="Q28" s="21"/>
      <c r="R28" s="23"/>
      <c r="S28" s="50"/>
      <c r="T28" s="48"/>
      <c r="U28" s="81"/>
      <c r="V28" s="26"/>
      <c r="W28" s="200"/>
      <c r="X28" s="17"/>
      <c r="Z28">
        <v>5</v>
      </c>
      <c r="AA28" s="416"/>
      <c r="AB28" s="95">
        <v>2</v>
      </c>
      <c r="AC28" s="102" t="s">
        <v>111</v>
      </c>
      <c r="AD28" s="41">
        <f t="shared" si="2"/>
        <v>0</v>
      </c>
      <c r="AE28" s="70">
        <f t="shared" si="3"/>
        <v>0</v>
      </c>
      <c r="AF28" s="70">
        <f t="shared" si="4"/>
        <v>0</v>
      </c>
      <c r="AG28" s="70">
        <f t="shared" si="5"/>
        <v>0</v>
      </c>
      <c r="AH28" s="109">
        <f t="shared" si="6"/>
        <v>0</v>
      </c>
      <c r="AI28" s="120">
        <f t="shared" si="7"/>
        <v>0</v>
      </c>
      <c r="AJ28" s="121">
        <f t="shared" si="8"/>
        <v>0</v>
      </c>
      <c r="AK28" s="121">
        <f t="shared" si="9"/>
        <v>0</v>
      </c>
      <c r="AL28" s="121">
        <f t="shared" si="10"/>
        <v>0</v>
      </c>
      <c r="AM28" s="122">
        <f t="shared" si="11"/>
        <v>0</v>
      </c>
      <c r="AN28" s="41">
        <f t="shared" si="12"/>
        <v>0</v>
      </c>
      <c r="AO28" s="70">
        <f t="shared" si="13"/>
        <v>0</v>
      </c>
      <c r="AP28" s="70">
        <f t="shared" si="14"/>
        <v>0</v>
      </c>
      <c r="AQ28" s="70">
        <f t="shared" si="15"/>
        <v>0</v>
      </c>
      <c r="AR28" s="70">
        <f t="shared" si="16"/>
        <v>0</v>
      </c>
      <c r="AT28" s="202" t="s">
        <v>261</v>
      </c>
      <c r="AU28" s="202">
        <f t="shared" si="75"/>
        <v>0</v>
      </c>
      <c r="AV28" s="203" t="e">
        <f t="shared" si="76"/>
        <v>#DIV/0!</v>
      </c>
    </row>
    <row r="29" spans="2:48" s="10" customFormat="1" ht="13.5" customHeight="1" x14ac:dyDescent="0.25">
      <c r="B29" s="17">
        <v>27</v>
      </c>
      <c r="E29" s="72"/>
      <c r="F29" s="18"/>
      <c r="J29" s="11"/>
      <c r="K29" s="11">
        <f t="shared" si="0"/>
        <v>0</v>
      </c>
      <c r="L29" s="37">
        <f t="shared" si="1"/>
        <v>0</v>
      </c>
      <c r="M29" s="11"/>
      <c r="O29" s="21"/>
      <c r="P29" s="21"/>
      <c r="Q29" s="21"/>
      <c r="R29" s="23"/>
      <c r="S29" s="50"/>
      <c r="T29" s="48"/>
      <c r="U29" s="81"/>
      <c r="V29" s="26"/>
      <c r="W29" s="200"/>
      <c r="X29" s="17"/>
      <c r="Z29">
        <v>5</v>
      </c>
      <c r="AA29" s="416"/>
      <c r="AB29" s="95">
        <v>3</v>
      </c>
      <c r="AC29" s="102" t="s">
        <v>112</v>
      </c>
      <c r="AD29" s="41">
        <f t="shared" si="2"/>
        <v>0</v>
      </c>
      <c r="AE29" s="70">
        <f t="shared" si="3"/>
        <v>0</v>
      </c>
      <c r="AF29" s="70">
        <f t="shared" si="4"/>
        <v>0</v>
      </c>
      <c r="AG29" s="70">
        <f t="shared" si="5"/>
        <v>0</v>
      </c>
      <c r="AH29" s="109">
        <f t="shared" si="6"/>
        <v>0</v>
      </c>
      <c r="AI29" s="120">
        <f t="shared" si="7"/>
        <v>0</v>
      </c>
      <c r="AJ29" s="121">
        <f t="shared" si="8"/>
        <v>0</v>
      </c>
      <c r="AK29" s="121">
        <f t="shared" si="9"/>
        <v>0</v>
      </c>
      <c r="AL29" s="121">
        <f t="shared" si="10"/>
        <v>0</v>
      </c>
      <c r="AM29" s="122">
        <f t="shared" si="11"/>
        <v>0</v>
      </c>
      <c r="AN29" s="41">
        <f t="shared" si="12"/>
        <v>0</v>
      </c>
      <c r="AO29" s="70">
        <f t="shared" si="13"/>
        <v>0</v>
      </c>
      <c r="AP29" s="70">
        <f t="shared" si="14"/>
        <v>0</v>
      </c>
      <c r="AQ29" s="70">
        <f t="shared" si="15"/>
        <v>0</v>
      </c>
      <c r="AR29" s="70">
        <f t="shared" si="16"/>
        <v>0</v>
      </c>
      <c r="AT29" s="202" t="s">
        <v>262</v>
      </c>
      <c r="AU29" s="202">
        <f t="shared" si="75"/>
        <v>0</v>
      </c>
      <c r="AV29" s="203" t="e">
        <f t="shared" si="76"/>
        <v>#DIV/0!</v>
      </c>
    </row>
    <row r="30" spans="2:48" s="10" customFormat="1" ht="13.5" customHeight="1" x14ac:dyDescent="0.25">
      <c r="B30" s="17">
        <v>28</v>
      </c>
      <c r="E30" s="72"/>
      <c r="F30" s="18"/>
      <c r="J30" s="11"/>
      <c r="K30" s="11">
        <f t="shared" si="0"/>
        <v>0</v>
      </c>
      <c r="L30" s="37">
        <f t="shared" si="1"/>
        <v>0</v>
      </c>
      <c r="M30" s="11"/>
      <c r="O30" s="21"/>
      <c r="P30" s="21"/>
      <c r="Q30" s="21"/>
      <c r="R30" s="23"/>
      <c r="S30" s="50"/>
      <c r="T30" s="48"/>
      <c r="U30" s="81"/>
      <c r="V30" s="26"/>
      <c r="W30" s="200"/>
      <c r="X30" s="17"/>
      <c r="Z30">
        <v>5</v>
      </c>
      <c r="AA30" s="416"/>
      <c r="AB30" s="95">
        <v>4</v>
      </c>
      <c r="AC30" s="102" t="s">
        <v>113</v>
      </c>
      <c r="AD30" s="41">
        <f t="shared" si="2"/>
        <v>0</v>
      </c>
      <c r="AE30" s="70">
        <f t="shared" si="3"/>
        <v>0</v>
      </c>
      <c r="AF30" s="70">
        <f t="shared" si="4"/>
        <v>0</v>
      </c>
      <c r="AG30" s="70">
        <f t="shared" si="5"/>
        <v>0</v>
      </c>
      <c r="AH30" s="109">
        <f t="shared" si="6"/>
        <v>0</v>
      </c>
      <c r="AI30" s="120">
        <f t="shared" si="7"/>
        <v>0</v>
      </c>
      <c r="AJ30" s="121">
        <f t="shared" si="8"/>
        <v>0</v>
      </c>
      <c r="AK30" s="121">
        <f t="shared" si="9"/>
        <v>0</v>
      </c>
      <c r="AL30" s="121">
        <f t="shared" si="10"/>
        <v>0</v>
      </c>
      <c r="AM30" s="122">
        <f t="shared" si="11"/>
        <v>0</v>
      </c>
      <c r="AN30" s="41">
        <f t="shared" si="12"/>
        <v>0</v>
      </c>
      <c r="AO30" s="70">
        <f t="shared" si="13"/>
        <v>0</v>
      </c>
      <c r="AP30" s="70">
        <f t="shared" si="14"/>
        <v>0</v>
      </c>
      <c r="AQ30" s="70">
        <f t="shared" si="15"/>
        <v>0</v>
      </c>
      <c r="AR30" s="70">
        <f t="shared" si="16"/>
        <v>0</v>
      </c>
      <c r="AT30" s="202" t="s">
        <v>263</v>
      </c>
      <c r="AU30" s="202">
        <f t="shared" si="75"/>
        <v>0</v>
      </c>
      <c r="AV30" s="203" t="e">
        <f t="shared" si="76"/>
        <v>#DIV/0!</v>
      </c>
    </row>
    <row r="31" spans="2:48" s="10" customFormat="1" ht="13.5" customHeight="1" x14ac:dyDescent="0.25">
      <c r="B31" s="17">
        <v>29</v>
      </c>
      <c r="E31" s="72"/>
      <c r="F31" s="18"/>
      <c r="J31" s="11"/>
      <c r="K31" s="11">
        <f t="shared" si="0"/>
        <v>0</v>
      </c>
      <c r="L31" s="37">
        <f t="shared" si="1"/>
        <v>0</v>
      </c>
      <c r="M31" s="11"/>
      <c r="O31" s="21"/>
      <c r="P31" s="21"/>
      <c r="Q31" s="21"/>
      <c r="R31" s="23"/>
      <c r="S31" s="50"/>
      <c r="T31" s="48"/>
      <c r="U31" s="81"/>
      <c r="V31" s="26"/>
      <c r="W31" s="200"/>
      <c r="X31" s="17"/>
      <c r="Z31">
        <v>5</v>
      </c>
      <c r="AA31" s="416"/>
      <c r="AB31" s="96">
        <v>5</v>
      </c>
      <c r="AC31" s="102"/>
      <c r="AD31" s="41">
        <f t="shared" si="2"/>
        <v>0</v>
      </c>
      <c r="AE31" s="70">
        <f t="shared" si="3"/>
        <v>0</v>
      </c>
      <c r="AF31" s="70">
        <f t="shared" si="4"/>
        <v>0</v>
      </c>
      <c r="AG31" s="70">
        <f t="shared" si="5"/>
        <v>0</v>
      </c>
      <c r="AH31" s="109">
        <f t="shared" si="6"/>
        <v>0</v>
      </c>
      <c r="AI31" s="120">
        <f t="shared" si="7"/>
        <v>0</v>
      </c>
      <c r="AJ31" s="121">
        <f t="shared" si="8"/>
        <v>0</v>
      </c>
      <c r="AK31" s="121">
        <f t="shared" si="9"/>
        <v>0</v>
      </c>
      <c r="AL31" s="121">
        <f t="shared" si="10"/>
        <v>0</v>
      </c>
      <c r="AM31" s="122">
        <f t="shared" si="11"/>
        <v>0</v>
      </c>
      <c r="AN31" s="41">
        <f t="shared" si="12"/>
        <v>0</v>
      </c>
      <c r="AO31" s="70">
        <f t="shared" si="13"/>
        <v>0</v>
      </c>
      <c r="AP31" s="70">
        <f t="shared" si="14"/>
        <v>0</v>
      </c>
      <c r="AQ31" s="70">
        <f t="shared" si="15"/>
        <v>0</v>
      </c>
      <c r="AR31" s="70">
        <f t="shared" si="16"/>
        <v>0</v>
      </c>
      <c r="AT31" s="202" t="s">
        <v>264</v>
      </c>
      <c r="AU31" s="202">
        <f t="shared" si="75"/>
        <v>0</v>
      </c>
      <c r="AV31" s="203" t="e">
        <f t="shared" si="76"/>
        <v>#DIV/0!</v>
      </c>
    </row>
    <row r="32" spans="2:48" s="10" customFormat="1" ht="13.5" customHeight="1" thickBot="1" x14ac:dyDescent="0.3">
      <c r="B32" s="17">
        <v>30</v>
      </c>
      <c r="E32" s="72"/>
      <c r="F32" s="18"/>
      <c r="J32" s="11"/>
      <c r="K32" s="11">
        <f t="shared" si="0"/>
        <v>0</v>
      </c>
      <c r="L32" s="37">
        <f t="shared" si="1"/>
        <v>0</v>
      </c>
      <c r="M32" s="11"/>
      <c r="O32" s="21"/>
      <c r="P32" s="21"/>
      <c r="Q32" s="21"/>
      <c r="R32" s="23"/>
      <c r="S32" s="50"/>
      <c r="T32" s="48"/>
      <c r="U32" s="81"/>
      <c r="V32" s="26"/>
      <c r="W32" s="200"/>
      <c r="X32" s="17"/>
      <c r="Z32">
        <v>5</v>
      </c>
      <c r="AA32" s="417"/>
      <c r="AB32" s="97" t="s">
        <v>3</v>
      </c>
      <c r="AC32" s="103"/>
      <c r="AD32" s="99">
        <f>SUM(AD27:AD31)</f>
        <v>0</v>
      </c>
      <c r="AE32" s="99">
        <f t="shared" ref="AE32" si="77">SUM(AE27:AE31)</f>
        <v>0</v>
      </c>
      <c r="AF32" s="99">
        <f t="shared" ref="AF32" si="78">SUM(AF27:AF31)</f>
        <v>0</v>
      </c>
      <c r="AG32" s="99">
        <f t="shared" ref="AG32" si="79">SUM(AG27:AG31)</f>
        <v>0</v>
      </c>
      <c r="AH32" s="110">
        <f t="shared" ref="AH32" si="80">SUM(AH27:AH31)</f>
        <v>0</v>
      </c>
      <c r="AI32" s="123">
        <f t="shared" ref="AI32" si="81">SUM(AI27:AI31)</f>
        <v>0</v>
      </c>
      <c r="AJ32" s="124">
        <f t="shared" ref="AJ32" si="82">SUM(AJ27:AJ31)</f>
        <v>0</v>
      </c>
      <c r="AK32" s="124">
        <f t="shared" ref="AK32" si="83">SUM(AK27:AK31)</f>
        <v>0</v>
      </c>
      <c r="AL32" s="124">
        <f t="shared" ref="AL32" si="84">SUM(AL27:AL31)</f>
        <v>0</v>
      </c>
      <c r="AM32" s="125">
        <f t="shared" ref="AM32" si="85">SUM(AM27:AM31)</f>
        <v>0</v>
      </c>
      <c r="AN32" s="99">
        <f t="shared" ref="AN32" si="86">SUM(AN27:AN31)</f>
        <v>0</v>
      </c>
      <c r="AO32" s="99">
        <f t="shared" ref="AO32" si="87">SUM(AO27:AO31)</f>
        <v>0</v>
      </c>
      <c r="AP32" s="99">
        <f t="shared" ref="AP32" si="88">SUM(AP27:AP31)</f>
        <v>0</v>
      </c>
      <c r="AQ32" s="99">
        <f t="shared" ref="AQ32" si="89">SUM(AQ27:AQ31)</f>
        <v>0</v>
      </c>
      <c r="AR32" s="99">
        <f t="shared" ref="AR32" si="90">SUM(AR27:AR31)</f>
        <v>0</v>
      </c>
      <c r="AT32" s="202" t="s">
        <v>265</v>
      </c>
      <c r="AU32" s="202">
        <f t="shared" si="75"/>
        <v>0</v>
      </c>
      <c r="AV32" s="203" t="e">
        <f t="shared" si="76"/>
        <v>#DIV/0!</v>
      </c>
    </row>
    <row r="33" spans="2:48" s="10" customFormat="1" ht="13.5" customHeight="1" x14ac:dyDescent="0.25">
      <c r="B33" s="17">
        <v>31</v>
      </c>
      <c r="E33" s="72"/>
      <c r="F33" s="18"/>
      <c r="J33" s="11"/>
      <c r="K33" s="11">
        <f t="shared" si="0"/>
        <v>0</v>
      </c>
      <c r="L33" s="37">
        <f t="shared" si="1"/>
        <v>0</v>
      </c>
      <c r="M33" s="11"/>
      <c r="O33" s="21"/>
      <c r="P33" s="21"/>
      <c r="Q33" s="21"/>
      <c r="R33" s="23"/>
      <c r="S33" s="50"/>
      <c r="T33" s="48"/>
      <c r="U33" s="81"/>
      <c r="V33" s="26"/>
      <c r="W33" s="200"/>
      <c r="X33" s="17"/>
      <c r="Z33">
        <v>6</v>
      </c>
      <c r="AA33" s="415">
        <v>6</v>
      </c>
      <c r="AB33" s="94">
        <v>1</v>
      </c>
      <c r="AC33" s="100" t="s">
        <v>114</v>
      </c>
      <c r="AD33" s="41">
        <f t="shared" si="2"/>
        <v>0</v>
      </c>
      <c r="AE33" s="70">
        <f t="shared" si="3"/>
        <v>0</v>
      </c>
      <c r="AF33" s="70">
        <f t="shared" si="4"/>
        <v>0</v>
      </c>
      <c r="AG33" s="70">
        <f t="shared" si="5"/>
        <v>0</v>
      </c>
      <c r="AH33" s="109">
        <f t="shared" si="6"/>
        <v>0</v>
      </c>
      <c r="AI33" s="120">
        <f t="shared" si="7"/>
        <v>0</v>
      </c>
      <c r="AJ33" s="121">
        <f t="shared" si="8"/>
        <v>0</v>
      </c>
      <c r="AK33" s="121">
        <f t="shared" si="9"/>
        <v>0</v>
      </c>
      <c r="AL33" s="121">
        <f t="shared" si="10"/>
        <v>0</v>
      </c>
      <c r="AM33" s="122">
        <f t="shared" si="11"/>
        <v>0</v>
      </c>
      <c r="AN33" s="41">
        <f t="shared" si="12"/>
        <v>0</v>
      </c>
      <c r="AO33" s="70">
        <f t="shared" si="13"/>
        <v>0</v>
      </c>
      <c r="AP33" s="70">
        <f t="shared" si="14"/>
        <v>0</v>
      </c>
      <c r="AQ33" s="70">
        <f t="shared" si="15"/>
        <v>0</v>
      </c>
      <c r="AR33" s="70">
        <f t="shared" si="16"/>
        <v>0</v>
      </c>
      <c r="AT33" s="201" t="s">
        <v>266</v>
      </c>
      <c r="AU33" s="201">
        <f>SUM(AU25:AU32)</f>
        <v>0</v>
      </c>
      <c r="AV33" s="204" t="e">
        <f t="shared" si="76"/>
        <v>#DIV/0!</v>
      </c>
    </row>
    <row r="34" spans="2:48" s="10" customFormat="1" ht="13.5" customHeight="1" x14ac:dyDescent="0.25">
      <c r="B34" s="17">
        <v>32</v>
      </c>
      <c r="E34" s="72"/>
      <c r="F34" s="18"/>
      <c r="J34" s="11"/>
      <c r="K34" s="11">
        <f t="shared" si="0"/>
        <v>0</v>
      </c>
      <c r="L34" s="37">
        <f t="shared" si="1"/>
        <v>0</v>
      </c>
      <c r="M34" s="11"/>
      <c r="O34" s="21"/>
      <c r="P34" s="21"/>
      <c r="Q34" s="21"/>
      <c r="R34" s="23"/>
      <c r="S34" s="50"/>
      <c r="T34" s="48"/>
      <c r="U34" s="81"/>
      <c r="V34" s="26"/>
      <c r="W34" s="200"/>
      <c r="X34" s="17"/>
      <c r="Z34">
        <v>6</v>
      </c>
      <c r="AA34" s="416"/>
      <c r="AB34" s="95">
        <v>2</v>
      </c>
      <c r="AC34" s="102" t="s">
        <v>115</v>
      </c>
      <c r="AD34" s="41">
        <f t="shared" si="2"/>
        <v>0</v>
      </c>
      <c r="AE34" s="70">
        <f t="shared" si="3"/>
        <v>0</v>
      </c>
      <c r="AF34" s="70">
        <f t="shared" si="4"/>
        <v>0</v>
      </c>
      <c r="AG34" s="70">
        <f t="shared" si="5"/>
        <v>0</v>
      </c>
      <c r="AH34" s="109">
        <f t="shared" si="6"/>
        <v>0</v>
      </c>
      <c r="AI34" s="120">
        <f t="shared" si="7"/>
        <v>0</v>
      </c>
      <c r="AJ34" s="121">
        <f t="shared" si="8"/>
        <v>0</v>
      </c>
      <c r="AK34" s="121">
        <f t="shared" si="9"/>
        <v>0</v>
      </c>
      <c r="AL34" s="121">
        <f t="shared" si="10"/>
        <v>0</v>
      </c>
      <c r="AM34" s="122">
        <f t="shared" si="11"/>
        <v>0</v>
      </c>
      <c r="AN34" s="41">
        <f t="shared" si="12"/>
        <v>0</v>
      </c>
      <c r="AO34" s="70">
        <f t="shared" si="13"/>
        <v>0</v>
      </c>
      <c r="AP34" s="70">
        <f t="shared" si="14"/>
        <v>0</v>
      </c>
      <c r="AQ34" s="70">
        <f t="shared" si="15"/>
        <v>0</v>
      </c>
      <c r="AR34" s="70">
        <f t="shared" si="16"/>
        <v>0</v>
      </c>
    </row>
    <row r="35" spans="2:48" s="10" customFormat="1" ht="13.5" customHeight="1" x14ac:dyDescent="0.25">
      <c r="B35" s="17">
        <v>33</v>
      </c>
      <c r="E35" s="72"/>
      <c r="F35" s="18"/>
      <c r="J35" s="11"/>
      <c r="K35" s="11">
        <f t="shared" si="0"/>
        <v>0</v>
      </c>
      <c r="L35" s="37">
        <f t="shared" si="1"/>
        <v>0</v>
      </c>
      <c r="M35" s="11"/>
      <c r="O35" s="21"/>
      <c r="P35" s="21"/>
      <c r="Q35" s="21"/>
      <c r="R35" s="23"/>
      <c r="S35" s="50"/>
      <c r="T35" s="48"/>
      <c r="U35" s="81"/>
      <c r="V35" s="26"/>
      <c r="W35" s="200"/>
      <c r="X35" s="17"/>
      <c r="Z35">
        <v>6</v>
      </c>
      <c r="AA35" s="416"/>
      <c r="AB35" s="95">
        <v>3</v>
      </c>
      <c r="AC35" s="102" t="s">
        <v>116</v>
      </c>
      <c r="AD35" s="41">
        <f t="shared" si="2"/>
        <v>0</v>
      </c>
      <c r="AE35" s="70">
        <f t="shared" si="3"/>
        <v>0</v>
      </c>
      <c r="AF35" s="70">
        <f t="shared" si="4"/>
        <v>0</v>
      </c>
      <c r="AG35" s="70">
        <f t="shared" si="5"/>
        <v>0</v>
      </c>
      <c r="AH35" s="109">
        <f t="shared" si="6"/>
        <v>0</v>
      </c>
      <c r="AI35" s="120">
        <f t="shared" si="7"/>
        <v>0</v>
      </c>
      <c r="AJ35" s="121">
        <f t="shared" si="8"/>
        <v>0</v>
      </c>
      <c r="AK35" s="121">
        <f t="shared" si="9"/>
        <v>0</v>
      </c>
      <c r="AL35" s="121">
        <f t="shared" si="10"/>
        <v>0</v>
      </c>
      <c r="AM35" s="122">
        <f t="shared" si="11"/>
        <v>0</v>
      </c>
      <c r="AN35" s="41">
        <f t="shared" si="12"/>
        <v>0</v>
      </c>
      <c r="AO35" s="70">
        <f t="shared" si="13"/>
        <v>0</v>
      </c>
      <c r="AP35" s="70">
        <f t="shared" si="14"/>
        <v>0</v>
      </c>
      <c r="AQ35" s="70">
        <f t="shared" si="15"/>
        <v>0</v>
      </c>
      <c r="AR35" s="70">
        <f t="shared" si="16"/>
        <v>0</v>
      </c>
    </row>
    <row r="36" spans="2:48" s="10" customFormat="1" ht="13.5" customHeight="1" x14ac:dyDescent="0.25">
      <c r="B36" s="17">
        <v>34</v>
      </c>
      <c r="E36" s="72"/>
      <c r="F36" s="18"/>
      <c r="J36" s="11"/>
      <c r="K36" s="11">
        <f t="shared" si="0"/>
        <v>0</v>
      </c>
      <c r="L36" s="37">
        <f t="shared" si="1"/>
        <v>0</v>
      </c>
      <c r="M36" s="11"/>
      <c r="O36" s="21"/>
      <c r="P36" s="21"/>
      <c r="Q36" s="21"/>
      <c r="R36" s="23"/>
      <c r="S36" s="50"/>
      <c r="T36" s="48"/>
      <c r="U36" s="81"/>
      <c r="V36" s="32"/>
      <c r="W36" s="200"/>
      <c r="X36" s="17"/>
      <c r="Z36">
        <v>6</v>
      </c>
      <c r="AA36" s="416"/>
      <c r="AB36" s="95">
        <v>4</v>
      </c>
      <c r="AC36" s="102" t="s">
        <v>117</v>
      </c>
      <c r="AD36" s="41">
        <f t="shared" si="2"/>
        <v>0</v>
      </c>
      <c r="AE36" s="70">
        <f t="shared" si="3"/>
        <v>0</v>
      </c>
      <c r="AF36" s="70">
        <f t="shared" si="4"/>
        <v>0</v>
      </c>
      <c r="AG36" s="70">
        <f t="shared" si="5"/>
        <v>0</v>
      </c>
      <c r="AH36" s="109">
        <f t="shared" si="6"/>
        <v>0</v>
      </c>
      <c r="AI36" s="120">
        <f t="shared" si="7"/>
        <v>0</v>
      </c>
      <c r="AJ36" s="121">
        <f t="shared" si="8"/>
        <v>0</v>
      </c>
      <c r="AK36" s="121">
        <f t="shared" si="9"/>
        <v>0</v>
      </c>
      <c r="AL36" s="121">
        <f t="shared" si="10"/>
        <v>0</v>
      </c>
      <c r="AM36" s="122">
        <f t="shared" si="11"/>
        <v>0</v>
      </c>
      <c r="AN36" s="41">
        <f t="shared" si="12"/>
        <v>0</v>
      </c>
      <c r="AO36" s="70">
        <f t="shared" si="13"/>
        <v>0</v>
      </c>
      <c r="AP36" s="70">
        <f t="shared" si="14"/>
        <v>0</v>
      </c>
      <c r="AQ36" s="70">
        <f t="shared" si="15"/>
        <v>0</v>
      </c>
      <c r="AR36" s="70">
        <f t="shared" si="16"/>
        <v>0</v>
      </c>
    </row>
    <row r="37" spans="2:48" s="10" customFormat="1" ht="13.5" customHeight="1" x14ac:dyDescent="0.25">
      <c r="B37" s="17">
        <v>35</v>
      </c>
      <c r="E37" s="72"/>
      <c r="F37" s="18"/>
      <c r="J37" s="11"/>
      <c r="K37" s="11">
        <f t="shared" si="0"/>
        <v>0</v>
      </c>
      <c r="L37" s="37">
        <f t="shared" si="1"/>
        <v>0</v>
      </c>
      <c r="M37" s="11"/>
      <c r="O37" s="21"/>
      <c r="P37" s="21"/>
      <c r="Q37" s="21"/>
      <c r="R37" s="23"/>
      <c r="S37" s="50"/>
      <c r="T37" s="48"/>
      <c r="U37" s="81"/>
      <c r="V37" s="32"/>
      <c r="W37" s="200"/>
      <c r="X37" s="17"/>
      <c r="Z37">
        <v>6</v>
      </c>
      <c r="AA37" s="416"/>
      <c r="AB37" s="96">
        <v>5</v>
      </c>
      <c r="AC37" s="102"/>
      <c r="AD37" s="41">
        <f t="shared" si="2"/>
        <v>0</v>
      </c>
      <c r="AE37" s="70">
        <f t="shared" si="3"/>
        <v>0</v>
      </c>
      <c r="AF37" s="70">
        <f t="shared" si="4"/>
        <v>0</v>
      </c>
      <c r="AG37" s="70">
        <f t="shared" si="5"/>
        <v>0</v>
      </c>
      <c r="AH37" s="109">
        <f t="shared" si="6"/>
        <v>0</v>
      </c>
      <c r="AI37" s="120">
        <f t="shared" si="7"/>
        <v>0</v>
      </c>
      <c r="AJ37" s="121">
        <f t="shared" si="8"/>
        <v>0</v>
      </c>
      <c r="AK37" s="121">
        <f t="shared" si="9"/>
        <v>0</v>
      </c>
      <c r="AL37" s="121">
        <f t="shared" si="10"/>
        <v>0</v>
      </c>
      <c r="AM37" s="122">
        <f t="shared" si="11"/>
        <v>0</v>
      </c>
      <c r="AN37" s="41">
        <f t="shared" si="12"/>
        <v>0</v>
      </c>
      <c r="AO37" s="70">
        <f t="shared" si="13"/>
        <v>0</v>
      </c>
      <c r="AP37" s="70">
        <f t="shared" si="14"/>
        <v>0</v>
      </c>
      <c r="AQ37" s="70">
        <f t="shared" si="15"/>
        <v>0</v>
      </c>
      <c r="AR37" s="70">
        <f t="shared" si="16"/>
        <v>0</v>
      </c>
    </row>
    <row r="38" spans="2:48" s="10" customFormat="1" ht="13.5" customHeight="1" thickBot="1" x14ac:dyDescent="0.3">
      <c r="B38" s="17">
        <v>36</v>
      </c>
      <c r="E38" s="72"/>
      <c r="F38" s="18"/>
      <c r="J38" s="11"/>
      <c r="K38" s="11">
        <f t="shared" si="0"/>
        <v>0</v>
      </c>
      <c r="L38" s="37">
        <f t="shared" si="1"/>
        <v>0</v>
      </c>
      <c r="M38" s="11"/>
      <c r="O38" s="21"/>
      <c r="P38" s="21"/>
      <c r="Q38" s="21"/>
      <c r="R38" s="23"/>
      <c r="S38" s="50"/>
      <c r="T38" s="48"/>
      <c r="U38" s="81"/>
      <c r="V38" s="26"/>
      <c r="W38" s="200"/>
      <c r="X38" s="17"/>
      <c r="Z38">
        <v>6</v>
      </c>
      <c r="AA38" s="417"/>
      <c r="AB38" s="97" t="s">
        <v>3</v>
      </c>
      <c r="AC38" s="103"/>
      <c r="AD38" s="99">
        <f>SUM(AD33:AD37)</f>
        <v>0</v>
      </c>
      <c r="AE38" s="99">
        <f t="shared" ref="AE38" si="91">SUM(AE33:AE37)</f>
        <v>0</v>
      </c>
      <c r="AF38" s="99">
        <f t="shared" ref="AF38" si="92">SUM(AF33:AF37)</f>
        <v>0</v>
      </c>
      <c r="AG38" s="99">
        <f t="shared" ref="AG38" si="93">SUM(AG33:AG37)</f>
        <v>0</v>
      </c>
      <c r="AH38" s="110">
        <f t="shared" ref="AH38" si="94">SUM(AH33:AH37)</f>
        <v>0</v>
      </c>
      <c r="AI38" s="123">
        <f t="shared" ref="AI38" si="95">SUM(AI33:AI37)</f>
        <v>0</v>
      </c>
      <c r="AJ38" s="124">
        <f t="shared" ref="AJ38" si="96">SUM(AJ33:AJ37)</f>
        <v>0</v>
      </c>
      <c r="AK38" s="124">
        <f t="shared" ref="AK38" si="97">SUM(AK33:AK37)</f>
        <v>0</v>
      </c>
      <c r="AL38" s="124">
        <f t="shared" ref="AL38" si="98">SUM(AL33:AL37)</f>
        <v>0</v>
      </c>
      <c r="AM38" s="125">
        <f t="shared" ref="AM38" si="99">SUM(AM33:AM37)</f>
        <v>0</v>
      </c>
      <c r="AN38" s="99">
        <f t="shared" ref="AN38" si="100">SUM(AN33:AN37)</f>
        <v>0</v>
      </c>
      <c r="AO38" s="99">
        <f t="shared" ref="AO38" si="101">SUM(AO33:AO37)</f>
        <v>0</v>
      </c>
      <c r="AP38" s="99">
        <f t="shared" ref="AP38" si="102">SUM(AP33:AP37)</f>
        <v>0</v>
      </c>
      <c r="AQ38" s="99">
        <f t="shared" ref="AQ38" si="103">SUM(AQ33:AQ37)</f>
        <v>0</v>
      </c>
      <c r="AR38" s="99">
        <f t="shared" ref="AR38" si="104">SUM(AR33:AR37)</f>
        <v>0</v>
      </c>
    </row>
    <row r="39" spans="2:48" s="10" customFormat="1" ht="13.5" customHeight="1" x14ac:dyDescent="0.25">
      <c r="B39" s="17">
        <v>37</v>
      </c>
      <c r="E39" s="72"/>
      <c r="F39" s="18"/>
      <c r="J39" s="11"/>
      <c r="K39" s="11">
        <f t="shared" si="0"/>
        <v>0</v>
      </c>
      <c r="L39" s="37">
        <f t="shared" si="1"/>
        <v>0</v>
      </c>
      <c r="M39" s="11"/>
      <c r="O39" s="21"/>
      <c r="P39" s="21"/>
      <c r="Q39" s="21"/>
      <c r="R39" s="23"/>
      <c r="S39" s="50"/>
      <c r="T39" s="48"/>
      <c r="U39" s="81"/>
      <c r="V39" s="26"/>
      <c r="W39" s="200"/>
      <c r="X39" s="17"/>
      <c r="Z39">
        <v>7</v>
      </c>
      <c r="AA39" s="415">
        <v>7</v>
      </c>
      <c r="AB39" s="94">
        <v>1</v>
      </c>
      <c r="AC39" s="100" t="s">
        <v>118</v>
      </c>
      <c r="AD39" s="41">
        <f t="shared" si="2"/>
        <v>0</v>
      </c>
      <c r="AE39" s="70">
        <f t="shared" si="3"/>
        <v>0</v>
      </c>
      <c r="AF39" s="70">
        <f t="shared" si="4"/>
        <v>0</v>
      </c>
      <c r="AG39" s="70">
        <f t="shared" si="5"/>
        <v>0</v>
      </c>
      <c r="AH39" s="109">
        <f t="shared" si="6"/>
        <v>0</v>
      </c>
      <c r="AI39" s="120">
        <f t="shared" si="7"/>
        <v>0</v>
      </c>
      <c r="AJ39" s="121">
        <f t="shared" si="8"/>
        <v>0</v>
      </c>
      <c r="AK39" s="121">
        <f t="shared" si="9"/>
        <v>0</v>
      </c>
      <c r="AL39" s="121">
        <f t="shared" si="10"/>
        <v>0</v>
      </c>
      <c r="AM39" s="122">
        <f t="shared" si="11"/>
        <v>0</v>
      </c>
      <c r="AN39" s="41">
        <f t="shared" si="12"/>
        <v>0</v>
      </c>
      <c r="AO39" s="70">
        <f t="shared" si="13"/>
        <v>0</v>
      </c>
      <c r="AP39" s="70">
        <f t="shared" si="14"/>
        <v>0</v>
      </c>
      <c r="AQ39" s="70">
        <f t="shared" si="15"/>
        <v>0</v>
      </c>
      <c r="AR39" s="70">
        <f t="shared" si="16"/>
        <v>0</v>
      </c>
    </row>
    <row r="40" spans="2:48" s="10" customFormat="1" ht="13.5" customHeight="1" x14ac:dyDescent="0.25">
      <c r="B40" s="17">
        <v>38</v>
      </c>
      <c r="E40" s="72"/>
      <c r="F40" s="18"/>
      <c r="J40" s="11"/>
      <c r="K40" s="11">
        <f t="shared" si="0"/>
        <v>0</v>
      </c>
      <c r="L40" s="37">
        <f t="shared" si="1"/>
        <v>0</v>
      </c>
      <c r="M40" s="11"/>
      <c r="O40" s="21"/>
      <c r="P40" s="21"/>
      <c r="Q40" s="21"/>
      <c r="R40" s="23"/>
      <c r="S40" s="50"/>
      <c r="T40" s="48"/>
      <c r="U40" s="81"/>
      <c r="V40" s="26"/>
      <c r="W40" s="200"/>
      <c r="X40" s="17"/>
      <c r="Z40">
        <v>7</v>
      </c>
      <c r="AA40" s="416"/>
      <c r="AB40" s="95">
        <v>2</v>
      </c>
      <c r="AC40" s="102" t="s">
        <v>68</v>
      </c>
      <c r="AD40" s="41">
        <f t="shared" si="2"/>
        <v>0</v>
      </c>
      <c r="AE40" s="70">
        <f t="shared" si="3"/>
        <v>0</v>
      </c>
      <c r="AF40" s="70">
        <f t="shared" si="4"/>
        <v>0</v>
      </c>
      <c r="AG40" s="70">
        <f t="shared" si="5"/>
        <v>0</v>
      </c>
      <c r="AH40" s="109">
        <f t="shared" si="6"/>
        <v>0</v>
      </c>
      <c r="AI40" s="120">
        <f t="shared" si="7"/>
        <v>0</v>
      </c>
      <c r="AJ40" s="121">
        <f t="shared" si="8"/>
        <v>0</v>
      </c>
      <c r="AK40" s="121">
        <f t="shared" si="9"/>
        <v>0</v>
      </c>
      <c r="AL40" s="121">
        <f t="shared" si="10"/>
        <v>0</v>
      </c>
      <c r="AM40" s="122">
        <f t="shared" si="11"/>
        <v>0</v>
      </c>
      <c r="AN40" s="41">
        <f t="shared" si="12"/>
        <v>0</v>
      </c>
      <c r="AO40" s="70">
        <f t="shared" si="13"/>
        <v>0</v>
      </c>
      <c r="AP40" s="70">
        <f t="shared" si="14"/>
        <v>0</v>
      </c>
      <c r="AQ40" s="70">
        <f t="shared" si="15"/>
        <v>0</v>
      </c>
      <c r="AR40" s="70">
        <f t="shared" si="16"/>
        <v>0</v>
      </c>
    </row>
    <row r="41" spans="2:48" s="10" customFormat="1" ht="13.5" customHeight="1" x14ac:dyDescent="0.25">
      <c r="B41" s="17">
        <v>39</v>
      </c>
      <c r="E41" s="72"/>
      <c r="F41" s="18"/>
      <c r="J41" s="11"/>
      <c r="K41" s="11">
        <f t="shared" si="0"/>
        <v>0</v>
      </c>
      <c r="L41" s="37">
        <f t="shared" si="1"/>
        <v>0</v>
      </c>
      <c r="M41" s="11"/>
      <c r="O41" s="21"/>
      <c r="P41" s="21"/>
      <c r="Q41" s="21"/>
      <c r="R41" s="23"/>
      <c r="S41" s="50"/>
      <c r="T41" s="48"/>
      <c r="U41" s="81"/>
      <c r="V41" s="26"/>
      <c r="W41" s="200"/>
      <c r="X41" s="17"/>
      <c r="Z41">
        <v>7</v>
      </c>
      <c r="AA41" s="416"/>
      <c r="AB41" s="95">
        <v>3</v>
      </c>
      <c r="AC41" s="102" t="s">
        <v>69</v>
      </c>
      <c r="AD41" s="41">
        <f t="shared" si="2"/>
        <v>0</v>
      </c>
      <c r="AE41" s="70">
        <f t="shared" si="3"/>
        <v>0</v>
      </c>
      <c r="AF41" s="70">
        <f t="shared" si="4"/>
        <v>0</v>
      </c>
      <c r="AG41" s="70">
        <f t="shared" si="5"/>
        <v>0</v>
      </c>
      <c r="AH41" s="109">
        <f t="shared" si="6"/>
        <v>0</v>
      </c>
      <c r="AI41" s="120">
        <f t="shared" si="7"/>
        <v>0</v>
      </c>
      <c r="AJ41" s="121">
        <f t="shared" si="8"/>
        <v>0</v>
      </c>
      <c r="AK41" s="121">
        <f t="shared" si="9"/>
        <v>0</v>
      </c>
      <c r="AL41" s="121">
        <f t="shared" si="10"/>
        <v>0</v>
      </c>
      <c r="AM41" s="122">
        <f t="shared" si="11"/>
        <v>0</v>
      </c>
      <c r="AN41" s="41">
        <f t="shared" si="12"/>
        <v>0</v>
      </c>
      <c r="AO41" s="70">
        <f t="shared" si="13"/>
        <v>0</v>
      </c>
      <c r="AP41" s="70">
        <f t="shared" si="14"/>
        <v>0</v>
      </c>
      <c r="AQ41" s="70">
        <f t="shared" si="15"/>
        <v>0</v>
      </c>
      <c r="AR41" s="70">
        <f t="shared" si="16"/>
        <v>0</v>
      </c>
    </row>
    <row r="42" spans="2:48" s="10" customFormat="1" ht="13.5" customHeight="1" x14ac:dyDescent="0.25">
      <c r="B42" s="17">
        <v>40</v>
      </c>
      <c r="E42" s="72"/>
      <c r="F42" s="18"/>
      <c r="J42" s="11"/>
      <c r="K42" s="11">
        <f t="shared" si="0"/>
        <v>0</v>
      </c>
      <c r="L42" s="37">
        <f t="shared" si="1"/>
        <v>0</v>
      </c>
      <c r="M42" s="11"/>
      <c r="O42" s="21"/>
      <c r="P42" s="21"/>
      <c r="Q42" s="21"/>
      <c r="R42" s="23"/>
      <c r="S42" s="50"/>
      <c r="T42" s="48"/>
      <c r="U42" s="81"/>
      <c r="V42" s="26"/>
      <c r="W42" s="200"/>
      <c r="X42" s="17"/>
      <c r="Z42">
        <v>7</v>
      </c>
      <c r="AA42" s="416"/>
      <c r="AB42" s="95">
        <v>4</v>
      </c>
      <c r="AC42" s="102" t="s">
        <v>70</v>
      </c>
      <c r="AD42" s="41">
        <f t="shared" si="2"/>
        <v>0</v>
      </c>
      <c r="AE42" s="70">
        <f t="shared" si="3"/>
        <v>0</v>
      </c>
      <c r="AF42" s="70">
        <f t="shared" si="4"/>
        <v>0</v>
      </c>
      <c r="AG42" s="70">
        <f t="shared" si="5"/>
        <v>0</v>
      </c>
      <c r="AH42" s="109">
        <f t="shared" si="6"/>
        <v>0</v>
      </c>
      <c r="AI42" s="120">
        <f t="shared" si="7"/>
        <v>0</v>
      </c>
      <c r="AJ42" s="121">
        <f t="shared" si="8"/>
        <v>0</v>
      </c>
      <c r="AK42" s="121">
        <f t="shared" si="9"/>
        <v>0</v>
      </c>
      <c r="AL42" s="121">
        <f t="shared" si="10"/>
        <v>0</v>
      </c>
      <c r="AM42" s="122">
        <f t="shared" si="11"/>
        <v>0</v>
      </c>
      <c r="AN42" s="41">
        <f t="shared" si="12"/>
        <v>0</v>
      </c>
      <c r="AO42" s="70">
        <f t="shared" si="13"/>
        <v>0</v>
      </c>
      <c r="AP42" s="70">
        <f t="shared" si="14"/>
        <v>0</v>
      </c>
      <c r="AQ42" s="70">
        <f t="shared" si="15"/>
        <v>0</v>
      </c>
      <c r="AR42" s="70">
        <f t="shared" si="16"/>
        <v>0</v>
      </c>
    </row>
    <row r="43" spans="2:48" x14ac:dyDescent="0.25">
      <c r="B43" s="17">
        <v>41</v>
      </c>
      <c r="C43" s="10"/>
      <c r="D43" s="10"/>
      <c r="E43" s="72"/>
      <c r="F43" s="18"/>
      <c r="G43" s="10"/>
      <c r="H43" s="10"/>
      <c r="I43" s="10"/>
      <c r="J43" s="11"/>
      <c r="K43" s="11">
        <f t="shared" si="0"/>
        <v>0</v>
      </c>
      <c r="L43" s="37">
        <f t="shared" si="1"/>
        <v>0</v>
      </c>
      <c r="M43" s="11"/>
      <c r="N43" s="10"/>
      <c r="O43" s="21"/>
      <c r="P43" s="21"/>
      <c r="Q43" s="21"/>
      <c r="R43" s="23"/>
      <c r="S43" s="50"/>
      <c r="T43" s="48"/>
      <c r="U43" s="82"/>
      <c r="V43" s="32"/>
      <c r="W43" s="200"/>
      <c r="X43" s="17"/>
      <c r="Z43">
        <v>7</v>
      </c>
      <c r="AA43" s="416"/>
      <c r="AB43" s="96">
        <v>5</v>
      </c>
      <c r="AC43" s="105" t="s">
        <v>119</v>
      </c>
      <c r="AD43" s="41">
        <f t="shared" si="2"/>
        <v>0</v>
      </c>
      <c r="AE43" s="70">
        <f t="shared" si="3"/>
        <v>0</v>
      </c>
      <c r="AF43" s="70">
        <f t="shared" si="4"/>
        <v>0</v>
      </c>
      <c r="AG43" s="70">
        <f t="shared" si="5"/>
        <v>0</v>
      </c>
      <c r="AH43" s="109">
        <f t="shared" si="6"/>
        <v>0</v>
      </c>
      <c r="AI43" s="120">
        <f t="shared" si="7"/>
        <v>0</v>
      </c>
      <c r="AJ43" s="121">
        <f t="shared" si="8"/>
        <v>0</v>
      </c>
      <c r="AK43" s="121">
        <f t="shared" si="9"/>
        <v>0</v>
      </c>
      <c r="AL43" s="121">
        <f t="shared" si="10"/>
        <v>0</v>
      </c>
      <c r="AM43" s="122">
        <f t="shared" si="11"/>
        <v>0</v>
      </c>
      <c r="AN43" s="41">
        <f t="shared" si="12"/>
        <v>0</v>
      </c>
      <c r="AO43" s="70">
        <f t="shared" si="13"/>
        <v>0</v>
      </c>
      <c r="AP43" s="70">
        <f t="shared" si="14"/>
        <v>0</v>
      </c>
      <c r="AQ43" s="70">
        <f t="shared" si="15"/>
        <v>0</v>
      </c>
      <c r="AR43" s="70">
        <f t="shared" si="16"/>
        <v>0</v>
      </c>
    </row>
    <row r="44" spans="2:48" ht="14.25" thickBot="1" x14ac:dyDescent="0.3">
      <c r="B44" s="17">
        <v>42</v>
      </c>
      <c r="C44" s="10"/>
      <c r="D44" s="10"/>
      <c r="E44" s="72"/>
      <c r="F44" s="18"/>
      <c r="G44" s="10"/>
      <c r="H44" s="10"/>
      <c r="I44" s="10"/>
      <c r="J44" s="11"/>
      <c r="K44" s="11">
        <f t="shared" si="0"/>
        <v>0</v>
      </c>
      <c r="L44" s="37">
        <f t="shared" si="1"/>
        <v>0</v>
      </c>
      <c r="M44" s="11"/>
      <c r="N44" s="10"/>
      <c r="O44" s="21"/>
      <c r="P44" s="21"/>
      <c r="Q44" s="21"/>
      <c r="R44" s="23"/>
      <c r="S44" s="50"/>
      <c r="T44" s="48"/>
      <c r="U44" s="82"/>
      <c r="V44" s="32"/>
      <c r="W44" s="200"/>
      <c r="X44" s="17"/>
      <c r="Z44">
        <v>7</v>
      </c>
      <c r="AA44" s="417"/>
      <c r="AB44" s="97" t="s">
        <v>3</v>
      </c>
      <c r="AC44" s="106"/>
      <c r="AD44" s="99">
        <f>SUM(AD39:AD43)</f>
        <v>0</v>
      </c>
      <c r="AE44" s="99">
        <f t="shared" ref="AE44" si="105">SUM(AE39:AE43)</f>
        <v>0</v>
      </c>
      <c r="AF44" s="99">
        <f t="shared" ref="AF44" si="106">SUM(AF39:AF43)</f>
        <v>0</v>
      </c>
      <c r="AG44" s="99">
        <f t="shared" ref="AG44" si="107">SUM(AG39:AG43)</f>
        <v>0</v>
      </c>
      <c r="AH44" s="110">
        <f t="shared" ref="AH44" si="108">SUM(AH39:AH43)</f>
        <v>0</v>
      </c>
      <c r="AI44" s="123">
        <f t="shared" ref="AI44" si="109">SUM(AI39:AI43)</f>
        <v>0</v>
      </c>
      <c r="AJ44" s="124">
        <f t="shared" ref="AJ44" si="110">SUM(AJ39:AJ43)</f>
        <v>0</v>
      </c>
      <c r="AK44" s="124">
        <f t="shared" ref="AK44" si="111">SUM(AK39:AK43)</f>
        <v>0</v>
      </c>
      <c r="AL44" s="124">
        <f t="shared" ref="AL44" si="112">SUM(AL39:AL43)</f>
        <v>0</v>
      </c>
      <c r="AM44" s="125">
        <f t="shared" ref="AM44" si="113">SUM(AM39:AM43)</f>
        <v>0</v>
      </c>
      <c r="AN44" s="99">
        <f t="shared" ref="AN44" si="114">SUM(AN39:AN43)</f>
        <v>0</v>
      </c>
      <c r="AO44" s="99">
        <f t="shared" ref="AO44" si="115">SUM(AO39:AO43)</f>
        <v>0</v>
      </c>
      <c r="AP44" s="99">
        <f t="shared" ref="AP44" si="116">SUM(AP39:AP43)</f>
        <v>0</v>
      </c>
      <c r="AQ44" s="99">
        <f t="shared" ref="AQ44" si="117">SUM(AQ39:AQ43)</f>
        <v>0</v>
      </c>
      <c r="AR44" s="99">
        <f t="shared" ref="AR44" si="118">SUM(AR39:AR43)</f>
        <v>0</v>
      </c>
    </row>
    <row r="45" spans="2:48" x14ac:dyDescent="0.25">
      <c r="B45" s="17">
        <v>43</v>
      </c>
      <c r="C45" s="10"/>
      <c r="D45" s="10"/>
      <c r="E45" s="72"/>
      <c r="F45" s="18"/>
      <c r="G45" s="10"/>
      <c r="H45" s="10"/>
      <c r="I45" s="10"/>
      <c r="J45" s="11"/>
      <c r="K45" s="11">
        <f t="shared" si="0"/>
        <v>0</v>
      </c>
      <c r="L45" s="37">
        <f t="shared" si="1"/>
        <v>0</v>
      </c>
      <c r="M45" s="11"/>
      <c r="N45" s="10"/>
      <c r="O45" s="21"/>
      <c r="P45" s="21"/>
      <c r="Q45" s="21"/>
      <c r="R45" s="23"/>
      <c r="S45" s="50"/>
      <c r="T45" s="48"/>
      <c r="U45" s="82"/>
      <c r="V45" s="26"/>
      <c r="W45" s="200"/>
      <c r="X45" s="17"/>
      <c r="Z45">
        <v>8</v>
      </c>
      <c r="AA45" s="415">
        <v>8</v>
      </c>
      <c r="AB45" s="94">
        <v>1</v>
      </c>
      <c r="AC45" s="100" t="s">
        <v>120</v>
      </c>
      <c r="AD45" s="41">
        <f t="shared" si="2"/>
        <v>0</v>
      </c>
      <c r="AE45" s="70">
        <f t="shared" si="3"/>
        <v>0</v>
      </c>
      <c r="AF45" s="70">
        <f t="shared" si="4"/>
        <v>0</v>
      </c>
      <c r="AG45" s="70">
        <f t="shared" si="5"/>
        <v>0</v>
      </c>
      <c r="AH45" s="109">
        <f t="shared" si="6"/>
        <v>0</v>
      </c>
      <c r="AI45" s="120">
        <f t="shared" si="7"/>
        <v>0</v>
      </c>
      <c r="AJ45" s="121">
        <f t="shared" si="8"/>
        <v>0</v>
      </c>
      <c r="AK45" s="121">
        <f t="shared" si="9"/>
        <v>0</v>
      </c>
      <c r="AL45" s="121">
        <f t="shared" si="10"/>
        <v>0</v>
      </c>
      <c r="AM45" s="122">
        <f t="shared" si="11"/>
        <v>0</v>
      </c>
      <c r="AN45" s="41">
        <f t="shared" si="12"/>
        <v>0</v>
      </c>
      <c r="AO45" s="70">
        <f t="shared" si="13"/>
        <v>0</v>
      </c>
      <c r="AP45" s="70">
        <f t="shared" si="14"/>
        <v>0</v>
      </c>
      <c r="AQ45" s="70">
        <f t="shared" si="15"/>
        <v>0</v>
      </c>
      <c r="AR45" s="70">
        <f t="shared" si="16"/>
        <v>0</v>
      </c>
    </row>
    <row r="46" spans="2:48" x14ac:dyDescent="0.25">
      <c r="B46" s="17">
        <v>44</v>
      </c>
      <c r="C46" s="10"/>
      <c r="D46" s="10"/>
      <c r="E46" s="72"/>
      <c r="F46" s="18"/>
      <c r="G46" s="10"/>
      <c r="H46" s="10"/>
      <c r="I46" s="10"/>
      <c r="J46" s="11"/>
      <c r="K46" s="11">
        <f t="shared" si="0"/>
        <v>0</v>
      </c>
      <c r="L46" s="37">
        <f t="shared" si="1"/>
        <v>0</v>
      </c>
      <c r="M46" s="11"/>
      <c r="N46" s="10"/>
      <c r="O46" s="21"/>
      <c r="P46" s="21"/>
      <c r="Q46" s="21"/>
      <c r="R46" s="23"/>
      <c r="S46" s="50"/>
      <c r="T46" s="48"/>
      <c r="U46" s="82"/>
      <c r="V46" s="26"/>
      <c r="W46" s="200"/>
      <c r="X46" s="17"/>
      <c r="Z46">
        <v>8</v>
      </c>
      <c r="AA46" s="416"/>
      <c r="AB46" s="95">
        <v>2</v>
      </c>
      <c r="AC46" s="102" t="s">
        <v>121</v>
      </c>
      <c r="AD46" s="41">
        <f t="shared" si="2"/>
        <v>0</v>
      </c>
      <c r="AE46" s="70">
        <f t="shared" si="3"/>
        <v>0</v>
      </c>
      <c r="AF46" s="70">
        <f t="shared" si="4"/>
        <v>0</v>
      </c>
      <c r="AG46" s="70">
        <f t="shared" si="5"/>
        <v>0</v>
      </c>
      <c r="AH46" s="109">
        <f t="shared" si="6"/>
        <v>0</v>
      </c>
      <c r="AI46" s="120">
        <f t="shared" si="7"/>
        <v>0</v>
      </c>
      <c r="AJ46" s="121">
        <f t="shared" si="8"/>
        <v>0</v>
      </c>
      <c r="AK46" s="121">
        <f t="shared" si="9"/>
        <v>0</v>
      </c>
      <c r="AL46" s="121">
        <f t="shared" si="10"/>
        <v>0</v>
      </c>
      <c r="AM46" s="122">
        <f t="shared" si="11"/>
        <v>0</v>
      </c>
      <c r="AN46" s="41">
        <f t="shared" si="12"/>
        <v>0</v>
      </c>
      <c r="AO46" s="70">
        <f t="shared" si="13"/>
        <v>0</v>
      </c>
      <c r="AP46" s="70">
        <f t="shared" si="14"/>
        <v>0</v>
      </c>
      <c r="AQ46" s="70">
        <f t="shared" si="15"/>
        <v>0</v>
      </c>
      <c r="AR46" s="70">
        <f t="shared" si="16"/>
        <v>0</v>
      </c>
    </row>
    <row r="47" spans="2:48" x14ac:dyDescent="0.25">
      <c r="B47" s="17">
        <v>45</v>
      </c>
      <c r="C47" s="10"/>
      <c r="D47" s="10"/>
      <c r="E47" s="72"/>
      <c r="F47" s="18"/>
      <c r="G47" s="10"/>
      <c r="H47" s="10"/>
      <c r="I47" s="10"/>
      <c r="J47" s="11"/>
      <c r="K47" s="11">
        <f t="shared" si="0"/>
        <v>0</v>
      </c>
      <c r="L47" s="37">
        <f t="shared" si="1"/>
        <v>0</v>
      </c>
      <c r="M47" s="11"/>
      <c r="N47" s="10"/>
      <c r="O47" s="21"/>
      <c r="P47" s="21"/>
      <c r="Q47" s="21"/>
      <c r="R47" s="23"/>
      <c r="S47" s="50"/>
      <c r="T47" s="48"/>
      <c r="U47" s="82"/>
      <c r="V47" s="26"/>
      <c r="W47" s="200"/>
      <c r="X47" s="17"/>
      <c r="Z47">
        <v>8</v>
      </c>
      <c r="AA47" s="416"/>
      <c r="AB47" s="95">
        <v>3</v>
      </c>
      <c r="AC47" s="102" t="s">
        <v>122</v>
      </c>
      <c r="AD47" s="41">
        <f t="shared" si="2"/>
        <v>0</v>
      </c>
      <c r="AE47" s="70">
        <f t="shared" si="3"/>
        <v>0</v>
      </c>
      <c r="AF47" s="70">
        <f t="shared" si="4"/>
        <v>0</v>
      </c>
      <c r="AG47" s="70">
        <f t="shared" si="5"/>
        <v>0</v>
      </c>
      <c r="AH47" s="109">
        <f t="shared" si="6"/>
        <v>0</v>
      </c>
      <c r="AI47" s="120">
        <f t="shared" si="7"/>
        <v>0</v>
      </c>
      <c r="AJ47" s="121">
        <f t="shared" si="8"/>
        <v>0</v>
      </c>
      <c r="AK47" s="121">
        <f t="shared" si="9"/>
        <v>0</v>
      </c>
      <c r="AL47" s="121">
        <f t="shared" si="10"/>
        <v>0</v>
      </c>
      <c r="AM47" s="122">
        <f t="shared" si="11"/>
        <v>0</v>
      </c>
      <c r="AN47" s="41">
        <f t="shared" si="12"/>
        <v>0</v>
      </c>
      <c r="AO47" s="70">
        <f t="shared" si="13"/>
        <v>0</v>
      </c>
      <c r="AP47" s="70">
        <f t="shared" si="14"/>
        <v>0</v>
      </c>
      <c r="AQ47" s="70">
        <f t="shared" si="15"/>
        <v>0</v>
      </c>
      <c r="AR47" s="70">
        <f t="shared" si="16"/>
        <v>0</v>
      </c>
    </row>
    <row r="48" spans="2:48" x14ac:dyDescent="0.25">
      <c r="B48" s="17">
        <v>46</v>
      </c>
      <c r="C48" s="10"/>
      <c r="D48" s="10"/>
      <c r="E48" s="72"/>
      <c r="F48" s="18"/>
      <c r="G48" s="10"/>
      <c r="H48" s="10"/>
      <c r="I48" s="10"/>
      <c r="J48" s="11"/>
      <c r="K48" s="11">
        <f t="shared" si="0"/>
        <v>0</v>
      </c>
      <c r="L48" s="37">
        <f t="shared" si="1"/>
        <v>0</v>
      </c>
      <c r="M48" s="11"/>
      <c r="N48" s="10"/>
      <c r="O48" s="21"/>
      <c r="P48" s="21"/>
      <c r="Q48" s="21"/>
      <c r="R48" s="23"/>
      <c r="S48" s="50"/>
      <c r="T48" s="48"/>
      <c r="U48" s="82"/>
      <c r="V48" s="26"/>
      <c r="W48" s="200"/>
      <c r="X48" s="17"/>
      <c r="Z48">
        <v>8</v>
      </c>
      <c r="AA48" s="416"/>
      <c r="AB48" s="95">
        <v>4</v>
      </c>
      <c r="AC48" s="102" t="s">
        <v>123</v>
      </c>
      <c r="AD48" s="41">
        <f t="shared" si="2"/>
        <v>0</v>
      </c>
      <c r="AE48" s="70">
        <f t="shared" si="3"/>
        <v>0</v>
      </c>
      <c r="AF48" s="70">
        <f t="shared" si="4"/>
        <v>0</v>
      </c>
      <c r="AG48" s="70">
        <f t="shared" si="5"/>
        <v>0</v>
      </c>
      <c r="AH48" s="109">
        <f t="shared" si="6"/>
        <v>0</v>
      </c>
      <c r="AI48" s="120">
        <f t="shared" si="7"/>
        <v>0</v>
      </c>
      <c r="AJ48" s="121">
        <f t="shared" si="8"/>
        <v>0</v>
      </c>
      <c r="AK48" s="121">
        <f t="shared" si="9"/>
        <v>0</v>
      </c>
      <c r="AL48" s="121">
        <f t="shared" si="10"/>
        <v>0</v>
      </c>
      <c r="AM48" s="122">
        <f t="shared" si="11"/>
        <v>0</v>
      </c>
      <c r="AN48" s="41">
        <f t="shared" si="12"/>
        <v>0</v>
      </c>
      <c r="AO48" s="70">
        <f t="shared" si="13"/>
        <v>0</v>
      </c>
      <c r="AP48" s="70">
        <f t="shared" si="14"/>
        <v>0</v>
      </c>
      <c r="AQ48" s="70">
        <f t="shared" si="15"/>
        <v>0</v>
      </c>
      <c r="AR48" s="70">
        <f t="shared" si="16"/>
        <v>0</v>
      </c>
    </row>
    <row r="49" spans="2:44" x14ac:dyDescent="0.25">
      <c r="B49" s="17">
        <v>47</v>
      </c>
      <c r="C49" s="10"/>
      <c r="D49" s="10"/>
      <c r="E49" s="72"/>
      <c r="F49" s="18"/>
      <c r="G49" s="10"/>
      <c r="H49" s="10"/>
      <c r="I49" s="10"/>
      <c r="J49" s="11"/>
      <c r="K49" s="11">
        <f t="shared" si="0"/>
        <v>0</v>
      </c>
      <c r="L49" s="37">
        <f t="shared" si="1"/>
        <v>0</v>
      </c>
      <c r="M49" s="11"/>
      <c r="N49" s="10"/>
      <c r="O49" s="21"/>
      <c r="P49" s="21"/>
      <c r="Q49" s="21"/>
      <c r="R49" s="23"/>
      <c r="S49" s="50"/>
      <c r="T49" s="48"/>
      <c r="U49" s="82"/>
      <c r="V49" s="26"/>
      <c r="W49" s="200"/>
      <c r="X49" s="17"/>
      <c r="Z49">
        <v>8</v>
      </c>
      <c r="AA49" s="416"/>
      <c r="AB49" s="96">
        <v>5</v>
      </c>
      <c r="AC49" s="105"/>
      <c r="AD49" s="41">
        <f t="shared" si="2"/>
        <v>0</v>
      </c>
      <c r="AE49" s="70">
        <f t="shared" si="3"/>
        <v>0</v>
      </c>
      <c r="AF49" s="70">
        <f t="shared" si="4"/>
        <v>0</v>
      </c>
      <c r="AG49" s="70">
        <f t="shared" si="5"/>
        <v>0</v>
      </c>
      <c r="AH49" s="109">
        <f t="shared" si="6"/>
        <v>0</v>
      </c>
      <c r="AI49" s="120">
        <f t="shared" si="7"/>
        <v>0</v>
      </c>
      <c r="AJ49" s="121">
        <f t="shared" si="8"/>
        <v>0</v>
      </c>
      <c r="AK49" s="121">
        <f t="shared" si="9"/>
        <v>0</v>
      </c>
      <c r="AL49" s="121">
        <f t="shared" si="10"/>
        <v>0</v>
      </c>
      <c r="AM49" s="122">
        <f t="shared" si="11"/>
        <v>0</v>
      </c>
      <c r="AN49" s="41">
        <f t="shared" si="12"/>
        <v>0</v>
      </c>
      <c r="AO49" s="70">
        <f t="shared" si="13"/>
        <v>0</v>
      </c>
      <c r="AP49" s="70">
        <f t="shared" si="14"/>
        <v>0</v>
      </c>
      <c r="AQ49" s="70">
        <f t="shared" si="15"/>
        <v>0</v>
      </c>
      <c r="AR49" s="70">
        <f t="shared" si="16"/>
        <v>0</v>
      </c>
    </row>
    <row r="50" spans="2:44" ht="14.25" thickBot="1" x14ac:dyDescent="0.3">
      <c r="B50" s="17">
        <v>48</v>
      </c>
      <c r="C50" s="10"/>
      <c r="D50" s="10"/>
      <c r="E50" s="72"/>
      <c r="F50" s="18"/>
      <c r="G50" s="10"/>
      <c r="H50" s="10"/>
      <c r="I50" s="10"/>
      <c r="J50" s="11"/>
      <c r="K50" s="11">
        <f t="shared" si="0"/>
        <v>0</v>
      </c>
      <c r="L50" s="37">
        <f t="shared" si="1"/>
        <v>0</v>
      </c>
      <c r="M50" s="11"/>
      <c r="N50" s="10"/>
      <c r="O50" s="21"/>
      <c r="P50" s="21"/>
      <c r="Q50" s="21"/>
      <c r="R50" s="23"/>
      <c r="S50" s="50"/>
      <c r="T50" s="48"/>
      <c r="U50" s="82"/>
      <c r="V50" s="32"/>
      <c r="W50" s="200"/>
      <c r="X50" s="17"/>
      <c r="Z50">
        <v>8</v>
      </c>
      <c r="AA50" s="417"/>
      <c r="AB50" s="97" t="s">
        <v>3</v>
      </c>
      <c r="AC50" s="106"/>
      <c r="AD50" s="99">
        <f>SUM(AD45:AD49)</f>
        <v>0</v>
      </c>
      <c r="AE50" s="99">
        <f t="shared" ref="AE50" si="119">SUM(AE45:AE49)</f>
        <v>0</v>
      </c>
      <c r="AF50" s="99">
        <f t="shared" ref="AF50" si="120">SUM(AF45:AF49)</f>
        <v>0</v>
      </c>
      <c r="AG50" s="99">
        <f t="shared" ref="AG50" si="121">SUM(AG45:AG49)</f>
        <v>0</v>
      </c>
      <c r="AH50" s="110">
        <f t="shared" ref="AH50" si="122">SUM(AH45:AH49)</f>
        <v>0</v>
      </c>
      <c r="AI50" s="123">
        <f t="shared" ref="AI50" si="123">SUM(AI45:AI49)</f>
        <v>0</v>
      </c>
      <c r="AJ50" s="124">
        <f t="shared" ref="AJ50" si="124">SUM(AJ45:AJ49)</f>
        <v>0</v>
      </c>
      <c r="AK50" s="124">
        <f t="shared" ref="AK50" si="125">SUM(AK45:AK49)</f>
        <v>0</v>
      </c>
      <c r="AL50" s="124">
        <f t="shared" ref="AL50" si="126">SUM(AL45:AL49)</f>
        <v>0</v>
      </c>
      <c r="AM50" s="125">
        <f t="shared" ref="AM50" si="127">SUM(AM45:AM49)</f>
        <v>0</v>
      </c>
      <c r="AN50" s="99">
        <f t="shared" ref="AN50" si="128">SUM(AN45:AN49)</f>
        <v>0</v>
      </c>
      <c r="AO50" s="99">
        <f t="shared" ref="AO50" si="129">SUM(AO45:AO49)</f>
        <v>0</v>
      </c>
      <c r="AP50" s="99">
        <f t="shared" ref="AP50" si="130">SUM(AP45:AP49)</f>
        <v>0</v>
      </c>
      <c r="AQ50" s="99">
        <f t="shared" ref="AQ50" si="131">SUM(AQ45:AQ49)</f>
        <v>0</v>
      </c>
      <c r="AR50" s="99">
        <f t="shared" ref="AR50" si="132">SUM(AR45:AR49)</f>
        <v>0</v>
      </c>
    </row>
    <row r="51" spans="2:44" x14ac:dyDescent="0.25">
      <c r="B51" s="17">
        <v>49</v>
      </c>
      <c r="C51" s="10"/>
      <c r="D51" s="10"/>
      <c r="E51" s="72"/>
      <c r="F51" s="18"/>
      <c r="G51" s="10"/>
      <c r="H51" s="10"/>
      <c r="I51" s="10"/>
      <c r="J51" s="11"/>
      <c r="K51" s="11">
        <f t="shared" si="0"/>
        <v>0</v>
      </c>
      <c r="L51" s="37">
        <f t="shared" si="1"/>
        <v>0</v>
      </c>
      <c r="M51" s="11"/>
      <c r="N51" s="10"/>
      <c r="O51" s="21"/>
      <c r="P51" s="21"/>
      <c r="Q51" s="21"/>
      <c r="R51" s="23"/>
      <c r="S51" s="50"/>
      <c r="T51" s="48"/>
      <c r="U51" s="82"/>
      <c r="V51" s="32"/>
      <c r="W51" s="200"/>
      <c r="X51" s="17"/>
      <c r="Z51">
        <v>9</v>
      </c>
      <c r="AA51" s="415">
        <v>9</v>
      </c>
      <c r="AB51" s="94">
        <v>1</v>
      </c>
      <c r="AC51" s="100" t="s">
        <v>124</v>
      </c>
      <c r="AD51" s="41">
        <f t="shared" si="2"/>
        <v>0</v>
      </c>
      <c r="AE51" s="70">
        <f t="shared" si="3"/>
        <v>0</v>
      </c>
      <c r="AF51" s="70">
        <f t="shared" si="4"/>
        <v>0</v>
      </c>
      <c r="AG51" s="70">
        <f t="shared" si="5"/>
        <v>0</v>
      </c>
      <c r="AH51" s="109">
        <f t="shared" si="6"/>
        <v>0</v>
      </c>
      <c r="AI51" s="120">
        <f t="shared" si="7"/>
        <v>0</v>
      </c>
      <c r="AJ51" s="121">
        <f t="shared" si="8"/>
        <v>0</v>
      </c>
      <c r="AK51" s="121">
        <f t="shared" si="9"/>
        <v>0</v>
      </c>
      <c r="AL51" s="121">
        <f t="shared" si="10"/>
        <v>0</v>
      </c>
      <c r="AM51" s="122">
        <f t="shared" si="11"/>
        <v>0</v>
      </c>
      <c r="AN51" s="41">
        <f t="shared" si="12"/>
        <v>0</v>
      </c>
      <c r="AO51" s="70">
        <f t="shared" si="13"/>
        <v>0</v>
      </c>
      <c r="AP51" s="70">
        <f t="shared" si="14"/>
        <v>0</v>
      </c>
      <c r="AQ51" s="70">
        <f t="shared" si="15"/>
        <v>0</v>
      </c>
      <c r="AR51" s="70">
        <f t="shared" si="16"/>
        <v>0</v>
      </c>
    </row>
    <row r="52" spans="2:44" x14ac:dyDescent="0.25">
      <c r="B52" s="17">
        <v>50</v>
      </c>
      <c r="C52" s="10"/>
      <c r="D52" s="10"/>
      <c r="E52" s="72"/>
      <c r="F52" s="18"/>
      <c r="G52" s="10"/>
      <c r="H52" s="10"/>
      <c r="I52" s="10"/>
      <c r="J52" s="11"/>
      <c r="K52" s="11">
        <f t="shared" si="0"/>
        <v>0</v>
      </c>
      <c r="L52" s="37">
        <f t="shared" si="1"/>
        <v>0</v>
      </c>
      <c r="M52" s="11"/>
      <c r="N52" s="10"/>
      <c r="O52" s="21"/>
      <c r="P52" s="21"/>
      <c r="Q52" s="21"/>
      <c r="R52" s="23"/>
      <c r="S52" s="50"/>
      <c r="T52" s="48"/>
      <c r="U52" s="82"/>
      <c r="V52" s="32"/>
      <c r="W52" s="200"/>
      <c r="X52" s="17"/>
      <c r="Z52">
        <v>9</v>
      </c>
      <c r="AA52" s="416"/>
      <c r="AB52" s="95">
        <v>2</v>
      </c>
      <c r="AC52" s="102" t="s">
        <v>125</v>
      </c>
      <c r="AD52" s="41">
        <f t="shared" si="2"/>
        <v>0</v>
      </c>
      <c r="AE52" s="70">
        <f t="shared" si="3"/>
        <v>0</v>
      </c>
      <c r="AF52" s="70">
        <f t="shared" si="4"/>
        <v>0</v>
      </c>
      <c r="AG52" s="70">
        <f t="shared" si="5"/>
        <v>0</v>
      </c>
      <c r="AH52" s="109">
        <f t="shared" si="6"/>
        <v>0</v>
      </c>
      <c r="AI52" s="120">
        <f t="shared" si="7"/>
        <v>0</v>
      </c>
      <c r="AJ52" s="121">
        <f t="shared" si="8"/>
        <v>0</v>
      </c>
      <c r="AK52" s="121">
        <f t="shared" si="9"/>
        <v>0</v>
      </c>
      <c r="AL52" s="121">
        <f t="shared" si="10"/>
        <v>0</v>
      </c>
      <c r="AM52" s="122">
        <f t="shared" si="11"/>
        <v>0</v>
      </c>
      <c r="AN52" s="41">
        <f t="shared" si="12"/>
        <v>0</v>
      </c>
      <c r="AO52" s="70">
        <f t="shared" si="13"/>
        <v>0</v>
      </c>
      <c r="AP52" s="70">
        <f t="shared" si="14"/>
        <v>0</v>
      </c>
      <c r="AQ52" s="70">
        <f t="shared" si="15"/>
        <v>0</v>
      </c>
      <c r="AR52" s="70">
        <f t="shared" si="16"/>
        <v>0</v>
      </c>
    </row>
    <row r="53" spans="2:44" x14ac:dyDescent="0.25">
      <c r="B53" s="17">
        <v>51</v>
      </c>
      <c r="C53" s="10"/>
      <c r="D53" s="10"/>
      <c r="E53" s="72"/>
      <c r="F53" s="18"/>
      <c r="G53" s="10"/>
      <c r="H53" s="10"/>
      <c r="I53" s="10"/>
      <c r="J53" s="11"/>
      <c r="K53" s="11">
        <f t="shared" si="0"/>
        <v>0</v>
      </c>
      <c r="L53" s="37">
        <f t="shared" si="1"/>
        <v>0</v>
      </c>
      <c r="M53" s="11"/>
      <c r="N53" s="10"/>
      <c r="O53" s="21"/>
      <c r="P53" s="21"/>
      <c r="Q53" s="21"/>
      <c r="R53" s="23"/>
      <c r="S53" s="50"/>
      <c r="T53" s="48"/>
      <c r="U53" s="82"/>
      <c r="V53" s="32"/>
      <c r="W53" s="200"/>
      <c r="X53" s="17"/>
      <c r="Z53">
        <v>9</v>
      </c>
      <c r="AA53" s="416"/>
      <c r="AB53" s="95">
        <v>3</v>
      </c>
      <c r="AC53" s="102" t="s">
        <v>126</v>
      </c>
      <c r="AD53" s="41">
        <f t="shared" si="2"/>
        <v>0</v>
      </c>
      <c r="AE53" s="70">
        <f t="shared" si="3"/>
        <v>0</v>
      </c>
      <c r="AF53" s="70">
        <f t="shared" si="4"/>
        <v>0</v>
      </c>
      <c r="AG53" s="70">
        <f t="shared" si="5"/>
        <v>0</v>
      </c>
      <c r="AH53" s="109">
        <f t="shared" si="6"/>
        <v>0</v>
      </c>
      <c r="AI53" s="120">
        <f t="shared" si="7"/>
        <v>0</v>
      </c>
      <c r="AJ53" s="121">
        <f t="shared" si="8"/>
        <v>0</v>
      </c>
      <c r="AK53" s="121">
        <f t="shared" si="9"/>
        <v>0</v>
      </c>
      <c r="AL53" s="121">
        <f t="shared" si="10"/>
        <v>0</v>
      </c>
      <c r="AM53" s="122">
        <f t="shared" si="11"/>
        <v>0</v>
      </c>
      <c r="AN53" s="41">
        <f t="shared" si="12"/>
        <v>0</v>
      </c>
      <c r="AO53" s="70">
        <f t="shared" si="13"/>
        <v>0</v>
      </c>
      <c r="AP53" s="70">
        <f t="shared" si="14"/>
        <v>0</v>
      </c>
      <c r="AQ53" s="70">
        <f t="shared" si="15"/>
        <v>0</v>
      </c>
      <c r="AR53" s="70">
        <f t="shared" si="16"/>
        <v>0</v>
      </c>
    </row>
    <row r="54" spans="2:44" x14ac:dyDescent="0.25">
      <c r="B54" s="17">
        <v>52</v>
      </c>
      <c r="C54" s="10"/>
      <c r="D54" s="10"/>
      <c r="E54" s="72"/>
      <c r="F54" s="18"/>
      <c r="G54" s="10"/>
      <c r="H54" s="10"/>
      <c r="I54" s="10"/>
      <c r="J54" s="11"/>
      <c r="K54" s="11">
        <f t="shared" si="0"/>
        <v>0</v>
      </c>
      <c r="L54" s="37">
        <f t="shared" si="1"/>
        <v>0</v>
      </c>
      <c r="M54" s="11"/>
      <c r="N54" s="10"/>
      <c r="O54" s="21"/>
      <c r="P54" s="21"/>
      <c r="Q54" s="21"/>
      <c r="R54" s="23"/>
      <c r="S54" s="50"/>
      <c r="T54" s="48"/>
      <c r="U54" s="82"/>
      <c r="V54" s="26"/>
      <c r="W54" s="200"/>
      <c r="X54" s="17"/>
      <c r="Z54">
        <v>9</v>
      </c>
      <c r="AA54" s="416"/>
      <c r="AB54" s="95">
        <v>4</v>
      </c>
      <c r="AC54" s="102" t="s">
        <v>127</v>
      </c>
      <c r="AD54" s="41">
        <f t="shared" si="2"/>
        <v>0</v>
      </c>
      <c r="AE54" s="70">
        <f t="shared" si="3"/>
        <v>0</v>
      </c>
      <c r="AF54" s="70">
        <f t="shared" si="4"/>
        <v>0</v>
      </c>
      <c r="AG54" s="70">
        <f t="shared" si="5"/>
        <v>0</v>
      </c>
      <c r="AH54" s="109">
        <f t="shared" si="6"/>
        <v>0</v>
      </c>
      <c r="AI54" s="120">
        <f t="shared" si="7"/>
        <v>0</v>
      </c>
      <c r="AJ54" s="121">
        <f t="shared" si="8"/>
        <v>0</v>
      </c>
      <c r="AK54" s="121">
        <f t="shared" si="9"/>
        <v>0</v>
      </c>
      <c r="AL54" s="121">
        <f t="shared" si="10"/>
        <v>0</v>
      </c>
      <c r="AM54" s="122">
        <f t="shared" si="11"/>
        <v>0</v>
      </c>
      <c r="AN54" s="41">
        <f t="shared" si="12"/>
        <v>0</v>
      </c>
      <c r="AO54" s="70">
        <f t="shared" si="13"/>
        <v>0</v>
      </c>
      <c r="AP54" s="70">
        <f t="shared" si="14"/>
        <v>0</v>
      </c>
      <c r="AQ54" s="70">
        <f t="shared" si="15"/>
        <v>0</v>
      </c>
      <c r="AR54" s="70">
        <f t="shared" si="16"/>
        <v>0</v>
      </c>
    </row>
    <row r="55" spans="2:44" x14ac:dyDescent="0.25">
      <c r="B55" s="17">
        <v>53</v>
      </c>
      <c r="C55" s="10"/>
      <c r="D55" s="10"/>
      <c r="E55" s="72"/>
      <c r="F55" s="18"/>
      <c r="G55" s="10"/>
      <c r="H55" s="10"/>
      <c r="I55" s="10"/>
      <c r="J55" s="11"/>
      <c r="K55" s="11">
        <f t="shared" si="0"/>
        <v>0</v>
      </c>
      <c r="L55" s="37">
        <f t="shared" si="1"/>
        <v>0</v>
      </c>
      <c r="M55" s="11"/>
      <c r="N55" s="10"/>
      <c r="O55" s="21"/>
      <c r="P55" s="21"/>
      <c r="Q55" s="21"/>
      <c r="R55" s="23"/>
      <c r="S55" s="50"/>
      <c r="T55" s="48"/>
      <c r="U55" s="82"/>
      <c r="V55" s="26"/>
      <c r="W55" s="200"/>
      <c r="X55" s="17"/>
      <c r="Z55">
        <v>9</v>
      </c>
      <c r="AA55" s="416"/>
      <c r="AB55" s="96">
        <v>5</v>
      </c>
      <c r="AC55" s="105"/>
      <c r="AD55" s="41">
        <f t="shared" si="2"/>
        <v>0</v>
      </c>
      <c r="AE55" s="70">
        <f t="shared" si="3"/>
        <v>0</v>
      </c>
      <c r="AF55" s="70">
        <f t="shared" si="4"/>
        <v>0</v>
      </c>
      <c r="AG55" s="70">
        <f t="shared" si="5"/>
        <v>0</v>
      </c>
      <c r="AH55" s="109">
        <f t="shared" si="6"/>
        <v>0</v>
      </c>
      <c r="AI55" s="120">
        <f t="shared" si="7"/>
        <v>0</v>
      </c>
      <c r="AJ55" s="121">
        <f t="shared" si="8"/>
        <v>0</v>
      </c>
      <c r="AK55" s="121">
        <f t="shared" si="9"/>
        <v>0</v>
      </c>
      <c r="AL55" s="121">
        <f t="shared" si="10"/>
        <v>0</v>
      </c>
      <c r="AM55" s="122">
        <f t="shared" si="11"/>
        <v>0</v>
      </c>
      <c r="AN55" s="41">
        <f t="shared" si="12"/>
        <v>0</v>
      </c>
      <c r="AO55" s="70">
        <f t="shared" si="13"/>
        <v>0</v>
      </c>
      <c r="AP55" s="70">
        <f t="shared" si="14"/>
        <v>0</v>
      </c>
      <c r="AQ55" s="70">
        <f t="shared" si="15"/>
        <v>0</v>
      </c>
      <c r="AR55" s="70">
        <f t="shared" si="16"/>
        <v>0</v>
      </c>
    </row>
    <row r="56" spans="2:44" ht="14.25" thickBot="1" x14ac:dyDescent="0.3">
      <c r="B56" s="17">
        <v>54</v>
      </c>
      <c r="C56" s="10"/>
      <c r="D56" s="10"/>
      <c r="E56" s="72"/>
      <c r="F56" s="18"/>
      <c r="G56" s="10"/>
      <c r="H56" s="10"/>
      <c r="I56" s="10"/>
      <c r="J56" s="11"/>
      <c r="K56" s="11">
        <f t="shared" si="0"/>
        <v>0</v>
      </c>
      <c r="L56" s="37">
        <f t="shared" si="1"/>
        <v>0</v>
      </c>
      <c r="M56" s="11"/>
      <c r="N56" s="10"/>
      <c r="O56" s="21"/>
      <c r="P56" s="21"/>
      <c r="Q56" s="21"/>
      <c r="R56" s="23"/>
      <c r="S56" s="50"/>
      <c r="T56" s="48"/>
      <c r="U56" s="82"/>
      <c r="V56" s="26"/>
      <c r="W56" s="200"/>
      <c r="X56" s="17"/>
      <c r="Z56">
        <v>9</v>
      </c>
      <c r="AA56" s="417"/>
      <c r="AB56" s="97" t="s">
        <v>3</v>
      </c>
      <c r="AC56" s="106"/>
      <c r="AD56" s="99">
        <f>SUM(AD51:AD55)</f>
        <v>0</v>
      </c>
      <c r="AE56" s="99">
        <f t="shared" ref="AE56" si="133">SUM(AE51:AE55)</f>
        <v>0</v>
      </c>
      <c r="AF56" s="99">
        <f t="shared" ref="AF56" si="134">SUM(AF51:AF55)</f>
        <v>0</v>
      </c>
      <c r="AG56" s="99">
        <f t="shared" ref="AG56" si="135">SUM(AG51:AG55)</f>
        <v>0</v>
      </c>
      <c r="AH56" s="110">
        <f t="shared" ref="AH56" si="136">SUM(AH51:AH55)</f>
        <v>0</v>
      </c>
      <c r="AI56" s="123">
        <f t="shared" ref="AI56" si="137">SUM(AI51:AI55)</f>
        <v>0</v>
      </c>
      <c r="AJ56" s="124">
        <f t="shared" ref="AJ56" si="138">SUM(AJ51:AJ55)</f>
        <v>0</v>
      </c>
      <c r="AK56" s="124">
        <f t="shared" ref="AK56" si="139">SUM(AK51:AK55)</f>
        <v>0</v>
      </c>
      <c r="AL56" s="124">
        <f t="shared" ref="AL56" si="140">SUM(AL51:AL55)</f>
        <v>0</v>
      </c>
      <c r="AM56" s="125">
        <f t="shared" ref="AM56" si="141">SUM(AM51:AM55)</f>
        <v>0</v>
      </c>
      <c r="AN56" s="99">
        <f t="shared" ref="AN56" si="142">SUM(AN51:AN55)</f>
        <v>0</v>
      </c>
      <c r="AO56" s="99">
        <f t="shared" ref="AO56" si="143">SUM(AO51:AO55)</f>
        <v>0</v>
      </c>
      <c r="AP56" s="99">
        <f t="shared" ref="AP56" si="144">SUM(AP51:AP55)</f>
        <v>0</v>
      </c>
      <c r="AQ56" s="99">
        <f t="shared" ref="AQ56" si="145">SUM(AQ51:AQ55)</f>
        <v>0</v>
      </c>
      <c r="AR56" s="99">
        <f t="shared" ref="AR56" si="146">SUM(AR51:AR55)</f>
        <v>0</v>
      </c>
    </row>
    <row r="57" spans="2:44" x14ac:dyDescent="0.25">
      <c r="B57" s="17">
        <v>55</v>
      </c>
      <c r="C57" s="10"/>
      <c r="D57" s="10"/>
      <c r="E57" s="72"/>
      <c r="F57" s="18"/>
      <c r="G57" s="10"/>
      <c r="H57" s="10"/>
      <c r="I57" s="10"/>
      <c r="J57" s="11"/>
      <c r="K57" s="11">
        <f t="shared" si="0"/>
        <v>0</v>
      </c>
      <c r="L57" s="37">
        <f t="shared" si="1"/>
        <v>0</v>
      </c>
      <c r="M57" s="11"/>
      <c r="N57" s="10"/>
      <c r="O57" s="21"/>
      <c r="P57" s="21"/>
      <c r="Q57" s="21"/>
      <c r="R57" s="23"/>
      <c r="S57" s="50"/>
      <c r="T57" s="48"/>
      <c r="U57" s="82"/>
      <c r="V57" s="26"/>
      <c r="W57" s="200"/>
      <c r="X57" s="17"/>
      <c r="Z57">
        <v>10</v>
      </c>
      <c r="AA57" s="415">
        <v>10</v>
      </c>
      <c r="AB57" s="94">
        <v>1</v>
      </c>
      <c r="AC57" s="100" t="s">
        <v>128</v>
      </c>
      <c r="AD57" s="41">
        <f t="shared" si="2"/>
        <v>0</v>
      </c>
      <c r="AE57" s="70">
        <f t="shared" si="3"/>
        <v>0</v>
      </c>
      <c r="AF57" s="70">
        <f t="shared" si="4"/>
        <v>0</v>
      </c>
      <c r="AG57" s="70">
        <f t="shared" si="5"/>
        <v>0</v>
      </c>
      <c r="AH57" s="109">
        <f t="shared" si="6"/>
        <v>0</v>
      </c>
      <c r="AI57" s="120">
        <f t="shared" si="7"/>
        <v>0</v>
      </c>
      <c r="AJ57" s="121">
        <f t="shared" si="8"/>
        <v>0</v>
      </c>
      <c r="AK57" s="121">
        <f t="shared" si="9"/>
        <v>0</v>
      </c>
      <c r="AL57" s="121">
        <f t="shared" si="10"/>
        <v>0</v>
      </c>
      <c r="AM57" s="122">
        <f t="shared" si="11"/>
        <v>0</v>
      </c>
      <c r="AN57" s="41">
        <f t="shared" si="12"/>
        <v>0</v>
      </c>
      <c r="AO57" s="70">
        <f t="shared" si="13"/>
        <v>0</v>
      </c>
      <c r="AP57" s="70">
        <f t="shared" si="14"/>
        <v>0</v>
      </c>
      <c r="AQ57" s="70">
        <f t="shared" si="15"/>
        <v>0</v>
      </c>
      <c r="AR57" s="70">
        <f t="shared" si="16"/>
        <v>0</v>
      </c>
    </row>
    <row r="58" spans="2:44" x14ac:dyDescent="0.25">
      <c r="B58" s="17">
        <v>56</v>
      </c>
      <c r="C58" s="10"/>
      <c r="D58" s="10"/>
      <c r="E58" s="72"/>
      <c r="F58" s="18"/>
      <c r="G58" s="10"/>
      <c r="H58" s="10"/>
      <c r="I58" s="10"/>
      <c r="J58" s="11"/>
      <c r="K58" s="11">
        <f t="shared" si="0"/>
        <v>0</v>
      </c>
      <c r="L58" s="37">
        <f t="shared" si="1"/>
        <v>0</v>
      </c>
      <c r="M58" s="11"/>
      <c r="N58" s="10"/>
      <c r="O58" s="21"/>
      <c r="P58" s="21"/>
      <c r="Q58" s="21"/>
      <c r="R58" s="23"/>
      <c r="S58" s="50"/>
      <c r="T58" s="48"/>
      <c r="U58" s="82"/>
      <c r="V58" s="26"/>
      <c r="W58" s="200"/>
      <c r="X58" s="17"/>
      <c r="Z58">
        <v>10</v>
      </c>
      <c r="AA58" s="416"/>
      <c r="AB58" s="95">
        <v>2</v>
      </c>
      <c r="AC58" s="101" t="s">
        <v>61</v>
      </c>
      <c r="AD58" s="41">
        <f t="shared" si="2"/>
        <v>0</v>
      </c>
      <c r="AE58" s="70">
        <f t="shared" si="3"/>
        <v>0</v>
      </c>
      <c r="AF58" s="70">
        <f t="shared" si="4"/>
        <v>0</v>
      </c>
      <c r="AG58" s="70">
        <f t="shared" si="5"/>
        <v>0</v>
      </c>
      <c r="AH58" s="109">
        <f t="shared" si="6"/>
        <v>0</v>
      </c>
      <c r="AI58" s="120">
        <f t="shared" si="7"/>
        <v>0</v>
      </c>
      <c r="AJ58" s="121">
        <f t="shared" si="8"/>
        <v>0</v>
      </c>
      <c r="AK58" s="121">
        <f t="shared" si="9"/>
        <v>0</v>
      </c>
      <c r="AL58" s="121">
        <f t="shared" si="10"/>
        <v>0</v>
      </c>
      <c r="AM58" s="122">
        <f t="shared" si="11"/>
        <v>0</v>
      </c>
      <c r="AN58" s="41">
        <f t="shared" si="12"/>
        <v>0</v>
      </c>
      <c r="AO58" s="70">
        <f t="shared" si="13"/>
        <v>0</v>
      </c>
      <c r="AP58" s="70">
        <f t="shared" si="14"/>
        <v>0</v>
      </c>
      <c r="AQ58" s="70">
        <f t="shared" si="15"/>
        <v>0</v>
      </c>
      <c r="AR58" s="70">
        <f t="shared" si="16"/>
        <v>0</v>
      </c>
    </row>
    <row r="59" spans="2:44" x14ac:dyDescent="0.25">
      <c r="B59" s="17">
        <v>57</v>
      </c>
      <c r="C59" s="10"/>
      <c r="D59" s="10"/>
      <c r="E59" s="72"/>
      <c r="F59" s="18"/>
      <c r="G59" s="10"/>
      <c r="H59" s="10"/>
      <c r="I59" s="10"/>
      <c r="J59" s="11"/>
      <c r="K59" s="11">
        <f t="shared" si="0"/>
        <v>0</v>
      </c>
      <c r="L59" s="37">
        <f t="shared" si="1"/>
        <v>0</v>
      </c>
      <c r="M59" s="11"/>
      <c r="N59" s="10"/>
      <c r="O59" s="21"/>
      <c r="P59" s="21"/>
      <c r="Q59" s="21"/>
      <c r="R59" s="23"/>
      <c r="S59" s="50"/>
      <c r="T59" s="48"/>
      <c r="U59" s="82"/>
      <c r="V59" s="32"/>
      <c r="W59" s="200"/>
      <c r="X59" s="17"/>
      <c r="Z59">
        <v>10</v>
      </c>
      <c r="AA59" s="416"/>
      <c r="AB59" s="95">
        <v>3</v>
      </c>
      <c r="AC59" s="102" t="s">
        <v>62</v>
      </c>
      <c r="AD59" s="41">
        <f t="shared" si="2"/>
        <v>0</v>
      </c>
      <c r="AE59" s="70">
        <f t="shared" si="3"/>
        <v>0</v>
      </c>
      <c r="AF59" s="70">
        <f t="shared" si="4"/>
        <v>0</v>
      </c>
      <c r="AG59" s="70">
        <f t="shared" si="5"/>
        <v>0</v>
      </c>
      <c r="AH59" s="109">
        <f t="shared" si="6"/>
        <v>0</v>
      </c>
      <c r="AI59" s="120">
        <f t="shared" si="7"/>
        <v>0</v>
      </c>
      <c r="AJ59" s="121">
        <f t="shared" si="8"/>
        <v>0</v>
      </c>
      <c r="AK59" s="121">
        <f t="shared" si="9"/>
        <v>0</v>
      </c>
      <c r="AL59" s="121">
        <f t="shared" si="10"/>
        <v>0</v>
      </c>
      <c r="AM59" s="122">
        <f t="shared" si="11"/>
        <v>0</v>
      </c>
      <c r="AN59" s="41">
        <f t="shared" si="12"/>
        <v>0</v>
      </c>
      <c r="AO59" s="70">
        <f t="shared" si="13"/>
        <v>0</v>
      </c>
      <c r="AP59" s="70">
        <f t="shared" si="14"/>
        <v>0</v>
      </c>
      <c r="AQ59" s="70">
        <f t="shared" si="15"/>
        <v>0</v>
      </c>
      <c r="AR59" s="70">
        <f t="shared" si="16"/>
        <v>0</v>
      </c>
    </row>
    <row r="60" spans="2:44" x14ac:dyDescent="0.25">
      <c r="B60" s="17">
        <v>58</v>
      </c>
      <c r="C60" s="10"/>
      <c r="D60" s="10"/>
      <c r="E60" s="72"/>
      <c r="F60" s="18"/>
      <c r="G60" s="10"/>
      <c r="H60" s="10"/>
      <c r="I60" s="10"/>
      <c r="J60" s="11"/>
      <c r="K60" s="11">
        <f t="shared" si="0"/>
        <v>0</v>
      </c>
      <c r="L60" s="37">
        <f t="shared" si="1"/>
        <v>0</v>
      </c>
      <c r="M60" s="11"/>
      <c r="N60" s="10"/>
      <c r="O60" s="21"/>
      <c r="P60" s="21"/>
      <c r="Q60" s="21"/>
      <c r="R60" s="23"/>
      <c r="S60" s="50"/>
      <c r="T60" s="48"/>
      <c r="U60" s="82"/>
      <c r="V60" s="32"/>
      <c r="W60" s="200"/>
      <c r="X60" s="17"/>
      <c r="Z60">
        <v>10</v>
      </c>
      <c r="AA60" s="416"/>
      <c r="AB60" s="95">
        <v>4</v>
      </c>
      <c r="AC60" s="102" t="s">
        <v>63</v>
      </c>
      <c r="AD60" s="41">
        <f t="shared" si="2"/>
        <v>0</v>
      </c>
      <c r="AE60" s="70">
        <f t="shared" si="3"/>
        <v>0</v>
      </c>
      <c r="AF60" s="70">
        <f t="shared" si="4"/>
        <v>0</v>
      </c>
      <c r="AG60" s="70">
        <f t="shared" si="5"/>
        <v>0</v>
      </c>
      <c r="AH60" s="109">
        <f t="shared" si="6"/>
        <v>0</v>
      </c>
      <c r="AI60" s="120">
        <f t="shared" si="7"/>
        <v>0</v>
      </c>
      <c r="AJ60" s="121">
        <f t="shared" si="8"/>
        <v>0</v>
      </c>
      <c r="AK60" s="121">
        <f t="shared" si="9"/>
        <v>0</v>
      </c>
      <c r="AL60" s="121">
        <f t="shared" si="10"/>
        <v>0</v>
      </c>
      <c r="AM60" s="122">
        <f t="shared" si="11"/>
        <v>0</v>
      </c>
      <c r="AN60" s="41">
        <f t="shared" si="12"/>
        <v>0</v>
      </c>
      <c r="AO60" s="70">
        <f t="shared" si="13"/>
        <v>0</v>
      </c>
      <c r="AP60" s="70">
        <f t="shared" si="14"/>
        <v>0</v>
      </c>
      <c r="AQ60" s="70">
        <f t="shared" si="15"/>
        <v>0</v>
      </c>
      <c r="AR60" s="70">
        <f t="shared" si="16"/>
        <v>0</v>
      </c>
    </row>
    <row r="61" spans="2:44" x14ac:dyDescent="0.25">
      <c r="B61" s="17">
        <v>59</v>
      </c>
      <c r="C61" s="10"/>
      <c r="D61" s="10"/>
      <c r="E61" s="72"/>
      <c r="F61" s="18"/>
      <c r="G61" s="10"/>
      <c r="H61" s="10"/>
      <c r="I61" s="10"/>
      <c r="J61" s="11"/>
      <c r="K61" s="11">
        <f t="shared" si="0"/>
        <v>0</v>
      </c>
      <c r="L61" s="37">
        <f t="shared" si="1"/>
        <v>0</v>
      </c>
      <c r="M61" s="11"/>
      <c r="N61" s="10"/>
      <c r="O61" s="21"/>
      <c r="P61" s="21"/>
      <c r="Q61" s="21"/>
      <c r="R61" s="23"/>
      <c r="S61" s="50"/>
      <c r="T61" s="48"/>
      <c r="U61" s="82"/>
      <c r="V61" s="26"/>
      <c r="W61" s="200"/>
      <c r="X61" s="17"/>
      <c r="Z61">
        <v>10</v>
      </c>
      <c r="AA61" s="416"/>
      <c r="AB61" s="96">
        <v>5</v>
      </c>
      <c r="AC61" s="56" t="s">
        <v>64</v>
      </c>
      <c r="AD61" s="41">
        <f t="shared" si="2"/>
        <v>0</v>
      </c>
      <c r="AE61" s="70">
        <f t="shared" si="3"/>
        <v>0</v>
      </c>
      <c r="AF61" s="70">
        <f t="shared" si="4"/>
        <v>0</v>
      </c>
      <c r="AG61" s="70">
        <f t="shared" si="5"/>
        <v>0</v>
      </c>
      <c r="AH61" s="109">
        <f t="shared" si="6"/>
        <v>0</v>
      </c>
      <c r="AI61" s="120">
        <f t="shared" si="7"/>
        <v>0</v>
      </c>
      <c r="AJ61" s="121">
        <f t="shared" si="8"/>
        <v>0</v>
      </c>
      <c r="AK61" s="121">
        <f t="shared" si="9"/>
        <v>0</v>
      </c>
      <c r="AL61" s="121">
        <f t="shared" si="10"/>
        <v>0</v>
      </c>
      <c r="AM61" s="122">
        <f t="shared" si="11"/>
        <v>0</v>
      </c>
      <c r="AN61" s="41">
        <f t="shared" si="12"/>
        <v>0</v>
      </c>
      <c r="AO61" s="70">
        <f t="shared" si="13"/>
        <v>0</v>
      </c>
      <c r="AP61" s="70">
        <f t="shared" si="14"/>
        <v>0</v>
      </c>
      <c r="AQ61" s="70">
        <f t="shared" si="15"/>
        <v>0</v>
      </c>
      <c r="AR61" s="70">
        <f t="shared" si="16"/>
        <v>0</v>
      </c>
    </row>
    <row r="62" spans="2:44" ht="14.25" thickBot="1" x14ac:dyDescent="0.3">
      <c r="B62" s="17">
        <v>60</v>
      </c>
      <c r="C62" s="10"/>
      <c r="D62" s="10"/>
      <c r="E62" s="72"/>
      <c r="F62" s="18"/>
      <c r="G62" s="10"/>
      <c r="H62" s="10"/>
      <c r="I62" s="10"/>
      <c r="J62" s="11"/>
      <c r="K62" s="11">
        <f t="shared" si="0"/>
        <v>0</v>
      </c>
      <c r="L62" s="37">
        <f t="shared" si="1"/>
        <v>0</v>
      </c>
      <c r="M62" s="11"/>
      <c r="N62" s="10"/>
      <c r="O62" s="21"/>
      <c r="P62" s="21"/>
      <c r="Q62" s="21"/>
      <c r="R62" s="23"/>
      <c r="S62" s="50"/>
      <c r="T62" s="48"/>
      <c r="U62" s="82"/>
      <c r="V62" s="26"/>
      <c r="W62" s="200"/>
      <c r="X62" s="17"/>
      <c r="Z62">
        <v>10</v>
      </c>
      <c r="AA62" s="417"/>
      <c r="AB62" s="97" t="s">
        <v>3</v>
      </c>
      <c r="AC62" s="106"/>
      <c r="AD62" s="99">
        <f>SUM(AD57:AD61)</f>
        <v>0</v>
      </c>
      <c r="AE62" s="99">
        <f t="shared" ref="AE62" si="147">SUM(AE57:AE61)</f>
        <v>0</v>
      </c>
      <c r="AF62" s="99">
        <f t="shared" ref="AF62" si="148">SUM(AF57:AF61)</f>
        <v>0</v>
      </c>
      <c r="AG62" s="99">
        <f t="shared" ref="AG62" si="149">SUM(AG57:AG61)</f>
        <v>0</v>
      </c>
      <c r="AH62" s="110">
        <f t="shared" ref="AH62" si="150">SUM(AH57:AH61)</f>
        <v>0</v>
      </c>
      <c r="AI62" s="123">
        <f t="shared" ref="AI62" si="151">SUM(AI57:AI61)</f>
        <v>0</v>
      </c>
      <c r="AJ62" s="124">
        <f t="shared" ref="AJ62" si="152">SUM(AJ57:AJ61)</f>
        <v>0</v>
      </c>
      <c r="AK62" s="124">
        <f t="shared" ref="AK62" si="153">SUM(AK57:AK61)</f>
        <v>0</v>
      </c>
      <c r="AL62" s="124">
        <f t="shared" ref="AL62" si="154">SUM(AL57:AL61)</f>
        <v>0</v>
      </c>
      <c r="AM62" s="125">
        <f t="shared" ref="AM62" si="155">SUM(AM57:AM61)</f>
        <v>0</v>
      </c>
      <c r="AN62" s="99">
        <f t="shared" ref="AN62" si="156">SUM(AN57:AN61)</f>
        <v>0</v>
      </c>
      <c r="AO62" s="99">
        <f t="shared" ref="AO62" si="157">SUM(AO57:AO61)</f>
        <v>0</v>
      </c>
      <c r="AP62" s="99">
        <f t="shared" ref="AP62" si="158">SUM(AP57:AP61)</f>
        <v>0</v>
      </c>
      <c r="AQ62" s="99">
        <f t="shared" ref="AQ62" si="159">SUM(AQ57:AQ61)</f>
        <v>0</v>
      </c>
      <c r="AR62" s="99">
        <f t="shared" ref="AR62" si="160">SUM(AR57:AR61)</f>
        <v>0</v>
      </c>
    </row>
    <row r="63" spans="2:44" x14ac:dyDescent="0.25">
      <c r="B63" s="17">
        <v>61</v>
      </c>
      <c r="C63" s="10"/>
      <c r="D63" s="10"/>
      <c r="E63" s="72"/>
      <c r="F63" s="18"/>
      <c r="G63" s="10"/>
      <c r="H63" s="10"/>
      <c r="I63" s="10"/>
      <c r="J63" s="11"/>
      <c r="K63" s="11">
        <f t="shared" si="0"/>
        <v>0</v>
      </c>
      <c r="L63" s="37">
        <f t="shared" si="1"/>
        <v>0</v>
      </c>
      <c r="M63" s="11"/>
      <c r="N63" s="10"/>
      <c r="O63" s="21"/>
      <c r="P63" s="21"/>
      <c r="Q63" s="21"/>
      <c r="R63" s="23"/>
      <c r="S63" s="50"/>
      <c r="T63" s="48"/>
      <c r="U63" s="82"/>
      <c r="V63" s="26"/>
      <c r="W63" s="200"/>
      <c r="X63" s="17"/>
      <c r="Z63">
        <v>11</v>
      </c>
      <c r="AA63" s="415">
        <v>11</v>
      </c>
      <c r="AB63" s="94">
        <v>1</v>
      </c>
      <c r="AC63" s="100" t="s">
        <v>129</v>
      </c>
      <c r="AD63" s="41">
        <f t="shared" si="2"/>
        <v>0</v>
      </c>
      <c r="AE63" s="70">
        <f t="shared" si="3"/>
        <v>0</v>
      </c>
      <c r="AF63" s="70">
        <f t="shared" si="4"/>
        <v>0</v>
      </c>
      <c r="AG63" s="70">
        <f t="shared" si="5"/>
        <v>0</v>
      </c>
      <c r="AH63" s="109">
        <f t="shared" si="6"/>
        <v>0</v>
      </c>
      <c r="AI63" s="120">
        <f t="shared" si="7"/>
        <v>0</v>
      </c>
      <c r="AJ63" s="121">
        <f t="shared" si="8"/>
        <v>0</v>
      </c>
      <c r="AK63" s="121">
        <f t="shared" si="9"/>
        <v>0</v>
      </c>
      <c r="AL63" s="121">
        <f t="shared" si="10"/>
        <v>0</v>
      </c>
      <c r="AM63" s="122">
        <f t="shared" si="11"/>
        <v>0</v>
      </c>
      <c r="AN63" s="41">
        <f t="shared" si="12"/>
        <v>0</v>
      </c>
      <c r="AO63" s="70">
        <f t="shared" si="13"/>
        <v>0</v>
      </c>
      <c r="AP63" s="70">
        <f t="shared" si="14"/>
        <v>0</v>
      </c>
      <c r="AQ63" s="70">
        <f t="shared" si="15"/>
        <v>0</v>
      </c>
      <c r="AR63" s="70">
        <f t="shared" si="16"/>
        <v>0</v>
      </c>
    </row>
    <row r="64" spans="2:44" x14ac:dyDescent="0.25">
      <c r="B64" s="17">
        <v>62</v>
      </c>
      <c r="C64" s="10"/>
      <c r="D64" s="10"/>
      <c r="E64" s="72"/>
      <c r="F64" s="18"/>
      <c r="G64" s="10"/>
      <c r="H64" s="10"/>
      <c r="I64" s="10"/>
      <c r="J64" s="11"/>
      <c r="K64" s="11">
        <f t="shared" si="0"/>
        <v>0</v>
      </c>
      <c r="L64" s="37">
        <f t="shared" si="1"/>
        <v>0</v>
      </c>
      <c r="M64" s="11"/>
      <c r="N64" s="10"/>
      <c r="O64" s="21"/>
      <c r="P64" s="21"/>
      <c r="Q64" s="21"/>
      <c r="R64" s="23"/>
      <c r="S64" s="50"/>
      <c r="T64" s="48"/>
      <c r="U64" s="82"/>
      <c r="V64" s="26"/>
      <c r="W64" s="200"/>
      <c r="X64" s="17"/>
      <c r="Z64">
        <v>11</v>
      </c>
      <c r="AA64" s="416"/>
      <c r="AB64" s="95">
        <v>2</v>
      </c>
      <c r="AC64" s="102" t="s">
        <v>65</v>
      </c>
      <c r="AD64" s="41">
        <f t="shared" si="2"/>
        <v>0</v>
      </c>
      <c r="AE64" s="70">
        <f t="shared" si="3"/>
        <v>0</v>
      </c>
      <c r="AF64" s="70">
        <f t="shared" si="4"/>
        <v>0</v>
      </c>
      <c r="AG64" s="70">
        <f t="shared" si="5"/>
        <v>0</v>
      </c>
      <c r="AH64" s="109">
        <f t="shared" si="6"/>
        <v>0</v>
      </c>
      <c r="AI64" s="120">
        <f t="shared" si="7"/>
        <v>0</v>
      </c>
      <c r="AJ64" s="121">
        <f t="shared" si="8"/>
        <v>0</v>
      </c>
      <c r="AK64" s="121">
        <f t="shared" si="9"/>
        <v>0</v>
      </c>
      <c r="AL64" s="121">
        <f t="shared" si="10"/>
        <v>0</v>
      </c>
      <c r="AM64" s="122">
        <f t="shared" si="11"/>
        <v>0</v>
      </c>
      <c r="AN64" s="41">
        <f t="shared" si="12"/>
        <v>0</v>
      </c>
      <c r="AO64" s="70">
        <f t="shared" si="13"/>
        <v>0</v>
      </c>
      <c r="AP64" s="70">
        <f t="shared" si="14"/>
        <v>0</v>
      </c>
      <c r="AQ64" s="70">
        <f t="shared" si="15"/>
        <v>0</v>
      </c>
      <c r="AR64" s="70">
        <f t="shared" si="16"/>
        <v>0</v>
      </c>
    </row>
    <row r="65" spans="2:44" x14ac:dyDescent="0.25">
      <c r="B65" s="17">
        <v>63</v>
      </c>
      <c r="C65" s="10"/>
      <c r="D65" s="10"/>
      <c r="E65" s="72"/>
      <c r="F65" s="18"/>
      <c r="G65" s="10"/>
      <c r="H65" s="10"/>
      <c r="I65" s="10"/>
      <c r="J65" s="11"/>
      <c r="K65" s="11">
        <f t="shared" si="0"/>
        <v>0</v>
      </c>
      <c r="L65" s="37">
        <f t="shared" si="1"/>
        <v>0</v>
      </c>
      <c r="M65" s="11"/>
      <c r="N65" s="10"/>
      <c r="O65" s="21"/>
      <c r="P65" s="21"/>
      <c r="Q65" s="21"/>
      <c r="R65" s="23"/>
      <c r="S65" s="50"/>
      <c r="T65" s="48"/>
      <c r="U65" s="82"/>
      <c r="V65" s="26"/>
      <c r="W65" s="200"/>
      <c r="X65" s="17"/>
      <c r="Z65">
        <v>11</v>
      </c>
      <c r="AA65" s="416"/>
      <c r="AB65" s="95">
        <v>3</v>
      </c>
      <c r="AC65" s="102" t="s">
        <v>66</v>
      </c>
      <c r="AD65" s="41">
        <f t="shared" si="2"/>
        <v>0</v>
      </c>
      <c r="AE65" s="70">
        <f t="shared" si="3"/>
        <v>0</v>
      </c>
      <c r="AF65" s="70">
        <f t="shared" si="4"/>
        <v>0</v>
      </c>
      <c r="AG65" s="70">
        <f t="shared" si="5"/>
        <v>0</v>
      </c>
      <c r="AH65" s="109">
        <f t="shared" si="6"/>
        <v>0</v>
      </c>
      <c r="AI65" s="120">
        <f t="shared" si="7"/>
        <v>0</v>
      </c>
      <c r="AJ65" s="121">
        <f t="shared" si="8"/>
        <v>0</v>
      </c>
      <c r="AK65" s="121">
        <f t="shared" si="9"/>
        <v>0</v>
      </c>
      <c r="AL65" s="121">
        <f t="shared" si="10"/>
        <v>0</v>
      </c>
      <c r="AM65" s="122">
        <f t="shared" si="11"/>
        <v>0</v>
      </c>
      <c r="AN65" s="41">
        <f t="shared" si="12"/>
        <v>0</v>
      </c>
      <c r="AO65" s="70">
        <f t="shared" si="13"/>
        <v>0</v>
      </c>
      <c r="AP65" s="70">
        <f t="shared" si="14"/>
        <v>0</v>
      </c>
      <c r="AQ65" s="70">
        <f t="shared" si="15"/>
        <v>0</v>
      </c>
      <c r="AR65" s="70">
        <f t="shared" si="16"/>
        <v>0</v>
      </c>
    </row>
    <row r="66" spans="2:44" x14ac:dyDescent="0.25">
      <c r="B66" s="17">
        <v>64</v>
      </c>
      <c r="C66" s="10"/>
      <c r="D66" s="10"/>
      <c r="E66" s="72"/>
      <c r="F66" s="18"/>
      <c r="G66" s="10"/>
      <c r="H66" s="10"/>
      <c r="I66" s="10"/>
      <c r="J66" s="11"/>
      <c r="K66" s="11">
        <f t="shared" si="0"/>
        <v>0</v>
      </c>
      <c r="L66" s="37">
        <f t="shared" si="1"/>
        <v>0</v>
      </c>
      <c r="M66" s="11"/>
      <c r="N66" s="10"/>
      <c r="O66" s="21"/>
      <c r="P66" s="21"/>
      <c r="Q66" s="21"/>
      <c r="R66" s="23"/>
      <c r="S66" s="50"/>
      <c r="T66" s="48"/>
      <c r="U66" s="82"/>
      <c r="V66" s="32"/>
      <c r="W66" s="200"/>
      <c r="X66" s="17"/>
      <c r="Z66">
        <v>11</v>
      </c>
      <c r="AA66" s="416"/>
      <c r="AB66" s="95">
        <v>4</v>
      </c>
      <c r="AC66" s="102" t="s">
        <v>67</v>
      </c>
      <c r="AD66" s="41">
        <f t="shared" si="2"/>
        <v>0</v>
      </c>
      <c r="AE66" s="70">
        <f t="shared" si="3"/>
        <v>0</v>
      </c>
      <c r="AF66" s="70">
        <f t="shared" si="4"/>
        <v>0</v>
      </c>
      <c r="AG66" s="70">
        <f t="shared" si="5"/>
        <v>0</v>
      </c>
      <c r="AH66" s="109">
        <f t="shared" si="6"/>
        <v>0</v>
      </c>
      <c r="AI66" s="120">
        <f t="shared" si="7"/>
        <v>0</v>
      </c>
      <c r="AJ66" s="121">
        <f t="shared" si="8"/>
        <v>0</v>
      </c>
      <c r="AK66" s="121">
        <f t="shared" si="9"/>
        <v>0</v>
      </c>
      <c r="AL66" s="121">
        <f t="shared" si="10"/>
        <v>0</v>
      </c>
      <c r="AM66" s="122">
        <f t="shared" si="11"/>
        <v>0</v>
      </c>
      <c r="AN66" s="41">
        <f t="shared" si="12"/>
        <v>0</v>
      </c>
      <c r="AO66" s="70">
        <f t="shared" si="13"/>
        <v>0</v>
      </c>
      <c r="AP66" s="70">
        <f t="shared" si="14"/>
        <v>0</v>
      </c>
      <c r="AQ66" s="70">
        <f t="shared" si="15"/>
        <v>0</v>
      </c>
      <c r="AR66" s="70">
        <f t="shared" si="16"/>
        <v>0</v>
      </c>
    </row>
    <row r="67" spans="2:44" x14ac:dyDescent="0.25">
      <c r="B67" s="17">
        <v>65</v>
      </c>
      <c r="C67" s="10"/>
      <c r="D67" s="10"/>
      <c r="E67" s="72"/>
      <c r="F67" s="18"/>
      <c r="G67" s="10"/>
      <c r="H67" s="10"/>
      <c r="I67" s="10"/>
      <c r="J67" s="11"/>
      <c r="K67" s="11">
        <f t="shared" si="0"/>
        <v>0</v>
      </c>
      <c r="L67" s="37">
        <f t="shared" si="1"/>
        <v>0</v>
      </c>
      <c r="M67" s="11"/>
      <c r="N67" s="10"/>
      <c r="O67" s="21"/>
      <c r="P67" s="21"/>
      <c r="Q67" s="21"/>
      <c r="R67" s="23"/>
      <c r="S67" s="50"/>
      <c r="T67" s="48"/>
      <c r="U67" s="82"/>
      <c r="V67" s="32"/>
      <c r="W67" s="200"/>
      <c r="X67" s="17"/>
      <c r="Z67">
        <v>11</v>
      </c>
      <c r="AA67" s="416"/>
      <c r="AB67" s="96">
        <v>5</v>
      </c>
      <c r="AC67" s="105"/>
      <c r="AD67" s="41">
        <f t="shared" si="2"/>
        <v>0</v>
      </c>
      <c r="AE67" s="70">
        <f t="shared" si="3"/>
        <v>0</v>
      </c>
      <c r="AF67" s="70">
        <f t="shared" si="4"/>
        <v>0</v>
      </c>
      <c r="AG67" s="70">
        <f t="shared" si="5"/>
        <v>0</v>
      </c>
      <c r="AH67" s="109">
        <f t="shared" si="6"/>
        <v>0</v>
      </c>
      <c r="AI67" s="120">
        <f t="shared" si="7"/>
        <v>0</v>
      </c>
      <c r="AJ67" s="121">
        <f t="shared" si="8"/>
        <v>0</v>
      </c>
      <c r="AK67" s="121">
        <f t="shared" si="9"/>
        <v>0</v>
      </c>
      <c r="AL67" s="121">
        <f t="shared" si="10"/>
        <v>0</v>
      </c>
      <c r="AM67" s="122">
        <f t="shared" si="11"/>
        <v>0</v>
      </c>
      <c r="AN67" s="41">
        <f t="shared" si="12"/>
        <v>0</v>
      </c>
      <c r="AO67" s="70">
        <f t="shared" si="13"/>
        <v>0</v>
      </c>
      <c r="AP67" s="70">
        <f t="shared" si="14"/>
        <v>0</v>
      </c>
      <c r="AQ67" s="70">
        <f t="shared" si="15"/>
        <v>0</v>
      </c>
      <c r="AR67" s="70">
        <f t="shared" si="16"/>
        <v>0</v>
      </c>
    </row>
    <row r="68" spans="2:44" ht="14.25" thickBot="1" x14ac:dyDescent="0.3">
      <c r="B68" s="17">
        <v>66</v>
      </c>
      <c r="C68" s="10"/>
      <c r="D68" s="10"/>
      <c r="E68" s="72"/>
      <c r="F68" s="18"/>
      <c r="G68" s="10"/>
      <c r="H68" s="10"/>
      <c r="I68" s="10"/>
      <c r="J68" s="11"/>
      <c r="K68" s="11">
        <f t="shared" ref="K68:K131" si="161">J68*1.1</f>
        <v>0</v>
      </c>
      <c r="L68" s="37">
        <f t="shared" ref="L68:L131" si="162">J68*0.00000001</f>
        <v>0</v>
      </c>
      <c r="M68" s="11"/>
      <c r="N68" s="10"/>
      <c r="O68" s="21"/>
      <c r="P68" s="21"/>
      <c r="Q68" s="21"/>
      <c r="R68" s="23"/>
      <c r="S68" s="50"/>
      <c r="T68" s="48"/>
      <c r="U68" s="82"/>
      <c r="V68" s="32"/>
      <c r="W68" s="200"/>
      <c r="X68" s="17"/>
      <c r="Z68">
        <v>11</v>
      </c>
      <c r="AA68" s="417"/>
      <c r="AB68" s="97" t="s">
        <v>3</v>
      </c>
      <c r="AC68" s="106"/>
      <c r="AD68" s="99">
        <f>SUM(AD63:AD67)</f>
        <v>0</v>
      </c>
      <c r="AE68" s="99">
        <f t="shared" ref="AE68" si="163">SUM(AE63:AE67)</f>
        <v>0</v>
      </c>
      <c r="AF68" s="99">
        <f t="shared" ref="AF68" si="164">SUM(AF63:AF67)</f>
        <v>0</v>
      </c>
      <c r="AG68" s="99">
        <f t="shared" ref="AG68" si="165">SUM(AG63:AG67)</f>
        <v>0</v>
      </c>
      <c r="AH68" s="110">
        <f t="shared" ref="AH68" si="166">SUM(AH63:AH67)</f>
        <v>0</v>
      </c>
      <c r="AI68" s="123">
        <f t="shared" ref="AI68" si="167">SUM(AI63:AI67)</f>
        <v>0</v>
      </c>
      <c r="AJ68" s="124">
        <f t="shared" ref="AJ68" si="168">SUM(AJ63:AJ67)</f>
        <v>0</v>
      </c>
      <c r="AK68" s="124">
        <f t="shared" ref="AK68" si="169">SUM(AK63:AK67)</f>
        <v>0</v>
      </c>
      <c r="AL68" s="124">
        <f t="shared" ref="AL68" si="170">SUM(AL63:AL67)</f>
        <v>0</v>
      </c>
      <c r="AM68" s="125">
        <f t="shared" ref="AM68" si="171">SUM(AM63:AM67)</f>
        <v>0</v>
      </c>
      <c r="AN68" s="99">
        <f t="shared" ref="AN68" si="172">SUM(AN63:AN67)</f>
        <v>0</v>
      </c>
      <c r="AO68" s="99">
        <f t="shared" ref="AO68" si="173">SUM(AO63:AO67)</f>
        <v>0</v>
      </c>
      <c r="AP68" s="99">
        <f t="shared" ref="AP68" si="174">SUM(AP63:AP67)</f>
        <v>0</v>
      </c>
      <c r="AQ68" s="99">
        <f t="shared" ref="AQ68" si="175">SUM(AQ63:AQ67)</f>
        <v>0</v>
      </c>
      <c r="AR68" s="99">
        <f t="shared" ref="AR68" si="176">SUM(AR63:AR67)</f>
        <v>0</v>
      </c>
    </row>
    <row r="69" spans="2:44" x14ac:dyDescent="0.25">
      <c r="B69" s="17">
        <v>67</v>
      </c>
      <c r="C69" s="10"/>
      <c r="D69" s="10"/>
      <c r="E69" s="72"/>
      <c r="F69" s="18"/>
      <c r="G69" s="10"/>
      <c r="H69" s="10"/>
      <c r="I69" s="10"/>
      <c r="J69" s="11"/>
      <c r="K69" s="11">
        <f t="shared" si="161"/>
        <v>0</v>
      </c>
      <c r="L69" s="37">
        <f t="shared" si="162"/>
        <v>0</v>
      </c>
      <c r="M69" s="11"/>
      <c r="N69" s="10"/>
      <c r="O69" s="21"/>
      <c r="P69" s="21"/>
      <c r="Q69" s="21"/>
      <c r="R69" s="23"/>
      <c r="S69" s="50"/>
      <c r="T69" s="48"/>
      <c r="U69" s="82"/>
      <c r="V69" s="32"/>
      <c r="W69" s="200"/>
      <c r="X69" s="17"/>
      <c r="Z69">
        <v>12</v>
      </c>
      <c r="AA69" s="422">
        <v>12</v>
      </c>
      <c r="AB69" s="98">
        <v>1</v>
      </c>
      <c r="AC69" s="107" t="s">
        <v>130</v>
      </c>
      <c r="AD69" s="41">
        <f t="shared" ref="AD69:AD73" si="177">SUM(AE69:AH69)</f>
        <v>0</v>
      </c>
      <c r="AE69" s="70">
        <f t="shared" ref="AE69:AE73" si="178">SUMIFS($I:$I,$C:$C, $AE$2,$G:$G,$Z69,$H:$H,$AB69)</f>
        <v>0</v>
      </c>
      <c r="AF69" s="70">
        <f t="shared" ref="AF69:AF73" si="179">SUMIFS($I:$I,$C:$C, $AF$2,$G:$G,$Z69,$H:$H,$AB69)</f>
        <v>0</v>
      </c>
      <c r="AG69" s="70">
        <f t="shared" ref="AG69:AG73" si="180">SUMIFS($I:$I,$C:$C, $AG$2,$G:$G,$Z69,$H:$H,$AB69)</f>
        <v>0</v>
      </c>
      <c r="AH69" s="109">
        <f t="shared" ref="AH69:AH73" si="181">SUMIFS($I:$I,$C:$C, $AH$2,$G:$G,$Z69,$H:$H,$AB69)</f>
        <v>0</v>
      </c>
      <c r="AI69" s="120">
        <f t="shared" ref="AI69:AI73" si="182">SUM(AJ69:AM69)</f>
        <v>0</v>
      </c>
      <c r="AJ69" s="121">
        <f t="shared" ref="AJ69:AJ73" si="183">COUNTIFS($C:$C, $AJ$2,$G:$G,$Z69,$H:$H,$AB69)</f>
        <v>0</v>
      </c>
      <c r="AK69" s="121">
        <f t="shared" ref="AK69:AK73" si="184">COUNTIFS($C:$C, $AK$2,$G:$G,$Z69,$H:$H,$AB69)</f>
        <v>0</v>
      </c>
      <c r="AL69" s="121">
        <f t="shared" ref="AL69:AL73" si="185">COUNTIFS($C:$C, $AL$2,$G:$G,$Z69,$H:$H,$AB69)</f>
        <v>0</v>
      </c>
      <c r="AM69" s="122">
        <f t="shared" ref="AM69:AM73" si="186">COUNTIFS($C:$C, $AM$2,$G:$G,$Z69,$H:$H,$AB69)</f>
        <v>0</v>
      </c>
      <c r="AN69" s="41">
        <f t="shared" ref="AN69:AN73" si="187">SUM(AO69:AR69)</f>
        <v>0</v>
      </c>
      <c r="AO69" s="70">
        <f t="shared" ref="AO69:AO73" si="188">SUMIFS($L:$L,$C:$C, $AO$2,$G:$G,$Z69,$H:$H,$AB69)</f>
        <v>0</v>
      </c>
      <c r="AP69" s="70">
        <f t="shared" ref="AP69:AP73" si="189">SUMIFS($L:$L,$C:$C, $AP$2,$G:$G,$Z69,$H:$H,$AB69)</f>
        <v>0</v>
      </c>
      <c r="AQ69" s="70">
        <f t="shared" ref="AQ69:AQ73" si="190">SUMIFS($L:$L,$C:$C, $AQ$2,$G:$G,$Z69,$H:$H,$AB69)</f>
        <v>0</v>
      </c>
      <c r="AR69" s="70">
        <f t="shared" ref="AR69:AR73" si="191">SUMIFS($L:$L,$C:$C, $AR$2,$G:$G,$Z69,$H:$H,$AB69)</f>
        <v>0</v>
      </c>
    </row>
    <row r="70" spans="2:44" x14ac:dyDescent="0.25">
      <c r="B70" s="17">
        <v>68</v>
      </c>
      <c r="C70" s="10"/>
      <c r="D70" s="10"/>
      <c r="E70" s="72"/>
      <c r="F70" s="18"/>
      <c r="G70" s="10"/>
      <c r="H70" s="10"/>
      <c r="I70" s="10"/>
      <c r="J70" s="11"/>
      <c r="K70" s="11">
        <f t="shared" si="161"/>
        <v>0</v>
      </c>
      <c r="L70" s="37">
        <f t="shared" si="162"/>
        <v>0</v>
      </c>
      <c r="M70" s="11"/>
      <c r="N70" s="10"/>
      <c r="O70" s="21"/>
      <c r="P70" s="21"/>
      <c r="Q70" s="21"/>
      <c r="R70" s="23"/>
      <c r="S70" s="50"/>
      <c r="T70" s="48"/>
      <c r="U70" s="82"/>
      <c r="V70" s="26"/>
      <c r="W70" s="200"/>
      <c r="X70" s="17"/>
      <c r="Z70">
        <v>12</v>
      </c>
      <c r="AA70" s="416"/>
      <c r="AB70" s="95">
        <v>2</v>
      </c>
      <c r="AC70" s="102" t="s">
        <v>125</v>
      </c>
      <c r="AD70" s="41">
        <f t="shared" si="177"/>
        <v>0</v>
      </c>
      <c r="AE70" s="70">
        <f t="shared" si="178"/>
        <v>0</v>
      </c>
      <c r="AF70" s="70">
        <f t="shared" si="179"/>
        <v>0</v>
      </c>
      <c r="AG70" s="70">
        <f t="shared" si="180"/>
        <v>0</v>
      </c>
      <c r="AH70" s="109">
        <f t="shared" si="181"/>
        <v>0</v>
      </c>
      <c r="AI70" s="120">
        <f t="shared" si="182"/>
        <v>0</v>
      </c>
      <c r="AJ70" s="121">
        <f t="shared" si="183"/>
        <v>0</v>
      </c>
      <c r="AK70" s="121">
        <f t="shared" si="184"/>
        <v>0</v>
      </c>
      <c r="AL70" s="121">
        <f t="shared" si="185"/>
        <v>0</v>
      </c>
      <c r="AM70" s="122">
        <f t="shared" si="186"/>
        <v>0</v>
      </c>
      <c r="AN70" s="41">
        <f t="shared" si="187"/>
        <v>0</v>
      </c>
      <c r="AO70" s="70">
        <f t="shared" si="188"/>
        <v>0</v>
      </c>
      <c r="AP70" s="70">
        <f t="shared" si="189"/>
        <v>0</v>
      </c>
      <c r="AQ70" s="70">
        <f t="shared" si="190"/>
        <v>0</v>
      </c>
      <c r="AR70" s="70">
        <f t="shared" si="191"/>
        <v>0</v>
      </c>
    </row>
    <row r="71" spans="2:44" x14ac:dyDescent="0.25">
      <c r="B71" s="17">
        <v>69</v>
      </c>
      <c r="C71" s="10"/>
      <c r="D71" s="10"/>
      <c r="E71" s="72"/>
      <c r="F71" s="18"/>
      <c r="G71" s="10"/>
      <c r="H71" s="10"/>
      <c r="I71" s="10"/>
      <c r="J71" s="11"/>
      <c r="K71" s="11">
        <f t="shared" si="161"/>
        <v>0</v>
      </c>
      <c r="L71" s="37">
        <f t="shared" si="162"/>
        <v>0</v>
      </c>
      <c r="M71" s="11"/>
      <c r="N71" s="10"/>
      <c r="O71" s="21"/>
      <c r="P71" s="21"/>
      <c r="Q71" s="21"/>
      <c r="R71" s="23"/>
      <c r="S71" s="50"/>
      <c r="T71" s="48"/>
      <c r="U71" s="82"/>
      <c r="V71" s="26"/>
      <c r="W71" s="200"/>
      <c r="X71" s="17"/>
      <c r="Z71">
        <v>12</v>
      </c>
      <c r="AA71" s="416"/>
      <c r="AB71" s="95">
        <v>3</v>
      </c>
      <c r="AC71" s="102" t="s">
        <v>126</v>
      </c>
      <c r="AD71" s="41">
        <f t="shared" si="177"/>
        <v>0</v>
      </c>
      <c r="AE71" s="70">
        <f t="shared" si="178"/>
        <v>0</v>
      </c>
      <c r="AF71" s="70">
        <f t="shared" si="179"/>
        <v>0</v>
      </c>
      <c r="AG71" s="70">
        <f t="shared" si="180"/>
        <v>0</v>
      </c>
      <c r="AH71" s="109">
        <f t="shared" si="181"/>
        <v>0</v>
      </c>
      <c r="AI71" s="120">
        <f t="shared" si="182"/>
        <v>0</v>
      </c>
      <c r="AJ71" s="121">
        <f t="shared" si="183"/>
        <v>0</v>
      </c>
      <c r="AK71" s="121">
        <f t="shared" si="184"/>
        <v>0</v>
      </c>
      <c r="AL71" s="121">
        <f t="shared" si="185"/>
        <v>0</v>
      </c>
      <c r="AM71" s="122">
        <f t="shared" si="186"/>
        <v>0</v>
      </c>
      <c r="AN71" s="41">
        <f t="shared" si="187"/>
        <v>0</v>
      </c>
      <c r="AO71" s="70">
        <f t="shared" si="188"/>
        <v>0</v>
      </c>
      <c r="AP71" s="70">
        <f t="shared" si="189"/>
        <v>0</v>
      </c>
      <c r="AQ71" s="70">
        <f t="shared" si="190"/>
        <v>0</v>
      </c>
      <c r="AR71" s="70">
        <f t="shared" si="191"/>
        <v>0</v>
      </c>
    </row>
    <row r="72" spans="2:44" x14ac:dyDescent="0.25">
      <c r="B72" s="17">
        <v>70</v>
      </c>
      <c r="C72" s="10"/>
      <c r="D72" s="10"/>
      <c r="E72" s="72"/>
      <c r="F72" s="18"/>
      <c r="G72" s="10"/>
      <c r="H72" s="10"/>
      <c r="I72" s="10"/>
      <c r="J72" s="11"/>
      <c r="K72" s="11">
        <f t="shared" si="161"/>
        <v>0</v>
      </c>
      <c r="L72" s="37">
        <f t="shared" si="162"/>
        <v>0</v>
      </c>
      <c r="M72" s="11"/>
      <c r="N72" s="10"/>
      <c r="O72" s="21"/>
      <c r="P72" s="21"/>
      <c r="Q72" s="21"/>
      <c r="R72" s="23"/>
      <c r="S72" s="50"/>
      <c r="T72" s="48"/>
      <c r="U72" s="82"/>
      <c r="V72" s="26"/>
      <c r="W72" s="200"/>
      <c r="X72" s="17"/>
      <c r="Z72">
        <v>12</v>
      </c>
      <c r="AA72" s="416"/>
      <c r="AB72" s="95">
        <v>4</v>
      </c>
      <c r="AC72" s="102" t="s">
        <v>127</v>
      </c>
      <c r="AD72" s="41">
        <f t="shared" si="177"/>
        <v>0</v>
      </c>
      <c r="AE72" s="70">
        <f t="shared" si="178"/>
        <v>0</v>
      </c>
      <c r="AF72" s="70">
        <f t="shared" si="179"/>
        <v>0</v>
      </c>
      <c r="AG72" s="70">
        <f t="shared" si="180"/>
        <v>0</v>
      </c>
      <c r="AH72" s="109">
        <f t="shared" si="181"/>
        <v>0</v>
      </c>
      <c r="AI72" s="120">
        <f t="shared" si="182"/>
        <v>0</v>
      </c>
      <c r="AJ72" s="121">
        <f t="shared" si="183"/>
        <v>0</v>
      </c>
      <c r="AK72" s="121">
        <f t="shared" si="184"/>
        <v>0</v>
      </c>
      <c r="AL72" s="121">
        <f t="shared" si="185"/>
        <v>0</v>
      </c>
      <c r="AM72" s="122">
        <f t="shared" si="186"/>
        <v>0</v>
      </c>
      <c r="AN72" s="41">
        <f t="shared" si="187"/>
        <v>0</v>
      </c>
      <c r="AO72" s="70">
        <f t="shared" si="188"/>
        <v>0</v>
      </c>
      <c r="AP72" s="70">
        <f t="shared" si="189"/>
        <v>0</v>
      </c>
      <c r="AQ72" s="70">
        <f t="shared" si="190"/>
        <v>0</v>
      </c>
      <c r="AR72" s="70">
        <f t="shared" si="191"/>
        <v>0</v>
      </c>
    </row>
    <row r="73" spans="2:44" x14ac:dyDescent="0.25">
      <c r="B73" s="17">
        <v>71</v>
      </c>
      <c r="C73" s="10"/>
      <c r="D73" s="10"/>
      <c r="E73" s="72"/>
      <c r="F73" s="18"/>
      <c r="G73" s="10"/>
      <c r="H73" s="10"/>
      <c r="I73" s="10"/>
      <c r="J73" s="11"/>
      <c r="K73" s="11">
        <f t="shared" si="161"/>
        <v>0</v>
      </c>
      <c r="L73" s="37">
        <f t="shared" si="162"/>
        <v>0</v>
      </c>
      <c r="M73" s="11"/>
      <c r="N73" s="10"/>
      <c r="O73" s="21"/>
      <c r="P73" s="21"/>
      <c r="Q73" s="21"/>
      <c r="R73" s="23"/>
      <c r="S73" s="50"/>
      <c r="T73" s="48"/>
      <c r="U73" s="82"/>
      <c r="V73" s="26"/>
      <c r="W73" s="200"/>
      <c r="X73" s="17"/>
      <c r="Z73">
        <v>12</v>
      </c>
      <c r="AA73" s="416"/>
      <c r="AB73" s="96">
        <v>5</v>
      </c>
      <c r="AC73" s="105" t="s">
        <v>131</v>
      </c>
      <c r="AD73" s="41">
        <f t="shared" si="177"/>
        <v>0</v>
      </c>
      <c r="AE73" s="70">
        <f t="shared" si="178"/>
        <v>0</v>
      </c>
      <c r="AF73" s="70">
        <f t="shared" si="179"/>
        <v>0</v>
      </c>
      <c r="AG73" s="70">
        <f t="shared" si="180"/>
        <v>0</v>
      </c>
      <c r="AH73" s="109">
        <f t="shared" si="181"/>
        <v>0</v>
      </c>
      <c r="AI73" s="120">
        <f t="shared" si="182"/>
        <v>0</v>
      </c>
      <c r="AJ73" s="121">
        <f t="shared" si="183"/>
        <v>0</v>
      </c>
      <c r="AK73" s="121">
        <f t="shared" si="184"/>
        <v>0</v>
      </c>
      <c r="AL73" s="121">
        <f t="shared" si="185"/>
        <v>0</v>
      </c>
      <c r="AM73" s="122">
        <f t="shared" si="186"/>
        <v>0</v>
      </c>
      <c r="AN73" s="41">
        <f t="shared" si="187"/>
        <v>0</v>
      </c>
      <c r="AO73" s="70">
        <f t="shared" si="188"/>
        <v>0</v>
      </c>
      <c r="AP73" s="70">
        <f t="shared" si="189"/>
        <v>0</v>
      </c>
      <c r="AQ73" s="70">
        <f t="shared" si="190"/>
        <v>0</v>
      </c>
      <c r="AR73" s="70">
        <f t="shared" si="191"/>
        <v>0</v>
      </c>
    </row>
    <row r="74" spans="2:44" ht="14.25" thickBot="1" x14ac:dyDescent="0.3">
      <c r="B74" s="17">
        <v>72</v>
      </c>
      <c r="C74" s="10"/>
      <c r="D74" s="10"/>
      <c r="E74" s="72"/>
      <c r="F74" s="18"/>
      <c r="G74" s="10"/>
      <c r="H74" s="10"/>
      <c r="I74" s="10"/>
      <c r="J74" s="11"/>
      <c r="K74" s="11">
        <f t="shared" si="161"/>
        <v>0</v>
      </c>
      <c r="L74" s="37">
        <f t="shared" si="162"/>
        <v>0</v>
      </c>
      <c r="M74" s="11"/>
      <c r="N74" s="10"/>
      <c r="O74" s="21"/>
      <c r="P74" s="21"/>
      <c r="Q74" s="21"/>
      <c r="R74" s="23"/>
      <c r="S74" s="50"/>
      <c r="T74" s="48"/>
      <c r="U74" s="82"/>
      <c r="V74" s="26"/>
      <c r="W74" s="200"/>
      <c r="X74" s="17"/>
      <c r="Z74">
        <v>12</v>
      </c>
      <c r="AA74" s="417"/>
      <c r="AB74" s="97" t="s">
        <v>3</v>
      </c>
      <c r="AC74" s="106"/>
      <c r="AD74" s="99">
        <f>SUM(AD69:AD73)</f>
        <v>0</v>
      </c>
      <c r="AE74" s="99">
        <f t="shared" ref="AE74:AR74" si="192">SUM(AE69:AE73)</f>
        <v>0</v>
      </c>
      <c r="AF74" s="99">
        <f t="shared" si="192"/>
        <v>0</v>
      </c>
      <c r="AG74" s="99">
        <f t="shared" si="192"/>
        <v>0</v>
      </c>
      <c r="AH74" s="110">
        <f t="shared" si="192"/>
        <v>0</v>
      </c>
      <c r="AI74" s="123">
        <f t="shared" si="192"/>
        <v>0</v>
      </c>
      <c r="AJ74" s="124">
        <f t="shared" si="192"/>
        <v>0</v>
      </c>
      <c r="AK74" s="124">
        <f t="shared" si="192"/>
        <v>0</v>
      </c>
      <c r="AL74" s="124">
        <f t="shared" si="192"/>
        <v>0</v>
      </c>
      <c r="AM74" s="125">
        <f t="shared" si="192"/>
        <v>0</v>
      </c>
      <c r="AN74" s="99">
        <f t="shared" si="192"/>
        <v>0</v>
      </c>
      <c r="AO74" s="99">
        <f t="shared" si="192"/>
        <v>0</v>
      </c>
      <c r="AP74" s="99">
        <f t="shared" si="192"/>
        <v>0</v>
      </c>
      <c r="AQ74" s="99">
        <f t="shared" si="192"/>
        <v>0</v>
      </c>
      <c r="AR74" s="99">
        <f t="shared" si="192"/>
        <v>0</v>
      </c>
    </row>
    <row r="75" spans="2:44" ht="17.25" thickBot="1" x14ac:dyDescent="0.3">
      <c r="B75" s="17">
        <v>73</v>
      </c>
      <c r="C75" s="10"/>
      <c r="D75" s="10"/>
      <c r="E75" s="72"/>
      <c r="F75" s="18"/>
      <c r="G75" s="10"/>
      <c r="H75" s="10"/>
      <c r="I75" s="10"/>
      <c r="J75" s="11"/>
      <c r="K75" s="11">
        <f t="shared" si="161"/>
        <v>0</v>
      </c>
      <c r="L75" s="37">
        <f t="shared" si="162"/>
        <v>0</v>
      </c>
      <c r="M75" s="11"/>
      <c r="N75" s="10"/>
      <c r="O75" s="21"/>
      <c r="P75" s="21"/>
      <c r="Q75" s="21"/>
      <c r="R75" s="23"/>
      <c r="S75" s="50"/>
      <c r="T75" s="48"/>
      <c r="U75" s="82"/>
      <c r="V75" s="32"/>
      <c r="W75" s="200"/>
      <c r="X75" s="17"/>
      <c r="AA75" s="418" t="s">
        <v>36</v>
      </c>
      <c r="AB75" s="419"/>
      <c r="AC75" s="108"/>
      <c r="AD75" s="90">
        <f>SUM(AD8,AD14,AD20,AD26,AD32,AD38,AD44,AD50,AD56,AD62,AD68,AD74)</f>
        <v>0</v>
      </c>
      <c r="AE75" s="90"/>
      <c r="AF75" s="90"/>
      <c r="AG75" s="91"/>
      <c r="AH75" s="91"/>
      <c r="AI75" s="126"/>
      <c r="AJ75" s="127"/>
      <c r="AK75" s="127"/>
      <c r="AL75" s="127"/>
      <c r="AM75" s="128"/>
      <c r="AN75" s="92"/>
      <c r="AO75" s="92"/>
      <c r="AP75" s="92"/>
      <c r="AQ75" s="92"/>
      <c r="AR75" s="93"/>
    </row>
    <row r="76" spans="2:44" x14ac:dyDescent="0.25">
      <c r="B76" s="17">
        <v>74</v>
      </c>
      <c r="C76" s="10"/>
      <c r="D76" s="10"/>
      <c r="E76" s="72"/>
      <c r="F76" s="18"/>
      <c r="G76" s="10"/>
      <c r="H76" s="10"/>
      <c r="I76" s="10"/>
      <c r="J76" s="11"/>
      <c r="K76" s="11">
        <f t="shared" si="161"/>
        <v>0</v>
      </c>
      <c r="L76" s="37">
        <f t="shared" si="162"/>
        <v>0</v>
      </c>
      <c r="M76" s="11"/>
      <c r="N76" s="10"/>
      <c r="O76" s="21"/>
      <c r="P76" s="21"/>
      <c r="Q76" s="21"/>
      <c r="R76" s="23"/>
      <c r="S76" s="50"/>
      <c r="T76" s="48"/>
      <c r="U76" s="82"/>
      <c r="V76" s="32"/>
      <c r="W76" s="200"/>
      <c r="X76" s="17"/>
    </row>
    <row r="77" spans="2:44" x14ac:dyDescent="0.25">
      <c r="B77" s="17">
        <v>75</v>
      </c>
      <c r="C77" s="10"/>
      <c r="D77" s="10"/>
      <c r="E77" s="72"/>
      <c r="F77" s="18"/>
      <c r="G77" s="10"/>
      <c r="H77" s="10"/>
      <c r="I77" s="10"/>
      <c r="J77" s="11"/>
      <c r="K77" s="11">
        <f t="shared" si="161"/>
        <v>0</v>
      </c>
      <c r="L77" s="37">
        <f t="shared" si="162"/>
        <v>0</v>
      </c>
      <c r="M77" s="11"/>
      <c r="N77" s="10"/>
      <c r="O77" s="21"/>
      <c r="P77" s="21"/>
      <c r="Q77" s="21"/>
      <c r="R77" s="23"/>
      <c r="S77" s="50"/>
      <c r="T77" s="48"/>
      <c r="U77" s="82"/>
      <c r="V77" s="26"/>
      <c r="W77" s="200"/>
      <c r="X77" s="17"/>
    </row>
    <row r="78" spans="2:44" x14ac:dyDescent="0.25">
      <c r="B78" s="17">
        <v>76</v>
      </c>
      <c r="C78" s="10"/>
      <c r="D78" s="10"/>
      <c r="E78" s="72"/>
      <c r="F78" s="18"/>
      <c r="G78" s="10"/>
      <c r="H78" s="10"/>
      <c r="I78" s="10"/>
      <c r="J78" s="11"/>
      <c r="K78" s="11">
        <f t="shared" si="161"/>
        <v>0</v>
      </c>
      <c r="L78" s="37">
        <f t="shared" si="162"/>
        <v>0</v>
      </c>
      <c r="M78" s="11"/>
      <c r="N78" s="10"/>
      <c r="O78" s="21"/>
      <c r="P78" s="21"/>
      <c r="Q78" s="21"/>
      <c r="R78" s="23"/>
      <c r="S78" s="50"/>
      <c r="T78" s="48"/>
      <c r="U78" s="82"/>
      <c r="V78" s="26"/>
      <c r="W78" s="200"/>
      <c r="X78" s="17"/>
    </row>
    <row r="79" spans="2:44" x14ac:dyDescent="0.25">
      <c r="B79" s="17">
        <v>77</v>
      </c>
      <c r="C79" s="10"/>
      <c r="D79" s="10"/>
      <c r="E79" s="72"/>
      <c r="F79" s="18"/>
      <c r="G79" s="10"/>
      <c r="H79" s="10"/>
      <c r="I79" s="10"/>
      <c r="J79" s="11"/>
      <c r="K79" s="11">
        <f t="shared" si="161"/>
        <v>0</v>
      </c>
      <c r="L79" s="37">
        <f t="shared" si="162"/>
        <v>0</v>
      </c>
      <c r="M79" s="11"/>
      <c r="N79" s="10"/>
      <c r="O79" s="21"/>
      <c r="P79" s="21"/>
      <c r="Q79" s="21"/>
      <c r="R79" s="23"/>
      <c r="S79" s="50"/>
      <c r="T79" s="48"/>
      <c r="U79" s="82"/>
      <c r="V79" s="26"/>
      <c r="W79" s="200"/>
      <c r="X79" s="17"/>
    </row>
    <row r="80" spans="2:44" x14ac:dyDescent="0.25">
      <c r="B80" s="17">
        <v>78</v>
      </c>
      <c r="C80" s="10"/>
      <c r="D80" s="10"/>
      <c r="E80" s="72"/>
      <c r="F80" s="18"/>
      <c r="G80" s="10"/>
      <c r="H80" s="10"/>
      <c r="I80" s="10"/>
      <c r="J80" s="11"/>
      <c r="K80" s="11">
        <f t="shared" si="161"/>
        <v>0</v>
      </c>
      <c r="L80" s="37">
        <f t="shared" si="162"/>
        <v>0</v>
      </c>
      <c r="M80" s="11"/>
      <c r="N80" s="10"/>
      <c r="O80" s="21"/>
      <c r="P80" s="21"/>
      <c r="Q80" s="21"/>
      <c r="R80" s="23"/>
      <c r="S80" s="50"/>
      <c r="T80" s="48"/>
      <c r="U80" s="82"/>
      <c r="V80" s="26"/>
      <c r="W80" s="200"/>
      <c r="X80" s="17"/>
    </row>
    <row r="81" spans="2:24" x14ac:dyDescent="0.25">
      <c r="B81" s="17">
        <v>79</v>
      </c>
      <c r="C81" s="10"/>
      <c r="D81" s="10"/>
      <c r="E81" s="72"/>
      <c r="F81" s="18"/>
      <c r="G81" s="10"/>
      <c r="H81" s="10"/>
      <c r="I81" s="10"/>
      <c r="J81" s="11"/>
      <c r="K81" s="11">
        <f t="shared" si="161"/>
        <v>0</v>
      </c>
      <c r="L81" s="37">
        <f t="shared" si="162"/>
        <v>0</v>
      </c>
      <c r="M81" s="11"/>
      <c r="N81" s="10"/>
      <c r="O81" s="21"/>
      <c r="P81" s="21"/>
      <c r="Q81" s="21"/>
      <c r="R81" s="23"/>
      <c r="S81" s="50"/>
      <c r="T81" s="48"/>
      <c r="U81" s="82"/>
      <c r="V81" s="32"/>
      <c r="W81" s="200"/>
      <c r="X81" s="17"/>
    </row>
    <row r="82" spans="2:24" x14ac:dyDescent="0.25">
      <c r="B82" s="17">
        <v>80</v>
      </c>
      <c r="C82" s="10"/>
      <c r="D82" s="10"/>
      <c r="E82" s="72"/>
      <c r="F82" s="18"/>
      <c r="G82" s="10"/>
      <c r="H82" s="10"/>
      <c r="I82" s="10"/>
      <c r="J82" s="11"/>
      <c r="K82" s="11">
        <f t="shared" si="161"/>
        <v>0</v>
      </c>
      <c r="L82" s="37">
        <f t="shared" si="162"/>
        <v>0</v>
      </c>
      <c r="M82" s="11"/>
      <c r="N82" s="10"/>
      <c r="O82" s="21"/>
      <c r="P82" s="21"/>
      <c r="Q82" s="21"/>
      <c r="R82" s="23"/>
      <c r="S82" s="50"/>
      <c r="T82" s="48"/>
      <c r="U82" s="82"/>
      <c r="V82" s="32"/>
      <c r="W82" s="200"/>
      <c r="X82" s="17"/>
    </row>
    <row r="83" spans="2:24" x14ac:dyDescent="0.25">
      <c r="B83" s="17">
        <v>81</v>
      </c>
      <c r="C83" s="10"/>
      <c r="D83" s="10"/>
      <c r="E83" s="72"/>
      <c r="F83" s="18"/>
      <c r="G83" s="10"/>
      <c r="H83" s="10"/>
      <c r="I83" s="10"/>
      <c r="J83" s="11"/>
      <c r="K83" s="11">
        <f t="shared" si="161"/>
        <v>0</v>
      </c>
      <c r="L83" s="37">
        <f t="shared" si="162"/>
        <v>0</v>
      </c>
      <c r="M83" s="11"/>
      <c r="N83" s="10"/>
      <c r="O83" s="21"/>
      <c r="P83" s="21"/>
      <c r="Q83" s="21"/>
      <c r="R83" s="23"/>
      <c r="S83" s="50"/>
      <c r="T83" s="48"/>
      <c r="U83" s="82"/>
      <c r="V83" s="26"/>
      <c r="W83" s="200"/>
      <c r="X83" s="17"/>
    </row>
    <row r="84" spans="2:24" x14ac:dyDescent="0.25">
      <c r="B84" s="17">
        <v>82</v>
      </c>
      <c r="C84" s="10"/>
      <c r="D84" s="10"/>
      <c r="E84" s="72"/>
      <c r="F84" s="18"/>
      <c r="G84" s="10"/>
      <c r="H84" s="10"/>
      <c r="I84" s="10"/>
      <c r="J84" s="11"/>
      <c r="K84" s="11">
        <f t="shared" si="161"/>
        <v>0</v>
      </c>
      <c r="L84" s="37">
        <f t="shared" si="162"/>
        <v>0</v>
      </c>
      <c r="M84" s="11"/>
      <c r="N84" s="10"/>
      <c r="O84" s="21"/>
      <c r="P84" s="21"/>
      <c r="Q84" s="21"/>
      <c r="R84" s="23"/>
      <c r="S84" s="50"/>
      <c r="T84" s="48"/>
      <c r="U84" s="82"/>
      <c r="V84" s="26"/>
      <c r="W84" s="200"/>
      <c r="X84" s="17"/>
    </row>
    <row r="85" spans="2:24" x14ac:dyDescent="0.25">
      <c r="B85" s="17">
        <v>83</v>
      </c>
      <c r="C85" s="10"/>
      <c r="D85" s="10"/>
      <c r="E85" s="72"/>
      <c r="F85" s="18"/>
      <c r="G85" s="10"/>
      <c r="H85" s="10"/>
      <c r="I85" s="10"/>
      <c r="J85" s="11"/>
      <c r="K85" s="11">
        <f t="shared" si="161"/>
        <v>0</v>
      </c>
      <c r="L85" s="37">
        <f t="shared" si="162"/>
        <v>0</v>
      </c>
      <c r="M85" s="11"/>
      <c r="N85" s="10"/>
      <c r="O85" s="21"/>
      <c r="P85" s="21"/>
      <c r="Q85" s="21"/>
      <c r="R85" s="23"/>
      <c r="S85" s="50"/>
      <c r="T85" s="48"/>
      <c r="U85" s="82"/>
      <c r="V85" s="26"/>
      <c r="W85" s="200"/>
      <c r="X85" s="17"/>
    </row>
    <row r="86" spans="2:24" x14ac:dyDescent="0.25">
      <c r="B86" s="17">
        <v>84</v>
      </c>
      <c r="C86" s="10"/>
      <c r="D86" s="10"/>
      <c r="E86" s="72"/>
      <c r="F86" s="18"/>
      <c r="G86" s="10"/>
      <c r="H86" s="10"/>
      <c r="I86" s="10"/>
      <c r="J86" s="11"/>
      <c r="K86" s="11">
        <f t="shared" si="161"/>
        <v>0</v>
      </c>
      <c r="L86" s="37">
        <f t="shared" si="162"/>
        <v>0</v>
      </c>
      <c r="M86" s="11"/>
      <c r="N86" s="10"/>
      <c r="O86" s="21"/>
      <c r="P86" s="21"/>
      <c r="Q86" s="21"/>
      <c r="R86" s="23"/>
      <c r="S86" s="50"/>
      <c r="T86" s="48"/>
      <c r="U86" s="82"/>
      <c r="V86" s="26"/>
      <c r="W86" s="200"/>
      <c r="X86" s="17"/>
    </row>
    <row r="87" spans="2:24" x14ac:dyDescent="0.25">
      <c r="B87" s="17">
        <v>85</v>
      </c>
      <c r="C87" s="10"/>
      <c r="D87" s="10"/>
      <c r="E87" s="72"/>
      <c r="F87" s="18"/>
      <c r="G87" s="10"/>
      <c r="H87" s="10"/>
      <c r="I87" s="10"/>
      <c r="J87" s="11"/>
      <c r="K87" s="11">
        <f t="shared" si="161"/>
        <v>0</v>
      </c>
      <c r="L87" s="37">
        <f t="shared" si="162"/>
        <v>0</v>
      </c>
      <c r="M87" s="11"/>
      <c r="N87" s="10"/>
      <c r="O87" s="21"/>
      <c r="P87" s="21"/>
      <c r="Q87" s="21"/>
      <c r="R87" s="23"/>
      <c r="S87" s="50"/>
      <c r="T87" s="48"/>
      <c r="U87" s="82"/>
      <c r="V87" s="26"/>
      <c r="W87" s="200"/>
      <c r="X87" s="17"/>
    </row>
    <row r="88" spans="2:24" x14ac:dyDescent="0.25">
      <c r="B88" s="17">
        <v>86</v>
      </c>
      <c r="C88" s="10"/>
      <c r="D88" s="10"/>
      <c r="E88" s="72"/>
      <c r="F88" s="18"/>
      <c r="G88" s="10"/>
      <c r="H88" s="10"/>
      <c r="I88" s="10"/>
      <c r="J88" s="11"/>
      <c r="K88" s="11">
        <f t="shared" si="161"/>
        <v>0</v>
      </c>
      <c r="L88" s="37">
        <f t="shared" si="162"/>
        <v>0</v>
      </c>
      <c r="M88" s="11"/>
      <c r="N88" s="10"/>
      <c r="O88" s="21"/>
      <c r="P88" s="21"/>
      <c r="Q88" s="21"/>
      <c r="R88" s="23"/>
      <c r="S88" s="50"/>
      <c r="T88" s="48"/>
      <c r="U88" s="82"/>
      <c r="V88" s="32"/>
      <c r="W88" s="200"/>
      <c r="X88" s="17"/>
    </row>
    <row r="89" spans="2:24" x14ac:dyDescent="0.25">
      <c r="B89" s="17">
        <v>87</v>
      </c>
      <c r="C89" s="10"/>
      <c r="D89" s="10"/>
      <c r="E89" s="72"/>
      <c r="F89" s="18"/>
      <c r="G89" s="10"/>
      <c r="H89" s="10"/>
      <c r="I89" s="10"/>
      <c r="J89" s="11"/>
      <c r="K89" s="11">
        <f t="shared" si="161"/>
        <v>0</v>
      </c>
      <c r="L89" s="37">
        <f t="shared" si="162"/>
        <v>0</v>
      </c>
      <c r="M89" s="11"/>
      <c r="N89" s="10"/>
      <c r="O89" s="21"/>
      <c r="P89" s="21"/>
      <c r="Q89" s="21"/>
      <c r="R89" s="23"/>
      <c r="S89" s="50"/>
      <c r="T89" s="48"/>
      <c r="U89" s="82"/>
      <c r="V89" s="32"/>
      <c r="W89" s="200"/>
      <c r="X89" s="17"/>
    </row>
    <row r="90" spans="2:24" x14ac:dyDescent="0.25">
      <c r="B90" s="17">
        <v>88</v>
      </c>
      <c r="C90" s="10"/>
      <c r="D90" s="10"/>
      <c r="E90" s="72"/>
      <c r="F90" s="18"/>
      <c r="G90" s="10"/>
      <c r="H90" s="10"/>
      <c r="I90" s="10"/>
      <c r="J90" s="11"/>
      <c r="K90" s="11">
        <f t="shared" si="161"/>
        <v>0</v>
      </c>
      <c r="L90" s="37">
        <f t="shared" si="162"/>
        <v>0</v>
      </c>
      <c r="M90" s="11"/>
      <c r="N90" s="10"/>
      <c r="O90" s="21"/>
      <c r="P90" s="21"/>
      <c r="Q90" s="21"/>
      <c r="R90" s="23"/>
      <c r="S90" s="50"/>
      <c r="T90" s="48"/>
      <c r="U90" s="82"/>
      <c r="V90" s="26"/>
      <c r="W90" s="200"/>
      <c r="X90" s="17"/>
    </row>
    <row r="91" spans="2:24" x14ac:dyDescent="0.25">
      <c r="B91" s="17">
        <v>89</v>
      </c>
      <c r="C91" s="10"/>
      <c r="D91" s="10"/>
      <c r="E91" s="72"/>
      <c r="F91" s="18"/>
      <c r="G91" s="10"/>
      <c r="H91" s="10"/>
      <c r="I91" s="10"/>
      <c r="J91" s="11"/>
      <c r="K91" s="11">
        <f t="shared" si="161"/>
        <v>0</v>
      </c>
      <c r="L91" s="37">
        <f t="shared" si="162"/>
        <v>0</v>
      </c>
      <c r="M91" s="11"/>
      <c r="N91" s="10"/>
      <c r="O91" s="21"/>
      <c r="P91" s="21"/>
      <c r="Q91" s="21"/>
      <c r="R91" s="23"/>
      <c r="S91" s="50"/>
      <c r="T91" s="48"/>
      <c r="U91" s="82"/>
      <c r="V91" s="26"/>
      <c r="W91" s="200"/>
      <c r="X91" s="17"/>
    </row>
    <row r="92" spans="2:24" x14ac:dyDescent="0.25">
      <c r="B92" s="17">
        <v>90</v>
      </c>
      <c r="C92" s="10"/>
      <c r="D92" s="10"/>
      <c r="E92" s="72"/>
      <c r="F92" s="18"/>
      <c r="G92" s="10"/>
      <c r="H92" s="10"/>
      <c r="I92" s="10"/>
      <c r="J92" s="11"/>
      <c r="K92" s="11">
        <f t="shared" si="161"/>
        <v>0</v>
      </c>
      <c r="L92" s="37">
        <f t="shared" si="162"/>
        <v>0</v>
      </c>
      <c r="M92" s="11"/>
      <c r="N92" s="10"/>
      <c r="O92" s="21"/>
      <c r="P92" s="21"/>
      <c r="Q92" s="21"/>
      <c r="R92" s="23"/>
      <c r="S92" s="50"/>
      <c r="T92" s="48"/>
      <c r="U92" s="82"/>
      <c r="V92" s="26"/>
      <c r="W92" s="200"/>
      <c r="X92" s="17"/>
    </row>
    <row r="93" spans="2:24" x14ac:dyDescent="0.25">
      <c r="B93" s="17">
        <v>91</v>
      </c>
      <c r="C93" s="10"/>
      <c r="D93" s="10"/>
      <c r="E93" s="72"/>
      <c r="F93" s="18"/>
      <c r="G93" s="10"/>
      <c r="H93" s="10"/>
      <c r="I93" s="10"/>
      <c r="J93" s="11"/>
      <c r="K93" s="11">
        <f t="shared" si="161"/>
        <v>0</v>
      </c>
      <c r="L93" s="37">
        <f t="shared" si="162"/>
        <v>0</v>
      </c>
      <c r="M93" s="11"/>
      <c r="N93" s="10"/>
      <c r="O93" s="21"/>
      <c r="P93" s="21"/>
      <c r="Q93" s="21"/>
      <c r="R93" s="23"/>
      <c r="S93" s="50"/>
      <c r="T93" s="48"/>
      <c r="U93" s="82"/>
      <c r="V93" s="26"/>
      <c r="W93" s="200"/>
      <c r="X93" s="17"/>
    </row>
    <row r="94" spans="2:24" x14ac:dyDescent="0.25">
      <c r="B94" s="17">
        <v>92</v>
      </c>
      <c r="C94" s="10"/>
      <c r="D94" s="10"/>
      <c r="E94" s="72"/>
      <c r="F94" s="18"/>
      <c r="G94" s="10"/>
      <c r="H94" s="10"/>
      <c r="I94" s="10"/>
      <c r="J94" s="11"/>
      <c r="K94" s="11">
        <f t="shared" si="161"/>
        <v>0</v>
      </c>
      <c r="L94" s="37">
        <f t="shared" si="162"/>
        <v>0</v>
      </c>
      <c r="M94" s="11"/>
      <c r="N94" s="10"/>
      <c r="O94" s="21"/>
      <c r="P94" s="21"/>
      <c r="Q94" s="21"/>
      <c r="R94" s="23"/>
      <c r="S94" s="50"/>
      <c r="T94" s="48"/>
      <c r="U94" s="82"/>
      <c r="V94" s="26"/>
      <c r="W94" s="200"/>
      <c r="X94" s="17"/>
    </row>
    <row r="95" spans="2:24" x14ac:dyDescent="0.25">
      <c r="B95" s="17">
        <v>93</v>
      </c>
      <c r="C95" s="10"/>
      <c r="D95" s="10"/>
      <c r="E95" s="72"/>
      <c r="F95" s="18"/>
      <c r="G95" s="10"/>
      <c r="H95" s="10"/>
      <c r="I95" s="10"/>
      <c r="J95" s="11"/>
      <c r="K95" s="11">
        <f t="shared" si="161"/>
        <v>0</v>
      </c>
      <c r="L95" s="37">
        <f t="shared" si="162"/>
        <v>0</v>
      </c>
      <c r="M95" s="11"/>
      <c r="N95" s="10"/>
      <c r="O95" s="21"/>
      <c r="P95" s="21"/>
      <c r="Q95" s="21"/>
      <c r="R95" s="23"/>
      <c r="S95" s="50"/>
      <c r="T95" s="48"/>
      <c r="U95" s="82"/>
      <c r="V95" s="32"/>
      <c r="W95" s="200"/>
      <c r="X95" s="17"/>
    </row>
    <row r="96" spans="2:24" x14ac:dyDescent="0.25">
      <c r="B96" s="17">
        <v>94</v>
      </c>
      <c r="C96" s="10"/>
      <c r="D96" s="10"/>
      <c r="E96" s="72"/>
      <c r="F96" s="18"/>
      <c r="G96" s="10"/>
      <c r="H96" s="10"/>
      <c r="I96" s="10"/>
      <c r="J96" s="11"/>
      <c r="K96" s="11">
        <f t="shared" si="161"/>
        <v>0</v>
      </c>
      <c r="L96" s="37">
        <f t="shared" si="162"/>
        <v>0</v>
      </c>
      <c r="M96" s="11"/>
      <c r="N96" s="10"/>
      <c r="O96" s="21"/>
      <c r="P96" s="21"/>
      <c r="Q96" s="21"/>
      <c r="R96" s="23"/>
      <c r="S96" s="50"/>
      <c r="T96" s="48"/>
      <c r="U96" s="82"/>
      <c r="V96" s="32"/>
      <c r="W96" s="200"/>
      <c r="X96" s="17"/>
    </row>
    <row r="97" spans="2:24" x14ac:dyDescent="0.25">
      <c r="B97" s="17">
        <v>95</v>
      </c>
      <c r="C97" s="10"/>
      <c r="D97" s="10"/>
      <c r="E97" s="72"/>
      <c r="F97" s="18"/>
      <c r="G97" s="10"/>
      <c r="H97" s="10"/>
      <c r="I97" s="10"/>
      <c r="J97" s="11"/>
      <c r="K97" s="11">
        <f t="shared" si="161"/>
        <v>0</v>
      </c>
      <c r="L97" s="37">
        <f t="shared" si="162"/>
        <v>0</v>
      </c>
      <c r="M97" s="11"/>
      <c r="N97" s="10"/>
      <c r="O97" s="21"/>
      <c r="P97" s="21"/>
      <c r="Q97" s="21"/>
      <c r="R97" s="23"/>
      <c r="S97" s="50"/>
      <c r="T97" s="48"/>
      <c r="U97" s="82"/>
      <c r="V97" s="32"/>
      <c r="W97" s="200"/>
      <c r="X97" s="17"/>
    </row>
    <row r="98" spans="2:24" x14ac:dyDescent="0.25">
      <c r="B98" s="17">
        <v>96</v>
      </c>
      <c r="C98" s="10"/>
      <c r="D98" s="10"/>
      <c r="E98" s="72"/>
      <c r="F98" s="18"/>
      <c r="G98" s="10"/>
      <c r="H98" s="10"/>
      <c r="I98" s="10"/>
      <c r="J98" s="11"/>
      <c r="K98" s="11">
        <f t="shared" si="161"/>
        <v>0</v>
      </c>
      <c r="L98" s="37">
        <f t="shared" si="162"/>
        <v>0</v>
      </c>
      <c r="M98" s="11"/>
      <c r="N98" s="10"/>
      <c r="O98" s="21"/>
      <c r="P98" s="21"/>
      <c r="Q98" s="21"/>
      <c r="R98" s="23"/>
      <c r="S98" s="50"/>
      <c r="T98" s="48"/>
      <c r="U98" s="82"/>
      <c r="V98" s="32"/>
      <c r="W98" s="200"/>
      <c r="X98" s="17"/>
    </row>
    <row r="99" spans="2:24" x14ac:dyDescent="0.25">
      <c r="B99" s="17">
        <v>97</v>
      </c>
      <c r="C99" s="10"/>
      <c r="D99" s="10"/>
      <c r="E99" s="72"/>
      <c r="F99" s="18"/>
      <c r="G99" s="10"/>
      <c r="H99" s="10"/>
      <c r="I99" s="10"/>
      <c r="J99" s="11"/>
      <c r="K99" s="11">
        <f t="shared" si="161"/>
        <v>0</v>
      </c>
      <c r="L99" s="37">
        <f t="shared" si="162"/>
        <v>0</v>
      </c>
      <c r="M99" s="11"/>
      <c r="N99" s="10"/>
      <c r="O99" s="21"/>
      <c r="P99" s="21"/>
      <c r="Q99" s="21"/>
      <c r="R99" s="23"/>
      <c r="S99" s="50"/>
      <c r="T99" s="48"/>
      <c r="U99" s="82"/>
      <c r="V99" s="26"/>
      <c r="W99" s="200"/>
      <c r="X99" s="17"/>
    </row>
    <row r="100" spans="2:24" x14ac:dyDescent="0.25">
      <c r="B100" s="17">
        <v>98</v>
      </c>
      <c r="C100" s="10"/>
      <c r="D100" s="10"/>
      <c r="E100" s="72"/>
      <c r="F100" s="18"/>
      <c r="G100" s="10"/>
      <c r="H100" s="10"/>
      <c r="I100" s="10"/>
      <c r="J100" s="11"/>
      <c r="K100" s="11">
        <f t="shared" si="161"/>
        <v>0</v>
      </c>
      <c r="L100" s="37">
        <f t="shared" si="162"/>
        <v>0</v>
      </c>
      <c r="M100" s="11"/>
      <c r="N100" s="10"/>
      <c r="O100" s="21"/>
      <c r="P100" s="21"/>
      <c r="Q100" s="21"/>
      <c r="R100" s="23"/>
      <c r="S100" s="50"/>
      <c r="T100" s="48"/>
      <c r="U100" s="82"/>
      <c r="V100" s="26"/>
      <c r="W100" s="200"/>
      <c r="X100" s="17"/>
    </row>
    <row r="101" spans="2:24" x14ac:dyDescent="0.25">
      <c r="B101" s="17">
        <v>99</v>
      </c>
      <c r="C101" s="10"/>
      <c r="D101" s="10"/>
      <c r="E101" s="72"/>
      <c r="F101" s="18"/>
      <c r="G101" s="10"/>
      <c r="H101" s="10"/>
      <c r="I101" s="10"/>
      <c r="J101" s="11"/>
      <c r="K101" s="11">
        <f t="shared" si="161"/>
        <v>0</v>
      </c>
      <c r="L101" s="37">
        <f t="shared" si="162"/>
        <v>0</v>
      </c>
      <c r="M101" s="11"/>
      <c r="N101" s="10"/>
      <c r="O101" s="21"/>
      <c r="P101" s="21"/>
      <c r="Q101" s="21"/>
      <c r="R101" s="23"/>
      <c r="S101" s="50"/>
      <c r="T101" s="48"/>
      <c r="U101" s="82"/>
      <c r="V101" s="26"/>
      <c r="W101" s="200"/>
      <c r="X101" s="17"/>
    </row>
    <row r="102" spans="2:24" x14ac:dyDescent="0.25">
      <c r="B102" s="17">
        <v>100</v>
      </c>
      <c r="C102" s="10"/>
      <c r="D102" s="10"/>
      <c r="E102" s="72"/>
      <c r="F102" s="18"/>
      <c r="G102" s="10"/>
      <c r="H102" s="10"/>
      <c r="I102" s="10"/>
      <c r="J102" s="11"/>
      <c r="K102" s="11">
        <f t="shared" si="161"/>
        <v>0</v>
      </c>
      <c r="L102" s="37">
        <f t="shared" si="162"/>
        <v>0</v>
      </c>
      <c r="M102" s="11"/>
      <c r="N102" s="10"/>
      <c r="O102" s="21"/>
      <c r="P102" s="21"/>
      <c r="Q102" s="21"/>
      <c r="R102" s="23"/>
      <c r="S102" s="50"/>
      <c r="T102" s="48"/>
      <c r="U102" s="82"/>
      <c r="V102" s="26"/>
      <c r="W102" s="200"/>
      <c r="X102" s="17"/>
    </row>
    <row r="103" spans="2:24" x14ac:dyDescent="0.25">
      <c r="B103" s="17">
        <v>101</v>
      </c>
      <c r="C103" s="10"/>
      <c r="D103" s="10"/>
      <c r="E103" s="72"/>
      <c r="F103" s="18"/>
      <c r="G103" s="10"/>
      <c r="H103" s="10"/>
      <c r="I103" s="10"/>
      <c r="J103" s="11"/>
      <c r="K103" s="11">
        <f t="shared" si="161"/>
        <v>0</v>
      </c>
      <c r="L103" s="37">
        <f t="shared" si="162"/>
        <v>0</v>
      </c>
      <c r="M103" s="11"/>
      <c r="N103" s="10"/>
      <c r="O103" s="21"/>
      <c r="P103" s="21"/>
      <c r="Q103" s="21"/>
      <c r="R103" s="23"/>
      <c r="S103" s="50"/>
      <c r="T103" s="48"/>
      <c r="U103" s="82"/>
      <c r="V103" s="32"/>
      <c r="W103" s="200"/>
      <c r="X103" s="17"/>
    </row>
    <row r="104" spans="2:24" x14ac:dyDescent="0.25">
      <c r="B104" s="17">
        <v>102</v>
      </c>
      <c r="C104" s="10"/>
      <c r="D104" s="10"/>
      <c r="E104" s="72"/>
      <c r="F104" s="18"/>
      <c r="G104" s="10"/>
      <c r="H104" s="10"/>
      <c r="I104" s="10"/>
      <c r="J104" s="11"/>
      <c r="K104" s="11">
        <f t="shared" si="161"/>
        <v>0</v>
      </c>
      <c r="L104" s="37">
        <f t="shared" si="162"/>
        <v>0</v>
      </c>
      <c r="M104" s="11"/>
      <c r="N104" s="10"/>
      <c r="O104" s="21"/>
      <c r="P104" s="21"/>
      <c r="Q104" s="21"/>
      <c r="R104" s="23"/>
      <c r="S104" s="50"/>
      <c r="T104" s="48"/>
      <c r="U104" s="82"/>
      <c r="V104" s="32"/>
      <c r="W104" s="200"/>
      <c r="X104" s="17"/>
    </row>
    <row r="105" spans="2:24" x14ac:dyDescent="0.25">
      <c r="B105" s="17">
        <v>103</v>
      </c>
      <c r="C105" s="10"/>
      <c r="D105" s="10"/>
      <c r="E105" s="72"/>
      <c r="F105" s="18"/>
      <c r="G105" s="10"/>
      <c r="H105" s="10"/>
      <c r="I105" s="10"/>
      <c r="J105" s="11"/>
      <c r="K105" s="11">
        <f t="shared" si="161"/>
        <v>0</v>
      </c>
      <c r="L105" s="37">
        <f t="shared" si="162"/>
        <v>0</v>
      </c>
      <c r="M105" s="11"/>
      <c r="N105" s="10"/>
      <c r="O105" s="21"/>
      <c r="P105" s="21"/>
      <c r="Q105" s="21"/>
      <c r="R105" s="23"/>
      <c r="S105" s="50"/>
      <c r="T105" s="48"/>
      <c r="U105" s="82"/>
      <c r="V105" s="26"/>
      <c r="W105" s="200"/>
      <c r="X105" s="17"/>
    </row>
    <row r="106" spans="2:24" x14ac:dyDescent="0.25">
      <c r="B106" s="17">
        <v>104</v>
      </c>
      <c r="C106" s="10"/>
      <c r="D106" s="10"/>
      <c r="E106" s="72"/>
      <c r="F106" s="18"/>
      <c r="G106" s="10"/>
      <c r="H106" s="10"/>
      <c r="I106" s="10"/>
      <c r="J106" s="11"/>
      <c r="K106" s="11">
        <f t="shared" si="161"/>
        <v>0</v>
      </c>
      <c r="L106" s="37">
        <f t="shared" si="162"/>
        <v>0</v>
      </c>
      <c r="M106" s="11"/>
      <c r="N106" s="10"/>
      <c r="O106" s="21"/>
      <c r="P106" s="21"/>
      <c r="Q106" s="21"/>
      <c r="R106" s="23"/>
      <c r="S106" s="50"/>
      <c r="T106" s="48"/>
      <c r="U106" s="82"/>
      <c r="V106" s="26"/>
      <c r="W106" s="200"/>
      <c r="X106" s="17"/>
    </row>
    <row r="107" spans="2:24" x14ac:dyDescent="0.25">
      <c r="B107" s="17">
        <v>105</v>
      </c>
      <c r="C107" s="10"/>
      <c r="D107" s="10"/>
      <c r="E107" s="72"/>
      <c r="F107" s="18"/>
      <c r="G107" s="10"/>
      <c r="H107" s="10"/>
      <c r="I107" s="10"/>
      <c r="J107" s="11"/>
      <c r="K107" s="11">
        <f t="shared" si="161"/>
        <v>0</v>
      </c>
      <c r="L107" s="37">
        <f t="shared" si="162"/>
        <v>0</v>
      </c>
      <c r="M107" s="11"/>
      <c r="N107" s="10"/>
      <c r="O107" s="21"/>
      <c r="P107" s="21"/>
      <c r="Q107" s="21"/>
      <c r="R107" s="23"/>
      <c r="S107" s="50"/>
      <c r="T107" s="48"/>
      <c r="U107" s="82"/>
      <c r="V107" s="26"/>
      <c r="W107" s="200"/>
      <c r="X107" s="17"/>
    </row>
    <row r="108" spans="2:24" x14ac:dyDescent="0.25">
      <c r="B108" s="17">
        <v>106</v>
      </c>
      <c r="C108" s="10"/>
      <c r="D108" s="10"/>
      <c r="E108" s="72"/>
      <c r="F108" s="18"/>
      <c r="G108" s="10"/>
      <c r="H108" s="10"/>
      <c r="I108" s="10"/>
      <c r="J108" s="11"/>
      <c r="K108" s="11">
        <f t="shared" si="161"/>
        <v>0</v>
      </c>
      <c r="L108" s="37">
        <f t="shared" si="162"/>
        <v>0</v>
      </c>
      <c r="M108" s="11"/>
      <c r="N108" s="10"/>
      <c r="O108" s="21"/>
      <c r="P108" s="21"/>
      <c r="Q108" s="21"/>
      <c r="R108" s="23"/>
      <c r="S108" s="50"/>
      <c r="T108" s="48"/>
      <c r="U108" s="82"/>
      <c r="V108" s="26"/>
      <c r="W108" s="200"/>
      <c r="X108" s="17"/>
    </row>
    <row r="109" spans="2:24" x14ac:dyDescent="0.25">
      <c r="B109" s="17">
        <v>107</v>
      </c>
      <c r="C109" s="10"/>
      <c r="D109" s="10"/>
      <c r="E109" s="72"/>
      <c r="F109" s="18"/>
      <c r="G109" s="10"/>
      <c r="H109" s="10"/>
      <c r="I109" s="10"/>
      <c r="J109" s="11"/>
      <c r="K109" s="11">
        <f t="shared" si="161"/>
        <v>0</v>
      </c>
      <c r="L109" s="37">
        <f t="shared" si="162"/>
        <v>0</v>
      </c>
      <c r="M109" s="11"/>
      <c r="N109" s="10"/>
      <c r="O109" s="21"/>
      <c r="P109" s="21"/>
      <c r="Q109" s="21"/>
      <c r="R109" s="23"/>
      <c r="S109" s="50"/>
      <c r="T109" s="48"/>
      <c r="U109" s="82"/>
      <c r="V109" s="26"/>
      <c r="W109" s="200"/>
      <c r="X109" s="17"/>
    </row>
    <row r="110" spans="2:24" x14ac:dyDescent="0.25">
      <c r="B110" s="17">
        <v>108</v>
      </c>
      <c r="C110" s="10"/>
      <c r="D110" s="10"/>
      <c r="E110" s="72"/>
      <c r="F110" s="18"/>
      <c r="G110" s="10"/>
      <c r="H110" s="10"/>
      <c r="I110" s="10"/>
      <c r="J110" s="11"/>
      <c r="K110" s="11">
        <f t="shared" si="161"/>
        <v>0</v>
      </c>
      <c r="L110" s="37">
        <f t="shared" si="162"/>
        <v>0</v>
      </c>
      <c r="M110" s="11"/>
      <c r="N110" s="10"/>
      <c r="O110" s="21"/>
      <c r="P110" s="21"/>
      <c r="Q110" s="21"/>
      <c r="R110" s="23"/>
      <c r="S110" s="50"/>
      <c r="T110" s="48"/>
      <c r="U110" s="82"/>
      <c r="V110" s="32"/>
      <c r="W110" s="200"/>
      <c r="X110" s="17"/>
    </row>
    <row r="111" spans="2:24" x14ac:dyDescent="0.25">
      <c r="B111" s="17">
        <v>109</v>
      </c>
      <c r="C111" s="10"/>
      <c r="D111" s="10"/>
      <c r="E111" s="72"/>
      <c r="F111" s="18"/>
      <c r="G111" s="10"/>
      <c r="H111" s="10"/>
      <c r="I111" s="10"/>
      <c r="J111" s="11"/>
      <c r="K111" s="11">
        <f t="shared" si="161"/>
        <v>0</v>
      </c>
      <c r="L111" s="37">
        <f t="shared" si="162"/>
        <v>0</v>
      </c>
      <c r="M111" s="11"/>
      <c r="N111" s="10"/>
      <c r="O111" s="21"/>
      <c r="P111" s="21"/>
      <c r="Q111" s="21"/>
      <c r="R111" s="23"/>
      <c r="S111" s="50"/>
      <c r="T111" s="48"/>
      <c r="U111" s="82"/>
      <c r="V111" s="32"/>
      <c r="W111" s="200"/>
      <c r="X111" s="17"/>
    </row>
    <row r="112" spans="2:24" x14ac:dyDescent="0.25">
      <c r="B112" s="17">
        <v>110</v>
      </c>
      <c r="C112" s="10"/>
      <c r="D112" s="10"/>
      <c r="E112" s="72"/>
      <c r="F112" s="18"/>
      <c r="G112" s="10"/>
      <c r="H112" s="10"/>
      <c r="I112" s="10"/>
      <c r="J112" s="11"/>
      <c r="K112" s="11">
        <f t="shared" si="161"/>
        <v>0</v>
      </c>
      <c r="L112" s="37">
        <f t="shared" si="162"/>
        <v>0</v>
      </c>
      <c r="M112" s="11"/>
      <c r="N112" s="10"/>
      <c r="O112" s="21"/>
      <c r="P112" s="21"/>
      <c r="Q112" s="21"/>
      <c r="R112" s="23"/>
      <c r="S112" s="50"/>
      <c r="T112" s="48"/>
      <c r="U112" s="82"/>
      <c r="V112" s="26"/>
      <c r="W112" s="200"/>
      <c r="X112" s="17"/>
    </row>
    <row r="113" spans="2:24" x14ac:dyDescent="0.25">
      <c r="B113" s="17">
        <v>111</v>
      </c>
      <c r="C113" s="10"/>
      <c r="D113" s="10"/>
      <c r="E113" s="72"/>
      <c r="F113" s="18"/>
      <c r="G113" s="10"/>
      <c r="H113" s="10"/>
      <c r="I113" s="10"/>
      <c r="J113" s="11"/>
      <c r="K113" s="11">
        <f t="shared" si="161"/>
        <v>0</v>
      </c>
      <c r="L113" s="37">
        <f t="shared" si="162"/>
        <v>0</v>
      </c>
      <c r="M113" s="11"/>
      <c r="N113" s="10"/>
      <c r="O113" s="21"/>
      <c r="P113" s="21"/>
      <c r="Q113" s="21"/>
      <c r="R113" s="23"/>
      <c r="S113" s="50"/>
      <c r="T113" s="48"/>
      <c r="U113" s="82"/>
      <c r="V113" s="26"/>
      <c r="W113" s="200"/>
      <c r="X113" s="17"/>
    </row>
    <row r="114" spans="2:24" x14ac:dyDescent="0.25">
      <c r="B114" s="17">
        <v>112</v>
      </c>
      <c r="C114" s="10"/>
      <c r="D114" s="10"/>
      <c r="E114" s="72"/>
      <c r="F114" s="18"/>
      <c r="G114" s="10"/>
      <c r="H114" s="10"/>
      <c r="I114" s="10"/>
      <c r="J114" s="11"/>
      <c r="K114" s="11">
        <f t="shared" si="161"/>
        <v>0</v>
      </c>
      <c r="L114" s="37">
        <f t="shared" si="162"/>
        <v>0</v>
      </c>
      <c r="M114" s="11"/>
      <c r="N114" s="10"/>
      <c r="O114" s="21"/>
      <c r="P114" s="21"/>
      <c r="Q114" s="21"/>
      <c r="R114" s="23"/>
      <c r="S114" s="50"/>
      <c r="T114" s="48"/>
      <c r="U114" s="82"/>
      <c r="V114" s="26"/>
      <c r="W114" s="200"/>
      <c r="X114" s="17"/>
    </row>
    <row r="115" spans="2:24" x14ac:dyDescent="0.25">
      <c r="B115" s="17">
        <v>113</v>
      </c>
      <c r="C115" s="10"/>
      <c r="D115" s="10"/>
      <c r="E115" s="72"/>
      <c r="F115" s="18"/>
      <c r="G115" s="10"/>
      <c r="H115" s="10"/>
      <c r="I115" s="10"/>
      <c r="J115" s="11"/>
      <c r="K115" s="11">
        <f t="shared" si="161"/>
        <v>0</v>
      </c>
      <c r="L115" s="37">
        <f t="shared" si="162"/>
        <v>0</v>
      </c>
      <c r="M115" s="11"/>
      <c r="N115" s="10"/>
      <c r="O115" s="21"/>
      <c r="P115" s="21"/>
      <c r="Q115" s="21"/>
      <c r="R115" s="23"/>
      <c r="S115" s="50"/>
      <c r="T115" s="48"/>
      <c r="U115" s="82"/>
      <c r="V115" s="26"/>
      <c r="W115" s="200"/>
      <c r="X115" s="17"/>
    </row>
    <row r="116" spans="2:24" x14ac:dyDescent="0.25">
      <c r="B116" s="17">
        <v>114</v>
      </c>
      <c r="C116" s="10"/>
      <c r="D116" s="10"/>
      <c r="E116" s="72"/>
      <c r="F116" s="18"/>
      <c r="G116" s="10"/>
      <c r="H116" s="10"/>
      <c r="I116" s="10"/>
      <c r="J116" s="11"/>
      <c r="K116" s="11">
        <f t="shared" si="161"/>
        <v>0</v>
      </c>
      <c r="L116" s="37">
        <f t="shared" si="162"/>
        <v>0</v>
      </c>
      <c r="M116" s="11"/>
      <c r="N116" s="10"/>
      <c r="O116" s="21"/>
      <c r="P116" s="21"/>
      <c r="Q116" s="21"/>
      <c r="R116" s="23"/>
      <c r="S116" s="50"/>
      <c r="T116" s="48"/>
      <c r="U116" s="82"/>
      <c r="V116" s="26"/>
      <c r="W116" s="200"/>
      <c r="X116" s="17"/>
    </row>
    <row r="117" spans="2:24" x14ac:dyDescent="0.25">
      <c r="B117" s="17">
        <v>115</v>
      </c>
      <c r="C117" s="10"/>
      <c r="D117" s="10"/>
      <c r="E117" s="72"/>
      <c r="F117" s="18"/>
      <c r="G117" s="10"/>
      <c r="H117" s="10"/>
      <c r="I117" s="10"/>
      <c r="J117" s="11"/>
      <c r="K117" s="11">
        <f t="shared" si="161"/>
        <v>0</v>
      </c>
      <c r="L117" s="37">
        <f t="shared" si="162"/>
        <v>0</v>
      </c>
      <c r="M117" s="11"/>
      <c r="N117" s="10"/>
      <c r="O117" s="21"/>
      <c r="P117" s="21"/>
      <c r="Q117" s="21"/>
      <c r="R117" s="23"/>
      <c r="S117" s="50"/>
      <c r="T117" s="48"/>
      <c r="U117" s="82"/>
      <c r="V117" s="32"/>
      <c r="W117" s="200"/>
      <c r="X117" s="17"/>
    </row>
    <row r="118" spans="2:24" x14ac:dyDescent="0.25">
      <c r="B118" s="17">
        <v>116</v>
      </c>
      <c r="C118" s="10"/>
      <c r="D118" s="10"/>
      <c r="E118" s="72"/>
      <c r="F118" s="18"/>
      <c r="G118" s="10"/>
      <c r="H118" s="10"/>
      <c r="I118" s="10"/>
      <c r="J118" s="11"/>
      <c r="K118" s="11">
        <f t="shared" si="161"/>
        <v>0</v>
      </c>
      <c r="L118" s="37">
        <f t="shared" si="162"/>
        <v>0</v>
      </c>
      <c r="M118" s="11"/>
      <c r="N118" s="10"/>
      <c r="O118" s="21"/>
      <c r="P118" s="21"/>
      <c r="Q118" s="21"/>
      <c r="R118" s="23"/>
      <c r="S118" s="50"/>
      <c r="T118" s="48"/>
      <c r="U118" s="82"/>
      <c r="V118" s="32"/>
      <c r="W118" s="200"/>
      <c r="X118" s="17"/>
    </row>
    <row r="119" spans="2:24" x14ac:dyDescent="0.25">
      <c r="B119" s="17">
        <v>117</v>
      </c>
      <c r="C119" s="10"/>
      <c r="D119" s="10"/>
      <c r="E119" s="72"/>
      <c r="F119" s="18"/>
      <c r="G119" s="10"/>
      <c r="H119" s="10"/>
      <c r="I119" s="10"/>
      <c r="J119" s="11"/>
      <c r="K119" s="11">
        <f t="shared" si="161"/>
        <v>0</v>
      </c>
      <c r="L119" s="37">
        <f t="shared" si="162"/>
        <v>0</v>
      </c>
      <c r="M119" s="11"/>
      <c r="N119" s="10"/>
      <c r="O119" s="21"/>
      <c r="P119" s="21"/>
      <c r="Q119" s="21"/>
      <c r="R119" s="23"/>
      <c r="S119" s="50"/>
      <c r="T119" s="48"/>
      <c r="U119" s="82"/>
      <c r="V119" s="32"/>
      <c r="W119" s="200"/>
      <c r="X119" s="17"/>
    </row>
    <row r="120" spans="2:24" x14ac:dyDescent="0.25">
      <c r="B120" s="17">
        <v>118</v>
      </c>
      <c r="C120" s="10"/>
      <c r="D120" s="10"/>
      <c r="E120" s="72"/>
      <c r="F120" s="18"/>
      <c r="G120" s="10"/>
      <c r="H120" s="10"/>
      <c r="I120" s="10"/>
      <c r="J120" s="11"/>
      <c r="K120" s="11">
        <f t="shared" si="161"/>
        <v>0</v>
      </c>
      <c r="L120" s="37">
        <f t="shared" si="162"/>
        <v>0</v>
      </c>
      <c r="M120" s="11"/>
      <c r="N120" s="10"/>
      <c r="O120" s="21"/>
      <c r="P120" s="21"/>
      <c r="Q120" s="21"/>
      <c r="R120" s="23"/>
      <c r="S120" s="50"/>
      <c r="T120" s="48"/>
      <c r="U120" s="82"/>
      <c r="V120" s="32"/>
      <c r="W120" s="200"/>
      <c r="X120" s="17"/>
    </row>
    <row r="121" spans="2:24" x14ac:dyDescent="0.25">
      <c r="B121" s="17">
        <v>119</v>
      </c>
      <c r="C121" s="10"/>
      <c r="D121" s="10"/>
      <c r="E121" s="72"/>
      <c r="F121" s="18"/>
      <c r="G121" s="10"/>
      <c r="H121" s="10"/>
      <c r="I121" s="10"/>
      <c r="J121" s="11"/>
      <c r="K121" s="11">
        <f t="shared" si="161"/>
        <v>0</v>
      </c>
      <c r="L121" s="37">
        <f t="shared" si="162"/>
        <v>0</v>
      </c>
      <c r="M121" s="11"/>
      <c r="N121" s="10"/>
      <c r="O121" s="21"/>
      <c r="P121" s="21"/>
      <c r="Q121" s="21"/>
      <c r="R121" s="23"/>
      <c r="S121" s="50"/>
      <c r="T121" s="48"/>
      <c r="U121" s="82"/>
      <c r="V121" s="26"/>
      <c r="W121" s="200"/>
      <c r="X121" s="17"/>
    </row>
    <row r="122" spans="2:24" x14ac:dyDescent="0.25">
      <c r="B122" s="17">
        <v>120</v>
      </c>
      <c r="C122" s="10"/>
      <c r="D122" s="10"/>
      <c r="E122" s="72"/>
      <c r="F122" s="18"/>
      <c r="G122" s="10"/>
      <c r="H122" s="10"/>
      <c r="I122" s="10"/>
      <c r="J122" s="11"/>
      <c r="K122" s="11">
        <f t="shared" si="161"/>
        <v>0</v>
      </c>
      <c r="L122" s="37">
        <f t="shared" si="162"/>
        <v>0</v>
      </c>
      <c r="M122" s="11"/>
      <c r="N122" s="10"/>
      <c r="O122" s="21"/>
      <c r="P122" s="21"/>
      <c r="Q122" s="21"/>
      <c r="R122" s="23"/>
      <c r="S122" s="50"/>
      <c r="T122" s="48"/>
      <c r="U122" s="82"/>
      <c r="V122" s="26"/>
      <c r="W122" s="200"/>
      <c r="X122" s="17"/>
    </row>
    <row r="123" spans="2:24" x14ac:dyDescent="0.25">
      <c r="B123" s="17">
        <v>121</v>
      </c>
      <c r="C123" s="10"/>
      <c r="D123" s="10"/>
      <c r="E123" s="72"/>
      <c r="F123" s="18"/>
      <c r="G123" s="10"/>
      <c r="H123" s="10"/>
      <c r="I123" s="10"/>
      <c r="J123" s="11"/>
      <c r="K123" s="11">
        <f t="shared" si="161"/>
        <v>0</v>
      </c>
      <c r="L123" s="37">
        <f t="shared" si="162"/>
        <v>0</v>
      </c>
      <c r="M123" s="11"/>
      <c r="N123" s="10"/>
      <c r="O123" s="21"/>
      <c r="P123" s="21"/>
      <c r="Q123" s="21"/>
      <c r="R123" s="23"/>
      <c r="S123" s="50"/>
      <c r="T123" s="48"/>
      <c r="U123" s="82"/>
      <c r="V123" s="26"/>
      <c r="W123" s="200"/>
      <c r="X123" s="17"/>
    </row>
    <row r="124" spans="2:24" x14ac:dyDescent="0.25">
      <c r="B124" s="17">
        <v>122</v>
      </c>
      <c r="C124" s="10"/>
      <c r="D124" s="10"/>
      <c r="E124" s="72"/>
      <c r="F124" s="18"/>
      <c r="G124" s="10"/>
      <c r="H124" s="10"/>
      <c r="I124" s="10"/>
      <c r="J124" s="11"/>
      <c r="K124" s="11">
        <f t="shared" si="161"/>
        <v>0</v>
      </c>
      <c r="L124" s="37">
        <f t="shared" si="162"/>
        <v>0</v>
      </c>
      <c r="M124" s="11"/>
      <c r="N124" s="10"/>
      <c r="O124" s="21"/>
      <c r="P124" s="21"/>
      <c r="Q124" s="21"/>
      <c r="R124" s="23"/>
      <c r="S124" s="50"/>
      <c r="T124" s="48"/>
      <c r="U124" s="82"/>
      <c r="V124" s="26"/>
      <c r="W124" s="200"/>
      <c r="X124" s="17"/>
    </row>
    <row r="125" spans="2:24" x14ac:dyDescent="0.25">
      <c r="B125" s="17">
        <v>123</v>
      </c>
      <c r="C125" s="10"/>
      <c r="D125" s="10"/>
      <c r="E125" s="72"/>
      <c r="F125" s="18"/>
      <c r="G125" s="10"/>
      <c r="H125" s="10"/>
      <c r="I125" s="10"/>
      <c r="J125" s="11"/>
      <c r="K125" s="11">
        <f t="shared" si="161"/>
        <v>0</v>
      </c>
      <c r="L125" s="37">
        <f t="shared" si="162"/>
        <v>0</v>
      </c>
      <c r="M125" s="11"/>
      <c r="N125" s="10"/>
      <c r="O125" s="21"/>
      <c r="P125" s="21"/>
      <c r="Q125" s="21"/>
      <c r="R125" s="23"/>
      <c r="S125" s="50"/>
      <c r="T125" s="48"/>
      <c r="U125" s="82"/>
      <c r="V125" s="26"/>
      <c r="W125" s="200"/>
      <c r="X125" s="17"/>
    </row>
    <row r="126" spans="2:24" x14ac:dyDescent="0.25">
      <c r="B126" s="17">
        <v>124</v>
      </c>
      <c r="C126" s="10"/>
      <c r="D126" s="10"/>
      <c r="E126" s="72"/>
      <c r="F126" s="18"/>
      <c r="G126" s="10"/>
      <c r="H126" s="10"/>
      <c r="I126" s="10"/>
      <c r="J126" s="11"/>
      <c r="K126" s="11">
        <f t="shared" si="161"/>
        <v>0</v>
      </c>
      <c r="L126" s="37">
        <f t="shared" si="162"/>
        <v>0</v>
      </c>
      <c r="M126" s="11"/>
      <c r="N126" s="10"/>
      <c r="O126" s="21"/>
      <c r="P126" s="21"/>
      <c r="Q126" s="21"/>
      <c r="R126" s="23"/>
      <c r="S126" s="50"/>
      <c r="T126" s="48"/>
      <c r="U126" s="82"/>
      <c r="V126" s="32"/>
      <c r="W126" s="200"/>
      <c r="X126" s="17"/>
    </row>
    <row r="127" spans="2:24" x14ac:dyDescent="0.25">
      <c r="B127" s="17">
        <v>125</v>
      </c>
      <c r="C127" s="10"/>
      <c r="D127" s="10"/>
      <c r="E127" s="72"/>
      <c r="F127" s="18"/>
      <c r="G127" s="10"/>
      <c r="H127" s="10"/>
      <c r="I127" s="10"/>
      <c r="J127" s="11"/>
      <c r="K127" s="11">
        <f t="shared" si="161"/>
        <v>0</v>
      </c>
      <c r="L127" s="37">
        <f t="shared" si="162"/>
        <v>0</v>
      </c>
      <c r="M127" s="11"/>
      <c r="N127" s="10"/>
      <c r="O127" s="21"/>
      <c r="P127" s="21"/>
      <c r="Q127" s="21"/>
      <c r="R127" s="23"/>
      <c r="S127" s="50"/>
      <c r="T127" s="48"/>
      <c r="U127" s="82"/>
      <c r="V127" s="32"/>
      <c r="W127" s="200"/>
      <c r="X127" s="17"/>
    </row>
    <row r="128" spans="2:24" x14ac:dyDescent="0.25">
      <c r="B128" s="17">
        <v>126</v>
      </c>
      <c r="C128" s="10"/>
      <c r="D128" s="10"/>
      <c r="E128" s="72"/>
      <c r="F128" s="18"/>
      <c r="G128" s="10"/>
      <c r="H128" s="10"/>
      <c r="I128" s="10"/>
      <c r="J128" s="11"/>
      <c r="K128" s="11">
        <f t="shared" si="161"/>
        <v>0</v>
      </c>
      <c r="L128" s="37">
        <f t="shared" si="162"/>
        <v>0</v>
      </c>
      <c r="M128" s="11"/>
      <c r="N128" s="10"/>
      <c r="O128" s="21"/>
      <c r="P128" s="21"/>
      <c r="Q128" s="21"/>
      <c r="R128" s="23"/>
      <c r="S128" s="50"/>
      <c r="T128" s="48"/>
      <c r="U128" s="82"/>
      <c r="V128" s="26"/>
      <c r="W128" s="200"/>
      <c r="X128" s="17"/>
    </row>
    <row r="129" spans="2:24" x14ac:dyDescent="0.25">
      <c r="B129" s="17">
        <v>127</v>
      </c>
      <c r="C129" s="10"/>
      <c r="D129" s="10"/>
      <c r="E129" s="72"/>
      <c r="F129" s="18"/>
      <c r="G129" s="10"/>
      <c r="H129" s="10"/>
      <c r="I129" s="10"/>
      <c r="J129" s="11"/>
      <c r="K129" s="11">
        <f t="shared" si="161"/>
        <v>0</v>
      </c>
      <c r="L129" s="37">
        <f t="shared" si="162"/>
        <v>0</v>
      </c>
      <c r="M129" s="11"/>
      <c r="N129" s="10"/>
      <c r="O129" s="21"/>
      <c r="P129" s="21"/>
      <c r="Q129" s="21"/>
      <c r="R129" s="23"/>
      <c r="S129" s="50"/>
      <c r="T129" s="48"/>
      <c r="U129" s="82"/>
      <c r="V129" s="26"/>
      <c r="W129" s="200"/>
      <c r="X129" s="17"/>
    </row>
    <row r="130" spans="2:24" x14ac:dyDescent="0.25">
      <c r="B130" s="17">
        <v>128</v>
      </c>
      <c r="C130" s="10"/>
      <c r="D130" s="10"/>
      <c r="E130" s="72"/>
      <c r="F130" s="18"/>
      <c r="G130" s="10"/>
      <c r="H130" s="10"/>
      <c r="I130" s="10"/>
      <c r="J130" s="11"/>
      <c r="K130" s="11">
        <f t="shared" si="161"/>
        <v>0</v>
      </c>
      <c r="L130" s="37">
        <f t="shared" si="162"/>
        <v>0</v>
      </c>
      <c r="M130" s="11"/>
      <c r="N130" s="10"/>
      <c r="O130" s="21"/>
      <c r="P130" s="21"/>
      <c r="Q130" s="21"/>
      <c r="R130" s="23"/>
      <c r="S130" s="50"/>
      <c r="T130" s="48"/>
      <c r="U130" s="82"/>
      <c r="V130" s="26"/>
      <c r="W130" s="200"/>
      <c r="X130" s="17"/>
    </row>
    <row r="131" spans="2:24" x14ac:dyDescent="0.25">
      <c r="B131" s="17">
        <v>129</v>
      </c>
      <c r="C131" s="10"/>
      <c r="D131" s="10"/>
      <c r="E131" s="72"/>
      <c r="F131" s="18"/>
      <c r="G131" s="10"/>
      <c r="H131" s="10"/>
      <c r="I131" s="10"/>
      <c r="J131" s="11"/>
      <c r="K131" s="11">
        <f t="shared" si="161"/>
        <v>0</v>
      </c>
      <c r="L131" s="37">
        <f t="shared" si="162"/>
        <v>0</v>
      </c>
      <c r="M131" s="11"/>
      <c r="N131" s="10"/>
      <c r="O131" s="21"/>
      <c r="P131" s="21"/>
      <c r="Q131" s="21"/>
      <c r="R131" s="23"/>
      <c r="S131" s="50"/>
      <c r="T131" s="48"/>
      <c r="U131" s="82"/>
      <c r="V131" s="26"/>
      <c r="W131" s="200"/>
      <c r="X131" s="17"/>
    </row>
    <row r="132" spans="2:24" x14ac:dyDescent="0.25">
      <c r="B132" s="17">
        <v>130</v>
      </c>
      <c r="C132" s="10"/>
      <c r="D132" s="10"/>
      <c r="E132" s="72"/>
      <c r="F132" s="18"/>
      <c r="G132" s="10"/>
      <c r="H132" s="10"/>
      <c r="I132" s="10"/>
      <c r="J132" s="11"/>
      <c r="K132" s="11">
        <f t="shared" ref="K132:K195" si="193">J132*1.1</f>
        <v>0</v>
      </c>
      <c r="L132" s="37">
        <f t="shared" ref="L132:L195" si="194">J132*0.00000001</f>
        <v>0</v>
      </c>
      <c r="M132" s="11"/>
      <c r="N132" s="10"/>
      <c r="O132" s="21"/>
      <c r="P132" s="21"/>
      <c r="Q132" s="21"/>
      <c r="R132" s="23"/>
      <c r="S132" s="50"/>
      <c r="T132" s="48"/>
      <c r="U132" s="82"/>
      <c r="V132" s="26"/>
      <c r="W132" s="200"/>
      <c r="X132" s="17"/>
    </row>
    <row r="133" spans="2:24" x14ac:dyDescent="0.25">
      <c r="B133" s="17">
        <v>131</v>
      </c>
      <c r="C133" s="10"/>
      <c r="D133" s="10"/>
      <c r="E133" s="72"/>
      <c r="F133" s="18"/>
      <c r="G133" s="10"/>
      <c r="H133" s="10"/>
      <c r="I133" s="10"/>
      <c r="J133" s="11"/>
      <c r="K133" s="11">
        <f t="shared" si="193"/>
        <v>0</v>
      </c>
      <c r="L133" s="37">
        <f t="shared" si="194"/>
        <v>0</v>
      </c>
      <c r="M133" s="11"/>
      <c r="N133" s="10"/>
      <c r="O133" s="21"/>
      <c r="P133" s="21"/>
      <c r="Q133" s="21"/>
      <c r="R133" s="23"/>
      <c r="S133" s="50"/>
      <c r="T133" s="48"/>
      <c r="U133" s="82"/>
      <c r="V133" s="32"/>
      <c r="W133" s="200"/>
      <c r="X133" s="17"/>
    </row>
    <row r="134" spans="2:24" x14ac:dyDescent="0.25">
      <c r="B134" s="17">
        <v>132</v>
      </c>
      <c r="C134" s="10"/>
      <c r="D134" s="10"/>
      <c r="E134" s="72"/>
      <c r="F134" s="18"/>
      <c r="G134" s="10"/>
      <c r="H134" s="10"/>
      <c r="I134" s="10"/>
      <c r="J134" s="11"/>
      <c r="K134" s="11">
        <f t="shared" si="193"/>
        <v>0</v>
      </c>
      <c r="L134" s="37">
        <f t="shared" si="194"/>
        <v>0</v>
      </c>
      <c r="M134" s="11"/>
      <c r="N134" s="10"/>
      <c r="O134" s="21"/>
      <c r="P134" s="21"/>
      <c r="Q134" s="21"/>
      <c r="R134" s="23"/>
      <c r="S134" s="50"/>
      <c r="T134" s="48"/>
      <c r="U134" s="82"/>
      <c r="V134" s="32"/>
      <c r="W134" s="200"/>
      <c r="X134" s="17"/>
    </row>
    <row r="135" spans="2:24" x14ac:dyDescent="0.25">
      <c r="B135" s="17">
        <v>133</v>
      </c>
      <c r="C135" s="10"/>
      <c r="D135" s="10"/>
      <c r="E135" s="72"/>
      <c r="F135" s="18"/>
      <c r="G135" s="10"/>
      <c r="H135" s="10"/>
      <c r="I135" s="10"/>
      <c r="J135" s="11"/>
      <c r="K135" s="11">
        <f t="shared" si="193"/>
        <v>0</v>
      </c>
      <c r="L135" s="37">
        <f t="shared" si="194"/>
        <v>0</v>
      </c>
      <c r="M135" s="11"/>
      <c r="N135" s="10"/>
      <c r="O135" s="21"/>
      <c r="P135" s="21"/>
      <c r="Q135" s="21"/>
      <c r="R135" s="23"/>
      <c r="S135" s="50"/>
      <c r="T135" s="48"/>
      <c r="U135" s="82"/>
      <c r="V135" s="32"/>
      <c r="W135" s="200"/>
      <c r="X135" s="17"/>
    </row>
    <row r="136" spans="2:24" x14ac:dyDescent="0.25">
      <c r="B136" s="17">
        <v>134</v>
      </c>
      <c r="C136" s="10"/>
      <c r="D136" s="10"/>
      <c r="E136" s="72"/>
      <c r="F136" s="18"/>
      <c r="G136" s="10"/>
      <c r="H136" s="10"/>
      <c r="I136" s="10"/>
      <c r="J136" s="11"/>
      <c r="K136" s="11">
        <f t="shared" si="193"/>
        <v>0</v>
      </c>
      <c r="L136" s="37">
        <f t="shared" si="194"/>
        <v>0</v>
      </c>
      <c r="M136" s="11"/>
      <c r="N136" s="10"/>
      <c r="O136" s="21"/>
      <c r="P136" s="21"/>
      <c r="Q136" s="21"/>
      <c r="R136" s="23"/>
      <c r="S136" s="50"/>
      <c r="T136" s="48"/>
      <c r="U136" s="82"/>
      <c r="V136" s="32"/>
      <c r="W136" s="200"/>
      <c r="X136" s="17"/>
    </row>
    <row r="137" spans="2:24" x14ac:dyDescent="0.25">
      <c r="B137" s="17">
        <v>135</v>
      </c>
      <c r="C137" s="10"/>
      <c r="D137" s="10"/>
      <c r="E137" s="72"/>
      <c r="F137" s="18"/>
      <c r="G137" s="10"/>
      <c r="H137" s="10"/>
      <c r="I137" s="10"/>
      <c r="J137" s="11"/>
      <c r="K137" s="11">
        <f t="shared" si="193"/>
        <v>0</v>
      </c>
      <c r="L137" s="37">
        <f t="shared" si="194"/>
        <v>0</v>
      </c>
      <c r="M137" s="11"/>
      <c r="N137" s="10"/>
      <c r="O137" s="21"/>
      <c r="P137" s="21"/>
      <c r="Q137" s="21"/>
      <c r="R137" s="23"/>
      <c r="S137" s="50"/>
      <c r="T137" s="48"/>
      <c r="U137" s="82"/>
      <c r="V137" s="26"/>
      <c r="W137" s="200"/>
      <c r="X137" s="17"/>
    </row>
    <row r="138" spans="2:24" x14ac:dyDescent="0.25">
      <c r="B138" s="17">
        <v>136</v>
      </c>
      <c r="C138" s="10"/>
      <c r="D138" s="10"/>
      <c r="E138" s="72"/>
      <c r="F138" s="18"/>
      <c r="G138" s="10"/>
      <c r="H138" s="10"/>
      <c r="I138" s="10"/>
      <c r="J138" s="11"/>
      <c r="K138" s="11">
        <f t="shared" si="193"/>
        <v>0</v>
      </c>
      <c r="L138" s="37">
        <f t="shared" si="194"/>
        <v>0</v>
      </c>
      <c r="M138" s="11"/>
      <c r="N138" s="10"/>
      <c r="O138" s="21"/>
      <c r="P138" s="21"/>
      <c r="Q138" s="21"/>
      <c r="R138" s="23"/>
      <c r="S138" s="50"/>
      <c r="T138" s="48"/>
      <c r="U138" s="82"/>
      <c r="V138" s="26"/>
      <c r="W138" s="200"/>
      <c r="X138" s="17"/>
    </row>
    <row r="139" spans="2:24" x14ac:dyDescent="0.25">
      <c r="B139" s="17">
        <v>137</v>
      </c>
      <c r="C139" s="10"/>
      <c r="D139" s="10"/>
      <c r="E139" s="72"/>
      <c r="F139" s="18"/>
      <c r="G139" s="10"/>
      <c r="H139" s="10"/>
      <c r="I139" s="10"/>
      <c r="J139" s="11"/>
      <c r="K139" s="11">
        <f t="shared" si="193"/>
        <v>0</v>
      </c>
      <c r="L139" s="37">
        <f t="shared" si="194"/>
        <v>0</v>
      </c>
      <c r="M139" s="11"/>
      <c r="N139" s="10"/>
      <c r="O139" s="21"/>
      <c r="P139" s="21"/>
      <c r="Q139" s="21"/>
      <c r="R139" s="23"/>
      <c r="S139" s="50"/>
      <c r="T139" s="48"/>
      <c r="U139" s="82"/>
      <c r="V139" s="26"/>
      <c r="W139" s="200"/>
      <c r="X139" s="17"/>
    </row>
    <row r="140" spans="2:24" x14ac:dyDescent="0.25">
      <c r="B140" s="17">
        <v>138</v>
      </c>
      <c r="C140" s="10"/>
      <c r="D140" s="10"/>
      <c r="E140" s="72"/>
      <c r="F140" s="18"/>
      <c r="G140" s="10"/>
      <c r="H140" s="10"/>
      <c r="I140" s="10"/>
      <c r="J140" s="11"/>
      <c r="K140" s="11">
        <f t="shared" si="193"/>
        <v>0</v>
      </c>
      <c r="L140" s="37">
        <f t="shared" si="194"/>
        <v>0</v>
      </c>
      <c r="M140" s="11"/>
      <c r="N140" s="10"/>
      <c r="O140" s="21"/>
      <c r="P140" s="21"/>
      <c r="Q140" s="21"/>
      <c r="R140" s="23"/>
      <c r="S140" s="50"/>
      <c r="T140" s="48"/>
      <c r="U140" s="82"/>
      <c r="V140" s="26"/>
      <c r="W140" s="200"/>
      <c r="X140" s="17"/>
    </row>
    <row r="141" spans="2:24" x14ac:dyDescent="0.25">
      <c r="B141" s="17">
        <v>139</v>
      </c>
      <c r="C141" s="10"/>
      <c r="D141" s="10"/>
      <c r="E141" s="72"/>
      <c r="F141" s="18"/>
      <c r="G141" s="10"/>
      <c r="H141" s="10"/>
      <c r="I141" s="10"/>
      <c r="J141" s="11"/>
      <c r="K141" s="11">
        <f t="shared" si="193"/>
        <v>0</v>
      </c>
      <c r="L141" s="37">
        <f t="shared" si="194"/>
        <v>0</v>
      </c>
      <c r="M141" s="11"/>
      <c r="N141" s="10"/>
      <c r="O141" s="21"/>
      <c r="P141" s="21"/>
      <c r="Q141" s="21"/>
      <c r="R141" s="23"/>
      <c r="S141" s="50"/>
      <c r="T141" s="48"/>
      <c r="U141" s="82"/>
      <c r="V141" s="26"/>
      <c r="W141" s="200"/>
      <c r="X141" s="17"/>
    </row>
    <row r="142" spans="2:24" x14ac:dyDescent="0.25">
      <c r="B142" s="17">
        <v>140</v>
      </c>
      <c r="C142" s="10"/>
      <c r="D142" s="10"/>
      <c r="E142" s="72"/>
      <c r="F142" s="18"/>
      <c r="G142" s="10"/>
      <c r="H142" s="10"/>
      <c r="I142" s="10"/>
      <c r="J142" s="11"/>
      <c r="K142" s="11">
        <f t="shared" si="193"/>
        <v>0</v>
      </c>
      <c r="L142" s="37">
        <f t="shared" si="194"/>
        <v>0</v>
      </c>
      <c r="M142" s="11"/>
      <c r="N142" s="10"/>
      <c r="O142" s="21"/>
      <c r="P142" s="21"/>
      <c r="Q142" s="21"/>
      <c r="R142" s="23"/>
      <c r="S142" s="50"/>
      <c r="T142" s="48"/>
      <c r="U142" s="82"/>
      <c r="V142" s="32"/>
      <c r="W142" s="200"/>
      <c r="X142" s="17"/>
    </row>
    <row r="143" spans="2:24" x14ac:dyDescent="0.25">
      <c r="B143" s="17">
        <v>141</v>
      </c>
      <c r="C143" s="10"/>
      <c r="D143" s="10"/>
      <c r="E143" s="72"/>
      <c r="F143" s="18"/>
      <c r="G143" s="10"/>
      <c r="H143" s="10"/>
      <c r="I143" s="10"/>
      <c r="J143" s="11"/>
      <c r="K143" s="11">
        <f t="shared" si="193"/>
        <v>0</v>
      </c>
      <c r="L143" s="37">
        <f t="shared" si="194"/>
        <v>0</v>
      </c>
      <c r="M143" s="11"/>
      <c r="N143" s="10"/>
      <c r="O143" s="21"/>
      <c r="P143" s="21"/>
      <c r="Q143" s="21"/>
      <c r="R143" s="23"/>
      <c r="S143" s="50"/>
      <c r="T143" s="48"/>
      <c r="U143" s="82"/>
      <c r="V143" s="32"/>
      <c r="W143" s="200"/>
      <c r="X143" s="17"/>
    </row>
    <row r="144" spans="2:24" x14ac:dyDescent="0.25">
      <c r="B144" s="17">
        <v>142</v>
      </c>
      <c r="C144" s="10"/>
      <c r="D144" s="10"/>
      <c r="E144" s="72"/>
      <c r="F144" s="18"/>
      <c r="G144" s="10"/>
      <c r="H144" s="10"/>
      <c r="I144" s="10"/>
      <c r="J144" s="11"/>
      <c r="K144" s="11">
        <f t="shared" si="193"/>
        <v>0</v>
      </c>
      <c r="L144" s="37">
        <f t="shared" si="194"/>
        <v>0</v>
      </c>
      <c r="M144" s="11"/>
      <c r="N144" s="10"/>
      <c r="O144" s="21"/>
      <c r="P144" s="21"/>
      <c r="Q144" s="21"/>
      <c r="R144" s="23"/>
      <c r="S144" s="50"/>
      <c r="T144" s="48"/>
      <c r="U144" s="82"/>
      <c r="V144" s="26"/>
      <c r="W144" s="200"/>
      <c r="X144" s="17"/>
    </row>
    <row r="145" spans="2:24" x14ac:dyDescent="0.25">
      <c r="B145" s="17">
        <v>143</v>
      </c>
      <c r="C145" s="10"/>
      <c r="D145" s="10"/>
      <c r="E145" s="72"/>
      <c r="F145" s="18"/>
      <c r="G145" s="10"/>
      <c r="H145" s="10"/>
      <c r="I145" s="10"/>
      <c r="J145" s="11"/>
      <c r="K145" s="11">
        <f t="shared" si="193"/>
        <v>0</v>
      </c>
      <c r="L145" s="37">
        <f t="shared" si="194"/>
        <v>0</v>
      </c>
      <c r="M145" s="11"/>
      <c r="N145" s="10"/>
      <c r="O145" s="21"/>
      <c r="P145" s="21"/>
      <c r="Q145" s="21"/>
      <c r="R145" s="23"/>
      <c r="S145" s="50"/>
      <c r="T145" s="48"/>
      <c r="U145" s="82"/>
      <c r="V145" s="26"/>
      <c r="W145" s="200"/>
      <c r="X145" s="17"/>
    </row>
    <row r="146" spans="2:24" x14ac:dyDescent="0.25">
      <c r="B146" s="17">
        <v>144</v>
      </c>
      <c r="C146" s="10"/>
      <c r="D146" s="10"/>
      <c r="E146" s="72"/>
      <c r="F146" s="18"/>
      <c r="G146" s="10"/>
      <c r="H146" s="10"/>
      <c r="I146" s="10"/>
      <c r="J146" s="11"/>
      <c r="K146" s="11">
        <f t="shared" si="193"/>
        <v>0</v>
      </c>
      <c r="L146" s="37">
        <f t="shared" si="194"/>
        <v>0</v>
      </c>
      <c r="M146" s="11"/>
      <c r="N146" s="10"/>
      <c r="O146" s="21"/>
      <c r="P146" s="21"/>
      <c r="Q146" s="21"/>
      <c r="R146" s="23"/>
      <c r="S146" s="50"/>
      <c r="T146" s="48"/>
      <c r="U146" s="82"/>
      <c r="V146" s="26"/>
      <c r="W146" s="200"/>
      <c r="X146" s="17"/>
    </row>
    <row r="147" spans="2:24" x14ac:dyDescent="0.25">
      <c r="B147" s="17">
        <v>145</v>
      </c>
      <c r="C147" s="10"/>
      <c r="D147" s="10"/>
      <c r="E147" s="72"/>
      <c r="F147" s="18"/>
      <c r="G147" s="10"/>
      <c r="H147" s="10"/>
      <c r="I147" s="10"/>
      <c r="J147" s="11"/>
      <c r="K147" s="11">
        <f t="shared" si="193"/>
        <v>0</v>
      </c>
      <c r="L147" s="37">
        <f t="shared" si="194"/>
        <v>0</v>
      </c>
      <c r="M147" s="11"/>
      <c r="N147" s="10"/>
      <c r="O147" s="21"/>
      <c r="P147" s="21"/>
      <c r="Q147" s="21"/>
      <c r="R147" s="23"/>
      <c r="S147" s="50"/>
      <c r="T147" s="48"/>
      <c r="U147" s="82"/>
      <c r="V147" s="26"/>
      <c r="W147" s="200"/>
      <c r="X147" s="17"/>
    </row>
    <row r="148" spans="2:24" x14ac:dyDescent="0.25">
      <c r="B148" s="17">
        <v>146</v>
      </c>
      <c r="C148" s="10"/>
      <c r="D148" s="10"/>
      <c r="E148" s="72"/>
      <c r="F148" s="18"/>
      <c r="G148" s="10"/>
      <c r="H148" s="10"/>
      <c r="I148" s="10"/>
      <c r="J148" s="11"/>
      <c r="K148" s="11">
        <f t="shared" si="193"/>
        <v>0</v>
      </c>
      <c r="L148" s="37">
        <f t="shared" si="194"/>
        <v>0</v>
      </c>
      <c r="M148" s="11"/>
      <c r="N148" s="10"/>
      <c r="O148" s="21"/>
      <c r="P148" s="21"/>
      <c r="Q148" s="21"/>
      <c r="R148" s="23"/>
      <c r="S148" s="50"/>
      <c r="T148" s="48"/>
      <c r="U148" s="82"/>
      <c r="V148" s="32"/>
      <c r="W148" s="200"/>
      <c r="X148" s="17"/>
    </row>
    <row r="149" spans="2:24" x14ac:dyDescent="0.25">
      <c r="B149" s="17">
        <v>147</v>
      </c>
      <c r="C149" s="10"/>
      <c r="D149" s="10"/>
      <c r="E149" s="72"/>
      <c r="F149" s="18"/>
      <c r="G149" s="10"/>
      <c r="H149" s="10"/>
      <c r="I149" s="10"/>
      <c r="J149" s="11"/>
      <c r="K149" s="11">
        <f t="shared" si="193"/>
        <v>0</v>
      </c>
      <c r="L149" s="37">
        <f t="shared" si="194"/>
        <v>0</v>
      </c>
      <c r="M149" s="11"/>
      <c r="N149" s="10"/>
      <c r="O149" s="21"/>
      <c r="P149" s="21"/>
      <c r="Q149" s="21"/>
      <c r="R149" s="23"/>
      <c r="S149" s="50"/>
      <c r="T149" s="48"/>
      <c r="U149" s="82"/>
      <c r="V149" s="32"/>
      <c r="W149" s="200"/>
      <c r="X149" s="17"/>
    </row>
    <row r="150" spans="2:24" x14ac:dyDescent="0.25">
      <c r="B150" s="17">
        <v>148</v>
      </c>
      <c r="C150" s="10"/>
      <c r="D150" s="10"/>
      <c r="E150" s="72"/>
      <c r="F150" s="18"/>
      <c r="G150" s="10"/>
      <c r="H150" s="10"/>
      <c r="I150" s="10"/>
      <c r="J150" s="11"/>
      <c r="K150" s="11">
        <f t="shared" si="193"/>
        <v>0</v>
      </c>
      <c r="L150" s="37">
        <f t="shared" si="194"/>
        <v>0</v>
      </c>
      <c r="M150" s="11"/>
      <c r="N150" s="10"/>
      <c r="O150" s="21"/>
      <c r="P150" s="21"/>
      <c r="Q150" s="21"/>
      <c r="R150" s="23"/>
      <c r="S150" s="50"/>
      <c r="T150" s="48"/>
      <c r="U150" s="82"/>
      <c r="V150" s="26"/>
      <c r="W150" s="200"/>
      <c r="X150" s="17"/>
    </row>
    <row r="151" spans="2:24" x14ac:dyDescent="0.25">
      <c r="B151" s="17">
        <v>149</v>
      </c>
      <c r="C151" s="10"/>
      <c r="D151" s="10"/>
      <c r="E151" s="72"/>
      <c r="F151" s="18"/>
      <c r="G151" s="10"/>
      <c r="H151" s="10"/>
      <c r="I151" s="10"/>
      <c r="J151" s="11"/>
      <c r="K151" s="11">
        <f t="shared" si="193"/>
        <v>0</v>
      </c>
      <c r="L151" s="37">
        <f t="shared" si="194"/>
        <v>0</v>
      </c>
      <c r="M151" s="11"/>
      <c r="N151" s="10"/>
      <c r="O151" s="21"/>
      <c r="P151" s="21"/>
      <c r="Q151" s="21"/>
      <c r="R151" s="23"/>
      <c r="S151" s="50"/>
      <c r="T151" s="48"/>
      <c r="U151" s="82"/>
      <c r="V151" s="26"/>
      <c r="W151" s="200"/>
      <c r="X151" s="17"/>
    </row>
    <row r="152" spans="2:24" x14ac:dyDescent="0.25">
      <c r="B152" s="17">
        <v>150</v>
      </c>
      <c r="C152" s="10"/>
      <c r="D152" s="10"/>
      <c r="E152" s="72"/>
      <c r="F152" s="18"/>
      <c r="G152" s="10"/>
      <c r="H152" s="10"/>
      <c r="I152" s="10"/>
      <c r="J152" s="11"/>
      <c r="K152" s="11">
        <f t="shared" si="193"/>
        <v>0</v>
      </c>
      <c r="L152" s="37">
        <f t="shared" si="194"/>
        <v>0</v>
      </c>
      <c r="M152" s="11"/>
      <c r="N152" s="10"/>
      <c r="O152" s="21"/>
      <c r="P152" s="21"/>
      <c r="Q152" s="21"/>
      <c r="R152" s="23"/>
      <c r="S152" s="50"/>
      <c r="T152" s="48"/>
      <c r="U152" s="82"/>
      <c r="V152" s="26"/>
      <c r="W152" s="200"/>
      <c r="X152" s="17"/>
    </row>
    <row r="153" spans="2:24" x14ac:dyDescent="0.25">
      <c r="B153" s="17">
        <v>151</v>
      </c>
      <c r="C153" s="10"/>
      <c r="D153" s="10"/>
      <c r="E153" s="72"/>
      <c r="F153" s="18"/>
      <c r="G153" s="10"/>
      <c r="H153" s="10"/>
      <c r="I153" s="10"/>
      <c r="J153" s="11"/>
      <c r="K153" s="11">
        <f t="shared" si="193"/>
        <v>0</v>
      </c>
      <c r="L153" s="37">
        <f t="shared" si="194"/>
        <v>0</v>
      </c>
      <c r="M153" s="11"/>
      <c r="N153" s="10"/>
      <c r="O153" s="21"/>
      <c r="P153" s="21"/>
      <c r="Q153" s="21"/>
      <c r="R153" s="23"/>
      <c r="S153" s="50"/>
      <c r="T153" s="48"/>
      <c r="U153" s="82"/>
      <c r="V153" s="26"/>
      <c r="W153" s="200"/>
      <c r="X153" s="17"/>
    </row>
    <row r="154" spans="2:24" x14ac:dyDescent="0.25">
      <c r="B154" s="17">
        <v>152</v>
      </c>
      <c r="C154" s="10"/>
      <c r="D154" s="10"/>
      <c r="E154" s="72"/>
      <c r="F154" s="18"/>
      <c r="G154" s="10"/>
      <c r="H154" s="10"/>
      <c r="I154" s="10"/>
      <c r="J154" s="11"/>
      <c r="K154" s="11">
        <f t="shared" si="193"/>
        <v>0</v>
      </c>
      <c r="L154" s="37">
        <f t="shared" si="194"/>
        <v>0</v>
      </c>
      <c r="M154" s="11"/>
      <c r="N154" s="10"/>
      <c r="O154" s="21"/>
      <c r="P154" s="21"/>
      <c r="Q154" s="21"/>
      <c r="R154" s="23"/>
      <c r="S154" s="50"/>
      <c r="T154" s="48"/>
      <c r="U154" s="82"/>
      <c r="V154" s="26"/>
      <c r="W154" s="200"/>
      <c r="X154" s="17"/>
    </row>
    <row r="155" spans="2:24" x14ac:dyDescent="0.25">
      <c r="B155" s="17">
        <v>153</v>
      </c>
      <c r="C155" s="10"/>
      <c r="D155" s="10"/>
      <c r="E155" s="72"/>
      <c r="F155" s="18"/>
      <c r="G155" s="10"/>
      <c r="H155" s="10"/>
      <c r="I155" s="10"/>
      <c r="J155" s="11"/>
      <c r="K155" s="11">
        <f t="shared" si="193"/>
        <v>0</v>
      </c>
      <c r="L155" s="37">
        <f t="shared" si="194"/>
        <v>0</v>
      </c>
      <c r="M155" s="11"/>
      <c r="N155" s="10"/>
      <c r="O155" s="21"/>
      <c r="P155" s="21"/>
      <c r="Q155" s="21"/>
      <c r="R155" s="23"/>
      <c r="S155" s="50"/>
      <c r="T155" s="48"/>
      <c r="U155" s="82"/>
      <c r="V155" s="32"/>
      <c r="W155" s="200"/>
      <c r="X155" s="17"/>
    </row>
    <row r="156" spans="2:24" x14ac:dyDescent="0.25">
      <c r="B156" s="17">
        <v>154</v>
      </c>
      <c r="C156" s="10"/>
      <c r="D156" s="10"/>
      <c r="E156" s="72"/>
      <c r="F156" s="18"/>
      <c r="G156" s="10"/>
      <c r="H156" s="10"/>
      <c r="I156" s="10"/>
      <c r="J156" s="11"/>
      <c r="K156" s="11">
        <f t="shared" si="193"/>
        <v>0</v>
      </c>
      <c r="L156" s="37">
        <f t="shared" si="194"/>
        <v>0</v>
      </c>
      <c r="M156" s="11"/>
      <c r="N156" s="10"/>
      <c r="O156" s="21"/>
      <c r="P156" s="21"/>
      <c r="Q156" s="21"/>
      <c r="R156" s="23"/>
      <c r="S156" s="50"/>
      <c r="T156" s="48"/>
      <c r="U156" s="82"/>
      <c r="V156" s="32"/>
      <c r="W156" s="200"/>
      <c r="X156" s="17"/>
    </row>
    <row r="157" spans="2:24" x14ac:dyDescent="0.25">
      <c r="B157" s="17">
        <v>155</v>
      </c>
      <c r="C157" s="10"/>
      <c r="D157" s="10"/>
      <c r="E157" s="72"/>
      <c r="F157" s="18"/>
      <c r="G157" s="10"/>
      <c r="H157" s="10"/>
      <c r="I157" s="10"/>
      <c r="J157" s="11"/>
      <c r="K157" s="11">
        <f t="shared" si="193"/>
        <v>0</v>
      </c>
      <c r="L157" s="37">
        <f t="shared" si="194"/>
        <v>0</v>
      </c>
      <c r="M157" s="11"/>
      <c r="N157" s="10"/>
      <c r="O157" s="21"/>
      <c r="P157" s="21"/>
      <c r="Q157" s="21"/>
      <c r="R157" s="23"/>
      <c r="S157" s="50"/>
      <c r="T157" s="48"/>
      <c r="U157" s="82"/>
      <c r="V157" s="26"/>
      <c r="W157" s="200"/>
      <c r="X157" s="17"/>
    </row>
    <row r="158" spans="2:24" x14ac:dyDescent="0.25">
      <c r="B158" s="17">
        <v>156</v>
      </c>
      <c r="C158" s="10"/>
      <c r="D158" s="10"/>
      <c r="E158" s="72"/>
      <c r="F158" s="18"/>
      <c r="G158" s="10"/>
      <c r="H158" s="10"/>
      <c r="I158" s="10"/>
      <c r="J158" s="11"/>
      <c r="K158" s="11">
        <f t="shared" si="193"/>
        <v>0</v>
      </c>
      <c r="L158" s="37">
        <f t="shared" si="194"/>
        <v>0</v>
      </c>
      <c r="M158" s="11"/>
      <c r="N158" s="10"/>
      <c r="O158" s="21"/>
      <c r="P158" s="21"/>
      <c r="Q158" s="21"/>
      <c r="R158" s="23"/>
      <c r="S158" s="50"/>
      <c r="T158" s="48"/>
      <c r="U158" s="82"/>
      <c r="V158" s="26"/>
      <c r="W158" s="200"/>
      <c r="X158" s="17"/>
    </row>
    <row r="159" spans="2:24" x14ac:dyDescent="0.25">
      <c r="B159" s="17">
        <v>157</v>
      </c>
      <c r="C159" s="10"/>
      <c r="D159" s="10"/>
      <c r="E159" s="72"/>
      <c r="F159" s="18"/>
      <c r="G159" s="10"/>
      <c r="H159" s="10"/>
      <c r="I159" s="10"/>
      <c r="J159" s="11"/>
      <c r="K159" s="11">
        <f t="shared" si="193"/>
        <v>0</v>
      </c>
      <c r="L159" s="37">
        <f t="shared" si="194"/>
        <v>0</v>
      </c>
      <c r="M159" s="11"/>
      <c r="N159" s="10"/>
      <c r="O159" s="21"/>
      <c r="P159" s="21"/>
      <c r="Q159" s="21"/>
      <c r="R159" s="23"/>
      <c r="S159" s="50"/>
      <c r="T159" s="48"/>
      <c r="U159" s="82"/>
      <c r="V159" s="26"/>
      <c r="W159" s="200"/>
      <c r="X159" s="17"/>
    </row>
    <row r="160" spans="2:24" x14ac:dyDescent="0.25">
      <c r="B160" s="17">
        <v>158</v>
      </c>
      <c r="C160" s="10"/>
      <c r="D160" s="10"/>
      <c r="E160" s="72"/>
      <c r="F160" s="18"/>
      <c r="G160" s="10"/>
      <c r="H160" s="10"/>
      <c r="I160" s="10"/>
      <c r="J160" s="11"/>
      <c r="K160" s="11">
        <f t="shared" si="193"/>
        <v>0</v>
      </c>
      <c r="L160" s="37">
        <f t="shared" si="194"/>
        <v>0</v>
      </c>
      <c r="M160" s="11"/>
      <c r="N160" s="10"/>
      <c r="O160" s="21"/>
      <c r="P160" s="21"/>
      <c r="Q160" s="21"/>
      <c r="R160" s="23"/>
      <c r="S160" s="50"/>
      <c r="T160" s="48"/>
      <c r="U160" s="82"/>
      <c r="V160" s="26"/>
      <c r="W160" s="200"/>
      <c r="X160" s="17"/>
    </row>
    <row r="161" spans="2:24" x14ac:dyDescent="0.25">
      <c r="B161" s="17">
        <v>159</v>
      </c>
      <c r="C161" s="10"/>
      <c r="D161" s="10"/>
      <c r="E161" s="72"/>
      <c r="F161" s="18"/>
      <c r="G161" s="10"/>
      <c r="H161" s="10"/>
      <c r="I161" s="10"/>
      <c r="J161" s="11"/>
      <c r="K161" s="11">
        <f t="shared" si="193"/>
        <v>0</v>
      </c>
      <c r="L161" s="37">
        <f t="shared" si="194"/>
        <v>0</v>
      </c>
      <c r="M161" s="11"/>
      <c r="N161" s="10"/>
      <c r="O161" s="21"/>
      <c r="P161" s="21"/>
      <c r="Q161" s="21"/>
      <c r="R161" s="23"/>
      <c r="S161" s="50"/>
      <c r="T161" s="48"/>
      <c r="U161" s="82"/>
      <c r="V161" s="26"/>
      <c r="W161" s="200"/>
      <c r="X161" s="17"/>
    </row>
    <row r="162" spans="2:24" x14ac:dyDescent="0.25">
      <c r="B162" s="17">
        <v>160</v>
      </c>
      <c r="C162" s="10"/>
      <c r="D162" s="10"/>
      <c r="E162" s="72"/>
      <c r="F162" s="18"/>
      <c r="G162" s="10"/>
      <c r="H162" s="10"/>
      <c r="I162" s="10"/>
      <c r="J162" s="11"/>
      <c r="K162" s="11">
        <f t="shared" si="193"/>
        <v>0</v>
      </c>
      <c r="L162" s="37">
        <f t="shared" si="194"/>
        <v>0</v>
      </c>
      <c r="M162" s="11"/>
      <c r="N162" s="10"/>
      <c r="O162" s="21"/>
      <c r="P162" s="21"/>
      <c r="Q162" s="21"/>
      <c r="R162" s="23"/>
      <c r="S162" s="50"/>
      <c r="T162" s="48"/>
      <c r="U162" s="82"/>
      <c r="V162" s="32"/>
      <c r="W162" s="200"/>
      <c r="X162" s="17"/>
    </row>
    <row r="163" spans="2:24" x14ac:dyDescent="0.25">
      <c r="B163" s="17">
        <v>161</v>
      </c>
      <c r="C163" s="10"/>
      <c r="D163" s="10"/>
      <c r="E163" s="72"/>
      <c r="F163" s="18"/>
      <c r="G163" s="10"/>
      <c r="H163" s="10"/>
      <c r="I163" s="10"/>
      <c r="J163" s="11"/>
      <c r="K163" s="11">
        <f t="shared" si="193"/>
        <v>0</v>
      </c>
      <c r="L163" s="37">
        <f t="shared" si="194"/>
        <v>0</v>
      </c>
      <c r="M163" s="11"/>
      <c r="N163" s="10"/>
      <c r="O163" s="21"/>
      <c r="P163" s="21"/>
      <c r="Q163" s="21"/>
      <c r="R163" s="23"/>
      <c r="S163" s="50"/>
      <c r="T163" s="48"/>
      <c r="U163" s="82"/>
      <c r="V163" s="32"/>
      <c r="W163" s="200"/>
      <c r="X163" s="17"/>
    </row>
    <row r="164" spans="2:24" x14ac:dyDescent="0.25">
      <c r="B164" s="17">
        <v>162</v>
      </c>
      <c r="C164" s="10"/>
      <c r="D164" s="10"/>
      <c r="E164" s="72"/>
      <c r="F164" s="18"/>
      <c r="G164" s="10"/>
      <c r="H164" s="10"/>
      <c r="I164" s="10"/>
      <c r="J164" s="11"/>
      <c r="K164" s="11">
        <f t="shared" si="193"/>
        <v>0</v>
      </c>
      <c r="L164" s="37">
        <f t="shared" si="194"/>
        <v>0</v>
      </c>
      <c r="M164" s="11"/>
      <c r="N164" s="10"/>
      <c r="O164" s="21"/>
      <c r="P164" s="21"/>
      <c r="Q164" s="21"/>
      <c r="R164" s="23"/>
      <c r="S164" s="50"/>
      <c r="T164" s="48"/>
      <c r="U164" s="82"/>
      <c r="V164" s="32"/>
      <c r="W164" s="200"/>
      <c r="X164" s="17"/>
    </row>
    <row r="165" spans="2:24" x14ac:dyDescent="0.25">
      <c r="B165" s="17">
        <v>163</v>
      </c>
      <c r="C165" s="10"/>
      <c r="D165" s="10"/>
      <c r="E165" s="72"/>
      <c r="F165" s="18"/>
      <c r="G165" s="10"/>
      <c r="H165" s="10"/>
      <c r="I165" s="10"/>
      <c r="J165" s="11"/>
      <c r="K165" s="11">
        <f t="shared" si="193"/>
        <v>0</v>
      </c>
      <c r="L165" s="37">
        <f t="shared" si="194"/>
        <v>0</v>
      </c>
      <c r="M165" s="11"/>
      <c r="N165" s="10"/>
      <c r="O165" s="21"/>
      <c r="P165" s="21"/>
      <c r="Q165" s="21"/>
      <c r="R165" s="23"/>
      <c r="S165" s="50"/>
      <c r="T165" s="48"/>
      <c r="U165" s="82"/>
      <c r="V165" s="32"/>
      <c r="W165" s="200"/>
      <c r="X165" s="17"/>
    </row>
    <row r="166" spans="2:24" x14ac:dyDescent="0.25">
      <c r="B166" s="17">
        <v>164</v>
      </c>
      <c r="C166" s="10"/>
      <c r="D166" s="10"/>
      <c r="E166" s="72"/>
      <c r="F166" s="18"/>
      <c r="G166" s="10"/>
      <c r="H166" s="10"/>
      <c r="I166" s="10"/>
      <c r="J166" s="11"/>
      <c r="K166" s="11">
        <f t="shared" si="193"/>
        <v>0</v>
      </c>
      <c r="L166" s="37">
        <f t="shared" si="194"/>
        <v>0</v>
      </c>
      <c r="M166" s="11"/>
      <c r="N166" s="10"/>
      <c r="O166" s="21"/>
      <c r="P166" s="21"/>
      <c r="Q166" s="21"/>
      <c r="R166" s="23"/>
      <c r="S166" s="50"/>
      <c r="T166" s="48"/>
      <c r="U166" s="82"/>
      <c r="V166" s="26"/>
      <c r="W166" s="200"/>
      <c r="X166" s="17"/>
    </row>
    <row r="167" spans="2:24" x14ac:dyDescent="0.25">
      <c r="B167" s="17">
        <v>165</v>
      </c>
      <c r="C167" s="10"/>
      <c r="D167" s="10"/>
      <c r="E167" s="72"/>
      <c r="F167" s="18"/>
      <c r="G167" s="10"/>
      <c r="H167" s="10"/>
      <c r="I167" s="10"/>
      <c r="J167" s="11"/>
      <c r="K167" s="11">
        <f t="shared" si="193"/>
        <v>0</v>
      </c>
      <c r="L167" s="37">
        <f t="shared" si="194"/>
        <v>0</v>
      </c>
      <c r="M167" s="11"/>
      <c r="N167" s="10"/>
      <c r="O167" s="21"/>
      <c r="P167" s="21"/>
      <c r="Q167" s="21"/>
      <c r="R167" s="23"/>
      <c r="S167" s="50"/>
      <c r="T167" s="48"/>
      <c r="U167" s="82"/>
      <c r="V167" s="26"/>
      <c r="W167" s="200"/>
      <c r="X167" s="17"/>
    </row>
    <row r="168" spans="2:24" x14ac:dyDescent="0.25">
      <c r="B168" s="17">
        <v>166</v>
      </c>
      <c r="C168" s="10"/>
      <c r="D168" s="10"/>
      <c r="E168" s="72"/>
      <c r="F168" s="18"/>
      <c r="G168" s="10"/>
      <c r="H168" s="10"/>
      <c r="I168" s="10"/>
      <c r="J168" s="11"/>
      <c r="K168" s="11">
        <f t="shared" si="193"/>
        <v>0</v>
      </c>
      <c r="L168" s="37">
        <f t="shared" si="194"/>
        <v>0</v>
      </c>
      <c r="M168" s="11"/>
      <c r="N168" s="10"/>
      <c r="O168" s="21"/>
      <c r="P168" s="21"/>
      <c r="Q168" s="21"/>
      <c r="R168" s="23"/>
      <c r="S168" s="50"/>
      <c r="T168" s="48"/>
      <c r="U168" s="82"/>
      <c r="V168" s="26"/>
      <c r="W168" s="200"/>
      <c r="X168" s="17"/>
    </row>
    <row r="169" spans="2:24" x14ac:dyDescent="0.25">
      <c r="B169" s="17">
        <v>167</v>
      </c>
      <c r="C169" s="10"/>
      <c r="D169" s="10"/>
      <c r="E169" s="72"/>
      <c r="F169" s="18"/>
      <c r="G169" s="10"/>
      <c r="H169" s="10"/>
      <c r="I169" s="10"/>
      <c r="J169" s="11"/>
      <c r="K169" s="11">
        <f t="shared" si="193"/>
        <v>0</v>
      </c>
      <c r="L169" s="37">
        <f t="shared" si="194"/>
        <v>0</v>
      </c>
      <c r="M169" s="11"/>
      <c r="N169" s="10"/>
      <c r="O169" s="21"/>
      <c r="P169" s="21"/>
      <c r="Q169" s="21"/>
      <c r="R169" s="23"/>
      <c r="S169" s="50"/>
      <c r="T169" s="48"/>
      <c r="U169" s="82"/>
      <c r="V169" s="26"/>
      <c r="W169" s="200"/>
      <c r="X169" s="17"/>
    </row>
    <row r="170" spans="2:24" x14ac:dyDescent="0.25">
      <c r="B170" s="17">
        <v>168</v>
      </c>
      <c r="C170" s="10"/>
      <c r="D170" s="10"/>
      <c r="E170" s="72"/>
      <c r="F170" s="18"/>
      <c r="G170" s="10"/>
      <c r="H170" s="10"/>
      <c r="I170" s="10"/>
      <c r="J170" s="11"/>
      <c r="K170" s="11">
        <f t="shared" si="193"/>
        <v>0</v>
      </c>
      <c r="L170" s="37">
        <f t="shared" si="194"/>
        <v>0</v>
      </c>
      <c r="M170" s="11"/>
      <c r="N170" s="10"/>
      <c r="O170" s="21"/>
      <c r="P170" s="21"/>
      <c r="Q170" s="21"/>
      <c r="R170" s="23"/>
      <c r="S170" s="50"/>
      <c r="T170" s="48"/>
      <c r="U170" s="82"/>
      <c r="V170" s="32"/>
      <c r="W170" s="200"/>
      <c r="X170" s="17"/>
    </row>
    <row r="171" spans="2:24" x14ac:dyDescent="0.25">
      <c r="B171" s="17">
        <v>169</v>
      </c>
      <c r="C171" s="10"/>
      <c r="D171" s="10"/>
      <c r="E171" s="72"/>
      <c r="F171" s="18"/>
      <c r="G171" s="10"/>
      <c r="H171" s="10"/>
      <c r="I171" s="10"/>
      <c r="J171" s="11"/>
      <c r="K171" s="11">
        <f t="shared" si="193"/>
        <v>0</v>
      </c>
      <c r="L171" s="37">
        <f t="shared" si="194"/>
        <v>0</v>
      </c>
      <c r="M171" s="11"/>
      <c r="N171" s="10"/>
      <c r="O171" s="21"/>
      <c r="P171" s="21"/>
      <c r="Q171" s="21"/>
      <c r="R171" s="23"/>
      <c r="S171" s="50"/>
      <c r="T171" s="48"/>
      <c r="U171" s="82"/>
      <c r="V171" s="32"/>
      <c r="W171" s="200"/>
      <c r="X171" s="17"/>
    </row>
    <row r="172" spans="2:24" x14ac:dyDescent="0.25">
      <c r="B172" s="17">
        <v>170</v>
      </c>
      <c r="C172" s="10"/>
      <c r="D172" s="10"/>
      <c r="E172" s="72"/>
      <c r="F172" s="18"/>
      <c r="G172" s="10"/>
      <c r="H172" s="10"/>
      <c r="I172" s="10"/>
      <c r="J172" s="11"/>
      <c r="K172" s="11">
        <f t="shared" si="193"/>
        <v>0</v>
      </c>
      <c r="L172" s="37">
        <f t="shared" si="194"/>
        <v>0</v>
      </c>
      <c r="M172" s="11"/>
      <c r="N172" s="10"/>
      <c r="O172" s="21"/>
      <c r="P172" s="21"/>
      <c r="Q172" s="21"/>
      <c r="R172" s="23"/>
      <c r="S172" s="50"/>
      <c r="T172" s="48"/>
      <c r="U172" s="82"/>
      <c r="V172" s="26"/>
      <c r="W172" s="200"/>
      <c r="X172" s="17"/>
    </row>
    <row r="173" spans="2:24" x14ac:dyDescent="0.25">
      <c r="B173" s="17">
        <v>171</v>
      </c>
      <c r="C173" s="10"/>
      <c r="D173" s="10"/>
      <c r="E173" s="72"/>
      <c r="F173" s="18"/>
      <c r="G173" s="10"/>
      <c r="H173" s="10"/>
      <c r="I173" s="10"/>
      <c r="J173" s="11"/>
      <c r="K173" s="11">
        <f t="shared" si="193"/>
        <v>0</v>
      </c>
      <c r="L173" s="37">
        <f t="shared" si="194"/>
        <v>0</v>
      </c>
      <c r="M173" s="11"/>
      <c r="N173" s="10"/>
      <c r="O173" s="21"/>
      <c r="P173" s="21"/>
      <c r="Q173" s="21"/>
      <c r="R173" s="23"/>
      <c r="S173" s="50"/>
      <c r="T173" s="48"/>
      <c r="U173" s="82"/>
      <c r="V173" s="26"/>
      <c r="W173" s="200"/>
      <c r="X173" s="17"/>
    </row>
    <row r="174" spans="2:24" x14ac:dyDescent="0.25">
      <c r="B174" s="17">
        <v>172</v>
      </c>
      <c r="C174" s="10"/>
      <c r="D174" s="10"/>
      <c r="E174" s="72"/>
      <c r="F174" s="18"/>
      <c r="G174" s="10"/>
      <c r="H174" s="10"/>
      <c r="I174" s="10"/>
      <c r="J174" s="11"/>
      <c r="K174" s="11">
        <f t="shared" si="193"/>
        <v>0</v>
      </c>
      <c r="L174" s="37">
        <f t="shared" si="194"/>
        <v>0</v>
      </c>
      <c r="M174" s="11"/>
      <c r="N174" s="10"/>
      <c r="O174" s="21"/>
      <c r="P174" s="21"/>
      <c r="Q174" s="21"/>
      <c r="R174" s="23"/>
      <c r="S174" s="50"/>
      <c r="T174" s="48"/>
      <c r="U174" s="82"/>
      <c r="V174" s="26"/>
      <c r="W174" s="200"/>
      <c r="X174" s="17"/>
    </row>
    <row r="175" spans="2:24" x14ac:dyDescent="0.25">
      <c r="B175" s="17">
        <v>173</v>
      </c>
      <c r="C175" s="10"/>
      <c r="D175" s="10"/>
      <c r="E175" s="72"/>
      <c r="F175" s="18"/>
      <c r="G175" s="10"/>
      <c r="H175" s="10"/>
      <c r="I175" s="10"/>
      <c r="J175" s="11"/>
      <c r="K175" s="11">
        <f t="shared" si="193"/>
        <v>0</v>
      </c>
      <c r="L175" s="37">
        <f t="shared" si="194"/>
        <v>0</v>
      </c>
      <c r="M175" s="11"/>
      <c r="N175" s="10"/>
      <c r="O175" s="21"/>
      <c r="P175" s="21"/>
      <c r="Q175" s="21"/>
      <c r="R175" s="23"/>
      <c r="S175" s="50"/>
      <c r="T175" s="48"/>
      <c r="U175" s="82"/>
      <c r="V175" s="26"/>
      <c r="W175" s="200"/>
      <c r="X175" s="17"/>
    </row>
    <row r="176" spans="2:24" x14ac:dyDescent="0.25">
      <c r="B176" s="17">
        <v>174</v>
      </c>
      <c r="C176" s="10"/>
      <c r="D176" s="10"/>
      <c r="E176" s="72"/>
      <c r="F176" s="18"/>
      <c r="G176" s="10"/>
      <c r="H176" s="10"/>
      <c r="I176" s="10"/>
      <c r="J176" s="11"/>
      <c r="K176" s="11">
        <f t="shared" si="193"/>
        <v>0</v>
      </c>
      <c r="L176" s="37">
        <f t="shared" si="194"/>
        <v>0</v>
      </c>
      <c r="M176" s="11"/>
      <c r="N176" s="10"/>
      <c r="O176" s="21"/>
      <c r="P176" s="21"/>
      <c r="Q176" s="21"/>
      <c r="R176" s="23"/>
      <c r="S176" s="50"/>
      <c r="T176" s="48"/>
      <c r="U176" s="82"/>
      <c r="V176" s="26"/>
      <c r="W176" s="200"/>
      <c r="X176" s="17"/>
    </row>
    <row r="177" spans="2:24" x14ac:dyDescent="0.25">
      <c r="B177" s="17">
        <v>175</v>
      </c>
      <c r="C177" s="10"/>
      <c r="D177" s="10"/>
      <c r="E177" s="72"/>
      <c r="F177" s="18"/>
      <c r="G177" s="10"/>
      <c r="H177" s="10"/>
      <c r="I177" s="10"/>
      <c r="J177" s="11"/>
      <c r="K177" s="11">
        <f t="shared" si="193"/>
        <v>0</v>
      </c>
      <c r="L177" s="37">
        <f t="shared" si="194"/>
        <v>0</v>
      </c>
      <c r="M177" s="11"/>
      <c r="N177" s="10"/>
      <c r="O177" s="21"/>
      <c r="P177" s="21"/>
      <c r="Q177" s="21"/>
      <c r="R177" s="23"/>
      <c r="S177" s="50"/>
      <c r="T177" s="48"/>
      <c r="U177" s="82"/>
      <c r="V177" s="32"/>
      <c r="W177" s="200"/>
      <c r="X177" s="17"/>
    </row>
    <row r="178" spans="2:24" x14ac:dyDescent="0.25">
      <c r="B178" s="17">
        <v>176</v>
      </c>
      <c r="C178" s="10"/>
      <c r="D178" s="10"/>
      <c r="E178" s="72"/>
      <c r="F178" s="18"/>
      <c r="G178" s="10"/>
      <c r="H178" s="10"/>
      <c r="I178" s="10"/>
      <c r="J178" s="11"/>
      <c r="K178" s="11">
        <f t="shared" si="193"/>
        <v>0</v>
      </c>
      <c r="L178" s="37">
        <f t="shared" si="194"/>
        <v>0</v>
      </c>
      <c r="M178" s="11"/>
      <c r="N178" s="10"/>
      <c r="O178" s="21"/>
      <c r="P178" s="21"/>
      <c r="Q178" s="21"/>
      <c r="R178" s="23"/>
      <c r="S178" s="50"/>
      <c r="T178" s="48"/>
      <c r="U178" s="82"/>
      <c r="V178" s="32"/>
      <c r="W178" s="200"/>
      <c r="X178" s="17"/>
    </row>
    <row r="179" spans="2:24" x14ac:dyDescent="0.25">
      <c r="B179" s="17">
        <v>177</v>
      </c>
      <c r="C179" s="10"/>
      <c r="D179" s="10"/>
      <c r="E179" s="72"/>
      <c r="F179" s="18"/>
      <c r="G179" s="10"/>
      <c r="H179" s="10"/>
      <c r="I179" s="10"/>
      <c r="J179" s="11"/>
      <c r="K179" s="11">
        <f t="shared" si="193"/>
        <v>0</v>
      </c>
      <c r="L179" s="37">
        <f t="shared" si="194"/>
        <v>0</v>
      </c>
      <c r="M179" s="11"/>
      <c r="N179" s="10"/>
      <c r="O179" s="21"/>
      <c r="P179" s="21"/>
      <c r="Q179" s="21"/>
      <c r="R179" s="23"/>
      <c r="S179" s="50"/>
      <c r="T179" s="48"/>
      <c r="U179" s="82"/>
      <c r="V179" s="26"/>
      <c r="W179" s="200"/>
      <c r="X179" s="17"/>
    </row>
    <row r="180" spans="2:24" x14ac:dyDescent="0.25">
      <c r="B180" s="17">
        <v>178</v>
      </c>
      <c r="C180" s="10"/>
      <c r="D180" s="10"/>
      <c r="E180" s="72"/>
      <c r="F180" s="18"/>
      <c r="G180" s="10"/>
      <c r="H180" s="10"/>
      <c r="I180" s="10"/>
      <c r="J180" s="11"/>
      <c r="K180" s="11">
        <f t="shared" si="193"/>
        <v>0</v>
      </c>
      <c r="L180" s="37">
        <f t="shared" si="194"/>
        <v>0</v>
      </c>
      <c r="M180" s="11"/>
      <c r="N180" s="10"/>
      <c r="O180" s="21"/>
      <c r="P180" s="21"/>
      <c r="Q180" s="21"/>
      <c r="R180" s="23"/>
      <c r="S180" s="50"/>
      <c r="T180" s="48"/>
      <c r="U180" s="82"/>
      <c r="V180" s="26"/>
      <c r="W180" s="200"/>
      <c r="X180" s="17"/>
    </row>
    <row r="181" spans="2:24" x14ac:dyDescent="0.25">
      <c r="B181" s="17">
        <v>179</v>
      </c>
      <c r="C181" s="10"/>
      <c r="D181" s="10"/>
      <c r="E181" s="72"/>
      <c r="F181" s="18"/>
      <c r="G181" s="10"/>
      <c r="H181" s="10"/>
      <c r="I181" s="10"/>
      <c r="J181" s="11"/>
      <c r="K181" s="11">
        <f t="shared" si="193"/>
        <v>0</v>
      </c>
      <c r="L181" s="37">
        <f t="shared" si="194"/>
        <v>0</v>
      </c>
      <c r="M181" s="11"/>
      <c r="N181" s="10"/>
      <c r="O181" s="21"/>
      <c r="P181" s="21"/>
      <c r="Q181" s="21"/>
      <c r="R181" s="23"/>
      <c r="S181" s="50"/>
      <c r="T181" s="48"/>
      <c r="U181" s="82"/>
      <c r="V181" s="26"/>
      <c r="W181" s="200"/>
      <c r="X181" s="17"/>
    </row>
    <row r="182" spans="2:24" x14ac:dyDescent="0.25">
      <c r="B182" s="17">
        <v>180</v>
      </c>
      <c r="C182" s="10"/>
      <c r="D182" s="10"/>
      <c r="E182" s="72"/>
      <c r="F182" s="18"/>
      <c r="G182" s="10"/>
      <c r="H182" s="10"/>
      <c r="I182" s="10"/>
      <c r="J182" s="11"/>
      <c r="K182" s="11">
        <f t="shared" si="193"/>
        <v>0</v>
      </c>
      <c r="L182" s="37">
        <f t="shared" si="194"/>
        <v>0</v>
      </c>
      <c r="M182" s="11"/>
      <c r="N182" s="10"/>
      <c r="O182" s="21"/>
      <c r="P182" s="21"/>
      <c r="Q182" s="21"/>
      <c r="R182" s="23"/>
      <c r="S182" s="50"/>
      <c r="T182" s="48"/>
      <c r="U182" s="82"/>
      <c r="V182" s="26"/>
      <c r="W182" s="200"/>
      <c r="X182" s="17"/>
    </row>
    <row r="183" spans="2:24" x14ac:dyDescent="0.25">
      <c r="B183" s="17">
        <v>181</v>
      </c>
      <c r="C183" s="10"/>
      <c r="D183" s="10"/>
      <c r="E183" s="72"/>
      <c r="F183" s="18"/>
      <c r="G183" s="10"/>
      <c r="H183" s="10"/>
      <c r="I183" s="10"/>
      <c r="J183" s="11"/>
      <c r="K183" s="11">
        <f t="shared" si="193"/>
        <v>0</v>
      </c>
      <c r="L183" s="37">
        <f t="shared" si="194"/>
        <v>0</v>
      </c>
      <c r="M183" s="11"/>
      <c r="N183" s="10"/>
      <c r="O183" s="21"/>
      <c r="P183" s="21"/>
      <c r="Q183" s="21"/>
      <c r="R183" s="23"/>
      <c r="S183" s="50"/>
      <c r="T183" s="48"/>
      <c r="U183" s="82"/>
      <c r="V183" s="26"/>
      <c r="W183" s="200"/>
      <c r="X183" s="17"/>
    </row>
    <row r="184" spans="2:24" x14ac:dyDescent="0.25">
      <c r="B184" s="17">
        <v>182</v>
      </c>
      <c r="C184" s="10"/>
      <c r="D184" s="10"/>
      <c r="E184" s="72"/>
      <c r="F184" s="18"/>
      <c r="G184" s="10"/>
      <c r="H184" s="10"/>
      <c r="I184" s="10"/>
      <c r="J184" s="11"/>
      <c r="K184" s="11">
        <f t="shared" si="193"/>
        <v>0</v>
      </c>
      <c r="L184" s="37">
        <f t="shared" si="194"/>
        <v>0</v>
      </c>
      <c r="M184" s="11"/>
      <c r="N184" s="10"/>
      <c r="O184" s="21"/>
      <c r="P184" s="21"/>
      <c r="Q184" s="21"/>
      <c r="R184" s="23"/>
      <c r="S184" s="50"/>
      <c r="T184" s="48"/>
      <c r="U184" s="82"/>
      <c r="V184" s="32"/>
      <c r="W184" s="200"/>
      <c r="X184" s="17"/>
    </row>
    <row r="185" spans="2:24" x14ac:dyDescent="0.25">
      <c r="B185" s="17">
        <v>183</v>
      </c>
      <c r="C185" s="10"/>
      <c r="D185" s="10"/>
      <c r="E185" s="72"/>
      <c r="F185" s="18"/>
      <c r="G185" s="10"/>
      <c r="H185" s="10"/>
      <c r="I185" s="10"/>
      <c r="J185" s="11"/>
      <c r="K185" s="11">
        <f t="shared" si="193"/>
        <v>0</v>
      </c>
      <c r="L185" s="37">
        <f t="shared" si="194"/>
        <v>0</v>
      </c>
      <c r="M185" s="11"/>
      <c r="N185" s="10"/>
      <c r="O185" s="21"/>
      <c r="P185" s="21"/>
      <c r="Q185" s="21"/>
      <c r="R185" s="23"/>
      <c r="S185" s="50"/>
      <c r="T185" s="48"/>
      <c r="U185" s="82"/>
      <c r="V185" s="32"/>
      <c r="W185" s="200"/>
      <c r="X185" s="17"/>
    </row>
    <row r="186" spans="2:24" x14ac:dyDescent="0.25">
      <c r="B186" s="17">
        <v>184</v>
      </c>
      <c r="C186" s="10"/>
      <c r="D186" s="10"/>
      <c r="E186" s="72"/>
      <c r="F186" s="18"/>
      <c r="G186" s="10"/>
      <c r="H186" s="10"/>
      <c r="I186" s="10"/>
      <c r="J186" s="11"/>
      <c r="K186" s="11">
        <f t="shared" si="193"/>
        <v>0</v>
      </c>
      <c r="L186" s="37">
        <f t="shared" si="194"/>
        <v>0</v>
      </c>
      <c r="M186" s="11"/>
      <c r="N186" s="10"/>
      <c r="O186" s="21"/>
      <c r="P186" s="21"/>
      <c r="Q186" s="21"/>
      <c r="R186" s="23"/>
      <c r="S186" s="50"/>
      <c r="T186" s="48"/>
      <c r="U186" s="82"/>
      <c r="V186" s="32"/>
      <c r="W186" s="200"/>
      <c r="X186" s="17"/>
    </row>
    <row r="187" spans="2:24" x14ac:dyDescent="0.25">
      <c r="B187" s="17">
        <v>185</v>
      </c>
      <c r="C187" s="10"/>
      <c r="D187" s="10"/>
      <c r="E187" s="72"/>
      <c r="F187" s="18"/>
      <c r="G187" s="10"/>
      <c r="H187" s="10"/>
      <c r="I187" s="10"/>
      <c r="J187" s="11"/>
      <c r="K187" s="11">
        <f t="shared" si="193"/>
        <v>0</v>
      </c>
      <c r="L187" s="37">
        <f t="shared" si="194"/>
        <v>0</v>
      </c>
      <c r="M187" s="11"/>
      <c r="N187" s="10"/>
      <c r="O187" s="21"/>
      <c r="P187" s="21"/>
      <c r="Q187" s="21"/>
      <c r="R187" s="23"/>
      <c r="S187" s="50"/>
      <c r="T187" s="48"/>
      <c r="U187" s="82"/>
      <c r="V187" s="32"/>
      <c r="W187" s="200"/>
      <c r="X187" s="17"/>
    </row>
    <row r="188" spans="2:24" x14ac:dyDescent="0.25">
      <c r="B188" s="17">
        <v>186</v>
      </c>
      <c r="C188" s="10"/>
      <c r="D188" s="10"/>
      <c r="E188" s="72"/>
      <c r="F188" s="18"/>
      <c r="G188" s="10"/>
      <c r="H188" s="10"/>
      <c r="I188" s="10"/>
      <c r="J188" s="11"/>
      <c r="K188" s="11">
        <f t="shared" si="193"/>
        <v>0</v>
      </c>
      <c r="L188" s="37">
        <f t="shared" si="194"/>
        <v>0</v>
      </c>
      <c r="M188" s="11"/>
      <c r="N188" s="10"/>
      <c r="O188" s="21"/>
      <c r="P188" s="21"/>
      <c r="Q188" s="21"/>
      <c r="R188" s="23"/>
      <c r="S188" s="50"/>
      <c r="T188" s="48"/>
      <c r="U188" s="82"/>
      <c r="V188" s="26"/>
      <c r="W188" s="200"/>
      <c r="X188" s="17"/>
    </row>
    <row r="189" spans="2:24" x14ac:dyDescent="0.25">
      <c r="B189" s="17">
        <v>187</v>
      </c>
      <c r="C189" s="10"/>
      <c r="D189" s="10"/>
      <c r="E189" s="72"/>
      <c r="F189" s="18"/>
      <c r="G189" s="10"/>
      <c r="H189" s="10"/>
      <c r="I189" s="10"/>
      <c r="J189" s="11"/>
      <c r="K189" s="11">
        <f t="shared" si="193"/>
        <v>0</v>
      </c>
      <c r="L189" s="37">
        <f t="shared" si="194"/>
        <v>0</v>
      </c>
      <c r="M189" s="11"/>
      <c r="N189" s="10"/>
      <c r="O189" s="21"/>
      <c r="P189" s="21"/>
      <c r="Q189" s="21"/>
      <c r="R189" s="23"/>
      <c r="S189" s="50"/>
      <c r="T189" s="48"/>
      <c r="U189" s="82"/>
      <c r="V189" s="26"/>
      <c r="W189" s="200"/>
      <c r="X189" s="17"/>
    </row>
    <row r="190" spans="2:24" x14ac:dyDescent="0.25">
      <c r="B190" s="17">
        <v>188</v>
      </c>
      <c r="C190" s="10"/>
      <c r="D190" s="10"/>
      <c r="E190" s="72"/>
      <c r="F190" s="18"/>
      <c r="G190" s="10"/>
      <c r="H190" s="10"/>
      <c r="I190" s="10"/>
      <c r="J190" s="11"/>
      <c r="K190" s="11">
        <f t="shared" si="193"/>
        <v>0</v>
      </c>
      <c r="L190" s="37">
        <f t="shared" si="194"/>
        <v>0</v>
      </c>
      <c r="M190" s="11"/>
      <c r="N190" s="10"/>
      <c r="O190" s="21"/>
      <c r="P190" s="21"/>
      <c r="Q190" s="21"/>
      <c r="R190" s="23"/>
      <c r="S190" s="50"/>
      <c r="T190" s="48"/>
      <c r="U190" s="82"/>
      <c r="V190" s="26"/>
      <c r="W190" s="200"/>
      <c r="X190" s="17"/>
    </row>
    <row r="191" spans="2:24" x14ac:dyDescent="0.25">
      <c r="B191" s="17">
        <v>189</v>
      </c>
      <c r="C191" s="10"/>
      <c r="D191" s="10"/>
      <c r="E191" s="72"/>
      <c r="F191" s="18"/>
      <c r="G191" s="10"/>
      <c r="H191" s="10"/>
      <c r="I191" s="10"/>
      <c r="J191" s="11"/>
      <c r="K191" s="11">
        <f t="shared" si="193"/>
        <v>0</v>
      </c>
      <c r="L191" s="37">
        <f t="shared" si="194"/>
        <v>0</v>
      </c>
      <c r="M191" s="11"/>
      <c r="N191" s="10"/>
      <c r="O191" s="21"/>
      <c r="P191" s="21"/>
      <c r="Q191" s="21"/>
      <c r="R191" s="23"/>
      <c r="S191" s="50"/>
      <c r="T191" s="48"/>
      <c r="U191" s="82"/>
      <c r="V191" s="26"/>
      <c r="W191" s="200"/>
      <c r="X191" s="17"/>
    </row>
    <row r="192" spans="2:24" x14ac:dyDescent="0.25">
      <c r="B192" s="17">
        <v>190</v>
      </c>
      <c r="C192" s="10"/>
      <c r="D192" s="10"/>
      <c r="E192" s="72"/>
      <c r="F192" s="18"/>
      <c r="G192" s="10"/>
      <c r="H192" s="10"/>
      <c r="I192" s="10"/>
      <c r="J192" s="11"/>
      <c r="K192" s="11">
        <f t="shared" si="193"/>
        <v>0</v>
      </c>
      <c r="L192" s="37">
        <f t="shared" si="194"/>
        <v>0</v>
      </c>
      <c r="M192" s="11"/>
      <c r="N192" s="10"/>
      <c r="O192" s="21"/>
      <c r="P192" s="21"/>
      <c r="Q192" s="21"/>
      <c r="R192" s="23"/>
      <c r="S192" s="50"/>
      <c r="T192" s="48"/>
      <c r="U192" s="82"/>
      <c r="V192" s="26"/>
      <c r="W192" s="200"/>
      <c r="X192" s="17"/>
    </row>
    <row r="193" spans="2:24" x14ac:dyDescent="0.25">
      <c r="B193" s="17">
        <v>191</v>
      </c>
      <c r="C193" s="10"/>
      <c r="D193" s="10"/>
      <c r="E193" s="72"/>
      <c r="F193" s="18"/>
      <c r="G193" s="10"/>
      <c r="H193" s="10"/>
      <c r="I193" s="10"/>
      <c r="J193" s="11"/>
      <c r="K193" s="11">
        <f t="shared" si="193"/>
        <v>0</v>
      </c>
      <c r="L193" s="37">
        <f t="shared" si="194"/>
        <v>0</v>
      </c>
      <c r="M193" s="11"/>
      <c r="N193" s="10"/>
      <c r="O193" s="21"/>
      <c r="P193" s="21"/>
      <c r="Q193" s="21"/>
      <c r="R193" s="23"/>
      <c r="S193" s="50"/>
      <c r="T193" s="48"/>
      <c r="U193" s="82"/>
      <c r="V193" s="32"/>
      <c r="W193" s="200"/>
      <c r="X193" s="17"/>
    </row>
    <row r="194" spans="2:24" x14ac:dyDescent="0.25">
      <c r="B194" s="17">
        <v>192</v>
      </c>
      <c r="C194" s="10"/>
      <c r="D194" s="10"/>
      <c r="E194" s="72"/>
      <c r="F194" s="18"/>
      <c r="G194" s="10"/>
      <c r="H194" s="10"/>
      <c r="I194" s="10"/>
      <c r="J194" s="11"/>
      <c r="K194" s="11">
        <f t="shared" si="193"/>
        <v>0</v>
      </c>
      <c r="L194" s="37">
        <f t="shared" si="194"/>
        <v>0</v>
      </c>
      <c r="M194" s="11"/>
      <c r="N194" s="10"/>
      <c r="O194" s="21"/>
      <c r="P194" s="21"/>
      <c r="Q194" s="21"/>
      <c r="R194" s="23"/>
      <c r="S194" s="50"/>
      <c r="T194" s="48"/>
      <c r="U194" s="82"/>
      <c r="V194" s="32"/>
      <c r="W194" s="200"/>
      <c r="X194" s="17"/>
    </row>
    <row r="195" spans="2:24" x14ac:dyDescent="0.25">
      <c r="B195" s="17">
        <v>193</v>
      </c>
      <c r="C195" s="10"/>
      <c r="D195" s="10"/>
      <c r="E195" s="72"/>
      <c r="F195" s="18"/>
      <c r="G195" s="10"/>
      <c r="H195" s="10"/>
      <c r="I195" s="10"/>
      <c r="J195" s="11"/>
      <c r="K195" s="11">
        <f t="shared" si="193"/>
        <v>0</v>
      </c>
      <c r="L195" s="37">
        <f t="shared" si="194"/>
        <v>0</v>
      </c>
      <c r="M195" s="11"/>
      <c r="N195" s="10"/>
      <c r="O195" s="21"/>
      <c r="P195" s="21"/>
      <c r="Q195" s="21"/>
      <c r="R195" s="23"/>
      <c r="S195" s="50"/>
      <c r="T195" s="48"/>
      <c r="U195" s="82"/>
      <c r="V195" s="26"/>
      <c r="W195" s="200"/>
      <c r="X195" s="17"/>
    </row>
    <row r="196" spans="2:24" x14ac:dyDescent="0.25">
      <c r="B196" s="17">
        <v>194</v>
      </c>
      <c r="C196" s="10"/>
      <c r="D196" s="10"/>
      <c r="E196" s="72"/>
      <c r="F196" s="18"/>
      <c r="G196" s="10"/>
      <c r="H196" s="10"/>
      <c r="I196" s="10"/>
      <c r="J196" s="11"/>
      <c r="K196" s="11">
        <f t="shared" ref="K196:K259" si="195">J196*1.1</f>
        <v>0</v>
      </c>
      <c r="L196" s="37">
        <f t="shared" ref="L196:L259" si="196">J196*0.00000001</f>
        <v>0</v>
      </c>
      <c r="M196" s="11"/>
      <c r="N196" s="10"/>
      <c r="O196" s="21"/>
      <c r="P196" s="21"/>
      <c r="Q196" s="21"/>
      <c r="R196" s="23"/>
      <c r="S196" s="50"/>
      <c r="T196" s="48"/>
      <c r="U196" s="82"/>
      <c r="V196" s="26"/>
      <c r="W196" s="200"/>
      <c r="X196" s="17"/>
    </row>
    <row r="197" spans="2:24" x14ac:dyDescent="0.25">
      <c r="B197" s="17">
        <v>195</v>
      </c>
      <c r="C197" s="10"/>
      <c r="D197" s="10"/>
      <c r="E197" s="72"/>
      <c r="F197" s="18"/>
      <c r="G197" s="10"/>
      <c r="H197" s="10"/>
      <c r="I197" s="10"/>
      <c r="J197" s="11"/>
      <c r="K197" s="11">
        <f t="shared" si="195"/>
        <v>0</v>
      </c>
      <c r="L197" s="37">
        <f t="shared" si="196"/>
        <v>0</v>
      </c>
      <c r="M197" s="11"/>
      <c r="N197" s="10"/>
      <c r="O197" s="21"/>
      <c r="P197" s="21"/>
      <c r="Q197" s="21"/>
      <c r="R197" s="23"/>
      <c r="S197" s="50"/>
      <c r="T197" s="48"/>
      <c r="U197" s="82"/>
      <c r="V197" s="26"/>
      <c r="W197" s="200"/>
      <c r="X197" s="17"/>
    </row>
    <row r="198" spans="2:24" x14ac:dyDescent="0.25">
      <c r="B198" s="17">
        <v>196</v>
      </c>
      <c r="C198" s="10"/>
      <c r="D198" s="10"/>
      <c r="E198" s="72"/>
      <c r="F198" s="18"/>
      <c r="G198" s="10"/>
      <c r="H198" s="10"/>
      <c r="I198" s="10"/>
      <c r="J198" s="11"/>
      <c r="K198" s="11">
        <f t="shared" si="195"/>
        <v>0</v>
      </c>
      <c r="L198" s="37">
        <f t="shared" si="196"/>
        <v>0</v>
      </c>
      <c r="M198" s="11"/>
      <c r="N198" s="10"/>
      <c r="O198" s="21"/>
      <c r="P198" s="21"/>
      <c r="Q198" s="21"/>
      <c r="R198" s="23"/>
      <c r="S198" s="50"/>
      <c r="T198" s="48"/>
      <c r="U198" s="82"/>
      <c r="V198" s="26"/>
      <c r="W198" s="200"/>
      <c r="X198" s="17"/>
    </row>
    <row r="199" spans="2:24" x14ac:dyDescent="0.25">
      <c r="B199" s="17">
        <v>197</v>
      </c>
      <c r="C199" s="10"/>
      <c r="D199" s="10"/>
      <c r="E199" s="72"/>
      <c r="F199" s="18"/>
      <c r="G199" s="10"/>
      <c r="H199" s="10"/>
      <c r="I199" s="10"/>
      <c r="J199" s="11"/>
      <c r="K199" s="11">
        <f t="shared" si="195"/>
        <v>0</v>
      </c>
      <c r="L199" s="37">
        <f t="shared" si="196"/>
        <v>0</v>
      </c>
      <c r="M199" s="11"/>
      <c r="N199" s="10"/>
      <c r="O199" s="21"/>
      <c r="P199" s="21"/>
      <c r="Q199" s="21"/>
      <c r="R199" s="23"/>
      <c r="S199" s="50"/>
      <c r="T199" s="48"/>
      <c r="U199" s="82"/>
      <c r="V199" s="26"/>
      <c r="W199" s="200"/>
      <c r="X199" s="17"/>
    </row>
    <row r="200" spans="2:24" x14ac:dyDescent="0.25">
      <c r="B200" s="17">
        <v>198</v>
      </c>
      <c r="C200" s="10"/>
      <c r="D200" s="10"/>
      <c r="E200" s="72"/>
      <c r="F200" s="18"/>
      <c r="G200" s="10"/>
      <c r="H200" s="10"/>
      <c r="I200" s="10"/>
      <c r="J200" s="11"/>
      <c r="K200" s="11">
        <f t="shared" si="195"/>
        <v>0</v>
      </c>
      <c r="L200" s="37">
        <f t="shared" si="196"/>
        <v>0</v>
      </c>
      <c r="M200" s="11"/>
      <c r="N200" s="10"/>
      <c r="O200" s="21"/>
      <c r="P200" s="21"/>
      <c r="Q200" s="21"/>
      <c r="R200" s="23"/>
      <c r="S200" s="50"/>
      <c r="T200" s="48"/>
      <c r="U200" s="82"/>
      <c r="V200" s="32"/>
      <c r="W200" s="200"/>
      <c r="X200" s="17"/>
    </row>
    <row r="201" spans="2:24" x14ac:dyDescent="0.25">
      <c r="B201" s="17">
        <v>199</v>
      </c>
      <c r="C201" s="10"/>
      <c r="D201" s="10"/>
      <c r="E201" s="72"/>
      <c r="F201" s="18"/>
      <c r="G201" s="10"/>
      <c r="H201" s="10"/>
      <c r="I201" s="10"/>
      <c r="J201" s="11"/>
      <c r="K201" s="11">
        <f t="shared" si="195"/>
        <v>0</v>
      </c>
      <c r="L201" s="37">
        <f t="shared" si="196"/>
        <v>0</v>
      </c>
      <c r="M201" s="11"/>
      <c r="N201" s="10"/>
      <c r="O201" s="21"/>
      <c r="P201" s="21"/>
      <c r="Q201" s="21"/>
      <c r="R201" s="23"/>
      <c r="S201" s="50"/>
      <c r="T201" s="48"/>
      <c r="U201" s="82"/>
      <c r="V201" s="32"/>
      <c r="W201" s="200"/>
      <c r="X201" s="17"/>
    </row>
    <row r="202" spans="2:24" x14ac:dyDescent="0.25">
      <c r="B202" s="17">
        <v>200</v>
      </c>
      <c r="C202" s="10"/>
      <c r="D202" s="10"/>
      <c r="E202" s="72"/>
      <c r="F202" s="18"/>
      <c r="G202" s="10"/>
      <c r="H202" s="10"/>
      <c r="I202" s="10"/>
      <c r="J202" s="11"/>
      <c r="K202" s="11">
        <f t="shared" si="195"/>
        <v>0</v>
      </c>
      <c r="L202" s="37">
        <f t="shared" si="196"/>
        <v>0</v>
      </c>
      <c r="M202" s="11"/>
      <c r="N202" s="10"/>
      <c r="O202" s="21"/>
      <c r="P202" s="21"/>
      <c r="Q202" s="21"/>
      <c r="R202" s="23"/>
      <c r="S202" s="50"/>
      <c r="T202" s="48"/>
      <c r="U202" s="82"/>
      <c r="V202" s="32"/>
      <c r="W202" s="200"/>
      <c r="X202" s="17"/>
    </row>
    <row r="203" spans="2:24" x14ac:dyDescent="0.25">
      <c r="B203" s="17">
        <v>201</v>
      </c>
      <c r="C203" s="10"/>
      <c r="D203" s="10"/>
      <c r="E203" s="72"/>
      <c r="F203" s="18"/>
      <c r="G203" s="10"/>
      <c r="H203" s="10"/>
      <c r="I203" s="10"/>
      <c r="J203" s="11"/>
      <c r="K203" s="11">
        <f t="shared" si="195"/>
        <v>0</v>
      </c>
      <c r="L203" s="37">
        <f t="shared" si="196"/>
        <v>0</v>
      </c>
      <c r="M203" s="11"/>
      <c r="N203" s="10"/>
      <c r="O203" s="21"/>
      <c r="P203" s="21"/>
      <c r="Q203" s="21"/>
      <c r="R203" s="23"/>
      <c r="S203" s="50"/>
      <c r="T203" s="48"/>
      <c r="U203" s="82"/>
      <c r="V203" s="32"/>
      <c r="W203" s="200"/>
      <c r="X203" s="17"/>
    </row>
    <row r="204" spans="2:24" x14ac:dyDescent="0.25">
      <c r="B204" s="17">
        <v>202</v>
      </c>
      <c r="C204" s="10"/>
      <c r="D204" s="10"/>
      <c r="E204" s="72"/>
      <c r="F204" s="18"/>
      <c r="G204" s="10"/>
      <c r="H204" s="10"/>
      <c r="I204" s="10"/>
      <c r="J204" s="11"/>
      <c r="K204" s="11">
        <f t="shared" si="195"/>
        <v>0</v>
      </c>
      <c r="L204" s="37">
        <f t="shared" si="196"/>
        <v>0</v>
      </c>
      <c r="M204" s="11"/>
      <c r="N204" s="10"/>
      <c r="O204" s="21"/>
      <c r="P204" s="21"/>
      <c r="Q204" s="21"/>
      <c r="R204" s="23"/>
      <c r="S204" s="50"/>
      <c r="T204" s="48"/>
      <c r="U204" s="82"/>
      <c r="V204" s="26"/>
      <c r="W204" s="200"/>
      <c r="X204" s="17"/>
    </row>
    <row r="205" spans="2:24" x14ac:dyDescent="0.25">
      <c r="B205" s="17">
        <v>203</v>
      </c>
      <c r="C205" s="10"/>
      <c r="D205" s="10"/>
      <c r="E205" s="72"/>
      <c r="F205" s="18"/>
      <c r="G205" s="10"/>
      <c r="H205" s="10"/>
      <c r="I205" s="10"/>
      <c r="J205" s="11"/>
      <c r="K205" s="11">
        <f t="shared" si="195"/>
        <v>0</v>
      </c>
      <c r="L205" s="37">
        <f t="shared" si="196"/>
        <v>0</v>
      </c>
      <c r="M205" s="11"/>
      <c r="N205" s="10"/>
      <c r="O205" s="21"/>
      <c r="P205" s="21"/>
      <c r="Q205" s="21"/>
      <c r="R205" s="23"/>
      <c r="S205" s="50"/>
      <c r="T205" s="48"/>
      <c r="U205" s="82"/>
      <c r="V205" s="26"/>
      <c r="W205" s="200"/>
      <c r="X205" s="17"/>
    </row>
    <row r="206" spans="2:24" x14ac:dyDescent="0.25">
      <c r="B206" s="17">
        <v>204</v>
      </c>
      <c r="C206" s="10"/>
      <c r="D206" s="10"/>
      <c r="E206" s="72"/>
      <c r="F206" s="18"/>
      <c r="G206" s="10"/>
      <c r="H206" s="10"/>
      <c r="I206" s="10"/>
      <c r="J206" s="11"/>
      <c r="K206" s="11">
        <f t="shared" si="195"/>
        <v>0</v>
      </c>
      <c r="L206" s="37">
        <f t="shared" si="196"/>
        <v>0</v>
      </c>
      <c r="M206" s="11"/>
      <c r="N206" s="10"/>
      <c r="O206" s="21"/>
      <c r="P206" s="21"/>
      <c r="Q206" s="21"/>
      <c r="R206" s="23"/>
      <c r="S206" s="50"/>
      <c r="T206" s="48"/>
      <c r="U206" s="82"/>
      <c r="V206" s="26"/>
      <c r="W206" s="200"/>
      <c r="X206" s="17"/>
    </row>
    <row r="207" spans="2:24" x14ac:dyDescent="0.25">
      <c r="B207" s="17">
        <v>205</v>
      </c>
      <c r="C207" s="10"/>
      <c r="D207" s="10"/>
      <c r="E207" s="72"/>
      <c r="F207" s="18"/>
      <c r="G207" s="10"/>
      <c r="H207" s="10"/>
      <c r="I207" s="10"/>
      <c r="J207" s="11"/>
      <c r="K207" s="11">
        <f t="shared" si="195"/>
        <v>0</v>
      </c>
      <c r="L207" s="37">
        <f t="shared" si="196"/>
        <v>0</v>
      </c>
      <c r="M207" s="11"/>
      <c r="N207" s="10"/>
      <c r="O207" s="21"/>
      <c r="P207" s="21"/>
      <c r="Q207" s="21"/>
      <c r="R207" s="23"/>
      <c r="S207" s="50"/>
      <c r="T207" s="48"/>
      <c r="U207" s="82"/>
      <c r="V207" s="26"/>
      <c r="W207" s="200"/>
      <c r="X207" s="17"/>
    </row>
    <row r="208" spans="2:24" x14ac:dyDescent="0.25">
      <c r="B208" s="17">
        <v>206</v>
      </c>
      <c r="C208" s="10"/>
      <c r="D208" s="10"/>
      <c r="E208" s="72"/>
      <c r="F208" s="18"/>
      <c r="G208" s="10"/>
      <c r="H208" s="10"/>
      <c r="I208" s="10"/>
      <c r="J208" s="11"/>
      <c r="K208" s="11">
        <f t="shared" si="195"/>
        <v>0</v>
      </c>
      <c r="L208" s="37">
        <f t="shared" si="196"/>
        <v>0</v>
      </c>
      <c r="M208" s="11"/>
      <c r="N208" s="10"/>
      <c r="O208" s="21"/>
      <c r="P208" s="21"/>
      <c r="Q208" s="21"/>
      <c r="R208" s="23"/>
      <c r="S208" s="50"/>
      <c r="T208" s="48"/>
      <c r="U208" s="82"/>
      <c r="V208" s="26"/>
      <c r="W208" s="200"/>
      <c r="X208" s="17"/>
    </row>
    <row r="209" spans="2:24" x14ac:dyDescent="0.25">
      <c r="B209" s="17">
        <v>207</v>
      </c>
      <c r="C209" s="10"/>
      <c r="D209" s="10"/>
      <c r="E209" s="72"/>
      <c r="F209" s="18"/>
      <c r="G209" s="10"/>
      <c r="H209" s="10"/>
      <c r="I209" s="10"/>
      <c r="J209" s="11"/>
      <c r="K209" s="11">
        <f t="shared" si="195"/>
        <v>0</v>
      </c>
      <c r="L209" s="37">
        <f t="shared" si="196"/>
        <v>0</v>
      </c>
      <c r="M209" s="11"/>
      <c r="N209" s="10"/>
      <c r="O209" s="21"/>
      <c r="P209" s="21"/>
      <c r="Q209" s="21"/>
      <c r="R209" s="23"/>
      <c r="S209" s="50"/>
      <c r="T209" s="48"/>
      <c r="U209" s="82"/>
      <c r="V209" s="32"/>
      <c r="W209" s="200"/>
      <c r="X209" s="17"/>
    </row>
    <row r="210" spans="2:24" x14ac:dyDescent="0.25">
      <c r="B210" s="17">
        <v>208</v>
      </c>
      <c r="C210" s="10"/>
      <c r="D210" s="10"/>
      <c r="E210" s="72"/>
      <c r="F210" s="18"/>
      <c r="G210" s="10"/>
      <c r="H210" s="10"/>
      <c r="I210" s="10"/>
      <c r="J210" s="11"/>
      <c r="K210" s="11">
        <f t="shared" si="195"/>
        <v>0</v>
      </c>
      <c r="L210" s="37">
        <f t="shared" si="196"/>
        <v>0</v>
      </c>
      <c r="M210" s="11"/>
      <c r="N210" s="10"/>
      <c r="O210" s="21"/>
      <c r="P210" s="21"/>
      <c r="Q210" s="21"/>
      <c r="R210" s="23"/>
      <c r="S210" s="50"/>
      <c r="T210" s="48"/>
      <c r="U210" s="82"/>
      <c r="V210" s="32"/>
      <c r="W210" s="200"/>
      <c r="X210" s="17"/>
    </row>
    <row r="211" spans="2:24" x14ac:dyDescent="0.25">
      <c r="B211" s="17">
        <v>209</v>
      </c>
      <c r="C211" s="10"/>
      <c r="D211" s="10"/>
      <c r="E211" s="72"/>
      <c r="F211" s="18"/>
      <c r="G211" s="10"/>
      <c r="H211" s="10"/>
      <c r="I211" s="10"/>
      <c r="J211" s="11"/>
      <c r="K211" s="11">
        <f t="shared" si="195"/>
        <v>0</v>
      </c>
      <c r="L211" s="37">
        <f t="shared" si="196"/>
        <v>0</v>
      </c>
      <c r="M211" s="11"/>
      <c r="N211" s="10"/>
      <c r="O211" s="21"/>
      <c r="P211" s="21"/>
      <c r="Q211" s="21"/>
      <c r="R211" s="23"/>
      <c r="S211" s="50"/>
      <c r="T211" s="48"/>
      <c r="U211" s="82"/>
      <c r="V211" s="26"/>
      <c r="W211" s="200"/>
      <c r="X211" s="17"/>
    </row>
    <row r="212" spans="2:24" x14ac:dyDescent="0.25">
      <c r="B212" s="17">
        <v>210</v>
      </c>
      <c r="C212" s="10"/>
      <c r="D212" s="10"/>
      <c r="E212" s="72"/>
      <c r="F212" s="18"/>
      <c r="G212" s="10"/>
      <c r="H212" s="10"/>
      <c r="I212" s="10"/>
      <c r="J212" s="11"/>
      <c r="K212" s="11">
        <f t="shared" si="195"/>
        <v>0</v>
      </c>
      <c r="L212" s="37">
        <f t="shared" si="196"/>
        <v>0</v>
      </c>
      <c r="M212" s="11"/>
      <c r="N212" s="10"/>
      <c r="O212" s="21"/>
      <c r="P212" s="21"/>
      <c r="Q212" s="21"/>
      <c r="R212" s="23"/>
      <c r="S212" s="50"/>
      <c r="T212" s="48"/>
      <c r="U212" s="82"/>
      <c r="V212" s="26"/>
      <c r="W212" s="200"/>
      <c r="X212" s="17"/>
    </row>
    <row r="213" spans="2:24" x14ac:dyDescent="0.25">
      <c r="B213" s="17">
        <v>211</v>
      </c>
      <c r="C213" s="10"/>
      <c r="D213" s="10"/>
      <c r="E213" s="72"/>
      <c r="F213" s="18"/>
      <c r="G213" s="10"/>
      <c r="H213" s="10"/>
      <c r="I213" s="10"/>
      <c r="J213" s="11"/>
      <c r="K213" s="11">
        <f t="shared" si="195"/>
        <v>0</v>
      </c>
      <c r="L213" s="37">
        <f t="shared" si="196"/>
        <v>0</v>
      </c>
      <c r="M213" s="11"/>
      <c r="N213" s="10"/>
      <c r="O213" s="21"/>
      <c r="P213" s="21"/>
      <c r="Q213" s="21"/>
      <c r="R213" s="23"/>
      <c r="S213" s="50"/>
      <c r="T213" s="48"/>
      <c r="U213" s="82"/>
      <c r="V213" s="26"/>
      <c r="W213" s="200"/>
      <c r="X213" s="17"/>
    </row>
    <row r="214" spans="2:24" x14ac:dyDescent="0.25">
      <c r="B214" s="17">
        <v>212</v>
      </c>
      <c r="C214" s="10"/>
      <c r="D214" s="10"/>
      <c r="E214" s="72"/>
      <c r="F214" s="18"/>
      <c r="G214" s="10"/>
      <c r="H214" s="10"/>
      <c r="I214" s="10"/>
      <c r="J214" s="11"/>
      <c r="K214" s="11">
        <f t="shared" si="195"/>
        <v>0</v>
      </c>
      <c r="L214" s="37">
        <f t="shared" si="196"/>
        <v>0</v>
      </c>
      <c r="M214" s="11"/>
      <c r="N214" s="10"/>
      <c r="O214" s="21"/>
      <c r="P214" s="21"/>
      <c r="Q214" s="21"/>
      <c r="R214" s="23"/>
      <c r="S214" s="50"/>
      <c r="T214" s="48"/>
      <c r="U214" s="82"/>
      <c r="V214" s="26"/>
      <c r="W214" s="200"/>
      <c r="X214" s="17"/>
    </row>
    <row r="215" spans="2:24" x14ac:dyDescent="0.25">
      <c r="B215" s="17">
        <v>213</v>
      </c>
      <c r="C215" s="10"/>
      <c r="D215" s="10"/>
      <c r="E215" s="72"/>
      <c r="F215" s="18"/>
      <c r="G215" s="10"/>
      <c r="H215" s="10"/>
      <c r="I215" s="10"/>
      <c r="J215" s="11"/>
      <c r="K215" s="11">
        <f t="shared" si="195"/>
        <v>0</v>
      </c>
      <c r="L215" s="37">
        <f t="shared" si="196"/>
        <v>0</v>
      </c>
      <c r="M215" s="11"/>
      <c r="N215" s="10"/>
      <c r="O215" s="21"/>
      <c r="P215" s="21"/>
      <c r="Q215" s="21"/>
      <c r="R215" s="23"/>
      <c r="S215" s="50"/>
      <c r="T215" s="48"/>
      <c r="U215" s="82"/>
      <c r="V215" s="26"/>
      <c r="W215" s="200"/>
      <c r="X215" s="17"/>
    </row>
    <row r="216" spans="2:24" x14ac:dyDescent="0.25">
      <c r="B216" s="17">
        <v>214</v>
      </c>
      <c r="C216" s="10"/>
      <c r="D216" s="10"/>
      <c r="E216" s="72"/>
      <c r="F216" s="18"/>
      <c r="G216" s="10"/>
      <c r="H216" s="10"/>
      <c r="I216" s="10"/>
      <c r="J216" s="11"/>
      <c r="K216" s="11">
        <f t="shared" si="195"/>
        <v>0</v>
      </c>
      <c r="L216" s="37">
        <f t="shared" si="196"/>
        <v>0</v>
      </c>
      <c r="M216" s="11"/>
      <c r="N216" s="10"/>
      <c r="O216" s="21"/>
      <c r="P216" s="21"/>
      <c r="Q216" s="21"/>
      <c r="R216" s="23"/>
      <c r="S216" s="50"/>
      <c r="T216" s="48"/>
      <c r="U216" s="82"/>
      <c r="V216" s="32"/>
      <c r="W216" s="200"/>
      <c r="X216" s="17"/>
    </row>
    <row r="217" spans="2:24" x14ac:dyDescent="0.25">
      <c r="B217" s="17">
        <v>215</v>
      </c>
      <c r="C217" s="10"/>
      <c r="D217" s="10"/>
      <c r="E217" s="72"/>
      <c r="F217" s="18"/>
      <c r="G217" s="10"/>
      <c r="H217" s="10"/>
      <c r="I217" s="10"/>
      <c r="J217" s="11"/>
      <c r="K217" s="11">
        <f t="shared" si="195"/>
        <v>0</v>
      </c>
      <c r="L217" s="37">
        <f t="shared" si="196"/>
        <v>0</v>
      </c>
      <c r="M217" s="11"/>
      <c r="N217" s="10"/>
      <c r="O217" s="21"/>
      <c r="P217" s="21"/>
      <c r="Q217" s="21"/>
      <c r="R217" s="23"/>
      <c r="S217" s="50"/>
      <c r="T217" s="48"/>
      <c r="U217" s="82"/>
      <c r="V217" s="32"/>
      <c r="W217" s="200"/>
      <c r="X217" s="17"/>
    </row>
    <row r="218" spans="2:24" x14ac:dyDescent="0.25">
      <c r="B218" s="17">
        <v>216</v>
      </c>
      <c r="C218" s="10"/>
      <c r="D218" s="10"/>
      <c r="E218" s="72"/>
      <c r="F218" s="18"/>
      <c r="G218" s="10"/>
      <c r="H218" s="10"/>
      <c r="I218" s="10"/>
      <c r="J218" s="11"/>
      <c r="K218" s="11">
        <f t="shared" si="195"/>
        <v>0</v>
      </c>
      <c r="L218" s="37">
        <f t="shared" si="196"/>
        <v>0</v>
      </c>
      <c r="M218" s="11"/>
      <c r="N218" s="10"/>
      <c r="O218" s="21"/>
      <c r="P218" s="21"/>
      <c r="Q218" s="21"/>
      <c r="R218" s="23"/>
      <c r="S218" s="50"/>
      <c r="T218" s="48"/>
      <c r="U218" s="82"/>
      <c r="V218" s="32"/>
      <c r="W218" s="200"/>
      <c r="X218" s="17"/>
    </row>
    <row r="219" spans="2:24" x14ac:dyDescent="0.25">
      <c r="B219" s="17">
        <v>217</v>
      </c>
      <c r="C219" s="10"/>
      <c r="D219" s="10"/>
      <c r="E219" s="72"/>
      <c r="F219" s="18"/>
      <c r="G219" s="10"/>
      <c r="H219" s="10"/>
      <c r="I219" s="10"/>
      <c r="J219" s="11"/>
      <c r="K219" s="11">
        <f t="shared" si="195"/>
        <v>0</v>
      </c>
      <c r="L219" s="37">
        <f t="shared" si="196"/>
        <v>0</v>
      </c>
      <c r="M219" s="11"/>
      <c r="N219" s="10"/>
      <c r="O219" s="21"/>
      <c r="P219" s="21"/>
      <c r="Q219" s="21"/>
      <c r="R219" s="23"/>
      <c r="S219" s="50"/>
      <c r="T219" s="48"/>
      <c r="U219" s="82"/>
      <c r="V219" s="32"/>
      <c r="W219" s="200"/>
      <c r="X219" s="17"/>
    </row>
    <row r="220" spans="2:24" x14ac:dyDescent="0.25">
      <c r="B220" s="17">
        <v>218</v>
      </c>
      <c r="C220" s="10"/>
      <c r="D220" s="10"/>
      <c r="E220" s="72"/>
      <c r="F220" s="18"/>
      <c r="G220" s="10"/>
      <c r="H220" s="10"/>
      <c r="I220" s="10"/>
      <c r="J220" s="11"/>
      <c r="K220" s="11">
        <f t="shared" si="195"/>
        <v>0</v>
      </c>
      <c r="L220" s="37">
        <f t="shared" si="196"/>
        <v>0</v>
      </c>
      <c r="M220" s="11"/>
      <c r="N220" s="10"/>
      <c r="O220" s="21"/>
      <c r="P220" s="21"/>
      <c r="Q220" s="21"/>
      <c r="R220" s="23"/>
      <c r="S220" s="50"/>
      <c r="T220" s="48"/>
      <c r="U220" s="82"/>
      <c r="V220" s="26"/>
      <c r="W220" s="200"/>
      <c r="X220" s="17"/>
    </row>
    <row r="221" spans="2:24" x14ac:dyDescent="0.25">
      <c r="B221" s="17">
        <v>219</v>
      </c>
      <c r="C221" s="10"/>
      <c r="D221" s="10"/>
      <c r="E221" s="72"/>
      <c r="F221" s="18"/>
      <c r="G221" s="10"/>
      <c r="H221" s="10"/>
      <c r="I221" s="10"/>
      <c r="J221" s="11"/>
      <c r="K221" s="11">
        <f t="shared" si="195"/>
        <v>0</v>
      </c>
      <c r="L221" s="37">
        <f t="shared" si="196"/>
        <v>0</v>
      </c>
      <c r="M221" s="11"/>
      <c r="N221" s="10"/>
      <c r="O221" s="21"/>
      <c r="P221" s="21"/>
      <c r="Q221" s="21"/>
      <c r="R221" s="23"/>
      <c r="S221" s="50"/>
      <c r="T221" s="48"/>
      <c r="U221" s="82"/>
      <c r="V221" s="26"/>
      <c r="W221" s="200"/>
      <c r="X221" s="17"/>
    </row>
    <row r="222" spans="2:24" x14ac:dyDescent="0.25">
      <c r="B222" s="17">
        <v>220</v>
      </c>
      <c r="C222" s="10"/>
      <c r="D222" s="10"/>
      <c r="E222" s="72"/>
      <c r="F222" s="18"/>
      <c r="G222" s="10"/>
      <c r="H222" s="10"/>
      <c r="I222" s="10"/>
      <c r="J222" s="11"/>
      <c r="K222" s="11">
        <f t="shared" si="195"/>
        <v>0</v>
      </c>
      <c r="L222" s="37">
        <f t="shared" si="196"/>
        <v>0</v>
      </c>
      <c r="M222" s="11"/>
      <c r="N222" s="10"/>
      <c r="O222" s="21"/>
      <c r="P222" s="21"/>
      <c r="Q222" s="21"/>
      <c r="R222" s="23"/>
      <c r="S222" s="50"/>
      <c r="T222" s="48"/>
      <c r="U222" s="82"/>
      <c r="V222" s="26"/>
      <c r="W222" s="200"/>
      <c r="X222" s="17"/>
    </row>
    <row r="223" spans="2:24" x14ac:dyDescent="0.25">
      <c r="B223" s="17">
        <v>221</v>
      </c>
      <c r="C223" s="10"/>
      <c r="D223" s="10"/>
      <c r="E223" s="72"/>
      <c r="F223" s="18"/>
      <c r="G223" s="10"/>
      <c r="H223" s="10"/>
      <c r="I223" s="10"/>
      <c r="J223" s="11"/>
      <c r="K223" s="11">
        <f t="shared" si="195"/>
        <v>0</v>
      </c>
      <c r="L223" s="37">
        <f t="shared" si="196"/>
        <v>0</v>
      </c>
      <c r="M223" s="11"/>
      <c r="N223" s="10"/>
      <c r="O223" s="21"/>
      <c r="P223" s="21"/>
      <c r="Q223" s="21"/>
      <c r="R223" s="23"/>
      <c r="S223" s="50"/>
      <c r="T223" s="48"/>
      <c r="U223" s="82"/>
      <c r="V223" s="26"/>
      <c r="W223" s="200"/>
      <c r="X223" s="17"/>
    </row>
    <row r="224" spans="2:24" x14ac:dyDescent="0.25">
      <c r="B224" s="17">
        <v>222</v>
      </c>
      <c r="C224" s="10"/>
      <c r="D224" s="10"/>
      <c r="E224" s="72"/>
      <c r="F224" s="18"/>
      <c r="G224" s="10"/>
      <c r="H224" s="10"/>
      <c r="I224" s="10"/>
      <c r="J224" s="11"/>
      <c r="K224" s="11">
        <f t="shared" si="195"/>
        <v>0</v>
      </c>
      <c r="L224" s="37">
        <f t="shared" si="196"/>
        <v>0</v>
      </c>
      <c r="M224" s="11"/>
      <c r="N224" s="10"/>
      <c r="O224" s="21"/>
      <c r="P224" s="21"/>
      <c r="Q224" s="21"/>
      <c r="R224" s="23"/>
      <c r="S224" s="50"/>
      <c r="T224" s="48"/>
      <c r="U224" s="82"/>
      <c r="V224" s="26"/>
      <c r="W224" s="200"/>
      <c r="X224" s="17"/>
    </row>
    <row r="225" spans="2:24" x14ac:dyDescent="0.25">
      <c r="B225" s="17">
        <v>223</v>
      </c>
      <c r="C225" s="10"/>
      <c r="D225" s="10"/>
      <c r="E225" s="72"/>
      <c r="F225" s="18"/>
      <c r="G225" s="10"/>
      <c r="H225" s="10"/>
      <c r="I225" s="10"/>
      <c r="J225" s="11"/>
      <c r="K225" s="11">
        <f t="shared" si="195"/>
        <v>0</v>
      </c>
      <c r="L225" s="37">
        <f t="shared" si="196"/>
        <v>0</v>
      </c>
      <c r="M225" s="11"/>
      <c r="N225" s="10"/>
      <c r="O225" s="21"/>
      <c r="P225" s="21"/>
      <c r="Q225" s="21"/>
      <c r="R225" s="23"/>
      <c r="S225" s="50"/>
      <c r="T225" s="48"/>
      <c r="U225" s="82"/>
      <c r="V225" s="32"/>
      <c r="W225" s="200"/>
      <c r="X225" s="17"/>
    </row>
    <row r="226" spans="2:24" x14ac:dyDescent="0.25">
      <c r="B226" s="17">
        <v>224</v>
      </c>
      <c r="C226" s="10"/>
      <c r="D226" s="10"/>
      <c r="E226" s="72"/>
      <c r="F226" s="18"/>
      <c r="G226" s="10"/>
      <c r="H226" s="10"/>
      <c r="I226" s="10"/>
      <c r="J226" s="11"/>
      <c r="K226" s="11">
        <f t="shared" si="195"/>
        <v>0</v>
      </c>
      <c r="L226" s="37">
        <f t="shared" si="196"/>
        <v>0</v>
      </c>
      <c r="M226" s="11"/>
      <c r="N226" s="10"/>
      <c r="O226" s="21"/>
      <c r="P226" s="21"/>
      <c r="Q226" s="21"/>
      <c r="R226" s="23"/>
      <c r="S226" s="50"/>
      <c r="T226" s="48"/>
      <c r="U226" s="82"/>
      <c r="V226" s="32"/>
      <c r="W226" s="200"/>
      <c r="X226" s="17"/>
    </row>
    <row r="227" spans="2:24" x14ac:dyDescent="0.25">
      <c r="B227" s="17">
        <v>225</v>
      </c>
      <c r="C227" s="10"/>
      <c r="D227" s="10"/>
      <c r="E227" s="72"/>
      <c r="F227" s="18"/>
      <c r="G227" s="10"/>
      <c r="H227" s="10"/>
      <c r="I227" s="10"/>
      <c r="J227" s="11"/>
      <c r="K227" s="11">
        <f t="shared" si="195"/>
        <v>0</v>
      </c>
      <c r="L227" s="37">
        <f t="shared" si="196"/>
        <v>0</v>
      </c>
      <c r="M227" s="11"/>
      <c r="N227" s="10"/>
      <c r="O227" s="21"/>
      <c r="P227" s="21"/>
      <c r="Q227" s="21"/>
      <c r="R227" s="23"/>
      <c r="S227" s="50"/>
      <c r="T227" s="48"/>
      <c r="U227" s="82"/>
      <c r="V227" s="26"/>
      <c r="W227" s="200"/>
      <c r="X227" s="17"/>
    </row>
    <row r="228" spans="2:24" x14ac:dyDescent="0.25">
      <c r="B228" s="17">
        <v>226</v>
      </c>
      <c r="C228" s="10"/>
      <c r="D228" s="10"/>
      <c r="E228" s="72"/>
      <c r="F228" s="18"/>
      <c r="G228" s="10"/>
      <c r="H228" s="10"/>
      <c r="I228" s="10"/>
      <c r="J228" s="11"/>
      <c r="K228" s="11">
        <f t="shared" si="195"/>
        <v>0</v>
      </c>
      <c r="L228" s="37">
        <f t="shared" si="196"/>
        <v>0</v>
      </c>
      <c r="M228" s="11"/>
      <c r="N228" s="10"/>
      <c r="O228" s="21"/>
      <c r="P228" s="21"/>
      <c r="Q228" s="21"/>
      <c r="R228" s="23"/>
      <c r="S228" s="50"/>
      <c r="T228" s="48"/>
      <c r="U228" s="82"/>
      <c r="V228" s="26"/>
      <c r="W228" s="200"/>
      <c r="X228" s="17"/>
    </row>
    <row r="229" spans="2:24" x14ac:dyDescent="0.25">
      <c r="B229" s="17">
        <v>227</v>
      </c>
      <c r="C229" s="10"/>
      <c r="D229" s="10"/>
      <c r="E229" s="72"/>
      <c r="F229" s="18"/>
      <c r="G229" s="10"/>
      <c r="H229" s="10"/>
      <c r="I229" s="10"/>
      <c r="J229" s="11"/>
      <c r="K229" s="11">
        <f t="shared" si="195"/>
        <v>0</v>
      </c>
      <c r="L229" s="37">
        <f t="shared" si="196"/>
        <v>0</v>
      </c>
      <c r="M229" s="11"/>
      <c r="N229" s="10"/>
      <c r="O229" s="21"/>
      <c r="P229" s="21"/>
      <c r="Q229" s="21"/>
      <c r="R229" s="23"/>
      <c r="S229" s="50"/>
      <c r="T229" s="48"/>
      <c r="U229" s="82"/>
      <c r="V229" s="26"/>
      <c r="W229" s="200"/>
      <c r="X229" s="17"/>
    </row>
    <row r="230" spans="2:24" x14ac:dyDescent="0.25">
      <c r="B230" s="17">
        <v>228</v>
      </c>
      <c r="C230" s="10"/>
      <c r="D230" s="10"/>
      <c r="E230" s="72"/>
      <c r="F230" s="18"/>
      <c r="G230" s="10"/>
      <c r="H230" s="10"/>
      <c r="I230" s="10"/>
      <c r="J230" s="11"/>
      <c r="K230" s="11">
        <f t="shared" si="195"/>
        <v>0</v>
      </c>
      <c r="L230" s="37">
        <f t="shared" si="196"/>
        <v>0</v>
      </c>
      <c r="M230" s="11"/>
      <c r="N230" s="10"/>
      <c r="O230" s="21"/>
      <c r="P230" s="21"/>
      <c r="Q230" s="21"/>
      <c r="R230" s="23"/>
      <c r="S230" s="50"/>
      <c r="T230" s="48"/>
      <c r="U230" s="82"/>
      <c r="V230" s="26"/>
      <c r="W230" s="200"/>
      <c r="X230" s="17"/>
    </row>
    <row r="231" spans="2:24" x14ac:dyDescent="0.25">
      <c r="B231" s="17">
        <v>229</v>
      </c>
      <c r="C231" s="10"/>
      <c r="D231" s="10"/>
      <c r="E231" s="72"/>
      <c r="F231" s="18"/>
      <c r="G231" s="10"/>
      <c r="H231" s="10"/>
      <c r="I231" s="10"/>
      <c r="J231" s="11"/>
      <c r="K231" s="11">
        <f t="shared" si="195"/>
        <v>0</v>
      </c>
      <c r="L231" s="37">
        <f t="shared" si="196"/>
        <v>0</v>
      </c>
      <c r="M231" s="11"/>
      <c r="N231" s="10"/>
      <c r="O231" s="21"/>
      <c r="P231" s="21"/>
      <c r="Q231" s="21"/>
      <c r="R231" s="23"/>
      <c r="S231" s="50"/>
      <c r="T231" s="48"/>
      <c r="U231" s="82"/>
      <c r="V231" s="32"/>
      <c r="W231" s="200"/>
      <c r="X231" s="17"/>
    </row>
    <row r="232" spans="2:24" x14ac:dyDescent="0.25">
      <c r="B232" s="17">
        <v>230</v>
      </c>
      <c r="C232" s="10"/>
      <c r="D232" s="10"/>
      <c r="E232" s="72"/>
      <c r="F232" s="18"/>
      <c r="G232" s="10"/>
      <c r="H232" s="10"/>
      <c r="I232" s="10"/>
      <c r="J232" s="11"/>
      <c r="K232" s="11">
        <f t="shared" si="195"/>
        <v>0</v>
      </c>
      <c r="L232" s="37">
        <f t="shared" si="196"/>
        <v>0</v>
      </c>
      <c r="M232" s="11"/>
      <c r="N232" s="10"/>
      <c r="O232" s="21"/>
      <c r="P232" s="21"/>
      <c r="Q232" s="21"/>
      <c r="R232" s="23"/>
      <c r="S232" s="50"/>
      <c r="T232" s="48"/>
      <c r="U232" s="82"/>
      <c r="V232" s="32"/>
      <c r="W232" s="200"/>
      <c r="X232" s="17"/>
    </row>
    <row r="233" spans="2:24" x14ac:dyDescent="0.25">
      <c r="B233" s="17">
        <v>231</v>
      </c>
      <c r="C233" s="10"/>
      <c r="D233" s="10"/>
      <c r="E233" s="72"/>
      <c r="F233" s="18"/>
      <c r="G233" s="10"/>
      <c r="H233" s="10"/>
      <c r="I233" s="10"/>
      <c r="J233" s="11"/>
      <c r="K233" s="11">
        <f t="shared" si="195"/>
        <v>0</v>
      </c>
      <c r="L233" s="37">
        <f t="shared" si="196"/>
        <v>0</v>
      </c>
      <c r="M233" s="11"/>
      <c r="N233" s="10"/>
      <c r="O233" s="21"/>
      <c r="P233" s="21"/>
      <c r="Q233" s="21"/>
      <c r="R233" s="23"/>
      <c r="S233" s="50"/>
      <c r="T233" s="48"/>
      <c r="U233" s="82"/>
      <c r="V233" s="26"/>
      <c r="W233" s="200"/>
      <c r="X233" s="17"/>
    </row>
    <row r="234" spans="2:24" x14ac:dyDescent="0.25">
      <c r="B234" s="17">
        <v>232</v>
      </c>
      <c r="C234" s="10"/>
      <c r="D234" s="10"/>
      <c r="E234" s="72"/>
      <c r="F234" s="18"/>
      <c r="G234" s="10"/>
      <c r="H234" s="10"/>
      <c r="I234" s="10"/>
      <c r="J234" s="11"/>
      <c r="K234" s="11">
        <f t="shared" si="195"/>
        <v>0</v>
      </c>
      <c r="L234" s="37">
        <f t="shared" si="196"/>
        <v>0</v>
      </c>
      <c r="M234" s="11"/>
      <c r="N234" s="10"/>
      <c r="O234" s="21"/>
      <c r="P234" s="21"/>
      <c r="Q234" s="21"/>
      <c r="R234" s="23"/>
      <c r="S234" s="50"/>
      <c r="T234" s="48"/>
      <c r="U234" s="82"/>
      <c r="V234" s="26"/>
      <c r="W234" s="200"/>
      <c r="X234" s="17"/>
    </row>
    <row r="235" spans="2:24" x14ac:dyDescent="0.25">
      <c r="B235" s="17">
        <v>233</v>
      </c>
      <c r="C235" s="10"/>
      <c r="D235" s="10"/>
      <c r="E235" s="72"/>
      <c r="F235" s="18"/>
      <c r="G235" s="10"/>
      <c r="H235" s="10"/>
      <c r="I235" s="10"/>
      <c r="J235" s="11"/>
      <c r="K235" s="11">
        <f t="shared" si="195"/>
        <v>0</v>
      </c>
      <c r="L235" s="37">
        <f t="shared" si="196"/>
        <v>0</v>
      </c>
      <c r="M235" s="11"/>
      <c r="N235" s="10"/>
      <c r="O235" s="21"/>
      <c r="P235" s="21"/>
      <c r="Q235" s="21"/>
      <c r="R235" s="23"/>
      <c r="S235" s="50"/>
      <c r="T235" s="48"/>
      <c r="U235" s="82"/>
      <c r="V235" s="26"/>
      <c r="W235" s="200"/>
      <c r="X235" s="17"/>
    </row>
    <row r="236" spans="2:24" x14ac:dyDescent="0.25">
      <c r="B236" s="17">
        <v>234</v>
      </c>
      <c r="C236" s="10"/>
      <c r="D236" s="10"/>
      <c r="E236" s="72"/>
      <c r="F236" s="18"/>
      <c r="G236" s="10"/>
      <c r="H236" s="10"/>
      <c r="I236" s="10"/>
      <c r="J236" s="11"/>
      <c r="K236" s="11">
        <f t="shared" si="195"/>
        <v>0</v>
      </c>
      <c r="L236" s="37">
        <f t="shared" si="196"/>
        <v>0</v>
      </c>
      <c r="M236" s="11"/>
      <c r="N236" s="10"/>
      <c r="O236" s="21"/>
      <c r="P236" s="21"/>
      <c r="Q236" s="21"/>
      <c r="R236" s="23"/>
      <c r="S236" s="50"/>
      <c r="T236" s="48"/>
      <c r="U236" s="82"/>
      <c r="V236" s="26"/>
      <c r="W236" s="200"/>
      <c r="X236" s="17"/>
    </row>
    <row r="237" spans="2:24" x14ac:dyDescent="0.25">
      <c r="B237" s="17">
        <v>235</v>
      </c>
      <c r="C237" s="10"/>
      <c r="D237" s="10"/>
      <c r="E237" s="72"/>
      <c r="F237" s="18"/>
      <c r="G237" s="10"/>
      <c r="H237" s="10"/>
      <c r="I237" s="10"/>
      <c r="J237" s="11"/>
      <c r="K237" s="11">
        <f t="shared" si="195"/>
        <v>0</v>
      </c>
      <c r="L237" s="37">
        <f t="shared" si="196"/>
        <v>0</v>
      </c>
      <c r="M237" s="11"/>
      <c r="N237" s="10"/>
      <c r="O237" s="21"/>
      <c r="P237" s="21"/>
      <c r="Q237" s="21"/>
      <c r="R237" s="23"/>
      <c r="S237" s="50"/>
      <c r="T237" s="48"/>
      <c r="U237" s="82"/>
      <c r="V237" s="26"/>
      <c r="W237" s="200"/>
      <c r="X237" s="17"/>
    </row>
    <row r="238" spans="2:24" x14ac:dyDescent="0.25">
      <c r="B238" s="17">
        <v>236</v>
      </c>
      <c r="C238" s="10"/>
      <c r="D238" s="10"/>
      <c r="E238" s="72"/>
      <c r="F238" s="18"/>
      <c r="G238" s="10"/>
      <c r="H238" s="10"/>
      <c r="I238" s="10"/>
      <c r="J238" s="11"/>
      <c r="K238" s="11">
        <f t="shared" si="195"/>
        <v>0</v>
      </c>
      <c r="L238" s="37">
        <f t="shared" si="196"/>
        <v>0</v>
      </c>
      <c r="M238" s="11"/>
      <c r="N238" s="10"/>
      <c r="O238" s="21"/>
      <c r="P238" s="21"/>
      <c r="Q238" s="21"/>
      <c r="R238" s="23"/>
      <c r="S238" s="50"/>
      <c r="T238" s="48"/>
      <c r="U238" s="82"/>
      <c r="V238" s="32"/>
      <c r="W238" s="200"/>
      <c r="X238" s="17"/>
    </row>
    <row r="239" spans="2:24" x14ac:dyDescent="0.25">
      <c r="B239" s="17">
        <v>237</v>
      </c>
      <c r="C239" s="10"/>
      <c r="D239" s="10"/>
      <c r="E239" s="72"/>
      <c r="F239" s="18"/>
      <c r="G239" s="10"/>
      <c r="H239" s="10"/>
      <c r="I239" s="10"/>
      <c r="J239" s="11"/>
      <c r="K239" s="11">
        <f t="shared" si="195"/>
        <v>0</v>
      </c>
      <c r="L239" s="37">
        <f t="shared" si="196"/>
        <v>0</v>
      </c>
      <c r="M239" s="11"/>
      <c r="N239" s="10"/>
      <c r="O239" s="21"/>
      <c r="P239" s="21"/>
      <c r="Q239" s="21"/>
      <c r="R239" s="23"/>
      <c r="S239" s="50"/>
      <c r="T239" s="48"/>
      <c r="U239" s="82"/>
      <c r="V239" s="32"/>
      <c r="W239" s="200"/>
      <c r="X239" s="17"/>
    </row>
    <row r="240" spans="2:24" x14ac:dyDescent="0.25">
      <c r="B240" s="17">
        <v>238</v>
      </c>
      <c r="C240" s="10"/>
      <c r="D240" s="10"/>
      <c r="E240" s="72"/>
      <c r="F240" s="18"/>
      <c r="G240" s="10"/>
      <c r="H240" s="10"/>
      <c r="I240" s="10"/>
      <c r="J240" s="11"/>
      <c r="K240" s="11">
        <f t="shared" si="195"/>
        <v>0</v>
      </c>
      <c r="L240" s="37">
        <f t="shared" si="196"/>
        <v>0</v>
      </c>
      <c r="M240" s="11"/>
      <c r="N240" s="10"/>
      <c r="O240" s="21"/>
      <c r="P240" s="21"/>
      <c r="Q240" s="21"/>
      <c r="R240" s="23"/>
      <c r="S240" s="50"/>
      <c r="T240" s="48"/>
      <c r="U240" s="82"/>
      <c r="V240" s="26"/>
      <c r="W240" s="200"/>
      <c r="X240" s="17"/>
    </row>
    <row r="241" spans="2:24" x14ac:dyDescent="0.25">
      <c r="B241" s="17">
        <v>239</v>
      </c>
      <c r="C241" s="10"/>
      <c r="D241" s="10"/>
      <c r="E241" s="72"/>
      <c r="F241" s="18"/>
      <c r="G241" s="10"/>
      <c r="H241" s="10"/>
      <c r="I241" s="10"/>
      <c r="J241" s="11"/>
      <c r="K241" s="11">
        <f t="shared" si="195"/>
        <v>0</v>
      </c>
      <c r="L241" s="37">
        <f t="shared" si="196"/>
        <v>0</v>
      </c>
      <c r="M241" s="11"/>
      <c r="N241" s="10"/>
      <c r="O241" s="21"/>
      <c r="P241" s="21"/>
      <c r="Q241" s="21"/>
      <c r="R241" s="23"/>
      <c r="S241" s="50"/>
      <c r="T241" s="48"/>
      <c r="U241" s="82"/>
      <c r="V241" s="26"/>
      <c r="W241" s="200"/>
      <c r="X241" s="17"/>
    </row>
    <row r="242" spans="2:24" x14ac:dyDescent="0.25">
      <c r="B242" s="17">
        <v>240</v>
      </c>
      <c r="C242" s="10"/>
      <c r="D242" s="10"/>
      <c r="E242" s="72"/>
      <c r="F242" s="18"/>
      <c r="G242" s="10"/>
      <c r="H242" s="10"/>
      <c r="I242" s="10"/>
      <c r="J242" s="11"/>
      <c r="K242" s="11">
        <f t="shared" si="195"/>
        <v>0</v>
      </c>
      <c r="L242" s="37">
        <f t="shared" si="196"/>
        <v>0</v>
      </c>
      <c r="M242" s="11"/>
      <c r="N242" s="10"/>
      <c r="O242" s="21"/>
      <c r="P242" s="21"/>
      <c r="Q242" s="21"/>
      <c r="R242" s="23"/>
      <c r="S242" s="50"/>
      <c r="T242" s="48"/>
      <c r="U242" s="82"/>
      <c r="V242" s="26"/>
      <c r="W242" s="200"/>
      <c r="X242" s="17"/>
    </row>
    <row r="243" spans="2:24" x14ac:dyDescent="0.25">
      <c r="B243" s="17">
        <v>241</v>
      </c>
      <c r="C243" s="10"/>
      <c r="D243" s="10"/>
      <c r="E243" s="72"/>
      <c r="F243" s="18"/>
      <c r="G243" s="10"/>
      <c r="H243" s="10"/>
      <c r="I243" s="10"/>
      <c r="J243" s="11"/>
      <c r="K243" s="11">
        <f t="shared" si="195"/>
        <v>0</v>
      </c>
      <c r="L243" s="37">
        <f t="shared" si="196"/>
        <v>0</v>
      </c>
      <c r="M243" s="11"/>
      <c r="N243" s="10"/>
      <c r="O243" s="21"/>
      <c r="P243" s="21"/>
      <c r="Q243" s="21"/>
      <c r="R243" s="23"/>
      <c r="S243" s="50"/>
      <c r="T243" s="48"/>
      <c r="U243" s="82"/>
      <c r="V243" s="26"/>
      <c r="W243" s="200"/>
      <c r="X243" s="17"/>
    </row>
    <row r="244" spans="2:24" x14ac:dyDescent="0.25">
      <c r="B244" s="17">
        <v>242</v>
      </c>
      <c r="C244" s="10"/>
      <c r="D244" s="10"/>
      <c r="E244" s="72"/>
      <c r="F244" s="18"/>
      <c r="G244" s="10"/>
      <c r="H244" s="10"/>
      <c r="I244" s="10"/>
      <c r="J244" s="11"/>
      <c r="K244" s="11">
        <f t="shared" si="195"/>
        <v>0</v>
      </c>
      <c r="L244" s="37">
        <f t="shared" si="196"/>
        <v>0</v>
      </c>
      <c r="M244" s="11"/>
      <c r="N244" s="10"/>
      <c r="O244" s="21"/>
      <c r="P244" s="21"/>
      <c r="Q244" s="21"/>
      <c r="R244" s="23"/>
      <c r="S244" s="50"/>
      <c r="T244" s="48"/>
      <c r="U244" s="82"/>
      <c r="V244" s="26"/>
      <c r="W244" s="200"/>
      <c r="X244" s="17"/>
    </row>
    <row r="245" spans="2:24" x14ac:dyDescent="0.25">
      <c r="B245" s="17">
        <v>243</v>
      </c>
      <c r="C245" s="10"/>
      <c r="D245" s="10"/>
      <c r="E245" s="72"/>
      <c r="F245" s="18"/>
      <c r="G245" s="10"/>
      <c r="H245" s="10"/>
      <c r="I245" s="10"/>
      <c r="J245" s="11"/>
      <c r="K245" s="11">
        <f t="shared" si="195"/>
        <v>0</v>
      </c>
      <c r="L245" s="37">
        <f t="shared" si="196"/>
        <v>0</v>
      </c>
      <c r="M245" s="11"/>
      <c r="N245" s="10"/>
      <c r="O245" s="21"/>
      <c r="P245" s="21"/>
      <c r="Q245" s="21"/>
      <c r="R245" s="23"/>
      <c r="S245" s="50"/>
      <c r="T245" s="48"/>
      <c r="U245" s="82"/>
      <c r="V245" s="32"/>
      <c r="W245" s="200"/>
      <c r="X245" s="17"/>
    </row>
    <row r="246" spans="2:24" x14ac:dyDescent="0.25">
      <c r="B246" s="17">
        <v>244</v>
      </c>
      <c r="C246" s="10"/>
      <c r="D246" s="10"/>
      <c r="E246" s="72"/>
      <c r="F246" s="18"/>
      <c r="G246" s="10"/>
      <c r="H246" s="10"/>
      <c r="I246" s="10"/>
      <c r="J246" s="11"/>
      <c r="K246" s="11">
        <f t="shared" si="195"/>
        <v>0</v>
      </c>
      <c r="L246" s="37">
        <f t="shared" si="196"/>
        <v>0</v>
      </c>
      <c r="M246" s="11"/>
      <c r="N246" s="10"/>
      <c r="O246" s="21"/>
      <c r="P246" s="21"/>
      <c r="Q246" s="21"/>
      <c r="R246" s="23"/>
      <c r="S246" s="50"/>
      <c r="T246" s="48"/>
      <c r="U246" s="82"/>
      <c r="V246" s="32"/>
      <c r="W246" s="200"/>
      <c r="X246" s="17"/>
    </row>
    <row r="247" spans="2:24" x14ac:dyDescent="0.25">
      <c r="B247" s="17">
        <v>245</v>
      </c>
      <c r="C247" s="10"/>
      <c r="D247" s="10"/>
      <c r="E247" s="72"/>
      <c r="F247" s="18"/>
      <c r="G247" s="10"/>
      <c r="H247" s="10"/>
      <c r="I247" s="10"/>
      <c r="J247" s="11"/>
      <c r="K247" s="11">
        <f t="shared" si="195"/>
        <v>0</v>
      </c>
      <c r="L247" s="37">
        <f t="shared" si="196"/>
        <v>0</v>
      </c>
      <c r="M247" s="11"/>
      <c r="N247" s="10"/>
      <c r="O247" s="21"/>
      <c r="P247" s="21"/>
      <c r="Q247" s="21"/>
      <c r="R247" s="23"/>
      <c r="S247" s="50"/>
      <c r="T247" s="48"/>
      <c r="U247" s="82"/>
      <c r="V247" s="32"/>
      <c r="W247" s="200"/>
      <c r="X247" s="17"/>
    </row>
    <row r="248" spans="2:24" x14ac:dyDescent="0.25">
      <c r="B248" s="17">
        <v>246</v>
      </c>
      <c r="C248" s="10"/>
      <c r="D248" s="10"/>
      <c r="E248" s="72"/>
      <c r="F248" s="18"/>
      <c r="G248" s="10"/>
      <c r="H248" s="10"/>
      <c r="I248" s="10"/>
      <c r="J248" s="11"/>
      <c r="K248" s="11">
        <f t="shared" si="195"/>
        <v>0</v>
      </c>
      <c r="L248" s="37">
        <f t="shared" si="196"/>
        <v>0</v>
      </c>
      <c r="M248" s="11"/>
      <c r="N248" s="10"/>
      <c r="O248" s="21"/>
      <c r="P248" s="21"/>
      <c r="Q248" s="21"/>
      <c r="R248" s="23"/>
      <c r="S248" s="50"/>
      <c r="T248" s="48"/>
      <c r="U248" s="82"/>
      <c r="V248" s="32"/>
      <c r="W248" s="200"/>
      <c r="X248" s="17"/>
    </row>
    <row r="249" spans="2:24" x14ac:dyDescent="0.25">
      <c r="B249" s="17">
        <v>247</v>
      </c>
      <c r="C249" s="10"/>
      <c r="D249" s="10"/>
      <c r="E249" s="72"/>
      <c r="F249" s="18"/>
      <c r="G249" s="10"/>
      <c r="H249" s="10"/>
      <c r="I249" s="10"/>
      <c r="J249" s="11"/>
      <c r="K249" s="11">
        <f t="shared" si="195"/>
        <v>0</v>
      </c>
      <c r="L249" s="37">
        <f t="shared" si="196"/>
        <v>0</v>
      </c>
      <c r="M249" s="11"/>
      <c r="N249" s="10"/>
      <c r="O249" s="21"/>
      <c r="P249" s="21"/>
      <c r="Q249" s="21"/>
      <c r="R249" s="23"/>
      <c r="S249" s="50"/>
      <c r="T249" s="48"/>
      <c r="U249" s="82"/>
      <c r="V249" s="26"/>
      <c r="W249" s="200"/>
      <c r="X249" s="17"/>
    </row>
    <row r="250" spans="2:24" x14ac:dyDescent="0.25">
      <c r="B250" s="17">
        <v>248</v>
      </c>
      <c r="C250" s="10"/>
      <c r="D250" s="10"/>
      <c r="E250" s="72"/>
      <c r="F250" s="18"/>
      <c r="G250" s="10"/>
      <c r="H250" s="10"/>
      <c r="I250" s="10"/>
      <c r="J250" s="11"/>
      <c r="K250" s="11">
        <f t="shared" si="195"/>
        <v>0</v>
      </c>
      <c r="L250" s="37">
        <f t="shared" si="196"/>
        <v>0</v>
      </c>
      <c r="M250" s="11"/>
      <c r="N250" s="10"/>
      <c r="O250" s="21"/>
      <c r="P250" s="21"/>
      <c r="Q250" s="21"/>
      <c r="R250" s="23"/>
      <c r="S250" s="50"/>
      <c r="T250" s="48"/>
      <c r="U250" s="82"/>
      <c r="V250" s="26"/>
      <c r="W250" s="200"/>
      <c r="X250" s="17"/>
    </row>
    <row r="251" spans="2:24" x14ac:dyDescent="0.25">
      <c r="B251" s="17">
        <v>249</v>
      </c>
      <c r="C251" s="10"/>
      <c r="D251" s="10"/>
      <c r="E251" s="72"/>
      <c r="F251" s="18"/>
      <c r="G251" s="10"/>
      <c r="H251" s="10"/>
      <c r="I251" s="10"/>
      <c r="J251" s="11"/>
      <c r="K251" s="11">
        <f t="shared" si="195"/>
        <v>0</v>
      </c>
      <c r="L251" s="37">
        <f t="shared" si="196"/>
        <v>0</v>
      </c>
      <c r="M251" s="11"/>
      <c r="N251" s="10"/>
      <c r="O251" s="21"/>
      <c r="P251" s="21"/>
      <c r="Q251" s="21"/>
      <c r="R251" s="23"/>
      <c r="S251" s="50"/>
      <c r="T251" s="48"/>
      <c r="U251" s="82"/>
      <c r="V251" s="26"/>
      <c r="W251" s="200"/>
      <c r="X251" s="17"/>
    </row>
    <row r="252" spans="2:24" x14ac:dyDescent="0.25">
      <c r="B252" s="17">
        <v>250</v>
      </c>
      <c r="C252" s="10"/>
      <c r="D252" s="10"/>
      <c r="E252" s="72"/>
      <c r="F252" s="18"/>
      <c r="G252" s="10"/>
      <c r="H252" s="10"/>
      <c r="I252" s="10"/>
      <c r="J252" s="11"/>
      <c r="K252" s="11">
        <f t="shared" si="195"/>
        <v>0</v>
      </c>
      <c r="L252" s="37">
        <f t="shared" si="196"/>
        <v>0</v>
      </c>
      <c r="M252" s="11"/>
      <c r="N252" s="10"/>
      <c r="O252" s="21"/>
      <c r="P252" s="21"/>
      <c r="Q252" s="21"/>
      <c r="R252" s="23"/>
      <c r="S252" s="50"/>
      <c r="T252" s="48"/>
      <c r="U252" s="82"/>
      <c r="V252" s="26"/>
      <c r="W252" s="200"/>
      <c r="X252" s="17"/>
    </row>
    <row r="253" spans="2:24" x14ac:dyDescent="0.25">
      <c r="B253" s="17">
        <v>251</v>
      </c>
      <c r="C253" s="10"/>
      <c r="D253" s="10"/>
      <c r="E253" s="72"/>
      <c r="F253" s="18"/>
      <c r="G253" s="10"/>
      <c r="H253" s="10"/>
      <c r="I253" s="10"/>
      <c r="J253" s="11"/>
      <c r="K253" s="11">
        <f t="shared" si="195"/>
        <v>0</v>
      </c>
      <c r="L253" s="37">
        <f t="shared" si="196"/>
        <v>0</v>
      </c>
      <c r="M253" s="11"/>
      <c r="N253" s="10"/>
      <c r="O253" s="21"/>
      <c r="P253" s="21"/>
      <c r="Q253" s="21"/>
      <c r="R253" s="23"/>
      <c r="S253" s="50"/>
      <c r="T253" s="48"/>
      <c r="U253" s="82"/>
      <c r="V253" s="32"/>
      <c r="W253" s="200"/>
      <c r="X253" s="17"/>
    </row>
    <row r="254" spans="2:24" x14ac:dyDescent="0.25">
      <c r="B254" s="17">
        <v>252</v>
      </c>
      <c r="C254" s="10"/>
      <c r="D254" s="10"/>
      <c r="E254" s="72"/>
      <c r="F254" s="18"/>
      <c r="G254" s="10"/>
      <c r="H254" s="10"/>
      <c r="I254" s="10"/>
      <c r="J254" s="11"/>
      <c r="K254" s="11">
        <f t="shared" si="195"/>
        <v>0</v>
      </c>
      <c r="L254" s="37">
        <f t="shared" si="196"/>
        <v>0</v>
      </c>
      <c r="M254" s="11"/>
      <c r="N254" s="10"/>
      <c r="O254" s="21"/>
      <c r="P254" s="21"/>
      <c r="Q254" s="21"/>
      <c r="R254" s="23"/>
      <c r="S254" s="50"/>
      <c r="T254" s="48"/>
      <c r="U254" s="82"/>
      <c r="V254" s="32"/>
      <c r="W254" s="200"/>
      <c r="X254" s="17"/>
    </row>
    <row r="255" spans="2:24" x14ac:dyDescent="0.25">
      <c r="B255" s="17">
        <v>253</v>
      </c>
      <c r="C255" s="10"/>
      <c r="D255" s="10"/>
      <c r="E255" s="72"/>
      <c r="F255" s="18"/>
      <c r="G255" s="10"/>
      <c r="H255" s="10"/>
      <c r="I255" s="10"/>
      <c r="J255" s="11"/>
      <c r="K255" s="11">
        <f t="shared" si="195"/>
        <v>0</v>
      </c>
      <c r="L255" s="37">
        <f t="shared" si="196"/>
        <v>0</v>
      </c>
      <c r="M255" s="11"/>
      <c r="N255" s="10"/>
      <c r="O255" s="21"/>
      <c r="P255" s="21"/>
      <c r="Q255" s="21"/>
      <c r="R255" s="23"/>
      <c r="S255" s="50"/>
      <c r="T255" s="48"/>
      <c r="U255" s="82"/>
      <c r="V255" s="26"/>
      <c r="W255" s="200"/>
      <c r="X255" s="17"/>
    </row>
    <row r="256" spans="2:24" x14ac:dyDescent="0.25">
      <c r="B256" s="17">
        <v>254</v>
      </c>
      <c r="C256" s="10"/>
      <c r="D256" s="10"/>
      <c r="E256" s="72"/>
      <c r="F256" s="18"/>
      <c r="G256" s="10"/>
      <c r="H256" s="10"/>
      <c r="I256" s="10"/>
      <c r="J256" s="11"/>
      <c r="K256" s="11">
        <f t="shared" si="195"/>
        <v>0</v>
      </c>
      <c r="L256" s="37">
        <f t="shared" si="196"/>
        <v>0</v>
      </c>
      <c r="M256" s="11"/>
      <c r="N256" s="10"/>
      <c r="O256" s="21"/>
      <c r="P256" s="21"/>
      <c r="Q256" s="21"/>
      <c r="R256" s="23"/>
      <c r="S256" s="50"/>
      <c r="T256" s="48"/>
      <c r="U256" s="82"/>
      <c r="V256" s="26"/>
      <c r="W256" s="200"/>
      <c r="X256" s="17"/>
    </row>
    <row r="257" spans="2:24" x14ac:dyDescent="0.25">
      <c r="B257" s="17">
        <v>255</v>
      </c>
      <c r="C257" s="10"/>
      <c r="D257" s="10"/>
      <c r="E257" s="72"/>
      <c r="F257" s="18"/>
      <c r="G257" s="10"/>
      <c r="H257" s="10"/>
      <c r="I257" s="10"/>
      <c r="J257" s="11"/>
      <c r="K257" s="11">
        <f t="shared" si="195"/>
        <v>0</v>
      </c>
      <c r="L257" s="37">
        <f t="shared" si="196"/>
        <v>0</v>
      </c>
      <c r="M257" s="11"/>
      <c r="N257" s="10"/>
      <c r="O257" s="21"/>
      <c r="P257" s="21"/>
      <c r="Q257" s="21"/>
      <c r="R257" s="23"/>
      <c r="S257" s="50"/>
      <c r="T257" s="48"/>
      <c r="U257" s="82"/>
      <c r="V257" s="26"/>
      <c r="W257" s="200"/>
      <c r="X257" s="17"/>
    </row>
    <row r="258" spans="2:24" x14ac:dyDescent="0.25">
      <c r="B258" s="17">
        <v>256</v>
      </c>
      <c r="C258" s="10"/>
      <c r="D258" s="10"/>
      <c r="E258" s="72"/>
      <c r="F258" s="18"/>
      <c r="G258" s="10"/>
      <c r="H258" s="10"/>
      <c r="I258" s="10"/>
      <c r="J258" s="11"/>
      <c r="K258" s="11">
        <f t="shared" si="195"/>
        <v>0</v>
      </c>
      <c r="L258" s="37">
        <f t="shared" si="196"/>
        <v>0</v>
      </c>
      <c r="M258" s="11"/>
      <c r="N258" s="10"/>
      <c r="O258" s="21"/>
      <c r="P258" s="21"/>
      <c r="Q258" s="21"/>
      <c r="R258" s="23"/>
      <c r="S258" s="50"/>
      <c r="T258" s="48"/>
      <c r="U258" s="82"/>
      <c r="V258" s="26"/>
      <c r="W258" s="200"/>
      <c r="X258" s="17"/>
    </row>
    <row r="259" spans="2:24" x14ac:dyDescent="0.25">
      <c r="B259" s="17">
        <v>257</v>
      </c>
      <c r="C259" s="10"/>
      <c r="D259" s="10"/>
      <c r="E259" s="72"/>
      <c r="F259" s="18"/>
      <c r="G259" s="10"/>
      <c r="H259" s="10"/>
      <c r="I259" s="10"/>
      <c r="J259" s="11"/>
      <c r="K259" s="11">
        <f t="shared" si="195"/>
        <v>0</v>
      </c>
      <c r="L259" s="37">
        <f t="shared" si="196"/>
        <v>0</v>
      </c>
      <c r="M259" s="11"/>
      <c r="N259" s="10"/>
      <c r="O259" s="21"/>
      <c r="P259" s="21"/>
      <c r="Q259" s="21"/>
      <c r="R259" s="23"/>
      <c r="S259" s="50"/>
      <c r="T259" s="48"/>
      <c r="U259" s="82"/>
      <c r="V259" s="26"/>
      <c r="W259" s="200"/>
      <c r="X259" s="17"/>
    </row>
    <row r="260" spans="2:24" x14ac:dyDescent="0.25">
      <c r="B260" s="17">
        <v>258</v>
      </c>
      <c r="C260" s="10"/>
      <c r="D260" s="10"/>
      <c r="E260" s="72"/>
      <c r="F260" s="18"/>
      <c r="G260" s="10"/>
      <c r="H260" s="10"/>
      <c r="I260" s="10"/>
      <c r="J260" s="11"/>
      <c r="K260" s="11">
        <f t="shared" ref="K260:K284" si="197">J260*1.1</f>
        <v>0</v>
      </c>
      <c r="L260" s="37">
        <f t="shared" ref="L260:L284" si="198">J260*0.00000001</f>
        <v>0</v>
      </c>
      <c r="M260" s="11"/>
      <c r="N260" s="10"/>
      <c r="O260" s="21"/>
      <c r="P260" s="21"/>
      <c r="Q260" s="21"/>
      <c r="R260" s="23"/>
      <c r="S260" s="50"/>
      <c r="T260" s="48"/>
      <c r="U260" s="82"/>
      <c r="V260" s="32"/>
      <c r="W260" s="200"/>
      <c r="X260" s="17"/>
    </row>
    <row r="261" spans="2:24" x14ac:dyDescent="0.25">
      <c r="B261" s="17">
        <v>259</v>
      </c>
      <c r="C261" s="10"/>
      <c r="D261" s="10"/>
      <c r="E261" s="72"/>
      <c r="F261" s="18"/>
      <c r="G261" s="10"/>
      <c r="H261" s="10"/>
      <c r="I261" s="10"/>
      <c r="J261" s="11"/>
      <c r="K261" s="11">
        <f t="shared" si="197"/>
        <v>0</v>
      </c>
      <c r="L261" s="37">
        <f t="shared" si="198"/>
        <v>0</v>
      </c>
      <c r="M261" s="11"/>
      <c r="N261" s="10"/>
      <c r="O261" s="21"/>
      <c r="P261" s="21"/>
      <c r="Q261" s="21"/>
      <c r="R261" s="23"/>
      <c r="S261" s="50"/>
      <c r="T261" s="48"/>
      <c r="U261" s="82"/>
      <c r="V261" s="32"/>
      <c r="W261" s="200"/>
      <c r="X261" s="17"/>
    </row>
    <row r="262" spans="2:24" x14ac:dyDescent="0.25">
      <c r="B262" s="17">
        <v>260</v>
      </c>
      <c r="C262" s="10"/>
      <c r="D262" s="10"/>
      <c r="E262" s="72"/>
      <c r="F262" s="18"/>
      <c r="G262" s="10"/>
      <c r="H262" s="10"/>
      <c r="I262" s="10"/>
      <c r="J262" s="11"/>
      <c r="K262" s="11">
        <f t="shared" si="197"/>
        <v>0</v>
      </c>
      <c r="L262" s="37">
        <f t="shared" si="198"/>
        <v>0</v>
      </c>
      <c r="M262" s="11"/>
      <c r="N262" s="10"/>
      <c r="O262" s="21"/>
      <c r="P262" s="21"/>
      <c r="Q262" s="21"/>
      <c r="R262" s="23"/>
      <c r="S262" s="50"/>
      <c r="T262" s="48"/>
      <c r="U262" s="82"/>
      <c r="V262" s="26"/>
      <c r="W262" s="200"/>
      <c r="X262" s="17"/>
    </row>
    <row r="263" spans="2:24" x14ac:dyDescent="0.25">
      <c r="B263" s="17">
        <v>261</v>
      </c>
      <c r="C263" s="10"/>
      <c r="D263" s="10"/>
      <c r="E263" s="72"/>
      <c r="F263" s="18"/>
      <c r="G263" s="10"/>
      <c r="H263" s="10"/>
      <c r="I263" s="10"/>
      <c r="J263" s="11"/>
      <c r="K263" s="11">
        <f t="shared" si="197"/>
        <v>0</v>
      </c>
      <c r="L263" s="37">
        <f t="shared" si="198"/>
        <v>0</v>
      </c>
      <c r="M263" s="11"/>
      <c r="N263" s="10"/>
      <c r="O263" s="21"/>
      <c r="P263" s="21"/>
      <c r="Q263" s="21"/>
      <c r="R263" s="23"/>
      <c r="S263" s="50"/>
      <c r="T263" s="48"/>
      <c r="U263" s="82"/>
      <c r="V263" s="26"/>
      <c r="W263" s="200"/>
      <c r="X263" s="17"/>
    </row>
    <row r="264" spans="2:24" x14ac:dyDescent="0.25">
      <c r="B264" s="17">
        <v>262</v>
      </c>
      <c r="C264" s="10"/>
      <c r="D264" s="10"/>
      <c r="E264" s="72"/>
      <c r="F264" s="18"/>
      <c r="G264" s="10"/>
      <c r="H264" s="10"/>
      <c r="I264" s="10"/>
      <c r="J264" s="11"/>
      <c r="K264" s="11">
        <f t="shared" si="197"/>
        <v>0</v>
      </c>
      <c r="L264" s="37">
        <f t="shared" si="198"/>
        <v>0</v>
      </c>
      <c r="M264" s="11"/>
      <c r="N264" s="10"/>
      <c r="O264" s="21"/>
      <c r="P264" s="21"/>
      <c r="Q264" s="21"/>
      <c r="R264" s="23"/>
      <c r="S264" s="50"/>
      <c r="T264" s="48"/>
      <c r="U264" s="82"/>
      <c r="V264" s="26"/>
      <c r="W264" s="200"/>
      <c r="X264" s="17"/>
    </row>
    <row r="265" spans="2:24" x14ac:dyDescent="0.25">
      <c r="B265" s="17">
        <v>263</v>
      </c>
      <c r="C265" s="10"/>
      <c r="D265" s="10"/>
      <c r="E265" s="72"/>
      <c r="F265" s="18"/>
      <c r="G265" s="10"/>
      <c r="H265" s="10"/>
      <c r="I265" s="10"/>
      <c r="J265" s="11"/>
      <c r="K265" s="11">
        <f t="shared" si="197"/>
        <v>0</v>
      </c>
      <c r="L265" s="37">
        <f t="shared" si="198"/>
        <v>0</v>
      </c>
      <c r="M265" s="11"/>
      <c r="N265" s="10"/>
      <c r="O265" s="21"/>
      <c r="P265" s="21"/>
      <c r="Q265" s="21"/>
      <c r="R265" s="23"/>
      <c r="S265" s="50"/>
      <c r="T265" s="48"/>
      <c r="U265" s="82"/>
      <c r="V265" s="26"/>
      <c r="W265" s="200"/>
      <c r="X265" s="17"/>
    </row>
    <row r="266" spans="2:24" x14ac:dyDescent="0.25">
      <c r="B266" s="17">
        <v>264</v>
      </c>
      <c r="C266" s="10"/>
      <c r="D266" s="10"/>
      <c r="E266" s="72"/>
      <c r="F266" s="18"/>
      <c r="G266" s="10"/>
      <c r="H266" s="10"/>
      <c r="I266" s="10"/>
      <c r="J266" s="11"/>
      <c r="K266" s="11">
        <f t="shared" si="197"/>
        <v>0</v>
      </c>
      <c r="L266" s="37">
        <f t="shared" si="198"/>
        <v>0</v>
      </c>
      <c r="M266" s="11"/>
      <c r="N266" s="10"/>
      <c r="O266" s="21"/>
      <c r="P266" s="21"/>
      <c r="Q266" s="21"/>
      <c r="R266" s="23"/>
      <c r="S266" s="50"/>
      <c r="T266" s="48"/>
      <c r="U266" s="82"/>
      <c r="V266" s="26"/>
      <c r="W266" s="200"/>
      <c r="X266" s="17"/>
    </row>
    <row r="267" spans="2:24" x14ac:dyDescent="0.25">
      <c r="B267" s="17">
        <v>265</v>
      </c>
      <c r="C267" s="10"/>
      <c r="D267" s="10"/>
      <c r="E267" s="72"/>
      <c r="F267" s="18"/>
      <c r="G267" s="10"/>
      <c r="H267" s="10"/>
      <c r="I267" s="10"/>
      <c r="J267" s="11"/>
      <c r="K267" s="11">
        <f t="shared" si="197"/>
        <v>0</v>
      </c>
      <c r="L267" s="37">
        <f t="shared" si="198"/>
        <v>0</v>
      </c>
      <c r="M267" s="11"/>
      <c r="N267" s="10"/>
      <c r="O267" s="21"/>
      <c r="P267" s="21"/>
      <c r="Q267" s="21"/>
      <c r="R267" s="23"/>
      <c r="S267" s="50"/>
      <c r="T267" s="48"/>
      <c r="U267" s="82"/>
      <c r="V267" s="32"/>
      <c r="W267" s="200"/>
      <c r="X267" s="17"/>
    </row>
    <row r="268" spans="2:24" x14ac:dyDescent="0.25">
      <c r="B268" s="17">
        <v>266</v>
      </c>
      <c r="C268" s="10"/>
      <c r="D268" s="10"/>
      <c r="E268" s="72"/>
      <c r="F268" s="18"/>
      <c r="G268" s="10"/>
      <c r="H268" s="10"/>
      <c r="I268" s="10"/>
      <c r="J268" s="11"/>
      <c r="K268" s="11">
        <f t="shared" si="197"/>
        <v>0</v>
      </c>
      <c r="L268" s="37">
        <f t="shared" si="198"/>
        <v>0</v>
      </c>
      <c r="M268" s="11"/>
      <c r="N268" s="10"/>
      <c r="O268" s="21"/>
      <c r="P268" s="21"/>
      <c r="Q268" s="21"/>
      <c r="R268" s="23"/>
      <c r="S268" s="50"/>
      <c r="T268" s="48"/>
      <c r="U268" s="82"/>
      <c r="V268" s="32"/>
      <c r="W268" s="200"/>
      <c r="X268" s="17"/>
    </row>
    <row r="269" spans="2:24" x14ac:dyDescent="0.25">
      <c r="B269" s="17">
        <v>267</v>
      </c>
      <c r="C269" s="10"/>
      <c r="D269" s="10"/>
      <c r="E269" s="72"/>
      <c r="F269" s="18"/>
      <c r="G269" s="10"/>
      <c r="H269" s="10"/>
      <c r="I269" s="10"/>
      <c r="J269" s="11"/>
      <c r="K269" s="11">
        <f t="shared" si="197"/>
        <v>0</v>
      </c>
      <c r="L269" s="37">
        <f t="shared" si="198"/>
        <v>0</v>
      </c>
      <c r="M269" s="11"/>
      <c r="N269" s="10"/>
      <c r="O269" s="21"/>
      <c r="P269" s="21"/>
      <c r="Q269" s="21"/>
      <c r="R269" s="23"/>
      <c r="S269" s="50"/>
      <c r="T269" s="48"/>
      <c r="U269" s="82"/>
      <c r="V269" s="32"/>
      <c r="W269" s="200"/>
      <c r="X269" s="17"/>
    </row>
    <row r="270" spans="2:24" x14ac:dyDescent="0.25">
      <c r="B270" s="17">
        <v>268</v>
      </c>
      <c r="C270" s="10"/>
      <c r="D270" s="10"/>
      <c r="E270" s="72"/>
      <c r="F270" s="18"/>
      <c r="G270" s="10"/>
      <c r="H270" s="10"/>
      <c r="I270" s="10"/>
      <c r="J270" s="11"/>
      <c r="K270" s="11">
        <f t="shared" si="197"/>
        <v>0</v>
      </c>
      <c r="L270" s="37">
        <f t="shared" si="198"/>
        <v>0</v>
      </c>
      <c r="M270" s="11"/>
      <c r="N270" s="10"/>
      <c r="O270" s="21"/>
      <c r="P270" s="21"/>
      <c r="Q270" s="21"/>
      <c r="R270" s="23"/>
      <c r="S270" s="50"/>
      <c r="T270" s="48"/>
      <c r="U270" s="82"/>
      <c r="V270" s="32"/>
      <c r="W270" s="200"/>
      <c r="X270" s="17"/>
    </row>
    <row r="271" spans="2:24" x14ac:dyDescent="0.25">
      <c r="B271" s="17">
        <v>269</v>
      </c>
      <c r="C271" s="10"/>
      <c r="D271" s="10"/>
      <c r="E271" s="72"/>
      <c r="F271" s="18"/>
      <c r="G271" s="10"/>
      <c r="H271" s="10"/>
      <c r="I271" s="10"/>
      <c r="J271" s="11"/>
      <c r="K271" s="11">
        <f t="shared" si="197"/>
        <v>0</v>
      </c>
      <c r="L271" s="37">
        <f t="shared" si="198"/>
        <v>0</v>
      </c>
      <c r="M271" s="11"/>
      <c r="N271" s="10"/>
      <c r="O271" s="21"/>
      <c r="P271" s="21"/>
      <c r="Q271" s="21"/>
      <c r="R271" s="23"/>
      <c r="S271" s="50"/>
      <c r="T271" s="48"/>
      <c r="U271" s="82"/>
      <c r="V271" s="26"/>
      <c r="W271" s="200"/>
      <c r="X271" s="17"/>
    </row>
    <row r="272" spans="2:24" x14ac:dyDescent="0.25">
      <c r="B272" s="17">
        <v>270</v>
      </c>
      <c r="C272" s="10"/>
      <c r="D272" s="10"/>
      <c r="E272" s="72"/>
      <c r="F272" s="18"/>
      <c r="G272" s="10"/>
      <c r="H272" s="10"/>
      <c r="I272" s="10"/>
      <c r="J272" s="11"/>
      <c r="K272" s="11">
        <f t="shared" si="197"/>
        <v>0</v>
      </c>
      <c r="L272" s="37">
        <f t="shared" si="198"/>
        <v>0</v>
      </c>
      <c r="M272" s="11"/>
      <c r="N272" s="10"/>
      <c r="O272" s="21"/>
      <c r="P272" s="21"/>
      <c r="Q272" s="21"/>
      <c r="R272" s="23"/>
      <c r="S272" s="50"/>
      <c r="T272" s="48"/>
      <c r="U272" s="82"/>
      <c r="V272" s="26"/>
      <c r="W272" s="200"/>
      <c r="X272" s="17"/>
    </row>
    <row r="273" spans="2:24" x14ac:dyDescent="0.25">
      <c r="B273" s="17">
        <v>271</v>
      </c>
      <c r="C273" s="10"/>
      <c r="D273" s="10"/>
      <c r="E273" s="72"/>
      <c r="F273" s="18"/>
      <c r="G273" s="10"/>
      <c r="H273" s="10"/>
      <c r="I273" s="10"/>
      <c r="J273" s="11"/>
      <c r="K273" s="11">
        <f t="shared" si="197"/>
        <v>0</v>
      </c>
      <c r="L273" s="37">
        <f t="shared" si="198"/>
        <v>0</v>
      </c>
      <c r="M273" s="11"/>
      <c r="N273" s="10"/>
      <c r="O273" s="21"/>
      <c r="P273" s="21"/>
      <c r="Q273" s="21"/>
      <c r="R273" s="23"/>
      <c r="S273" s="50"/>
      <c r="T273" s="48"/>
      <c r="U273" s="82"/>
      <c r="V273" s="26"/>
      <c r="W273" s="200"/>
      <c r="X273" s="17"/>
    </row>
    <row r="274" spans="2:24" x14ac:dyDescent="0.25">
      <c r="B274" s="17">
        <v>272</v>
      </c>
      <c r="C274" s="10"/>
      <c r="D274" s="10"/>
      <c r="E274" s="72"/>
      <c r="F274" s="18"/>
      <c r="G274" s="10"/>
      <c r="H274" s="10"/>
      <c r="I274" s="10"/>
      <c r="J274" s="11"/>
      <c r="K274" s="11">
        <f t="shared" si="197"/>
        <v>0</v>
      </c>
      <c r="L274" s="37">
        <f t="shared" si="198"/>
        <v>0</v>
      </c>
      <c r="M274" s="11"/>
      <c r="N274" s="10"/>
      <c r="O274" s="21"/>
      <c r="P274" s="21"/>
      <c r="Q274" s="21"/>
      <c r="R274" s="23"/>
      <c r="S274" s="50"/>
      <c r="T274" s="48"/>
      <c r="U274" s="82"/>
      <c r="V274" s="26"/>
      <c r="W274" s="200"/>
      <c r="X274" s="17"/>
    </row>
    <row r="275" spans="2:24" x14ac:dyDescent="0.25">
      <c r="B275" s="17">
        <v>273</v>
      </c>
      <c r="C275" s="10"/>
      <c r="D275" s="10"/>
      <c r="E275" s="72"/>
      <c r="F275" s="18"/>
      <c r="G275" s="10"/>
      <c r="H275" s="10"/>
      <c r="I275" s="10"/>
      <c r="J275" s="11"/>
      <c r="K275" s="11">
        <f t="shared" si="197"/>
        <v>0</v>
      </c>
      <c r="L275" s="37">
        <f t="shared" si="198"/>
        <v>0</v>
      </c>
      <c r="M275" s="11"/>
      <c r="N275" s="10"/>
      <c r="O275" s="21"/>
      <c r="P275" s="21"/>
      <c r="Q275" s="21"/>
      <c r="R275" s="23"/>
      <c r="S275" s="50"/>
      <c r="T275" s="48"/>
      <c r="U275" s="82"/>
      <c r="V275" s="26"/>
      <c r="W275" s="200"/>
      <c r="X275" s="17"/>
    </row>
    <row r="276" spans="2:24" x14ac:dyDescent="0.25">
      <c r="B276" s="17">
        <v>274</v>
      </c>
      <c r="C276" s="10"/>
      <c r="D276" s="10"/>
      <c r="E276" s="72"/>
      <c r="F276" s="18"/>
      <c r="G276" s="10"/>
      <c r="H276" s="10"/>
      <c r="I276" s="10"/>
      <c r="J276" s="11"/>
      <c r="K276" s="11">
        <f t="shared" si="197"/>
        <v>0</v>
      </c>
      <c r="L276" s="37">
        <f t="shared" si="198"/>
        <v>0</v>
      </c>
      <c r="M276" s="11"/>
      <c r="N276" s="10"/>
      <c r="O276" s="21"/>
      <c r="P276" s="21"/>
      <c r="Q276" s="21"/>
      <c r="R276" s="23"/>
      <c r="S276" s="50"/>
      <c r="T276" s="48"/>
      <c r="U276" s="82"/>
      <c r="V276" s="32"/>
      <c r="W276" s="200"/>
      <c r="X276" s="17"/>
    </row>
    <row r="277" spans="2:24" x14ac:dyDescent="0.25">
      <c r="B277" s="17">
        <v>275</v>
      </c>
      <c r="C277" s="10"/>
      <c r="D277" s="10"/>
      <c r="E277" s="72"/>
      <c r="F277" s="18"/>
      <c r="G277" s="10"/>
      <c r="H277" s="10"/>
      <c r="I277" s="10"/>
      <c r="J277" s="11"/>
      <c r="K277" s="11">
        <f t="shared" si="197"/>
        <v>0</v>
      </c>
      <c r="L277" s="37">
        <f t="shared" si="198"/>
        <v>0</v>
      </c>
      <c r="M277" s="11"/>
      <c r="N277" s="10"/>
      <c r="O277" s="21"/>
      <c r="P277" s="21"/>
      <c r="Q277" s="21"/>
      <c r="R277" s="23"/>
      <c r="S277" s="50"/>
      <c r="T277" s="48"/>
      <c r="U277" s="82"/>
      <c r="V277" s="32"/>
      <c r="W277" s="200"/>
      <c r="X277" s="17"/>
    </row>
    <row r="278" spans="2:24" x14ac:dyDescent="0.25">
      <c r="B278" s="17">
        <v>276</v>
      </c>
      <c r="C278" s="10"/>
      <c r="D278" s="10"/>
      <c r="E278" s="72"/>
      <c r="F278" s="18"/>
      <c r="G278" s="10"/>
      <c r="H278" s="10"/>
      <c r="I278" s="10"/>
      <c r="J278" s="11"/>
      <c r="K278" s="11">
        <f t="shared" si="197"/>
        <v>0</v>
      </c>
      <c r="L278" s="37">
        <f t="shared" si="198"/>
        <v>0</v>
      </c>
      <c r="M278" s="11"/>
      <c r="N278" s="10"/>
      <c r="O278" s="21"/>
      <c r="P278" s="21"/>
      <c r="Q278" s="21"/>
      <c r="R278" s="23"/>
      <c r="S278" s="50"/>
      <c r="T278" s="48"/>
      <c r="U278" s="82"/>
      <c r="V278" s="26"/>
      <c r="W278" s="200"/>
      <c r="X278" s="17"/>
    </row>
    <row r="279" spans="2:24" x14ac:dyDescent="0.25">
      <c r="B279" s="17">
        <v>277</v>
      </c>
      <c r="C279" s="10"/>
      <c r="D279" s="10"/>
      <c r="E279" s="72"/>
      <c r="F279" s="18"/>
      <c r="G279" s="10"/>
      <c r="H279" s="10"/>
      <c r="I279" s="10"/>
      <c r="J279" s="11"/>
      <c r="K279" s="11">
        <f t="shared" si="197"/>
        <v>0</v>
      </c>
      <c r="L279" s="37">
        <f t="shared" si="198"/>
        <v>0</v>
      </c>
      <c r="M279" s="11"/>
      <c r="N279" s="10"/>
      <c r="O279" s="21"/>
      <c r="P279" s="21"/>
      <c r="Q279" s="21"/>
      <c r="R279" s="23"/>
      <c r="S279" s="50"/>
      <c r="T279" s="48"/>
      <c r="U279" s="82"/>
      <c r="V279" s="26"/>
      <c r="W279" s="200"/>
      <c r="X279" s="17"/>
    </row>
    <row r="280" spans="2:24" x14ac:dyDescent="0.25">
      <c r="B280" s="17">
        <v>278</v>
      </c>
      <c r="C280" s="10"/>
      <c r="D280" s="10"/>
      <c r="E280" s="72"/>
      <c r="F280" s="18"/>
      <c r="G280" s="10"/>
      <c r="H280" s="10"/>
      <c r="I280" s="10"/>
      <c r="J280" s="11"/>
      <c r="K280" s="11">
        <f t="shared" si="197"/>
        <v>0</v>
      </c>
      <c r="L280" s="37">
        <f t="shared" si="198"/>
        <v>0</v>
      </c>
      <c r="M280" s="11"/>
      <c r="N280" s="10"/>
      <c r="O280" s="21"/>
      <c r="P280" s="21"/>
      <c r="Q280" s="21"/>
      <c r="R280" s="23"/>
      <c r="S280" s="50"/>
      <c r="T280" s="48"/>
      <c r="U280" s="82"/>
      <c r="V280" s="26"/>
      <c r="W280" s="200"/>
      <c r="X280" s="17"/>
    </row>
    <row r="281" spans="2:24" x14ac:dyDescent="0.25">
      <c r="B281" s="17">
        <v>279</v>
      </c>
      <c r="C281" s="10"/>
      <c r="D281" s="10"/>
      <c r="E281" s="72"/>
      <c r="F281" s="18"/>
      <c r="G281" s="10"/>
      <c r="H281" s="10"/>
      <c r="I281" s="10"/>
      <c r="J281" s="11"/>
      <c r="K281" s="11">
        <f t="shared" si="197"/>
        <v>0</v>
      </c>
      <c r="L281" s="37">
        <f t="shared" si="198"/>
        <v>0</v>
      </c>
      <c r="M281" s="11"/>
      <c r="N281" s="10"/>
      <c r="O281" s="21"/>
      <c r="P281" s="21"/>
      <c r="Q281" s="21"/>
      <c r="R281" s="23"/>
      <c r="S281" s="50"/>
      <c r="T281" s="48"/>
      <c r="U281" s="82"/>
      <c r="V281" s="26"/>
      <c r="W281" s="200"/>
      <c r="X281" s="17"/>
    </row>
    <row r="282" spans="2:24" x14ac:dyDescent="0.25">
      <c r="B282" s="17">
        <v>280</v>
      </c>
      <c r="C282" s="10"/>
      <c r="D282" s="10"/>
      <c r="E282" s="72"/>
      <c r="F282" s="18"/>
      <c r="G282" s="10"/>
      <c r="H282" s="10"/>
      <c r="I282" s="10"/>
      <c r="J282" s="11"/>
      <c r="K282" s="11">
        <f t="shared" si="197"/>
        <v>0</v>
      </c>
      <c r="L282" s="37">
        <f t="shared" si="198"/>
        <v>0</v>
      </c>
      <c r="M282" s="11"/>
      <c r="N282" s="10"/>
      <c r="O282" s="21"/>
      <c r="P282" s="21"/>
      <c r="Q282" s="21"/>
      <c r="R282" s="23"/>
      <c r="S282" s="50"/>
      <c r="T282" s="48"/>
      <c r="U282" s="82"/>
      <c r="V282" s="26"/>
      <c r="W282" s="200"/>
      <c r="X282" s="17"/>
    </row>
    <row r="283" spans="2:24" x14ac:dyDescent="0.25">
      <c r="B283" s="17">
        <v>281</v>
      </c>
      <c r="C283" s="10"/>
      <c r="D283" s="10"/>
      <c r="E283" s="72"/>
      <c r="F283" s="18"/>
      <c r="G283" s="10"/>
      <c r="H283" s="10"/>
      <c r="I283" s="10"/>
      <c r="J283" s="11"/>
      <c r="K283" s="11">
        <f t="shared" si="197"/>
        <v>0</v>
      </c>
      <c r="L283" s="37">
        <f t="shared" si="198"/>
        <v>0</v>
      </c>
      <c r="M283" s="11"/>
      <c r="N283" s="10"/>
      <c r="O283" s="21"/>
      <c r="P283" s="21"/>
      <c r="Q283" s="21"/>
      <c r="R283" s="23"/>
      <c r="S283" s="50"/>
      <c r="T283" s="48"/>
      <c r="U283" s="82"/>
      <c r="V283" s="32"/>
      <c r="W283" s="200"/>
      <c r="X283" s="17"/>
    </row>
    <row r="284" spans="2:24" x14ac:dyDescent="0.25">
      <c r="B284" s="17">
        <v>282</v>
      </c>
      <c r="C284" s="10"/>
      <c r="D284" s="10"/>
      <c r="E284" s="72"/>
      <c r="F284" s="18"/>
      <c r="G284" s="10"/>
      <c r="H284" s="10"/>
      <c r="I284" s="10"/>
      <c r="J284" s="11"/>
      <c r="K284" s="11">
        <f t="shared" si="197"/>
        <v>0</v>
      </c>
      <c r="L284" s="37">
        <f t="shared" si="198"/>
        <v>0</v>
      </c>
      <c r="M284" s="11"/>
      <c r="N284" s="10"/>
      <c r="O284" s="21"/>
      <c r="P284" s="21"/>
      <c r="Q284" s="21"/>
      <c r="R284" s="23"/>
      <c r="S284" s="50"/>
      <c r="T284" s="48"/>
      <c r="U284" s="82"/>
      <c r="V284" s="32"/>
      <c r="W284" s="200"/>
      <c r="X284" s="17"/>
    </row>
    <row r="285" spans="2:24" x14ac:dyDescent="0.25">
      <c r="B285" s="17">
        <v>283</v>
      </c>
      <c r="C285" s="10"/>
      <c r="D285" s="10"/>
      <c r="E285" s="72"/>
      <c r="F285" s="18"/>
      <c r="G285" s="10"/>
      <c r="H285" s="10"/>
      <c r="I285" s="10"/>
      <c r="J285" s="11"/>
      <c r="K285" s="11">
        <f t="shared" ref="K285:K302" si="199">J285*1.1</f>
        <v>0</v>
      </c>
      <c r="L285" s="37">
        <f t="shared" ref="L285:L302" si="200">J285*0.00000001</f>
        <v>0</v>
      </c>
      <c r="M285" s="11"/>
      <c r="N285" s="10"/>
      <c r="O285" s="21"/>
      <c r="P285" s="21"/>
      <c r="R285" s="23"/>
      <c r="S285" s="50"/>
      <c r="T285" s="48"/>
      <c r="U285" s="82"/>
      <c r="V285" s="32"/>
      <c r="W285" s="200"/>
      <c r="X285" s="17"/>
    </row>
    <row r="286" spans="2:24" x14ac:dyDescent="0.25">
      <c r="B286" s="17">
        <v>284</v>
      </c>
      <c r="C286" s="10"/>
      <c r="D286" s="10"/>
      <c r="K286" s="11">
        <f t="shared" si="199"/>
        <v>0</v>
      </c>
      <c r="L286" s="37">
        <f t="shared" si="200"/>
        <v>0</v>
      </c>
      <c r="T286" s="56"/>
      <c r="U286" s="82"/>
      <c r="V286" s="84"/>
      <c r="W286" s="200"/>
      <c r="X286" s="17"/>
    </row>
    <row r="287" spans="2:24" x14ac:dyDescent="0.25">
      <c r="B287" s="17">
        <v>285</v>
      </c>
      <c r="C287" s="10"/>
      <c r="D287" s="10"/>
      <c r="K287" s="11">
        <f t="shared" si="199"/>
        <v>0</v>
      </c>
      <c r="L287" s="37">
        <f t="shared" si="200"/>
        <v>0</v>
      </c>
      <c r="T287" s="56"/>
      <c r="U287" s="82"/>
      <c r="V287" s="84"/>
      <c r="W287" s="200"/>
      <c r="X287" s="17"/>
    </row>
    <row r="288" spans="2:24" x14ac:dyDescent="0.25">
      <c r="B288" s="17">
        <v>286</v>
      </c>
      <c r="C288" s="10"/>
      <c r="D288" s="10"/>
      <c r="K288" s="11">
        <f t="shared" si="199"/>
        <v>0</v>
      </c>
      <c r="L288" s="37">
        <f t="shared" si="200"/>
        <v>0</v>
      </c>
      <c r="T288" s="56"/>
      <c r="U288" s="82"/>
      <c r="V288" s="84"/>
      <c r="W288" s="200"/>
      <c r="X288" s="17"/>
    </row>
    <row r="289" spans="2:24" x14ac:dyDescent="0.25">
      <c r="B289" s="17">
        <v>287</v>
      </c>
      <c r="C289" s="10"/>
      <c r="D289" s="10"/>
      <c r="K289" s="11">
        <f t="shared" si="199"/>
        <v>0</v>
      </c>
      <c r="L289" s="37">
        <f t="shared" si="200"/>
        <v>0</v>
      </c>
      <c r="T289" s="56"/>
      <c r="U289" s="82"/>
      <c r="V289" s="84"/>
      <c r="W289" s="200"/>
      <c r="X289" s="17"/>
    </row>
    <row r="290" spans="2:24" x14ac:dyDescent="0.25">
      <c r="B290" s="17">
        <v>288</v>
      </c>
      <c r="C290" s="10"/>
      <c r="D290" s="10"/>
      <c r="K290" s="11">
        <f t="shared" si="199"/>
        <v>0</v>
      </c>
      <c r="L290" s="37">
        <f t="shared" si="200"/>
        <v>0</v>
      </c>
      <c r="T290" s="56"/>
      <c r="U290" s="82"/>
      <c r="V290" s="84"/>
      <c r="W290" s="200"/>
      <c r="X290" s="17"/>
    </row>
    <row r="291" spans="2:24" x14ac:dyDescent="0.25">
      <c r="B291" s="17">
        <v>289</v>
      </c>
      <c r="C291" s="10"/>
      <c r="D291" s="10"/>
      <c r="K291" s="11">
        <f t="shared" si="199"/>
        <v>0</v>
      </c>
      <c r="L291" s="37">
        <f t="shared" si="200"/>
        <v>0</v>
      </c>
      <c r="T291" s="56"/>
      <c r="U291" s="82"/>
      <c r="V291" s="84"/>
      <c r="W291" s="200"/>
      <c r="X291" s="17"/>
    </row>
    <row r="292" spans="2:24" x14ac:dyDescent="0.25">
      <c r="B292" s="17">
        <v>290</v>
      </c>
      <c r="C292" s="10"/>
      <c r="D292" s="10"/>
      <c r="K292" s="11">
        <f t="shared" si="199"/>
        <v>0</v>
      </c>
      <c r="L292" s="37">
        <f t="shared" si="200"/>
        <v>0</v>
      </c>
      <c r="T292" s="56"/>
      <c r="U292" s="82"/>
      <c r="V292" s="84"/>
      <c r="W292" s="200"/>
      <c r="X292" s="17"/>
    </row>
    <row r="293" spans="2:24" x14ac:dyDescent="0.25">
      <c r="B293" s="17">
        <v>291</v>
      </c>
      <c r="C293" s="10"/>
      <c r="D293" s="10"/>
      <c r="K293" s="11">
        <f t="shared" si="199"/>
        <v>0</v>
      </c>
      <c r="L293" s="37">
        <f t="shared" si="200"/>
        <v>0</v>
      </c>
      <c r="T293" s="56"/>
      <c r="U293" s="82"/>
      <c r="V293" s="84"/>
      <c r="W293" s="200"/>
      <c r="X293" s="17"/>
    </row>
    <row r="294" spans="2:24" x14ac:dyDescent="0.25">
      <c r="B294" s="17">
        <v>292</v>
      </c>
      <c r="C294" s="10"/>
      <c r="D294" s="10"/>
      <c r="K294" s="11">
        <f t="shared" si="199"/>
        <v>0</v>
      </c>
      <c r="L294" s="37">
        <f t="shared" si="200"/>
        <v>0</v>
      </c>
      <c r="T294" s="56"/>
      <c r="U294" s="82"/>
      <c r="V294" s="84"/>
      <c r="W294" s="200"/>
      <c r="X294" s="17"/>
    </row>
    <row r="295" spans="2:24" x14ac:dyDescent="0.25">
      <c r="B295" s="17">
        <v>293</v>
      </c>
      <c r="C295" s="10"/>
      <c r="D295" s="10"/>
      <c r="K295" s="11">
        <f t="shared" si="199"/>
        <v>0</v>
      </c>
      <c r="L295" s="37">
        <f t="shared" si="200"/>
        <v>0</v>
      </c>
      <c r="T295" s="56"/>
      <c r="U295" s="82"/>
      <c r="V295" s="84"/>
      <c r="W295" s="200"/>
      <c r="X295" s="17"/>
    </row>
    <row r="296" spans="2:24" x14ac:dyDescent="0.25">
      <c r="B296" s="17">
        <v>294</v>
      </c>
      <c r="C296" s="10"/>
      <c r="D296" s="10"/>
      <c r="K296" s="11">
        <f t="shared" si="199"/>
        <v>0</v>
      </c>
      <c r="L296" s="37">
        <f t="shared" si="200"/>
        <v>0</v>
      </c>
      <c r="T296" s="56"/>
      <c r="U296" s="82"/>
      <c r="V296" s="84"/>
      <c r="W296" s="200"/>
      <c r="X296" s="17"/>
    </row>
    <row r="297" spans="2:24" x14ac:dyDescent="0.25">
      <c r="B297" s="17">
        <v>295</v>
      </c>
      <c r="C297" s="10"/>
      <c r="D297" s="10"/>
      <c r="K297" s="11">
        <f t="shared" si="199"/>
        <v>0</v>
      </c>
      <c r="L297" s="37">
        <f t="shared" si="200"/>
        <v>0</v>
      </c>
      <c r="T297" s="56"/>
      <c r="U297" s="82"/>
      <c r="V297" s="84"/>
      <c r="W297" s="200"/>
      <c r="X297" s="17"/>
    </row>
    <row r="298" spans="2:24" x14ac:dyDescent="0.25">
      <c r="B298" s="17">
        <v>296</v>
      </c>
      <c r="C298" s="10"/>
      <c r="D298" s="10"/>
      <c r="K298" s="11">
        <f t="shared" si="199"/>
        <v>0</v>
      </c>
      <c r="L298" s="37">
        <f t="shared" si="200"/>
        <v>0</v>
      </c>
      <c r="T298" s="56"/>
      <c r="U298" s="82"/>
      <c r="V298" s="84"/>
      <c r="W298" s="200"/>
      <c r="X298" s="17"/>
    </row>
    <row r="299" spans="2:24" x14ac:dyDescent="0.25">
      <c r="B299" s="17">
        <v>297</v>
      </c>
      <c r="C299" s="10"/>
      <c r="D299" s="10"/>
      <c r="K299" s="11">
        <f t="shared" si="199"/>
        <v>0</v>
      </c>
      <c r="L299" s="37">
        <f t="shared" si="200"/>
        <v>0</v>
      </c>
      <c r="T299" s="56"/>
      <c r="U299" s="82"/>
      <c r="V299" s="84"/>
      <c r="W299" s="200"/>
      <c r="X299" s="17"/>
    </row>
    <row r="300" spans="2:24" x14ac:dyDescent="0.25">
      <c r="B300" s="17">
        <v>298</v>
      </c>
      <c r="C300" s="10"/>
      <c r="D300" s="10"/>
      <c r="K300" s="11">
        <f t="shared" si="199"/>
        <v>0</v>
      </c>
      <c r="L300" s="37">
        <f t="shared" si="200"/>
        <v>0</v>
      </c>
      <c r="T300" s="56"/>
      <c r="U300" s="82"/>
      <c r="V300" s="84"/>
      <c r="W300" s="200"/>
      <c r="X300" s="17"/>
    </row>
    <row r="301" spans="2:24" x14ac:dyDescent="0.25">
      <c r="B301" s="17">
        <v>299</v>
      </c>
      <c r="C301" s="10"/>
      <c r="D301" s="10"/>
      <c r="K301" s="11">
        <f t="shared" si="199"/>
        <v>0</v>
      </c>
      <c r="L301" s="37">
        <f t="shared" si="200"/>
        <v>0</v>
      </c>
      <c r="T301" s="56"/>
      <c r="U301" s="82"/>
      <c r="V301" s="84"/>
      <c r="W301" s="200"/>
      <c r="X301" s="17"/>
    </row>
    <row r="302" spans="2:24" x14ac:dyDescent="0.25">
      <c r="B302" s="17">
        <v>300</v>
      </c>
      <c r="C302" s="10"/>
      <c r="D302" s="10"/>
      <c r="K302" s="11">
        <f t="shared" si="199"/>
        <v>0</v>
      </c>
      <c r="L302" s="37">
        <f t="shared" si="200"/>
        <v>0</v>
      </c>
      <c r="T302" s="56"/>
      <c r="U302" s="82"/>
      <c r="V302" s="84"/>
      <c r="W302" s="200"/>
      <c r="X302" s="17"/>
    </row>
    <row r="305" spans="17:17" x14ac:dyDescent="0.25">
      <c r="Q305" s="21"/>
    </row>
    <row r="306" spans="17:17" x14ac:dyDescent="0.25">
      <c r="Q306" s="21"/>
    </row>
    <row r="307" spans="17:17" x14ac:dyDescent="0.25">
      <c r="Q307" s="21"/>
    </row>
    <row r="308" spans="17:17" x14ac:dyDescent="0.25">
      <c r="Q308" s="21"/>
    </row>
    <row r="309" spans="17:17" x14ac:dyDescent="0.25">
      <c r="Q309" s="21"/>
    </row>
    <row r="310" spans="17:17" x14ac:dyDescent="0.25">
      <c r="Q310" s="21"/>
    </row>
    <row r="311" spans="17:17" x14ac:dyDescent="0.25">
      <c r="Q311" s="21"/>
    </row>
    <row r="312" spans="17:17" x14ac:dyDescent="0.25">
      <c r="Q312" s="21"/>
    </row>
    <row r="313" spans="17:17" x14ac:dyDescent="0.25">
      <c r="Q313" s="21"/>
    </row>
    <row r="314" spans="17:17" x14ac:dyDescent="0.25">
      <c r="Q314" s="21"/>
    </row>
    <row r="315" spans="17:17" x14ac:dyDescent="0.25">
      <c r="Q315" s="21"/>
    </row>
    <row r="316" spans="17:17" x14ac:dyDescent="0.25">
      <c r="Q316" s="21"/>
    </row>
    <row r="317" spans="17:17" x14ac:dyDescent="0.25">
      <c r="Q317" s="21"/>
    </row>
    <row r="318" spans="17:17" x14ac:dyDescent="0.25">
      <c r="Q318" s="21"/>
    </row>
  </sheetData>
  <mergeCells count="15">
    <mergeCell ref="AA21:AA26"/>
    <mergeCell ref="AA27:AA32"/>
    <mergeCell ref="AA1:AR1"/>
    <mergeCell ref="AA2:AB2"/>
    <mergeCell ref="AA3:AA8"/>
    <mergeCell ref="AA9:AA14"/>
    <mergeCell ref="AA15:AA20"/>
    <mergeCell ref="AA69:AA74"/>
    <mergeCell ref="AA75:AB75"/>
    <mergeCell ref="AA33:AA38"/>
    <mergeCell ref="AA39:AA44"/>
    <mergeCell ref="AA45:AA50"/>
    <mergeCell ref="AA51:AA56"/>
    <mergeCell ref="AA57:AA62"/>
    <mergeCell ref="AA63:AA68"/>
  </mergeCells>
  <phoneticPr fontId="5" type="noConversion"/>
  <conditionalFormatting sqref="U1:U1048576">
    <cfRule type="cellIs" dxfId="1" priority="3" operator="equal">
      <formula>"마케팅"</formula>
    </cfRule>
  </conditionalFormatting>
  <conditionalFormatting sqref="W1:W1048576">
    <cfRule type="cellIs" dxfId="0" priority="1" operator="equal">
      <formula>"마케팅"</formula>
    </cfRule>
  </conditionalFormatting>
  <dataValidations count="7">
    <dataValidation type="list" allowBlank="1" showInputMessage="1" showErrorMessage="1" sqref="S3:S285" xr:uid="{00000000-0002-0000-0F00-000000000000}">
      <formula1>"(주)그랜드썬기술단, (주)그랜드썬,지에스피,유지에스"</formula1>
    </dataValidation>
    <dataValidation type="list" allowBlank="1" showInputMessage="1" showErrorMessage="1" sqref="U3:U285" xr:uid="{00000000-0002-0000-0F00-000001000000}">
      <formula1>"소개,그 외"</formula1>
    </dataValidation>
    <dataValidation type="list" allowBlank="1" showInputMessage="1" showErrorMessage="1" sqref="D3:D302" xr:uid="{00000000-0002-0000-0F00-000002000000}">
      <formula1>"기존시설물(A),일반부지(B),수면(C)"</formula1>
    </dataValidation>
    <dataValidation type="list" allowBlank="1" showInputMessage="1" showErrorMessage="1" sqref="C3:C302" xr:uid="{00000000-0002-0000-0F00-000003000000}">
      <formula1>"직영(가),외주(나),입찰(다),검토(라)"</formula1>
    </dataValidation>
    <dataValidation type="list" allowBlank="1" showInputMessage="1" showErrorMessage="1" sqref="W3:W302" xr:uid="{00000000-0002-0000-0F00-000004000000}">
      <formula1>"산단,공장,창고,축사,근생,자원순환,토지,업무시설"</formula1>
    </dataValidation>
    <dataValidation type="list" allowBlank="1" showInputMessage="1" showErrorMessage="1" sqref="X3:X302" xr:uid="{00000000-0002-0000-0F00-000005000000}">
      <formula1>"유지,보류,취소"</formula1>
    </dataValidation>
    <dataValidation type="list" allowBlank="1" showInputMessage="1" showErrorMessage="1" sqref="Q3:Q318" xr:uid="{51FBE1BF-EE3F-4A30-B5DD-5AE4F6D972EA}">
      <formula1>"경기,강원,충남,충북,서울,인천,대전,세종,경남,경북,전남,전북,부산,대구,울산,제주,광주"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4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</vt:i4>
      </vt:variant>
    </vt:vector>
  </HeadingPairs>
  <TitlesOfParts>
    <vt:vector size="16" baseType="lpstr">
      <vt:lpstr>지역</vt:lpstr>
      <vt:lpstr>상태분류</vt:lpstr>
      <vt:lpstr>개인</vt:lpstr>
      <vt:lpstr>차트</vt:lpstr>
      <vt:lpstr>정리base</vt:lpstr>
      <vt:lpstr>발전사업(A)</vt:lpstr>
      <vt:lpstr>PPA 사업(C)</vt:lpstr>
      <vt:lpstr>자가소비(B)</vt:lpstr>
      <vt:lpstr>리스사업(D)</vt:lpstr>
      <vt:lpstr>임대사업(E)</vt:lpstr>
      <vt:lpstr>환경부사업(F)</vt:lpstr>
      <vt:lpstr>프로젝트(G)</vt:lpstr>
      <vt:lpstr>협력사 EPC(H)</vt:lpstr>
      <vt:lpstr>협력사 하도(I)</vt:lpstr>
      <vt:lpstr>기타(Z)</vt:lpstr>
      <vt:lpstr>차트!Print_Area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2025-12-29T03:51:58Z</cp:lastPrinted>
  <dcterms:created xsi:type="dcterms:W3CDTF">2016-12-27T04:15:52Z</dcterms:created>
  <dcterms:modified xsi:type="dcterms:W3CDTF">2026-05-26T07:07:34Z</dcterms:modified>
</cp:coreProperties>
</file>